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40" windowHeight="132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<sst xmlns="http://schemas.openxmlformats.org/spreadsheetml/2006/main" count="38" uniqueCount="26">
  <si>
    <t>水量</t>
  </si>
  <si>
    <t>泥量</t>
  </si>
  <si>
    <t>MLSS</t>
  </si>
  <si>
    <t>SV30</t>
  </si>
  <si>
    <t>SVI</t>
  </si>
  <si>
    <t>进水浓度</t>
  </si>
  <si>
    <t>出水浓度</t>
  </si>
  <si>
    <t>碳源投加</t>
  </si>
  <si>
    <t>PAC</t>
  </si>
  <si>
    <t>COD</t>
  </si>
  <si>
    <t>SS</t>
  </si>
  <si>
    <t>TP</t>
  </si>
  <si>
    <t>NH3-N</t>
  </si>
  <si>
    <t>TN</t>
  </si>
  <si>
    <t>TN去除率</t>
  </si>
  <si>
    <t>（吨）</t>
  </si>
  <si>
    <t>（kg）</t>
  </si>
  <si>
    <t>2020年</t>
  </si>
  <si>
    <t>除夕</t>
  </si>
  <si>
    <t>初一</t>
  </si>
  <si>
    <t>初二</t>
  </si>
  <si>
    <t>初三</t>
  </si>
  <si>
    <t>初四</t>
  </si>
  <si>
    <t>初五</t>
  </si>
  <si>
    <t>初六</t>
  </si>
  <si>
    <t>2021年</t>
  </si>
</sst>
</file>

<file path=xl/styles.xml><?xml version="1.0" encoding="utf-8"?>
<styleSheet xmlns="http://schemas.openxmlformats.org/spreadsheetml/2006/main">
  <numFmts count="9">
    <numFmt numFmtId="176" formatCode="0_);[Red]\(0\)"/>
    <numFmt numFmtId="177" formatCode="0.0%"/>
    <numFmt numFmtId="178" formatCode="0.00_);[Red]\(0.00\)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9" formatCode="0.00_ "/>
    <numFmt numFmtId="180" formatCode="0.0_);[Red]\(0.0\)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9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5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/>
    <xf numFmtId="0" fontId="15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0" borderId="17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7" fillId="6" borderId="13" applyNumberFormat="0" applyAlignment="0" applyProtection="0">
      <alignment vertical="center"/>
    </xf>
    <xf numFmtId="0" fontId="1" fillId="3" borderId="11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9" fontId="0" fillId="2" borderId="3" xfId="0" applyNumberForma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178" fontId="0" fillId="2" borderId="3" xfId="0" applyNumberFormat="1" applyFill="1" applyBorder="1" applyAlignment="1">
      <alignment horizontal="center" vertical="center"/>
    </xf>
    <xf numFmtId="180" fontId="0" fillId="2" borderId="3" xfId="0" applyNumberForma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2" borderId="3" xfId="0" applyNumberFormat="1" applyFill="1" applyBorder="1" applyAlignment="1">
      <alignment horizontal="center" vertical="center"/>
    </xf>
  </cellXfs>
  <cellStyles count="52">
    <cellStyle name="常规" xfId="0" builtinId="0"/>
    <cellStyle name="常规 2 19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常规 8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workbookViewId="0">
      <selection activeCell="T3" sqref="T3"/>
    </sheetView>
  </sheetViews>
  <sheetFormatPr defaultColWidth="8.625" defaultRowHeight="13.5"/>
  <cols>
    <col min="1" max="1" width="7.25" style="1" customWidth="1"/>
    <col min="2" max="2" width="5.125" style="1" customWidth="1"/>
    <col min="3" max="3" width="7.375" style="1" customWidth="1"/>
    <col min="4" max="4" width="8.375" style="1" customWidth="1"/>
    <col min="5" max="5" width="6.375" style="1" customWidth="1"/>
    <col min="6" max="9" width="5.375" style="1" customWidth="1"/>
    <col min="10" max="12" width="6.375" style="1" customWidth="1"/>
    <col min="13" max="13" width="4.375" style="1" customWidth="1"/>
    <col min="14" max="17" width="6.375" style="1" customWidth="1"/>
    <col min="18" max="18" width="9" style="1" customWidth="1"/>
    <col min="19" max="19" width="8.875" style="1" customWidth="1"/>
    <col min="20" max="20" width="7.375" style="1" customWidth="1"/>
    <col min="21" max="16384" width="8.625" style="1" customWidth="1"/>
  </cols>
  <sheetData>
    <row r="1" spans="1:20">
      <c r="A1" s="2"/>
      <c r="B1" s="3"/>
      <c r="C1" s="4" t="s">
        <v>0</v>
      </c>
      <c r="D1" s="4" t="s">
        <v>1</v>
      </c>
      <c r="E1" s="4" t="s">
        <v>2</v>
      </c>
      <c r="F1" s="5" t="s">
        <v>3</v>
      </c>
      <c r="G1" s="5" t="s">
        <v>4</v>
      </c>
      <c r="H1" s="4" t="s">
        <v>5</v>
      </c>
      <c r="I1" s="4"/>
      <c r="J1" s="4"/>
      <c r="K1" s="4"/>
      <c r="L1" s="4"/>
      <c r="M1" s="13" t="s">
        <v>6</v>
      </c>
      <c r="N1" s="14"/>
      <c r="O1" s="14"/>
      <c r="P1" s="14"/>
      <c r="Q1" s="14"/>
      <c r="R1" s="19"/>
      <c r="S1" s="4" t="s">
        <v>7</v>
      </c>
      <c r="T1" s="4" t="s">
        <v>8</v>
      </c>
    </row>
    <row r="2" spans="1:20">
      <c r="A2" s="6"/>
      <c r="B2" s="7"/>
      <c r="C2" s="4"/>
      <c r="D2" s="4"/>
      <c r="E2" s="4"/>
      <c r="F2" s="8"/>
      <c r="G2" s="8"/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</row>
    <row r="3" spans="1:20">
      <c r="A3" s="4" t="s">
        <v>17</v>
      </c>
      <c r="B3" s="4" t="s">
        <v>18</v>
      </c>
      <c r="C3" s="4">
        <v>94096</v>
      </c>
      <c r="D3" s="9">
        <v>20.97</v>
      </c>
      <c r="E3" s="4">
        <v>4972</v>
      </c>
      <c r="F3" s="4">
        <v>50</v>
      </c>
      <c r="G3" s="4">
        <v>101</v>
      </c>
      <c r="H3" s="4">
        <v>161</v>
      </c>
      <c r="I3" s="4">
        <v>130</v>
      </c>
      <c r="J3" s="9">
        <v>2.71</v>
      </c>
      <c r="K3" s="15">
        <v>26.7</v>
      </c>
      <c r="L3" s="15">
        <v>30.9</v>
      </c>
      <c r="M3" s="4">
        <v>18</v>
      </c>
      <c r="N3" s="9">
        <v>5</v>
      </c>
      <c r="O3" s="9">
        <v>0.07</v>
      </c>
      <c r="P3" s="9">
        <v>0.34</v>
      </c>
      <c r="Q3" s="9">
        <v>9.62</v>
      </c>
      <c r="R3" s="20">
        <f>1-Q3/L3</f>
        <v>0.688673139158576</v>
      </c>
      <c r="S3" s="9">
        <v>0</v>
      </c>
      <c r="T3" s="4">
        <v>2640</v>
      </c>
    </row>
    <row r="4" spans="1:20">
      <c r="A4" s="4"/>
      <c r="B4" s="4" t="s">
        <v>19</v>
      </c>
      <c r="C4" s="4">
        <v>59652</v>
      </c>
      <c r="D4" s="9">
        <v>0</v>
      </c>
      <c r="E4" s="4">
        <v>4648</v>
      </c>
      <c r="F4" s="4">
        <v>58</v>
      </c>
      <c r="G4" s="4">
        <v>125</v>
      </c>
      <c r="H4" s="4">
        <v>224</v>
      </c>
      <c r="I4" s="4">
        <v>118</v>
      </c>
      <c r="J4" s="9">
        <v>3.04</v>
      </c>
      <c r="K4" s="15">
        <v>25.7</v>
      </c>
      <c r="L4" s="15">
        <v>31.7</v>
      </c>
      <c r="M4" s="4">
        <v>19</v>
      </c>
      <c r="N4" s="9">
        <v>6</v>
      </c>
      <c r="O4" s="9">
        <v>0.09</v>
      </c>
      <c r="P4" s="9">
        <v>0.9</v>
      </c>
      <c r="Q4" s="15">
        <v>10.7</v>
      </c>
      <c r="R4" s="20">
        <f t="shared" ref="R4:R9" si="0">1-Q4/L4</f>
        <v>0.662460567823344</v>
      </c>
      <c r="S4" s="9">
        <v>0</v>
      </c>
      <c r="T4" s="4">
        <v>2520</v>
      </c>
    </row>
    <row r="5" spans="1:20">
      <c r="A5" s="4"/>
      <c r="B5" s="4" t="s">
        <v>20</v>
      </c>
      <c r="C5" s="4">
        <v>58608</v>
      </c>
      <c r="D5" s="9">
        <v>0</v>
      </c>
      <c r="E5" s="4">
        <v>4926</v>
      </c>
      <c r="F5" s="4">
        <v>73</v>
      </c>
      <c r="G5" s="4">
        <v>148</v>
      </c>
      <c r="H5" s="4">
        <v>130</v>
      </c>
      <c r="I5" s="4">
        <v>68</v>
      </c>
      <c r="J5" s="9">
        <v>1.65</v>
      </c>
      <c r="K5" s="15">
        <v>21.2</v>
      </c>
      <c r="L5" s="15">
        <v>27.4</v>
      </c>
      <c r="M5" s="4">
        <v>17</v>
      </c>
      <c r="N5" s="9">
        <v>5</v>
      </c>
      <c r="O5" s="9">
        <v>0.05</v>
      </c>
      <c r="P5" s="9">
        <v>0.23</v>
      </c>
      <c r="Q5" s="9">
        <v>9.98</v>
      </c>
      <c r="R5" s="20">
        <f t="shared" si="0"/>
        <v>0.635766423357664</v>
      </c>
      <c r="S5" s="9">
        <v>0</v>
      </c>
      <c r="T5" s="4">
        <v>480</v>
      </c>
    </row>
    <row r="6" spans="1:20">
      <c r="A6" s="4"/>
      <c r="B6" s="4" t="s">
        <v>21</v>
      </c>
      <c r="C6" s="4">
        <v>126900</v>
      </c>
      <c r="D6" s="9">
        <v>0</v>
      </c>
      <c r="E6" s="4">
        <v>4780</v>
      </c>
      <c r="F6" s="4">
        <v>51</v>
      </c>
      <c r="G6" s="4">
        <v>107</v>
      </c>
      <c r="H6" s="4">
        <v>125</v>
      </c>
      <c r="I6" s="4">
        <v>78</v>
      </c>
      <c r="J6" s="9">
        <v>2.05</v>
      </c>
      <c r="K6" s="15">
        <v>26.5</v>
      </c>
      <c r="L6" s="15">
        <v>33.2</v>
      </c>
      <c r="M6" s="4">
        <v>18</v>
      </c>
      <c r="N6" s="9">
        <v>5</v>
      </c>
      <c r="O6" s="9">
        <v>0.05</v>
      </c>
      <c r="P6" s="9">
        <v>0.6</v>
      </c>
      <c r="Q6" s="9">
        <v>9.16</v>
      </c>
      <c r="R6" s="20">
        <f t="shared" si="0"/>
        <v>0.724096385542169</v>
      </c>
      <c r="S6" s="9">
        <v>0</v>
      </c>
      <c r="T6" s="4">
        <v>240</v>
      </c>
    </row>
    <row r="7" spans="1:20">
      <c r="A7" s="4"/>
      <c r="B7" s="4" t="s">
        <v>22</v>
      </c>
      <c r="C7" s="4">
        <v>161820</v>
      </c>
      <c r="D7" s="9">
        <v>58.58</v>
      </c>
      <c r="E7" s="4">
        <v>4568</v>
      </c>
      <c r="F7" s="4">
        <v>44</v>
      </c>
      <c r="G7" s="4">
        <v>98</v>
      </c>
      <c r="H7" s="4">
        <v>179</v>
      </c>
      <c r="I7" s="4">
        <v>100</v>
      </c>
      <c r="J7" s="9">
        <v>2.25</v>
      </c>
      <c r="K7" s="15">
        <v>30.6</v>
      </c>
      <c r="L7" s="15">
        <v>36.9</v>
      </c>
      <c r="M7" s="4">
        <v>24</v>
      </c>
      <c r="N7" s="9">
        <v>5</v>
      </c>
      <c r="O7" s="9">
        <v>0.1</v>
      </c>
      <c r="P7" s="9">
        <v>0.33</v>
      </c>
      <c r="Q7" s="9">
        <v>9.73</v>
      </c>
      <c r="R7" s="20">
        <f t="shared" si="0"/>
        <v>0.736314363143631</v>
      </c>
      <c r="S7" s="9">
        <v>1.31</v>
      </c>
      <c r="T7" s="4">
        <v>8040</v>
      </c>
    </row>
    <row r="8" spans="1:20">
      <c r="A8" s="4"/>
      <c r="B8" s="4" t="s">
        <v>23</v>
      </c>
      <c r="C8" s="4">
        <v>156420</v>
      </c>
      <c r="D8" s="9">
        <v>37.15</v>
      </c>
      <c r="E8" s="4">
        <v>4566</v>
      </c>
      <c r="F8" s="4">
        <v>43</v>
      </c>
      <c r="G8" s="4">
        <v>99</v>
      </c>
      <c r="H8" s="4">
        <v>210</v>
      </c>
      <c r="I8" s="4">
        <v>76</v>
      </c>
      <c r="J8" s="9">
        <v>1.69</v>
      </c>
      <c r="K8" s="15">
        <v>19.5</v>
      </c>
      <c r="L8" s="15">
        <v>31.3</v>
      </c>
      <c r="M8" s="4">
        <v>25</v>
      </c>
      <c r="N8" s="9">
        <v>8</v>
      </c>
      <c r="O8" s="9">
        <v>0.13</v>
      </c>
      <c r="P8" s="9">
        <v>1.25</v>
      </c>
      <c r="Q8" s="15">
        <v>12.1</v>
      </c>
      <c r="R8" s="20">
        <f t="shared" si="0"/>
        <v>0.613418530351438</v>
      </c>
      <c r="S8" s="9">
        <v>2.42</v>
      </c>
      <c r="T8" s="4">
        <v>312</v>
      </c>
    </row>
    <row r="9" spans="1:20">
      <c r="A9" s="4"/>
      <c r="B9" s="4" t="s">
        <v>24</v>
      </c>
      <c r="C9" s="4">
        <v>149826</v>
      </c>
      <c r="D9" s="9">
        <v>57.7</v>
      </c>
      <c r="E9" s="4">
        <v>4234</v>
      </c>
      <c r="F9" s="4">
        <v>49</v>
      </c>
      <c r="G9" s="4">
        <v>116</v>
      </c>
      <c r="H9" s="4">
        <v>136</v>
      </c>
      <c r="I9" s="4">
        <v>70</v>
      </c>
      <c r="J9" s="9">
        <v>1.7</v>
      </c>
      <c r="K9" s="15">
        <v>20</v>
      </c>
      <c r="L9" s="15">
        <v>27.1</v>
      </c>
      <c r="M9" s="4">
        <v>21</v>
      </c>
      <c r="N9" s="9">
        <v>5</v>
      </c>
      <c r="O9" s="9">
        <v>0.09</v>
      </c>
      <c r="P9" s="9">
        <v>0.46</v>
      </c>
      <c r="Q9" s="9">
        <v>8.26</v>
      </c>
      <c r="R9" s="20">
        <f t="shared" si="0"/>
        <v>0.69520295202952</v>
      </c>
      <c r="S9" s="9">
        <v>2.42</v>
      </c>
      <c r="T9" s="4">
        <v>5880</v>
      </c>
    </row>
    <row r="10" spans="1:20">
      <c r="A10" s="4"/>
      <c r="B10" s="4"/>
      <c r="C10" s="10">
        <v>807322</v>
      </c>
      <c r="D10" s="11">
        <v>174.4</v>
      </c>
      <c r="E10" s="12">
        <f t="shared" ref="E10:L10" si="1">AVERAGE(E3:E9)</f>
        <v>4670.57142857143</v>
      </c>
      <c r="F10" s="12">
        <f t="shared" si="1"/>
        <v>52.5714285714286</v>
      </c>
      <c r="G10" s="12">
        <f t="shared" si="1"/>
        <v>113.428571428571</v>
      </c>
      <c r="H10" s="12">
        <f t="shared" si="1"/>
        <v>166.428571428571</v>
      </c>
      <c r="I10" s="12">
        <f t="shared" si="1"/>
        <v>91.4285714285714</v>
      </c>
      <c r="J10" s="16">
        <f t="shared" si="1"/>
        <v>2.15571428571429</v>
      </c>
      <c r="K10" s="17">
        <f t="shared" si="1"/>
        <v>24.3142857142857</v>
      </c>
      <c r="L10" s="17">
        <f t="shared" si="1"/>
        <v>31.2142857142857</v>
      </c>
      <c r="M10" s="12">
        <f t="shared" ref="M10:R10" si="2">AVERAGE(M3:M9)</f>
        <v>20.2857142857143</v>
      </c>
      <c r="N10" s="16">
        <f t="shared" si="2"/>
        <v>5.57142857142857</v>
      </c>
      <c r="O10" s="16">
        <f t="shared" si="2"/>
        <v>0.0828571428571429</v>
      </c>
      <c r="P10" s="16">
        <f t="shared" si="2"/>
        <v>0.587142857142857</v>
      </c>
      <c r="Q10" s="16">
        <f t="shared" si="2"/>
        <v>9.93571428571429</v>
      </c>
      <c r="R10" s="21">
        <f t="shared" si="2"/>
        <v>0.679418908772335</v>
      </c>
      <c r="S10" s="16">
        <v>6.15</v>
      </c>
      <c r="T10" s="12">
        <v>20112</v>
      </c>
    </row>
    <row r="11" spans="1:2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4" t="s">
        <v>25</v>
      </c>
      <c r="B12" s="4" t="s">
        <v>18</v>
      </c>
      <c r="C12" s="4">
        <v>135913</v>
      </c>
      <c r="D12" s="4">
        <v>32.92</v>
      </c>
      <c r="E12" s="4">
        <v>5062</v>
      </c>
      <c r="F12" s="4">
        <v>89</v>
      </c>
      <c r="G12" s="4">
        <v>140</v>
      </c>
      <c r="H12" s="4">
        <v>248</v>
      </c>
      <c r="I12" s="4">
        <v>124</v>
      </c>
      <c r="J12" s="4">
        <v>3.56</v>
      </c>
      <c r="K12" s="4">
        <v>21.7</v>
      </c>
      <c r="L12" s="4">
        <v>27.8</v>
      </c>
      <c r="M12" s="18">
        <v>13</v>
      </c>
      <c r="N12" s="9">
        <v>5</v>
      </c>
      <c r="O12" s="4">
        <v>0.07</v>
      </c>
      <c r="P12" s="9">
        <v>0.38</v>
      </c>
      <c r="Q12" s="4">
        <v>5.65</v>
      </c>
      <c r="R12" s="20">
        <f>1-Q12/L12</f>
        <v>0.796762589928057</v>
      </c>
      <c r="S12" s="9">
        <v>2</v>
      </c>
      <c r="T12" s="4">
        <v>0</v>
      </c>
    </row>
    <row r="13" spans="1:20">
      <c r="A13" s="4"/>
      <c r="B13" s="4" t="s">
        <v>19</v>
      </c>
      <c r="C13" s="4">
        <v>102425</v>
      </c>
      <c r="D13" s="4">
        <v>0</v>
      </c>
      <c r="E13" s="4">
        <v>6378</v>
      </c>
      <c r="F13" s="4">
        <v>93</v>
      </c>
      <c r="G13" s="4">
        <v>176</v>
      </c>
      <c r="H13" s="4">
        <v>207</v>
      </c>
      <c r="I13" s="4">
        <v>112</v>
      </c>
      <c r="J13" s="4">
        <v>2.72</v>
      </c>
      <c r="K13" s="4">
        <v>21.9</v>
      </c>
      <c r="L13" s="4">
        <v>28.1</v>
      </c>
      <c r="M13" s="18">
        <v>12.4</v>
      </c>
      <c r="N13" s="9">
        <v>5</v>
      </c>
      <c r="O13" s="4">
        <v>0.11</v>
      </c>
      <c r="P13" s="9">
        <v>0.51</v>
      </c>
      <c r="Q13" s="4">
        <v>7.38</v>
      </c>
      <c r="R13" s="20">
        <f t="shared" ref="R13:R18" si="3">1-Q13/L13</f>
        <v>0.737366548042705</v>
      </c>
      <c r="S13" s="9">
        <v>2</v>
      </c>
      <c r="T13" s="4">
        <v>0</v>
      </c>
    </row>
    <row r="14" spans="1:20">
      <c r="A14" s="4"/>
      <c r="B14" s="4" t="s">
        <v>20</v>
      </c>
      <c r="C14" s="4">
        <v>111467</v>
      </c>
      <c r="D14" s="4">
        <v>0</v>
      </c>
      <c r="E14" s="4">
        <v>5294</v>
      </c>
      <c r="F14" s="4">
        <v>92</v>
      </c>
      <c r="G14" s="4">
        <v>147</v>
      </c>
      <c r="H14" s="4">
        <v>190</v>
      </c>
      <c r="I14" s="4">
        <v>128</v>
      </c>
      <c r="J14" s="4">
        <v>2.14</v>
      </c>
      <c r="K14" s="4">
        <v>19.6</v>
      </c>
      <c r="L14" s="4">
        <v>30.8</v>
      </c>
      <c r="M14" s="18">
        <v>12.2</v>
      </c>
      <c r="N14" s="9">
        <v>5</v>
      </c>
      <c r="O14" s="4">
        <v>0.09</v>
      </c>
      <c r="P14" s="9">
        <v>0.28</v>
      </c>
      <c r="Q14" s="4">
        <v>7.88</v>
      </c>
      <c r="R14" s="20">
        <f t="shared" si="3"/>
        <v>0.744155844155844</v>
      </c>
      <c r="S14" s="9">
        <v>2</v>
      </c>
      <c r="T14" s="4">
        <v>120</v>
      </c>
    </row>
    <row r="15" spans="1:20">
      <c r="A15" s="4"/>
      <c r="B15" s="4" t="s">
        <v>21</v>
      </c>
      <c r="C15" s="4">
        <v>120764</v>
      </c>
      <c r="D15" s="4">
        <v>0</v>
      </c>
      <c r="E15" s="4">
        <v>6270</v>
      </c>
      <c r="F15" s="4">
        <v>91</v>
      </c>
      <c r="G15" s="4">
        <v>175</v>
      </c>
      <c r="H15" s="4">
        <v>210</v>
      </c>
      <c r="I15" s="4">
        <v>138</v>
      </c>
      <c r="J15" s="4">
        <v>3.44</v>
      </c>
      <c r="K15" s="4">
        <v>20.5</v>
      </c>
      <c r="L15" s="4">
        <v>30.1</v>
      </c>
      <c r="M15" s="18">
        <v>14.6</v>
      </c>
      <c r="N15" s="9">
        <v>4.5</v>
      </c>
      <c r="O15" s="4">
        <v>0.08</v>
      </c>
      <c r="P15" s="9">
        <v>0.41</v>
      </c>
      <c r="Q15" s="4">
        <v>7.28</v>
      </c>
      <c r="R15" s="20">
        <f t="shared" si="3"/>
        <v>0.758139534883721</v>
      </c>
      <c r="S15" s="9">
        <v>2</v>
      </c>
      <c r="T15" s="4">
        <v>120</v>
      </c>
    </row>
    <row r="16" spans="1:20">
      <c r="A16" s="4"/>
      <c r="B16" s="4" t="s">
        <v>22</v>
      </c>
      <c r="C16" s="4">
        <v>136777</v>
      </c>
      <c r="D16" s="4">
        <v>38.45</v>
      </c>
      <c r="E16" s="4">
        <v>5196</v>
      </c>
      <c r="F16" s="4">
        <v>95</v>
      </c>
      <c r="G16" s="4">
        <v>163</v>
      </c>
      <c r="H16" s="4">
        <v>167</v>
      </c>
      <c r="I16" s="4">
        <v>76</v>
      </c>
      <c r="J16" s="4">
        <v>2.77</v>
      </c>
      <c r="K16" s="4">
        <v>19.4</v>
      </c>
      <c r="L16" s="4">
        <v>27.5</v>
      </c>
      <c r="M16" s="18">
        <v>14.3</v>
      </c>
      <c r="N16" s="9">
        <v>5</v>
      </c>
      <c r="O16" s="4">
        <v>0.08</v>
      </c>
      <c r="P16" s="9">
        <v>0.38</v>
      </c>
      <c r="Q16" s="4">
        <v>7.53</v>
      </c>
      <c r="R16" s="20">
        <f t="shared" si="3"/>
        <v>0.726181818181818</v>
      </c>
      <c r="S16" s="9">
        <v>2</v>
      </c>
      <c r="T16" s="4">
        <v>0</v>
      </c>
    </row>
    <row r="17" spans="1:20">
      <c r="A17" s="4"/>
      <c r="B17" s="4" t="s">
        <v>23</v>
      </c>
      <c r="C17" s="4">
        <v>160524</v>
      </c>
      <c r="D17" s="4">
        <v>38.21</v>
      </c>
      <c r="E17" s="4">
        <v>5842</v>
      </c>
      <c r="F17" s="4">
        <v>90</v>
      </c>
      <c r="G17" s="4">
        <v>185</v>
      </c>
      <c r="H17" s="4">
        <v>173</v>
      </c>
      <c r="I17" s="4">
        <v>62</v>
      </c>
      <c r="J17" s="4">
        <v>2.47</v>
      </c>
      <c r="K17" s="4">
        <v>22.5</v>
      </c>
      <c r="L17" s="4">
        <v>28.7</v>
      </c>
      <c r="M17" s="18">
        <v>10.9</v>
      </c>
      <c r="N17" s="9">
        <v>4</v>
      </c>
      <c r="O17" s="4">
        <v>0.08</v>
      </c>
      <c r="P17" s="9">
        <v>0.35</v>
      </c>
      <c r="Q17" s="4">
        <v>6.64</v>
      </c>
      <c r="R17" s="20">
        <f t="shared" si="3"/>
        <v>0.768641114982578</v>
      </c>
      <c r="S17" s="9">
        <v>2</v>
      </c>
      <c r="T17" s="4">
        <v>0</v>
      </c>
    </row>
    <row r="18" spans="1:20">
      <c r="A18" s="4"/>
      <c r="B18" s="4" t="s">
        <v>24</v>
      </c>
      <c r="C18" s="4">
        <v>166617</v>
      </c>
      <c r="D18" s="4">
        <v>55.06</v>
      </c>
      <c r="E18" s="4">
        <v>4856</v>
      </c>
      <c r="F18" s="4">
        <v>92</v>
      </c>
      <c r="G18" s="4">
        <v>192</v>
      </c>
      <c r="H18" s="4">
        <v>167</v>
      </c>
      <c r="I18" s="4">
        <v>74</v>
      </c>
      <c r="J18" s="4">
        <v>2.47</v>
      </c>
      <c r="K18" s="4">
        <v>21.2</v>
      </c>
      <c r="L18" s="4">
        <v>28.6</v>
      </c>
      <c r="M18" s="18">
        <v>13.5</v>
      </c>
      <c r="N18" s="9">
        <v>4.5</v>
      </c>
      <c r="O18" s="4">
        <v>0.09</v>
      </c>
      <c r="P18" s="9">
        <v>0.1</v>
      </c>
      <c r="Q18" s="4">
        <v>7.53</v>
      </c>
      <c r="R18" s="20">
        <f t="shared" si="3"/>
        <v>0.736713286713287</v>
      </c>
      <c r="S18" s="9">
        <v>2</v>
      </c>
      <c r="T18" s="4">
        <v>120</v>
      </c>
    </row>
    <row r="19" spans="1:20">
      <c r="A19" s="4"/>
      <c r="B19" s="4"/>
      <c r="C19" s="10">
        <v>934487</v>
      </c>
      <c r="D19" s="10">
        <v>164.64</v>
      </c>
      <c r="E19" s="12">
        <f>AVERAGE(E12:E18)</f>
        <v>5556.85714285714</v>
      </c>
      <c r="F19" s="12">
        <f>AVERAGE(F12:F18)</f>
        <v>91.7142857142857</v>
      </c>
      <c r="G19" s="12">
        <f>AVERAGE(G12:G18)</f>
        <v>168.285714285714</v>
      </c>
      <c r="H19" s="12">
        <f t="shared" ref="H19:R19" si="4">AVERAGE(H12:H18)</f>
        <v>194.571428571429</v>
      </c>
      <c r="I19" s="12">
        <f t="shared" si="4"/>
        <v>102</v>
      </c>
      <c r="J19" s="16">
        <f t="shared" si="4"/>
        <v>2.79571428571429</v>
      </c>
      <c r="K19" s="17">
        <f t="shared" si="4"/>
        <v>20.9714285714286</v>
      </c>
      <c r="L19" s="17">
        <f t="shared" si="4"/>
        <v>28.8</v>
      </c>
      <c r="M19" s="12">
        <f t="shared" si="4"/>
        <v>12.9857142857143</v>
      </c>
      <c r="N19" s="16">
        <f t="shared" si="4"/>
        <v>4.71428571428571</v>
      </c>
      <c r="O19" s="16">
        <f t="shared" si="4"/>
        <v>0.0857142857142857</v>
      </c>
      <c r="P19" s="16">
        <f t="shared" si="4"/>
        <v>0.344285714285714</v>
      </c>
      <c r="Q19" s="16">
        <f t="shared" si="4"/>
        <v>7.12714285714286</v>
      </c>
      <c r="R19" s="21">
        <f t="shared" si="4"/>
        <v>0.75256581955543</v>
      </c>
      <c r="S19" s="16">
        <v>14</v>
      </c>
      <c r="T19" s="12">
        <v>360</v>
      </c>
    </row>
  </sheetData>
  <mergeCells count="10">
    <mergeCell ref="H1:L1"/>
    <mergeCell ref="M1:R1"/>
    <mergeCell ref="A3:A10"/>
    <mergeCell ref="A12:A19"/>
    <mergeCell ref="C1:C2"/>
    <mergeCell ref="D1:D2"/>
    <mergeCell ref="E1:E2"/>
    <mergeCell ref="F1:F2"/>
    <mergeCell ref="G1:G2"/>
    <mergeCell ref="A1:B2"/>
  </mergeCells>
  <pageMargins left="0" right="0" top="1" bottom="1" header="0.51180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高文杰</cp:lastModifiedBy>
  <dcterms:created xsi:type="dcterms:W3CDTF">2019-02-11T04:07:00Z</dcterms:created>
  <dcterms:modified xsi:type="dcterms:W3CDTF">2021-03-05T08:51:02Z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