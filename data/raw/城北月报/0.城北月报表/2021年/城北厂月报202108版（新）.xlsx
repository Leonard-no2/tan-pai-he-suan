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45" windowHeight="14055" activeTab="1"/>
  </bookViews>
  <sheets>
    <sheet name="汇总" sheetId="2" r:id="rId1"/>
    <sheet name="处理量" sheetId="9" r:id="rId2"/>
    <sheet name="进出水" sheetId="10" r:id="rId3"/>
    <sheet name="设备" sheetId="11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处理量!$A$1:$T$38</definedName>
    <definedName name="_xlnm.Print_Area" localSheetId="2">进出水!$A$1:$AA$39</definedName>
    <definedName name="_xlnm.Print_Area" localSheetId="3">设备!$A$1:$K$233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<sst xmlns="http://schemas.openxmlformats.org/spreadsheetml/2006/main" count="960" uniqueCount="438">
  <si>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</si>
  <si>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</si>
  <si>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</si>
  <si>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</si>
  <si>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</si>
  <si>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</si>
  <si>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</si>
  <si>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</si>
  <si>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</si>
  <si>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</si>
  <si>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</si>
  <si>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</si>
  <si>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</si>
  <si>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</si>
  <si>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</si>
  <si>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</si>
  <si>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</si>
  <si>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</si>
  <si>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</si>
  <si>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</si>
  <si>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</si>
  <si>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</si>
  <si>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</si>
  <si>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</si>
  <si>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</si>
  <si>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</si>
  <si>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</si>
  <si>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</si>
  <si>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</si>
  <si>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</si>
  <si>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</si>
  <si>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</si>
  <si>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</si>
  <si>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</si>
  <si>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</si>
  <si>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</si>
  <si>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</si>
  <si>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</si>
  <si>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</si>
  <si>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</si>
  <si>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</si>
  <si>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</si>
  <si>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</si>
  <si>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</si>
  <si>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</si>
  <si>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</si>
  <si>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</si>
  <si>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</si>
  <si>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</si>
  <si>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</si>
  <si>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</si>
  <si>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</si>
  <si>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</si>
  <si>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</si>
  <si>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</si>
  <si>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</si>
  <si>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</si>
  <si>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本月总用电量为1505594度，其中排水处电量为13340度，除臭工程用电62907度，城北实际用电为1429347度。本月自来水用量为2897吨，其中除臭工程自来水用量为880吨，城北实际用自来水用量为2017吨。                                                                                                                                                                                                                                                                                                                                      本月产生泥饼2476.46吨，运往英科焚烧中心2358.76吨；运往国电117.7吨。</t>
  </si>
  <si>
    <t>审核：                                               制表：                               制表日期：2021-9-3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</si>
  <si>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</si>
  <si>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</si>
  <si>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</si>
  <si>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</si>
  <si>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</si>
  <si>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</si>
  <si>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</si>
  <si>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</si>
  <si>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</si>
  <si>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</si>
  <si>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</si>
  <si>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盐酸</t>
  </si>
  <si>
    <t>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</si>
  <si>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</si>
  <si>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</si>
  <si>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</si>
  <si>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</si>
  <si>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</si>
  <si>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</si>
  <si>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PAM单价28040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</si>
  <si>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</si>
  <si>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</si>
  <si>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</si>
  <si>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</si>
  <si>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</si>
  <si>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</si>
  <si>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</si>
  <si>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</si>
  <si>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</si>
  <si>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</si>
  <si>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</si>
  <si>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</si>
  <si>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</si>
  <si>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</si>
  <si>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阴</t>
  </si>
  <si>
    <t>单价</t>
  </si>
  <si>
    <t>当月用量</t>
  </si>
  <si>
    <t>合计</t>
  </si>
  <si>
    <t>电费</t>
  </si>
  <si>
    <t>絮凝剂</t>
  </si>
  <si>
    <t>雨</t>
  </si>
  <si>
    <t>污泥外运</t>
  </si>
  <si>
    <t>平均</t>
  </si>
  <si>
    <t>审核：</t>
  </si>
  <si>
    <t>制表：</t>
  </si>
  <si>
    <t>制表时间:2021-9-3</t>
  </si>
  <si>
    <t>最大值</t>
  </si>
  <si>
    <t>脱水污泥量</t>
  </si>
  <si>
    <t>最小值</t>
  </si>
  <si>
    <t>干污泥量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</si>
  <si>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</si>
  <si>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</si>
  <si>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</si>
  <si>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</si>
  <si>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</si>
  <si>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</si>
  <si>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</si>
  <si>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</si>
  <si>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</si>
  <si>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</si>
  <si>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</si>
  <si>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</si>
  <si>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t>&lt;2</t>
  </si>
  <si>
    <t>&lt;16</t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</si>
  <si>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2021-9-3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</si>
  <si>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</si>
  <si>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</si>
  <si>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</si>
  <si>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</si>
  <si>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</si>
  <si>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</si>
  <si>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</si>
  <si>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</si>
  <si>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</si>
  <si>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</si>
  <si>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</si>
  <si>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</si>
  <si>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</si>
  <si>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</si>
  <si>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</si>
  <si>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</si>
  <si>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</si>
  <si>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</si>
  <si>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</si>
  <si>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</si>
  <si>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</si>
  <si>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</si>
  <si>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</si>
  <si>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</si>
  <si>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</si>
  <si>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</si>
  <si>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</si>
  <si>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</si>
  <si>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</si>
  <si>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</si>
  <si>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</si>
  <si>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</si>
  <si>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r>
      <rPr>
        <b/>
        <sz val="16"/>
        <rFont val="宋体"/>
        <charset val="134"/>
      </rPr>
      <t xml:space="preserve">常州市深水城北污水处理有限公司设备运行汇总报表（一）
</t>
    </r>
    <r>
      <rPr>
        <b/>
        <sz val="16"/>
        <rFont val="Times New Roman"/>
        <charset val="134"/>
      </rPr>
      <t xml:space="preserve"> 2021</t>
    </r>
    <r>
      <rPr>
        <b/>
        <sz val="16"/>
        <rFont val="宋体"/>
        <charset val="134"/>
      </rPr>
      <t>年8月</t>
    </r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</si>
  <si>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</si>
  <si>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</si>
  <si>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</si>
  <si>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</si>
  <si>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</si>
  <si>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</si>
  <si>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</si>
  <si>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</si>
  <si>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</si>
  <si>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</si>
  <si>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</si>
  <si>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</si>
  <si>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</si>
  <si>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</si>
  <si>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</si>
  <si>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</si>
  <si>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</si>
  <si>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</si>
  <si>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</si>
  <si>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</si>
  <si>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</si>
  <si>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</si>
  <si>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</si>
  <si>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</si>
  <si>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</si>
  <si>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</si>
  <si>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</si>
  <si>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</si>
  <si>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</si>
  <si>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</si>
  <si>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</si>
  <si>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</si>
  <si>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</si>
  <si>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</si>
  <si>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</si>
  <si>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</si>
  <si>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</si>
  <si>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</si>
  <si>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</si>
  <si>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</si>
  <si>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</si>
  <si>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r>
      <rPr>
        <sz val="12"/>
        <rFont val="Times New Roman"/>
        <charset val="0"/>
      </rPr>
      <t xml:space="preserve">   </t>
    </r>
    <r>
      <rPr>
        <sz val="12"/>
        <rFont val="宋体"/>
        <charset val="0"/>
      </rPr>
      <t>制表时间：</t>
    </r>
    <r>
      <rPr>
        <sz val="12"/>
        <rFont val="Times New Roman"/>
        <charset val="0"/>
      </rPr>
      <t>2021-9-3</t>
    </r>
  </si>
  <si>
    <r>
      <rPr>
        <b/>
        <sz val="16"/>
        <rFont val="宋体"/>
        <charset val="134"/>
      </rPr>
      <t>常州市深水城北污水处理有限公司设备运行汇总报表（二）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年8月</t>
    </r>
  </si>
  <si>
    <t>内回流泵3#</t>
  </si>
  <si>
    <t>内回流泵4#</t>
  </si>
  <si>
    <t>内回流泵5#</t>
  </si>
  <si>
    <t>内回流泵6#</t>
  </si>
  <si>
    <t>内回流泵7#</t>
  </si>
  <si>
    <t>8月9日过热故障检修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</si>
  <si>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</si>
  <si>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</si>
  <si>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</si>
  <si>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</si>
  <si>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</si>
  <si>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</si>
  <si>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</si>
  <si>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</si>
  <si>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</si>
  <si>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</si>
  <si>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</si>
  <si>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</si>
  <si>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</si>
  <si>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</si>
  <si>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</si>
  <si>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r>
      <rPr>
        <b/>
        <sz val="16"/>
        <rFont val="宋体"/>
        <charset val="134"/>
      </rPr>
      <t>常州市深水城北污水处理有限公司设备运行汇总报表（三）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年8月</t>
    </r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</si>
  <si>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</si>
  <si>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</si>
  <si>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</si>
  <si>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</si>
  <si>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</si>
  <si>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</si>
  <si>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</si>
  <si>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</si>
  <si>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</si>
  <si>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</si>
  <si>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</si>
  <si>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</si>
  <si>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</si>
  <si>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</si>
  <si>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</si>
  <si>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</si>
  <si>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</si>
  <si>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</si>
  <si>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</si>
  <si>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</si>
  <si>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r>
      <rPr>
        <b/>
        <sz val="16"/>
        <rFont val="宋体"/>
        <charset val="134"/>
      </rPr>
      <t>常州市深水城北污水处理有限公司设备运行汇总报表（四）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年8月</t>
    </r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</si>
  <si>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</si>
  <si>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</si>
  <si>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</si>
  <si>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</si>
  <si>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</si>
  <si>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</si>
  <si>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</si>
  <si>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</si>
  <si>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</si>
  <si>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</si>
  <si>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</si>
  <si>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</si>
  <si>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</si>
  <si>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8月31日渗漏故障检修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</si>
  <si>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</si>
  <si>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</si>
  <si>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</si>
  <si>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</si>
  <si>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</si>
  <si>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</si>
  <si>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</si>
  <si>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浓缩机4#</t>
  </si>
  <si>
    <t>排泥泵1#</t>
  </si>
  <si>
    <t>刮泥机4#</t>
  </si>
  <si>
    <t>水下推流器13#</t>
  </si>
  <si>
    <r>
      <rPr>
        <b/>
        <sz val="16"/>
        <rFont val="宋体"/>
        <charset val="134"/>
      </rPr>
      <t>常州市深水城北污水处理有限公司设备运行汇总报表（五）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年8月</t>
    </r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</si>
  <si>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</si>
  <si>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</si>
  <si>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</si>
  <si>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</si>
  <si>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</si>
  <si>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</si>
  <si>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</si>
  <si>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</si>
  <si>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8月5日维护保养</t>
  </si>
  <si>
    <t>回流泵12#</t>
  </si>
  <si>
    <t>回流泵13#</t>
  </si>
  <si>
    <t>回流泵14#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</si>
  <si>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</si>
  <si>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</si>
  <si>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</si>
  <si>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</si>
  <si>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</si>
  <si>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</si>
  <si>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</si>
  <si>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8月16日更换链条</t>
  </si>
  <si>
    <t>新粗格栅3#</t>
  </si>
  <si>
    <t>新粗格栅4#</t>
  </si>
  <si>
    <t>粗格栅1#</t>
  </si>
  <si>
    <t>粗格栅2#</t>
  </si>
  <si>
    <t>细格栅1#</t>
  </si>
  <si>
    <t>8月10主轴开裂检修</t>
  </si>
  <si>
    <t>细格栅2#</t>
  </si>
  <si>
    <t>8月20日主轴梅花轮更换</t>
  </si>
  <si>
    <t>细格栅3#</t>
  </si>
  <si>
    <t xml:space="preserve"> </t>
  </si>
  <si>
    <t>细格栅4#</t>
  </si>
  <si>
    <t>8月4日主轴断裂，更换梅花轮</t>
  </si>
  <si>
    <t>老潜水泵1#</t>
  </si>
  <si>
    <t>老潜水泵2#</t>
  </si>
  <si>
    <r>
      <rPr>
        <b/>
        <sz val="16"/>
        <rFont val="宋体"/>
        <charset val="134"/>
      </rPr>
      <t>常州市深水城北污水处理有限公司设备运行汇总报表（六）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年8月</t>
    </r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</si>
  <si>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</si>
  <si>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</si>
  <si>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</si>
  <si>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</si>
  <si>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</si>
  <si>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</si>
  <si>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</si>
  <si>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</si>
  <si>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</si>
  <si>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</si>
  <si>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</si>
  <si>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</si>
  <si>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</si>
  <si>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</si>
  <si>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</si>
  <si>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</si>
  <si>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</si>
  <si>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</si>
  <si>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8月4日吸砂泵检修</t>
  </si>
  <si>
    <t>吸砂机2#</t>
  </si>
  <si>
    <t>鼓风机1#</t>
  </si>
  <si>
    <t>鼓风机2#</t>
  </si>
  <si>
    <t>鼓风机3#</t>
  </si>
  <si>
    <t>鼓风机4#</t>
  </si>
  <si>
    <t>鼓风机5#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</si>
  <si>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</si>
  <si>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</si>
  <si>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</si>
  <si>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</si>
  <si>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</si>
  <si>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</si>
  <si>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</si>
  <si>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</si>
  <si>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</si>
  <si>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</si>
  <si>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8月20日更换滤网</t>
  </si>
  <si>
    <t>新鼓风机8#</t>
  </si>
  <si>
    <t>离心脱水机1#</t>
  </si>
  <si>
    <t>离心脱水机2#</t>
  </si>
  <si>
    <t>8月6日主机保养，轴承加油</t>
  </si>
  <si>
    <t>离心脱水机3#</t>
  </si>
  <si>
    <t>8月12日更换进泥泵定转子</t>
  </si>
  <si>
    <r>
      <rPr>
        <b/>
        <sz val="16"/>
        <rFont val="宋体"/>
        <charset val="134"/>
      </rPr>
      <t>常州市深水城北污水处理有限公司设备运行汇总报表（七）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年8月</t>
    </r>
  </si>
  <si>
    <r>
      <rPr>
        <sz val="10"/>
        <rFont val="宋体"/>
        <charset val="134"/>
      </rPr>
      <t>深度处理</t>
    </r>
  </si>
  <si>
    <t>混凝搅拌器1#</t>
  </si>
  <si>
    <t>混凝搅拌器2#</t>
  </si>
  <si>
    <t>8月23日更换变频器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</si>
  <si>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</si>
  <si>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</si>
  <si>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</si>
  <si>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</si>
  <si>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</si>
  <si>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</si>
  <si>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</si>
  <si>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</si>
  <si>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</si>
  <si>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</si>
  <si>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</si>
  <si>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</si>
  <si>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</si>
  <si>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</si>
  <si>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</si>
  <si>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</si>
  <si>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</si>
  <si>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</si>
  <si>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</si>
  <si>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8月6日主机、电柜维护保养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</si>
  <si>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</si>
  <si>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</si>
  <si>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</si>
  <si>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</si>
  <si>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</si>
  <si>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</si>
  <si>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</si>
  <si>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</si>
  <si>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</si>
  <si>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</si>
  <si>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</si>
  <si>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</si>
  <si>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</si>
  <si>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</si>
  <si>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</si>
  <si>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</si>
  <si>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</si>
  <si>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</si>
  <si>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（2、9、16、23）日</t>
  </si>
  <si>
    <t>出水口</t>
  </si>
  <si>
    <t>正常</t>
  </si>
  <si>
    <t>标定</t>
  </si>
  <si>
    <t>（3、10、17、24）日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</si>
  <si>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</si>
  <si>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</si>
  <si>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</si>
  <si>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（4、11、18、25）日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</si>
  <si>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</si>
  <si>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</si>
  <si>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哈希SC200-LDO</t>
  </si>
  <si>
    <r>
      <rPr>
        <sz val="10"/>
        <rFont val="文鼎CS中等线"/>
        <charset val="134"/>
      </rPr>
      <t>一期好氧池</t>
    </r>
  </si>
  <si>
    <t>哈希SC200-solitax</t>
  </si>
  <si>
    <t>（5、12、19、26）日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</si>
  <si>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</si>
  <si>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</si>
  <si>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</si>
  <si>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</si>
  <si>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</si>
  <si>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16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</si>
  <si>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</si>
  <si>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</si>
  <si>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</si>
  <si>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</si>
  <si>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</si>
  <si>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</si>
  <si>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</si>
  <si>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</si>
  <si>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</si>
  <si>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</si>
  <si>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</si>
  <si>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</si>
  <si>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</si>
  <si>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二三期厌缺氧池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</si>
  <si>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2021-9-3</t>
    </r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</si>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</sst>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0_ "/>
    <numFmt numFmtId="179" formatCode="0_ "/>
    <numFmt numFmtId="180" formatCode="0.0%"/>
    <numFmt numFmtId="181" formatCode="0;_釿"/>
    <numFmt numFmtId="182" formatCode="0_);[Red]\(0\)"/>
    <numFmt numFmtId="183" formatCode="0;[Red]0"/>
    <numFmt numFmtId="184" formatCode="0.0_ "/>
    <numFmt numFmtId="185" formatCode="0.0;[Red]0.0"/>
    <numFmt numFmtId="186" formatCode="0.00;[Red]0.00"/>
    <numFmt numFmtId="187" formatCode="0.00000_ "/>
    <numFmt numFmtId="188" formatCode="0.00_);[Red]\(0.00\)"/>
    <numFmt numFmtId="189" formatCode="0;_鰀"/>
    <numFmt numFmtId="190" formatCode="0;_ﰀ"/>
    <numFmt numFmtId="191" formatCode="0.000_);[Red]\(0.000\)"/>
    <numFmt numFmtId="192" formatCode="0.00_);\(0.00\)"/>
    <numFmt numFmtId="193" formatCode="0.0_);\(0.0\)"/>
    <numFmt numFmtId="194" formatCode="0;_؀"/>
  </numFmts>
  <fonts count="50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sz val="12"/>
      <color indexed="10"/>
      <name val="宋体"/>
      <charset val="134"/>
    </font>
    <font>
      <b/>
      <sz val="16"/>
      <name val="宋体"/>
      <charset val="134"/>
    </font>
    <font>
      <b/>
      <sz val="16"/>
      <name val="Times New Roman"/>
      <charset val="0"/>
    </font>
    <font>
      <sz val="10"/>
      <color rgb="FFFF0000"/>
      <name val="文鼎CS中等线"/>
      <charset val="134"/>
    </font>
    <font>
      <sz val="11"/>
      <name val="文鼎CS中等线"/>
      <charset val="134"/>
    </font>
    <font>
      <sz val="11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4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4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name val="Times New Roman"/>
      <charset val="134"/>
    </font>
    <font>
      <b/>
      <sz val="16"/>
      <name val="Times New Roman"/>
      <charset val="134"/>
    </font>
    <font>
      <sz val="12"/>
      <name val="宋体"/>
      <charset val="0"/>
    </font>
    <font>
      <vertAlign val="subscript"/>
      <sz val="11"/>
      <name val="Times New Roman"/>
      <charset val="0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1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0" fillId="5" borderId="16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20" applyNumberFormat="0" applyAlignment="0" applyProtection="0">
      <alignment vertical="center"/>
    </xf>
    <xf numFmtId="0" fontId="34" fillId="7" borderId="21" applyNumberFormat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36" fillId="8" borderId="22" applyNumberFormat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0" borderId="0">
      <alignment vertical="center"/>
    </xf>
    <xf numFmtId="0" fontId="42" fillId="17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43" fillId="0" borderId="0">
      <alignment vertical="center"/>
    </xf>
    <xf numFmtId="0" fontId="42" fillId="17" borderId="0" applyNumberFormat="0" applyBorder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0" fillId="0" borderId="0">
      <alignment vertical="center"/>
    </xf>
    <xf numFmtId="0" fontId="43" fillId="10" borderId="0" applyNumberFormat="0" applyBorder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36" fillId="8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7" borderId="21" applyNumberForma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0" applyNumberFormat="0" applyBorder="0" applyAlignment="0" applyProtection="0">
      <alignment vertical="center"/>
    </xf>
    <xf numFmtId="0" fontId="34" fillId="7" borderId="21" applyNumberFormat="0" applyAlignment="0" applyProtection="0">
      <alignment vertical="center"/>
    </xf>
    <xf numFmtId="0" fontId="43" fillId="0" borderId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21" borderId="0" applyNumberFormat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6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9" borderId="0" applyNumberFormat="0" applyBorder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36" fillId="8" borderId="22" applyNumberFormat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36" fillId="8" borderId="22" applyNumberFormat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36" fillId="8" borderId="22" applyNumberFormat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36" fillId="8" borderId="22" applyNumberFormat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0" fillId="0" borderId="0"/>
    <xf numFmtId="0" fontId="43" fillId="21" borderId="0" applyNumberFormat="0" applyBorder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>
      <alignment vertical="top"/>
      <protection locked="0"/>
    </xf>
    <xf numFmtId="0" fontId="43" fillId="14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36" fillId="8" borderId="22" applyNumberFormat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/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15" borderId="0">
      <alignment vertical="top"/>
      <protection locked="0"/>
    </xf>
    <xf numFmtId="0" fontId="42" fillId="12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0" borderId="0">
      <alignment vertical="center"/>
    </xf>
    <xf numFmtId="0" fontId="42" fillId="1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0" borderId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3" fillId="6" borderId="20" applyNumberFormat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36" fillId="8" borderId="22" applyNumberFormat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9" fontId="43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43" fillId="0" borderId="0" applyFont="0" applyFill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43" fillId="0" borderId="0">
      <alignment vertical="center"/>
    </xf>
    <xf numFmtId="0" fontId="0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43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6" fillId="8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0" fillId="0" borderId="0"/>
    <xf numFmtId="0" fontId="28" fillId="0" borderId="0" applyNumberFormat="0" applyFill="0" applyBorder="0" applyAlignment="0" applyProtection="0">
      <alignment vertical="center"/>
    </xf>
    <xf numFmtId="0" fontId="33" fillId="6" borderId="20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/>
    <xf numFmtId="0" fontId="40" fillId="1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10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0" fillId="5" borderId="16" applyNumberFormat="0" applyFont="0" applyAlignment="0" applyProtection="0">
      <alignment vertical="center"/>
    </xf>
    <xf numFmtId="0" fontId="0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42" fillId="18" borderId="0" applyNumberFormat="0" applyBorder="0" applyAlignment="0" applyProtection="0">
      <alignment vertical="center"/>
    </xf>
    <xf numFmtId="0" fontId="0" fillId="0" borderId="0"/>
    <xf numFmtId="0" fontId="42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0" borderId="24" applyNumberFormat="0" applyFill="0" applyAlignment="0" applyProtection="0">
      <alignment vertical="center"/>
    </xf>
    <xf numFmtId="0" fontId="0" fillId="0" borderId="0"/>
    <xf numFmtId="0" fontId="43" fillId="0" borderId="0">
      <alignment vertical="center"/>
    </xf>
    <xf numFmtId="0" fontId="43" fillId="0" borderId="0">
      <alignment vertical="center"/>
    </xf>
    <xf numFmtId="0" fontId="0" fillId="0" borderId="0">
      <alignment vertical="center"/>
    </xf>
    <xf numFmtId="0" fontId="42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3" fillId="6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3" fillId="6" borderId="20" applyNumberFormat="0" applyAlignment="0" applyProtection="0">
      <alignment vertical="center"/>
    </xf>
    <xf numFmtId="0" fontId="0" fillId="0" borderId="0"/>
    <xf numFmtId="0" fontId="33" fillId="6" borderId="20" applyNumberFormat="0" applyAlignment="0" applyProtection="0">
      <alignment vertical="center"/>
    </xf>
    <xf numFmtId="0" fontId="0" fillId="0" borderId="0"/>
    <xf numFmtId="0" fontId="0" fillId="0" borderId="0"/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36" fillId="8" borderId="22" applyNumberFormat="0" applyAlignment="0" applyProtection="0">
      <alignment vertical="center"/>
    </xf>
    <xf numFmtId="0" fontId="36" fillId="8" borderId="22" applyNumberFormat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6" fillId="8" borderId="22" applyNumberFormat="0" applyAlignment="0" applyProtection="0">
      <alignment vertical="center"/>
    </xf>
    <xf numFmtId="0" fontId="36" fillId="8" borderId="22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34" fillId="7" borderId="21" applyNumberFormat="0" applyAlignment="0" applyProtection="0">
      <alignment vertical="center"/>
    </xf>
    <xf numFmtId="0" fontId="34" fillId="7" borderId="21" applyNumberFormat="0" applyAlignment="0" applyProtection="0">
      <alignment vertical="center"/>
    </xf>
    <xf numFmtId="0" fontId="34" fillId="7" borderId="21" applyNumberFormat="0" applyAlignment="0" applyProtection="0">
      <alignment vertical="center"/>
    </xf>
    <xf numFmtId="0" fontId="34" fillId="7" borderId="21" applyNumberFormat="0" applyAlignment="0" applyProtection="0">
      <alignment vertical="center"/>
    </xf>
    <xf numFmtId="0" fontId="34" fillId="7" borderId="21" applyNumberFormat="0" applyAlignment="0" applyProtection="0">
      <alignment vertical="center"/>
    </xf>
    <xf numFmtId="0" fontId="34" fillId="7" borderId="21" applyNumberFormat="0" applyAlignment="0" applyProtection="0">
      <alignment vertical="center"/>
    </xf>
    <xf numFmtId="0" fontId="34" fillId="7" borderId="21" applyNumberFormat="0" applyAlignment="0" applyProtection="0">
      <alignment vertical="center"/>
    </xf>
    <xf numFmtId="0" fontId="34" fillId="7" borderId="21" applyNumberFormat="0" applyAlignment="0" applyProtection="0">
      <alignment vertical="center"/>
    </xf>
    <xf numFmtId="0" fontId="34" fillId="7" borderId="21" applyNumberFormat="0" applyAlignment="0" applyProtection="0">
      <alignment vertical="center"/>
    </xf>
    <xf numFmtId="0" fontId="34" fillId="7" borderId="21" applyNumberFormat="0" applyAlignment="0" applyProtection="0">
      <alignment vertical="center"/>
    </xf>
    <xf numFmtId="0" fontId="33" fillId="6" borderId="20" applyNumberFormat="0" applyAlignment="0" applyProtection="0">
      <alignment vertical="center"/>
    </xf>
    <xf numFmtId="0" fontId="33" fillId="6" borderId="20" applyNumberFormat="0" applyAlignment="0" applyProtection="0">
      <alignment vertical="center"/>
    </xf>
    <xf numFmtId="0" fontId="33" fillId="6" borderId="20" applyNumberFormat="0" applyAlignment="0" applyProtection="0">
      <alignment vertical="center"/>
    </xf>
    <xf numFmtId="0" fontId="33" fillId="6" borderId="20" applyNumberFormat="0" applyAlignment="0" applyProtection="0">
      <alignment vertical="center"/>
    </xf>
    <xf numFmtId="0" fontId="33" fillId="6" borderId="20" applyNumberFormat="0" applyAlignment="0" applyProtection="0">
      <alignment vertical="center"/>
    </xf>
    <xf numFmtId="0" fontId="33" fillId="6" borderId="20" applyNumberFormat="0" applyAlignment="0" applyProtection="0">
      <alignment vertical="center"/>
    </xf>
    <xf numFmtId="0" fontId="33" fillId="6" borderId="20" applyNumberFormat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6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1" fillId="2" borderId="0" xfId="0" applyFont="1" applyFill="1" applyBorder="1" applyAlignment="1"/>
    <xf numFmtId="0" fontId="0" fillId="0" borderId="0" xfId="0" applyAlignment="1">
      <alignment horizontal="center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7" fillId="0" borderId="6" xfId="566" applyFont="1" applyBorder="1" applyAlignment="1">
      <alignment horizontal="center"/>
    </xf>
    <xf numFmtId="0" fontId="7" fillId="0" borderId="6" xfId="482" applyFont="1" applyBorder="1" applyAlignment="1"/>
    <xf numFmtId="0" fontId="7" fillId="0" borderId="6" xfId="482" applyFont="1" applyBorder="1" applyAlignment="1">
      <alignment horizontal="center"/>
    </xf>
    <xf numFmtId="180" fontId="7" fillId="0" borderId="6" xfId="482" applyNumberFormat="1" applyFont="1" applyBorder="1" applyAlignment="1">
      <alignment horizontal="center"/>
    </xf>
    <xf numFmtId="0" fontId="7" fillId="0" borderId="1" xfId="482" applyFont="1" applyBorder="1" applyAlignment="1"/>
    <xf numFmtId="0" fontId="7" fillId="0" borderId="1" xfId="482" applyFont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7" fillId="0" borderId="6" xfId="485" applyFont="1" applyBorder="1" applyAlignment="1"/>
    <xf numFmtId="0" fontId="7" fillId="0" borderId="6" xfId="485" applyFont="1" applyBorder="1" applyAlignment="1">
      <alignment horizontal="center"/>
    </xf>
    <xf numFmtId="180" fontId="7" fillId="0" borderId="6" xfId="485" applyNumberFormat="1" applyFont="1" applyBorder="1" applyAlignment="1">
      <alignment horizontal="center"/>
    </xf>
    <xf numFmtId="0" fontId="7" fillId="0" borderId="1" xfId="485" applyFont="1" applyBorder="1" applyAlignment="1"/>
    <xf numFmtId="0" fontId="7" fillId="0" borderId="1" xfId="485" applyFont="1" applyBorder="1" applyAlignment="1">
      <alignment horizontal="center"/>
    </xf>
    <xf numFmtId="0" fontId="7" fillId="0" borderId="1" xfId="485" applyFont="1" applyFill="1" applyBorder="1" applyAlignment="1">
      <alignment horizontal="center"/>
    </xf>
    <xf numFmtId="0" fontId="7" fillId="0" borderId="6" xfId="485" applyFont="1" applyFill="1" applyBorder="1" applyAlignment="1">
      <alignment horizontal="center"/>
    </xf>
    <xf numFmtId="0" fontId="7" fillId="0" borderId="7" xfId="485" applyFont="1" applyBorder="1" applyAlignment="1">
      <alignment horizontal="center"/>
    </xf>
    <xf numFmtId="0" fontId="7" fillId="0" borderId="8" xfId="566" applyFont="1" applyBorder="1" applyAlignment="1"/>
    <xf numFmtId="0" fontId="7" fillId="0" borderId="0" xfId="566" applyFont="1" applyBorder="1" applyAlignment="1"/>
    <xf numFmtId="0" fontId="7" fillId="0" borderId="0" xfId="0" applyFont="1" applyBorder="1" applyAlignment="1">
      <alignment horizontal="center"/>
    </xf>
    <xf numFmtId="0" fontId="7" fillId="0" borderId="0" xfId="0" applyFont="1" applyBorder="1" applyAlignment="1"/>
    <xf numFmtId="0" fontId="7" fillId="0" borderId="6" xfId="0" applyFont="1" applyBorder="1" applyAlignment="1">
      <alignment horizontal="center"/>
    </xf>
    <xf numFmtId="0" fontId="7" fillId="0" borderId="5" xfId="0" applyFont="1" applyBorder="1" applyAlignment="1"/>
    <xf numFmtId="0" fontId="7" fillId="0" borderId="5" xfId="0" applyFont="1" applyBorder="1" applyAlignment="1">
      <alignment horizontal="center"/>
    </xf>
    <xf numFmtId="0" fontId="7" fillId="0" borderId="1" xfId="566" applyFont="1" applyBorder="1" applyAlignment="1">
      <alignment horizontal="center"/>
    </xf>
    <xf numFmtId="0" fontId="7" fillId="0" borderId="1" xfId="488" applyFont="1" applyFill="1" applyBorder="1" applyAlignment="1"/>
    <xf numFmtId="0" fontId="7" fillId="0" borderId="1" xfId="488" applyFont="1" applyFill="1" applyBorder="1" applyAlignment="1">
      <alignment horizontal="center"/>
    </xf>
    <xf numFmtId="0" fontId="7" fillId="0" borderId="6" xfId="488" applyFont="1" applyFill="1" applyBorder="1" applyAlignment="1">
      <alignment horizontal="center"/>
    </xf>
    <xf numFmtId="180" fontId="7" fillId="0" borderId="6" xfId="488" applyNumberFormat="1" applyFont="1" applyFill="1" applyBorder="1" applyAlignment="1">
      <alignment horizontal="center"/>
    </xf>
    <xf numFmtId="0" fontId="7" fillId="0" borderId="9" xfId="488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vertical="center"/>
    </xf>
    <xf numFmtId="0" fontId="7" fillId="0" borderId="1" xfId="482" applyFont="1" applyBorder="1" applyAlignment="1">
      <alignment horizontal="center" vertical="center" wrapText="1"/>
    </xf>
    <xf numFmtId="0" fontId="7" fillId="0" borderId="1" xfId="485" applyFont="1" applyBorder="1" applyAlignment="1">
      <alignment horizontal="center" vertical="center"/>
    </xf>
    <xf numFmtId="0" fontId="7" fillId="0" borderId="9" xfId="485" applyFont="1" applyBorder="1" applyAlignment="1">
      <alignment horizontal="center" vertical="center"/>
    </xf>
    <xf numFmtId="0" fontId="7" fillId="0" borderId="9" xfId="485" applyFont="1" applyBorder="1" applyAlignment="1">
      <alignment horizontal="center"/>
    </xf>
    <xf numFmtId="0" fontId="7" fillId="0" borderId="11" xfId="485" applyFont="1" applyBorder="1" applyAlignment="1">
      <alignment horizontal="center"/>
    </xf>
    <xf numFmtId="0" fontId="7" fillId="0" borderId="10" xfId="485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10" xfId="566" applyFont="1" applyBorder="1" applyAlignment="1"/>
    <xf numFmtId="0" fontId="7" fillId="0" borderId="1" xfId="49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7" fillId="0" borderId="12" xfId="566" applyFont="1" applyBorder="1" applyAlignment="1">
      <alignment horizontal="center"/>
    </xf>
    <xf numFmtId="0" fontId="7" fillId="0" borderId="1" xfId="490" applyFont="1" applyFill="1" applyBorder="1" applyAlignment="1"/>
    <xf numFmtId="0" fontId="7" fillId="0" borderId="6" xfId="490" applyFont="1" applyFill="1" applyBorder="1" applyAlignment="1">
      <alignment horizontal="center"/>
    </xf>
    <xf numFmtId="180" fontId="7" fillId="0" borderId="9" xfId="490" applyNumberFormat="1" applyFont="1" applyFill="1" applyBorder="1" applyAlignment="1">
      <alignment horizontal="center"/>
    </xf>
    <xf numFmtId="0" fontId="7" fillId="0" borderId="4" xfId="566" applyFont="1" applyBorder="1" applyAlignment="1">
      <alignment horizontal="center"/>
    </xf>
    <xf numFmtId="0" fontId="7" fillId="0" borderId="5" xfId="566" applyFont="1" applyBorder="1" applyAlignment="1"/>
    <xf numFmtId="0" fontId="7" fillId="0" borderId="5" xfId="566" applyFont="1" applyBorder="1" applyAlignment="1">
      <alignment horizontal="center"/>
    </xf>
    <xf numFmtId="0" fontId="7" fillId="0" borderId="1" xfId="216" applyFont="1" applyFill="1" applyBorder="1" applyAlignment="1"/>
    <xf numFmtId="0" fontId="7" fillId="0" borderId="6" xfId="216" applyFont="1" applyFill="1" applyBorder="1" applyAlignment="1">
      <alignment horizontal="center"/>
    </xf>
    <xf numFmtId="0" fontId="7" fillId="0" borderId="1" xfId="216" applyFont="1" applyFill="1" applyBorder="1" applyAlignment="1">
      <alignment horizontal="center"/>
    </xf>
    <xf numFmtId="180" fontId="7" fillId="0" borderId="9" xfId="216" applyNumberFormat="1" applyFont="1" applyFill="1" applyBorder="1" applyAlignment="1">
      <alignment horizontal="center"/>
    </xf>
    <xf numFmtId="180" fontId="7" fillId="0" borderId="1" xfId="216" applyNumberFormat="1" applyFont="1" applyFill="1" applyBorder="1" applyAlignment="1">
      <alignment horizontal="center"/>
    </xf>
    <xf numFmtId="0" fontId="7" fillId="0" borderId="1" xfId="483" applyFont="1" applyFill="1" applyBorder="1" applyAlignment="1"/>
    <xf numFmtId="0" fontId="7" fillId="0" borderId="6" xfId="473" applyFont="1" applyBorder="1" applyAlignment="1">
      <alignment horizontal="center" vertical="center"/>
    </xf>
    <xf numFmtId="0" fontId="7" fillId="0" borderId="9" xfId="473" applyFont="1" applyBorder="1" applyAlignment="1">
      <alignment horizontal="center" vertical="center"/>
    </xf>
    <xf numFmtId="180" fontId="7" fillId="0" borderId="1" xfId="473" applyNumberFormat="1" applyFont="1" applyBorder="1" applyAlignment="1">
      <alignment horizontal="center" vertical="center"/>
    </xf>
    <xf numFmtId="0" fontId="7" fillId="0" borderId="1" xfId="473" applyFont="1" applyBorder="1" applyAlignment="1">
      <alignment horizontal="center" vertical="center"/>
    </xf>
    <xf numFmtId="0" fontId="7" fillId="0" borderId="1" xfId="486" applyFont="1" applyFill="1" applyBorder="1" applyAlignment="1"/>
    <xf numFmtId="0" fontId="7" fillId="0" borderId="1" xfId="487" applyFont="1" applyBorder="1" applyAlignment="1"/>
    <xf numFmtId="0" fontId="7" fillId="0" borderId="6" xfId="487" applyFont="1" applyBorder="1" applyAlignment="1">
      <alignment horizontal="center"/>
    </xf>
    <xf numFmtId="180" fontId="7" fillId="0" borderId="1" xfId="487" applyNumberFormat="1" applyFont="1" applyBorder="1" applyAlignment="1">
      <alignment horizontal="center"/>
    </xf>
    <xf numFmtId="0" fontId="0" fillId="0" borderId="1" xfId="487" applyFont="1" applyBorder="1" applyAlignment="1">
      <alignment horizontal="center"/>
    </xf>
    <xf numFmtId="0" fontId="7" fillId="0" borderId="9" xfId="490" applyFont="1" applyFill="1" applyBorder="1" applyAlignment="1">
      <alignment horizontal="center"/>
    </xf>
    <xf numFmtId="0" fontId="7" fillId="0" borderId="5" xfId="566" applyFont="1" applyBorder="1" applyAlignment="1">
      <alignment horizontal="center" vertical="center"/>
    </xf>
    <xf numFmtId="0" fontId="7" fillId="0" borderId="9" xfId="216" applyFont="1" applyFill="1" applyBorder="1" applyAlignment="1">
      <alignment horizontal="center"/>
    </xf>
    <xf numFmtId="0" fontId="7" fillId="0" borderId="1" xfId="483" applyFont="1" applyFill="1" applyBorder="1" applyAlignment="1">
      <alignment horizontal="center"/>
    </xf>
    <xf numFmtId="0" fontId="7" fillId="0" borderId="1" xfId="486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7" fillId="0" borderId="9" xfId="486" applyFont="1" applyFill="1" applyBorder="1" applyAlignment="1">
      <alignment horizontal="center"/>
    </xf>
    <xf numFmtId="0" fontId="7" fillId="0" borderId="6" xfId="486" applyFont="1" applyFill="1" applyBorder="1" applyAlignment="1">
      <alignment horizontal="center"/>
    </xf>
    <xf numFmtId="0" fontId="7" fillId="0" borderId="1" xfId="486" applyFont="1" applyFill="1" applyBorder="1" applyAlignment="1">
      <alignment horizontal="center" vertical="center" wrapText="1"/>
    </xf>
    <xf numFmtId="0" fontId="7" fillId="0" borderId="7" xfId="486" applyFont="1" applyFill="1" applyBorder="1" applyAlignment="1">
      <alignment horizontal="center"/>
    </xf>
    <xf numFmtId="0" fontId="7" fillId="0" borderId="10" xfId="566" applyFont="1" applyBorder="1" applyAlignment="1">
      <alignment horizontal="center"/>
    </xf>
    <xf numFmtId="0" fontId="7" fillId="0" borderId="1" xfId="487" applyFont="1" applyBorder="1" applyAlignment="1">
      <alignment horizontal="center"/>
    </xf>
    <xf numFmtId="0" fontId="7" fillId="0" borderId="1" xfId="621" applyFont="1" applyBorder="1" applyAlignment="1">
      <alignment horizontal="center" vertical="center"/>
    </xf>
    <xf numFmtId="0" fontId="7" fillId="0" borderId="1" xfId="489" applyFont="1" applyBorder="1" applyAlignment="1"/>
    <xf numFmtId="0" fontId="7" fillId="0" borderId="6" xfId="489" applyFont="1" applyBorder="1" applyAlignment="1">
      <alignment horizontal="center"/>
    </xf>
    <xf numFmtId="0" fontId="0" fillId="0" borderId="6" xfId="489" applyFont="1" applyBorder="1" applyAlignment="1">
      <alignment horizontal="center"/>
    </xf>
    <xf numFmtId="180" fontId="7" fillId="0" borderId="6" xfId="489" applyNumberFormat="1" applyFont="1" applyBorder="1" applyAlignment="1">
      <alignment horizontal="center"/>
    </xf>
    <xf numFmtId="0" fontId="0" fillId="0" borderId="1" xfId="489" applyFont="1" applyBorder="1" applyAlignment="1">
      <alignment horizontal="center"/>
    </xf>
    <xf numFmtId="0" fontId="7" fillId="0" borderId="1" xfId="626" applyFont="1" applyBorder="1" applyAlignment="1"/>
    <xf numFmtId="0" fontId="7" fillId="0" borderId="6" xfId="626" applyFont="1" applyBorder="1" applyAlignment="1">
      <alignment horizontal="center"/>
    </xf>
    <xf numFmtId="0" fontId="0" fillId="0" borderId="1" xfId="626" applyFont="1" applyBorder="1" applyAlignment="1">
      <alignment horizontal="center"/>
    </xf>
    <xf numFmtId="180" fontId="7" fillId="0" borderId="6" xfId="626" applyNumberFormat="1" applyFont="1" applyBorder="1" applyAlignment="1">
      <alignment horizontal="center"/>
    </xf>
    <xf numFmtId="180" fontId="6" fillId="0" borderId="5" xfId="0" applyNumberFormat="1" applyFont="1" applyFill="1" applyBorder="1" applyAlignment="1">
      <alignment horizontal="center" vertical="center"/>
    </xf>
    <xf numFmtId="0" fontId="7" fillId="0" borderId="1" xfId="480" applyFont="1" applyFill="1" applyBorder="1" applyAlignment="1"/>
    <xf numFmtId="0" fontId="7" fillId="0" borderId="6" xfId="625" applyFont="1" applyBorder="1" applyAlignment="1">
      <alignment horizontal="center"/>
    </xf>
    <xf numFmtId="0" fontId="7" fillId="0" borderId="1" xfId="625" applyFont="1" applyBorder="1" applyAlignment="1">
      <alignment horizontal="center"/>
    </xf>
    <xf numFmtId="0" fontId="7" fillId="0" borderId="5" xfId="625" applyFont="1" applyBorder="1" applyAlignment="1">
      <alignment horizontal="center"/>
    </xf>
    <xf numFmtId="180" fontId="7" fillId="0" borderId="6" xfId="625" applyNumberFormat="1" applyFont="1" applyBorder="1" applyAlignment="1">
      <alignment horizontal="center"/>
    </xf>
    <xf numFmtId="0" fontId="7" fillId="0" borderId="1" xfId="74" applyFont="1" applyBorder="1" applyAlignment="1">
      <alignment horizontal="left" vertical="center"/>
    </xf>
    <xf numFmtId="0" fontId="7" fillId="0" borderId="6" xfId="628" applyFont="1" applyBorder="1" applyAlignment="1">
      <alignment horizontal="center"/>
    </xf>
    <xf numFmtId="0" fontId="7" fillId="0" borderId="1" xfId="628" applyFont="1" applyBorder="1" applyAlignment="1">
      <alignment horizontal="center"/>
    </xf>
    <xf numFmtId="0" fontId="0" fillId="0" borderId="10" xfId="628" applyFont="1" applyBorder="1" applyAlignment="1">
      <alignment horizontal="center"/>
    </xf>
    <xf numFmtId="180" fontId="7" fillId="0" borderId="6" xfId="628" applyNumberFormat="1" applyFont="1" applyBorder="1" applyAlignment="1">
      <alignment horizontal="center"/>
    </xf>
    <xf numFmtId="0" fontId="0" fillId="0" borderId="1" xfId="628" applyFont="1" applyBorder="1" applyAlignment="1">
      <alignment horizontal="center"/>
    </xf>
    <xf numFmtId="180" fontId="7" fillId="0" borderId="1" xfId="628" applyNumberFormat="1" applyFont="1" applyBorder="1" applyAlignment="1">
      <alignment horizontal="center"/>
    </xf>
    <xf numFmtId="181" fontId="7" fillId="0" borderId="6" xfId="628" applyNumberFormat="1" applyFont="1" applyBorder="1" applyAlignment="1">
      <alignment horizontal="center"/>
    </xf>
    <xf numFmtId="0" fontId="7" fillId="0" borderId="6" xfId="74" applyFont="1" applyBorder="1" applyAlignment="1">
      <alignment horizontal="left" vertical="center"/>
    </xf>
    <xf numFmtId="0" fontId="0" fillId="0" borderId="6" xfId="628" applyFont="1" applyBorder="1" applyAlignment="1">
      <alignment horizontal="center"/>
    </xf>
    <xf numFmtId="0" fontId="7" fillId="0" borderId="1" xfId="622" applyFont="1" applyBorder="1" applyAlignment="1">
      <alignment horizontal="left" vertical="center"/>
    </xf>
    <xf numFmtId="0" fontId="7" fillId="0" borderId="6" xfId="630" applyFont="1" applyBorder="1" applyAlignment="1">
      <alignment horizontal="center"/>
    </xf>
    <xf numFmtId="181" fontId="7" fillId="0" borderId="6" xfId="630" applyNumberFormat="1" applyFont="1" applyBorder="1" applyAlignment="1">
      <alignment horizontal="center"/>
    </xf>
    <xf numFmtId="0" fontId="0" fillId="0" borderId="1" xfId="630" applyFont="1" applyBorder="1" applyAlignment="1">
      <alignment horizontal="center"/>
    </xf>
    <xf numFmtId="180" fontId="7" fillId="0" borderId="1" xfId="630" applyNumberFormat="1" applyFont="1" applyBorder="1" applyAlignment="1">
      <alignment horizontal="center"/>
    </xf>
    <xf numFmtId="0" fontId="7" fillId="0" borderId="6" xfId="623" applyFont="1" applyBorder="1" applyAlignment="1">
      <alignment horizontal="left" vertical="center"/>
    </xf>
    <xf numFmtId="0" fontId="7" fillId="0" borderId="6" xfId="250" applyFont="1" applyBorder="1" applyAlignment="1">
      <alignment horizontal="center"/>
    </xf>
    <xf numFmtId="0" fontId="0" fillId="0" borderId="1" xfId="250" applyFont="1" applyBorder="1" applyAlignment="1">
      <alignment horizontal="center"/>
    </xf>
    <xf numFmtId="180" fontId="7" fillId="0" borderId="1" xfId="250" applyNumberFormat="1" applyFont="1" applyBorder="1" applyAlignment="1">
      <alignment horizontal="center"/>
    </xf>
    <xf numFmtId="0" fontId="7" fillId="0" borderId="1" xfId="623" applyFont="1" applyBorder="1" applyAlignment="1">
      <alignment horizontal="left" vertical="center"/>
    </xf>
    <xf numFmtId="0" fontId="0" fillId="0" borderId="1" xfId="0" applyFont="1" applyBorder="1" applyAlignment="1">
      <alignment horizontal="center"/>
    </xf>
    <xf numFmtId="180" fontId="7" fillId="0" borderId="1" xfId="0" applyNumberFormat="1" applyFont="1" applyBorder="1" applyAlignment="1">
      <alignment horizontal="center"/>
    </xf>
    <xf numFmtId="0" fontId="7" fillId="0" borderId="6" xfId="627" applyFont="1" applyBorder="1" applyAlignment="1">
      <alignment horizontal="center"/>
    </xf>
    <xf numFmtId="0" fontId="0" fillId="0" borderId="1" xfId="627" applyFont="1" applyBorder="1" applyAlignment="1">
      <alignment horizontal="center"/>
    </xf>
    <xf numFmtId="180" fontId="7" fillId="0" borderId="1" xfId="627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6" xfId="627" applyFont="1" applyFill="1" applyBorder="1" applyAlignment="1">
      <alignment horizontal="center"/>
    </xf>
    <xf numFmtId="0" fontId="7" fillId="0" borderId="1" xfId="413" applyFont="1" applyFill="1" applyBorder="1" applyAlignment="1">
      <alignment horizontal="left" vertical="center"/>
    </xf>
    <xf numFmtId="0" fontId="7" fillId="0" borderId="6" xfId="624" applyFont="1" applyBorder="1" applyAlignment="1">
      <alignment horizontal="center"/>
    </xf>
    <xf numFmtId="0" fontId="7" fillId="0" borderId="6" xfId="624" applyFont="1" applyFill="1" applyBorder="1" applyAlignment="1">
      <alignment horizontal="center"/>
    </xf>
    <xf numFmtId="0" fontId="0" fillId="0" borderId="1" xfId="624" applyFont="1" applyBorder="1" applyAlignment="1">
      <alignment horizontal="center"/>
    </xf>
    <xf numFmtId="180" fontId="7" fillId="0" borderId="1" xfId="624" applyNumberFormat="1" applyFont="1" applyBorder="1" applyAlignment="1">
      <alignment horizontal="center"/>
    </xf>
    <xf numFmtId="0" fontId="7" fillId="0" borderId="9" xfId="489" applyFont="1" applyBorder="1" applyAlignment="1">
      <alignment horizontal="center"/>
    </xf>
    <xf numFmtId="0" fontId="7" fillId="0" borderId="11" xfId="489" applyFont="1" applyBorder="1" applyAlignment="1">
      <alignment horizontal="center"/>
    </xf>
    <xf numFmtId="0" fontId="7" fillId="0" borderId="1" xfId="626" applyFont="1" applyBorder="1" applyAlignment="1">
      <alignment horizontal="center"/>
    </xf>
    <xf numFmtId="0" fontId="7" fillId="0" borderId="10" xfId="489" applyFont="1" applyBorder="1" applyAlignment="1">
      <alignment horizontal="center"/>
    </xf>
    <xf numFmtId="0" fontId="9" fillId="0" borderId="1" xfId="489" applyFont="1" applyBorder="1" applyAlignment="1">
      <alignment horizontal="center" vertical="center"/>
    </xf>
    <xf numFmtId="0" fontId="7" fillId="0" borderId="7" xfId="489" applyFont="1" applyBorder="1" applyAlignment="1">
      <alignment horizontal="center"/>
    </xf>
    <xf numFmtId="0" fontId="0" fillId="0" borderId="1" xfId="489" applyFont="1" applyBorder="1" applyAlignment="1">
      <alignment horizontal="center" vertical="center"/>
    </xf>
    <xf numFmtId="0" fontId="7" fillId="0" borderId="9" xfId="626" applyFont="1" applyBorder="1" applyAlignment="1">
      <alignment horizontal="center"/>
    </xf>
    <xf numFmtId="0" fontId="7" fillId="0" borderId="1" xfId="626" applyFont="1" applyBorder="1" applyAlignment="1">
      <alignment horizontal="center" vertical="center" wrapText="1"/>
    </xf>
    <xf numFmtId="0" fontId="7" fillId="0" borderId="9" xfId="250" applyFont="1" applyBorder="1" applyAlignment="1">
      <alignment horizontal="center"/>
    </xf>
    <xf numFmtId="0" fontId="7" fillId="0" borderId="10" xfId="626" applyFont="1" applyBorder="1" applyAlignment="1">
      <alignment horizontal="center"/>
    </xf>
    <xf numFmtId="0" fontId="6" fillId="0" borderId="10" xfId="0" applyFont="1" applyFill="1" applyBorder="1" applyAlignment="1">
      <alignment horizontal="center" vertical="center"/>
    </xf>
    <xf numFmtId="0" fontId="7" fillId="0" borderId="9" xfId="625" applyFont="1" applyBorder="1" applyAlignment="1">
      <alignment horizontal="center"/>
    </xf>
    <xf numFmtId="0" fontId="7" fillId="0" borderId="1" xfId="625" applyFont="1" applyBorder="1" applyAlignment="1">
      <alignment horizontal="center" vertical="center"/>
    </xf>
    <xf numFmtId="0" fontId="7" fillId="0" borderId="9" xfId="628" applyFont="1" applyBorder="1" applyAlignment="1">
      <alignment horizontal="center"/>
    </xf>
    <xf numFmtId="0" fontId="0" fillId="0" borderId="0" xfId="0" applyFont="1" applyFill="1" applyBorder="1" applyAlignment="1"/>
    <xf numFmtId="0" fontId="7" fillId="0" borderId="1" xfId="630" applyFont="1" applyBorder="1" applyAlignment="1">
      <alignment horizontal="center"/>
    </xf>
    <xf numFmtId="0" fontId="7" fillId="0" borderId="1" xfId="25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9" fillId="0" borderId="9" xfId="250" applyFont="1" applyBorder="1" applyAlignment="1">
      <alignment horizontal="center"/>
    </xf>
    <xf numFmtId="0" fontId="7" fillId="0" borderId="1" xfId="627" applyFont="1" applyBorder="1" applyAlignment="1">
      <alignment horizontal="center"/>
    </xf>
    <xf numFmtId="0" fontId="9" fillId="0" borderId="1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14" fillId="0" borderId="1" xfId="627" applyFont="1" applyBorder="1" applyAlignment="1">
      <alignment horizontal="center"/>
    </xf>
    <xf numFmtId="0" fontId="7" fillId="0" borderId="1" xfId="627" applyNumberFormat="1" applyFont="1" applyBorder="1" applyAlignment="1">
      <alignment horizontal="center"/>
    </xf>
    <xf numFmtId="0" fontId="7" fillId="0" borderId="1" xfId="624" applyFont="1" applyBorder="1" applyAlignment="1">
      <alignment horizontal="center"/>
    </xf>
    <xf numFmtId="0" fontId="9" fillId="0" borderId="1" xfId="624" applyFont="1" applyBorder="1" applyAlignment="1">
      <alignment horizontal="center"/>
    </xf>
    <xf numFmtId="0" fontId="7" fillId="0" borderId="1" xfId="624" applyFont="1" applyFill="1" applyBorder="1" applyAlignment="1">
      <alignment horizontal="center"/>
    </xf>
    <xf numFmtId="0" fontId="7" fillId="0" borderId="1" xfId="503" applyFont="1" applyFill="1" applyBorder="1" applyAlignment="1"/>
    <xf numFmtId="0" fontId="7" fillId="0" borderId="1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80" fontId="7" fillId="0" borderId="10" xfId="0" applyNumberFormat="1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180" fontId="7" fillId="0" borderId="7" xfId="0" applyNumberFormat="1" applyFont="1" applyBorder="1" applyAlignment="1">
      <alignment horizontal="center"/>
    </xf>
    <xf numFmtId="0" fontId="7" fillId="0" borderId="6" xfId="629" applyFont="1" applyBorder="1" applyAlignment="1">
      <alignment horizontal="center"/>
    </xf>
    <xf numFmtId="0" fontId="7" fillId="0" borderId="1" xfId="629" applyFont="1" applyBorder="1" applyAlignment="1">
      <alignment horizontal="center"/>
    </xf>
    <xf numFmtId="0" fontId="0" fillId="0" borderId="1" xfId="629" applyFont="1" applyBorder="1" applyAlignment="1">
      <alignment horizontal="center"/>
    </xf>
    <xf numFmtId="180" fontId="7" fillId="0" borderId="1" xfId="629" applyNumberFormat="1" applyFont="1" applyBorder="1" applyAlignment="1">
      <alignment horizontal="center"/>
    </xf>
    <xf numFmtId="0" fontId="7" fillId="0" borderId="1" xfId="629" applyFont="1" applyFill="1" applyBorder="1" applyAlignment="1">
      <alignment horizontal="center"/>
    </xf>
    <xf numFmtId="0" fontId="0" fillId="0" borderId="1" xfId="629" applyFont="1" applyFill="1" applyBorder="1" applyAlignment="1">
      <alignment horizontal="center"/>
    </xf>
    <xf numFmtId="0" fontId="7" fillId="0" borderId="1" xfId="629" applyFont="1" applyBorder="1" applyAlignment="1">
      <alignment horizontal="center" vertical="center" wrapText="1"/>
    </xf>
    <xf numFmtId="0" fontId="9" fillId="0" borderId="1" xfId="629" applyFont="1" applyFill="1" applyBorder="1" applyAlignment="1">
      <alignment horizontal="center"/>
    </xf>
    <xf numFmtId="58" fontId="9" fillId="0" borderId="1" xfId="629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82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57" fontId="2" fillId="0" borderId="2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83" fontId="9" fillId="3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4" fontId="6" fillId="0" borderId="1" xfId="0" applyNumberFormat="1" applyFont="1" applyBorder="1" applyAlignment="1">
      <alignment horizontal="center" vertical="center"/>
    </xf>
    <xf numFmtId="184" fontId="6" fillId="0" borderId="10" xfId="0" applyNumberFormat="1" applyFont="1" applyBorder="1" applyAlignment="1">
      <alignment horizontal="center" vertical="center"/>
    </xf>
    <xf numFmtId="183" fontId="6" fillId="0" borderId="1" xfId="0" applyNumberFormat="1" applyFont="1" applyBorder="1" applyAlignment="1">
      <alignment horizontal="center" vertical="center"/>
    </xf>
    <xf numFmtId="184" fontId="6" fillId="0" borderId="13" xfId="0" applyNumberFormat="1" applyFont="1" applyFill="1" applyBorder="1" applyAlignment="1">
      <alignment horizontal="center" vertical="center"/>
    </xf>
    <xf numFmtId="183" fontId="9" fillId="3" borderId="13" xfId="0" applyNumberFormat="1" applyFont="1" applyFill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84" fontId="6" fillId="0" borderId="10" xfId="0" applyNumberFormat="1" applyFont="1" applyFill="1" applyBorder="1" applyAlignment="1">
      <alignment horizontal="center" vertical="center"/>
    </xf>
    <xf numFmtId="183" fontId="6" fillId="0" borderId="13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186" fontId="6" fillId="0" borderId="1" xfId="0" applyNumberFormat="1" applyFont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84" fontId="0" fillId="0" borderId="1" xfId="0" applyNumberFormat="1" applyBorder="1" applyAlignment="1">
      <alignment horizontal="center"/>
    </xf>
    <xf numFmtId="0" fontId="6" fillId="0" borderId="8" xfId="0" applyFont="1" applyFill="1" applyBorder="1" applyAlignment="1">
      <alignment horizontal="center" vertical="center"/>
    </xf>
    <xf numFmtId="186" fontId="0" fillId="0" borderId="1" xfId="0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76" fontId="6" fillId="0" borderId="8" xfId="0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83" fontId="0" fillId="4" borderId="1" xfId="0" applyNumberFormat="1" applyFill="1" applyBorder="1" applyAlignment="1">
      <alignment horizontal="center" vertical="center"/>
    </xf>
    <xf numFmtId="18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82" fontId="2" fillId="0" borderId="2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2" fontId="15" fillId="0" borderId="9" xfId="0" applyNumberFormat="1" applyFont="1" applyBorder="1" applyAlignment="1">
      <alignment horizontal="center" vertical="center" wrapText="1"/>
    </xf>
    <xf numFmtId="182" fontId="15" fillId="0" borderId="13" xfId="0" applyNumberFormat="1" applyFont="1" applyBorder="1" applyAlignment="1">
      <alignment horizontal="center" vertical="center" wrapText="1"/>
    </xf>
    <xf numFmtId="182" fontId="15" fillId="0" borderId="6" xfId="0" applyNumberFormat="1" applyFont="1" applyBorder="1" applyAlignment="1">
      <alignment horizontal="center" vertical="center" wrapText="1"/>
    </xf>
    <xf numFmtId="182" fontId="6" fillId="0" borderId="1" xfId="0" applyNumberFormat="1" applyFont="1" applyBorder="1" applyAlignment="1">
      <alignment horizontal="center" vertical="center"/>
    </xf>
    <xf numFmtId="0" fontId="15" fillId="0" borderId="0" xfId="0" applyFont="1" applyFill="1" applyAlignment="1">
      <alignment horizontal="center"/>
    </xf>
    <xf numFmtId="0" fontId="15" fillId="0" borderId="0" xfId="0" applyFont="1" applyFill="1" applyBorder="1" applyAlignment="1">
      <alignment horizontal="center"/>
    </xf>
    <xf numFmtId="185" fontId="6" fillId="0" borderId="13" xfId="0" applyNumberFormat="1" applyFont="1" applyFill="1" applyBorder="1" applyAlignment="1">
      <alignment horizontal="center" vertical="center"/>
    </xf>
    <xf numFmtId="185" fontId="6" fillId="0" borderId="1" xfId="0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182" fontId="2" fillId="0" borderId="3" xfId="0" applyNumberFormat="1" applyFont="1" applyBorder="1" applyAlignment="1">
      <alignment horizontal="left" vertical="center"/>
    </xf>
    <xf numFmtId="182" fontId="2" fillId="0" borderId="0" xfId="0" applyNumberFormat="1" applyFont="1" applyBorder="1" applyAlignment="1">
      <alignment horizontal="left" vertical="center"/>
    </xf>
    <xf numFmtId="18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2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/>
    </xf>
    <xf numFmtId="187" fontId="0" fillId="0" borderId="0" xfId="0" applyNumberFormat="1" applyBorder="1" applyAlignment="1">
      <alignment horizontal="center"/>
    </xf>
    <xf numFmtId="0" fontId="0" fillId="0" borderId="0" xfId="0" applyBorder="1"/>
    <xf numFmtId="177" fontId="0" fillId="0" borderId="0" xfId="0" applyNumberFormat="1" applyBorder="1" applyAlignment="1">
      <alignment horizontal="center"/>
    </xf>
    <xf numFmtId="0" fontId="17" fillId="0" borderId="0" xfId="318" applyFont="1" applyFill="1" applyBorder="1" applyAlignment="1"/>
    <xf numFmtId="0" fontId="18" fillId="0" borderId="0" xfId="0" applyFont="1" applyFill="1" applyAlignment="1"/>
    <xf numFmtId="0" fontId="17" fillId="0" borderId="0" xfId="318" applyFont="1"/>
    <xf numFmtId="0" fontId="17" fillId="0" borderId="0" xfId="318" applyFont="1" applyAlignment="1">
      <alignment horizontal="center"/>
    </xf>
    <xf numFmtId="0" fontId="17" fillId="0" borderId="0" xfId="318" applyFont="1" applyAlignment="1">
      <alignment horizontal="center" vertical="center"/>
    </xf>
    <xf numFmtId="0" fontId="19" fillId="0" borderId="0" xfId="318" applyFont="1" applyAlignment="1">
      <alignment horizontal="center" vertical="center"/>
    </xf>
    <xf numFmtId="0" fontId="20" fillId="0" borderId="0" xfId="318" applyFont="1" applyAlignment="1">
      <alignment horizontal="center" vertical="center"/>
    </xf>
    <xf numFmtId="57" fontId="17" fillId="0" borderId="2" xfId="318" applyNumberFormat="1" applyFont="1" applyBorder="1" applyAlignment="1">
      <alignment horizontal="center" vertical="center" wrapText="1"/>
    </xf>
    <xf numFmtId="0" fontId="17" fillId="0" borderId="2" xfId="318" applyFont="1" applyBorder="1" applyAlignment="1">
      <alignment horizontal="center" vertical="center" wrapText="1"/>
    </xf>
    <xf numFmtId="0" fontId="21" fillId="0" borderId="9" xfId="318" applyFont="1" applyBorder="1" applyAlignment="1">
      <alignment horizontal="center" vertical="center" wrapText="1"/>
    </xf>
    <xf numFmtId="0" fontId="21" fillId="0" borderId="9" xfId="318" applyFont="1" applyBorder="1" applyAlignment="1">
      <alignment horizontal="center" vertical="center"/>
    </xf>
    <xf numFmtId="0" fontId="21" fillId="0" borderId="1" xfId="318" applyFont="1" applyBorder="1" applyAlignment="1">
      <alignment horizontal="center" vertical="center"/>
    </xf>
    <xf numFmtId="0" fontId="21" fillId="0" borderId="6" xfId="318" applyFont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58" fontId="22" fillId="0" borderId="14" xfId="160" applyNumberFormat="1" applyFont="1" applyFill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188" fontId="23" fillId="0" borderId="1" xfId="343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1" fillId="0" borderId="1" xfId="318" applyFont="1" applyBorder="1" applyAlignment="1">
      <alignment horizontal="center" vertical="center" wrapText="1"/>
    </xf>
    <xf numFmtId="179" fontId="21" fillId="0" borderId="1" xfId="318" applyNumberFormat="1" applyFont="1" applyBorder="1" applyAlignment="1">
      <alignment horizontal="center" vertical="center" wrapText="1"/>
    </xf>
    <xf numFmtId="0" fontId="17" fillId="0" borderId="0" xfId="318" applyFont="1" applyAlignment="1">
      <alignment horizontal="left" vertical="center"/>
    </xf>
    <xf numFmtId="0" fontId="21" fillId="0" borderId="4" xfId="318" applyFont="1" applyBorder="1" applyAlignment="1">
      <alignment horizontal="center" vertical="center"/>
    </xf>
    <xf numFmtId="0" fontId="21" fillId="0" borderId="5" xfId="318" applyFont="1" applyBorder="1" applyAlignment="1">
      <alignment horizontal="center" vertical="center"/>
    </xf>
    <xf numFmtId="0" fontId="21" fillId="0" borderId="10" xfId="318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9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189" fontId="17" fillId="0" borderId="0" xfId="318" applyNumberFormat="1" applyFont="1" applyAlignment="1">
      <alignment horizontal="center" vertical="center"/>
    </xf>
    <xf numFmtId="0" fontId="17" fillId="0" borderId="0" xfId="318" applyNumberFormat="1" applyFont="1"/>
    <xf numFmtId="189" fontId="21" fillId="0" borderId="0" xfId="511" applyNumberFormat="1" applyFont="1" applyBorder="1" applyAlignment="1">
      <alignment horizontal="center" vertical="center" wrapText="1"/>
    </xf>
    <xf numFmtId="190" fontId="21" fillId="0" borderId="0" xfId="318" applyNumberFormat="1" applyFont="1" applyBorder="1" applyAlignment="1">
      <alignment horizontal="center" vertical="center" wrapText="1"/>
    </xf>
    <xf numFmtId="0" fontId="17" fillId="0" borderId="0" xfId="318" applyFont="1" applyAlignment="1">
      <alignment horizontal="left"/>
    </xf>
    <xf numFmtId="191" fontId="17" fillId="0" borderId="0" xfId="318" applyNumberFormat="1" applyFont="1"/>
    <xf numFmtId="188" fontId="17" fillId="0" borderId="0" xfId="318" applyNumberFormat="1" applyFont="1"/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4" fillId="0" borderId="0" xfId="495" applyFont="1" applyAlignment="1">
      <alignment horizontal="center" vertical="center"/>
    </xf>
    <xf numFmtId="57" fontId="9" fillId="0" borderId="2" xfId="495" applyNumberFormat="1" applyFont="1" applyBorder="1" applyAlignment="1">
      <alignment horizontal="center" vertical="center"/>
    </xf>
    <xf numFmtId="0" fontId="9" fillId="0" borderId="1" xfId="495" applyFont="1" applyBorder="1" applyAlignment="1">
      <alignment horizontal="center" vertical="center" wrapText="1"/>
    </xf>
    <xf numFmtId="0" fontId="9" fillId="0" borderId="1" xfId="495" applyFont="1" applyBorder="1" applyAlignment="1">
      <alignment horizontal="center" vertical="center"/>
    </xf>
    <xf numFmtId="0" fontId="2" fillId="0" borderId="1" xfId="495" applyFont="1" applyFill="1" applyBorder="1" applyAlignment="1">
      <alignment horizontal="center" vertical="center"/>
    </xf>
    <xf numFmtId="0" fontId="9" fillId="0" borderId="9" xfId="495" applyFont="1" applyBorder="1" applyAlignment="1">
      <alignment horizontal="center" vertical="center" wrapText="1"/>
    </xf>
    <xf numFmtId="176" fontId="2" fillId="0" borderId="1" xfId="495" applyNumberFormat="1" applyFont="1" applyFill="1" applyBorder="1" applyAlignment="1">
      <alignment horizontal="center" vertical="center"/>
    </xf>
    <xf numFmtId="179" fontId="2" fillId="0" borderId="9" xfId="495" applyNumberFormat="1" applyFont="1" applyFill="1" applyBorder="1" applyAlignment="1">
      <alignment horizontal="center" vertical="center"/>
    </xf>
    <xf numFmtId="0" fontId="9" fillId="0" borderId="13" xfId="495" applyFont="1" applyBorder="1" applyAlignment="1">
      <alignment horizontal="center" vertical="center" wrapText="1"/>
    </xf>
    <xf numFmtId="179" fontId="2" fillId="0" borderId="6" xfId="495" applyNumberFormat="1" applyFont="1" applyFill="1" applyBorder="1" applyAlignment="1">
      <alignment horizontal="center" vertical="center"/>
    </xf>
    <xf numFmtId="184" fontId="2" fillId="0" borderId="1" xfId="495" applyNumberFormat="1" applyFont="1" applyFill="1" applyBorder="1" applyAlignment="1">
      <alignment horizontal="center" vertical="center"/>
    </xf>
    <xf numFmtId="0" fontId="9" fillId="0" borderId="6" xfId="495" applyFont="1" applyBorder="1" applyAlignment="1">
      <alignment horizontal="center" vertical="center" wrapText="1"/>
    </xf>
    <xf numFmtId="179" fontId="2" fillId="0" borderId="1" xfId="495" applyNumberFormat="1" applyFont="1" applyFill="1" applyBorder="1" applyAlignment="1">
      <alignment horizontal="center" vertical="center"/>
    </xf>
    <xf numFmtId="0" fontId="9" fillId="0" borderId="1" xfId="495" applyFont="1" applyFill="1" applyBorder="1" applyAlignment="1">
      <alignment horizontal="center" vertical="center" wrapText="1"/>
    </xf>
    <xf numFmtId="179" fontId="2" fillId="0" borderId="0" xfId="495" applyNumberFormat="1" applyFont="1" applyFill="1" applyBorder="1" applyAlignment="1">
      <alignment horizontal="center" vertical="center"/>
    </xf>
    <xf numFmtId="0" fontId="9" fillId="0" borderId="9" xfId="495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6" xfId="495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5" applyFont="1" applyFill="1" applyBorder="1" applyAlignment="1">
      <alignment horizontal="center" vertical="center"/>
    </xf>
    <xf numFmtId="179" fontId="2" fillId="0" borderId="4" xfId="495" applyNumberFormat="1" applyFont="1" applyFill="1" applyBorder="1" applyAlignment="1">
      <alignment horizontal="center" vertical="center"/>
    </xf>
    <xf numFmtId="179" fontId="2" fillId="0" borderId="10" xfId="495" applyNumberFormat="1" applyFont="1" applyFill="1" applyBorder="1" applyAlignment="1">
      <alignment horizontal="center" vertical="center"/>
    </xf>
    <xf numFmtId="180" fontId="2" fillId="0" borderId="4" xfId="495" applyNumberFormat="1" applyFont="1" applyFill="1" applyBorder="1" applyAlignment="1">
      <alignment horizontal="center" vertical="center"/>
    </xf>
    <xf numFmtId="180" fontId="2" fillId="0" borderId="10" xfId="495" applyNumberFormat="1" applyFont="1" applyFill="1" applyBorder="1" applyAlignment="1">
      <alignment horizontal="center" vertical="center"/>
    </xf>
    <xf numFmtId="176" fontId="2" fillId="0" borderId="4" xfId="495" applyNumberFormat="1" applyFont="1" applyFill="1" applyBorder="1" applyAlignment="1">
      <alignment horizontal="center" vertical="center"/>
    </xf>
    <xf numFmtId="176" fontId="2" fillId="0" borderId="10" xfId="495" applyNumberFormat="1" applyFont="1" applyFill="1" applyBorder="1" applyAlignment="1">
      <alignment horizontal="center" vertical="center"/>
    </xf>
    <xf numFmtId="192" fontId="2" fillId="0" borderId="4" xfId="495" applyNumberFormat="1" applyFont="1" applyFill="1" applyBorder="1" applyAlignment="1">
      <alignment horizontal="center" vertical="center"/>
    </xf>
    <xf numFmtId="192" fontId="2" fillId="0" borderId="10" xfId="495" applyNumberFormat="1" applyFont="1" applyFill="1" applyBorder="1" applyAlignment="1">
      <alignment horizontal="center" vertical="center"/>
    </xf>
    <xf numFmtId="193" fontId="2" fillId="0" borderId="4" xfId="495" applyNumberFormat="1" applyFont="1" applyFill="1" applyBorder="1" applyAlignment="1">
      <alignment horizontal="center" vertical="center"/>
    </xf>
    <xf numFmtId="193" fontId="2" fillId="0" borderId="10" xfId="495" applyNumberFormat="1" applyFont="1" applyFill="1" applyBorder="1" applyAlignment="1">
      <alignment horizontal="center" vertical="center"/>
    </xf>
    <xf numFmtId="184" fontId="2" fillId="0" borderId="4" xfId="495" applyNumberFormat="1" applyFont="1" applyFill="1" applyBorder="1" applyAlignment="1">
      <alignment horizontal="center" vertical="center"/>
    </xf>
    <xf numFmtId="185" fontId="2" fillId="0" borderId="10" xfId="495" applyNumberFormat="1" applyFont="1" applyFill="1" applyBorder="1" applyAlignment="1">
      <alignment horizontal="center" vertical="center"/>
    </xf>
    <xf numFmtId="184" fontId="2" fillId="0" borderId="10" xfId="495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177" fontId="2" fillId="0" borderId="1" xfId="495" applyNumberFormat="1" applyFont="1" applyFill="1" applyBorder="1" applyAlignment="1">
      <alignment horizontal="center" vertical="center"/>
    </xf>
    <xf numFmtId="176" fontId="2" fillId="0" borderId="9" xfId="495" applyNumberFormat="1" applyFont="1" applyFill="1" applyBorder="1" applyAlignment="1">
      <alignment horizontal="center" vertical="center"/>
    </xf>
    <xf numFmtId="194" fontId="2" fillId="0" borderId="1" xfId="495" applyNumberFormat="1" applyFont="1" applyFill="1" applyBorder="1" applyAlignment="1">
      <alignment horizontal="center" vertical="center"/>
    </xf>
    <xf numFmtId="176" fontId="2" fillId="0" borderId="6" xfId="495" applyNumberFormat="1" applyFont="1" applyFill="1" applyBorder="1" applyAlignment="1">
      <alignment horizontal="center" vertical="center"/>
    </xf>
    <xf numFmtId="0" fontId="9" fillId="0" borderId="9" xfId="495" applyFont="1" applyBorder="1" applyAlignment="1">
      <alignment horizontal="center" vertical="center"/>
    </xf>
    <xf numFmtId="0" fontId="9" fillId="0" borderId="9" xfId="495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2" fillId="0" borderId="5" xfId="495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5" applyFont="1" applyFill="1" applyBorder="1" applyAlignment="1">
      <alignment horizontal="center" vertical="center"/>
    </xf>
    <xf numFmtId="0" fontId="9" fillId="0" borderId="13" xfId="495" applyFont="1" applyFill="1" applyBorder="1" applyAlignment="1">
      <alignment horizontal="center" vertical="center" wrapText="1"/>
    </xf>
    <xf numFmtId="0" fontId="9" fillId="0" borderId="4" xfId="495" applyFont="1" applyFill="1" applyBorder="1" applyAlignment="1">
      <alignment horizontal="center" vertical="center"/>
    </xf>
    <xf numFmtId="0" fontId="9" fillId="0" borderId="6" xfId="495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链接单元格 3 2" xfId="50"/>
    <cellStyle name="链接单元格 5" xfId="51"/>
    <cellStyle name="强调文字颜色 2 3 2" xfId="52"/>
    <cellStyle name="百分比 2 8 2" xfId="53"/>
    <cellStyle name="标题 5 6" xfId="54"/>
    <cellStyle name="计算 2" xfId="55"/>
    <cellStyle name="链接单元格 2 5" xfId="56"/>
    <cellStyle name="60% - 强调文字颜色 6 3 2" xfId="57"/>
    <cellStyle name="60% - 强调文字颜色 5 4 2" xfId="58"/>
    <cellStyle name="20% - 强调文字颜色 2 2 2" xfId="59"/>
    <cellStyle name="40% - 强调文字颜色 6 4 2" xfId="60"/>
    <cellStyle name="常规 6" xfId="61"/>
    <cellStyle name="60% - 强调文字颜色 2 3" xfId="62"/>
    <cellStyle name="20% - 强调文字颜色 4 5" xfId="63"/>
    <cellStyle name="计算 2 9" xfId="64"/>
    <cellStyle name="解释性文本 2 2" xfId="65"/>
    <cellStyle name="注释 5" xfId="66"/>
    <cellStyle name="常规 5 2" xfId="67"/>
    <cellStyle name="60% - 强调文字颜色 2 2 2" xfId="68"/>
    <cellStyle name="计算 2 10" xfId="69"/>
    <cellStyle name="20% - 强调文字颜色 4 4 2" xfId="70"/>
    <cellStyle name="强调文字颜色 1 2 3" xfId="71"/>
    <cellStyle name="标题 1 5 2" xfId="72"/>
    <cellStyle name="计算 2 8" xfId="73"/>
    <cellStyle name="常规 85" xfId="74"/>
    <cellStyle name="20% - 强调文字颜色 2 4 2" xfId="75"/>
    <cellStyle name="计算 3 2" xfId="76"/>
    <cellStyle name="40% - 强调文字颜色 4 2" xfId="77"/>
    <cellStyle name="强调文字颜色 3 2 4" xfId="78"/>
    <cellStyle name="适中 2 5" xfId="79"/>
    <cellStyle name="40% - 强调文字颜色 6 5" xfId="80"/>
    <cellStyle name="60% - 强调文字颜色 4 2 3" xfId="81"/>
    <cellStyle name="20% - 强调文字颜色 3 3" xfId="82"/>
    <cellStyle name="60% - 强调文字颜色 2 5 2" xfId="83"/>
    <cellStyle name="检查单元格 3 2" xfId="84"/>
    <cellStyle name="标题 4 5 2" xfId="85"/>
    <cellStyle name="链接单元格 3" xfId="86"/>
    <cellStyle name="40% - 强调文字颜色 4 3 2" xfId="87"/>
    <cellStyle name="标题 5 4" xfId="88"/>
    <cellStyle name="链接单元格 4" xfId="89"/>
    <cellStyle name="标题 5 5" xfId="90"/>
    <cellStyle name="输出 4" xfId="91"/>
    <cellStyle name="强调文字颜色 1 5 2" xfId="92"/>
    <cellStyle name="计算 3" xfId="93"/>
    <cellStyle name="60% - 强调文字颜色 6 5 2" xfId="94"/>
    <cellStyle name="计算 4" xfId="95"/>
    <cellStyle name="标题 1 4 2" xfId="96"/>
    <cellStyle name="计算 5" xfId="97"/>
    <cellStyle name="适中 2" xfId="98"/>
    <cellStyle name="20% - 强调文字颜色 3 3 2" xfId="99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20% - 强调文字颜色 1 2 6" xfId="113"/>
    <cellStyle name="强调文字颜色 6 5 2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20% - 强调文字颜色 2 2" xfId="120"/>
    <cellStyle name="链接单元格 4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20% - 强调文字颜色 3 2" xfId="129"/>
    <cellStyle name="链接单元格 5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20% - 强调文字颜色 3 4" xfId="137"/>
    <cellStyle name="好_汇总二_江边厂月报2013-5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20% - 强调文字颜色 4 2 5" xfId="152"/>
    <cellStyle name="强调文字颜色 5 2" xfId="153"/>
    <cellStyle name="20% - 强调文字颜色 4 2 6" xfId="154"/>
    <cellStyle name="强调文字颜色 5 3" xfId="155"/>
    <cellStyle name="常规 4" xfId="156"/>
    <cellStyle name="20% - 强调文字颜色 4 3" xfId="157"/>
    <cellStyle name="20% - 强调文字颜色 4 3 2" xfId="158"/>
    <cellStyle name="60% - 强调文字颜色 2 2" xfId="159"/>
    <cellStyle name="常规 5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20% - 强调文字颜色 5 3 2" xfId="175"/>
    <cellStyle name="百分比 3" xfId="176"/>
    <cellStyle name="差_汇总二" xfId="177"/>
    <cellStyle name="60% - 强调文字颜色 3 2" xfId="178"/>
    <cellStyle name="20% - 强调文字颜色 5 4" xfId="179"/>
    <cellStyle name="60% - 强调文字颜色 3 2 2" xfId="180"/>
    <cellStyle name="标题 1 2 6" xfId="181"/>
    <cellStyle name="20% - 强调文字颜色 5 4 2" xfId="182"/>
    <cellStyle name="强调文字颜色 2 2 3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20% - 强调文字颜色 6 2" xfId="188"/>
    <cellStyle name="60% - 强调文字颜色 6 2 4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20% - 强调文字颜色 6 3" xfId="197"/>
    <cellStyle name="60% - 强调文字颜色 6 2 5" xfId="198"/>
    <cellStyle name="40% - 强调文字颜色 5 4" xfId="199"/>
    <cellStyle name="好 2 5" xfId="200"/>
    <cellStyle name="20% - 强调文字颜色 6 3 2" xfId="201"/>
    <cellStyle name="60% - 强调文字颜色 4 2" xfId="202"/>
    <cellStyle name="20% - 强调文字颜色 6 4" xfId="203"/>
    <cellStyle name="60% - 强调文字颜色 6 2 6" xfId="204"/>
    <cellStyle name="40% - 强调文字颜色 6 4" xfId="205"/>
    <cellStyle name="60% - 强调文字颜色 4 2 2" xfId="206"/>
    <cellStyle name="标题 2 2 6" xfId="207"/>
    <cellStyle name="适中 2 4" xfId="208"/>
    <cellStyle name="20% - 强调文字颜色 6 4 2" xfId="209"/>
    <cellStyle name="强调文字颜色 3 2 3" xfId="210"/>
    <cellStyle name="60% - 强调文字颜色 4 3" xfId="211"/>
    <cellStyle name="20% - 强调文字颜色 6 5" xfId="212"/>
    <cellStyle name="40% - 强调文字颜色 5 2 2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40% - 强调文字颜色 1 2 6" xfId="223"/>
    <cellStyle name="差_处理量 2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40% - 强调文字颜色 3 4 2" xfId="254"/>
    <cellStyle name="警告文本 5" xfId="255"/>
    <cellStyle name="计算 2 5" xfId="256"/>
    <cellStyle name="40% - 强调文字颜色 3 5" xfId="257"/>
    <cellStyle name="40% - 强调文字颜色 3 5 2" xfId="258"/>
    <cellStyle name="链接单元格 2 4" xfId="259"/>
    <cellStyle name="汇总 2 3" xfId="260"/>
    <cellStyle name="检查单元格 2" xfId="261"/>
    <cellStyle name="40% - 强调文字颜色 4 2 2" xfId="262"/>
    <cellStyle name="标题 4 4" xfId="263"/>
    <cellStyle name="汇总 2 4" xfId="264"/>
    <cellStyle name="检查单元格 3" xfId="265"/>
    <cellStyle name="40% - 强调文字颜色 4 2 3" xfId="266"/>
    <cellStyle name="标题 4 5" xfId="267"/>
    <cellStyle name="汇总 2 5" xfId="268"/>
    <cellStyle name="检查单元格 4" xfId="269"/>
    <cellStyle name="40% - 强调文字颜色 4 2 4" xfId="270"/>
    <cellStyle name="汇总 2 6" xfId="271"/>
    <cellStyle name="检查单元格 5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40% - 强调文字颜色 5 2 4" xfId="285"/>
    <cellStyle name="警告文本 5 2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计算 5 2" xfId="299"/>
    <cellStyle name="适中 2 2" xfId="300"/>
    <cellStyle name="40% - 强调文字颜色 6 2" xfId="301"/>
    <cellStyle name="标题 2 2 4" xfId="302"/>
    <cellStyle name="40% - 强调文字颜色 6 2 2" xfId="303"/>
    <cellStyle name="40% - 强调文字颜色 6 2 3" xfId="304"/>
    <cellStyle name="40% - 强调文字颜色 6 2 4" xfId="305"/>
    <cellStyle name="40% - 强调文字颜色 6 2 5" xfId="306"/>
    <cellStyle name="检查单元格 5 2" xfId="307"/>
    <cellStyle name="40% - 强调文字颜色 6 2 6" xfId="308"/>
    <cellStyle name="40% - 强调文字颜色 6 3" xfId="309"/>
    <cellStyle name="标题 2 2 5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60% - 强调文字颜色 1 4 2" xfId="321"/>
    <cellStyle name="标题 4 2 3" xfId="322"/>
    <cellStyle name="警告文本 2 2" xfId="323"/>
    <cellStyle name="60% - 强调文字颜色 1 5" xfId="324"/>
    <cellStyle name="60% - 强调文字颜色 1 5 2" xfId="325"/>
    <cellStyle name="警告文本 2 6" xfId="326"/>
    <cellStyle name="强调文字颜色 4 4 2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60% - 强调文字颜色 2 4" xfId="338"/>
    <cellStyle name="常规 7" xfId="339"/>
    <cellStyle name="60% - 强调文字颜色 2 4 2" xfId="340"/>
    <cellStyle name="警告文本 3 2" xfId="341"/>
    <cellStyle name="60% - 强调文字颜色 2 5" xfId="342"/>
    <cellStyle name="常规 8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百分比 2 11" xfId="367"/>
    <cellStyle name="强调文字颜色 4 2 5" xfId="368"/>
    <cellStyle name="60% - 强调文字颜色 5 2 4" xfId="369"/>
    <cellStyle name="60% - 强调文字颜色 5 2 5" xfId="370"/>
    <cellStyle name="标题 4 2" xfId="371"/>
    <cellStyle name="汇总 2 2" xfId="372"/>
    <cellStyle name="60% - 强调文字颜色 5 2 6" xfId="373"/>
    <cellStyle name="标题 4 3" xfId="374"/>
    <cellStyle name="60% - 强调文字颜色 5 3 2" xfId="375"/>
    <cellStyle name="60% - 强调文字颜色 5 4" xfId="376"/>
    <cellStyle name="60% - 强调文字颜色 5 5" xfId="377"/>
    <cellStyle name="60% - 强调文字颜色 5 5 2" xfId="378"/>
    <cellStyle name="输入 2 3" xfId="379"/>
    <cellStyle name="好_汇总二 3" xfId="380"/>
    <cellStyle name="60% - 强调文字颜色 6 2" xfId="381"/>
    <cellStyle name="60% - 强调文字颜色 6 2 2" xfId="382"/>
    <cellStyle name="标题 4 2 6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标题 1 3 2" xfId="402"/>
    <cellStyle name="汇总 3" xfId="403"/>
    <cellStyle name="标题 1 4" xfId="404"/>
    <cellStyle name="标题 1 5" xfId="405"/>
    <cellStyle name="标题 2 2" xfId="406"/>
    <cellStyle name="标题 2 2 2" xfId="407"/>
    <cellStyle name="标题 2 2 3" xfId="408"/>
    <cellStyle name="好 3 2" xfId="409"/>
    <cellStyle name="标题 2 3" xfId="410"/>
    <cellStyle name="标题 2 3 2" xfId="411"/>
    <cellStyle name="常规 11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标题 5" xfId="440"/>
    <cellStyle name="解释性文本 2 3" xfId="441"/>
    <cellStyle name="强调文字颜色 1 4" xfId="442"/>
    <cellStyle name="标题 5 2" xfId="443"/>
    <cellStyle name="汇总 3 2" xfId="444"/>
    <cellStyle name="强调文字颜色 1 5" xfId="445"/>
    <cellStyle name="标题 5 3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强调文字颜色 3 4" xfId="452"/>
    <cellStyle name="常规 2 11" xfId="453"/>
    <cellStyle name="标题 7 2" xfId="454"/>
    <cellStyle name="输入 2 6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常规 37" xfId="473"/>
    <cellStyle name="差_汇总二 3" xfId="474"/>
    <cellStyle name="常规 10" xfId="475"/>
    <cellStyle name="常规 12" xfId="476"/>
    <cellStyle name="好 4 2" xfId="477"/>
    <cellStyle name="计算 6 2" xfId="478"/>
    <cellStyle name="适中 3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强调文字颜色 3 5" xfId="493"/>
    <cellStyle name="常规 2 12" xfId="494"/>
    <cellStyle name="常规_Sheet1" xfId="495"/>
    <cellStyle name="汇总 5 2" xfId="496"/>
    <cellStyle name="常规 2 14" xfId="497"/>
    <cellStyle name="常规 2 15" xfId="498"/>
    <cellStyle name="常规 2 16" xfId="499"/>
    <cellStyle name="常规 2 19 3" xfId="500"/>
    <cellStyle name="强调文字颜色 5 3 2" xfId="501"/>
    <cellStyle name="常规 2 2" xfId="502"/>
    <cellStyle name="常规 2 3" xfId="503"/>
    <cellStyle name="输入 3 2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强调文字颜色 2 5" xfId="518"/>
    <cellStyle name="汇总 4 2" xfId="519"/>
    <cellStyle name="汇总 5" xfId="520"/>
    <cellStyle name="计算 2 6" xfId="521"/>
    <cellStyle name="计算 2 7" xfId="522"/>
    <cellStyle name="计算 2_处理量" xfId="523"/>
    <cellStyle name="适中 3" xfId="524"/>
    <cellStyle name="计算 6" xfId="525"/>
    <cellStyle name="检查单元格 2 3" xfId="526"/>
    <cellStyle name="检查单元格 2 4" xfId="527"/>
    <cellStyle name="强调文字颜色 5 4 2" xfId="528"/>
    <cellStyle name="检查单元格 2 5" xfId="529"/>
    <cellStyle name="检查单元格 4 2" xfId="530"/>
    <cellStyle name="解释性文本 2" xfId="531"/>
    <cellStyle name="解释性文本 4" xfId="532"/>
    <cellStyle name="解释性文本 4 2" xfId="533"/>
    <cellStyle name="注释 5 2" xfId="534"/>
    <cellStyle name="警告文本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适中 2 3" xfId="555"/>
    <cellStyle name="强调文字颜色 3 2 2" xfId="556"/>
    <cellStyle name="适中 2 6" xfId="557"/>
    <cellStyle name="强调文字颜色 3 2 5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3.63</c:v>
                </c:pt>
                <c:pt idx="1">
                  <c:v>4.57</c:v>
                </c:pt>
                <c:pt idx="2">
                  <c:v>7.32</c:v>
                </c:pt>
                <c:pt idx="3" c:formatCode="0.00_ ">
                  <c:v>8.89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8.12</c:v>
                </c:pt>
                <c:pt idx="1">
                  <c:v>6.7</c:v>
                </c:pt>
                <c:pt idx="2">
                  <c:v>5.09</c:v>
                </c:pt>
                <c:pt idx="3">
                  <c:v>3.51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5.51</c:v>
                </c:pt>
                <c:pt idx="1">
                  <c:v>2.25</c:v>
                </c:pt>
                <c:pt idx="2">
                  <c:v>1.83</c:v>
                </c:pt>
                <c:pt idx="3">
                  <c:v>1.67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7.29</c:v>
                </c:pt>
                <c:pt idx="1">
                  <c:v>6.65</c:v>
                </c:pt>
                <c:pt idx="2" c:formatCode="General">
                  <c:v>5.91</c:v>
                </c:pt>
                <c:pt idx="3" c:formatCode="General">
                  <c:v>4.39</c:v>
                </c:pt>
                <c:pt idx="4" c:formatCode="General">
                  <c:v>2.91</c:v>
                </c:pt>
                <c:pt idx="5" c:formatCode="General">
                  <c:v>2.2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2.71</c:v>
                </c:pt>
                <c:pt idx="1" c:formatCode="General">
                  <c:v>5.32</c:v>
                </c:pt>
                <c:pt idx="2">
                  <c:v>6.51</c:v>
                </c:pt>
                <c:pt idx="3">
                  <c:v>9.37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52830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52</xdr:row>
      <xdr:rowOff>28575</xdr:rowOff>
    </xdr:from>
    <xdr:to>
      <xdr:col>45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2973050" y="11347450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70965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25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69060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12937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25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0531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99794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zoomScaleSheetLayoutView="60" workbookViewId="0">
      <selection activeCell="T7" sqref="T7"/>
    </sheetView>
  </sheetViews>
  <sheetFormatPr defaultColWidth="8.75" defaultRowHeight="14.25"/>
  <cols>
    <col min="1" max="1" width="4" style="310" customWidth="1"/>
    <col min="2" max="2" width="14.875" style="310" customWidth="1"/>
    <col min="3" max="3" width="9" style="310" customWidth="1"/>
    <col min="4" max="4" width="5.125" style="310" customWidth="1"/>
    <col min="5" max="5" width="14.5" style="310" customWidth="1"/>
    <col min="6" max="6" width="10" style="310" customWidth="1"/>
    <col min="7" max="7" width="5.75" style="310" customWidth="1"/>
    <col min="8" max="8" width="9" style="310"/>
    <col min="9" max="9" width="7" style="310" customWidth="1"/>
    <col min="10" max="10" width="8.25" style="310" customWidth="1"/>
    <col min="11" max="11" width="8.75" style="310" customWidth="1"/>
    <col min="12" max="12" width="15.25" style="310" customWidth="1"/>
    <col min="13" max="13" width="8.625" style="310" customWidth="1"/>
    <col min="14" max="14" width="7.625" style="310" customWidth="1"/>
    <col min="15" max="29" width="9" style="310"/>
    <col min="30" max="16384" width="8.75" style="310"/>
  </cols>
  <sheetData>
    <row r="1" ht="18.75" spans="1:13">
      <c r="A1" s="311" t="s">
        <v>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</row>
    <row r="2" s="309" customFormat="1" ht="20.1" customHeight="1" spans="1:13">
      <c r="A2" s="312">
        <v>44409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</row>
    <row r="3" s="309" customFormat="1" ht="24" customHeight="1" spans="1:13">
      <c r="A3" s="313" t="s">
        <v>1</v>
      </c>
      <c r="B3" s="314" t="s">
        <v>2</v>
      </c>
      <c r="C3" s="315">
        <f>处理量!D37</f>
        <v>4980928</v>
      </c>
      <c r="D3" s="316" t="s">
        <v>3</v>
      </c>
      <c r="E3" s="314" t="s">
        <v>4</v>
      </c>
      <c r="F3" s="317">
        <f>处理量!G41</f>
        <v>2476.46</v>
      </c>
      <c r="G3" s="313" t="s">
        <v>5</v>
      </c>
      <c r="H3" s="314" t="s">
        <v>6</v>
      </c>
      <c r="I3" s="314"/>
      <c r="J3" s="315">
        <v>1429347</v>
      </c>
      <c r="K3" s="316" t="s">
        <v>7</v>
      </c>
      <c r="L3" s="314" t="s">
        <v>8</v>
      </c>
      <c r="M3" s="352">
        <f>J3/C3</f>
        <v>0.286963995464299</v>
      </c>
    </row>
    <row r="4" s="309" customFormat="1" ht="24" customHeight="1" spans="1:13">
      <c r="A4" s="313"/>
      <c r="B4" s="314" t="s">
        <v>9</v>
      </c>
      <c r="C4" s="318">
        <f>处理量!D36</f>
        <v>160675.096774194</v>
      </c>
      <c r="D4" s="319"/>
      <c r="E4" s="314" t="s">
        <v>10</v>
      </c>
      <c r="F4" s="315">
        <f>处理量!H37</f>
        <v>2675</v>
      </c>
      <c r="G4" s="313"/>
      <c r="H4" s="314" t="s">
        <v>11</v>
      </c>
      <c r="I4" s="314"/>
      <c r="J4" s="323">
        <f>J3/M15</f>
        <v>46107.9677419355</v>
      </c>
      <c r="K4" s="319"/>
      <c r="L4" s="314" t="s">
        <v>12</v>
      </c>
      <c r="M4" s="353">
        <f>J3/I12</f>
        <v>1.59281716372306</v>
      </c>
    </row>
    <row r="5" s="309" customFormat="1" ht="24" customHeight="1" spans="1:13">
      <c r="A5" s="313"/>
      <c r="B5" s="314"/>
      <c r="C5" s="320"/>
      <c r="D5" s="319"/>
      <c r="E5" s="314" t="s">
        <v>13</v>
      </c>
      <c r="F5" s="321">
        <f>进出水!Z38</f>
        <v>78.2129032258064</v>
      </c>
      <c r="G5" s="313"/>
      <c r="H5" s="314" t="s">
        <v>14</v>
      </c>
      <c r="I5" s="314"/>
      <c r="J5" s="354">
        <v>2017</v>
      </c>
      <c r="K5" s="319"/>
      <c r="L5" s="314"/>
      <c r="M5" s="355"/>
    </row>
    <row r="6" s="309" customFormat="1" ht="24" customHeight="1" spans="1:13">
      <c r="A6" s="313"/>
      <c r="B6" s="314" t="s">
        <v>15</v>
      </c>
      <c r="C6" s="315">
        <f>处理量!D41</f>
        <v>164480</v>
      </c>
      <c r="D6" s="319"/>
      <c r="E6" s="313" t="s">
        <v>16</v>
      </c>
      <c r="F6" s="317">
        <f>F4/处理量!G42</f>
        <v>4.95784684066365</v>
      </c>
      <c r="G6" s="316" t="s">
        <v>17</v>
      </c>
      <c r="H6" s="314" t="s">
        <v>18</v>
      </c>
      <c r="I6" s="314"/>
      <c r="J6" s="317">
        <f>处理量!O37/1000</f>
        <v>69.638</v>
      </c>
      <c r="K6" s="319"/>
      <c r="L6" s="314" t="s">
        <v>19</v>
      </c>
      <c r="M6" s="317">
        <f>J3/I13</f>
        <v>2.9237769865882</v>
      </c>
    </row>
    <row r="7" s="309" customFormat="1" ht="24" customHeight="1" spans="1:13">
      <c r="A7" s="313"/>
      <c r="B7" s="314" t="s">
        <v>20</v>
      </c>
      <c r="C7" s="315">
        <f>处理量!D42</f>
        <v>155296</v>
      </c>
      <c r="D7" s="322"/>
      <c r="E7" s="313" t="s">
        <v>21</v>
      </c>
      <c r="F7" s="323">
        <f>处理量!G42/C3*1000000</f>
        <v>108.322934355645</v>
      </c>
      <c r="G7" s="319"/>
      <c r="H7" s="314" t="s">
        <v>22</v>
      </c>
      <c r="I7" s="314"/>
      <c r="J7" s="317">
        <f>J6/C3*1000*1000</f>
        <v>13.9809288550246</v>
      </c>
      <c r="K7" s="319"/>
      <c r="L7" s="356" t="s">
        <v>23</v>
      </c>
      <c r="M7" s="317">
        <f>J3/I14</f>
        <v>2.58826996199979</v>
      </c>
    </row>
    <row r="8" s="309" customFormat="1" ht="24" customHeight="1" spans="1:13">
      <c r="A8" s="313"/>
      <c r="B8" s="314" t="s">
        <v>24</v>
      </c>
      <c r="C8" s="321">
        <f>C4/150000*100</f>
        <v>107.116731182796</v>
      </c>
      <c r="D8" s="313" t="s">
        <v>25</v>
      </c>
      <c r="E8" s="314" t="s">
        <v>26</v>
      </c>
      <c r="F8" s="317">
        <f>处理量!M37</f>
        <v>414.48</v>
      </c>
      <c r="G8" s="319"/>
      <c r="H8" s="314" t="s">
        <v>27</v>
      </c>
      <c r="I8" s="314"/>
      <c r="J8" s="317">
        <f>处理量!P37/1000</f>
        <v>17.4095</v>
      </c>
      <c r="K8" s="357" t="s">
        <v>28</v>
      </c>
      <c r="L8" s="332" t="s">
        <v>29</v>
      </c>
      <c r="M8" s="317">
        <f>处理量!Q37</f>
        <v>79.69785</v>
      </c>
    </row>
    <row r="9" s="309" customFormat="1" ht="24" customHeight="1" spans="1:13">
      <c r="A9" s="313"/>
      <c r="B9" s="324" t="s">
        <v>30</v>
      </c>
      <c r="C9" s="325">
        <f>处理量!B36</f>
        <v>30.5129032258065</v>
      </c>
      <c r="D9" s="313"/>
      <c r="E9" s="314" t="s">
        <v>22</v>
      </c>
      <c r="F9" s="317">
        <f>F8/C3*1000*1000</f>
        <v>83.2134092281599</v>
      </c>
      <c r="G9" s="322"/>
      <c r="H9" s="314" t="s">
        <v>22</v>
      </c>
      <c r="I9" s="314"/>
      <c r="J9" s="317">
        <f>J8/C3*1000*1000</f>
        <v>3.49523221375615</v>
      </c>
      <c r="K9" s="329"/>
      <c r="L9" s="358" t="s">
        <v>22</v>
      </c>
      <c r="M9" s="317">
        <f>M8/C3*1000*1000</f>
        <v>16.0006026989348</v>
      </c>
    </row>
    <row r="10" s="309" customFormat="1" ht="24" customHeight="1" spans="1:13">
      <c r="A10" s="313" t="s">
        <v>31</v>
      </c>
      <c r="B10" s="326" t="s">
        <v>32</v>
      </c>
      <c r="C10" s="327" t="s">
        <v>33</v>
      </c>
      <c r="D10" s="328"/>
      <c r="E10" s="327" t="s">
        <v>34</v>
      </c>
      <c r="F10" s="328"/>
      <c r="G10" s="327" t="s">
        <v>35</v>
      </c>
      <c r="H10" s="328"/>
      <c r="I10" s="327" t="s">
        <v>36</v>
      </c>
      <c r="J10" s="328"/>
      <c r="K10" s="316" t="s">
        <v>37</v>
      </c>
      <c r="L10" s="332" t="s">
        <v>29</v>
      </c>
      <c r="M10" s="317">
        <f>处理量!R37</f>
        <v>26.9379</v>
      </c>
    </row>
    <row r="11" s="309" customFormat="1" ht="24" customHeight="1" spans="1:13">
      <c r="A11" s="313"/>
      <c r="B11" s="329"/>
      <c r="C11" s="330"/>
      <c r="D11" s="331"/>
      <c r="E11" s="330"/>
      <c r="F11" s="331"/>
      <c r="G11" s="330"/>
      <c r="H11" s="331"/>
      <c r="I11" s="330"/>
      <c r="J11" s="331"/>
      <c r="K11" s="322"/>
      <c r="L11" s="358" t="s">
        <v>22</v>
      </c>
      <c r="M11" s="317">
        <f>M10/C3*1000*1000</f>
        <v>5.40820907268686</v>
      </c>
    </row>
    <row r="12" s="309" customFormat="1" ht="24" customHeight="1" spans="1:15">
      <c r="A12" s="313"/>
      <c r="B12" s="332" t="s">
        <v>38</v>
      </c>
      <c r="C12" s="333">
        <f>进出水!B38</f>
        <v>188.161290322581</v>
      </c>
      <c r="D12" s="334"/>
      <c r="E12" s="333" t="str">
        <f>进出水!T38</f>
        <v>&lt;16</v>
      </c>
      <c r="F12" s="334"/>
      <c r="G12" s="335">
        <f>(C12-8)/C12</f>
        <v>0.957483284759129</v>
      </c>
      <c r="H12" s="336"/>
      <c r="I12" s="333">
        <f>(C12-8)*C3/1000</f>
        <v>897370.415483871</v>
      </c>
      <c r="J12" s="359"/>
      <c r="K12" s="313" t="s">
        <v>39</v>
      </c>
      <c r="L12" s="314" t="s">
        <v>40</v>
      </c>
      <c r="M12" s="317">
        <f>处理量!E37</f>
        <v>117.7</v>
      </c>
      <c r="O12" s="42">
        <f>ROUND(C$3*16/1000000,2)</f>
        <v>79.69</v>
      </c>
    </row>
    <row r="13" s="309" customFormat="1" ht="24" customHeight="1" spans="1:15">
      <c r="A13" s="313"/>
      <c r="B13" s="332" t="s">
        <v>41</v>
      </c>
      <c r="C13" s="333">
        <f>进出水!C38</f>
        <v>99.1483870967742</v>
      </c>
      <c r="D13" s="334"/>
      <c r="E13" s="333" t="str">
        <f>进出水!U38</f>
        <v>&lt;2</v>
      </c>
      <c r="F13" s="334"/>
      <c r="G13" s="335">
        <f>(C13-1)/C13</f>
        <v>0.989914107235815</v>
      </c>
      <c r="H13" s="336"/>
      <c r="I13" s="333">
        <f>(C13-1)*C3/1000</f>
        <v>488870.049445161</v>
      </c>
      <c r="J13" s="359"/>
      <c r="K13" s="313"/>
      <c r="L13" s="360" t="s">
        <v>42</v>
      </c>
      <c r="M13" s="317">
        <f>处理量!F37</f>
        <v>2358.76</v>
      </c>
      <c r="O13" s="42"/>
    </row>
    <row r="14" s="309" customFormat="1" ht="24" customHeight="1" spans="1:15">
      <c r="A14" s="313"/>
      <c r="B14" s="332" t="s">
        <v>43</v>
      </c>
      <c r="C14" s="333">
        <f>进出水!D38</f>
        <v>115.870967741935</v>
      </c>
      <c r="D14" s="334"/>
      <c r="E14" s="333">
        <f>进出水!V38</f>
        <v>5</v>
      </c>
      <c r="F14" s="334"/>
      <c r="G14" s="335">
        <f t="shared" ref="G14:G17" si="0">(C14-E14)/C14</f>
        <v>0.95684855233853</v>
      </c>
      <c r="H14" s="336"/>
      <c r="I14" s="333">
        <f>(C14-5)*C3/1000</f>
        <v>552240.307612903</v>
      </c>
      <c r="J14" s="359"/>
      <c r="K14" s="313"/>
      <c r="L14" s="360" t="s">
        <v>44</v>
      </c>
      <c r="M14" s="317">
        <f>处理量!G37</f>
        <v>0</v>
      </c>
      <c r="O14" s="42"/>
    </row>
    <row r="15" s="309" customFormat="1" ht="24" customHeight="1" spans="1:15">
      <c r="A15" s="313"/>
      <c r="B15" s="332" t="s">
        <v>45</v>
      </c>
      <c r="C15" s="337">
        <f>进出水!E38</f>
        <v>3.30322580645161</v>
      </c>
      <c r="D15" s="338"/>
      <c r="E15" s="339">
        <f>进出水!W38</f>
        <v>0.143225806451613</v>
      </c>
      <c r="F15" s="340"/>
      <c r="G15" s="335">
        <f t="shared" si="0"/>
        <v>0.956640625</v>
      </c>
      <c r="H15" s="336"/>
      <c r="I15" s="333">
        <f>(C15-E15)*C3/1000</f>
        <v>15739.73248</v>
      </c>
      <c r="J15" s="359"/>
      <c r="K15" s="357" t="s">
        <v>46</v>
      </c>
      <c r="L15" s="361" t="s">
        <v>47</v>
      </c>
      <c r="M15" s="323">
        <v>31</v>
      </c>
      <c r="O15" s="42">
        <f>ROUND(C$3*E15/1000000,2)</f>
        <v>0.71</v>
      </c>
    </row>
    <row r="16" s="309" customFormat="1" ht="24" customHeight="1" spans="1:15">
      <c r="A16" s="313"/>
      <c r="B16" s="332" t="s">
        <v>48</v>
      </c>
      <c r="C16" s="341">
        <f>进出水!G38</f>
        <v>28.7032258064516</v>
      </c>
      <c r="D16" s="342"/>
      <c r="E16" s="339">
        <f>进出水!Y38</f>
        <v>5.91612903225807</v>
      </c>
      <c r="F16" s="340"/>
      <c r="G16" s="335">
        <f t="shared" si="0"/>
        <v>0.793886266576759</v>
      </c>
      <c r="H16" s="336"/>
      <c r="I16" s="333">
        <f>(C16-E16)*C3/1000</f>
        <v>113500.88836129</v>
      </c>
      <c r="J16" s="359"/>
      <c r="K16" s="362"/>
      <c r="L16" s="363" t="s">
        <v>49</v>
      </c>
      <c r="M16" s="323">
        <v>31</v>
      </c>
      <c r="O16" s="42">
        <f>ROUND(C$3*E16/1000000,2)</f>
        <v>29.47</v>
      </c>
    </row>
    <row r="17" s="309" customFormat="1" ht="24" customHeight="1" spans="1:15">
      <c r="A17" s="313"/>
      <c r="B17" s="332" t="s">
        <v>50</v>
      </c>
      <c r="C17" s="341">
        <f>进出水!F38</f>
        <v>22.0890322580645</v>
      </c>
      <c r="D17" s="342"/>
      <c r="E17" s="339">
        <f>进出水!X38</f>
        <v>0.136129032258065</v>
      </c>
      <c r="F17" s="340"/>
      <c r="G17" s="335">
        <f t="shared" si="0"/>
        <v>0.993837256849115</v>
      </c>
      <c r="H17" s="336"/>
      <c r="I17" s="333">
        <f>(C17-E17)*C3/1000</f>
        <v>109345.83035871</v>
      </c>
      <c r="J17" s="359"/>
      <c r="K17" s="362"/>
      <c r="L17" s="363" t="s">
        <v>51</v>
      </c>
      <c r="M17" s="323">
        <v>31</v>
      </c>
      <c r="O17" s="42">
        <f>ROUND(C$3*E17/1000000,2)</f>
        <v>0.68</v>
      </c>
    </row>
    <row r="18" s="309" customFormat="1" ht="24" customHeight="1" spans="1:13">
      <c r="A18" s="313"/>
      <c r="B18" s="324" t="s">
        <v>52</v>
      </c>
      <c r="C18" s="343" t="s">
        <v>53</v>
      </c>
      <c r="D18" s="344"/>
      <c r="E18" s="339" t="s">
        <v>54</v>
      </c>
      <c r="F18" s="340"/>
      <c r="G18" s="343" t="s">
        <v>53</v>
      </c>
      <c r="H18" s="345"/>
      <c r="I18" s="333" t="s">
        <v>53</v>
      </c>
      <c r="J18" s="359"/>
      <c r="K18" s="364"/>
      <c r="L18" s="326" t="s">
        <v>55</v>
      </c>
      <c r="M18" s="323">
        <v>100</v>
      </c>
    </row>
    <row r="19" s="309" customFormat="1" ht="20.1" customHeight="1" spans="1:13">
      <c r="A19" s="313" t="s">
        <v>56</v>
      </c>
      <c r="B19" s="346" t="s">
        <v>57</v>
      </c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65"/>
    </row>
    <row r="20" s="309" customFormat="1" ht="32" customHeight="1" spans="1:13">
      <c r="A20" s="313"/>
      <c r="B20" s="34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66"/>
    </row>
    <row r="21" ht="20.1" customHeight="1" spans="1:13">
      <c r="A21" s="350" t="s">
        <v>58</v>
      </c>
      <c r="B21" s="350"/>
      <c r="C21" s="350"/>
      <c r="D21" s="350"/>
      <c r="E21" s="350"/>
      <c r="F21" s="350"/>
      <c r="G21" s="350"/>
      <c r="H21" s="350"/>
      <c r="I21" s="350"/>
      <c r="J21" s="350"/>
      <c r="K21" s="350"/>
      <c r="L21" s="350"/>
      <c r="M21" s="350"/>
    </row>
    <row r="22" ht="17.25" customHeight="1" spans="9:9">
      <c r="I22" s="367"/>
    </row>
    <row r="23" ht="17.25" customHeight="1" spans="5:9">
      <c r="E23" s="351"/>
      <c r="I23" s="367"/>
    </row>
    <row r="24" ht="17.25" customHeight="1" spans="5:9">
      <c r="E24" s="351"/>
      <c r="I24" s="367"/>
    </row>
    <row r="25" ht="17.25" customHeight="1" spans="5:9">
      <c r="E25" s="351"/>
      <c r="I25" s="367"/>
    </row>
    <row r="26" ht="17.25" customHeight="1" spans="5:9">
      <c r="E26" s="351"/>
      <c r="I26" s="367"/>
    </row>
    <row r="27" ht="17.25" customHeight="1" spans="5:9">
      <c r="E27" s="351"/>
      <c r="I27" s="367"/>
    </row>
    <row r="28" ht="17.25" customHeight="1" spans="5:9">
      <c r="E28" s="351"/>
      <c r="I28" s="367"/>
    </row>
    <row r="29" ht="17.25" customHeight="1" spans="9:9">
      <c r="I29" s="367"/>
    </row>
    <row r="30" ht="17.25" customHeight="1" spans="9:9">
      <c r="I30" s="367"/>
    </row>
    <row r="31" ht="17.25" customHeight="1" spans="9:9">
      <c r="I31" s="367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43"/>
  <sheetViews>
    <sheetView tabSelected="1" zoomScale="90" zoomScaleNormal="90" topLeftCell="R1" workbookViewId="0">
      <selection activeCell="AA33" sqref="AA33"/>
    </sheetView>
  </sheetViews>
  <sheetFormatPr defaultColWidth="7.9" defaultRowHeight="14.25"/>
  <cols>
    <col min="1" max="1" width="5.625" style="277" customWidth="1"/>
    <col min="2" max="2" width="6.625" style="277" customWidth="1"/>
    <col min="3" max="3" width="6" style="277" customWidth="1"/>
    <col min="4" max="4" width="10.125" style="277" customWidth="1"/>
    <col min="5" max="5" width="6.875" style="277" customWidth="1"/>
    <col min="6" max="6" width="9" style="277" customWidth="1"/>
    <col min="7" max="7" width="6.75" style="278" customWidth="1"/>
    <col min="8" max="8" width="7.625" style="278" customWidth="1"/>
    <col min="9" max="10" width="7" style="277" customWidth="1"/>
    <col min="11" max="11" width="6.625" style="277" customWidth="1"/>
    <col min="12" max="12" width="8.125" style="277" customWidth="1"/>
    <col min="13" max="13" width="7.5" style="277" customWidth="1"/>
    <col min="14" max="14" width="6.625" style="277" customWidth="1"/>
    <col min="15" max="15" width="7.375" style="277" customWidth="1"/>
    <col min="16" max="16" width="7" style="277" customWidth="1"/>
    <col min="17" max="17" width="9.625" style="277" customWidth="1"/>
    <col min="18" max="18" width="9.375" style="277" customWidth="1"/>
    <col min="19" max="19" width="6.625" style="277" customWidth="1"/>
    <col min="20" max="20" width="10.5" style="277" customWidth="1"/>
    <col min="21" max="21" width="9" style="279" customWidth="1"/>
    <col min="22" max="25" width="8.1" style="277" customWidth="1"/>
    <col min="26" max="26" width="12.5" style="277" customWidth="1"/>
    <col min="27" max="27" width="15.5" style="277" customWidth="1"/>
    <col min="28" max="28" width="13.75" style="277"/>
    <col min="29" max="16384" width="7.9" style="277"/>
  </cols>
  <sheetData>
    <row r="1" s="275" customFormat="1" ht="18.75" spans="1:32">
      <c r="A1" s="280" t="s">
        <v>59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79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</row>
    <row r="2" s="275" customFormat="1" ht="14" customHeight="1" spans="1:32">
      <c r="A2" s="282">
        <v>44409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79"/>
      <c r="V2" s="277"/>
      <c r="W2" s="277"/>
      <c r="X2" s="277"/>
      <c r="Y2" s="277"/>
      <c r="Z2" s="277"/>
      <c r="AA2" s="277"/>
      <c r="AB2" s="277"/>
      <c r="AC2" s="277"/>
      <c r="AD2" s="277"/>
      <c r="AE2" s="277"/>
      <c r="AF2" s="277"/>
    </row>
    <row r="3" s="275" customFormat="1" ht="19" customHeight="1" spans="1:32">
      <c r="A3" s="284" t="s">
        <v>60</v>
      </c>
      <c r="B3" s="285" t="s">
        <v>61</v>
      </c>
      <c r="C3" s="285" t="s">
        <v>62</v>
      </c>
      <c r="D3" s="284" t="s">
        <v>63</v>
      </c>
      <c r="E3" s="286" t="s">
        <v>64</v>
      </c>
      <c r="F3" s="286"/>
      <c r="G3" s="286"/>
      <c r="H3" s="285" t="s">
        <v>65</v>
      </c>
      <c r="I3" s="296" t="s">
        <v>66</v>
      </c>
      <c r="J3" s="297"/>
      <c r="K3" s="298"/>
      <c r="L3" s="285" t="s">
        <v>67</v>
      </c>
      <c r="M3" s="285" t="s">
        <v>68</v>
      </c>
      <c r="N3" s="284" t="s">
        <v>69</v>
      </c>
      <c r="O3" s="285" t="s">
        <v>70</v>
      </c>
      <c r="P3" s="285" t="s">
        <v>71</v>
      </c>
      <c r="Q3" s="286" t="s">
        <v>72</v>
      </c>
      <c r="R3" s="286"/>
      <c r="S3" s="284" t="s">
        <v>73</v>
      </c>
      <c r="T3" s="284" t="s">
        <v>74</v>
      </c>
      <c r="U3" s="279" t="s">
        <v>75</v>
      </c>
      <c r="V3" s="277"/>
      <c r="W3" s="277"/>
      <c r="X3" s="277"/>
      <c r="Y3" s="277" t="s">
        <v>76</v>
      </c>
      <c r="Z3" s="277"/>
      <c r="AA3" s="277" t="s">
        <v>77</v>
      </c>
      <c r="AB3" s="277">
        <v>4900</v>
      </c>
      <c r="AC3" s="277" t="s">
        <v>78</v>
      </c>
      <c r="AD3" s="277"/>
      <c r="AE3" s="277" t="s">
        <v>75</v>
      </c>
      <c r="AF3" s="277">
        <v>12800</v>
      </c>
    </row>
    <row r="4" s="275" customFormat="1" ht="20" customHeight="1" spans="1:32">
      <c r="A4" s="287"/>
      <c r="B4" s="287" t="s">
        <v>79</v>
      </c>
      <c r="C4" s="287" t="s">
        <v>80</v>
      </c>
      <c r="D4" s="287"/>
      <c r="E4" s="286" t="s">
        <v>81</v>
      </c>
      <c r="F4" s="286" t="s">
        <v>82</v>
      </c>
      <c r="G4" s="286" t="s">
        <v>83</v>
      </c>
      <c r="H4" s="287" t="s">
        <v>84</v>
      </c>
      <c r="I4" s="287" t="s">
        <v>85</v>
      </c>
      <c r="J4" s="287" t="s">
        <v>86</v>
      </c>
      <c r="K4" s="287" t="s">
        <v>87</v>
      </c>
      <c r="L4" s="287" t="s">
        <v>88</v>
      </c>
      <c r="M4" s="287" t="s">
        <v>89</v>
      </c>
      <c r="N4" s="287"/>
      <c r="O4" s="287" t="s">
        <v>84</v>
      </c>
      <c r="P4" s="287" t="s">
        <v>84</v>
      </c>
      <c r="Q4" s="286" t="s">
        <v>90</v>
      </c>
      <c r="R4" s="286" t="s">
        <v>91</v>
      </c>
      <c r="S4" s="287"/>
      <c r="T4" s="287"/>
      <c r="U4" s="279"/>
      <c r="V4" s="277"/>
      <c r="W4" s="277"/>
      <c r="X4" s="277"/>
      <c r="Y4" s="277"/>
      <c r="Z4" s="277"/>
      <c r="AA4" s="277"/>
      <c r="AB4" s="277"/>
      <c r="AC4" s="277"/>
      <c r="AD4" s="277"/>
      <c r="AE4" s="277"/>
      <c r="AF4" s="277"/>
    </row>
    <row r="5" s="275" customFormat="1" ht="16" customHeight="1" spans="1:32">
      <c r="A5" s="21">
        <v>1</v>
      </c>
      <c r="B5" s="288">
        <v>30.5</v>
      </c>
      <c r="C5" s="289" t="s">
        <v>92</v>
      </c>
      <c r="D5" s="290">
        <v>163808</v>
      </c>
      <c r="E5" s="291">
        <v>18.36</v>
      </c>
      <c r="F5" s="291">
        <v>123.68</v>
      </c>
      <c r="G5" s="291">
        <v>0</v>
      </c>
      <c r="H5" s="292">
        <v>125</v>
      </c>
      <c r="I5" s="290">
        <v>3128</v>
      </c>
      <c r="J5" s="290">
        <v>3602</v>
      </c>
      <c r="K5" s="290">
        <v>3266</v>
      </c>
      <c r="L5" s="288">
        <v>46502.96</v>
      </c>
      <c r="M5" s="299">
        <v>2.16</v>
      </c>
      <c r="N5" s="299">
        <v>0</v>
      </c>
      <c r="O5" s="300">
        <v>2288</v>
      </c>
      <c r="P5" s="300">
        <v>572</v>
      </c>
      <c r="Q5" s="291">
        <v>3.15835</v>
      </c>
      <c r="R5" s="291">
        <v>0.856549999999988</v>
      </c>
      <c r="S5" s="300">
        <v>0</v>
      </c>
      <c r="T5" s="300">
        <f>D5-S5</f>
        <v>163808</v>
      </c>
      <c r="U5" s="302">
        <v>48</v>
      </c>
      <c r="V5" s="277">
        <f>E5+F5</f>
        <v>142.04</v>
      </c>
      <c r="W5" s="303"/>
      <c r="X5" s="277"/>
      <c r="Y5" s="277"/>
      <c r="Z5" s="277"/>
      <c r="AA5" s="277"/>
      <c r="AB5" s="277"/>
      <c r="AC5" s="277"/>
      <c r="AD5" s="277"/>
      <c r="AE5" s="277"/>
      <c r="AF5" s="277"/>
    </row>
    <row r="6" s="275" customFormat="1" ht="16" customHeight="1" spans="1:32">
      <c r="A6" s="21">
        <v>2</v>
      </c>
      <c r="B6" s="288">
        <v>30.3</v>
      </c>
      <c r="C6" s="289" t="s">
        <v>92</v>
      </c>
      <c r="D6" s="290">
        <v>159840</v>
      </c>
      <c r="E6" s="291">
        <v>16.96</v>
      </c>
      <c r="F6" s="291">
        <v>87.22</v>
      </c>
      <c r="G6" s="291">
        <v>0</v>
      </c>
      <c r="H6" s="292">
        <v>100</v>
      </c>
      <c r="I6" s="290">
        <v>3352</v>
      </c>
      <c r="J6" s="290">
        <v>3252</v>
      </c>
      <c r="K6" s="290">
        <v>3148</v>
      </c>
      <c r="L6" s="288">
        <v>48903.04</v>
      </c>
      <c r="M6" s="299">
        <v>0</v>
      </c>
      <c r="N6" s="299">
        <v>0</v>
      </c>
      <c r="O6" s="300">
        <v>2245</v>
      </c>
      <c r="P6" s="300">
        <v>561.25</v>
      </c>
      <c r="Q6" s="291">
        <v>3.20390000000001</v>
      </c>
      <c r="R6" s="291">
        <v>0.8685</v>
      </c>
      <c r="S6" s="300">
        <v>0</v>
      </c>
      <c r="T6" s="300">
        <f t="shared" ref="T6:T36" si="0">D6-S6</f>
        <v>159840</v>
      </c>
      <c r="U6" s="302">
        <v>48</v>
      </c>
      <c r="V6" s="277">
        <f t="shared" ref="V6:V35" si="1">E6+F6</f>
        <v>104.18</v>
      </c>
      <c r="W6" s="303"/>
      <c r="X6" s="277"/>
      <c r="Y6" s="277"/>
      <c r="Z6" s="277"/>
      <c r="AA6" s="277"/>
      <c r="AB6" s="277"/>
      <c r="AC6" s="277"/>
      <c r="AD6" s="277"/>
      <c r="AE6" s="277"/>
      <c r="AF6" s="277"/>
    </row>
    <row r="7" s="275" customFormat="1" ht="16" customHeight="1" spans="1:32">
      <c r="A7" s="21">
        <v>3</v>
      </c>
      <c r="B7" s="288">
        <v>30.1</v>
      </c>
      <c r="C7" s="289" t="s">
        <v>93</v>
      </c>
      <c r="D7" s="290">
        <v>161120</v>
      </c>
      <c r="E7" s="291">
        <v>0</v>
      </c>
      <c r="F7" s="291">
        <v>71.32</v>
      </c>
      <c r="G7" s="291">
        <v>0</v>
      </c>
      <c r="H7" s="292">
        <v>0</v>
      </c>
      <c r="I7" s="290">
        <v>3424</v>
      </c>
      <c r="J7" s="290">
        <v>3020</v>
      </c>
      <c r="K7" s="290">
        <v>3280</v>
      </c>
      <c r="L7" s="288">
        <v>47802.99</v>
      </c>
      <c r="M7" s="299">
        <v>0</v>
      </c>
      <c r="N7" s="299">
        <v>0</v>
      </c>
      <c r="O7" s="300">
        <v>2233</v>
      </c>
      <c r="P7" s="300">
        <v>558.25</v>
      </c>
      <c r="Q7" s="291">
        <v>3.2734</v>
      </c>
      <c r="R7" s="291">
        <v>0.885850000000035</v>
      </c>
      <c r="S7" s="300">
        <v>0</v>
      </c>
      <c r="T7" s="300">
        <f t="shared" si="0"/>
        <v>161120</v>
      </c>
      <c r="U7" s="302">
        <v>48</v>
      </c>
      <c r="V7" s="277">
        <f t="shared" si="1"/>
        <v>71.32</v>
      </c>
      <c r="W7" s="303"/>
      <c r="X7" s="277"/>
      <c r="Y7" s="277"/>
      <c r="Z7" s="277" t="s">
        <v>94</v>
      </c>
      <c r="AA7" s="277" t="s">
        <v>95</v>
      </c>
      <c r="AB7" s="277" t="s">
        <v>96</v>
      </c>
      <c r="AC7" s="277"/>
      <c r="AD7" s="277"/>
      <c r="AE7" s="277"/>
      <c r="AF7" s="277"/>
    </row>
    <row r="8" s="275" customFormat="1" ht="16" customHeight="1" spans="1:32">
      <c r="A8" s="21">
        <v>4</v>
      </c>
      <c r="B8" s="288">
        <v>30.3</v>
      </c>
      <c r="C8" s="289" t="s">
        <v>92</v>
      </c>
      <c r="D8" s="290">
        <v>163008</v>
      </c>
      <c r="E8" s="291">
        <v>0</v>
      </c>
      <c r="F8" s="291">
        <v>34.68</v>
      </c>
      <c r="G8" s="291">
        <v>0</v>
      </c>
      <c r="H8" s="292">
        <v>0</v>
      </c>
      <c r="I8" s="301">
        <v>3644</v>
      </c>
      <c r="J8" s="301">
        <v>3778</v>
      </c>
      <c r="K8" s="301">
        <v>3512</v>
      </c>
      <c r="L8" s="288">
        <v>48203</v>
      </c>
      <c r="M8" s="299">
        <v>0</v>
      </c>
      <c r="N8" s="299">
        <v>0</v>
      </c>
      <c r="O8" s="300">
        <v>2216</v>
      </c>
      <c r="P8" s="300">
        <v>554</v>
      </c>
      <c r="Q8" s="291">
        <v>2.4168</v>
      </c>
      <c r="R8" s="291">
        <v>0.866799999999988</v>
      </c>
      <c r="S8" s="300">
        <v>0</v>
      </c>
      <c r="T8" s="300">
        <f t="shared" si="0"/>
        <v>163008</v>
      </c>
      <c r="U8" s="302">
        <v>48</v>
      </c>
      <c r="V8" s="277">
        <f t="shared" si="1"/>
        <v>34.68</v>
      </c>
      <c r="W8" s="303"/>
      <c r="X8" s="277"/>
      <c r="Y8" s="277" t="s">
        <v>97</v>
      </c>
      <c r="Z8" s="307">
        <v>0.551</v>
      </c>
      <c r="AA8" s="308">
        <f>L37</f>
        <v>1505593.86</v>
      </c>
      <c r="AB8" s="308">
        <f t="shared" ref="AB8:AB14" si="2">AA8*Z8</f>
        <v>829582.21686</v>
      </c>
      <c r="AC8" s="277"/>
      <c r="AD8" s="277"/>
      <c r="AE8" s="277"/>
      <c r="AF8" s="277"/>
    </row>
    <row r="9" s="275" customFormat="1" ht="16" customHeight="1" spans="1:32">
      <c r="A9" s="21">
        <v>5</v>
      </c>
      <c r="B9" s="288">
        <v>31.7</v>
      </c>
      <c r="C9" s="289" t="s">
        <v>92</v>
      </c>
      <c r="D9" s="290">
        <v>160832</v>
      </c>
      <c r="E9" s="291">
        <v>0</v>
      </c>
      <c r="F9" s="291">
        <v>35.26</v>
      </c>
      <c r="G9" s="291">
        <v>0</v>
      </c>
      <c r="H9" s="292">
        <v>0</v>
      </c>
      <c r="I9" s="290">
        <v>3542</v>
      </c>
      <c r="J9" s="290">
        <v>3100</v>
      </c>
      <c r="K9" s="290">
        <v>3230</v>
      </c>
      <c r="L9" s="288">
        <v>49003.05</v>
      </c>
      <c r="M9" s="299">
        <v>6.36</v>
      </c>
      <c r="N9" s="299">
        <v>0</v>
      </c>
      <c r="O9" s="300">
        <v>2262</v>
      </c>
      <c r="P9" s="300">
        <v>565.5</v>
      </c>
      <c r="Q9" s="291">
        <v>2.38195000000001</v>
      </c>
      <c r="R9" s="291">
        <v>0.855649999999965</v>
      </c>
      <c r="S9" s="300">
        <v>0</v>
      </c>
      <c r="T9" s="300">
        <f t="shared" si="0"/>
        <v>160832</v>
      </c>
      <c r="U9" s="302">
        <v>48</v>
      </c>
      <c r="V9" s="277">
        <f t="shared" si="1"/>
        <v>35.26</v>
      </c>
      <c r="W9" s="303"/>
      <c r="X9" s="277"/>
      <c r="Y9" s="277" t="s">
        <v>98</v>
      </c>
      <c r="Z9" s="307">
        <v>28040</v>
      </c>
      <c r="AA9" s="308">
        <f>H37/1000</f>
        <v>2.675</v>
      </c>
      <c r="AB9" s="308">
        <f t="shared" si="2"/>
        <v>75007</v>
      </c>
      <c r="AC9" s="277"/>
      <c r="AD9" s="277"/>
      <c r="AE9" s="277"/>
      <c r="AF9" s="277"/>
    </row>
    <row r="10" s="275" customFormat="1" ht="16" customHeight="1" spans="1:32">
      <c r="A10" s="21">
        <v>6</v>
      </c>
      <c r="B10" s="288">
        <v>31.3</v>
      </c>
      <c r="C10" s="289" t="s">
        <v>93</v>
      </c>
      <c r="D10" s="290">
        <v>160320</v>
      </c>
      <c r="E10" s="291">
        <v>17.48</v>
      </c>
      <c r="F10" s="291">
        <v>0</v>
      </c>
      <c r="G10" s="291">
        <v>0</v>
      </c>
      <c r="H10" s="292">
        <v>0</v>
      </c>
      <c r="I10" s="290">
        <v>3750</v>
      </c>
      <c r="J10" s="290">
        <v>3348</v>
      </c>
      <c r="K10" s="290">
        <v>3410</v>
      </c>
      <c r="L10" s="288">
        <v>49603.09</v>
      </c>
      <c r="M10" s="299">
        <v>10.08</v>
      </c>
      <c r="N10" s="299">
        <v>0</v>
      </c>
      <c r="O10" s="300">
        <v>2234</v>
      </c>
      <c r="P10" s="300">
        <v>558.5</v>
      </c>
      <c r="Q10" s="291">
        <v>2.48669999999998</v>
      </c>
      <c r="R10" s="291">
        <v>0.870200000000012</v>
      </c>
      <c r="S10" s="300">
        <v>0</v>
      </c>
      <c r="T10" s="300">
        <f t="shared" si="0"/>
        <v>160320</v>
      </c>
      <c r="U10" s="302">
        <v>48</v>
      </c>
      <c r="V10" s="277">
        <f t="shared" si="1"/>
        <v>17.48</v>
      </c>
      <c r="W10" s="303"/>
      <c r="X10" s="277"/>
      <c r="Y10" s="277" t="s">
        <v>70</v>
      </c>
      <c r="Z10" s="307">
        <v>430</v>
      </c>
      <c r="AA10" s="308">
        <f>O37/1000</f>
        <v>69.638</v>
      </c>
      <c r="AB10" s="308">
        <f t="shared" si="2"/>
        <v>29944.34</v>
      </c>
      <c r="AC10" s="277"/>
      <c r="AD10" s="277"/>
      <c r="AE10" s="277"/>
      <c r="AF10" s="277"/>
    </row>
    <row r="11" s="275" customFormat="1" ht="16" customHeight="1" spans="1:32">
      <c r="A11" s="21">
        <v>7</v>
      </c>
      <c r="B11" s="288">
        <v>31.5</v>
      </c>
      <c r="C11" s="289" t="s">
        <v>93</v>
      </c>
      <c r="D11" s="290">
        <v>160096</v>
      </c>
      <c r="E11" s="291">
        <v>0</v>
      </c>
      <c r="F11" s="291">
        <v>18.04</v>
      </c>
      <c r="G11" s="291">
        <v>0</v>
      </c>
      <c r="H11" s="292">
        <v>225</v>
      </c>
      <c r="I11" s="290">
        <v>3874</v>
      </c>
      <c r="J11" s="290">
        <v>3754</v>
      </c>
      <c r="K11" s="290">
        <v>3406</v>
      </c>
      <c r="L11" s="288">
        <v>51503.21</v>
      </c>
      <c r="M11" s="299">
        <v>13.08</v>
      </c>
      <c r="N11" s="299">
        <v>0</v>
      </c>
      <c r="O11" s="300">
        <v>2268</v>
      </c>
      <c r="P11" s="300">
        <v>567</v>
      </c>
      <c r="Q11" s="291">
        <v>2.5167</v>
      </c>
      <c r="R11" s="291">
        <v>0.877150000000023</v>
      </c>
      <c r="S11" s="300">
        <v>0</v>
      </c>
      <c r="T11" s="300">
        <f t="shared" si="0"/>
        <v>160096</v>
      </c>
      <c r="U11" s="302">
        <v>48</v>
      </c>
      <c r="V11" s="277">
        <f t="shared" si="1"/>
        <v>18.04</v>
      </c>
      <c r="W11" s="303"/>
      <c r="X11" s="277"/>
      <c r="Y11" s="277" t="s">
        <v>71</v>
      </c>
      <c r="Z11" s="307">
        <v>4900</v>
      </c>
      <c r="AA11" s="308">
        <f>P37/1000</f>
        <v>17.4095</v>
      </c>
      <c r="AB11" s="308">
        <f t="shared" si="2"/>
        <v>85306.55</v>
      </c>
      <c r="AC11" s="277"/>
      <c r="AD11" s="277"/>
      <c r="AE11" s="277"/>
      <c r="AF11" s="277"/>
    </row>
    <row r="12" s="275" customFormat="1" ht="16" customHeight="1" spans="1:32">
      <c r="A12" s="21">
        <v>8</v>
      </c>
      <c r="B12" s="288">
        <v>30.8</v>
      </c>
      <c r="C12" s="289" t="s">
        <v>92</v>
      </c>
      <c r="D12" s="290">
        <v>158720</v>
      </c>
      <c r="E12" s="291">
        <v>16.48</v>
      </c>
      <c r="F12" s="291">
        <v>68.2</v>
      </c>
      <c r="G12" s="291">
        <v>0</v>
      </c>
      <c r="H12" s="292">
        <v>150</v>
      </c>
      <c r="I12" s="290">
        <v>3664</v>
      </c>
      <c r="J12" s="290">
        <v>3854</v>
      </c>
      <c r="K12" s="290">
        <v>3442</v>
      </c>
      <c r="L12" s="288">
        <v>50803.16</v>
      </c>
      <c r="M12" s="299">
        <v>11.4</v>
      </c>
      <c r="N12" s="299">
        <v>0</v>
      </c>
      <c r="O12" s="300">
        <v>2252</v>
      </c>
      <c r="P12" s="300">
        <v>563</v>
      </c>
      <c r="Q12" s="291">
        <v>2.47425000000001</v>
      </c>
      <c r="R12" s="291">
        <v>0.863349999999977</v>
      </c>
      <c r="S12" s="300">
        <v>0</v>
      </c>
      <c r="T12" s="300">
        <f t="shared" si="0"/>
        <v>158720</v>
      </c>
      <c r="U12" s="302">
        <v>48</v>
      </c>
      <c r="V12" s="277">
        <f t="shared" si="1"/>
        <v>84.68</v>
      </c>
      <c r="W12" s="303"/>
      <c r="X12" s="277"/>
      <c r="Y12" s="277" t="s">
        <v>68</v>
      </c>
      <c r="Z12" s="307">
        <v>348</v>
      </c>
      <c r="AA12" s="308">
        <f>M37</f>
        <v>414.48</v>
      </c>
      <c r="AB12" s="308">
        <f t="shared" si="2"/>
        <v>144239.04</v>
      </c>
      <c r="AC12" s="277"/>
      <c r="AD12" s="277"/>
      <c r="AE12" s="277"/>
      <c r="AF12" s="277"/>
    </row>
    <row r="13" s="275" customFormat="1" ht="16" customHeight="1" spans="1:32">
      <c r="A13" s="21">
        <v>9</v>
      </c>
      <c r="B13" s="288">
        <v>32.1</v>
      </c>
      <c r="C13" s="289" t="s">
        <v>92</v>
      </c>
      <c r="D13" s="290">
        <v>159168</v>
      </c>
      <c r="E13" s="291">
        <v>0</v>
      </c>
      <c r="F13" s="291">
        <v>107.8</v>
      </c>
      <c r="G13" s="291">
        <v>0</v>
      </c>
      <c r="H13" s="292">
        <v>150</v>
      </c>
      <c r="I13" s="290">
        <v>3616</v>
      </c>
      <c r="J13" s="290">
        <v>3434</v>
      </c>
      <c r="K13" s="290">
        <v>3280</v>
      </c>
      <c r="L13" s="288">
        <v>52403.26</v>
      </c>
      <c r="M13" s="299">
        <v>15.36</v>
      </c>
      <c r="N13" s="299">
        <v>0</v>
      </c>
      <c r="O13" s="300">
        <v>2017</v>
      </c>
      <c r="P13" s="300">
        <v>504.25</v>
      </c>
      <c r="Q13" s="291">
        <v>2.88125</v>
      </c>
      <c r="R13" s="291">
        <v>0.848850000000035</v>
      </c>
      <c r="S13" s="300">
        <v>0</v>
      </c>
      <c r="T13" s="300">
        <f t="shared" si="0"/>
        <v>159168</v>
      </c>
      <c r="U13" s="302">
        <v>48</v>
      </c>
      <c r="V13" s="277">
        <f t="shared" si="1"/>
        <v>107.8</v>
      </c>
      <c r="W13" s="303"/>
      <c r="X13" s="277"/>
      <c r="Y13" s="277" t="s">
        <v>75</v>
      </c>
      <c r="Z13" s="307">
        <v>12800</v>
      </c>
      <c r="AA13" s="308">
        <f>U37/1000</f>
        <v>1.488</v>
      </c>
      <c r="AB13" s="308">
        <f t="shared" si="2"/>
        <v>19046.4</v>
      </c>
      <c r="AC13" s="277"/>
      <c r="AD13" s="277"/>
      <c r="AE13" s="277"/>
      <c r="AF13" s="277"/>
    </row>
    <row r="14" s="275" customFormat="1" ht="16" customHeight="1" spans="1:32">
      <c r="A14" s="21">
        <v>10</v>
      </c>
      <c r="B14" s="288">
        <v>31.2</v>
      </c>
      <c r="C14" s="289" t="s">
        <v>99</v>
      </c>
      <c r="D14" s="290">
        <v>159616</v>
      </c>
      <c r="E14" s="291">
        <v>34.1</v>
      </c>
      <c r="F14" s="291">
        <v>89.94</v>
      </c>
      <c r="G14" s="291">
        <v>0</v>
      </c>
      <c r="H14" s="292">
        <v>100</v>
      </c>
      <c r="I14" s="290">
        <v>3688</v>
      </c>
      <c r="J14" s="290">
        <v>3618</v>
      </c>
      <c r="K14" s="290">
        <v>3406</v>
      </c>
      <c r="L14" s="288">
        <v>51803.23</v>
      </c>
      <c r="M14" s="299">
        <v>15.96</v>
      </c>
      <c r="N14" s="299">
        <v>0</v>
      </c>
      <c r="O14" s="300">
        <v>2064</v>
      </c>
      <c r="P14" s="300">
        <v>516</v>
      </c>
      <c r="Q14" s="291">
        <v>2.5293</v>
      </c>
      <c r="R14" s="291">
        <v>0.88175</v>
      </c>
      <c r="S14" s="300">
        <v>0</v>
      </c>
      <c r="T14" s="300">
        <f t="shared" si="0"/>
        <v>159616</v>
      </c>
      <c r="U14" s="302">
        <v>48</v>
      </c>
      <c r="V14" s="277">
        <f t="shared" si="1"/>
        <v>124.04</v>
      </c>
      <c r="W14" s="303"/>
      <c r="X14" s="277"/>
      <c r="Y14" s="277" t="s">
        <v>100</v>
      </c>
      <c r="Z14" s="307">
        <v>22.18</v>
      </c>
      <c r="AA14" s="308">
        <f>G41</f>
        <v>2476.46</v>
      </c>
      <c r="AB14" s="308">
        <f t="shared" si="2"/>
        <v>54927.8828</v>
      </c>
      <c r="AC14" s="277"/>
      <c r="AD14" s="277"/>
      <c r="AE14" s="277"/>
      <c r="AF14" s="277"/>
    </row>
    <row r="15" s="275" customFormat="1" ht="16" customHeight="1" spans="1:32">
      <c r="A15" s="21">
        <v>11</v>
      </c>
      <c r="B15" s="288">
        <v>30.8</v>
      </c>
      <c r="C15" s="289" t="s">
        <v>93</v>
      </c>
      <c r="D15" s="290">
        <v>155296</v>
      </c>
      <c r="E15" s="291">
        <v>0</v>
      </c>
      <c r="F15" s="291">
        <v>125.44</v>
      </c>
      <c r="G15" s="291">
        <v>0</v>
      </c>
      <c r="H15" s="292">
        <v>50</v>
      </c>
      <c r="I15" s="290">
        <v>3700</v>
      </c>
      <c r="J15" s="290">
        <v>3554</v>
      </c>
      <c r="K15" s="290">
        <v>3600</v>
      </c>
      <c r="L15" s="288">
        <v>50603.16</v>
      </c>
      <c r="M15" s="299">
        <v>18.24</v>
      </c>
      <c r="N15" s="299">
        <v>0</v>
      </c>
      <c r="O15" s="300">
        <v>2000</v>
      </c>
      <c r="P15" s="300">
        <v>500</v>
      </c>
      <c r="Q15" s="291">
        <v>2.49954999999999</v>
      </c>
      <c r="R15" s="291">
        <v>0.879799999999988</v>
      </c>
      <c r="S15" s="300">
        <v>0</v>
      </c>
      <c r="T15" s="300">
        <f t="shared" si="0"/>
        <v>155296</v>
      </c>
      <c r="U15" s="302">
        <v>48</v>
      </c>
      <c r="V15" s="277">
        <f t="shared" si="1"/>
        <v>125.44</v>
      </c>
      <c r="W15" s="303"/>
      <c r="X15" s="277"/>
      <c r="Y15" s="277"/>
      <c r="Z15" s="277"/>
      <c r="AA15" s="277"/>
      <c r="AB15" s="277"/>
      <c r="AC15" s="277"/>
      <c r="AD15" s="277"/>
      <c r="AE15" s="277"/>
      <c r="AF15" s="277"/>
    </row>
    <row r="16" s="275" customFormat="1" ht="16" customHeight="1" spans="1:32">
      <c r="A16" s="21">
        <v>12</v>
      </c>
      <c r="B16" s="288">
        <v>30.8</v>
      </c>
      <c r="C16" s="289" t="s">
        <v>93</v>
      </c>
      <c r="D16" s="290">
        <v>157056</v>
      </c>
      <c r="E16" s="291">
        <v>14.32</v>
      </c>
      <c r="F16" s="291">
        <v>17.34</v>
      </c>
      <c r="G16" s="291">
        <v>0</v>
      </c>
      <c r="H16" s="292">
        <v>0</v>
      </c>
      <c r="I16" s="290">
        <v>3556</v>
      </c>
      <c r="J16" s="290">
        <v>3588</v>
      </c>
      <c r="K16" s="290">
        <v>3346</v>
      </c>
      <c r="L16" s="288">
        <v>48803.03</v>
      </c>
      <c r="M16" s="299">
        <v>20.76</v>
      </c>
      <c r="N16" s="299">
        <v>0</v>
      </c>
      <c r="O16" s="300">
        <v>2044</v>
      </c>
      <c r="P16" s="300">
        <v>511</v>
      </c>
      <c r="Q16" s="291">
        <v>2.62835</v>
      </c>
      <c r="R16" s="291">
        <v>0.915549999999988</v>
      </c>
      <c r="S16" s="300">
        <v>0</v>
      </c>
      <c r="T16" s="300">
        <f t="shared" si="0"/>
        <v>157056</v>
      </c>
      <c r="U16" s="302">
        <v>48</v>
      </c>
      <c r="V16" s="277">
        <f t="shared" si="1"/>
        <v>31.66</v>
      </c>
      <c r="W16" s="303"/>
      <c r="X16" s="277"/>
      <c r="Y16" s="277"/>
      <c r="Z16" s="277"/>
      <c r="AA16" s="277"/>
      <c r="AB16" s="277"/>
      <c r="AC16" s="277"/>
      <c r="AD16" s="277"/>
      <c r="AE16" s="277"/>
      <c r="AF16" s="277"/>
    </row>
    <row r="17" s="275" customFormat="1" ht="16" customHeight="1" spans="1:32">
      <c r="A17" s="21">
        <v>13</v>
      </c>
      <c r="B17" s="288">
        <v>31.2</v>
      </c>
      <c r="C17" s="289" t="s">
        <v>93</v>
      </c>
      <c r="D17" s="290">
        <v>160736</v>
      </c>
      <c r="E17" s="291">
        <v>0</v>
      </c>
      <c r="F17" s="291">
        <v>18.54</v>
      </c>
      <c r="G17" s="291">
        <v>0</v>
      </c>
      <c r="H17" s="292">
        <v>125</v>
      </c>
      <c r="I17" s="290">
        <v>3722</v>
      </c>
      <c r="J17" s="290">
        <v>3642</v>
      </c>
      <c r="K17" s="290">
        <v>3510</v>
      </c>
      <c r="L17" s="288">
        <v>49203.08</v>
      </c>
      <c r="M17" s="299">
        <v>23.76</v>
      </c>
      <c r="N17" s="299">
        <v>0</v>
      </c>
      <c r="O17" s="300">
        <v>2016</v>
      </c>
      <c r="P17" s="300">
        <v>504</v>
      </c>
      <c r="Q17" s="291">
        <v>2.2855</v>
      </c>
      <c r="R17" s="291">
        <v>0.797049999999988</v>
      </c>
      <c r="S17" s="300">
        <v>0</v>
      </c>
      <c r="T17" s="300">
        <f t="shared" si="0"/>
        <v>160736</v>
      </c>
      <c r="U17" s="302">
        <v>48</v>
      </c>
      <c r="V17" s="277">
        <f t="shared" si="1"/>
        <v>18.54</v>
      </c>
      <c r="W17" s="303"/>
      <c r="X17" s="277"/>
      <c r="Y17" s="277"/>
      <c r="Z17" s="277"/>
      <c r="AA17" s="277"/>
      <c r="AB17" s="277"/>
      <c r="AC17" s="277"/>
      <c r="AD17" s="277"/>
      <c r="AE17" s="277"/>
      <c r="AF17" s="277"/>
    </row>
    <row r="18" s="275" customFormat="1" ht="16" customHeight="1" spans="1:32">
      <c r="A18" s="21">
        <v>14</v>
      </c>
      <c r="B18" s="288">
        <v>30.6</v>
      </c>
      <c r="C18" s="289" t="s">
        <v>99</v>
      </c>
      <c r="D18" s="290">
        <v>159840</v>
      </c>
      <c r="E18" s="291">
        <v>0</v>
      </c>
      <c r="F18" s="291">
        <v>99.48</v>
      </c>
      <c r="G18" s="291">
        <v>0</v>
      </c>
      <c r="H18" s="292">
        <v>150</v>
      </c>
      <c r="I18" s="290">
        <v>3950</v>
      </c>
      <c r="J18" s="290">
        <v>3654</v>
      </c>
      <c r="K18" s="290">
        <v>3712</v>
      </c>
      <c r="L18" s="288">
        <v>47702.97</v>
      </c>
      <c r="M18" s="299">
        <v>23.4</v>
      </c>
      <c r="N18" s="299">
        <v>0</v>
      </c>
      <c r="O18" s="300">
        <v>2201</v>
      </c>
      <c r="P18" s="300">
        <v>550.25</v>
      </c>
      <c r="Q18" s="291">
        <v>2.54244999999999</v>
      </c>
      <c r="R18" s="291">
        <v>0.886</v>
      </c>
      <c r="S18" s="300">
        <v>0</v>
      </c>
      <c r="T18" s="300">
        <f t="shared" si="0"/>
        <v>159840</v>
      </c>
      <c r="U18" s="302">
        <v>48</v>
      </c>
      <c r="V18" s="277">
        <f t="shared" si="1"/>
        <v>99.48</v>
      </c>
      <c r="W18" s="303"/>
      <c r="X18" s="277"/>
      <c r="Y18" s="277"/>
      <c r="Z18" s="277"/>
      <c r="AA18" s="277"/>
      <c r="AB18" s="277"/>
      <c r="AC18" s="277"/>
      <c r="AD18" s="277"/>
      <c r="AE18" s="277"/>
      <c r="AF18" s="277"/>
    </row>
    <row r="19" s="275" customFormat="1" ht="16" customHeight="1" spans="1:32">
      <c r="A19" s="21">
        <v>15</v>
      </c>
      <c r="B19" s="288">
        <v>30.2</v>
      </c>
      <c r="C19" s="289" t="s">
        <v>99</v>
      </c>
      <c r="D19" s="290">
        <v>157248</v>
      </c>
      <c r="E19" s="291">
        <v>0</v>
      </c>
      <c r="F19" s="291">
        <v>137.9</v>
      </c>
      <c r="G19" s="291">
        <v>0</v>
      </c>
      <c r="H19" s="292">
        <v>150</v>
      </c>
      <c r="I19" s="290">
        <v>3862</v>
      </c>
      <c r="J19" s="290">
        <v>3340</v>
      </c>
      <c r="K19" s="290">
        <v>3518</v>
      </c>
      <c r="L19" s="288">
        <v>45502.83</v>
      </c>
      <c r="M19" s="299">
        <v>14.4</v>
      </c>
      <c r="N19" s="299">
        <v>0</v>
      </c>
      <c r="O19" s="300">
        <v>2212</v>
      </c>
      <c r="P19" s="300">
        <v>553</v>
      </c>
      <c r="Q19" s="291">
        <v>2.52945000000001</v>
      </c>
      <c r="R19" s="291">
        <v>0.881700000000012</v>
      </c>
      <c r="S19" s="300">
        <v>0</v>
      </c>
      <c r="T19" s="300">
        <f t="shared" si="0"/>
        <v>157248</v>
      </c>
      <c r="U19" s="302">
        <v>48</v>
      </c>
      <c r="V19" s="277">
        <f t="shared" si="1"/>
        <v>137.9</v>
      </c>
      <c r="W19" s="303"/>
      <c r="X19" s="277"/>
      <c r="Y19" s="277"/>
      <c r="Z19" s="277"/>
      <c r="AA19" s="277"/>
      <c r="AB19" s="277"/>
      <c r="AC19" s="277"/>
      <c r="AD19" s="277"/>
      <c r="AE19" s="277"/>
      <c r="AF19" s="277"/>
    </row>
    <row r="20" s="275" customFormat="1" ht="16" customHeight="1" spans="1:32">
      <c r="A20" s="21">
        <v>16</v>
      </c>
      <c r="B20" s="288">
        <v>26.8</v>
      </c>
      <c r="C20" s="289" t="s">
        <v>93</v>
      </c>
      <c r="D20" s="290">
        <v>160640</v>
      </c>
      <c r="E20" s="291">
        <v>0</v>
      </c>
      <c r="F20" s="291">
        <v>136.36</v>
      </c>
      <c r="G20" s="291">
        <v>0</v>
      </c>
      <c r="H20" s="292">
        <v>125</v>
      </c>
      <c r="I20" s="290">
        <v>3608</v>
      </c>
      <c r="J20" s="290">
        <v>3470</v>
      </c>
      <c r="K20" s="290">
        <v>3276</v>
      </c>
      <c r="L20" s="288">
        <v>46202.94</v>
      </c>
      <c r="M20" s="299">
        <v>11.88</v>
      </c>
      <c r="N20" s="299">
        <v>0</v>
      </c>
      <c r="O20" s="300">
        <v>2244</v>
      </c>
      <c r="P20" s="300">
        <v>561</v>
      </c>
      <c r="Q20" s="291">
        <v>2.46130000000002</v>
      </c>
      <c r="R20" s="291">
        <v>0.857849999999977</v>
      </c>
      <c r="S20" s="300">
        <v>0</v>
      </c>
      <c r="T20" s="300">
        <f t="shared" si="0"/>
        <v>160640</v>
      </c>
      <c r="U20" s="302">
        <v>48</v>
      </c>
      <c r="V20" s="277">
        <f t="shared" si="1"/>
        <v>136.36</v>
      </c>
      <c r="W20" s="303"/>
      <c r="X20" s="277"/>
      <c r="Y20" s="277"/>
      <c r="Z20" s="277"/>
      <c r="AA20" s="277"/>
      <c r="AB20" s="277"/>
      <c r="AC20" s="277"/>
      <c r="AD20" s="277"/>
      <c r="AE20" s="277"/>
      <c r="AF20" s="277"/>
    </row>
    <row r="21" s="275" customFormat="1" ht="16" customHeight="1" spans="1:32">
      <c r="A21" s="21">
        <v>17</v>
      </c>
      <c r="B21" s="288">
        <v>30.5</v>
      </c>
      <c r="C21" s="289" t="s">
        <v>92</v>
      </c>
      <c r="D21" s="290">
        <v>163872</v>
      </c>
      <c r="E21" s="291">
        <v>0</v>
      </c>
      <c r="F21" s="291">
        <v>102.42</v>
      </c>
      <c r="G21" s="291">
        <v>0</v>
      </c>
      <c r="H21" s="292">
        <v>125</v>
      </c>
      <c r="I21" s="290">
        <v>3314</v>
      </c>
      <c r="J21" s="290">
        <v>3516</v>
      </c>
      <c r="K21" s="290">
        <v>3408</v>
      </c>
      <c r="L21" s="288">
        <v>46602.85</v>
      </c>
      <c r="M21" s="299">
        <v>15.48</v>
      </c>
      <c r="N21" s="299">
        <v>0</v>
      </c>
      <c r="O21" s="300">
        <v>2224</v>
      </c>
      <c r="P21" s="300">
        <v>556</v>
      </c>
      <c r="Q21" s="291">
        <v>2.45014999999999</v>
      </c>
      <c r="R21" s="291">
        <v>0.854</v>
      </c>
      <c r="S21" s="300">
        <v>0</v>
      </c>
      <c r="T21" s="300">
        <f t="shared" si="0"/>
        <v>163872</v>
      </c>
      <c r="U21" s="302">
        <v>48</v>
      </c>
      <c r="V21" s="277">
        <f t="shared" si="1"/>
        <v>102.42</v>
      </c>
      <c r="W21" s="303"/>
      <c r="X21" s="277"/>
      <c r="Y21" s="277"/>
      <c r="Z21" s="277"/>
      <c r="AA21" s="277"/>
      <c r="AB21" s="277"/>
      <c r="AC21" s="277"/>
      <c r="AD21" s="277"/>
      <c r="AE21" s="277"/>
      <c r="AF21" s="277"/>
    </row>
    <row r="22" s="275" customFormat="1" ht="16" customHeight="1" spans="1:32">
      <c r="A22" s="21">
        <v>18</v>
      </c>
      <c r="B22" s="288">
        <v>30.7</v>
      </c>
      <c r="C22" s="289" t="s">
        <v>92</v>
      </c>
      <c r="D22" s="290">
        <v>161856</v>
      </c>
      <c r="E22" s="291">
        <v>0</v>
      </c>
      <c r="F22" s="291">
        <v>103.74</v>
      </c>
      <c r="G22" s="291">
        <v>0</v>
      </c>
      <c r="H22" s="292">
        <v>50</v>
      </c>
      <c r="I22" s="290">
        <v>3162</v>
      </c>
      <c r="J22" s="290">
        <v>3466</v>
      </c>
      <c r="K22" s="290">
        <v>3300</v>
      </c>
      <c r="L22" s="288">
        <v>45802.85</v>
      </c>
      <c r="M22" s="299">
        <v>21.6</v>
      </c>
      <c r="N22" s="299">
        <v>0</v>
      </c>
      <c r="O22" s="300">
        <v>2456</v>
      </c>
      <c r="P22" s="300">
        <v>614</v>
      </c>
      <c r="Q22" s="291">
        <v>2.51524999999999</v>
      </c>
      <c r="R22" s="291">
        <v>0.8765</v>
      </c>
      <c r="S22" s="300">
        <v>0</v>
      </c>
      <c r="T22" s="300">
        <f t="shared" si="0"/>
        <v>161856</v>
      </c>
      <c r="U22" s="302">
        <v>48</v>
      </c>
      <c r="V22" s="277">
        <f t="shared" si="1"/>
        <v>103.74</v>
      </c>
      <c r="W22" s="303"/>
      <c r="X22" s="277"/>
      <c r="Y22" s="277"/>
      <c r="Z22" s="277"/>
      <c r="AA22" s="277"/>
      <c r="AB22" s="277"/>
      <c r="AC22" s="277"/>
      <c r="AD22" s="277"/>
      <c r="AE22" s="277"/>
      <c r="AF22" s="277"/>
    </row>
    <row r="23" s="275" customFormat="1" ht="16" customHeight="1" spans="1:32">
      <c r="A23" s="21">
        <v>19</v>
      </c>
      <c r="B23" s="288">
        <v>30.5</v>
      </c>
      <c r="C23" s="289" t="s">
        <v>92</v>
      </c>
      <c r="D23" s="290">
        <v>163968</v>
      </c>
      <c r="E23" s="291">
        <v>0</v>
      </c>
      <c r="F23" s="291">
        <v>17.52</v>
      </c>
      <c r="G23" s="291">
        <v>0</v>
      </c>
      <c r="H23" s="292">
        <v>0</v>
      </c>
      <c r="I23" s="290">
        <v>2894</v>
      </c>
      <c r="J23" s="290">
        <v>3372</v>
      </c>
      <c r="K23" s="290">
        <v>3014</v>
      </c>
      <c r="L23" s="288">
        <v>46802.91</v>
      </c>
      <c r="M23" s="299">
        <v>8.88</v>
      </c>
      <c r="N23" s="299">
        <v>0</v>
      </c>
      <c r="O23" s="300">
        <v>2462</v>
      </c>
      <c r="P23" s="300">
        <v>615.5</v>
      </c>
      <c r="Q23" s="291">
        <v>2.51805</v>
      </c>
      <c r="R23" s="291">
        <v>0.877550000000047</v>
      </c>
      <c r="S23" s="300">
        <v>0</v>
      </c>
      <c r="T23" s="300">
        <f t="shared" si="0"/>
        <v>163968</v>
      </c>
      <c r="U23" s="302">
        <v>48</v>
      </c>
      <c r="V23" s="277">
        <f t="shared" si="1"/>
        <v>17.52</v>
      </c>
      <c r="W23" s="303"/>
      <c r="X23" s="277"/>
      <c r="Y23" s="277"/>
      <c r="Z23" s="277"/>
      <c r="AA23" s="277"/>
      <c r="AB23" s="277"/>
      <c r="AC23" s="277"/>
      <c r="AD23" s="277"/>
      <c r="AE23" s="277"/>
      <c r="AF23" s="277"/>
    </row>
    <row r="24" s="275" customFormat="1" ht="16" customHeight="1" spans="1:32">
      <c r="A24" s="21">
        <v>20</v>
      </c>
      <c r="B24" s="288">
        <v>27.6</v>
      </c>
      <c r="C24" s="289" t="s">
        <v>93</v>
      </c>
      <c r="D24" s="290">
        <v>164480</v>
      </c>
      <c r="E24" s="291">
        <v>0</v>
      </c>
      <c r="F24" s="291">
        <v>17.88</v>
      </c>
      <c r="G24" s="291">
        <v>0</v>
      </c>
      <c r="H24" s="292">
        <v>0</v>
      </c>
      <c r="I24" s="290">
        <v>2784</v>
      </c>
      <c r="J24" s="290">
        <v>3480</v>
      </c>
      <c r="K24" s="290">
        <v>3218</v>
      </c>
      <c r="L24" s="288">
        <v>48503.03</v>
      </c>
      <c r="M24" s="299">
        <v>5.16</v>
      </c>
      <c r="N24" s="299">
        <v>0</v>
      </c>
      <c r="O24" s="300">
        <v>2416</v>
      </c>
      <c r="P24" s="300">
        <v>604</v>
      </c>
      <c r="Q24" s="291">
        <v>2.47385</v>
      </c>
      <c r="R24" s="291">
        <v>0.862349999999977</v>
      </c>
      <c r="S24" s="300">
        <v>0</v>
      </c>
      <c r="T24" s="300">
        <f t="shared" si="0"/>
        <v>164480</v>
      </c>
      <c r="U24" s="302">
        <v>48</v>
      </c>
      <c r="V24" s="277">
        <f t="shared" si="1"/>
        <v>17.88</v>
      </c>
      <c r="W24" s="303"/>
      <c r="X24" s="277"/>
      <c r="Y24" s="277"/>
      <c r="Z24" s="277"/>
      <c r="AA24" s="277"/>
      <c r="AB24" s="277"/>
      <c r="AC24" s="277"/>
      <c r="AD24" s="277"/>
      <c r="AE24" s="277"/>
      <c r="AF24" s="277"/>
    </row>
    <row r="25" s="275" customFormat="1" ht="16" customHeight="1" spans="1:32">
      <c r="A25" s="21">
        <v>21</v>
      </c>
      <c r="B25" s="288">
        <v>30.5</v>
      </c>
      <c r="C25" s="289" t="s">
        <v>92</v>
      </c>
      <c r="D25" s="290">
        <v>163968</v>
      </c>
      <c r="E25" s="291">
        <v>0</v>
      </c>
      <c r="F25" s="291">
        <v>17.76</v>
      </c>
      <c r="G25" s="291">
        <v>0</v>
      </c>
      <c r="H25" s="292">
        <v>0</v>
      </c>
      <c r="I25" s="290">
        <v>3156</v>
      </c>
      <c r="J25" s="290">
        <v>3940</v>
      </c>
      <c r="K25" s="290">
        <v>3452</v>
      </c>
      <c r="L25" s="288">
        <v>46402.89</v>
      </c>
      <c r="M25" s="299">
        <v>10.68</v>
      </c>
      <c r="N25" s="299">
        <v>0</v>
      </c>
      <c r="O25" s="300">
        <v>2421</v>
      </c>
      <c r="P25" s="300">
        <v>605.25</v>
      </c>
      <c r="Q25" s="291">
        <v>2.43399999999998</v>
      </c>
      <c r="R25" s="291">
        <v>0.849150000000023</v>
      </c>
      <c r="S25" s="300">
        <v>0</v>
      </c>
      <c r="T25" s="300">
        <f t="shared" si="0"/>
        <v>163968</v>
      </c>
      <c r="U25" s="302">
        <v>48</v>
      </c>
      <c r="V25" s="277">
        <f t="shared" si="1"/>
        <v>17.76</v>
      </c>
      <c r="W25" s="303"/>
      <c r="X25" s="277"/>
      <c r="Y25" s="277"/>
      <c r="Z25" s="277"/>
      <c r="AA25" s="277"/>
      <c r="AB25" s="277"/>
      <c r="AC25" s="277"/>
      <c r="AD25" s="277"/>
      <c r="AE25" s="277"/>
      <c r="AF25" s="277"/>
    </row>
    <row r="26" s="275" customFormat="1" ht="16" customHeight="1" spans="1:32">
      <c r="A26" s="21">
        <v>22</v>
      </c>
      <c r="B26" s="288">
        <v>31.2</v>
      </c>
      <c r="C26" s="289" t="s">
        <v>93</v>
      </c>
      <c r="D26" s="290">
        <v>160576</v>
      </c>
      <c r="E26" s="291">
        <v>0</v>
      </c>
      <c r="F26" s="291">
        <v>17.9</v>
      </c>
      <c r="G26" s="291">
        <v>0</v>
      </c>
      <c r="H26" s="292">
        <v>0</v>
      </c>
      <c r="I26" s="290">
        <v>2802</v>
      </c>
      <c r="J26" s="290">
        <v>4202</v>
      </c>
      <c r="K26" s="290">
        <v>3164</v>
      </c>
      <c r="L26" s="288">
        <v>49503.08</v>
      </c>
      <c r="M26" s="299">
        <v>16.8</v>
      </c>
      <c r="N26" s="299">
        <v>0</v>
      </c>
      <c r="O26" s="300">
        <v>2455</v>
      </c>
      <c r="P26" s="300">
        <v>613.75</v>
      </c>
      <c r="Q26" s="291">
        <v>2.51560000000002</v>
      </c>
      <c r="R26" s="291">
        <v>0.877699999999953</v>
      </c>
      <c r="S26" s="300">
        <v>0</v>
      </c>
      <c r="T26" s="300">
        <f t="shared" si="0"/>
        <v>160576</v>
      </c>
      <c r="U26" s="302">
        <v>48</v>
      </c>
      <c r="V26" s="277">
        <f t="shared" si="1"/>
        <v>17.9</v>
      </c>
      <c r="W26" s="303"/>
      <c r="X26" s="277"/>
      <c r="Y26" s="277"/>
      <c r="Z26" s="277"/>
      <c r="AA26" s="277"/>
      <c r="AB26" s="277"/>
      <c r="AC26" s="277"/>
      <c r="AD26" s="277"/>
      <c r="AE26" s="277"/>
      <c r="AF26" s="277"/>
    </row>
    <row r="27" s="275" customFormat="1" ht="16" customHeight="1" spans="1:32">
      <c r="A27" s="21">
        <v>23</v>
      </c>
      <c r="B27" s="288">
        <v>31.8</v>
      </c>
      <c r="C27" s="289" t="s">
        <v>93</v>
      </c>
      <c r="D27" s="290">
        <v>159971</v>
      </c>
      <c r="E27" s="291">
        <v>0</v>
      </c>
      <c r="F27" s="291">
        <v>16.66</v>
      </c>
      <c r="G27" s="291">
        <v>0</v>
      </c>
      <c r="H27" s="292">
        <v>125</v>
      </c>
      <c r="I27" s="290">
        <v>3380</v>
      </c>
      <c r="J27" s="290">
        <v>3978</v>
      </c>
      <c r="K27" s="290">
        <v>3522</v>
      </c>
      <c r="L27" s="288">
        <v>51703.22</v>
      </c>
      <c r="M27" s="299">
        <v>14.52</v>
      </c>
      <c r="N27" s="299">
        <v>0</v>
      </c>
      <c r="O27" s="300">
        <v>2451</v>
      </c>
      <c r="P27" s="300">
        <v>612.75</v>
      </c>
      <c r="Q27" s="291">
        <v>2.53459999999997</v>
      </c>
      <c r="R27" s="291">
        <v>0.883600000000035</v>
      </c>
      <c r="S27" s="300">
        <v>0</v>
      </c>
      <c r="T27" s="300">
        <f t="shared" si="0"/>
        <v>159971</v>
      </c>
      <c r="U27" s="302">
        <v>48</v>
      </c>
      <c r="V27" s="277">
        <f t="shared" si="1"/>
        <v>16.66</v>
      </c>
      <c r="W27" s="303"/>
      <c r="X27" s="277"/>
      <c r="Y27" s="277"/>
      <c r="Z27" s="277"/>
      <c r="AA27" s="277"/>
      <c r="AB27" s="277"/>
      <c r="AC27" s="277"/>
      <c r="AD27" s="277"/>
      <c r="AE27" s="277"/>
      <c r="AF27" s="277"/>
    </row>
    <row r="28" s="275" customFormat="1" ht="16" customHeight="1" spans="1:32">
      <c r="A28" s="21">
        <v>24</v>
      </c>
      <c r="B28" s="288">
        <v>30.2</v>
      </c>
      <c r="C28" s="289" t="s">
        <v>99</v>
      </c>
      <c r="D28" s="290">
        <v>161661</v>
      </c>
      <c r="E28" s="291">
        <v>0</v>
      </c>
      <c r="F28" s="291">
        <v>104.04</v>
      </c>
      <c r="G28" s="291">
        <v>0</v>
      </c>
      <c r="H28" s="292">
        <v>175</v>
      </c>
      <c r="I28" s="290">
        <v>3416</v>
      </c>
      <c r="J28" s="290">
        <v>3706</v>
      </c>
      <c r="K28" s="290">
        <v>3108</v>
      </c>
      <c r="L28" s="288">
        <v>48703.03</v>
      </c>
      <c r="M28" s="299">
        <v>18.96</v>
      </c>
      <c r="N28" s="299">
        <v>0</v>
      </c>
      <c r="O28" s="300">
        <v>2477</v>
      </c>
      <c r="P28" s="300">
        <v>619.25</v>
      </c>
      <c r="Q28" s="291">
        <v>2.47070000000001</v>
      </c>
      <c r="R28" s="291">
        <v>0.861200000000012</v>
      </c>
      <c r="S28" s="300">
        <v>0</v>
      </c>
      <c r="T28" s="300">
        <f t="shared" si="0"/>
        <v>161661</v>
      </c>
      <c r="U28" s="302">
        <v>48</v>
      </c>
      <c r="V28" s="277">
        <f t="shared" si="1"/>
        <v>104.04</v>
      </c>
      <c r="W28" s="303"/>
      <c r="X28" s="277"/>
      <c r="Y28" s="277"/>
      <c r="Z28" s="277"/>
      <c r="AA28" s="277"/>
      <c r="AB28" s="277"/>
      <c r="AC28" s="277"/>
      <c r="AD28" s="277"/>
      <c r="AE28" s="277"/>
      <c r="AF28" s="277"/>
    </row>
    <row r="29" s="275" customFormat="1" ht="16" customHeight="1" spans="1:32">
      <c r="A29" s="21">
        <v>25</v>
      </c>
      <c r="B29" s="288">
        <v>30.2</v>
      </c>
      <c r="C29" s="289" t="s">
        <v>92</v>
      </c>
      <c r="D29" s="290">
        <v>160576</v>
      </c>
      <c r="E29" s="291">
        <v>0</v>
      </c>
      <c r="F29" s="291">
        <v>102.66</v>
      </c>
      <c r="G29" s="291">
        <v>0</v>
      </c>
      <c r="H29" s="292">
        <v>100</v>
      </c>
      <c r="I29" s="233">
        <v>3452</v>
      </c>
      <c r="J29" s="233">
        <v>3646</v>
      </c>
      <c r="K29" s="233">
        <v>3388</v>
      </c>
      <c r="L29" s="288">
        <v>45002.81</v>
      </c>
      <c r="M29" s="299">
        <v>21.6</v>
      </c>
      <c r="N29" s="299">
        <v>0</v>
      </c>
      <c r="O29" s="300">
        <v>2461</v>
      </c>
      <c r="P29" s="300">
        <v>615.25</v>
      </c>
      <c r="Q29" s="291">
        <v>2.6011</v>
      </c>
      <c r="R29" s="291">
        <v>0.906549999999988</v>
      </c>
      <c r="S29" s="300">
        <v>0</v>
      </c>
      <c r="T29" s="300">
        <f t="shared" si="0"/>
        <v>160576</v>
      </c>
      <c r="U29" s="302">
        <v>48</v>
      </c>
      <c r="V29" s="277">
        <f t="shared" si="1"/>
        <v>102.66</v>
      </c>
      <c r="W29" s="303"/>
      <c r="X29" s="277"/>
      <c r="Y29" s="277"/>
      <c r="Z29" s="277"/>
      <c r="AA29" s="277"/>
      <c r="AB29" s="277"/>
      <c r="AC29" s="277"/>
      <c r="AD29" s="277"/>
      <c r="AE29" s="277"/>
      <c r="AF29" s="277"/>
    </row>
    <row r="30" s="275" customFormat="1" ht="16" customHeight="1" spans="1:32">
      <c r="A30" s="21">
        <v>26</v>
      </c>
      <c r="B30" s="288">
        <v>29.9</v>
      </c>
      <c r="C30" s="289" t="s">
        <v>93</v>
      </c>
      <c r="D30" s="290">
        <v>156096</v>
      </c>
      <c r="E30" s="291">
        <v>0</v>
      </c>
      <c r="F30" s="291">
        <v>103.34</v>
      </c>
      <c r="G30" s="291">
        <v>0</v>
      </c>
      <c r="H30" s="292">
        <v>100</v>
      </c>
      <c r="I30" s="290">
        <v>3502</v>
      </c>
      <c r="J30" s="290">
        <v>3504</v>
      </c>
      <c r="K30" s="290">
        <v>3420</v>
      </c>
      <c r="L30" s="288">
        <v>45802.85</v>
      </c>
      <c r="M30" s="299">
        <v>23.16</v>
      </c>
      <c r="N30" s="299">
        <v>0</v>
      </c>
      <c r="O30" s="300">
        <v>2462</v>
      </c>
      <c r="P30" s="300">
        <v>615.5</v>
      </c>
      <c r="Q30" s="291">
        <v>2.36194999999998</v>
      </c>
      <c r="R30" s="291">
        <v>0.823200000000012</v>
      </c>
      <c r="S30" s="300">
        <v>0</v>
      </c>
      <c r="T30" s="300">
        <f t="shared" si="0"/>
        <v>156096</v>
      </c>
      <c r="U30" s="302">
        <v>48</v>
      </c>
      <c r="V30" s="277">
        <f t="shared" si="1"/>
        <v>103.34</v>
      </c>
      <c r="W30" s="303"/>
      <c r="X30" s="277"/>
      <c r="Y30" s="277"/>
      <c r="Z30" s="277"/>
      <c r="AA30" s="277"/>
      <c r="AB30" s="277"/>
      <c r="AC30" s="277"/>
      <c r="AD30" s="277"/>
      <c r="AE30" s="277"/>
      <c r="AF30" s="277"/>
    </row>
    <row r="31" s="275" customFormat="1" ht="16" customHeight="1" spans="1:32">
      <c r="A31" s="21">
        <v>27</v>
      </c>
      <c r="B31" s="288">
        <v>30.1</v>
      </c>
      <c r="C31" s="289" t="s">
        <v>93</v>
      </c>
      <c r="D31" s="290">
        <v>163680</v>
      </c>
      <c r="E31" s="291">
        <v>0</v>
      </c>
      <c r="F31" s="291">
        <v>116.76</v>
      </c>
      <c r="G31" s="291">
        <v>0</v>
      </c>
      <c r="H31" s="292">
        <v>125</v>
      </c>
      <c r="I31" s="290">
        <v>3250</v>
      </c>
      <c r="J31" s="290">
        <v>3214</v>
      </c>
      <c r="K31" s="290">
        <v>3086</v>
      </c>
      <c r="L31" s="288">
        <v>48503.02</v>
      </c>
      <c r="M31" s="299">
        <v>17.28</v>
      </c>
      <c r="N31" s="299">
        <v>0</v>
      </c>
      <c r="O31" s="300">
        <v>2455</v>
      </c>
      <c r="P31" s="300">
        <v>613.75</v>
      </c>
      <c r="Q31" s="291">
        <v>2.51690000000002</v>
      </c>
      <c r="R31" s="291">
        <v>0.875399999999965</v>
      </c>
      <c r="S31" s="300">
        <v>0</v>
      </c>
      <c r="T31" s="300">
        <f t="shared" si="0"/>
        <v>163680</v>
      </c>
      <c r="U31" s="302">
        <v>48</v>
      </c>
      <c r="V31" s="277">
        <f t="shared" si="1"/>
        <v>116.76</v>
      </c>
      <c r="W31" s="303"/>
      <c r="X31" s="277"/>
      <c r="Y31" s="277"/>
      <c r="Z31" s="277"/>
      <c r="AA31" s="277"/>
      <c r="AB31" s="277"/>
      <c r="AC31" s="277"/>
      <c r="AD31" s="277"/>
      <c r="AE31" s="277"/>
      <c r="AF31" s="277"/>
    </row>
    <row r="32" s="275" customFormat="1" ht="16" customHeight="1" spans="1:32">
      <c r="A32" s="21">
        <v>28</v>
      </c>
      <c r="B32" s="288">
        <v>30.2</v>
      </c>
      <c r="C32" s="289" t="s">
        <v>92</v>
      </c>
      <c r="D32" s="290">
        <v>160640</v>
      </c>
      <c r="E32" s="291">
        <v>0</v>
      </c>
      <c r="F32" s="291">
        <v>116.42</v>
      </c>
      <c r="G32" s="291">
        <v>0</v>
      </c>
      <c r="H32" s="292">
        <v>125</v>
      </c>
      <c r="I32" s="290">
        <v>3366</v>
      </c>
      <c r="J32" s="290">
        <v>3544</v>
      </c>
      <c r="K32" s="290">
        <v>3430</v>
      </c>
      <c r="L32" s="288">
        <v>50003.13</v>
      </c>
      <c r="M32" s="299">
        <v>17.04</v>
      </c>
      <c r="N32" s="299">
        <v>0</v>
      </c>
      <c r="O32" s="300">
        <v>2412</v>
      </c>
      <c r="P32" s="300">
        <v>603</v>
      </c>
      <c r="Q32" s="291">
        <v>2.4866</v>
      </c>
      <c r="R32" s="291">
        <v>0.866650000000023</v>
      </c>
      <c r="S32" s="300">
        <v>0</v>
      </c>
      <c r="T32" s="300">
        <f t="shared" si="0"/>
        <v>160640</v>
      </c>
      <c r="U32" s="302">
        <v>48</v>
      </c>
      <c r="V32" s="277">
        <f t="shared" si="1"/>
        <v>116.42</v>
      </c>
      <c r="W32" s="303"/>
      <c r="X32" s="277"/>
      <c r="Y32" s="277"/>
      <c r="Z32" s="277"/>
      <c r="AA32" s="277"/>
      <c r="AB32" s="277"/>
      <c r="AC32" s="277"/>
      <c r="AD32" s="277"/>
      <c r="AE32" s="277"/>
      <c r="AF32" s="277"/>
    </row>
    <row r="33" s="275" customFormat="1" ht="16" customHeight="1" spans="1:32">
      <c r="A33" s="21">
        <v>29</v>
      </c>
      <c r="B33" s="288">
        <v>30.3</v>
      </c>
      <c r="C33" s="289" t="s">
        <v>92</v>
      </c>
      <c r="D33" s="290">
        <v>161824</v>
      </c>
      <c r="E33" s="291">
        <v>0</v>
      </c>
      <c r="F33" s="291">
        <v>104.22</v>
      </c>
      <c r="G33" s="291">
        <v>0</v>
      </c>
      <c r="H33" s="292">
        <v>100</v>
      </c>
      <c r="I33" s="290">
        <v>3522</v>
      </c>
      <c r="J33" s="290">
        <v>3462</v>
      </c>
      <c r="K33" s="290">
        <v>3378</v>
      </c>
      <c r="L33" s="288">
        <v>50603.14</v>
      </c>
      <c r="M33" s="299">
        <v>10.44</v>
      </c>
      <c r="N33" s="299">
        <v>0</v>
      </c>
      <c r="O33" s="300">
        <v>1955</v>
      </c>
      <c r="P33" s="300">
        <v>488.75</v>
      </c>
      <c r="Q33" s="291">
        <v>2.47804999999999</v>
      </c>
      <c r="R33" s="291">
        <v>0.863700000000012</v>
      </c>
      <c r="S33" s="300">
        <v>0</v>
      </c>
      <c r="T33" s="300">
        <f t="shared" si="0"/>
        <v>161824</v>
      </c>
      <c r="U33" s="302">
        <v>48</v>
      </c>
      <c r="V33" s="277">
        <f t="shared" si="1"/>
        <v>104.22</v>
      </c>
      <c r="W33" s="303"/>
      <c r="X33" s="277"/>
      <c r="Y33" s="277"/>
      <c r="Z33" s="277"/>
      <c r="AA33" s="277"/>
      <c r="AB33" s="277"/>
      <c r="AC33" s="277"/>
      <c r="AD33" s="277"/>
      <c r="AE33" s="277"/>
      <c r="AF33" s="277"/>
    </row>
    <row r="34" s="275" customFormat="1" ht="16" customHeight="1" spans="1:32">
      <c r="A34" s="21">
        <v>30</v>
      </c>
      <c r="B34" s="288">
        <v>30.5</v>
      </c>
      <c r="C34" s="289" t="s">
        <v>92</v>
      </c>
      <c r="D34" s="290">
        <v>161888</v>
      </c>
      <c r="E34" s="291">
        <v>0</v>
      </c>
      <c r="F34" s="291">
        <v>140.64</v>
      </c>
      <c r="G34" s="291">
        <v>0</v>
      </c>
      <c r="H34" s="292">
        <v>125</v>
      </c>
      <c r="I34" s="290">
        <v>3420</v>
      </c>
      <c r="J34" s="290">
        <v>3418</v>
      </c>
      <c r="K34" s="290">
        <v>3292</v>
      </c>
      <c r="L34" s="288">
        <v>49003.06</v>
      </c>
      <c r="M34" s="299">
        <v>7.44</v>
      </c>
      <c r="N34" s="299">
        <v>0</v>
      </c>
      <c r="O34" s="300">
        <v>1891</v>
      </c>
      <c r="P34" s="300">
        <v>472.75</v>
      </c>
      <c r="Q34" s="291">
        <v>2.48804999999999</v>
      </c>
      <c r="R34" s="291">
        <v>0.867149999999965</v>
      </c>
      <c r="S34" s="300">
        <v>0</v>
      </c>
      <c r="T34" s="300">
        <f t="shared" si="0"/>
        <v>161888</v>
      </c>
      <c r="U34" s="302">
        <v>48</v>
      </c>
      <c r="V34" s="277">
        <f t="shared" si="1"/>
        <v>140.64</v>
      </c>
      <c r="W34" s="303"/>
      <c r="X34" s="277"/>
      <c r="Y34" s="277"/>
      <c r="Z34" s="277"/>
      <c r="AA34" s="277"/>
      <c r="AB34" s="277"/>
      <c r="AC34" s="277"/>
      <c r="AD34" s="277"/>
      <c r="AE34" s="277"/>
      <c r="AF34" s="277"/>
    </row>
    <row r="35" s="275" customFormat="1" ht="16" customHeight="1" spans="1:32">
      <c r="A35" s="21">
        <v>31</v>
      </c>
      <c r="B35" s="288">
        <v>31.5</v>
      </c>
      <c r="C35" s="289" t="s">
        <v>92</v>
      </c>
      <c r="D35" s="290">
        <v>158528</v>
      </c>
      <c r="E35" s="291">
        <v>0</v>
      </c>
      <c r="F35" s="291">
        <v>105.6</v>
      </c>
      <c r="G35" s="291">
        <v>0</v>
      </c>
      <c r="H35" s="292">
        <v>75</v>
      </c>
      <c r="I35" s="290">
        <v>3580</v>
      </c>
      <c r="J35" s="290">
        <v>3056</v>
      </c>
      <c r="K35" s="290">
        <v>3370</v>
      </c>
      <c r="L35" s="288">
        <v>48102.99</v>
      </c>
      <c r="M35" s="299">
        <v>18.6</v>
      </c>
      <c r="N35" s="299">
        <v>0</v>
      </c>
      <c r="O35" s="300">
        <v>1844</v>
      </c>
      <c r="P35" s="300">
        <v>461</v>
      </c>
      <c r="Q35" s="291">
        <v>2.58380000000004</v>
      </c>
      <c r="R35" s="291">
        <v>0.900600000000035</v>
      </c>
      <c r="S35" s="300">
        <v>0</v>
      </c>
      <c r="T35" s="300">
        <f t="shared" si="0"/>
        <v>158528</v>
      </c>
      <c r="U35" s="302">
        <v>48</v>
      </c>
      <c r="V35" s="277">
        <f t="shared" si="1"/>
        <v>105.6</v>
      </c>
      <c r="W35" s="303"/>
      <c r="X35" s="277"/>
      <c r="Y35" s="277"/>
      <c r="Z35" s="277"/>
      <c r="AA35" s="277"/>
      <c r="AB35" s="277"/>
      <c r="AC35" s="277"/>
      <c r="AD35" s="277"/>
      <c r="AE35" s="277"/>
      <c r="AF35" s="277"/>
    </row>
    <row r="36" s="275" customFormat="1" ht="19" customHeight="1" spans="1:32">
      <c r="A36" s="293" t="s">
        <v>101</v>
      </c>
      <c r="B36" s="294">
        <f t="shared" ref="B36:M36" si="3">AVERAGE(B5:B35)</f>
        <v>30.5129032258065</v>
      </c>
      <c r="C36" s="284" t="s">
        <v>53</v>
      </c>
      <c r="D36" s="290">
        <f t="shared" si="3"/>
        <v>160675.096774194</v>
      </c>
      <c r="E36" s="291">
        <f t="shared" si="3"/>
        <v>3.79677419354839</v>
      </c>
      <c r="F36" s="291">
        <f t="shared" si="3"/>
        <v>76.0890322580645</v>
      </c>
      <c r="G36" s="291">
        <f t="shared" si="3"/>
        <v>0</v>
      </c>
      <c r="H36" s="291">
        <f t="shared" si="3"/>
        <v>86.2903225806452</v>
      </c>
      <c r="I36" s="290">
        <f t="shared" si="3"/>
        <v>3454.1935483871</v>
      </c>
      <c r="J36" s="290">
        <f t="shared" si="3"/>
        <v>3532.64516129032</v>
      </c>
      <c r="K36" s="290">
        <f t="shared" si="3"/>
        <v>3351.35483870968</v>
      </c>
      <c r="L36" s="288">
        <f t="shared" si="3"/>
        <v>48567.5438709677</v>
      </c>
      <c r="M36" s="299">
        <f t="shared" si="3"/>
        <v>13.3703225806452</v>
      </c>
      <c r="N36" s="299">
        <v>0</v>
      </c>
      <c r="O36" s="300">
        <f>AVERAGE(O5:O35)</f>
        <v>2246.38709677419</v>
      </c>
      <c r="P36" s="300">
        <f>AVERAGE(P5:P35)</f>
        <v>561.596774193548</v>
      </c>
      <c r="Q36" s="291">
        <f>AVERAGE(Q5:Q35)</f>
        <v>2.57089838709677</v>
      </c>
      <c r="R36" s="291">
        <f>AVERAGE(R5:R35)</f>
        <v>0.868964516129033</v>
      </c>
      <c r="S36" s="300">
        <f>AVERAGE(S5:S35)</f>
        <v>0</v>
      </c>
      <c r="T36" s="300">
        <f t="shared" si="0"/>
        <v>160675.096774194</v>
      </c>
      <c r="U36" s="304"/>
      <c r="V36" s="277"/>
      <c r="W36" s="277"/>
      <c r="X36" s="277"/>
      <c r="Y36" s="277"/>
      <c r="Z36" s="277"/>
      <c r="AA36" s="277"/>
      <c r="AB36" s="277"/>
      <c r="AC36" s="277"/>
      <c r="AD36" s="277"/>
      <c r="AE36" s="277"/>
      <c r="AF36" s="277"/>
    </row>
    <row r="37" s="275" customFormat="1" ht="18" customHeight="1" spans="1:32">
      <c r="A37" s="293" t="s">
        <v>96</v>
      </c>
      <c r="B37" s="293" t="s">
        <v>53</v>
      </c>
      <c r="C37" s="293" t="s">
        <v>53</v>
      </c>
      <c r="D37" s="290">
        <f>SUM(D5:D35)</f>
        <v>4980928</v>
      </c>
      <c r="E37" s="291">
        <f>SUM(E5:E35)</f>
        <v>117.7</v>
      </c>
      <c r="F37" s="291">
        <f>SUM(F5:F35)</f>
        <v>2358.76</v>
      </c>
      <c r="G37" s="291">
        <f>SUM(G5:G35)</f>
        <v>0</v>
      </c>
      <c r="H37" s="292">
        <f>SUM(H5:H35)</f>
        <v>2675</v>
      </c>
      <c r="I37" s="293" t="s">
        <v>53</v>
      </c>
      <c r="J37" s="293" t="s">
        <v>53</v>
      </c>
      <c r="K37" s="293" t="s">
        <v>53</v>
      </c>
      <c r="L37" s="288">
        <f>SUM(L5:L35)</f>
        <v>1505593.86</v>
      </c>
      <c r="M37" s="299">
        <f>SUM(M5:M35)</f>
        <v>414.48</v>
      </c>
      <c r="N37" s="299">
        <v>0</v>
      </c>
      <c r="O37" s="300">
        <f t="shared" ref="O37:U37" si="4">SUM(O5:O35)</f>
        <v>69638</v>
      </c>
      <c r="P37" s="300">
        <f t="shared" si="4"/>
        <v>17409.5</v>
      </c>
      <c r="Q37" s="291">
        <f t="shared" si="4"/>
        <v>79.69785</v>
      </c>
      <c r="R37" s="291">
        <f t="shared" si="4"/>
        <v>26.9379</v>
      </c>
      <c r="S37" s="300">
        <f t="shared" si="4"/>
        <v>0</v>
      </c>
      <c r="T37" s="300">
        <f t="shared" si="4"/>
        <v>4980928</v>
      </c>
      <c r="U37" s="305">
        <f>SUM(U5:U36)</f>
        <v>1488</v>
      </c>
      <c r="V37" s="277"/>
      <c r="W37" s="277"/>
      <c r="X37" s="277"/>
      <c r="Y37" s="277"/>
      <c r="Z37" s="277"/>
      <c r="AA37" s="277"/>
      <c r="AB37" s="277"/>
      <c r="AC37" s="277"/>
      <c r="AD37" s="277"/>
      <c r="AE37" s="277"/>
      <c r="AF37" s="277"/>
    </row>
    <row r="38" s="275" customFormat="1" ht="18.6" customHeight="1" spans="1:32">
      <c r="A38" s="295" t="s">
        <v>102</v>
      </c>
      <c r="B38" s="295"/>
      <c r="C38" s="295"/>
      <c r="D38" s="295"/>
      <c r="E38" s="295"/>
      <c r="F38" s="295"/>
      <c r="G38" s="278"/>
      <c r="H38" s="278"/>
      <c r="I38" s="277" t="s">
        <v>103</v>
      </c>
      <c r="J38" s="277"/>
      <c r="K38" s="277"/>
      <c r="L38" s="277"/>
      <c r="M38" s="277"/>
      <c r="N38" s="277"/>
      <c r="O38" s="277"/>
      <c r="P38" s="277"/>
      <c r="Q38" s="277"/>
      <c r="R38" s="306" t="s">
        <v>104</v>
      </c>
      <c r="S38" s="306"/>
      <c r="T38" s="306"/>
      <c r="U38" s="279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</row>
    <row r="39" s="276" customFormat="1" ht="18.6" customHeight="1" spans="1:32">
      <c r="A39" s="277"/>
      <c r="B39" s="277"/>
      <c r="C39" s="277"/>
      <c r="D39" s="277"/>
      <c r="E39" s="277"/>
      <c r="F39" s="277"/>
      <c r="G39" s="278"/>
      <c r="H39" s="278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9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</row>
    <row r="41" spans="2:7">
      <c r="B41" s="277" t="s">
        <v>105</v>
      </c>
      <c r="D41" s="277">
        <f>MAX(D5:D35)</f>
        <v>164480</v>
      </c>
      <c r="E41" s="277" t="s">
        <v>106</v>
      </c>
      <c r="G41" s="278">
        <f>E37+F37+G37</f>
        <v>2476.46</v>
      </c>
    </row>
    <row r="42" spans="2:18">
      <c r="B42" s="277" t="s">
        <v>107</v>
      </c>
      <c r="D42" s="277">
        <f>MIN(D5:D35)</f>
        <v>155296</v>
      </c>
      <c r="E42" s="277" t="s">
        <v>108</v>
      </c>
      <c r="G42" s="278">
        <f>G41*(100-进出水!Z38)/100</f>
        <v>539.548736774194</v>
      </c>
      <c r="Q42" s="277">
        <f>Q37+R37</f>
        <v>106.63575</v>
      </c>
      <c r="R42" s="277">
        <f>Q37+R37</f>
        <v>106.63575</v>
      </c>
    </row>
    <row r="43" spans="17:18">
      <c r="Q43" s="277">
        <f>Q42*1000</f>
        <v>106635.75</v>
      </c>
      <c r="R43" s="277">
        <f>R42*1000</f>
        <v>106635.75</v>
      </c>
    </row>
  </sheetData>
  <mergeCells count="12">
    <mergeCell ref="A1:T1"/>
    <mergeCell ref="A2:T2"/>
    <mergeCell ref="E3:G3"/>
    <mergeCell ref="I3:K3"/>
    <mergeCell ref="Q3:R3"/>
    <mergeCell ref="A38:D38"/>
    <mergeCell ref="R38:T38"/>
    <mergeCell ref="A3:A4"/>
    <mergeCell ref="D3:D4"/>
    <mergeCell ref="N3:N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81" fitToWidth="0" orientation="landscape" horizontalDpi="600"/>
  <headerFooter/>
  <rowBreaks count="1" manualBreakCount="1">
    <brk id="38" max="16383" man="1"/>
  </rowBreaks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X64"/>
  <sheetViews>
    <sheetView zoomScale="85" zoomScaleNormal="85" workbookViewId="0">
      <selection activeCell="Q37" sqref="Q37"/>
    </sheetView>
  </sheetViews>
  <sheetFormatPr defaultColWidth="8.75" defaultRowHeight="14.25"/>
  <cols>
    <col min="1" max="1" width="4.375" style="30" customWidth="1"/>
    <col min="2" max="25" width="6.625" style="30" customWidth="1"/>
    <col min="26" max="26" width="7" style="30" customWidth="1"/>
    <col min="27" max="27" width="5.88333333333333" style="208" customWidth="1"/>
    <col min="28" max="28" width="2.75" style="30"/>
    <col min="29" max="29" width="10.125" style="30" customWidth="1"/>
    <col min="30" max="37" width="2.75" style="30"/>
    <col min="38" max="38" width="10" style="30"/>
    <col min="39" max="44" width="2.75" style="30"/>
    <col min="45" max="45" width="9.75" style="30" customWidth="1"/>
    <col min="46" max="46" width="12.75" style="30" customWidth="1"/>
    <col min="47" max="47" width="2.75" style="30"/>
    <col min="48" max="48" width="12.5" style="30" customWidth="1"/>
    <col min="49" max="49" width="8.75" style="30" customWidth="1"/>
    <col min="50" max="50" width="6.75" style="30" customWidth="1"/>
    <col min="51" max="64" width="9" style="30"/>
    <col min="65" max="16384" width="8.75" style="30"/>
  </cols>
  <sheetData>
    <row r="1" s="30" customFormat="1" ht="19" customHeight="1" spans="1:50">
      <c r="A1" s="209" t="s">
        <v>109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52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</row>
    <row r="2" s="30" customFormat="1" ht="6" hidden="1" customHeight="1" spans="1:50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52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  <c r="AR2" s="253"/>
      <c r="AS2" s="253"/>
      <c r="AT2" s="253"/>
      <c r="AU2" s="253"/>
      <c r="AV2" s="253"/>
      <c r="AW2" s="253"/>
      <c r="AX2" s="253"/>
    </row>
    <row r="3" s="30" customFormat="1" ht="24" customHeight="1" spans="1:50">
      <c r="A3" s="210">
        <v>44409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54"/>
      <c r="AB3" s="255"/>
      <c r="AC3" s="255"/>
      <c r="AD3" s="255"/>
      <c r="AE3" s="255"/>
      <c r="AF3" s="255"/>
      <c r="AG3" s="255"/>
      <c r="AH3" s="255"/>
      <c r="AI3" s="255"/>
      <c r="AJ3" s="255"/>
      <c r="AK3" s="255"/>
      <c r="AL3" s="255"/>
      <c r="AM3" s="255"/>
      <c r="AN3" s="255"/>
      <c r="AO3" s="255"/>
      <c r="AP3" s="255"/>
      <c r="AQ3" s="255"/>
      <c r="AR3" s="255"/>
      <c r="AS3" s="255"/>
      <c r="AT3" s="255"/>
      <c r="AU3" s="255"/>
      <c r="AV3" s="255"/>
      <c r="AW3" s="255"/>
      <c r="AX3" s="255"/>
    </row>
    <row r="4" s="207" customFormat="1" customHeight="1" spans="1:27">
      <c r="A4" s="211" t="s">
        <v>110</v>
      </c>
      <c r="B4" s="212" t="s">
        <v>111</v>
      </c>
      <c r="C4" s="213"/>
      <c r="D4" s="213"/>
      <c r="E4" s="213"/>
      <c r="F4" s="213"/>
      <c r="G4" s="214"/>
      <c r="H4" s="215" t="s">
        <v>112</v>
      </c>
      <c r="I4" s="215"/>
      <c r="J4" s="215"/>
      <c r="K4" s="215"/>
      <c r="L4" s="215"/>
      <c r="M4" s="215"/>
      <c r="N4" s="215" t="s">
        <v>113</v>
      </c>
      <c r="O4" s="215"/>
      <c r="P4" s="215"/>
      <c r="Q4" s="215"/>
      <c r="R4" s="215"/>
      <c r="S4" s="215"/>
      <c r="T4" s="246" t="s">
        <v>114</v>
      </c>
      <c r="U4" s="213"/>
      <c r="V4" s="213"/>
      <c r="W4" s="213"/>
      <c r="X4" s="213"/>
      <c r="Y4" s="214"/>
      <c r="Z4" s="211" t="s">
        <v>115</v>
      </c>
      <c r="AA4" s="256" t="s">
        <v>116</v>
      </c>
    </row>
    <row r="5" s="207" customFormat="1" ht="16.5" customHeight="1" spans="1:27">
      <c r="A5" s="216"/>
      <c r="B5" s="217" t="s">
        <v>117</v>
      </c>
      <c r="C5" s="217" t="s">
        <v>118</v>
      </c>
      <c r="D5" s="217" t="s">
        <v>43</v>
      </c>
      <c r="E5" s="217" t="s">
        <v>45</v>
      </c>
      <c r="F5" s="217" t="s">
        <v>119</v>
      </c>
      <c r="G5" s="218" t="s">
        <v>48</v>
      </c>
      <c r="H5" s="217" t="s">
        <v>117</v>
      </c>
      <c r="I5" s="217" t="s">
        <v>118</v>
      </c>
      <c r="J5" s="217" t="s">
        <v>43</v>
      </c>
      <c r="K5" s="217" t="s">
        <v>45</v>
      </c>
      <c r="L5" s="217" t="s">
        <v>119</v>
      </c>
      <c r="M5" s="218" t="s">
        <v>48</v>
      </c>
      <c r="N5" s="217" t="s">
        <v>117</v>
      </c>
      <c r="O5" s="217" t="s">
        <v>118</v>
      </c>
      <c r="P5" s="217" t="s">
        <v>43</v>
      </c>
      <c r="Q5" s="217" t="s">
        <v>45</v>
      </c>
      <c r="R5" s="217" t="s">
        <v>119</v>
      </c>
      <c r="S5" s="218" t="s">
        <v>48</v>
      </c>
      <c r="T5" s="217" t="s">
        <v>117</v>
      </c>
      <c r="U5" s="217" t="s">
        <v>118</v>
      </c>
      <c r="V5" s="217" t="s">
        <v>43</v>
      </c>
      <c r="W5" s="217" t="s">
        <v>45</v>
      </c>
      <c r="X5" s="217" t="s">
        <v>119</v>
      </c>
      <c r="Y5" s="218" t="s">
        <v>48</v>
      </c>
      <c r="Z5" s="216"/>
      <c r="AA5" s="257"/>
    </row>
    <row r="6" s="207" customFormat="1" ht="16.5" customHeight="1" spans="1:27">
      <c r="A6" s="219"/>
      <c r="B6" s="220" t="s">
        <v>120</v>
      </c>
      <c r="C6" s="220" t="s">
        <v>120</v>
      </c>
      <c r="D6" s="220" t="s">
        <v>120</v>
      </c>
      <c r="E6" s="220" t="s">
        <v>120</v>
      </c>
      <c r="F6" s="220" t="s">
        <v>120</v>
      </c>
      <c r="G6" s="220" t="s">
        <v>120</v>
      </c>
      <c r="H6" s="220" t="s">
        <v>120</v>
      </c>
      <c r="I6" s="220" t="s">
        <v>120</v>
      </c>
      <c r="J6" s="220" t="s">
        <v>120</v>
      </c>
      <c r="K6" s="220" t="s">
        <v>120</v>
      </c>
      <c r="L6" s="220" t="s">
        <v>120</v>
      </c>
      <c r="M6" s="220" t="s">
        <v>120</v>
      </c>
      <c r="N6" s="220" t="s">
        <v>120</v>
      </c>
      <c r="O6" s="220" t="s">
        <v>120</v>
      </c>
      <c r="P6" s="220" t="s">
        <v>120</v>
      </c>
      <c r="Q6" s="220" t="s">
        <v>120</v>
      </c>
      <c r="R6" s="220" t="s">
        <v>120</v>
      </c>
      <c r="S6" s="220" t="s">
        <v>120</v>
      </c>
      <c r="T6" s="220" t="s">
        <v>120</v>
      </c>
      <c r="U6" s="220" t="s">
        <v>120</v>
      </c>
      <c r="V6" s="220" t="s">
        <v>120</v>
      </c>
      <c r="W6" s="220" t="s">
        <v>120</v>
      </c>
      <c r="X6" s="220" t="s">
        <v>120</v>
      </c>
      <c r="Y6" s="220" t="s">
        <v>120</v>
      </c>
      <c r="Z6" s="219"/>
      <c r="AA6" s="258"/>
    </row>
    <row r="7" s="207" customFormat="1" ht="18" customHeight="1" spans="1:49">
      <c r="A7" s="221">
        <v>1</v>
      </c>
      <c r="B7" s="222">
        <v>311</v>
      </c>
      <c r="C7" s="223">
        <v>158</v>
      </c>
      <c r="D7" s="224">
        <v>212</v>
      </c>
      <c r="E7" s="225">
        <v>4.42</v>
      </c>
      <c r="F7" s="226">
        <v>27.5</v>
      </c>
      <c r="G7" s="227">
        <v>45.7</v>
      </c>
      <c r="H7" s="228">
        <v>21</v>
      </c>
      <c r="I7" s="235" t="s">
        <v>121</v>
      </c>
      <c r="J7" s="228">
        <v>5</v>
      </c>
      <c r="K7" s="235">
        <v>0.34</v>
      </c>
      <c r="L7" s="225">
        <v>0.2</v>
      </c>
      <c r="M7" s="225">
        <v>9.75</v>
      </c>
      <c r="N7" s="228">
        <v>19</v>
      </c>
      <c r="O7" s="235" t="s">
        <v>121</v>
      </c>
      <c r="P7" s="228">
        <v>5</v>
      </c>
      <c r="Q7" s="235">
        <v>0.26</v>
      </c>
      <c r="R7" s="225">
        <v>0.13</v>
      </c>
      <c r="S7" s="225">
        <v>7.3</v>
      </c>
      <c r="T7" s="228" t="s">
        <v>122</v>
      </c>
      <c r="U7" s="235" t="s">
        <v>121</v>
      </c>
      <c r="V7" s="228">
        <v>5</v>
      </c>
      <c r="W7" s="235">
        <v>0.12</v>
      </c>
      <c r="X7" s="225">
        <v>0.1</v>
      </c>
      <c r="Y7" s="225">
        <v>6.75</v>
      </c>
      <c r="Z7" s="231">
        <v>78.3</v>
      </c>
      <c r="AA7" s="259"/>
      <c r="AB7" s="260"/>
      <c r="AC7" s="260"/>
      <c r="AD7" s="260"/>
      <c r="AE7" s="261"/>
      <c r="AF7" s="261"/>
      <c r="AG7" s="261"/>
      <c r="AH7" s="261"/>
      <c r="AI7" s="261"/>
      <c r="AJ7" s="261"/>
      <c r="AK7" s="261"/>
      <c r="AL7" s="271"/>
      <c r="AM7" s="261"/>
      <c r="AN7" s="261"/>
      <c r="AO7" s="261"/>
      <c r="AP7" s="261"/>
      <c r="AQ7" s="261"/>
      <c r="AR7" s="261"/>
      <c r="AS7" s="261"/>
      <c r="AT7" s="261"/>
      <c r="AU7" s="261"/>
      <c r="AV7" s="261"/>
      <c r="AW7" s="261"/>
    </row>
    <row r="8" s="207" customFormat="1" ht="18" customHeight="1" spans="1:49">
      <c r="A8" s="221">
        <v>2</v>
      </c>
      <c r="B8" s="222">
        <v>154</v>
      </c>
      <c r="C8" s="223">
        <v>80.8</v>
      </c>
      <c r="D8" s="224">
        <v>88</v>
      </c>
      <c r="E8" s="225">
        <v>3.16</v>
      </c>
      <c r="F8" s="226">
        <v>21.2</v>
      </c>
      <c r="G8" s="227">
        <v>26.7</v>
      </c>
      <c r="H8" s="228">
        <v>18</v>
      </c>
      <c r="I8" s="235" t="s">
        <v>121</v>
      </c>
      <c r="J8" s="228">
        <v>5</v>
      </c>
      <c r="K8" s="235">
        <v>0.24</v>
      </c>
      <c r="L8" s="225">
        <v>0.17</v>
      </c>
      <c r="M8" s="225">
        <v>8</v>
      </c>
      <c r="N8" s="228">
        <v>19</v>
      </c>
      <c r="O8" s="235" t="s">
        <v>121</v>
      </c>
      <c r="P8" s="228">
        <v>5</v>
      </c>
      <c r="Q8" s="235">
        <v>0.43</v>
      </c>
      <c r="R8" s="225">
        <v>0.18</v>
      </c>
      <c r="S8" s="225">
        <v>7.6</v>
      </c>
      <c r="T8" s="228" t="s">
        <v>122</v>
      </c>
      <c r="U8" s="235" t="s">
        <v>121</v>
      </c>
      <c r="V8" s="228">
        <v>5</v>
      </c>
      <c r="W8" s="235">
        <v>0.13</v>
      </c>
      <c r="X8" s="225">
        <v>0.16</v>
      </c>
      <c r="Y8" s="225">
        <v>7.4</v>
      </c>
      <c r="Z8" s="231">
        <v>77.9</v>
      </c>
      <c r="AA8" s="259" t="s">
        <v>54</v>
      </c>
      <c r="AB8" s="260"/>
      <c r="AC8" s="260"/>
      <c r="AD8" s="260"/>
      <c r="AE8" s="261"/>
      <c r="AF8" s="261"/>
      <c r="AG8" s="261"/>
      <c r="AH8" s="261"/>
      <c r="AI8" s="261"/>
      <c r="AJ8" s="261"/>
      <c r="AK8" s="261"/>
      <c r="AL8" s="261"/>
      <c r="AM8" s="261"/>
      <c r="AN8" s="261"/>
      <c r="AO8" s="261"/>
      <c r="AP8" s="261"/>
      <c r="AQ8" s="261"/>
      <c r="AR8" s="261"/>
      <c r="AS8" s="261"/>
      <c r="AT8" s="261"/>
      <c r="AU8" s="261"/>
      <c r="AV8" s="261"/>
      <c r="AW8" s="261"/>
    </row>
    <row r="9" s="207" customFormat="1" ht="18" customHeight="1" spans="1:49">
      <c r="A9" s="221">
        <v>3</v>
      </c>
      <c r="B9" s="222">
        <v>192</v>
      </c>
      <c r="C9" s="223">
        <v>105</v>
      </c>
      <c r="D9" s="224">
        <v>102</v>
      </c>
      <c r="E9" s="225">
        <v>3.14</v>
      </c>
      <c r="F9" s="226">
        <v>16.4</v>
      </c>
      <c r="G9" s="227">
        <v>22.6</v>
      </c>
      <c r="H9" s="228">
        <v>19</v>
      </c>
      <c r="I9" s="235" t="s">
        <v>121</v>
      </c>
      <c r="J9" s="228">
        <v>5</v>
      </c>
      <c r="K9" s="244">
        <v>0.19</v>
      </c>
      <c r="L9" s="225">
        <v>0.21</v>
      </c>
      <c r="M9" s="225">
        <v>6.25</v>
      </c>
      <c r="N9" s="228">
        <v>18</v>
      </c>
      <c r="O9" s="235" t="s">
        <v>121</v>
      </c>
      <c r="P9" s="228">
        <v>5</v>
      </c>
      <c r="Q9" s="235">
        <v>0.39</v>
      </c>
      <c r="R9" s="225">
        <v>0.21</v>
      </c>
      <c r="S9" s="225">
        <v>6.05</v>
      </c>
      <c r="T9" s="228" t="s">
        <v>122</v>
      </c>
      <c r="U9" s="235" t="s">
        <v>121</v>
      </c>
      <c r="V9" s="228">
        <v>5</v>
      </c>
      <c r="W9" s="247">
        <v>0.18</v>
      </c>
      <c r="X9" s="225">
        <v>0.15</v>
      </c>
      <c r="Y9" s="225">
        <v>5.95</v>
      </c>
      <c r="Z9" s="231">
        <v>78.1</v>
      </c>
      <c r="AA9" s="259" t="s">
        <v>54</v>
      </c>
      <c r="AB9" s="260"/>
      <c r="AC9" s="260"/>
      <c r="AD9" s="260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1"/>
      <c r="AU9" s="261"/>
      <c r="AV9" s="261"/>
      <c r="AW9" s="261"/>
    </row>
    <row r="10" s="207" customFormat="1" ht="18" customHeight="1" spans="1:49">
      <c r="A10" s="221">
        <v>4</v>
      </c>
      <c r="B10" s="222">
        <v>203</v>
      </c>
      <c r="C10" s="223">
        <v>107</v>
      </c>
      <c r="D10" s="224">
        <v>140</v>
      </c>
      <c r="E10" s="225">
        <v>3.45</v>
      </c>
      <c r="F10" s="226">
        <v>25.7</v>
      </c>
      <c r="G10" s="227">
        <v>31.4</v>
      </c>
      <c r="H10" s="228">
        <v>17</v>
      </c>
      <c r="I10" s="235" t="s">
        <v>121</v>
      </c>
      <c r="J10" s="228">
        <v>5</v>
      </c>
      <c r="K10" s="235">
        <v>0.2</v>
      </c>
      <c r="L10" s="225">
        <v>0.16</v>
      </c>
      <c r="M10" s="225">
        <v>5.65</v>
      </c>
      <c r="N10" s="228">
        <v>18</v>
      </c>
      <c r="O10" s="235" t="s">
        <v>121</v>
      </c>
      <c r="P10" s="228">
        <v>5</v>
      </c>
      <c r="Q10" s="235">
        <v>0.2</v>
      </c>
      <c r="R10" s="225">
        <v>0.15</v>
      </c>
      <c r="S10" s="225">
        <v>5.15</v>
      </c>
      <c r="T10" s="228" t="s">
        <v>122</v>
      </c>
      <c r="U10" s="235" t="s">
        <v>121</v>
      </c>
      <c r="V10" s="228">
        <v>5</v>
      </c>
      <c r="W10" s="235">
        <v>0.18</v>
      </c>
      <c r="X10" s="225">
        <v>0.14</v>
      </c>
      <c r="Y10" s="225">
        <v>5</v>
      </c>
      <c r="Z10" s="231">
        <v>77.4</v>
      </c>
      <c r="AA10" s="259" t="s">
        <v>54</v>
      </c>
      <c r="AB10" s="260"/>
      <c r="AC10" s="260"/>
      <c r="AD10" s="260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</row>
    <row r="11" s="207" customFormat="1" ht="18" customHeight="1" spans="1:49">
      <c r="A11" s="221">
        <v>5</v>
      </c>
      <c r="B11" s="222">
        <v>177</v>
      </c>
      <c r="C11" s="223">
        <v>93.7</v>
      </c>
      <c r="D11" s="224">
        <v>88</v>
      </c>
      <c r="E11" s="225">
        <v>3.29</v>
      </c>
      <c r="F11" s="226">
        <v>24.7</v>
      </c>
      <c r="G11" s="227">
        <v>32.3</v>
      </c>
      <c r="H11" s="228">
        <v>19</v>
      </c>
      <c r="I11" s="235" t="s">
        <v>121</v>
      </c>
      <c r="J11" s="228">
        <v>5</v>
      </c>
      <c r="K11" s="235">
        <v>0.28</v>
      </c>
      <c r="L11" s="225">
        <v>0.13</v>
      </c>
      <c r="M11" s="225">
        <v>8.2</v>
      </c>
      <c r="N11" s="228">
        <v>16</v>
      </c>
      <c r="O11" s="235" t="s">
        <v>121</v>
      </c>
      <c r="P11" s="228">
        <v>5</v>
      </c>
      <c r="Q11" s="235">
        <v>0.26</v>
      </c>
      <c r="R11" s="225">
        <v>0.12</v>
      </c>
      <c r="S11" s="225">
        <v>7.5</v>
      </c>
      <c r="T11" s="228" t="s">
        <v>122</v>
      </c>
      <c r="U11" s="235" t="s">
        <v>121</v>
      </c>
      <c r="V11" s="228">
        <v>5</v>
      </c>
      <c r="W11" s="235">
        <v>0.17</v>
      </c>
      <c r="X11" s="225">
        <v>0.11</v>
      </c>
      <c r="Y11" s="225">
        <v>7.4</v>
      </c>
      <c r="Z11" s="231">
        <v>77.8</v>
      </c>
      <c r="AA11" s="259" t="s">
        <v>54</v>
      </c>
      <c r="AB11" s="260"/>
      <c r="AC11" s="260"/>
      <c r="AD11" s="260"/>
      <c r="AE11" s="261"/>
      <c r="AF11" s="261"/>
      <c r="AG11" s="261"/>
      <c r="AH11" s="261"/>
      <c r="AI11" s="261"/>
      <c r="AJ11" s="261"/>
      <c r="AK11" s="261"/>
      <c r="AL11" s="261"/>
      <c r="AM11" s="261"/>
      <c r="AN11" s="261"/>
      <c r="AO11" s="261"/>
      <c r="AP11" s="261"/>
      <c r="AQ11" s="261"/>
      <c r="AR11" s="261"/>
      <c r="AS11" s="261"/>
      <c r="AT11" s="261"/>
      <c r="AU11" s="261"/>
      <c r="AV11" s="261"/>
      <c r="AW11" s="261"/>
    </row>
    <row r="12" s="207" customFormat="1" ht="18" customHeight="1" spans="1:49">
      <c r="A12" s="221">
        <v>6</v>
      </c>
      <c r="B12" s="222">
        <v>103</v>
      </c>
      <c r="C12" s="223">
        <v>53.4</v>
      </c>
      <c r="D12" s="224">
        <v>76</v>
      </c>
      <c r="E12" s="225">
        <v>2.14</v>
      </c>
      <c r="F12" s="226">
        <v>17.4</v>
      </c>
      <c r="G12" s="227">
        <v>23.2</v>
      </c>
      <c r="H12" s="228">
        <v>21</v>
      </c>
      <c r="I12" s="235" t="s">
        <v>121</v>
      </c>
      <c r="J12" s="228">
        <v>5</v>
      </c>
      <c r="K12" s="235">
        <v>0.24</v>
      </c>
      <c r="L12" s="225">
        <v>0.12</v>
      </c>
      <c r="M12" s="225">
        <v>7</v>
      </c>
      <c r="N12" s="228">
        <v>19</v>
      </c>
      <c r="O12" s="235" t="s">
        <v>121</v>
      </c>
      <c r="P12" s="228">
        <v>5</v>
      </c>
      <c r="Q12" s="235">
        <v>0.44</v>
      </c>
      <c r="R12" s="225">
        <v>0.13</v>
      </c>
      <c r="S12" s="225">
        <v>7.2</v>
      </c>
      <c r="T12" s="228" t="s">
        <v>122</v>
      </c>
      <c r="U12" s="235" t="s">
        <v>121</v>
      </c>
      <c r="V12" s="228">
        <v>5</v>
      </c>
      <c r="W12" s="235">
        <v>0.2</v>
      </c>
      <c r="X12" s="225">
        <v>0.1</v>
      </c>
      <c r="Y12" s="225">
        <v>6.68</v>
      </c>
      <c r="Z12" s="231">
        <v>77.9</v>
      </c>
      <c r="AA12" s="259">
        <v>50</v>
      </c>
      <c r="AB12" s="260"/>
      <c r="AC12" s="260"/>
      <c r="AD12" s="260"/>
      <c r="AE12" s="261"/>
      <c r="AF12" s="261"/>
      <c r="AG12" s="261"/>
      <c r="AH12" s="261"/>
      <c r="AI12" s="261"/>
      <c r="AJ12" s="261"/>
      <c r="AK12" s="261"/>
      <c r="AL12" s="261"/>
      <c r="AM12" s="261"/>
      <c r="AN12" s="261"/>
      <c r="AO12" s="261"/>
      <c r="AP12" s="261"/>
      <c r="AQ12" s="261"/>
      <c r="AR12" s="261"/>
      <c r="AS12" s="261"/>
      <c r="AT12" s="261"/>
      <c r="AU12" s="261"/>
      <c r="AV12" s="261"/>
      <c r="AW12" s="261"/>
    </row>
    <row r="13" s="207" customFormat="1" ht="18" customHeight="1" spans="1:49">
      <c r="A13" s="221">
        <v>7</v>
      </c>
      <c r="B13" s="223">
        <v>159</v>
      </c>
      <c r="C13" s="223">
        <v>84.1</v>
      </c>
      <c r="D13" s="224">
        <v>90</v>
      </c>
      <c r="E13" s="225">
        <v>2.79</v>
      </c>
      <c r="F13" s="226">
        <v>26.2</v>
      </c>
      <c r="G13" s="227">
        <v>35.8</v>
      </c>
      <c r="H13" s="228">
        <v>19</v>
      </c>
      <c r="I13" s="235" t="s">
        <v>121</v>
      </c>
      <c r="J13" s="228">
        <v>5</v>
      </c>
      <c r="K13" s="235">
        <v>0.21</v>
      </c>
      <c r="L13" s="225">
        <v>0.16</v>
      </c>
      <c r="M13" s="225">
        <v>8</v>
      </c>
      <c r="N13" s="228">
        <v>19</v>
      </c>
      <c r="O13" s="235" t="s">
        <v>121</v>
      </c>
      <c r="P13" s="228">
        <v>5</v>
      </c>
      <c r="Q13" s="235">
        <v>0.7</v>
      </c>
      <c r="R13" s="225">
        <v>0.17</v>
      </c>
      <c r="S13" s="225">
        <v>7.1</v>
      </c>
      <c r="T13" s="228" t="s">
        <v>122</v>
      </c>
      <c r="U13" s="235" t="s">
        <v>121</v>
      </c>
      <c r="V13" s="228">
        <v>5</v>
      </c>
      <c r="W13" s="235">
        <v>0.13</v>
      </c>
      <c r="X13" s="225">
        <v>0.1</v>
      </c>
      <c r="Y13" s="225">
        <v>7.05</v>
      </c>
      <c r="Z13" s="231">
        <v>78.2</v>
      </c>
      <c r="AA13" s="259"/>
      <c r="AB13" s="260"/>
      <c r="AC13" s="260"/>
      <c r="AD13" s="260"/>
      <c r="AE13" s="261"/>
      <c r="AF13" s="261"/>
      <c r="AG13" s="261"/>
      <c r="AH13" s="261"/>
      <c r="AI13" s="261"/>
      <c r="AJ13" s="261"/>
      <c r="AK13" s="261"/>
      <c r="AL13" s="261"/>
      <c r="AM13" s="261"/>
      <c r="AN13" s="261"/>
      <c r="AO13" s="261"/>
      <c r="AP13" s="261"/>
      <c r="AQ13" s="261"/>
      <c r="AR13" s="261"/>
      <c r="AS13" s="261"/>
      <c r="AT13" s="261"/>
      <c r="AU13" s="261"/>
      <c r="AV13" s="261"/>
      <c r="AW13" s="261"/>
    </row>
    <row r="14" s="207" customFormat="1" ht="18" customHeight="1" spans="1:49">
      <c r="A14" s="221">
        <v>8</v>
      </c>
      <c r="B14" s="222">
        <v>252</v>
      </c>
      <c r="C14" s="223">
        <v>136</v>
      </c>
      <c r="D14" s="224">
        <v>122</v>
      </c>
      <c r="E14" s="225">
        <v>3.85</v>
      </c>
      <c r="F14" s="229">
        <v>28.8</v>
      </c>
      <c r="G14" s="227">
        <v>34.1</v>
      </c>
      <c r="H14" s="228">
        <v>19</v>
      </c>
      <c r="I14" s="235" t="s">
        <v>121</v>
      </c>
      <c r="J14" s="228">
        <v>5</v>
      </c>
      <c r="K14" s="235">
        <v>0.18</v>
      </c>
      <c r="L14" s="225">
        <v>0.24</v>
      </c>
      <c r="M14" s="225">
        <v>8</v>
      </c>
      <c r="N14" s="228" t="s">
        <v>122</v>
      </c>
      <c r="O14" s="235" t="s">
        <v>121</v>
      </c>
      <c r="P14" s="228">
        <v>5</v>
      </c>
      <c r="Q14" s="235">
        <v>0.6</v>
      </c>
      <c r="R14" s="248">
        <v>0.23</v>
      </c>
      <c r="S14" s="225">
        <v>8.3</v>
      </c>
      <c r="T14" s="228" t="s">
        <v>122</v>
      </c>
      <c r="U14" s="235" t="s">
        <v>121</v>
      </c>
      <c r="V14" s="228">
        <v>5</v>
      </c>
      <c r="W14" s="235">
        <v>0.1</v>
      </c>
      <c r="X14" s="225">
        <v>0.23</v>
      </c>
      <c r="Y14" s="225">
        <v>7.6</v>
      </c>
      <c r="Z14" s="231">
        <v>78</v>
      </c>
      <c r="AA14" s="259"/>
      <c r="AB14" s="260"/>
      <c r="AC14" s="260"/>
      <c r="AD14" s="260"/>
      <c r="AE14" s="225"/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1"/>
      <c r="AT14" s="261"/>
      <c r="AU14" s="261"/>
      <c r="AV14" s="261"/>
      <c r="AW14" s="261"/>
    </row>
    <row r="15" s="207" customFormat="1" ht="18" customHeight="1" spans="1:49">
      <c r="A15" s="221">
        <v>9</v>
      </c>
      <c r="B15" s="222">
        <v>218</v>
      </c>
      <c r="C15" s="228">
        <v>115</v>
      </c>
      <c r="D15" s="224">
        <v>102</v>
      </c>
      <c r="E15" s="225">
        <v>4.3</v>
      </c>
      <c r="F15" s="226">
        <v>29.4</v>
      </c>
      <c r="G15" s="227">
        <v>34.5</v>
      </c>
      <c r="H15" s="228">
        <v>18</v>
      </c>
      <c r="I15" s="235" t="s">
        <v>121</v>
      </c>
      <c r="J15" s="228">
        <v>5</v>
      </c>
      <c r="K15" s="235">
        <v>0.27</v>
      </c>
      <c r="L15" s="225">
        <v>0.16</v>
      </c>
      <c r="M15" s="225">
        <v>7.2</v>
      </c>
      <c r="N15" s="228" t="s">
        <v>122</v>
      </c>
      <c r="O15" s="235" t="s">
        <v>121</v>
      </c>
      <c r="P15" s="228">
        <v>5</v>
      </c>
      <c r="Q15" s="235">
        <v>0.23</v>
      </c>
      <c r="R15" s="225">
        <v>0.12</v>
      </c>
      <c r="S15" s="225">
        <v>6.9</v>
      </c>
      <c r="T15" s="228" t="s">
        <v>122</v>
      </c>
      <c r="U15" s="235" t="s">
        <v>121</v>
      </c>
      <c r="V15" s="228">
        <v>5</v>
      </c>
      <c r="W15" s="235">
        <v>0.15</v>
      </c>
      <c r="X15" s="225">
        <v>0.1</v>
      </c>
      <c r="Y15" s="225">
        <v>6.58</v>
      </c>
      <c r="Z15" s="231">
        <v>78.4</v>
      </c>
      <c r="AA15" s="259">
        <v>360</v>
      </c>
      <c r="AB15" s="260"/>
      <c r="AC15" s="260"/>
      <c r="AD15" s="260"/>
      <c r="AE15" s="261"/>
      <c r="AF15" s="261"/>
      <c r="AG15" s="261"/>
      <c r="AH15" s="261"/>
      <c r="AI15" s="261"/>
      <c r="AJ15" s="261"/>
      <c r="AK15" s="261"/>
      <c r="AL15" s="261"/>
      <c r="AM15" s="261"/>
      <c r="AN15" s="261"/>
      <c r="AO15" s="261"/>
      <c r="AP15" s="261"/>
      <c r="AQ15" s="261"/>
      <c r="AR15" s="261"/>
      <c r="AS15" s="261"/>
      <c r="AT15" s="261"/>
      <c r="AU15" s="261"/>
      <c r="AV15" s="261"/>
      <c r="AW15" s="261"/>
    </row>
    <row r="16" s="207" customFormat="1" ht="18" customHeight="1" spans="1:49">
      <c r="A16" s="221">
        <v>10</v>
      </c>
      <c r="B16" s="222">
        <v>195</v>
      </c>
      <c r="C16" s="228">
        <v>103</v>
      </c>
      <c r="D16" s="224">
        <v>116</v>
      </c>
      <c r="E16" s="225">
        <v>3.53</v>
      </c>
      <c r="F16" s="226">
        <v>23.3</v>
      </c>
      <c r="G16" s="227">
        <v>29.7</v>
      </c>
      <c r="H16" s="228">
        <v>19</v>
      </c>
      <c r="I16" s="235" t="s">
        <v>121</v>
      </c>
      <c r="J16" s="228">
        <v>5</v>
      </c>
      <c r="K16" s="235">
        <v>0.19</v>
      </c>
      <c r="L16" s="225">
        <v>0.2</v>
      </c>
      <c r="M16" s="225">
        <v>8.2</v>
      </c>
      <c r="N16" s="228">
        <v>20</v>
      </c>
      <c r="O16" s="235" t="s">
        <v>121</v>
      </c>
      <c r="P16" s="228">
        <v>7</v>
      </c>
      <c r="Q16" s="235">
        <v>0.29</v>
      </c>
      <c r="R16" s="225">
        <v>0.23</v>
      </c>
      <c r="S16" s="225">
        <v>7.2</v>
      </c>
      <c r="T16" s="228" t="s">
        <v>122</v>
      </c>
      <c r="U16" s="235" t="s">
        <v>121</v>
      </c>
      <c r="V16" s="228">
        <v>5</v>
      </c>
      <c r="W16" s="235">
        <v>0.18</v>
      </c>
      <c r="X16" s="225">
        <v>0.18</v>
      </c>
      <c r="Y16" s="225">
        <v>6.95</v>
      </c>
      <c r="Z16" s="231">
        <v>78.3</v>
      </c>
      <c r="AA16" s="259" t="s">
        <v>54</v>
      </c>
      <c r="AB16" s="260"/>
      <c r="AC16" s="260"/>
      <c r="AD16" s="260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1"/>
      <c r="AT16" s="261"/>
      <c r="AU16" s="261"/>
      <c r="AV16" s="261"/>
      <c r="AW16" s="261"/>
    </row>
    <row r="17" s="207" customFormat="1" ht="18" customHeight="1" spans="1:49">
      <c r="A17" s="221">
        <v>11</v>
      </c>
      <c r="B17" s="222">
        <v>220</v>
      </c>
      <c r="C17" s="228">
        <v>116</v>
      </c>
      <c r="D17" s="224">
        <v>146</v>
      </c>
      <c r="E17" s="225">
        <v>4.95</v>
      </c>
      <c r="F17" s="226">
        <v>25.9</v>
      </c>
      <c r="G17" s="227">
        <v>31.4</v>
      </c>
      <c r="H17" s="228">
        <v>16</v>
      </c>
      <c r="I17" s="235" t="s">
        <v>121</v>
      </c>
      <c r="J17" s="228">
        <v>5</v>
      </c>
      <c r="K17" s="235">
        <v>0.25</v>
      </c>
      <c r="L17" s="225">
        <v>0.17</v>
      </c>
      <c r="M17" s="225">
        <v>6.6</v>
      </c>
      <c r="N17" s="228">
        <v>17</v>
      </c>
      <c r="O17" s="235" t="s">
        <v>121</v>
      </c>
      <c r="P17" s="228">
        <v>5</v>
      </c>
      <c r="Q17" s="235">
        <v>0.6</v>
      </c>
      <c r="R17" s="225">
        <v>0.18</v>
      </c>
      <c r="S17" s="225">
        <v>6.68</v>
      </c>
      <c r="T17" s="228" t="s">
        <v>122</v>
      </c>
      <c r="U17" s="235" t="s">
        <v>121</v>
      </c>
      <c r="V17" s="228">
        <v>5</v>
      </c>
      <c r="W17" s="225">
        <v>0.19</v>
      </c>
      <c r="X17" s="225">
        <v>0.1</v>
      </c>
      <c r="Y17" s="225">
        <v>5.15</v>
      </c>
      <c r="Z17" s="262">
        <v>78.1</v>
      </c>
      <c r="AA17" s="259" t="s">
        <v>54</v>
      </c>
      <c r="AB17" s="260"/>
      <c r="AC17" s="260"/>
      <c r="AD17" s="260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  <c r="AT17" s="261"/>
      <c r="AU17" s="261"/>
      <c r="AV17" s="261"/>
      <c r="AW17" s="261"/>
    </row>
    <row r="18" s="207" customFormat="1" ht="18" customHeight="1" spans="1:49">
      <c r="A18" s="221">
        <v>12</v>
      </c>
      <c r="B18" s="228">
        <v>323</v>
      </c>
      <c r="C18" s="228">
        <v>171</v>
      </c>
      <c r="D18" s="230">
        <v>228</v>
      </c>
      <c r="E18" s="225">
        <v>3.42</v>
      </c>
      <c r="F18" s="226">
        <v>30.4</v>
      </c>
      <c r="G18" s="227">
        <v>35.9</v>
      </c>
      <c r="H18" s="228">
        <v>16</v>
      </c>
      <c r="I18" s="235" t="s">
        <v>121</v>
      </c>
      <c r="J18" s="228">
        <v>5</v>
      </c>
      <c r="K18" s="235">
        <v>0.17</v>
      </c>
      <c r="L18" s="225">
        <v>0.17</v>
      </c>
      <c r="M18" s="225">
        <v>7.2</v>
      </c>
      <c r="N18" s="228">
        <v>24</v>
      </c>
      <c r="O18" s="235" t="s">
        <v>121</v>
      </c>
      <c r="P18" s="228">
        <v>8</v>
      </c>
      <c r="Q18" s="235">
        <v>0.26</v>
      </c>
      <c r="R18" s="225">
        <v>0.16</v>
      </c>
      <c r="S18" s="225">
        <v>6.18</v>
      </c>
      <c r="T18" s="228" t="s">
        <v>122</v>
      </c>
      <c r="U18" s="235" t="s">
        <v>121</v>
      </c>
      <c r="V18" s="228">
        <v>5</v>
      </c>
      <c r="W18" s="235">
        <v>0.15</v>
      </c>
      <c r="X18" s="225">
        <v>0.13</v>
      </c>
      <c r="Y18" s="225">
        <v>5.4</v>
      </c>
      <c r="Z18" s="231">
        <v>78.6</v>
      </c>
      <c r="AA18" s="259" t="s">
        <v>54</v>
      </c>
      <c r="AB18" s="260"/>
      <c r="AC18" s="260"/>
      <c r="AD18" s="260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  <c r="AT18" s="261"/>
      <c r="AU18" s="261"/>
      <c r="AV18" s="261"/>
      <c r="AW18" s="261"/>
    </row>
    <row r="19" s="207" customFormat="1" ht="18" customHeight="1" spans="1:49">
      <c r="A19" s="221">
        <v>13</v>
      </c>
      <c r="B19" s="222">
        <v>243</v>
      </c>
      <c r="C19" s="228">
        <v>126</v>
      </c>
      <c r="D19" s="224">
        <v>166</v>
      </c>
      <c r="E19" s="225">
        <v>3.12</v>
      </c>
      <c r="F19" s="226">
        <v>16.8</v>
      </c>
      <c r="G19" s="227">
        <v>23.2</v>
      </c>
      <c r="H19" s="228">
        <v>16</v>
      </c>
      <c r="I19" s="235" t="s">
        <v>121</v>
      </c>
      <c r="J19" s="228">
        <v>5</v>
      </c>
      <c r="K19" s="235">
        <v>0.31</v>
      </c>
      <c r="L19" s="225">
        <v>0.21</v>
      </c>
      <c r="M19" s="225">
        <v>6.25</v>
      </c>
      <c r="N19" s="228" t="s">
        <v>122</v>
      </c>
      <c r="O19" s="235" t="s">
        <v>121</v>
      </c>
      <c r="P19" s="228">
        <v>5</v>
      </c>
      <c r="Q19" s="235">
        <v>0.55</v>
      </c>
      <c r="R19" s="225">
        <v>0.2</v>
      </c>
      <c r="S19" s="225">
        <v>5.85</v>
      </c>
      <c r="T19" s="228" t="s">
        <v>122</v>
      </c>
      <c r="U19" s="235" t="s">
        <v>121</v>
      </c>
      <c r="V19" s="228">
        <v>5</v>
      </c>
      <c r="W19" s="235">
        <v>0.13</v>
      </c>
      <c r="X19" s="235">
        <v>0.19</v>
      </c>
      <c r="Y19" s="225">
        <v>5.65</v>
      </c>
      <c r="Z19" s="231">
        <v>78</v>
      </c>
      <c r="AA19" s="259" t="s">
        <v>54</v>
      </c>
      <c r="AB19" s="260"/>
      <c r="AC19" s="260"/>
      <c r="AD19" s="260"/>
      <c r="AE19" s="261"/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1"/>
      <c r="AT19" s="261"/>
      <c r="AU19" s="261"/>
      <c r="AV19" s="261"/>
      <c r="AW19" s="261"/>
    </row>
    <row r="20" s="207" customFormat="1" ht="18" customHeight="1" spans="1:49">
      <c r="A20" s="221">
        <v>14</v>
      </c>
      <c r="B20" s="222">
        <v>113</v>
      </c>
      <c r="C20" s="228">
        <v>57.5</v>
      </c>
      <c r="D20" s="224">
        <v>84</v>
      </c>
      <c r="E20" s="225">
        <v>2.39</v>
      </c>
      <c r="F20" s="231">
        <v>10.4</v>
      </c>
      <c r="G20" s="227">
        <v>17.3</v>
      </c>
      <c r="H20" s="228">
        <v>18</v>
      </c>
      <c r="I20" s="235" t="s">
        <v>121</v>
      </c>
      <c r="J20" s="228">
        <v>6</v>
      </c>
      <c r="K20" s="235">
        <v>0.28</v>
      </c>
      <c r="L20" s="225">
        <v>0.14</v>
      </c>
      <c r="M20" s="225">
        <v>4.95</v>
      </c>
      <c r="N20" s="228">
        <v>17</v>
      </c>
      <c r="O20" s="235" t="s">
        <v>121</v>
      </c>
      <c r="P20" s="228">
        <v>7</v>
      </c>
      <c r="Q20" s="235">
        <v>0.67</v>
      </c>
      <c r="R20" s="225">
        <v>0.15</v>
      </c>
      <c r="S20" s="225">
        <v>5.4</v>
      </c>
      <c r="T20" s="228" t="s">
        <v>122</v>
      </c>
      <c r="U20" s="235" t="s">
        <v>121</v>
      </c>
      <c r="V20" s="228">
        <v>5</v>
      </c>
      <c r="W20" s="235">
        <v>0.15</v>
      </c>
      <c r="X20" s="235">
        <v>0.11</v>
      </c>
      <c r="Y20" s="225">
        <v>4.19</v>
      </c>
      <c r="Z20" s="231">
        <v>77.6</v>
      </c>
      <c r="AA20" s="259"/>
      <c r="AB20" s="260"/>
      <c r="AC20" s="260"/>
      <c r="AD20" s="260"/>
      <c r="AE20" s="261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1"/>
      <c r="AT20" s="261"/>
      <c r="AU20" s="261"/>
      <c r="AV20" s="261"/>
      <c r="AW20" s="261"/>
    </row>
    <row r="21" s="207" customFormat="1" ht="18" customHeight="1" spans="1:49">
      <c r="A21" s="221">
        <v>15</v>
      </c>
      <c r="B21" s="222">
        <v>167</v>
      </c>
      <c r="C21" s="228">
        <v>88.4</v>
      </c>
      <c r="D21" s="224">
        <v>100</v>
      </c>
      <c r="E21" s="225">
        <v>4.02</v>
      </c>
      <c r="F21" s="231">
        <v>43.5</v>
      </c>
      <c r="G21" s="232">
        <v>48.9</v>
      </c>
      <c r="H21" s="228" t="s">
        <v>122</v>
      </c>
      <c r="I21" s="235" t="s">
        <v>121</v>
      </c>
      <c r="J21" s="228">
        <v>5</v>
      </c>
      <c r="K21" s="235">
        <v>0.32</v>
      </c>
      <c r="L21" s="225">
        <v>0.4</v>
      </c>
      <c r="M21" s="225">
        <v>7.6</v>
      </c>
      <c r="N21" s="228">
        <v>17</v>
      </c>
      <c r="O21" s="235" t="s">
        <v>121</v>
      </c>
      <c r="P21" s="228">
        <v>6</v>
      </c>
      <c r="Q21" s="235">
        <v>0.76</v>
      </c>
      <c r="R21" s="225">
        <v>0.46</v>
      </c>
      <c r="S21" s="225">
        <v>6.75</v>
      </c>
      <c r="T21" s="228" t="s">
        <v>122</v>
      </c>
      <c r="U21" s="235" t="s">
        <v>121</v>
      </c>
      <c r="V21" s="228">
        <v>5</v>
      </c>
      <c r="W21" s="221">
        <v>0.13</v>
      </c>
      <c r="X21" s="235">
        <v>0.25</v>
      </c>
      <c r="Y21" s="225">
        <v>4.8</v>
      </c>
      <c r="Z21" s="263">
        <v>77.9</v>
      </c>
      <c r="AA21" s="259"/>
      <c r="AB21" s="260"/>
      <c r="AC21" s="260"/>
      <c r="AD21" s="260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261"/>
      <c r="AT21" s="261"/>
      <c r="AU21" s="261"/>
      <c r="AV21" s="261"/>
      <c r="AW21" s="261"/>
    </row>
    <row r="22" s="207" customFormat="1" ht="18" customHeight="1" spans="1:49">
      <c r="A22" s="221">
        <v>16</v>
      </c>
      <c r="B22" s="222">
        <v>96</v>
      </c>
      <c r="C22" s="233">
        <v>49.9</v>
      </c>
      <c r="D22" s="234">
        <v>62</v>
      </c>
      <c r="E22" s="225">
        <v>2.81</v>
      </c>
      <c r="F22" s="235">
        <v>8.86</v>
      </c>
      <c r="G22" s="227">
        <v>14.2</v>
      </c>
      <c r="H22" s="228">
        <v>18</v>
      </c>
      <c r="I22" s="235" t="s">
        <v>121</v>
      </c>
      <c r="J22" s="228">
        <v>5</v>
      </c>
      <c r="K22" s="235">
        <v>0.27</v>
      </c>
      <c r="L22" s="225">
        <v>0.12</v>
      </c>
      <c r="M22" s="225">
        <v>4.72</v>
      </c>
      <c r="N22" s="228" t="s">
        <v>122</v>
      </c>
      <c r="O22" s="235" t="s">
        <v>121</v>
      </c>
      <c r="P22" s="228">
        <v>5</v>
      </c>
      <c r="Q22" s="235">
        <v>0.3</v>
      </c>
      <c r="R22" s="225">
        <v>0.11</v>
      </c>
      <c r="S22" s="225">
        <v>4.62</v>
      </c>
      <c r="T22" s="228" t="s">
        <v>122</v>
      </c>
      <c r="U22" s="235" t="s">
        <v>121</v>
      </c>
      <c r="V22" s="228">
        <v>5</v>
      </c>
      <c r="W22" s="235">
        <v>0.09</v>
      </c>
      <c r="X22" s="235">
        <v>0.1</v>
      </c>
      <c r="Y22" s="225">
        <v>4.52</v>
      </c>
      <c r="Z22" s="231">
        <v>78.3</v>
      </c>
      <c r="AA22" s="259" t="s">
        <v>54</v>
      </c>
      <c r="AB22" s="260"/>
      <c r="AC22" s="260"/>
      <c r="AD22" s="260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1"/>
      <c r="AQ22" s="261"/>
      <c r="AR22" s="261"/>
      <c r="AS22" s="261"/>
      <c r="AT22" s="261"/>
      <c r="AU22" s="261"/>
      <c r="AV22" s="261"/>
      <c r="AW22" s="261"/>
    </row>
    <row r="23" s="207" customFormat="1" ht="18" customHeight="1" spans="1:49">
      <c r="A23" s="221">
        <v>17</v>
      </c>
      <c r="B23" s="236">
        <v>169</v>
      </c>
      <c r="C23" s="228">
        <v>90.2</v>
      </c>
      <c r="D23" s="224">
        <v>102</v>
      </c>
      <c r="E23" s="225">
        <v>5.69</v>
      </c>
      <c r="F23" s="231">
        <v>17.7</v>
      </c>
      <c r="G23" s="227">
        <v>26.4</v>
      </c>
      <c r="H23" s="228">
        <v>18</v>
      </c>
      <c r="I23" s="235" t="s">
        <v>121</v>
      </c>
      <c r="J23" s="228">
        <v>5</v>
      </c>
      <c r="K23" s="235">
        <v>0.4</v>
      </c>
      <c r="L23" s="225">
        <v>0.26</v>
      </c>
      <c r="M23" s="225">
        <v>5.57</v>
      </c>
      <c r="N23" s="228">
        <v>16</v>
      </c>
      <c r="O23" s="235" t="s">
        <v>121</v>
      </c>
      <c r="P23" s="228">
        <v>5</v>
      </c>
      <c r="Q23" s="235">
        <v>0.67</v>
      </c>
      <c r="R23" s="225">
        <v>0.12</v>
      </c>
      <c r="S23" s="225">
        <v>4.52</v>
      </c>
      <c r="T23" s="228" t="s">
        <v>122</v>
      </c>
      <c r="U23" s="235" t="s">
        <v>121</v>
      </c>
      <c r="V23" s="228">
        <v>5</v>
      </c>
      <c r="W23" s="235">
        <v>0.12</v>
      </c>
      <c r="X23" s="235">
        <v>0.11</v>
      </c>
      <c r="Y23" s="225">
        <v>4.22</v>
      </c>
      <c r="Z23" s="231">
        <v>78.6</v>
      </c>
      <c r="AA23" s="259" t="s">
        <v>54</v>
      </c>
      <c r="AB23" s="260"/>
      <c r="AC23" s="260"/>
      <c r="AD23" s="260"/>
      <c r="AE23" s="261"/>
      <c r="AF23" s="261"/>
      <c r="AG23" s="261"/>
      <c r="AH23" s="261"/>
      <c r="AI23" s="261"/>
      <c r="AJ23" s="261"/>
      <c r="AK23" s="261"/>
      <c r="AL23" s="261"/>
      <c r="AM23" s="261"/>
      <c r="AN23" s="261"/>
      <c r="AO23" s="261"/>
      <c r="AP23" s="261"/>
      <c r="AQ23" s="261"/>
      <c r="AR23" s="261"/>
      <c r="AS23" s="261"/>
      <c r="AT23" s="261"/>
      <c r="AU23" s="261"/>
      <c r="AV23" s="261"/>
      <c r="AW23" s="261"/>
    </row>
    <row r="24" s="207" customFormat="1" ht="18" customHeight="1" spans="1:49">
      <c r="A24" s="221">
        <v>18</v>
      </c>
      <c r="B24" s="221">
        <v>155</v>
      </c>
      <c r="C24" s="233">
        <v>82.2</v>
      </c>
      <c r="D24" s="224">
        <v>78</v>
      </c>
      <c r="E24" s="225">
        <v>3.79</v>
      </c>
      <c r="F24" s="231">
        <v>16.2</v>
      </c>
      <c r="G24" s="227">
        <v>23.4</v>
      </c>
      <c r="H24" s="228" t="s">
        <v>122</v>
      </c>
      <c r="I24" s="235" t="s">
        <v>121</v>
      </c>
      <c r="J24" s="228">
        <v>5</v>
      </c>
      <c r="K24" s="235">
        <v>0.35</v>
      </c>
      <c r="L24" s="225">
        <v>0.14</v>
      </c>
      <c r="M24" s="225">
        <v>6.67</v>
      </c>
      <c r="N24" s="228" t="s">
        <v>122</v>
      </c>
      <c r="O24" s="235" t="s">
        <v>121</v>
      </c>
      <c r="P24" s="228">
        <v>5</v>
      </c>
      <c r="Q24" s="235">
        <v>0.74</v>
      </c>
      <c r="R24" s="225">
        <v>0.12</v>
      </c>
      <c r="S24" s="225">
        <v>5.44</v>
      </c>
      <c r="T24" s="228" t="s">
        <v>122</v>
      </c>
      <c r="U24" s="235" t="s">
        <v>121</v>
      </c>
      <c r="V24" s="228">
        <v>5</v>
      </c>
      <c r="W24" s="235">
        <v>0.18</v>
      </c>
      <c r="X24" s="235">
        <v>0.1</v>
      </c>
      <c r="Y24" s="225">
        <v>4.67</v>
      </c>
      <c r="Z24" s="231">
        <v>77.9</v>
      </c>
      <c r="AA24" s="259" t="s">
        <v>54</v>
      </c>
      <c r="AB24" s="260"/>
      <c r="AC24" s="260"/>
      <c r="AD24" s="260"/>
      <c r="AE24" s="261"/>
      <c r="AF24" s="261"/>
      <c r="AG24" s="261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261"/>
      <c r="AT24" s="261"/>
      <c r="AU24" s="261"/>
      <c r="AV24" s="261"/>
      <c r="AW24" s="261"/>
    </row>
    <row r="25" s="207" customFormat="1" ht="18" customHeight="1" spans="1:49">
      <c r="A25" s="221">
        <v>19</v>
      </c>
      <c r="B25" s="221">
        <v>179</v>
      </c>
      <c r="C25" s="228">
        <v>95.3</v>
      </c>
      <c r="D25" s="224">
        <v>64</v>
      </c>
      <c r="E25" s="225">
        <v>3.49</v>
      </c>
      <c r="F25" s="231">
        <v>20.3</v>
      </c>
      <c r="G25" s="227">
        <v>25.9</v>
      </c>
      <c r="H25" s="228">
        <v>20</v>
      </c>
      <c r="I25" s="235" t="s">
        <v>121</v>
      </c>
      <c r="J25" s="228">
        <v>7</v>
      </c>
      <c r="K25" s="235">
        <v>0.32</v>
      </c>
      <c r="L25" s="225">
        <v>0.22</v>
      </c>
      <c r="M25" s="225">
        <v>7.61</v>
      </c>
      <c r="N25" s="228" t="s">
        <v>122</v>
      </c>
      <c r="O25" s="235" t="s">
        <v>121</v>
      </c>
      <c r="P25" s="228">
        <v>5</v>
      </c>
      <c r="Q25" s="235">
        <v>0.55</v>
      </c>
      <c r="R25" s="225">
        <v>0.1</v>
      </c>
      <c r="S25" s="225">
        <v>6.37</v>
      </c>
      <c r="T25" s="228" t="s">
        <v>122</v>
      </c>
      <c r="U25" s="235" t="s">
        <v>121</v>
      </c>
      <c r="V25" s="228">
        <v>5</v>
      </c>
      <c r="W25" s="235">
        <v>0.13</v>
      </c>
      <c r="X25" s="235">
        <v>0.1</v>
      </c>
      <c r="Y25" s="225">
        <v>6.32</v>
      </c>
      <c r="Z25" s="231">
        <v>78.1</v>
      </c>
      <c r="AA25" s="259" t="s">
        <v>54</v>
      </c>
      <c r="AB25" s="260"/>
      <c r="AC25" s="260"/>
      <c r="AD25" s="260"/>
      <c r="AE25" s="261"/>
      <c r="AF25" s="261"/>
      <c r="AG25" s="261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261"/>
      <c r="AT25" s="261"/>
      <c r="AU25" s="261"/>
      <c r="AV25" s="261"/>
      <c r="AW25" s="261"/>
    </row>
    <row r="26" s="207" customFormat="1" ht="18" customHeight="1" spans="1:49">
      <c r="A26" s="221">
        <v>20</v>
      </c>
      <c r="B26" s="221">
        <v>188</v>
      </c>
      <c r="C26" s="223">
        <v>99.7</v>
      </c>
      <c r="D26" s="224">
        <v>92</v>
      </c>
      <c r="E26" s="225">
        <v>2.71</v>
      </c>
      <c r="F26" s="231">
        <v>19.4</v>
      </c>
      <c r="G26" s="227">
        <v>24.7</v>
      </c>
      <c r="H26" s="228">
        <v>16</v>
      </c>
      <c r="I26" s="235" t="s">
        <v>121</v>
      </c>
      <c r="J26" s="228">
        <v>5</v>
      </c>
      <c r="K26" s="235">
        <v>0.21</v>
      </c>
      <c r="L26" s="225">
        <v>0.14</v>
      </c>
      <c r="M26" s="225">
        <v>8.06</v>
      </c>
      <c r="N26" s="228" t="s">
        <v>122</v>
      </c>
      <c r="O26" s="235" t="s">
        <v>121</v>
      </c>
      <c r="P26" s="228">
        <v>5</v>
      </c>
      <c r="Q26" s="235">
        <v>0.25</v>
      </c>
      <c r="R26" s="225">
        <v>0.16</v>
      </c>
      <c r="S26" s="225">
        <v>7.71</v>
      </c>
      <c r="T26" s="228" t="s">
        <v>122</v>
      </c>
      <c r="U26" s="235" t="s">
        <v>121</v>
      </c>
      <c r="V26" s="228">
        <v>5</v>
      </c>
      <c r="W26" s="235">
        <v>0.1</v>
      </c>
      <c r="X26" s="235">
        <v>0.1</v>
      </c>
      <c r="Y26" s="225">
        <v>6.27</v>
      </c>
      <c r="Z26" s="231">
        <v>78.4</v>
      </c>
      <c r="AA26" s="259" t="s">
        <v>54</v>
      </c>
      <c r="AB26" s="260"/>
      <c r="AC26" s="260"/>
      <c r="AD26" s="260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1"/>
      <c r="AT26" s="261"/>
      <c r="AU26" s="261"/>
      <c r="AV26" s="261"/>
      <c r="AW26" s="261"/>
    </row>
    <row r="27" s="207" customFormat="1" ht="18" customHeight="1" spans="1:49">
      <c r="A27" s="221">
        <v>21</v>
      </c>
      <c r="B27" s="221">
        <v>198</v>
      </c>
      <c r="C27" s="221">
        <v>102</v>
      </c>
      <c r="D27" s="224">
        <v>102</v>
      </c>
      <c r="E27" s="225">
        <v>3.02</v>
      </c>
      <c r="F27" s="231">
        <v>21</v>
      </c>
      <c r="G27" s="227">
        <v>26.7</v>
      </c>
      <c r="H27" s="228">
        <v>21</v>
      </c>
      <c r="I27" s="235" t="s">
        <v>121</v>
      </c>
      <c r="J27" s="228">
        <v>7</v>
      </c>
      <c r="K27" s="235">
        <v>0.31</v>
      </c>
      <c r="L27" s="225">
        <v>0.15</v>
      </c>
      <c r="M27" s="225">
        <v>7.18</v>
      </c>
      <c r="N27" s="228">
        <v>20</v>
      </c>
      <c r="O27" s="235" t="s">
        <v>121</v>
      </c>
      <c r="P27" s="228">
        <v>8</v>
      </c>
      <c r="Q27" s="235">
        <v>0.52</v>
      </c>
      <c r="R27" s="225">
        <v>0.36</v>
      </c>
      <c r="S27" s="225">
        <v>5.97</v>
      </c>
      <c r="T27" s="228" t="s">
        <v>122</v>
      </c>
      <c r="U27" s="235" t="s">
        <v>121</v>
      </c>
      <c r="V27" s="228">
        <v>5</v>
      </c>
      <c r="W27" s="235">
        <v>0.13</v>
      </c>
      <c r="X27" s="225">
        <v>0.13</v>
      </c>
      <c r="Y27" s="225">
        <v>5.67</v>
      </c>
      <c r="Z27" s="231">
        <v>78.9</v>
      </c>
      <c r="AA27" s="259"/>
      <c r="AB27" s="260"/>
      <c r="AC27" s="260"/>
      <c r="AD27" s="260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261"/>
      <c r="AT27" s="261"/>
      <c r="AU27" s="261"/>
      <c r="AV27" s="261"/>
      <c r="AW27" s="261"/>
    </row>
    <row r="28" s="207" customFormat="1" ht="18" customHeight="1" spans="1:49">
      <c r="A28" s="221">
        <v>22</v>
      </c>
      <c r="B28" s="221">
        <v>190</v>
      </c>
      <c r="C28" s="228">
        <v>100</v>
      </c>
      <c r="D28" s="224">
        <v>122</v>
      </c>
      <c r="E28" s="225">
        <v>2.34</v>
      </c>
      <c r="F28" s="231">
        <v>23.2</v>
      </c>
      <c r="G28" s="227">
        <v>28.9</v>
      </c>
      <c r="H28" s="228">
        <v>22</v>
      </c>
      <c r="I28" s="235" t="s">
        <v>121</v>
      </c>
      <c r="J28" s="228">
        <v>7</v>
      </c>
      <c r="K28" s="235">
        <v>0.37</v>
      </c>
      <c r="L28" s="225">
        <v>0.42</v>
      </c>
      <c r="M28" s="225">
        <v>8.46</v>
      </c>
      <c r="N28" s="228">
        <v>23</v>
      </c>
      <c r="O28" s="235" t="s">
        <v>121</v>
      </c>
      <c r="P28" s="228">
        <v>5</v>
      </c>
      <c r="Q28" s="235">
        <v>0.81</v>
      </c>
      <c r="R28" s="225">
        <v>0.95</v>
      </c>
      <c r="S28" s="225">
        <v>9.51</v>
      </c>
      <c r="T28" s="228" t="s">
        <v>122</v>
      </c>
      <c r="U28" s="235" t="s">
        <v>121</v>
      </c>
      <c r="V28" s="228">
        <v>5</v>
      </c>
      <c r="W28" s="235">
        <v>0.13</v>
      </c>
      <c r="X28" s="225">
        <v>0.38</v>
      </c>
      <c r="Y28" s="225">
        <v>7.86</v>
      </c>
      <c r="Z28" s="231">
        <v>79.2</v>
      </c>
      <c r="AA28" s="259"/>
      <c r="AB28" s="260"/>
      <c r="AC28" s="260"/>
      <c r="AD28" s="260"/>
      <c r="AE28" s="261"/>
      <c r="AF28" s="261"/>
      <c r="AG28" s="261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</row>
    <row r="29" s="207" customFormat="1" ht="18" customHeight="1" spans="1:49">
      <c r="A29" s="221">
        <v>23</v>
      </c>
      <c r="B29" s="221">
        <v>213</v>
      </c>
      <c r="C29" s="228">
        <v>113</v>
      </c>
      <c r="D29" s="224">
        <v>142</v>
      </c>
      <c r="E29" s="225">
        <v>3.04</v>
      </c>
      <c r="F29" s="231">
        <v>29.2</v>
      </c>
      <c r="G29" s="227">
        <v>36.9</v>
      </c>
      <c r="H29" s="228">
        <v>19</v>
      </c>
      <c r="I29" s="235" t="s">
        <v>121</v>
      </c>
      <c r="J29" s="228">
        <v>6</v>
      </c>
      <c r="K29" s="235">
        <v>0.4</v>
      </c>
      <c r="L29" s="225">
        <v>0.26</v>
      </c>
      <c r="M29" s="225">
        <v>6.8</v>
      </c>
      <c r="N29" s="228" t="s">
        <v>122</v>
      </c>
      <c r="O29" s="235" t="s">
        <v>121</v>
      </c>
      <c r="P29" s="228">
        <v>5</v>
      </c>
      <c r="Q29" s="235">
        <v>0.82</v>
      </c>
      <c r="R29" s="225">
        <v>0.18</v>
      </c>
      <c r="S29" s="225">
        <v>6.67</v>
      </c>
      <c r="T29" s="228" t="s">
        <v>122</v>
      </c>
      <c r="U29" s="235" t="s">
        <v>121</v>
      </c>
      <c r="V29" s="228">
        <v>5</v>
      </c>
      <c r="W29" s="235">
        <v>0.14</v>
      </c>
      <c r="X29" s="225">
        <v>0.1</v>
      </c>
      <c r="Y29" s="225">
        <v>6.52</v>
      </c>
      <c r="Z29" s="226">
        <v>78.8</v>
      </c>
      <c r="AA29" s="259" t="s">
        <v>54</v>
      </c>
      <c r="AB29" s="260"/>
      <c r="AC29" s="260"/>
      <c r="AD29" s="260"/>
      <c r="AE29" s="261"/>
      <c r="AF29" s="261"/>
      <c r="AG29" s="261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1"/>
      <c r="AT29" s="261"/>
      <c r="AU29" s="261"/>
      <c r="AV29" s="261"/>
      <c r="AW29" s="261"/>
    </row>
    <row r="30" s="207" customFormat="1" ht="18" customHeight="1" spans="1:49">
      <c r="A30" s="221">
        <v>24</v>
      </c>
      <c r="B30" s="221">
        <v>170</v>
      </c>
      <c r="C30" s="228">
        <v>91.5</v>
      </c>
      <c r="D30" s="224">
        <v>146</v>
      </c>
      <c r="E30" s="225">
        <v>3.25</v>
      </c>
      <c r="F30" s="231">
        <v>20</v>
      </c>
      <c r="G30" s="227">
        <v>25.9</v>
      </c>
      <c r="H30" s="228">
        <v>16</v>
      </c>
      <c r="I30" s="235" t="s">
        <v>121</v>
      </c>
      <c r="J30" s="228">
        <v>5</v>
      </c>
      <c r="K30" s="235">
        <v>0.27</v>
      </c>
      <c r="L30" s="225">
        <v>0.11</v>
      </c>
      <c r="M30" s="225">
        <v>8.01</v>
      </c>
      <c r="N30" s="228" t="s">
        <v>122</v>
      </c>
      <c r="O30" s="235" t="s">
        <v>121</v>
      </c>
      <c r="P30" s="228">
        <v>5</v>
      </c>
      <c r="Q30" s="235">
        <v>0.77</v>
      </c>
      <c r="R30" s="225">
        <v>0.22</v>
      </c>
      <c r="S30" s="225">
        <v>7.41</v>
      </c>
      <c r="T30" s="228" t="s">
        <v>122</v>
      </c>
      <c r="U30" s="235" t="s">
        <v>121</v>
      </c>
      <c r="V30" s="228">
        <v>5</v>
      </c>
      <c r="W30" s="235">
        <v>0.12</v>
      </c>
      <c r="X30" s="225">
        <v>0.1</v>
      </c>
      <c r="Y30" s="225">
        <v>5.87</v>
      </c>
      <c r="Z30" s="221">
        <v>78.1</v>
      </c>
      <c r="AA30" s="259" t="s">
        <v>54</v>
      </c>
      <c r="AB30" s="260"/>
      <c r="AC30" s="260"/>
      <c r="AD30" s="260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  <c r="AT30" s="261"/>
      <c r="AU30" s="261"/>
      <c r="AV30" s="261"/>
      <c r="AW30" s="261"/>
    </row>
    <row r="31" s="207" customFormat="1" ht="18" customHeight="1" spans="1:49">
      <c r="A31" s="221">
        <v>25</v>
      </c>
      <c r="B31" s="221">
        <v>246</v>
      </c>
      <c r="C31" s="228">
        <v>132</v>
      </c>
      <c r="D31" s="224">
        <v>164</v>
      </c>
      <c r="E31" s="225">
        <v>4.03</v>
      </c>
      <c r="F31" s="231">
        <v>23.4</v>
      </c>
      <c r="G31" s="227">
        <v>29</v>
      </c>
      <c r="H31" s="228">
        <v>19</v>
      </c>
      <c r="I31" s="235" t="s">
        <v>121</v>
      </c>
      <c r="J31" s="228">
        <v>6</v>
      </c>
      <c r="K31" s="235">
        <v>0.37</v>
      </c>
      <c r="L31" s="225">
        <v>0.29</v>
      </c>
      <c r="M31" s="225">
        <v>6.77</v>
      </c>
      <c r="N31" s="228" t="s">
        <v>122</v>
      </c>
      <c r="O31" s="235" t="s">
        <v>121</v>
      </c>
      <c r="P31" s="228">
        <v>5</v>
      </c>
      <c r="Q31" s="235">
        <v>0.82</v>
      </c>
      <c r="R31" s="225">
        <v>0.22</v>
      </c>
      <c r="S31" s="225">
        <v>6.57</v>
      </c>
      <c r="T31" s="228" t="s">
        <v>122</v>
      </c>
      <c r="U31" s="235" t="s">
        <v>121</v>
      </c>
      <c r="V31" s="228">
        <v>5</v>
      </c>
      <c r="W31" s="235">
        <v>0.2</v>
      </c>
      <c r="X31" s="225">
        <v>0.16</v>
      </c>
      <c r="Y31" s="225">
        <v>6.42</v>
      </c>
      <c r="Z31" s="226">
        <v>78.4</v>
      </c>
      <c r="AA31" s="259">
        <v>230</v>
      </c>
      <c r="AB31" s="260"/>
      <c r="AC31" s="260"/>
      <c r="AD31" s="260"/>
      <c r="AE31" s="261"/>
      <c r="AF31" s="261"/>
      <c r="AG31" s="261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</row>
    <row r="32" s="207" customFormat="1" ht="18" customHeight="1" spans="1:49">
      <c r="A32" s="221">
        <v>26</v>
      </c>
      <c r="B32" s="221">
        <v>129</v>
      </c>
      <c r="C32" s="228">
        <v>68.5</v>
      </c>
      <c r="D32" s="224">
        <v>78</v>
      </c>
      <c r="E32" s="225">
        <v>2.33</v>
      </c>
      <c r="F32" s="231">
        <v>10.1</v>
      </c>
      <c r="G32" s="227">
        <v>15.4</v>
      </c>
      <c r="H32" s="228">
        <v>19</v>
      </c>
      <c r="I32" s="235" t="s">
        <v>121</v>
      </c>
      <c r="J32" s="228">
        <v>5</v>
      </c>
      <c r="K32" s="235">
        <v>0.9</v>
      </c>
      <c r="L32" s="225">
        <v>0.12</v>
      </c>
      <c r="M32" s="225">
        <v>4.52</v>
      </c>
      <c r="N32" s="228">
        <v>16</v>
      </c>
      <c r="O32" s="235" t="s">
        <v>121</v>
      </c>
      <c r="P32" s="228">
        <v>5</v>
      </c>
      <c r="Q32" s="235">
        <v>0.77</v>
      </c>
      <c r="R32" s="225">
        <v>0.1</v>
      </c>
      <c r="S32" s="225">
        <v>4.12</v>
      </c>
      <c r="T32" s="228" t="s">
        <v>122</v>
      </c>
      <c r="U32" s="235" t="s">
        <v>121</v>
      </c>
      <c r="V32" s="228">
        <v>5</v>
      </c>
      <c r="W32" s="235">
        <v>0.19</v>
      </c>
      <c r="X32" s="225">
        <v>0.1</v>
      </c>
      <c r="Y32" s="225">
        <v>3.72</v>
      </c>
      <c r="Z32" s="226">
        <v>77.8</v>
      </c>
      <c r="AA32" s="259" t="s">
        <v>54</v>
      </c>
      <c r="AB32" s="260"/>
      <c r="AC32" s="260"/>
      <c r="AD32" s="260"/>
      <c r="AE32" s="261"/>
      <c r="AF32" s="261"/>
      <c r="AG32" s="261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261"/>
      <c r="AT32" s="261"/>
      <c r="AU32" s="261"/>
      <c r="AV32" s="261"/>
      <c r="AW32" s="261"/>
    </row>
    <row r="33" s="207" customFormat="1" ht="18" customHeight="1" spans="1:49">
      <c r="A33" s="221">
        <v>27</v>
      </c>
      <c r="B33" s="221">
        <v>134</v>
      </c>
      <c r="C33" s="228">
        <v>69.5</v>
      </c>
      <c r="D33" s="224">
        <v>76</v>
      </c>
      <c r="E33" s="225">
        <v>2.82</v>
      </c>
      <c r="F33" s="231">
        <v>17.1</v>
      </c>
      <c r="G33" s="227">
        <v>23.6</v>
      </c>
      <c r="H33" s="228">
        <v>16</v>
      </c>
      <c r="I33" s="235" t="s">
        <v>121</v>
      </c>
      <c r="J33" s="228">
        <v>5</v>
      </c>
      <c r="K33" s="235">
        <v>0.33</v>
      </c>
      <c r="L33" s="225">
        <v>0.11</v>
      </c>
      <c r="M33" s="225">
        <v>5.44</v>
      </c>
      <c r="N33" s="228" t="s">
        <v>122</v>
      </c>
      <c r="O33" s="235" t="s">
        <v>121</v>
      </c>
      <c r="P33" s="228">
        <v>5</v>
      </c>
      <c r="Q33" s="235">
        <v>0.48</v>
      </c>
      <c r="R33" s="225">
        <v>0.12</v>
      </c>
      <c r="S33" s="225">
        <v>5.02</v>
      </c>
      <c r="T33" s="228" t="s">
        <v>122</v>
      </c>
      <c r="U33" s="235" t="s">
        <v>121</v>
      </c>
      <c r="V33" s="228">
        <v>5</v>
      </c>
      <c r="W33" s="235">
        <v>0.21</v>
      </c>
      <c r="X33" s="225">
        <v>0.1</v>
      </c>
      <c r="Y33" s="225">
        <v>4.02</v>
      </c>
      <c r="Z33" s="226">
        <v>78.2</v>
      </c>
      <c r="AA33" s="259">
        <v>50</v>
      </c>
      <c r="AB33" s="260"/>
      <c r="AC33" s="260"/>
      <c r="AD33" s="260"/>
      <c r="AE33" s="261"/>
      <c r="AF33" s="261"/>
      <c r="AG33" s="261"/>
      <c r="AH33" s="261"/>
      <c r="AI33" s="261"/>
      <c r="AJ33" s="261"/>
      <c r="AK33" s="261"/>
      <c r="AL33" s="261"/>
      <c r="AM33" s="261"/>
      <c r="AN33" s="261"/>
      <c r="AO33" s="261"/>
      <c r="AP33" s="261"/>
      <c r="AQ33" s="261"/>
      <c r="AR33" s="261"/>
      <c r="AS33" s="261"/>
      <c r="AT33" s="261"/>
      <c r="AU33" s="261"/>
      <c r="AV33" s="261"/>
      <c r="AW33" s="261"/>
    </row>
    <row r="34" s="207" customFormat="1" ht="18" customHeight="1" spans="1:49">
      <c r="A34" s="221">
        <v>28</v>
      </c>
      <c r="B34" s="221">
        <v>182</v>
      </c>
      <c r="C34" s="228">
        <v>94.7</v>
      </c>
      <c r="D34" s="224">
        <v>114</v>
      </c>
      <c r="E34" s="225">
        <v>2.56</v>
      </c>
      <c r="F34" s="231">
        <v>18.2</v>
      </c>
      <c r="G34" s="227">
        <v>24.9</v>
      </c>
      <c r="H34" s="228" t="s">
        <v>122</v>
      </c>
      <c r="I34" s="235" t="s">
        <v>121</v>
      </c>
      <c r="J34" s="228">
        <v>5</v>
      </c>
      <c r="K34" s="235">
        <v>0.2</v>
      </c>
      <c r="L34" s="225">
        <v>0.13</v>
      </c>
      <c r="M34" s="225">
        <v>6.27</v>
      </c>
      <c r="N34" s="228" t="s">
        <v>122</v>
      </c>
      <c r="O34" s="235" t="s">
        <v>121</v>
      </c>
      <c r="P34" s="228">
        <v>5</v>
      </c>
      <c r="Q34" s="235">
        <v>0.37</v>
      </c>
      <c r="R34" s="225">
        <v>0.24</v>
      </c>
      <c r="S34" s="225">
        <v>4.82</v>
      </c>
      <c r="T34" s="228" t="s">
        <v>122</v>
      </c>
      <c r="U34" s="235" t="s">
        <v>121</v>
      </c>
      <c r="V34" s="228">
        <v>5</v>
      </c>
      <c r="W34" s="235">
        <v>0.12</v>
      </c>
      <c r="X34" s="225">
        <v>0.11</v>
      </c>
      <c r="Y34" s="225">
        <v>4.62</v>
      </c>
      <c r="Z34" s="226">
        <v>77.9</v>
      </c>
      <c r="AA34" s="259"/>
      <c r="AB34" s="260"/>
      <c r="AC34" s="260"/>
      <c r="AD34" s="260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261"/>
      <c r="AT34" s="261"/>
      <c r="AU34" s="261"/>
      <c r="AV34" s="261"/>
      <c r="AW34" s="261"/>
    </row>
    <row r="35" s="207" customFormat="1" ht="18" customHeight="1" spans="1:49">
      <c r="A35" s="221">
        <v>29</v>
      </c>
      <c r="B35" s="221">
        <v>212</v>
      </c>
      <c r="C35" s="228">
        <v>110</v>
      </c>
      <c r="D35" s="224">
        <v>146</v>
      </c>
      <c r="E35" s="225">
        <v>3.55</v>
      </c>
      <c r="F35" s="231">
        <v>31</v>
      </c>
      <c r="G35" s="227">
        <v>36.7</v>
      </c>
      <c r="H35" s="228">
        <v>19</v>
      </c>
      <c r="I35" s="235" t="s">
        <v>121</v>
      </c>
      <c r="J35" s="228">
        <v>5</v>
      </c>
      <c r="K35" s="235">
        <v>0.28</v>
      </c>
      <c r="L35" s="225">
        <v>0.29</v>
      </c>
      <c r="M35" s="225">
        <v>8.84</v>
      </c>
      <c r="N35" s="228" t="s">
        <v>122</v>
      </c>
      <c r="O35" s="235" t="s">
        <v>121</v>
      </c>
      <c r="P35" s="228">
        <v>5</v>
      </c>
      <c r="Q35" s="235">
        <v>0.29</v>
      </c>
      <c r="R35" s="225">
        <v>0.27</v>
      </c>
      <c r="S35" s="225">
        <v>7.81</v>
      </c>
      <c r="T35" s="228" t="s">
        <v>122</v>
      </c>
      <c r="U35" s="235" t="s">
        <v>121</v>
      </c>
      <c r="V35" s="228">
        <v>5</v>
      </c>
      <c r="W35" s="235">
        <v>0.12</v>
      </c>
      <c r="X35" s="225">
        <v>0.13</v>
      </c>
      <c r="Y35" s="225">
        <v>7.71</v>
      </c>
      <c r="Z35" s="221">
        <v>78.6</v>
      </c>
      <c r="AA35" s="259"/>
      <c r="AB35" s="260"/>
      <c r="AC35" s="260"/>
      <c r="AD35" s="260"/>
      <c r="AE35" s="261"/>
      <c r="AF35" s="261"/>
      <c r="AG35" s="261"/>
      <c r="AH35" s="261"/>
      <c r="AI35" s="261"/>
      <c r="AJ35" s="261"/>
      <c r="AK35" s="261"/>
      <c r="AL35" s="261"/>
      <c r="AM35" s="261"/>
      <c r="AN35" s="261"/>
      <c r="AO35" s="261"/>
      <c r="AP35" s="261"/>
      <c r="AQ35" s="261"/>
      <c r="AR35" s="261"/>
      <c r="AS35" s="261"/>
      <c r="AT35" s="261"/>
      <c r="AU35" s="261"/>
      <c r="AV35" s="261"/>
      <c r="AW35" s="261"/>
    </row>
    <row r="36" s="207" customFormat="1" ht="18" customHeight="1" spans="1:49">
      <c r="A36" s="221">
        <v>30</v>
      </c>
      <c r="B36" s="221">
        <v>171</v>
      </c>
      <c r="C36" s="228">
        <v>90.5</v>
      </c>
      <c r="D36" s="224">
        <v>126</v>
      </c>
      <c r="E36" s="225">
        <v>1.71</v>
      </c>
      <c r="F36" s="231">
        <v>19.7</v>
      </c>
      <c r="G36" s="227">
        <v>27.8</v>
      </c>
      <c r="H36" s="228">
        <v>17</v>
      </c>
      <c r="I36" s="235" t="s">
        <v>121</v>
      </c>
      <c r="J36" s="228">
        <v>5</v>
      </c>
      <c r="K36" s="235">
        <v>0.28</v>
      </c>
      <c r="L36" s="225">
        <v>0.52</v>
      </c>
      <c r="M36" s="225">
        <v>7.71</v>
      </c>
      <c r="N36" s="228" t="s">
        <v>122</v>
      </c>
      <c r="O36" s="235" t="s">
        <v>121</v>
      </c>
      <c r="P36" s="228">
        <v>5</v>
      </c>
      <c r="Q36" s="235">
        <v>0.23</v>
      </c>
      <c r="R36" s="225">
        <v>0.49</v>
      </c>
      <c r="S36" s="225">
        <v>7.66</v>
      </c>
      <c r="T36" s="228" t="s">
        <v>122</v>
      </c>
      <c r="U36" s="235" t="s">
        <v>121</v>
      </c>
      <c r="V36" s="228">
        <v>5</v>
      </c>
      <c r="W36" s="235">
        <v>0.11</v>
      </c>
      <c r="X36" s="225">
        <v>0.15</v>
      </c>
      <c r="Y36" s="225">
        <v>6.92</v>
      </c>
      <c r="Z36" s="221">
        <v>78.1</v>
      </c>
      <c r="AA36" s="259" t="s">
        <v>54</v>
      </c>
      <c r="AB36" s="260"/>
      <c r="AC36" s="260"/>
      <c r="AD36" s="260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1"/>
      <c r="AQ36" s="261"/>
      <c r="AR36" s="261"/>
      <c r="AS36" s="261"/>
      <c r="AT36" s="261"/>
      <c r="AU36" s="261"/>
      <c r="AV36" s="261"/>
      <c r="AW36" s="261"/>
    </row>
    <row r="37" s="207" customFormat="1" ht="18" customHeight="1" spans="1:49">
      <c r="A37" s="221">
        <v>31</v>
      </c>
      <c r="B37" s="221">
        <v>171</v>
      </c>
      <c r="C37" s="228">
        <v>89.7</v>
      </c>
      <c r="D37" s="224">
        <v>118</v>
      </c>
      <c r="E37" s="225">
        <v>3.29</v>
      </c>
      <c r="F37" s="231">
        <v>21.8</v>
      </c>
      <c r="G37" s="227">
        <v>26.7</v>
      </c>
      <c r="H37" s="228" t="s">
        <v>122</v>
      </c>
      <c r="I37" s="235" t="s">
        <v>121</v>
      </c>
      <c r="J37" s="228">
        <v>5</v>
      </c>
      <c r="K37" s="235">
        <v>0.24</v>
      </c>
      <c r="L37" s="225">
        <v>0.16</v>
      </c>
      <c r="M37" s="225">
        <v>7.71</v>
      </c>
      <c r="N37" s="228">
        <v>16</v>
      </c>
      <c r="O37" s="235" t="s">
        <v>121</v>
      </c>
      <c r="P37" s="228">
        <v>5</v>
      </c>
      <c r="Q37" s="235">
        <v>0.56</v>
      </c>
      <c r="R37" s="225">
        <v>0.17</v>
      </c>
      <c r="S37" s="225">
        <v>6.67</v>
      </c>
      <c r="T37" s="228" t="s">
        <v>122</v>
      </c>
      <c r="U37" s="235" t="s">
        <v>121</v>
      </c>
      <c r="V37" s="228">
        <v>5</v>
      </c>
      <c r="W37" s="235">
        <v>0.06</v>
      </c>
      <c r="X37" s="225">
        <v>0.1</v>
      </c>
      <c r="Y37" s="225">
        <v>5.52</v>
      </c>
      <c r="Z37" s="221">
        <v>78.8</v>
      </c>
      <c r="AA37" s="259" t="s">
        <v>54</v>
      </c>
      <c r="AB37" s="260"/>
      <c r="AC37" s="260"/>
      <c r="AD37" s="260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1"/>
      <c r="AV37" s="261"/>
      <c r="AW37" s="261"/>
    </row>
    <row r="38" s="207" customFormat="1" ht="18" customHeight="1" spans="1:44">
      <c r="A38" s="237" t="s">
        <v>101</v>
      </c>
      <c r="B38" s="223">
        <f t="shared" ref="B38:H38" si="0">AVERAGE(B7:B37)</f>
        <v>188.161290322581</v>
      </c>
      <c r="C38" s="223">
        <f t="shared" si="0"/>
        <v>99.1483870967742</v>
      </c>
      <c r="D38" s="223">
        <f t="shared" si="0"/>
        <v>115.870967741935</v>
      </c>
      <c r="E38" s="225">
        <f t="shared" si="0"/>
        <v>3.30322580645161</v>
      </c>
      <c r="F38" s="226">
        <f t="shared" si="0"/>
        <v>22.0890322580645</v>
      </c>
      <c r="G38" s="226">
        <f t="shared" si="0"/>
        <v>28.7032258064516</v>
      </c>
      <c r="H38" s="223">
        <f t="shared" si="0"/>
        <v>18.3703703703704</v>
      </c>
      <c r="I38" s="235" t="s">
        <v>121</v>
      </c>
      <c r="J38" s="223">
        <f>AVERAGE(J7:J37)</f>
        <v>5.29032258064516</v>
      </c>
      <c r="K38" s="225">
        <f>AVERAGE(K7:K37)</f>
        <v>0.295806451612903</v>
      </c>
      <c r="L38" s="225">
        <f>AVERAGE(L7:L37)</f>
        <v>0.20258064516129</v>
      </c>
      <c r="M38" s="225">
        <f>AVERAGE(M7:M37)</f>
        <v>7.07064516129032</v>
      </c>
      <c r="N38" s="228">
        <f>AVERAGE(N11:N37)</f>
        <v>18.4615384615385</v>
      </c>
      <c r="O38" s="225" t="s">
        <v>121</v>
      </c>
      <c r="P38" s="223">
        <f>AVERAGE(P7:P37)</f>
        <v>5.35483870967742</v>
      </c>
      <c r="Q38" s="225">
        <f>AVERAGE(Q7:Q37)</f>
        <v>0.502903225806452</v>
      </c>
      <c r="R38" s="225">
        <f>AVERAGE(R7:R37)</f>
        <v>0.217741935483871</v>
      </c>
      <c r="S38" s="225">
        <f>AVERAGE(S7:S37)</f>
        <v>6.51774193548387</v>
      </c>
      <c r="T38" s="226" t="s">
        <v>122</v>
      </c>
      <c r="U38" s="235" t="s">
        <v>121</v>
      </c>
      <c r="V38" s="223">
        <f>AVERAGE(V7:V37)</f>
        <v>5</v>
      </c>
      <c r="W38" s="225">
        <f>AVERAGE(W7:W37)</f>
        <v>0.143225806451613</v>
      </c>
      <c r="X38" s="225">
        <f>AVERAGE(X7:X37)</f>
        <v>0.136129032258065</v>
      </c>
      <c r="Y38" s="225">
        <f>AVERAGE(Y7:Y37)</f>
        <v>5.91612903225807</v>
      </c>
      <c r="Z38" s="226">
        <f>AVERAGE(Z7:Z37)</f>
        <v>78.2129032258064</v>
      </c>
      <c r="AA38" s="259" t="s">
        <v>54</v>
      </c>
      <c r="AE38" s="264"/>
      <c r="AF38" s="264"/>
      <c r="AG38" s="264"/>
      <c r="AH38" s="264"/>
      <c r="AI38" s="264"/>
      <c r="AJ38" s="264"/>
      <c r="AK38" s="264"/>
      <c r="AQ38" s="264"/>
      <c r="AR38" s="264"/>
    </row>
    <row r="39" customFormat="1" ht="24" customHeight="1" spans="1:44">
      <c r="A39" s="238" t="s">
        <v>123</v>
      </c>
      <c r="B39" s="239"/>
      <c r="C39" s="239"/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  <c r="AA39" s="265"/>
      <c r="AQ39" s="273"/>
      <c r="AR39" s="273"/>
    </row>
    <row r="40" customFormat="1" ht="30" customHeight="1" spans="1:44">
      <c r="A40" s="240"/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  <c r="AA40" s="266"/>
      <c r="AQ40" s="273"/>
      <c r="AR40" s="273"/>
    </row>
    <row r="41" s="30" customFormat="1" spans="27:49">
      <c r="AA41" s="267"/>
      <c r="AB41" s="268"/>
      <c r="AC41" s="268"/>
      <c r="AD41" s="268"/>
      <c r="AE41" s="268"/>
      <c r="AF41" s="268"/>
      <c r="AG41" s="268"/>
      <c r="AH41" s="268"/>
      <c r="AI41" s="268"/>
      <c r="AJ41" s="268"/>
      <c r="AK41" s="268"/>
      <c r="AL41" s="272"/>
      <c r="AM41" s="268"/>
      <c r="AN41" s="268"/>
      <c r="AO41" s="268"/>
      <c r="AP41" s="268"/>
      <c r="AQ41" s="268"/>
      <c r="AR41" s="268"/>
      <c r="AS41" s="274"/>
      <c r="AT41" s="274"/>
      <c r="AU41" s="268"/>
      <c r="AV41" s="268"/>
      <c r="AW41" s="268"/>
    </row>
    <row r="42" s="30" customFormat="1" spans="2:32">
      <c r="B42" s="241">
        <f t="shared" ref="B42:Z42" si="1">MIN(B7:B37)</f>
        <v>96</v>
      </c>
      <c r="C42" s="241">
        <f t="shared" si="1"/>
        <v>49.9</v>
      </c>
      <c r="D42" s="241">
        <f t="shared" si="1"/>
        <v>62</v>
      </c>
      <c r="E42" s="242">
        <f t="shared" si="1"/>
        <v>1.71</v>
      </c>
      <c r="F42" s="243">
        <f t="shared" si="1"/>
        <v>8.86</v>
      </c>
      <c r="G42" s="241">
        <f t="shared" si="1"/>
        <v>14.2</v>
      </c>
      <c r="H42" s="243">
        <f t="shared" si="1"/>
        <v>16</v>
      </c>
      <c r="I42" s="245">
        <f t="shared" si="1"/>
        <v>0</v>
      </c>
      <c r="J42" s="245">
        <f t="shared" si="1"/>
        <v>5</v>
      </c>
      <c r="K42" s="241">
        <f t="shared" si="1"/>
        <v>0.17</v>
      </c>
      <c r="L42" s="242">
        <f t="shared" si="1"/>
        <v>0.11</v>
      </c>
      <c r="M42" s="241">
        <f t="shared" si="1"/>
        <v>4.52</v>
      </c>
      <c r="N42" s="241">
        <f t="shared" si="1"/>
        <v>16</v>
      </c>
      <c r="O42" s="241">
        <f t="shared" si="1"/>
        <v>0</v>
      </c>
      <c r="P42" s="241">
        <f t="shared" si="1"/>
        <v>5</v>
      </c>
      <c r="Q42" s="241">
        <f t="shared" si="1"/>
        <v>0.2</v>
      </c>
      <c r="R42" s="241">
        <f t="shared" si="1"/>
        <v>0.1</v>
      </c>
      <c r="S42" s="241">
        <f t="shared" si="1"/>
        <v>4.12</v>
      </c>
      <c r="T42" s="241">
        <f t="shared" si="1"/>
        <v>0</v>
      </c>
      <c r="U42" s="241">
        <f t="shared" si="1"/>
        <v>0</v>
      </c>
      <c r="V42" s="241">
        <f t="shared" si="1"/>
        <v>5</v>
      </c>
      <c r="W42" s="241">
        <f t="shared" si="1"/>
        <v>0.06</v>
      </c>
      <c r="X42" s="242">
        <f t="shared" si="1"/>
        <v>0.1</v>
      </c>
      <c r="Y42" s="242">
        <f t="shared" si="1"/>
        <v>3.72</v>
      </c>
      <c r="Z42" s="241">
        <f t="shared" si="1"/>
        <v>77.4</v>
      </c>
      <c r="AA42" s="269"/>
      <c r="AF42" s="268"/>
    </row>
    <row r="43" s="30" customFormat="1" spans="2:27">
      <c r="B43" s="241">
        <f t="shared" ref="B43:Z43" si="2">MAX(B7:B37)</f>
        <v>323</v>
      </c>
      <c r="C43" s="241">
        <f t="shared" si="2"/>
        <v>171</v>
      </c>
      <c r="D43" s="241">
        <f t="shared" si="2"/>
        <v>228</v>
      </c>
      <c r="E43" s="242">
        <f t="shared" si="2"/>
        <v>5.69</v>
      </c>
      <c r="F43" s="243">
        <f t="shared" si="2"/>
        <v>43.5</v>
      </c>
      <c r="G43" s="243">
        <f t="shared" si="2"/>
        <v>48.9</v>
      </c>
      <c r="H43" s="241">
        <f t="shared" si="2"/>
        <v>22</v>
      </c>
      <c r="I43" s="245">
        <f t="shared" si="2"/>
        <v>0</v>
      </c>
      <c r="J43" s="245">
        <f t="shared" si="2"/>
        <v>7</v>
      </c>
      <c r="K43" s="241">
        <f t="shared" si="2"/>
        <v>0.9</v>
      </c>
      <c r="L43" s="241">
        <f t="shared" si="2"/>
        <v>0.52</v>
      </c>
      <c r="M43" s="241">
        <f t="shared" si="2"/>
        <v>9.75</v>
      </c>
      <c r="N43" s="241">
        <f t="shared" si="2"/>
        <v>24</v>
      </c>
      <c r="O43" s="242">
        <f t="shared" si="2"/>
        <v>0</v>
      </c>
      <c r="P43" s="241">
        <f t="shared" si="2"/>
        <v>8</v>
      </c>
      <c r="Q43" s="241">
        <f t="shared" si="2"/>
        <v>0.82</v>
      </c>
      <c r="R43" s="241">
        <f t="shared" si="2"/>
        <v>0.95</v>
      </c>
      <c r="S43" s="241">
        <f t="shared" si="2"/>
        <v>9.51</v>
      </c>
      <c r="T43" s="241">
        <f t="shared" si="2"/>
        <v>0</v>
      </c>
      <c r="U43" s="241">
        <f t="shared" si="2"/>
        <v>0</v>
      </c>
      <c r="V43" s="241">
        <f t="shared" si="2"/>
        <v>5</v>
      </c>
      <c r="W43" s="242">
        <f t="shared" si="2"/>
        <v>0.21</v>
      </c>
      <c r="X43" s="242">
        <f t="shared" si="2"/>
        <v>0.38</v>
      </c>
      <c r="Y43" s="242">
        <f t="shared" si="2"/>
        <v>7.86</v>
      </c>
      <c r="Z43" s="241">
        <f t="shared" si="2"/>
        <v>79.2</v>
      </c>
      <c r="AA43" s="269"/>
    </row>
    <row r="44" s="30" customFormat="1" spans="2:27">
      <c r="B44" s="241" t="s">
        <v>124</v>
      </c>
      <c r="C44" s="241"/>
      <c r="D44" s="241"/>
      <c r="E44" s="241"/>
      <c r="F44" s="241"/>
      <c r="G44" s="241"/>
      <c r="H44" s="241" t="s">
        <v>125</v>
      </c>
      <c r="I44" s="241"/>
      <c r="J44" s="241"/>
      <c r="K44" s="241"/>
      <c r="L44" s="241"/>
      <c r="M44" s="241"/>
      <c r="N44" s="241" t="s">
        <v>126</v>
      </c>
      <c r="O44" s="241"/>
      <c r="P44" s="241"/>
      <c r="Q44" s="241"/>
      <c r="R44" s="241"/>
      <c r="S44" s="241"/>
      <c r="T44" s="241" t="s">
        <v>114</v>
      </c>
      <c r="U44" s="241"/>
      <c r="V44" s="241"/>
      <c r="W44" s="241"/>
      <c r="X44" s="241"/>
      <c r="Y44" s="241"/>
      <c r="Z44" s="241" t="s">
        <v>127</v>
      </c>
      <c r="AA44" s="269" t="s">
        <v>116</v>
      </c>
    </row>
    <row r="45" s="30" customFormat="1" spans="2:27">
      <c r="B45" s="241" t="s">
        <v>128</v>
      </c>
      <c r="C45" s="241" t="s">
        <v>129</v>
      </c>
      <c r="D45" s="241" t="s">
        <v>43</v>
      </c>
      <c r="E45" s="241" t="s">
        <v>45</v>
      </c>
      <c r="F45" s="241" t="s">
        <v>130</v>
      </c>
      <c r="G45" s="241" t="s">
        <v>48</v>
      </c>
      <c r="H45" s="241" t="s">
        <v>128</v>
      </c>
      <c r="I45" s="241" t="s">
        <v>129</v>
      </c>
      <c r="J45" s="241" t="s">
        <v>43</v>
      </c>
      <c r="K45" s="241" t="s">
        <v>45</v>
      </c>
      <c r="L45" s="241" t="s">
        <v>130</v>
      </c>
      <c r="M45" s="241" t="s">
        <v>48</v>
      </c>
      <c r="N45" s="241" t="s">
        <v>128</v>
      </c>
      <c r="O45" s="241" t="s">
        <v>129</v>
      </c>
      <c r="P45" s="241" t="s">
        <v>43</v>
      </c>
      <c r="Q45" s="241" t="s">
        <v>45</v>
      </c>
      <c r="R45" s="241" t="s">
        <v>130</v>
      </c>
      <c r="S45" s="241" t="s">
        <v>48</v>
      </c>
      <c r="T45" s="241" t="s">
        <v>128</v>
      </c>
      <c r="U45" s="241" t="s">
        <v>129</v>
      </c>
      <c r="V45" s="241" t="s">
        <v>43</v>
      </c>
      <c r="W45" s="241" t="s">
        <v>45</v>
      </c>
      <c r="X45" s="241" t="s">
        <v>130</v>
      </c>
      <c r="Y45" s="241" t="s">
        <v>48</v>
      </c>
      <c r="Z45" s="241"/>
      <c r="AA45" s="269"/>
    </row>
    <row r="46" s="30" customFormat="1" spans="2:27">
      <c r="B46" s="241" t="s">
        <v>131</v>
      </c>
      <c r="C46" s="241" t="s">
        <v>131</v>
      </c>
      <c r="D46" s="241" t="s">
        <v>131</v>
      </c>
      <c r="E46" s="241" t="s">
        <v>131</v>
      </c>
      <c r="F46" s="241" t="s">
        <v>131</v>
      </c>
      <c r="G46" s="241" t="s">
        <v>131</v>
      </c>
      <c r="H46" s="241" t="s">
        <v>131</v>
      </c>
      <c r="I46" s="241" t="s">
        <v>131</v>
      </c>
      <c r="J46" s="241" t="s">
        <v>131</v>
      </c>
      <c r="K46" s="241" t="s">
        <v>131</v>
      </c>
      <c r="L46" s="241" t="s">
        <v>131</v>
      </c>
      <c r="M46" s="241" t="s">
        <v>131</v>
      </c>
      <c r="N46" s="241" t="s">
        <v>131</v>
      </c>
      <c r="O46" s="241" t="s">
        <v>131</v>
      </c>
      <c r="P46" s="241" t="s">
        <v>131</v>
      </c>
      <c r="Q46" s="241" t="s">
        <v>131</v>
      </c>
      <c r="R46" s="241" t="s">
        <v>131</v>
      </c>
      <c r="S46" s="241" t="s">
        <v>131</v>
      </c>
      <c r="T46" s="241" t="s">
        <v>131</v>
      </c>
      <c r="U46" s="241" t="s">
        <v>131</v>
      </c>
      <c r="V46" s="241" t="s">
        <v>131</v>
      </c>
      <c r="W46" s="241" t="s">
        <v>131</v>
      </c>
      <c r="X46" s="241" t="s">
        <v>131</v>
      </c>
      <c r="Y46" s="241" t="s">
        <v>131</v>
      </c>
      <c r="Z46" s="241"/>
      <c r="AA46" s="269"/>
    </row>
    <row r="47" s="30" customFormat="1" spans="20:27">
      <c r="T47" s="249" t="s">
        <v>132</v>
      </c>
      <c r="U47" s="249"/>
      <c r="V47" s="249"/>
      <c r="W47" s="249"/>
      <c r="X47" s="249"/>
      <c r="Y47" s="249"/>
      <c r="AA47" s="208"/>
    </row>
    <row r="48" s="30" customFormat="1" spans="20:27">
      <c r="T48" s="10" t="s">
        <v>133</v>
      </c>
      <c r="U48" s="10" t="s">
        <v>134</v>
      </c>
      <c r="V48" s="10" t="s">
        <v>53</v>
      </c>
      <c r="W48" s="10" t="s">
        <v>135</v>
      </c>
      <c r="X48" s="10" t="s">
        <v>136</v>
      </c>
      <c r="Y48" s="10" t="s">
        <v>137</v>
      </c>
      <c r="AA48" s="208"/>
    </row>
    <row r="49" s="30" customFormat="1" spans="20:27">
      <c r="T49" s="250">
        <f>COUNTIF(T7:T37,"&lt;=15")</f>
        <v>0</v>
      </c>
      <c r="U49" s="250">
        <f>COUNTIF(U7:U37,"&lt;=3")</f>
        <v>0</v>
      </c>
      <c r="V49" s="10"/>
      <c r="W49" s="250">
        <f>COUNTIF(W7:W37,"&lt;=0.02")</f>
        <v>0</v>
      </c>
      <c r="X49" s="250">
        <f>COUNTIF(X7:X37,"&lt;=0.15")</f>
        <v>24</v>
      </c>
      <c r="Y49" s="270"/>
      <c r="AA49" s="208"/>
    </row>
    <row r="50" s="30" customFormat="1" spans="20:27">
      <c r="T50" s="10" t="s">
        <v>138</v>
      </c>
      <c r="U50" s="10"/>
      <c r="V50" s="10"/>
      <c r="W50" s="10"/>
      <c r="X50" s="10"/>
      <c r="Y50" s="10"/>
      <c r="AA50" s="208"/>
    </row>
    <row r="51" s="30" customFormat="1" spans="20:27">
      <c r="T51" s="10" t="s">
        <v>133</v>
      </c>
      <c r="U51" s="10" t="s">
        <v>134</v>
      </c>
      <c r="V51" s="10" t="s">
        <v>53</v>
      </c>
      <c r="W51" s="10" t="s">
        <v>139</v>
      </c>
      <c r="X51" s="10" t="s">
        <v>140</v>
      </c>
      <c r="Y51" s="10" t="s">
        <v>140</v>
      </c>
      <c r="AA51" s="208"/>
    </row>
    <row r="52" s="30" customFormat="1" spans="20:27">
      <c r="T52" s="10">
        <f>COUNTIF(T7:T37,"&lt;=15")</f>
        <v>0</v>
      </c>
      <c r="U52" s="10" t="e">
        <f>COUNTIF(#REF!,"&lt;=3")</f>
        <v>#REF!</v>
      </c>
      <c r="V52" s="10"/>
      <c r="W52" s="251">
        <f>COUNTIF(W7:W37,"&gt;0.02")-COUNTIF(W7:W37,"&gt;0.1")</f>
        <v>4</v>
      </c>
      <c r="X52" s="251">
        <f>COUNTIF(X7:X37,"&gt;0.15")-COUNTIF(X7:X37,"&gt;0.5")</f>
        <v>7</v>
      </c>
      <c r="Y52" s="10"/>
      <c r="AA52" s="208"/>
    </row>
    <row r="53" s="30" customFormat="1" spans="20:27">
      <c r="T53" s="10" t="s">
        <v>141</v>
      </c>
      <c r="U53" s="10"/>
      <c r="V53" s="10"/>
      <c r="W53" s="10"/>
      <c r="X53" s="10"/>
      <c r="Y53" s="10"/>
      <c r="AA53" s="208"/>
    </row>
    <row r="54" s="30" customFormat="1" spans="20:27">
      <c r="T54" s="10" t="s">
        <v>142</v>
      </c>
      <c r="U54" s="10" t="s">
        <v>143</v>
      </c>
      <c r="V54" s="10" t="s">
        <v>53</v>
      </c>
      <c r="W54" s="10" t="s">
        <v>137</v>
      </c>
      <c r="X54" s="10" t="s">
        <v>144</v>
      </c>
      <c r="Y54" s="10" t="s">
        <v>144</v>
      </c>
      <c r="AA54" s="208"/>
    </row>
    <row r="55" s="30" customFormat="1" spans="20:27">
      <c r="T55" s="251">
        <f>COUNTIF(T7:T37,"&gt;15")-COUNTIF(T7:T37,"&gt;20")</f>
        <v>0</v>
      </c>
      <c r="U55" s="251" t="e">
        <f>COUNTIF(#REF!,"&gt;3")-COUNTIF(#REF!,"&gt;4")</f>
        <v>#REF!</v>
      </c>
      <c r="V55" s="10"/>
      <c r="W55" s="251">
        <f>COUNTIF(W7:W37,"&gt;0.1")-COUNTIF(W7:W37,"&gt;0.2")</f>
        <v>26</v>
      </c>
      <c r="X55" s="251">
        <f>COUNTIF(X7:X37,"&gt;0.5")-COUNTIF(X7:X37,"&gt;1")</f>
        <v>0</v>
      </c>
      <c r="Y55" s="10"/>
      <c r="AA55" s="208"/>
    </row>
    <row r="56" s="30" customFormat="1" spans="20:27">
      <c r="T56" s="10" t="s">
        <v>145</v>
      </c>
      <c r="U56" s="10"/>
      <c r="V56" s="10"/>
      <c r="W56" s="10"/>
      <c r="X56" s="10"/>
      <c r="Y56" s="10"/>
      <c r="AA56" s="208"/>
    </row>
    <row r="57" s="30" customFormat="1" spans="20:27">
      <c r="T57" s="10" t="s">
        <v>146</v>
      </c>
      <c r="U57" s="10" t="s">
        <v>147</v>
      </c>
      <c r="V57" s="10" t="s">
        <v>53</v>
      </c>
      <c r="W57" s="10" t="s">
        <v>148</v>
      </c>
      <c r="X57" s="10" t="s">
        <v>149</v>
      </c>
      <c r="Y57" s="10" t="s">
        <v>149</v>
      </c>
      <c r="AA57" s="208"/>
    </row>
    <row r="58" s="30" customFormat="1" spans="20:27">
      <c r="T58" s="251">
        <f>COUNTIF(T7:T37,"&gt;20")-COUNTIF(T7:T37,"&gt;30")</f>
        <v>0</v>
      </c>
      <c r="U58" s="10">
        <v>0</v>
      </c>
      <c r="V58" s="10"/>
      <c r="W58" s="251">
        <f>COUNTIF(W7:W37,"&gt;0.2")-COUNTIF(W7:W37,"&gt;0.3")</f>
        <v>1</v>
      </c>
      <c r="X58" s="251">
        <f>COUNTIF(X7:X37,"&gt;1")-COUNTIF(X7:X37,"&gt;1.5")</f>
        <v>0</v>
      </c>
      <c r="Y58" s="10"/>
      <c r="AA58" s="208"/>
    </row>
    <row r="59" s="30" customFormat="1" spans="20:27">
      <c r="T59" s="10" t="s">
        <v>150</v>
      </c>
      <c r="U59" s="10"/>
      <c r="V59" s="10"/>
      <c r="W59" s="10"/>
      <c r="X59" s="10"/>
      <c r="Y59" s="10"/>
      <c r="AA59" s="208"/>
    </row>
    <row r="60" s="30" customFormat="1" spans="20:27">
      <c r="T60" s="10" t="s">
        <v>151</v>
      </c>
      <c r="U60" s="10" t="s">
        <v>152</v>
      </c>
      <c r="V60" s="10" t="s">
        <v>53</v>
      </c>
      <c r="W60" s="10" t="s">
        <v>153</v>
      </c>
      <c r="X60" s="10" t="s">
        <v>154</v>
      </c>
      <c r="Y60" s="10" t="s">
        <v>154</v>
      </c>
      <c r="AA60" s="208"/>
    </row>
    <row r="61" s="30" customFormat="1" spans="20:27">
      <c r="T61" s="251">
        <f>COUNTIF(T7:T37,"&gt;30")-COUNTIF(T7:T37,"&gt;40")</f>
        <v>0</v>
      </c>
      <c r="U61" s="10">
        <v>0</v>
      </c>
      <c r="V61" s="10"/>
      <c r="W61" s="251">
        <f>COUNTIF(W7:W37,"&gt;0.3")-COUNTIF(W7:W37,"&gt;0.4")</f>
        <v>0</v>
      </c>
      <c r="X61" s="251">
        <f>COUNTIF(X7:X37,"&gt;1.5")-COUNTIF(X7:X37,"&gt;2")</f>
        <v>0</v>
      </c>
      <c r="Y61" s="10"/>
      <c r="AA61" s="208"/>
    </row>
    <row r="62" s="30" customFormat="1" spans="20:27">
      <c r="T62" s="10" t="s">
        <v>155</v>
      </c>
      <c r="U62" s="10"/>
      <c r="V62" s="10"/>
      <c r="W62" s="10"/>
      <c r="X62" s="10"/>
      <c r="Y62" s="10"/>
      <c r="AA62" s="208"/>
    </row>
    <row r="63" s="30" customFormat="1" spans="20:27">
      <c r="T63" s="251" t="e">
        <f>COUNTIF(#REF!,"&gt;40")</f>
        <v>#REF!</v>
      </c>
      <c r="U63" s="10">
        <v>0</v>
      </c>
      <c r="V63" s="10" t="s">
        <v>53</v>
      </c>
      <c r="W63" s="251" t="e">
        <f>COUNTIF(#REF!,"&gt;0.4")</f>
        <v>#REF!</v>
      </c>
      <c r="X63" s="251" t="e">
        <f>COUNTIF(#REF!,"&gt;2")</f>
        <v>#REF!</v>
      </c>
      <c r="Y63" s="251" t="e">
        <f>COUNTIF(#REF!,"&gt;2")</f>
        <v>#REF!</v>
      </c>
      <c r="AA63" s="208"/>
    </row>
    <row r="64" s="30" customFormat="1" spans="20:27">
      <c r="T64" s="251" t="e">
        <f>COUNTIF(#REF!,"&gt;50")</f>
        <v>#REF!</v>
      </c>
      <c r="U64" s="251" t="e">
        <f>COUNTIF(#REF!,"&gt;10")</f>
        <v>#REF!</v>
      </c>
      <c r="V64" s="251" t="e">
        <f>COUNTIF(#REF!,"&gt;10")</f>
        <v>#REF!</v>
      </c>
      <c r="W64" s="251" t="e">
        <f>COUNTIF(#REF!,"&gt;0.5")</f>
        <v>#REF!</v>
      </c>
      <c r="X64" s="251" t="e">
        <f>COUNTIF(#REF!,"&gt;5")</f>
        <v>#REF!</v>
      </c>
      <c r="Y64" s="251" t="e">
        <f>COUNTIF(#REF!,"&gt;15")</f>
        <v>#REF!</v>
      </c>
      <c r="AA64" s="208"/>
    </row>
  </sheetData>
  <mergeCells count="16">
    <mergeCell ref="A1:AA1"/>
    <mergeCell ref="A3:AA3"/>
    <mergeCell ref="B4:G4"/>
    <mergeCell ref="H4:M4"/>
    <mergeCell ref="N4:S4"/>
    <mergeCell ref="T4:Y4"/>
    <mergeCell ref="A39:AA39"/>
    <mergeCell ref="T47:Y47"/>
    <mergeCell ref="T50:Y50"/>
    <mergeCell ref="T53:Y53"/>
    <mergeCell ref="T56:Y56"/>
    <mergeCell ref="T59:Y59"/>
    <mergeCell ref="T62:Y62"/>
    <mergeCell ref="A4:A6"/>
    <mergeCell ref="Z4:Z6"/>
    <mergeCell ref="AA4:AA6"/>
  </mergeCells>
  <pageMargins left="0.357638888888889" right="0.357638888888889" top="0.409027777777778" bottom="0.409027777777778" header="0.5" footer="0.5"/>
  <pageSetup paperSize="9" scale="75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32"/>
  <sheetViews>
    <sheetView zoomScale="90" zoomScaleNormal="90" topLeftCell="A184" workbookViewId="0">
      <selection activeCell="I239" sqref="I239"/>
    </sheetView>
  </sheetViews>
  <sheetFormatPr defaultColWidth="8.75" defaultRowHeight="14.25"/>
  <cols>
    <col min="1" max="1" width="9.25" customWidth="1"/>
    <col min="2" max="2" width="18.125" customWidth="1"/>
    <col min="3" max="3" width="9.375" customWidth="1"/>
    <col min="4" max="4" width="8.375" customWidth="1"/>
    <col min="5" max="5" width="9.625" customWidth="1"/>
    <col min="6" max="6" width="9.875" customWidth="1"/>
    <col min="7" max="7" width="7.25" style="30" customWidth="1"/>
    <col min="8" max="8" width="9.875" customWidth="1"/>
    <col min="9" max="9" width="9.625" customWidth="1"/>
    <col min="10" max="10" width="21.125" customWidth="1"/>
    <col min="11" max="11" width="9.5" customWidth="1"/>
    <col min="12" max="32" width="9"/>
  </cols>
  <sheetData>
    <row r="1" s="17" customFormat="1" ht="39" customHeight="1" spans="1:11">
      <c r="A1" s="31" t="s">
        <v>156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="17" customFormat="1" ht="15.75" customHeight="1" spans="1:11">
      <c r="A2" s="21" t="s">
        <v>157</v>
      </c>
      <c r="B2" s="21" t="s">
        <v>158</v>
      </c>
      <c r="C2" s="23" t="s">
        <v>159</v>
      </c>
      <c r="D2" s="23" t="s">
        <v>160</v>
      </c>
      <c r="E2" s="23" t="s">
        <v>161</v>
      </c>
      <c r="F2" s="23" t="s">
        <v>162</v>
      </c>
      <c r="G2" s="23" t="s">
        <v>163</v>
      </c>
      <c r="H2" s="23" t="s">
        <v>164</v>
      </c>
      <c r="I2" s="23" t="s">
        <v>165</v>
      </c>
      <c r="J2" s="21" t="s">
        <v>166</v>
      </c>
      <c r="K2" s="21" t="s">
        <v>167</v>
      </c>
    </row>
    <row r="3" s="17" customFormat="1" ht="8" customHeight="1" spans="1:1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</row>
    <row r="4" s="17" customFormat="1" ht="13" customHeight="1" spans="1:11">
      <c r="A4" s="33" t="s">
        <v>168</v>
      </c>
      <c r="B4" s="34"/>
      <c r="C4" s="34"/>
      <c r="D4" s="34"/>
      <c r="E4" s="34"/>
      <c r="F4" s="34"/>
      <c r="G4" s="34"/>
      <c r="H4" s="35"/>
      <c r="I4" s="35"/>
      <c r="J4" s="65"/>
      <c r="K4" s="66"/>
    </row>
    <row r="5" s="17" customFormat="1" ht="13" customHeight="1" spans="1:11">
      <c r="A5" s="36">
        <v>1</v>
      </c>
      <c r="B5" s="37" t="s">
        <v>169</v>
      </c>
      <c r="C5" s="38">
        <v>31</v>
      </c>
      <c r="D5" s="38">
        <v>24</v>
      </c>
      <c r="E5" s="38">
        <v>744</v>
      </c>
      <c r="F5" s="38">
        <v>0</v>
      </c>
      <c r="G5" s="38"/>
      <c r="H5" s="39">
        <v>0</v>
      </c>
      <c r="I5" s="38">
        <v>100</v>
      </c>
      <c r="J5" s="41"/>
      <c r="K5" s="38"/>
    </row>
    <row r="6" s="17" customFormat="1" ht="13" customHeight="1" spans="1:11">
      <c r="A6" s="36">
        <v>2</v>
      </c>
      <c r="B6" s="40" t="s">
        <v>170</v>
      </c>
      <c r="C6" s="38">
        <v>31</v>
      </c>
      <c r="D6" s="38">
        <v>24</v>
      </c>
      <c r="E6" s="38">
        <v>744</v>
      </c>
      <c r="F6" s="38">
        <v>0</v>
      </c>
      <c r="G6" s="41"/>
      <c r="H6" s="39">
        <v>0</v>
      </c>
      <c r="I6" s="38">
        <v>100</v>
      </c>
      <c r="J6" s="41"/>
      <c r="K6" s="41"/>
    </row>
    <row r="7" s="17" customFormat="1" ht="13" customHeight="1" spans="1:11">
      <c r="A7" s="36">
        <v>3</v>
      </c>
      <c r="B7" s="40" t="s">
        <v>171</v>
      </c>
      <c r="C7" s="38">
        <v>31</v>
      </c>
      <c r="D7" s="38">
        <v>24</v>
      </c>
      <c r="E7" s="38">
        <v>744</v>
      </c>
      <c r="F7" s="38">
        <v>744</v>
      </c>
      <c r="G7" s="41"/>
      <c r="H7" s="39">
        <v>1</v>
      </c>
      <c r="I7" s="38">
        <v>100</v>
      </c>
      <c r="J7" s="41"/>
      <c r="K7" s="41"/>
    </row>
    <row r="8" s="17" customFormat="1" ht="13" customHeight="1" spans="1:11">
      <c r="A8" s="36">
        <v>4</v>
      </c>
      <c r="B8" s="40" t="s">
        <v>172</v>
      </c>
      <c r="C8" s="38">
        <v>31</v>
      </c>
      <c r="D8" s="38">
        <v>24</v>
      </c>
      <c r="E8" s="38">
        <v>744</v>
      </c>
      <c r="F8" s="38">
        <v>744</v>
      </c>
      <c r="G8" s="41"/>
      <c r="H8" s="39">
        <v>1</v>
      </c>
      <c r="I8" s="38">
        <v>100</v>
      </c>
      <c r="J8" s="41"/>
      <c r="K8" s="41"/>
    </row>
    <row r="9" s="17" customFormat="1" ht="13" customHeight="1" spans="1:11">
      <c r="A9" s="36">
        <v>5</v>
      </c>
      <c r="B9" s="40" t="s">
        <v>173</v>
      </c>
      <c r="C9" s="38">
        <v>31</v>
      </c>
      <c r="D9" s="38">
        <v>24</v>
      </c>
      <c r="E9" s="38">
        <v>744</v>
      </c>
      <c r="F9" s="38">
        <v>744</v>
      </c>
      <c r="G9" s="41"/>
      <c r="H9" s="39">
        <v>1</v>
      </c>
      <c r="I9" s="38">
        <v>100</v>
      </c>
      <c r="J9" s="41"/>
      <c r="K9" s="41"/>
    </row>
    <row r="10" s="17" customFormat="1" ht="13" customHeight="1" spans="1:11">
      <c r="A10" s="36">
        <v>6</v>
      </c>
      <c r="B10" s="40" t="s">
        <v>174</v>
      </c>
      <c r="C10" s="38">
        <v>31</v>
      </c>
      <c r="D10" s="38">
        <v>24</v>
      </c>
      <c r="E10" s="38">
        <v>744</v>
      </c>
      <c r="F10" s="38">
        <v>744</v>
      </c>
      <c r="G10" s="41"/>
      <c r="H10" s="39">
        <v>1</v>
      </c>
      <c r="I10" s="38">
        <v>100</v>
      </c>
      <c r="J10" s="41"/>
      <c r="K10" s="41"/>
    </row>
    <row r="11" s="17" customFormat="1" ht="13" customHeight="1" spans="1:11">
      <c r="A11" s="36">
        <v>7</v>
      </c>
      <c r="B11" s="40" t="s">
        <v>175</v>
      </c>
      <c r="C11" s="38">
        <v>31</v>
      </c>
      <c r="D11" s="38">
        <v>24</v>
      </c>
      <c r="E11" s="38">
        <v>744</v>
      </c>
      <c r="F11" s="38">
        <v>0</v>
      </c>
      <c r="G11" s="41"/>
      <c r="H11" s="39">
        <v>0</v>
      </c>
      <c r="I11" s="38">
        <v>100</v>
      </c>
      <c r="J11" s="41"/>
      <c r="K11" s="41"/>
    </row>
    <row r="12" s="17" customFormat="1" ht="13" customHeight="1" spans="1:11">
      <c r="A12" s="36">
        <v>8</v>
      </c>
      <c r="B12" s="40" t="s">
        <v>176</v>
      </c>
      <c r="C12" s="38">
        <v>31</v>
      </c>
      <c r="D12" s="38">
        <v>24</v>
      </c>
      <c r="E12" s="38">
        <v>744</v>
      </c>
      <c r="F12" s="38">
        <v>744</v>
      </c>
      <c r="G12" s="41"/>
      <c r="H12" s="39">
        <v>1</v>
      </c>
      <c r="I12" s="38">
        <v>100</v>
      </c>
      <c r="J12" s="67"/>
      <c r="K12" s="41"/>
    </row>
    <row r="13" s="17" customFormat="1" ht="13" customHeight="1" spans="1:11">
      <c r="A13" s="36">
        <v>9</v>
      </c>
      <c r="B13" s="40" t="s">
        <v>177</v>
      </c>
      <c r="C13" s="38">
        <v>31</v>
      </c>
      <c r="D13" s="38">
        <v>24</v>
      </c>
      <c r="E13" s="38">
        <v>744</v>
      </c>
      <c r="F13" s="38">
        <v>744</v>
      </c>
      <c r="G13" s="41"/>
      <c r="H13" s="39">
        <v>1</v>
      </c>
      <c r="I13" s="38">
        <v>100</v>
      </c>
      <c r="J13" s="67"/>
      <c r="K13" s="41"/>
    </row>
    <row r="14" s="17" customFormat="1" ht="13" customHeight="1" spans="1:11">
      <c r="A14" s="36">
        <v>10</v>
      </c>
      <c r="B14" s="40" t="s">
        <v>178</v>
      </c>
      <c r="C14" s="38">
        <v>31</v>
      </c>
      <c r="D14" s="38">
        <v>24</v>
      </c>
      <c r="E14" s="38">
        <v>744</v>
      </c>
      <c r="F14" s="38">
        <v>744</v>
      </c>
      <c r="G14" s="41"/>
      <c r="H14" s="39">
        <v>1</v>
      </c>
      <c r="I14" s="38">
        <v>100</v>
      </c>
      <c r="J14" s="67"/>
      <c r="K14" s="41"/>
    </row>
    <row r="15" s="17" customFormat="1" ht="13" customHeight="1" spans="1:11">
      <c r="A15" s="36">
        <v>11</v>
      </c>
      <c r="B15" s="40" t="s">
        <v>179</v>
      </c>
      <c r="C15" s="38">
        <v>31</v>
      </c>
      <c r="D15" s="38">
        <v>24</v>
      </c>
      <c r="E15" s="38">
        <v>744</v>
      </c>
      <c r="F15" s="38">
        <v>744</v>
      </c>
      <c r="G15" s="41"/>
      <c r="H15" s="39">
        <v>1</v>
      </c>
      <c r="I15" s="38">
        <v>100</v>
      </c>
      <c r="J15" s="67"/>
      <c r="K15" s="41"/>
    </row>
    <row r="16" s="17" customFormat="1" ht="13" customHeight="1" spans="1:11">
      <c r="A16" s="36">
        <v>12</v>
      </c>
      <c r="B16" s="40" t="s">
        <v>180</v>
      </c>
      <c r="C16" s="38">
        <v>31</v>
      </c>
      <c r="D16" s="38">
        <v>24</v>
      </c>
      <c r="E16" s="38">
        <v>744</v>
      </c>
      <c r="F16" s="38">
        <v>744</v>
      </c>
      <c r="G16" s="41"/>
      <c r="H16" s="39">
        <v>1</v>
      </c>
      <c r="I16" s="38">
        <v>100</v>
      </c>
      <c r="J16" s="67"/>
      <c r="K16" s="41"/>
    </row>
    <row r="17" s="17" customFormat="1" ht="13" customHeight="1" spans="1:11">
      <c r="A17" s="36">
        <v>13</v>
      </c>
      <c r="B17" s="40" t="s">
        <v>181</v>
      </c>
      <c r="C17" s="38">
        <v>31</v>
      </c>
      <c r="D17" s="38">
        <v>24</v>
      </c>
      <c r="E17" s="38">
        <v>744</v>
      </c>
      <c r="F17" s="38">
        <v>744</v>
      </c>
      <c r="G17" s="41"/>
      <c r="H17" s="39">
        <v>1</v>
      </c>
      <c r="I17" s="38">
        <v>100</v>
      </c>
      <c r="J17" s="67"/>
      <c r="K17" s="41"/>
    </row>
    <row r="18" s="17" customFormat="1" ht="13" customHeight="1" spans="1:11">
      <c r="A18" s="36">
        <v>14</v>
      </c>
      <c r="B18" s="40" t="s">
        <v>182</v>
      </c>
      <c r="C18" s="38">
        <v>31</v>
      </c>
      <c r="D18" s="38">
        <v>24</v>
      </c>
      <c r="E18" s="38">
        <v>744</v>
      </c>
      <c r="F18" s="38">
        <v>744</v>
      </c>
      <c r="G18" s="41"/>
      <c r="H18" s="39">
        <v>1</v>
      </c>
      <c r="I18" s="38">
        <v>100</v>
      </c>
      <c r="J18" s="67"/>
      <c r="K18" s="41"/>
    </row>
    <row r="19" s="17" customFormat="1" ht="13" customHeight="1" spans="1:11">
      <c r="A19" s="36">
        <v>15</v>
      </c>
      <c r="B19" s="40" t="s">
        <v>183</v>
      </c>
      <c r="C19" s="38">
        <v>31</v>
      </c>
      <c r="D19" s="38">
        <v>24</v>
      </c>
      <c r="E19" s="38">
        <v>744</v>
      </c>
      <c r="F19" s="38">
        <v>744</v>
      </c>
      <c r="G19" s="41"/>
      <c r="H19" s="39">
        <v>1</v>
      </c>
      <c r="I19" s="38">
        <v>100</v>
      </c>
      <c r="J19" s="67"/>
      <c r="K19" s="41"/>
    </row>
    <row r="20" s="17" customFormat="1" ht="13" customHeight="1" spans="1:11">
      <c r="A20" s="36">
        <v>16</v>
      </c>
      <c r="B20" s="40" t="s">
        <v>184</v>
      </c>
      <c r="C20" s="38">
        <v>31</v>
      </c>
      <c r="D20" s="38">
        <v>24</v>
      </c>
      <c r="E20" s="38">
        <v>744</v>
      </c>
      <c r="F20" s="38">
        <v>744</v>
      </c>
      <c r="G20" s="41"/>
      <c r="H20" s="39">
        <v>1</v>
      </c>
      <c r="I20" s="38">
        <v>100</v>
      </c>
      <c r="J20" s="67"/>
      <c r="K20" s="41"/>
    </row>
    <row r="21" s="17" customFormat="1" ht="13" customHeight="1" spans="1:11">
      <c r="A21" s="36">
        <v>17</v>
      </c>
      <c r="B21" s="40" t="s">
        <v>185</v>
      </c>
      <c r="C21" s="38">
        <v>31</v>
      </c>
      <c r="D21" s="38">
        <v>24</v>
      </c>
      <c r="E21" s="38">
        <v>744</v>
      </c>
      <c r="F21" s="38">
        <v>744</v>
      </c>
      <c r="G21" s="41"/>
      <c r="H21" s="39">
        <v>1</v>
      </c>
      <c r="I21" s="38">
        <v>100</v>
      </c>
      <c r="J21" s="67"/>
      <c r="K21" s="41"/>
    </row>
    <row r="22" s="17" customFormat="1" ht="13" customHeight="1" spans="1:11">
      <c r="A22" s="36">
        <v>18</v>
      </c>
      <c r="B22" s="40" t="s">
        <v>186</v>
      </c>
      <c r="C22" s="38">
        <v>31</v>
      </c>
      <c r="D22" s="38">
        <v>24</v>
      </c>
      <c r="E22" s="38">
        <v>744</v>
      </c>
      <c r="F22" s="38">
        <v>744</v>
      </c>
      <c r="G22" s="41"/>
      <c r="H22" s="39">
        <v>1</v>
      </c>
      <c r="I22" s="38">
        <v>100</v>
      </c>
      <c r="J22" s="41"/>
      <c r="K22" s="41"/>
    </row>
    <row r="23" s="17" customFormat="1" ht="13" customHeight="1" spans="1:11">
      <c r="A23" s="36">
        <v>19</v>
      </c>
      <c r="B23" s="40" t="s">
        <v>187</v>
      </c>
      <c r="C23" s="38">
        <v>31</v>
      </c>
      <c r="D23" s="38">
        <v>24</v>
      </c>
      <c r="E23" s="38">
        <v>744</v>
      </c>
      <c r="F23" s="38">
        <v>744</v>
      </c>
      <c r="G23" s="41"/>
      <c r="H23" s="39">
        <v>1</v>
      </c>
      <c r="I23" s="38">
        <v>100</v>
      </c>
      <c r="J23" s="41"/>
      <c r="K23" s="41"/>
    </row>
    <row r="24" s="17" customFormat="1" ht="13" customHeight="1" spans="1:11">
      <c r="A24" s="36">
        <v>20</v>
      </c>
      <c r="B24" s="40" t="s">
        <v>188</v>
      </c>
      <c r="C24" s="38">
        <v>31</v>
      </c>
      <c r="D24" s="38">
        <v>24</v>
      </c>
      <c r="E24" s="38">
        <v>744</v>
      </c>
      <c r="F24" s="38">
        <v>744</v>
      </c>
      <c r="G24" s="41"/>
      <c r="H24" s="39">
        <v>1</v>
      </c>
      <c r="I24" s="38">
        <v>100</v>
      </c>
      <c r="J24" s="41"/>
      <c r="K24" s="41"/>
    </row>
    <row r="25" s="17" customFormat="1" ht="13" customHeight="1" spans="1:11">
      <c r="A25" s="36">
        <v>21</v>
      </c>
      <c r="B25" s="40" t="s">
        <v>189</v>
      </c>
      <c r="C25" s="38">
        <v>31</v>
      </c>
      <c r="D25" s="38">
        <v>24</v>
      </c>
      <c r="E25" s="38">
        <v>744</v>
      </c>
      <c r="F25" s="38">
        <v>744</v>
      </c>
      <c r="G25" s="41"/>
      <c r="H25" s="39">
        <v>1</v>
      </c>
      <c r="I25" s="38">
        <v>100</v>
      </c>
      <c r="J25" s="41"/>
      <c r="K25" s="41"/>
    </row>
    <row r="26" s="17" customFormat="1" ht="13" customHeight="1" spans="1:11">
      <c r="A26" s="36">
        <v>22</v>
      </c>
      <c r="B26" s="40" t="s">
        <v>190</v>
      </c>
      <c r="C26" s="38">
        <v>31</v>
      </c>
      <c r="D26" s="38">
        <v>24</v>
      </c>
      <c r="E26" s="38">
        <v>744</v>
      </c>
      <c r="F26" s="38">
        <v>744</v>
      </c>
      <c r="G26" s="41"/>
      <c r="H26" s="39">
        <v>1</v>
      </c>
      <c r="I26" s="38">
        <v>100</v>
      </c>
      <c r="J26" s="41"/>
      <c r="K26" s="41"/>
    </row>
    <row r="27" s="17" customFormat="1" ht="13" customHeight="1" spans="1:11">
      <c r="A27" s="36">
        <v>23</v>
      </c>
      <c r="B27" s="40" t="s">
        <v>191</v>
      </c>
      <c r="C27" s="38">
        <v>31</v>
      </c>
      <c r="D27" s="38">
        <v>24</v>
      </c>
      <c r="E27" s="38">
        <v>744</v>
      </c>
      <c r="F27" s="38">
        <v>744</v>
      </c>
      <c r="G27" s="41"/>
      <c r="H27" s="39">
        <v>1</v>
      </c>
      <c r="I27" s="38">
        <v>100</v>
      </c>
      <c r="J27" s="41"/>
      <c r="K27" s="41"/>
    </row>
    <row r="28" s="17" customFormat="1" ht="13" customHeight="1" spans="1:11">
      <c r="A28" s="36">
        <v>24</v>
      </c>
      <c r="B28" s="40" t="s">
        <v>192</v>
      </c>
      <c r="C28" s="38">
        <v>31</v>
      </c>
      <c r="D28" s="38">
        <v>24</v>
      </c>
      <c r="E28" s="38">
        <v>744</v>
      </c>
      <c r="F28" s="38">
        <v>744</v>
      </c>
      <c r="G28" s="41"/>
      <c r="H28" s="39">
        <v>1</v>
      </c>
      <c r="I28" s="38">
        <v>100</v>
      </c>
      <c r="J28" s="41"/>
      <c r="K28" s="41"/>
    </row>
    <row r="29" s="17" customFormat="1" ht="13" customHeight="1" spans="1:11">
      <c r="A29" s="36">
        <v>25</v>
      </c>
      <c r="B29" s="40" t="s">
        <v>193</v>
      </c>
      <c r="C29" s="38">
        <v>31</v>
      </c>
      <c r="D29" s="38">
        <v>24</v>
      </c>
      <c r="E29" s="38">
        <v>744</v>
      </c>
      <c r="F29" s="38">
        <v>744</v>
      </c>
      <c r="G29" s="41"/>
      <c r="H29" s="39">
        <v>1</v>
      </c>
      <c r="I29" s="38">
        <v>100</v>
      </c>
      <c r="J29" s="38"/>
      <c r="K29" s="41"/>
    </row>
    <row r="30" s="17" customFormat="1" ht="13" customHeight="1" spans="1:11">
      <c r="A30" s="36">
        <v>26</v>
      </c>
      <c r="B30" s="40" t="s">
        <v>194</v>
      </c>
      <c r="C30" s="38">
        <v>31</v>
      </c>
      <c r="D30" s="38">
        <v>24</v>
      </c>
      <c r="E30" s="38">
        <v>744</v>
      </c>
      <c r="F30" s="38">
        <v>744</v>
      </c>
      <c r="G30" s="41"/>
      <c r="H30" s="39">
        <v>1</v>
      </c>
      <c r="I30" s="38">
        <v>100</v>
      </c>
      <c r="J30" s="41"/>
      <c r="K30" s="41"/>
    </row>
    <row r="31" s="17" customFormat="1" ht="13" customHeight="1" spans="1:11">
      <c r="A31" s="36">
        <v>27</v>
      </c>
      <c r="B31" s="40" t="s">
        <v>195</v>
      </c>
      <c r="C31" s="38">
        <v>31</v>
      </c>
      <c r="D31" s="41">
        <v>24</v>
      </c>
      <c r="E31" s="38">
        <v>744</v>
      </c>
      <c r="F31" s="38">
        <v>744</v>
      </c>
      <c r="G31" s="41"/>
      <c r="H31" s="39">
        <v>1</v>
      </c>
      <c r="I31" s="41">
        <v>100</v>
      </c>
      <c r="J31" s="41"/>
      <c r="K31" s="41"/>
    </row>
    <row r="32" s="17" customFormat="1" ht="13" customHeight="1" spans="1:11">
      <c r="A32" s="42" t="s">
        <v>196</v>
      </c>
      <c r="B32" s="43"/>
      <c r="C32" s="42"/>
      <c r="D32" s="42"/>
      <c r="E32" s="42" t="s">
        <v>197</v>
      </c>
      <c r="F32" s="42"/>
      <c r="G32" s="43"/>
      <c r="H32" s="42"/>
      <c r="I32" s="42" t="s">
        <v>198</v>
      </c>
      <c r="J32" s="43"/>
      <c r="K32" s="42"/>
    </row>
    <row r="33" s="17" customFormat="1" ht="43" customHeight="1" spans="1:11">
      <c r="A33" s="31" t="s">
        <v>199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</row>
    <row r="34" s="17" customFormat="1" ht="13" customHeight="1" spans="1:11">
      <c r="A34" s="21" t="s">
        <v>157</v>
      </c>
      <c r="B34" s="21" t="s">
        <v>158</v>
      </c>
      <c r="C34" s="23" t="s">
        <v>159</v>
      </c>
      <c r="D34" s="23" t="s">
        <v>160</v>
      </c>
      <c r="E34" s="23" t="s">
        <v>161</v>
      </c>
      <c r="F34" s="23" t="s">
        <v>162</v>
      </c>
      <c r="G34" s="23" t="s">
        <v>163</v>
      </c>
      <c r="H34" s="23" t="s">
        <v>164</v>
      </c>
      <c r="I34" s="23" t="s">
        <v>165</v>
      </c>
      <c r="J34" s="21" t="s">
        <v>166</v>
      </c>
      <c r="K34" s="21" t="s">
        <v>167</v>
      </c>
    </row>
    <row r="35" s="17" customFormat="1" ht="10" customHeight="1" spans="1:1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s="17" customFormat="1" ht="13" customHeight="1" spans="1:11">
      <c r="A36" s="36">
        <v>28</v>
      </c>
      <c r="B36" s="44" t="s">
        <v>200</v>
      </c>
      <c r="C36" s="45">
        <v>31</v>
      </c>
      <c r="D36" s="45">
        <v>24</v>
      </c>
      <c r="E36" s="45">
        <v>744</v>
      </c>
      <c r="F36" s="45">
        <v>744</v>
      </c>
      <c r="G36" s="45"/>
      <c r="H36" s="46">
        <v>1</v>
      </c>
      <c r="I36" s="45">
        <v>100</v>
      </c>
      <c r="J36" s="45"/>
      <c r="K36" s="45"/>
    </row>
    <row r="37" s="17" customFormat="1" ht="13" customHeight="1" spans="1:11">
      <c r="A37" s="36">
        <v>29</v>
      </c>
      <c r="B37" s="47" t="s">
        <v>201</v>
      </c>
      <c r="C37" s="45">
        <v>31</v>
      </c>
      <c r="D37" s="45">
        <v>24</v>
      </c>
      <c r="E37" s="45">
        <v>744</v>
      </c>
      <c r="F37" s="48">
        <v>294.5</v>
      </c>
      <c r="G37" s="48"/>
      <c r="H37" s="46">
        <v>0.395833333333333</v>
      </c>
      <c r="I37" s="45">
        <v>100</v>
      </c>
      <c r="J37" s="68"/>
      <c r="K37" s="48"/>
    </row>
    <row r="38" s="17" customFormat="1" ht="13" customHeight="1" spans="1:11">
      <c r="A38" s="36">
        <v>30</v>
      </c>
      <c r="B38" s="47" t="s">
        <v>202</v>
      </c>
      <c r="C38" s="45">
        <v>31</v>
      </c>
      <c r="D38" s="45">
        <v>24</v>
      </c>
      <c r="E38" s="45">
        <v>744</v>
      </c>
      <c r="F38" s="48">
        <v>744</v>
      </c>
      <c r="G38" s="48"/>
      <c r="H38" s="46">
        <v>1</v>
      </c>
      <c r="I38" s="45">
        <v>100</v>
      </c>
      <c r="J38" s="68"/>
      <c r="K38" s="48"/>
    </row>
    <row r="39" s="17" customFormat="1" ht="13" customHeight="1" spans="1:11">
      <c r="A39" s="36">
        <v>31</v>
      </c>
      <c r="B39" s="47" t="s">
        <v>203</v>
      </c>
      <c r="C39" s="45">
        <v>31</v>
      </c>
      <c r="D39" s="45">
        <v>24</v>
      </c>
      <c r="E39" s="45">
        <v>744</v>
      </c>
      <c r="F39" s="48">
        <v>744</v>
      </c>
      <c r="G39" s="48"/>
      <c r="H39" s="46">
        <v>1</v>
      </c>
      <c r="I39" s="45">
        <v>100</v>
      </c>
      <c r="J39" s="48"/>
      <c r="K39" s="48"/>
    </row>
    <row r="40" s="17" customFormat="1" ht="13" customHeight="1" spans="1:11">
      <c r="A40" s="36">
        <v>32</v>
      </c>
      <c r="B40" s="47" t="s">
        <v>204</v>
      </c>
      <c r="C40" s="45">
        <v>31</v>
      </c>
      <c r="D40" s="45">
        <v>24</v>
      </c>
      <c r="E40" s="45">
        <v>744</v>
      </c>
      <c r="F40" s="48">
        <v>742</v>
      </c>
      <c r="G40" s="48">
        <v>2</v>
      </c>
      <c r="H40" s="46">
        <v>0.997311827956989</v>
      </c>
      <c r="I40" s="45">
        <v>99.7</v>
      </c>
      <c r="J40" s="68" t="s">
        <v>205</v>
      </c>
      <c r="K40" s="48"/>
    </row>
    <row r="41" s="17" customFormat="1" ht="13" customHeight="1" spans="1:11">
      <c r="A41" s="36">
        <v>33</v>
      </c>
      <c r="B41" s="47" t="s">
        <v>206</v>
      </c>
      <c r="C41" s="45">
        <v>31</v>
      </c>
      <c r="D41" s="45">
        <v>24</v>
      </c>
      <c r="E41" s="45">
        <v>744</v>
      </c>
      <c r="F41" s="48">
        <v>295</v>
      </c>
      <c r="G41" s="48"/>
      <c r="H41" s="46">
        <v>0.396505376344086</v>
      </c>
      <c r="I41" s="45">
        <v>100</v>
      </c>
      <c r="J41" s="68"/>
      <c r="K41" s="48"/>
    </row>
    <row r="42" s="17" customFormat="1" ht="13" customHeight="1" spans="1:11">
      <c r="A42" s="36">
        <v>34</v>
      </c>
      <c r="B42" s="47" t="s">
        <v>207</v>
      </c>
      <c r="C42" s="45">
        <v>31</v>
      </c>
      <c r="D42" s="45">
        <v>24</v>
      </c>
      <c r="E42" s="45">
        <v>744</v>
      </c>
      <c r="F42" s="48">
        <v>744</v>
      </c>
      <c r="G42" s="48"/>
      <c r="H42" s="46">
        <v>1</v>
      </c>
      <c r="I42" s="45">
        <v>100</v>
      </c>
      <c r="J42" s="69"/>
      <c r="K42" s="48"/>
    </row>
    <row r="43" s="17" customFormat="1" ht="13" customHeight="1" spans="1:11">
      <c r="A43" s="36">
        <v>35</v>
      </c>
      <c r="B43" s="47" t="s">
        <v>208</v>
      </c>
      <c r="C43" s="45">
        <v>31</v>
      </c>
      <c r="D43" s="45">
        <v>24</v>
      </c>
      <c r="E43" s="45">
        <v>744</v>
      </c>
      <c r="F43" s="45">
        <v>744</v>
      </c>
      <c r="G43" s="49"/>
      <c r="H43" s="46">
        <v>1</v>
      </c>
      <c r="I43" s="45">
        <v>100</v>
      </c>
      <c r="J43" s="69"/>
      <c r="K43" s="48"/>
    </row>
    <row r="44" s="17" customFormat="1" ht="13" customHeight="1" spans="1:11">
      <c r="A44" s="36">
        <v>36</v>
      </c>
      <c r="B44" s="47" t="s">
        <v>209</v>
      </c>
      <c r="C44" s="45">
        <v>31</v>
      </c>
      <c r="D44" s="45">
        <v>24</v>
      </c>
      <c r="E44" s="45">
        <v>744</v>
      </c>
      <c r="F44" s="45">
        <v>0</v>
      </c>
      <c r="G44" s="48"/>
      <c r="H44" s="46">
        <v>0</v>
      </c>
      <c r="I44" s="45">
        <v>100</v>
      </c>
      <c r="J44" s="70"/>
      <c r="K44" s="48"/>
    </row>
    <row r="45" s="17" customFormat="1" ht="13" customHeight="1" spans="1:11">
      <c r="A45" s="36">
        <v>37</v>
      </c>
      <c r="B45" s="47" t="s">
        <v>210</v>
      </c>
      <c r="C45" s="45">
        <v>31</v>
      </c>
      <c r="D45" s="45">
        <v>24</v>
      </c>
      <c r="E45" s="45">
        <v>744</v>
      </c>
      <c r="F45" s="45">
        <v>744</v>
      </c>
      <c r="G45" s="48"/>
      <c r="H45" s="46">
        <v>1</v>
      </c>
      <c r="I45" s="45">
        <v>100</v>
      </c>
      <c r="J45" s="70"/>
      <c r="K45" s="48"/>
    </row>
    <row r="46" s="17" customFormat="1" ht="13" customHeight="1" spans="1:11">
      <c r="A46" s="36">
        <v>38</v>
      </c>
      <c r="B46" s="47" t="s">
        <v>211</v>
      </c>
      <c r="C46" s="45">
        <v>31</v>
      </c>
      <c r="D46" s="45">
        <v>24</v>
      </c>
      <c r="E46" s="45">
        <v>744</v>
      </c>
      <c r="F46" s="45">
        <v>744</v>
      </c>
      <c r="G46" s="48"/>
      <c r="H46" s="46">
        <v>1</v>
      </c>
      <c r="I46" s="48">
        <v>100</v>
      </c>
      <c r="J46" s="70"/>
      <c r="K46" s="48"/>
    </row>
    <row r="47" s="17" customFormat="1" ht="13" customHeight="1" spans="1:11">
      <c r="A47" s="36">
        <v>39</v>
      </c>
      <c r="B47" s="47" t="s">
        <v>212</v>
      </c>
      <c r="C47" s="45">
        <v>31</v>
      </c>
      <c r="D47" s="45">
        <v>24</v>
      </c>
      <c r="E47" s="45">
        <v>744</v>
      </c>
      <c r="F47" s="45">
        <v>0</v>
      </c>
      <c r="G47" s="48"/>
      <c r="H47" s="46">
        <v>0</v>
      </c>
      <c r="I47" s="48">
        <v>100</v>
      </c>
      <c r="J47" s="70"/>
      <c r="K47" s="48"/>
    </row>
    <row r="48" s="17" customFormat="1" ht="13" customHeight="1" spans="1:11">
      <c r="A48" s="36">
        <v>40</v>
      </c>
      <c r="B48" s="47" t="s">
        <v>213</v>
      </c>
      <c r="C48" s="45">
        <v>31</v>
      </c>
      <c r="D48" s="45">
        <v>24</v>
      </c>
      <c r="E48" s="45">
        <v>744</v>
      </c>
      <c r="F48" s="50">
        <v>744</v>
      </c>
      <c r="G48" s="48"/>
      <c r="H48" s="46">
        <v>1</v>
      </c>
      <c r="I48" s="45">
        <v>100</v>
      </c>
      <c r="J48" s="48"/>
      <c r="K48" s="48"/>
    </row>
    <row r="49" s="17" customFormat="1" ht="13" customHeight="1" spans="1:11">
      <c r="A49" s="36">
        <v>41</v>
      </c>
      <c r="B49" s="47" t="s">
        <v>214</v>
      </c>
      <c r="C49" s="45">
        <v>31</v>
      </c>
      <c r="D49" s="45">
        <v>24</v>
      </c>
      <c r="E49" s="45">
        <v>744</v>
      </c>
      <c r="F49" s="50">
        <v>744</v>
      </c>
      <c r="G49" s="48"/>
      <c r="H49" s="46">
        <v>1</v>
      </c>
      <c r="I49" s="45">
        <v>100</v>
      </c>
      <c r="K49" s="48"/>
    </row>
    <row r="50" s="17" customFormat="1" ht="13" customHeight="1" spans="1:11">
      <c r="A50" s="36">
        <v>42</v>
      </c>
      <c r="B50" s="47" t="s">
        <v>215</v>
      </c>
      <c r="C50" s="45">
        <v>31</v>
      </c>
      <c r="D50" s="48">
        <v>24</v>
      </c>
      <c r="E50" s="45">
        <v>744</v>
      </c>
      <c r="F50" s="50">
        <v>744</v>
      </c>
      <c r="G50" s="48"/>
      <c r="H50" s="46">
        <v>1</v>
      </c>
      <c r="I50" s="48">
        <v>100</v>
      </c>
      <c r="J50" s="48"/>
      <c r="K50" s="48"/>
    </row>
    <row r="51" s="17" customFormat="1" ht="13" customHeight="1" spans="1:11">
      <c r="A51" s="36">
        <v>43</v>
      </c>
      <c r="B51" s="47" t="s">
        <v>216</v>
      </c>
      <c r="C51" s="45">
        <v>31</v>
      </c>
      <c r="D51" s="45">
        <v>24</v>
      </c>
      <c r="E51" s="45">
        <v>744</v>
      </c>
      <c r="F51" s="50">
        <v>744</v>
      </c>
      <c r="G51" s="48"/>
      <c r="H51" s="46">
        <v>1</v>
      </c>
      <c r="I51" s="45">
        <v>100</v>
      </c>
      <c r="J51" s="48"/>
      <c r="K51" s="71"/>
    </row>
    <row r="52" s="17" customFormat="1" ht="13" customHeight="1" spans="1:11">
      <c r="A52" s="36">
        <v>44</v>
      </c>
      <c r="B52" s="47" t="s">
        <v>217</v>
      </c>
      <c r="C52" s="45">
        <v>31</v>
      </c>
      <c r="D52" s="45">
        <v>24</v>
      </c>
      <c r="E52" s="45">
        <v>744</v>
      </c>
      <c r="F52" s="50">
        <v>0</v>
      </c>
      <c r="G52" s="48"/>
      <c r="H52" s="46">
        <v>0</v>
      </c>
      <c r="I52" s="45">
        <v>100</v>
      </c>
      <c r="J52" s="48"/>
      <c r="K52" s="72"/>
    </row>
    <row r="53" s="17" customFormat="1" ht="13" customHeight="1" spans="1:11">
      <c r="A53" s="36">
        <v>45</v>
      </c>
      <c r="B53" s="47" t="s">
        <v>218</v>
      </c>
      <c r="C53" s="45">
        <v>31</v>
      </c>
      <c r="D53" s="45">
        <v>24</v>
      </c>
      <c r="E53" s="45">
        <v>744</v>
      </c>
      <c r="F53" s="50">
        <v>744</v>
      </c>
      <c r="G53" s="48"/>
      <c r="H53" s="46">
        <v>1</v>
      </c>
      <c r="I53" s="45">
        <v>100</v>
      </c>
      <c r="J53" s="48"/>
      <c r="K53" s="51"/>
    </row>
    <row r="54" s="17" customFormat="1" ht="13" customHeight="1" spans="1:11">
      <c r="A54" s="36">
        <v>46</v>
      </c>
      <c r="B54" s="47" t="s">
        <v>219</v>
      </c>
      <c r="C54" s="45">
        <v>31</v>
      </c>
      <c r="D54" s="48">
        <v>24</v>
      </c>
      <c r="E54" s="45">
        <v>744</v>
      </c>
      <c r="F54" s="50">
        <v>744</v>
      </c>
      <c r="G54" s="51"/>
      <c r="H54" s="46">
        <v>1</v>
      </c>
      <c r="I54" s="45">
        <v>100</v>
      </c>
      <c r="J54" s="48"/>
      <c r="K54" s="51"/>
    </row>
    <row r="55" s="17" customFormat="1" ht="13" customHeight="1" spans="1:11">
      <c r="A55" s="52" t="s">
        <v>220</v>
      </c>
      <c r="B55" s="53"/>
      <c r="C55" s="54"/>
      <c r="D55" s="55"/>
      <c r="E55" s="56"/>
      <c r="F55" s="57"/>
      <c r="G55" s="58"/>
      <c r="H55" s="57"/>
      <c r="I55" s="57"/>
      <c r="J55" s="73"/>
      <c r="K55" s="74"/>
    </row>
    <row r="56" s="17" customFormat="1" ht="13" customHeight="1" spans="1:11">
      <c r="A56" s="59">
        <v>47</v>
      </c>
      <c r="B56" s="60" t="s">
        <v>176</v>
      </c>
      <c r="C56" s="61">
        <v>31</v>
      </c>
      <c r="D56" s="61">
        <v>24</v>
      </c>
      <c r="E56" s="62">
        <v>744</v>
      </c>
      <c r="F56" s="62">
        <v>744</v>
      </c>
      <c r="G56" s="61"/>
      <c r="H56" s="63">
        <v>1</v>
      </c>
      <c r="I56" s="62">
        <v>100</v>
      </c>
      <c r="J56" s="61"/>
      <c r="K56" s="61"/>
    </row>
    <row r="57" s="17" customFormat="1" ht="13" customHeight="1" spans="1:11">
      <c r="A57" s="59">
        <v>48</v>
      </c>
      <c r="B57" s="60" t="s">
        <v>177</v>
      </c>
      <c r="C57" s="62">
        <v>31</v>
      </c>
      <c r="D57" s="61">
        <v>24</v>
      </c>
      <c r="E57" s="62">
        <v>744</v>
      </c>
      <c r="F57" s="62">
        <v>744</v>
      </c>
      <c r="G57" s="61"/>
      <c r="H57" s="63">
        <v>1</v>
      </c>
      <c r="I57" s="62">
        <v>100</v>
      </c>
      <c r="J57" s="61"/>
      <c r="K57" s="61"/>
    </row>
    <row r="58" s="17" customFormat="1" ht="13" customHeight="1" spans="1:11">
      <c r="A58" s="59">
        <v>49</v>
      </c>
      <c r="B58" s="60" t="s">
        <v>178</v>
      </c>
      <c r="C58" s="62">
        <v>31</v>
      </c>
      <c r="D58" s="62">
        <v>24</v>
      </c>
      <c r="E58" s="62">
        <v>744</v>
      </c>
      <c r="F58" s="62">
        <v>744</v>
      </c>
      <c r="G58" s="61"/>
      <c r="H58" s="63">
        <v>1</v>
      </c>
      <c r="I58" s="62">
        <v>100</v>
      </c>
      <c r="J58" s="61"/>
      <c r="K58" s="61"/>
    </row>
    <row r="59" s="17" customFormat="1" ht="13" customHeight="1" spans="1:11">
      <c r="A59" s="59">
        <v>50</v>
      </c>
      <c r="B59" s="60" t="s">
        <v>179</v>
      </c>
      <c r="C59" s="62">
        <v>31</v>
      </c>
      <c r="D59" s="62">
        <v>24</v>
      </c>
      <c r="E59" s="62">
        <v>744</v>
      </c>
      <c r="F59" s="62">
        <v>744</v>
      </c>
      <c r="G59" s="61"/>
      <c r="H59" s="63">
        <v>1</v>
      </c>
      <c r="I59" s="62">
        <v>100</v>
      </c>
      <c r="J59" s="61"/>
      <c r="K59" s="61"/>
    </row>
    <row r="60" s="17" customFormat="1" ht="13" customHeight="1" spans="1:11">
      <c r="A60" s="59">
        <v>51</v>
      </c>
      <c r="B60" s="60" t="s">
        <v>180</v>
      </c>
      <c r="C60" s="62">
        <v>31</v>
      </c>
      <c r="D60" s="62">
        <v>24</v>
      </c>
      <c r="E60" s="62">
        <v>744</v>
      </c>
      <c r="F60" s="62">
        <v>744</v>
      </c>
      <c r="G60" s="64"/>
      <c r="H60" s="63">
        <v>1</v>
      </c>
      <c r="I60" s="62">
        <v>100</v>
      </c>
      <c r="J60" s="61"/>
      <c r="K60" s="61"/>
    </row>
    <row r="61" s="17" customFormat="1" ht="13" customHeight="1" spans="1:11">
      <c r="A61" s="59">
        <v>52</v>
      </c>
      <c r="B61" s="60" t="s">
        <v>181</v>
      </c>
      <c r="C61" s="62">
        <v>31</v>
      </c>
      <c r="D61" s="62">
        <v>24</v>
      </c>
      <c r="E61" s="62">
        <v>744</v>
      </c>
      <c r="F61" s="62">
        <v>744</v>
      </c>
      <c r="G61" s="64"/>
      <c r="H61" s="63">
        <v>1</v>
      </c>
      <c r="I61" s="62">
        <v>100</v>
      </c>
      <c r="J61" s="61"/>
      <c r="K61" s="61"/>
    </row>
    <row r="62" s="17" customFormat="1" ht="13" customHeight="1" spans="1:11">
      <c r="A62" s="59">
        <v>53</v>
      </c>
      <c r="B62" s="60" t="s">
        <v>182</v>
      </c>
      <c r="C62" s="62">
        <v>31</v>
      </c>
      <c r="D62" s="62">
        <v>24</v>
      </c>
      <c r="E62" s="62">
        <v>744</v>
      </c>
      <c r="F62" s="62">
        <v>744</v>
      </c>
      <c r="G62" s="61"/>
      <c r="H62" s="63">
        <v>1</v>
      </c>
      <c r="I62" s="62">
        <v>100</v>
      </c>
      <c r="J62" s="61"/>
      <c r="K62" s="61"/>
    </row>
    <row r="63" s="17" customFormat="1" ht="13" customHeight="1" spans="1:11">
      <c r="A63" s="59">
        <v>54</v>
      </c>
      <c r="B63" s="60" t="s">
        <v>183</v>
      </c>
      <c r="C63" s="62">
        <v>31</v>
      </c>
      <c r="D63" s="61">
        <v>24</v>
      </c>
      <c r="E63" s="62">
        <v>744</v>
      </c>
      <c r="F63" s="62">
        <v>744</v>
      </c>
      <c r="G63" s="61"/>
      <c r="H63" s="63">
        <v>1</v>
      </c>
      <c r="I63" s="61">
        <v>100</v>
      </c>
      <c r="J63" s="75"/>
      <c r="K63" s="61"/>
    </row>
    <row r="64" s="17" customFormat="1" ht="13" customHeight="1" spans="1:11">
      <c r="A64" s="42" t="s">
        <v>196</v>
      </c>
      <c r="B64" s="43"/>
      <c r="C64" s="42"/>
      <c r="D64" s="42"/>
      <c r="E64" s="42" t="s">
        <v>197</v>
      </c>
      <c r="F64" s="42"/>
      <c r="G64" s="43"/>
      <c r="H64" s="42"/>
      <c r="I64" s="42" t="s">
        <v>198</v>
      </c>
      <c r="J64" s="43"/>
      <c r="K64" s="42"/>
    </row>
    <row r="65" s="17" customFormat="1" ht="37" customHeight="1" spans="1:11">
      <c r="A65" s="31" t="s">
        <v>221</v>
      </c>
      <c r="B65" s="32"/>
      <c r="C65" s="32"/>
      <c r="D65" s="32"/>
      <c r="E65" s="32"/>
      <c r="F65" s="32"/>
      <c r="G65" s="32"/>
      <c r="H65" s="32"/>
      <c r="I65" s="32"/>
      <c r="J65" s="32"/>
      <c r="K65" s="32"/>
    </row>
    <row r="66" s="17" customFormat="1" ht="13" customHeight="1" spans="1:11">
      <c r="A66" s="76" t="s">
        <v>222</v>
      </c>
      <c r="B66" s="76" t="s">
        <v>223</v>
      </c>
      <c r="C66" s="77" t="s">
        <v>224</v>
      </c>
      <c r="D66" s="77" t="s">
        <v>225</v>
      </c>
      <c r="E66" s="77" t="s">
        <v>226</v>
      </c>
      <c r="F66" s="77" t="s">
        <v>227</v>
      </c>
      <c r="G66" s="77" t="s">
        <v>228</v>
      </c>
      <c r="H66" s="77" t="s">
        <v>229</v>
      </c>
      <c r="I66" s="77" t="s">
        <v>230</v>
      </c>
      <c r="J66" s="77" t="s">
        <v>231</v>
      </c>
      <c r="K66" s="77" t="s">
        <v>232</v>
      </c>
    </row>
    <row r="67" s="17" customFormat="1" ht="13" customHeight="1" spans="1:11">
      <c r="A67" s="78"/>
      <c r="B67" s="78"/>
      <c r="C67" s="79"/>
      <c r="D67" s="79"/>
      <c r="E67" s="79"/>
      <c r="F67" s="79"/>
      <c r="G67" s="79"/>
      <c r="H67" s="79"/>
      <c r="I67" s="79"/>
      <c r="J67" s="79"/>
      <c r="K67" s="79"/>
    </row>
    <row r="68" s="17" customFormat="1" ht="13" customHeight="1" spans="1:11">
      <c r="A68" s="80">
        <v>55</v>
      </c>
      <c r="B68" s="81" t="s">
        <v>184</v>
      </c>
      <c r="C68" s="82">
        <v>31</v>
      </c>
      <c r="D68" s="82">
        <v>24</v>
      </c>
      <c r="E68" s="82">
        <v>744</v>
      </c>
      <c r="F68" s="82">
        <v>744</v>
      </c>
      <c r="G68" s="75"/>
      <c r="H68" s="83">
        <v>1</v>
      </c>
      <c r="I68" s="102">
        <v>100</v>
      </c>
      <c r="J68" s="75"/>
      <c r="K68" s="75"/>
    </row>
    <row r="69" s="17" customFormat="1" ht="13" customHeight="1" spans="1:11">
      <c r="A69" s="80">
        <v>56</v>
      </c>
      <c r="B69" s="81" t="s">
        <v>185</v>
      </c>
      <c r="C69" s="82">
        <v>31</v>
      </c>
      <c r="D69" s="82">
        <v>24</v>
      </c>
      <c r="E69" s="82">
        <v>744</v>
      </c>
      <c r="F69" s="82">
        <v>744</v>
      </c>
      <c r="G69" s="82"/>
      <c r="H69" s="83">
        <v>1</v>
      </c>
      <c r="I69" s="102">
        <v>100</v>
      </c>
      <c r="J69" s="88"/>
      <c r="K69" s="75"/>
    </row>
    <row r="70" s="17" customFormat="1" ht="13" customHeight="1" spans="1:11">
      <c r="A70" s="80">
        <v>57</v>
      </c>
      <c r="B70" s="81" t="s">
        <v>186</v>
      </c>
      <c r="C70" s="82">
        <v>31</v>
      </c>
      <c r="D70" s="82">
        <v>24</v>
      </c>
      <c r="E70" s="82">
        <v>744</v>
      </c>
      <c r="F70" s="82">
        <v>744</v>
      </c>
      <c r="G70" s="75"/>
      <c r="H70" s="83">
        <v>1</v>
      </c>
      <c r="I70" s="102">
        <v>100</v>
      </c>
      <c r="J70" s="75"/>
      <c r="K70" s="75"/>
    </row>
    <row r="71" s="17" customFormat="1" ht="13" customHeight="1" spans="1:11">
      <c r="A71" s="80">
        <v>58</v>
      </c>
      <c r="B71" s="81" t="s">
        <v>187</v>
      </c>
      <c r="C71" s="82">
        <v>31</v>
      </c>
      <c r="D71" s="82">
        <v>24</v>
      </c>
      <c r="E71" s="82">
        <v>744</v>
      </c>
      <c r="F71" s="82">
        <v>744</v>
      </c>
      <c r="G71" s="75"/>
      <c r="H71" s="83">
        <v>1</v>
      </c>
      <c r="I71" s="102">
        <v>100</v>
      </c>
      <c r="J71" s="75"/>
      <c r="K71" s="75"/>
    </row>
    <row r="72" s="17" customFormat="1" ht="13" customHeight="1" spans="1:11">
      <c r="A72" s="84" t="s">
        <v>86</v>
      </c>
      <c r="B72" s="85"/>
      <c r="C72" s="85"/>
      <c r="D72" s="85"/>
      <c r="E72" s="85"/>
      <c r="F72" s="85"/>
      <c r="G72" s="86"/>
      <c r="H72" s="85"/>
      <c r="I72" s="85"/>
      <c r="J72" s="103"/>
      <c r="K72" s="74"/>
    </row>
    <row r="73" s="17" customFormat="1" ht="13" customHeight="1" spans="1:11">
      <c r="A73" s="59">
        <v>59</v>
      </c>
      <c r="B73" s="87" t="s">
        <v>233</v>
      </c>
      <c r="C73" s="88">
        <v>31</v>
      </c>
      <c r="D73" s="88">
        <v>24</v>
      </c>
      <c r="E73" s="88">
        <v>744</v>
      </c>
      <c r="F73" s="88">
        <v>0</v>
      </c>
      <c r="G73" s="89"/>
      <c r="H73" s="90">
        <v>0</v>
      </c>
      <c r="I73" s="104">
        <v>100</v>
      </c>
      <c r="J73" s="89"/>
      <c r="K73" s="89"/>
    </row>
    <row r="74" s="17" customFormat="1" ht="13" customHeight="1" spans="1:11">
      <c r="A74" s="59">
        <v>60</v>
      </c>
      <c r="B74" s="87" t="s">
        <v>234</v>
      </c>
      <c r="C74" s="88">
        <v>31</v>
      </c>
      <c r="D74" s="88">
        <v>24</v>
      </c>
      <c r="E74" s="88">
        <v>744</v>
      </c>
      <c r="F74" s="88">
        <v>0</v>
      </c>
      <c r="G74" s="89"/>
      <c r="H74" s="90">
        <v>0</v>
      </c>
      <c r="I74" s="104">
        <v>100</v>
      </c>
      <c r="J74" s="89"/>
      <c r="K74" s="89"/>
    </row>
    <row r="75" s="17" customFormat="1" ht="13" customHeight="1" spans="1:11">
      <c r="A75" s="59">
        <v>61</v>
      </c>
      <c r="B75" s="87" t="s">
        <v>235</v>
      </c>
      <c r="C75" s="88">
        <v>31</v>
      </c>
      <c r="D75" s="88">
        <v>24</v>
      </c>
      <c r="E75" s="88">
        <v>744</v>
      </c>
      <c r="F75" s="88">
        <v>0</v>
      </c>
      <c r="G75" s="89"/>
      <c r="H75" s="90">
        <v>0</v>
      </c>
      <c r="I75" s="104">
        <v>100</v>
      </c>
      <c r="J75" s="89"/>
      <c r="K75" s="89"/>
    </row>
    <row r="76" s="17" customFormat="1" ht="13" customHeight="1" spans="1:11">
      <c r="A76" s="59">
        <v>62</v>
      </c>
      <c r="B76" s="87" t="s">
        <v>236</v>
      </c>
      <c r="C76" s="88">
        <v>31</v>
      </c>
      <c r="D76" s="88">
        <v>24</v>
      </c>
      <c r="E76" s="88">
        <v>744</v>
      </c>
      <c r="F76" s="88">
        <v>744</v>
      </c>
      <c r="G76" s="89"/>
      <c r="H76" s="90">
        <v>1</v>
      </c>
      <c r="I76" s="104">
        <v>100</v>
      </c>
      <c r="J76" s="89"/>
      <c r="K76" s="89"/>
    </row>
    <row r="77" s="17" customFormat="1" ht="13" customHeight="1" spans="1:11">
      <c r="A77" s="59">
        <v>63</v>
      </c>
      <c r="B77" s="87" t="s">
        <v>237</v>
      </c>
      <c r="C77" s="88">
        <v>31</v>
      </c>
      <c r="D77" s="88">
        <v>24</v>
      </c>
      <c r="E77" s="88">
        <v>744</v>
      </c>
      <c r="F77" s="88">
        <v>0</v>
      </c>
      <c r="G77" s="89"/>
      <c r="H77" s="90">
        <v>0</v>
      </c>
      <c r="I77" s="104">
        <v>100</v>
      </c>
      <c r="J77" s="89"/>
      <c r="K77" s="89"/>
    </row>
    <row r="78" s="17" customFormat="1" ht="13" customHeight="1" spans="1:11">
      <c r="A78" s="59">
        <v>64</v>
      </c>
      <c r="B78" s="87" t="s">
        <v>238</v>
      </c>
      <c r="C78" s="88">
        <v>31</v>
      </c>
      <c r="D78" s="88">
        <v>24</v>
      </c>
      <c r="E78" s="88">
        <v>744</v>
      </c>
      <c r="F78" s="88">
        <v>0</v>
      </c>
      <c r="G78" s="89"/>
      <c r="H78" s="90">
        <v>0</v>
      </c>
      <c r="I78" s="104">
        <v>100</v>
      </c>
      <c r="J78" s="89"/>
      <c r="K78" s="89"/>
    </row>
    <row r="79" s="17" customFormat="1" ht="13" customHeight="1" spans="1:11">
      <c r="A79" s="59">
        <v>65</v>
      </c>
      <c r="B79" s="87" t="s">
        <v>239</v>
      </c>
      <c r="C79" s="88">
        <v>31</v>
      </c>
      <c r="D79" s="88">
        <v>24</v>
      </c>
      <c r="E79" s="88">
        <v>744</v>
      </c>
      <c r="F79" s="88">
        <v>0</v>
      </c>
      <c r="G79" s="89"/>
      <c r="H79" s="90">
        <v>0</v>
      </c>
      <c r="I79" s="89">
        <v>100</v>
      </c>
      <c r="J79" s="89"/>
      <c r="K79" s="89"/>
    </row>
    <row r="80" s="17" customFormat="1" ht="13" customHeight="1" spans="1:11">
      <c r="A80" s="59">
        <v>66</v>
      </c>
      <c r="B80" s="87" t="s">
        <v>240</v>
      </c>
      <c r="C80" s="88">
        <v>31</v>
      </c>
      <c r="D80" s="88">
        <v>24</v>
      </c>
      <c r="E80" s="88">
        <v>744</v>
      </c>
      <c r="F80" s="88">
        <v>0</v>
      </c>
      <c r="G80" s="89"/>
      <c r="H80" s="90">
        <v>0</v>
      </c>
      <c r="I80" s="89">
        <v>100</v>
      </c>
      <c r="J80" s="89"/>
      <c r="K80" s="89"/>
    </row>
    <row r="81" s="17" customFormat="1" ht="13" customHeight="1" spans="1:11">
      <c r="A81" s="59">
        <v>67</v>
      </c>
      <c r="B81" s="87" t="s">
        <v>241</v>
      </c>
      <c r="C81" s="88">
        <v>31</v>
      </c>
      <c r="D81" s="88">
        <v>24</v>
      </c>
      <c r="E81" s="88">
        <v>744</v>
      </c>
      <c r="F81" s="88">
        <v>0</v>
      </c>
      <c r="G81" s="89"/>
      <c r="H81" s="90">
        <v>0</v>
      </c>
      <c r="I81" s="89">
        <v>100</v>
      </c>
      <c r="J81" s="89"/>
      <c r="K81" s="89"/>
    </row>
    <row r="82" s="17" customFormat="1" ht="13" customHeight="1" spans="1:11">
      <c r="A82" s="59">
        <v>68</v>
      </c>
      <c r="B82" s="87" t="s">
        <v>176</v>
      </c>
      <c r="C82" s="88">
        <v>31</v>
      </c>
      <c r="D82" s="88">
        <v>24</v>
      </c>
      <c r="E82" s="88">
        <v>744</v>
      </c>
      <c r="F82" s="88">
        <v>744</v>
      </c>
      <c r="G82" s="89"/>
      <c r="H82" s="90">
        <v>1</v>
      </c>
      <c r="I82" s="89">
        <v>100</v>
      </c>
      <c r="J82" s="89"/>
      <c r="K82" s="89"/>
    </row>
    <row r="83" s="17" customFormat="1" ht="13" customHeight="1" spans="1:11">
      <c r="A83" s="59">
        <v>69</v>
      </c>
      <c r="B83" s="87" t="s">
        <v>177</v>
      </c>
      <c r="C83" s="88">
        <v>31</v>
      </c>
      <c r="D83" s="88">
        <v>24</v>
      </c>
      <c r="E83" s="88">
        <v>744</v>
      </c>
      <c r="F83" s="88">
        <v>719.5</v>
      </c>
      <c r="G83" s="89"/>
      <c r="H83" s="90">
        <v>0.967069892473118</v>
      </c>
      <c r="I83" s="89">
        <v>100</v>
      </c>
      <c r="J83" s="89"/>
      <c r="K83" s="89"/>
    </row>
    <row r="84" s="17" customFormat="1" ht="13" customHeight="1" spans="1:11">
      <c r="A84" s="59">
        <v>70</v>
      </c>
      <c r="B84" s="87" t="s">
        <v>178</v>
      </c>
      <c r="C84" s="88">
        <v>31</v>
      </c>
      <c r="D84" s="88">
        <v>24</v>
      </c>
      <c r="E84" s="88">
        <v>744</v>
      </c>
      <c r="F84" s="88">
        <v>744</v>
      </c>
      <c r="G84" s="89"/>
      <c r="H84" s="90">
        <v>1</v>
      </c>
      <c r="I84" s="89">
        <v>100</v>
      </c>
      <c r="J84" s="89"/>
      <c r="K84" s="89"/>
    </row>
    <row r="85" s="17" customFormat="1" ht="13" customHeight="1" spans="1:11">
      <c r="A85" s="59">
        <v>71</v>
      </c>
      <c r="B85" s="87" t="s">
        <v>179</v>
      </c>
      <c r="C85" s="88">
        <v>31</v>
      </c>
      <c r="D85" s="88">
        <v>24</v>
      </c>
      <c r="E85" s="88">
        <v>744</v>
      </c>
      <c r="F85" s="88">
        <v>744</v>
      </c>
      <c r="G85" s="89"/>
      <c r="H85" s="90">
        <v>1</v>
      </c>
      <c r="I85" s="89">
        <v>100</v>
      </c>
      <c r="J85" s="89"/>
      <c r="K85" s="89"/>
    </row>
    <row r="86" s="17" customFormat="1" ht="13" customHeight="1" spans="1:11">
      <c r="A86" s="59">
        <v>72</v>
      </c>
      <c r="B86" s="87" t="s">
        <v>180</v>
      </c>
      <c r="C86" s="88">
        <v>31</v>
      </c>
      <c r="D86" s="88">
        <v>24</v>
      </c>
      <c r="E86" s="88">
        <v>744</v>
      </c>
      <c r="F86" s="88">
        <v>744</v>
      </c>
      <c r="G86" s="89"/>
      <c r="H86" s="90">
        <v>1</v>
      </c>
      <c r="I86" s="89">
        <v>100</v>
      </c>
      <c r="J86" s="89"/>
      <c r="K86" s="89"/>
    </row>
    <row r="87" s="17" customFormat="1" ht="13" customHeight="1" spans="1:11">
      <c r="A87" s="59">
        <v>73</v>
      </c>
      <c r="B87" s="87" t="s">
        <v>181</v>
      </c>
      <c r="C87" s="88">
        <v>31</v>
      </c>
      <c r="D87" s="88">
        <v>24</v>
      </c>
      <c r="E87" s="88">
        <v>744</v>
      </c>
      <c r="F87" s="88">
        <v>744</v>
      </c>
      <c r="G87" s="89"/>
      <c r="H87" s="90">
        <v>1</v>
      </c>
      <c r="I87" s="89">
        <v>100</v>
      </c>
      <c r="J87" s="89"/>
      <c r="K87" s="89"/>
    </row>
    <row r="88" s="17" customFormat="1" ht="13" customHeight="1" spans="1:11">
      <c r="A88" s="59">
        <v>74</v>
      </c>
      <c r="B88" s="87" t="s">
        <v>182</v>
      </c>
      <c r="C88" s="88">
        <v>31</v>
      </c>
      <c r="D88" s="88">
        <v>24</v>
      </c>
      <c r="E88" s="88">
        <v>744</v>
      </c>
      <c r="F88" s="88">
        <v>744</v>
      </c>
      <c r="G88" s="89"/>
      <c r="H88" s="90">
        <v>1</v>
      </c>
      <c r="I88" s="89">
        <v>100</v>
      </c>
      <c r="J88" s="89"/>
      <c r="K88" s="89"/>
    </row>
    <row r="89" s="17" customFormat="1" ht="13" customHeight="1" spans="1:11">
      <c r="A89" s="59">
        <v>75</v>
      </c>
      <c r="B89" s="87" t="s">
        <v>183</v>
      </c>
      <c r="C89" s="88">
        <v>31</v>
      </c>
      <c r="D89" s="88">
        <v>24</v>
      </c>
      <c r="E89" s="88">
        <v>744</v>
      </c>
      <c r="F89" s="88">
        <v>744</v>
      </c>
      <c r="G89" s="88"/>
      <c r="H89" s="90">
        <v>1</v>
      </c>
      <c r="I89" s="89">
        <v>100</v>
      </c>
      <c r="J89" s="89"/>
      <c r="K89" s="89"/>
    </row>
    <row r="90" s="17" customFormat="1" ht="13" customHeight="1" spans="1:11">
      <c r="A90" s="59">
        <v>76</v>
      </c>
      <c r="B90" s="87" t="s">
        <v>184</v>
      </c>
      <c r="C90" s="88">
        <v>31</v>
      </c>
      <c r="D90" s="88">
        <v>24</v>
      </c>
      <c r="E90" s="88">
        <v>744</v>
      </c>
      <c r="F90" s="88">
        <v>744</v>
      </c>
      <c r="G90" s="88"/>
      <c r="H90" s="90">
        <v>1</v>
      </c>
      <c r="I90" s="89">
        <v>100</v>
      </c>
      <c r="J90" s="89"/>
      <c r="K90" s="89"/>
    </row>
    <row r="91" s="17" customFormat="1" ht="13" customHeight="1" spans="1:11">
      <c r="A91" s="59">
        <v>77</v>
      </c>
      <c r="B91" s="87" t="s">
        <v>185</v>
      </c>
      <c r="C91" s="88">
        <v>31</v>
      </c>
      <c r="D91" s="88">
        <v>24</v>
      </c>
      <c r="E91" s="88">
        <v>744</v>
      </c>
      <c r="F91" s="88">
        <v>744</v>
      </c>
      <c r="G91" s="88"/>
      <c r="H91" s="90">
        <v>1</v>
      </c>
      <c r="I91" s="89">
        <v>100</v>
      </c>
      <c r="J91" s="88"/>
      <c r="K91" s="89"/>
    </row>
    <row r="92" s="17" customFormat="1" ht="13" customHeight="1" spans="1:11">
      <c r="A92" s="59">
        <v>78</v>
      </c>
      <c r="B92" s="87" t="s">
        <v>186</v>
      </c>
      <c r="C92" s="88">
        <v>31</v>
      </c>
      <c r="D92" s="88">
        <v>24</v>
      </c>
      <c r="E92" s="88">
        <v>744</v>
      </c>
      <c r="F92" s="88">
        <v>744</v>
      </c>
      <c r="G92" s="89"/>
      <c r="H92" s="90">
        <v>1</v>
      </c>
      <c r="I92" s="89">
        <v>100</v>
      </c>
      <c r="J92" s="88"/>
      <c r="K92" s="89"/>
    </row>
    <row r="93" s="17" customFormat="1" ht="13" customHeight="1" spans="1:11">
      <c r="A93" s="59">
        <v>79</v>
      </c>
      <c r="B93" s="87" t="s">
        <v>187</v>
      </c>
      <c r="C93" s="88">
        <v>31</v>
      </c>
      <c r="D93" s="88">
        <v>24</v>
      </c>
      <c r="E93" s="88">
        <v>744</v>
      </c>
      <c r="F93" s="88">
        <v>744</v>
      </c>
      <c r="G93" s="89"/>
      <c r="H93" s="90">
        <v>1</v>
      </c>
      <c r="I93" s="89">
        <v>100</v>
      </c>
      <c r="J93" s="88"/>
      <c r="K93" s="89"/>
    </row>
    <row r="94" s="17" customFormat="1" ht="13" customHeight="1" spans="1:11">
      <c r="A94" s="59">
        <v>80</v>
      </c>
      <c r="B94" s="87" t="s">
        <v>188</v>
      </c>
      <c r="C94" s="88">
        <v>31</v>
      </c>
      <c r="D94" s="88">
        <v>24</v>
      </c>
      <c r="E94" s="88">
        <v>744</v>
      </c>
      <c r="F94" s="88">
        <v>0</v>
      </c>
      <c r="G94" s="89"/>
      <c r="H94" s="90">
        <v>0</v>
      </c>
      <c r="I94" s="89">
        <v>100</v>
      </c>
      <c r="J94" s="105"/>
      <c r="K94" s="89"/>
    </row>
    <row r="95" s="17" customFormat="1" ht="13" customHeight="1" spans="1:11">
      <c r="A95" s="59">
        <v>81</v>
      </c>
      <c r="B95" s="87" t="s">
        <v>189</v>
      </c>
      <c r="C95" s="88">
        <v>31</v>
      </c>
      <c r="D95" s="88">
        <v>24</v>
      </c>
      <c r="E95" s="88">
        <v>744</v>
      </c>
      <c r="F95" s="88">
        <v>0</v>
      </c>
      <c r="G95" s="89"/>
      <c r="H95" s="91">
        <v>0</v>
      </c>
      <c r="I95" s="89">
        <v>100</v>
      </c>
      <c r="J95" s="105"/>
      <c r="K95" s="89"/>
    </row>
    <row r="96" s="17" customFormat="1" ht="13" customHeight="1" spans="1:11">
      <c r="A96" s="42" t="s">
        <v>196</v>
      </c>
      <c r="B96" s="43"/>
      <c r="C96" s="42"/>
      <c r="D96" s="42"/>
      <c r="E96" s="42" t="s">
        <v>197</v>
      </c>
      <c r="F96" s="42"/>
      <c r="G96" s="43"/>
      <c r="H96" s="42"/>
      <c r="I96" s="42" t="s">
        <v>198</v>
      </c>
      <c r="J96" s="43"/>
      <c r="K96" s="42"/>
    </row>
    <row r="97" s="17" customFormat="1" ht="37" customHeight="1" spans="1:11">
      <c r="A97" s="31" t="s">
        <v>242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</row>
    <row r="98" s="17" customFormat="1" ht="21" customHeight="1" spans="1:11">
      <c r="A98" s="21" t="s">
        <v>222</v>
      </c>
      <c r="B98" s="21" t="s">
        <v>223</v>
      </c>
      <c r="C98" s="23" t="s">
        <v>224</v>
      </c>
      <c r="D98" s="23" t="s">
        <v>225</v>
      </c>
      <c r="E98" s="23" t="s">
        <v>226</v>
      </c>
      <c r="F98" s="23" t="s">
        <v>227</v>
      </c>
      <c r="G98" s="23" t="s">
        <v>228</v>
      </c>
      <c r="H98" s="23" t="s">
        <v>229</v>
      </c>
      <c r="I98" s="23" t="s">
        <v>230</v>
      </c>
      <c r="J98" s="21" t="s">
        <v>231</v>
      </c>
      <c r="K98" s="21" t="s">
        <v>232</v>
      </c>
    </row>
    <row r="99" s="17" customFormat="1" ht="13" customHeight="1" spans="1:11">
      <c r="A99" s="36">
        <v>82</v>
      </c>
      <c r="B99" s="92" t="s">
        <v>190</v>
      </c>
      <c r="C99" s="93">
        <v>31</v>
      </c>
      <c r="D99" s="93">
        <v>24</v>
      </c>
      <c r="E99" s="93">
        <v>744</v>
      </c>
      <c r="F99" s="93">
        <v>744</v>
      </c>
      <c r="G99" s="94"/>
      <c r="H99" s="95">
        <v>1</v>
      </c>
      <c r="I99" s="96">
        <v>100</v>
      </c>
      <c r="J99" s="105"/>
      <c r="K99" s="105"/>
    </row>
    <row r="100" s="17" customFormat="1" ht="13" customHeight="1" spans="1:11">
      <c r="A100" s="36">
        <v>83</v>
      </c>
      <c r="B100" s="92" t="s">
        <v>191</v>
      </c>
      <c r="C100" s="93">
        <v>31</v>
      </c>
      <c r="D100" s="93">
        <v>24</v>
      </c>
      <c r="E100" s="93">
        <v>744</v>
      </c>
      <c r="F100" s="93">
        <v>744</v>
      </c>
      <c r="G100" s="96"/>
      <c r="H100" s="95">
        <v>1</v>
      </c>
      <c r="I100" s="94">
        <v>100</v>
      </c>
      <c r="J100" s="105"/>
      <c r="K100" s="105"/>
    </row>
    <row r="101" s="17" customFormat="1" ht="13" customHeight="1" spans="1:11">
      <c r="A101" s="36">
        <v>84</v>
      </c>
      <c r="B101" s="92" t="s">
        <v>192</v>
      </c>
      <c r="C101" s="93">
        <v>31</v>
      </c>
      <c r="D101" s="93">
        <v>24</v>
      </c>
      <c r="E101" s="93">
        <v>744</v>
      </c>
      <c r="F101" s="93">
        <v>744</v>
      </c>
      <c r="G101" s="96"/>
      <c r="H101" s="95">
        <v>1</v>
      </c>
      <c r="I101" s="94">
        <v>100</v>
      </c>
      <c r="J101" s="105"/>
      <c r="K101" s="105"/>
    </row>
    <row r="102" s="17" customFormat="1" ht="13" customHeight="1" spans="1:11">
      <c r="A102" s="36">
        <v>85</v>
      </c>
      <c r="B102" s="92" t="s">
        <v>193</v>
      </c>
      <c r="C102" s="93">
        <v>31</v>
      </c>
      <c r="D102" s="93">
        <v>24</v>
      </c>
      <c r="E102" s="93">
        <v>744</v>
      </c>
      <c r="F102" s="93">
        <v>744</v>
      </c>
      <c r="G102" s="96"/>
      <c r="H102" s="95">
        <v>1</v>
      </c>
      <c r="I102" s="94">
        <v>100</v>
      </c>
      <c r="J102" s="105"/>
      <c r="K102" s="105"/>
    </row>
    <row r="103" s="17" customFormat="1" ht="13" customHeight="1" spans="1:11">
      <c r="A103" s="36">
        <v>86</v>
      </c>
      <c r="B103" s="92" t="s">
        <v>243</v>
      </c>
      <c r="C103" s="93">
        <v>31</v>
      </c>
      <c r="D103" s="93">
        <v>24</v>
      </c>
      <c r="E103" s="93">
        <v>744</v>
      </c>
      <c r="F103" s="93">
        <v>744</v>
      </c>
      <c r="G103" s="93"/>
      <c r="H103" s="95">
        <v>1</v>
      </c>
      <c r="I103" s="94">
        <v>100</v>
      </c>
      <c r="J103" s="105"/>
      <c r="K103" s="105"/>
    </row>
    <row r="104" s="17" customFormat="1" ht="13" customHeight="1" spans="1:11">
      <c r="A104" s="36">
        <v>87</v>
      </c>
      <c r="B104" s="92" t="s">
        <v>244</v>
      </c>
      <c r="C104" s="93">
        <v>31</v>
      </c>
      <c r="D104" s="93">
        <v>24</v>
      </c>
      <c r="E104" s="93">
        <v>744</v>
      </c>
      <c r="F104" s="93">
        <v>384</v>
      </c>
      <c r="G104" s="96"/>
      <c r="H104" s="95">
        <v>0.516129032258065</v>
      </c>
      <c r="I104" s="94">
        <v>100</v>
      </c>
      <c r="J104" s="105"/>
      <c r="K104" s="105"/>
    </row>
    <row r="105" s="17" customFormat="1" ht="13" customHeight="1" spans="1:11">
      <c r="A105" s="36">
        <v>88</v>
      </c>
      <c r="B105" s="92" t="s">
        <v>245</v>
      </c>
      <c r="C105" s="93">
        <v>31</v>
      </c>
      <c r="D105" s="93">
        <v>24</v>
      </c>
      <c r="E105" s="93">
        <v>744</v>
      </c>
      <c r="F105" s="93">
        <v>744</v>
      </c>
      <c r="G105" s="96"/>
      <c r="H105" s="95">
        <v>1</v>
      </c>
      <c r="I105" s="94">
        <v>100</v>
      </c>
      <c r="J105" s="105"/>
      <c r="K105" s="105"/>
    </row>
    <row r="106" s="17" customFormat="1" ht="13" customHeight="1" spans="1:11">
      <c r="A106" s="36">
        <v>89</v>
      </c>
      <c r="B106" s="92" t="s">
        <v>246</v>
      </c>
      <c r="C106" s="93">
        <v>31</v>
      </c>
      <c r="D106" s="93">
        <v>24</v>
      </c>
      <c r="E106" s="93">
        <v>744</v>
      </c>
      <c r="F106" s="93">
        <v>744</v>
      </c>
      <c r="G106" s="96"/>
      <c r="H106" s="95">
        <v>1</v>
      </c>
      <c r="I106" s="94">
        <v>100</v>
      </c>
      <c r="J106" s="105"/>
      <c r="K106" s="105"/>
    </row>
    <row r="107" s="17" customFormat="1" ht="13" customHeight="1" spans="1:11">
      <c r="A107" s="36">
        <v>90</v>
      </c>
      <c r="B107" s="92" t="s">
        <v>247</v>
      </c>
      <c r="C107" s="93">
        <v>31</v>
      </c>
      <c r="D107" s="93">
        <v>24</v>
      </c>
      <c r="E107" s="93">
        <v>744</v>
      </c>
      <c r="F107" s="93">
        <v>744</v>
      </c>
      <c r="G107" s="96"/>
      <c r="H107" s="95">
        <v>1</v>
      </c>
      <c r="I107" s="94">
        <v>100</v>
      </c>
      <c r="J107" s="105"/>
      <c r="K107" s="105"/>
    </row>
    <row r="108" s="17" customFormat="1" ht="13" customHeight="1" spans="1:11">
      <c r="A108" s="36">
        <v>91</v>
      </c>
      <c r="B108" s="92" t="s">
        <v>248</v>
      </c>
      <c r="C108" s="93">
        <v>31</v>
      </c>
      <c r="D108" s="93">
        <v>24</v>
      </c>
      <c r="E108" s="93">
        <v>744</v>
      </c>
      <c r="F108" s="93">
        <v>744</v>
      </c>
      <c r="G108" s="96"/>
      <c r="H108" s="95">
        <v>1</v>
      </c>
      <c r="I108" s="94">
        <v>100</v>
      </c>
      <c r="J108" s="105"/>
      <c r="K108" s="105"/>
    </row>
    <row r="109" s="17" customFormat="1" ht="13" customHeight="1" spans="1:11">
      <c r="A109" s="36">
        <v>92</v>
      </c>
      <c r="B109" s="92" t="s">
        <v>249</v>
      </c>
      <c r="C109" s="93">
        <v>31</v>
      </c>
      <c r="D109" s="93">
        <v>24</v>
      </c>
      <c r="E109" s="93">
        <v>744</v>
      </c>
      <c r="F109" s="93">
        <v>744</v>
      </c>
      <c r="G109" s="96"/>
      <c r="H109" s="95">
        <v>1</v>
      </c>
      <c r="I109" s="94">
        <v>100</v>
      </c>
      <c r="J109" s="105"/>
      <c r="K109" s="105"/>
    </row>
    <row r="110" s="17" customFormat="1" ht="13" customHeight="1" spans="1:11">
      <c r="A110" s="36">
        <v>93</v>
      </c>
      <c r="B110" s="92" t="s">
        <v>250</v>
      </c>
      <c r="C110" s="93">
        <v>31</v>
      </c>
      <c r="D110" s="93">
        <v>24</v>
      </c>
      <c r="E110" s="93">
        <v>744</v>
      </c>
      <c r="F110" s="93">
        <v>0</v>
      </c>
      <c r="G110" s="96"/>
      <c r="H110" s="95">
        <v>0</v>
      </c>
      <c r="I110" s="94">
        <v>100</v>
      </c>
      <c r="J110" s="105"/>
      <c r="K110" s="105"/>
    </row>
    <row r="111" s="17" customFormat="1" ht="13" customHeight="1" spans="1:11">
      <c r="A111" s="36">
        <v>94</v>
      </c>
      <c r="B111" s="92" t="s">
        <v>251</v>
      </c>
      <c r="C111" s="93">
        <v>31</v>
      </c>
      <c r="D111" s="93">
        <v>24</v>
      </c>
      <c r="E111" s="93">
        <v>744</v>
      </c>
      <c r="F111" s="93">
        <v>744</v>
      </c>
      <c r="G111" s="96"/>
      <c r="H111" s="95">
        <v>1</v>
      </c>
      <c r="I111" s="94">
        <v>100</v>
      </c>
      <c r="J111" s="105"/>
      <c r="K111" s="105"/>
    </row>
    <row r="112" s="17" customFormat="1" ht="13" customHeight="1" spans="1:11">
      <c r="A112" s="36">
        <v>95</v>
      </c>
      <c r="B112" s="92" t="s">
        <v>252</v>
      </c>
      <c r="C112" s="93">
        <v>31</v>
      </c>
      <c r="D112" s="93">
        <v>24</v>
      </c>
      <c r="E112" s="93">
        <v>744</v>
      </c>
      <c r="F112" s="93">
        <v>744</v>
      </c>
      <c r="G112" s="96"/>
      <c r="H112" s="95">
        <v>1</v>
      </c>
      <c r="I112" s="94">
        <v>100</v>
      </c>
      <c r="J112" s="105"/>
      <c r="K112" s="105"/>
    </row>
    <row r="113" s="17" customFormat="1" ht="13" customHeight="1" spans="1:11">
      <c r="A113" s="36">
        <v>96</v>
      </c>
      <c r="B113" s="92" t="s">
        <v>253</v>
      </c>
      <c r="C113" s="93">
        <v>31</v>
      </c>
      <c r="D113" s="93">
        <v>24</v>
      </c>
      <c r="E113" s="93">
        <v>744</v>
      </c>
      <c r="F113" s="93">
        <v>0</v>
      </c>
      <c r="G113" s="96"/>
      <c r="H113" s="95">
        <v>0</v>
      </c>
      <c r="I113" s="94">
        <v>100</v>
      </c>
      <c r="J113" s="105"/>
      <c r="K113" s="105"/>
    </row>
    <row r="114" s="17" customFormat="1" ht="13" customHeight="1" spans="1:11">
      <c r="A114" s="36">
        <v>97</v>
      </c>
      <c r="B114" s="92" t="s">
        <v>254</v>
      </c>
      <c r="C114" s="93">
        <v>31</v>
      </c>
      <c r="D114" s="93">
        <v>24</v>
      </c>
      <c r="E114" s="93">
        <v>744</v>
      </c>
      <c r="F114" s="93">
        <v>744</v>
      </c>
      <c r="G114" s="96"/>
      <c r="H114" s="95">
        <v>1</v>
      </c>
      <c r="I114" s="94">
        <v>100</v>
      </c>
      <c r="J114" s="105"/>
      <c r="K114" s="105"/>
    </row>
    <row r="115" s="17" customFormat="1" ht="13" customHeight="1" spans="1:11">
      <c r="A115" s="36">
        <v>98</v>
      </c>
      <c r="B115" s="97" t="s">
        <v>255</v>
      </c>
      <c r="C115" s="93">
        <v>31</v>
      </c>
      <c r="D115" s="93">
        <v>24</v>
      </c>
      <c r="E115" s="93">
        <v>744</v>
      </c>
      <c r="F115" s="93">
        <v>536</v>
      </c>
      <c r="G115" s="96">
        <v>2</v>
      </c>
      <c r="H115" s="95">
        <v>0.720430107526882</v>
      </c>
      <c r="I115" s="94">
        <v>99.7</v>
      </c>
      <c r="J115" s="106" t="s">
        <v>256</v>
      </c>
      <c r="K115" s="106"/>
    </row>
    <row r="116" s="17" customFormat="1" ht="13" customHeight="1" spans="1:11">
      <c r="A116" s="36">
        <v>99</v>
      </c>
      <c r="B116" s="97" t="s">
        <v>257</v>
      </c>
      <c r="C116" s="93">
        <v>31</v>
      </c>
      <c r="D116" s="93">
        <v>24</v>
      </c>
      <c r="E116" s="93">
        <v>744</v>
      </c>
      <c r="F116" s="93">
        <v>206</v>
      </c>
      <c r="G116" s="96"/>
      <c r="H116" s="95">
        <v>0.276881720430108</v>
      </c>
      <c r="I116" s="94">
        <v>100</v>
      </c>
      <c r="J116" s="107"/>
      <c r="K116" s="106"/>
    </row>
    <row r="117" s="17" customFormat="1" ht="13" customHeight="1" spans="1:11">
      <c r="A117" s="36">
        <v>100</v>
      </c>
      <c r="B117" s="97" t="s">
        <v>258</v>
      </c>
      <c r="C117" s="93">
        <v>31</v>
      </c>
      <c r="D117" s="93">
        <v>24</v>
      </c>
      <c r="E117" s="93">
        <v>744</v>
      </c>
      <c r="F117" s="93">
        <v>96</v>
      </c>
      <c r="G117" s="96"/>
      <c r="H117" s="95">
        <v>0.129032258064516</v>
      </c>
      <c r="I117" s="94">
        <v>100</v>
      </c>
      <c r="J117" s="106"/>
      <c r="K117" s="106"/>
    </row>
    <row r="118" s="17" customFormat="1" ht="13" customHeight="1" spans="1:11">
      <c r="A118" s="36">
        <v>101</v>
      </c>
      <c r="B118" s="97" t="s">
        <v>259</v>
      </c>
      <c r="C118" s="93">
        <v>31</v>
      </c>
      <c r="D118" s="93">
        <v>24</v>
      </c>
      <c r="E118" s="93">
        <v>744</v>
      </c>
      <c r="F118" s="93">
        <v>648</v>
      </c>
      <c r="G118" s="96"/>
      <c r="H118" s="95">
        <v>0.870967741935484</v>
      </c>
      <c r="I118" s="96">
        <v>100</v>
      </c>
      <c r="J118" s="108"/>
      <c r="K118" s="106"/>
    </row>
    <row r="119" s="17" customFormat="1" ht="13" customHeight="1" spans="1:11">
      <c r="A119" s="36">
        <v>102</v>
      </c>
      <c r="B119" s="97" t="s">
        <v>260</v>
      </c>
      <c r="C119" s="93">
        <v>31</v>
      </c>
      <c r="D119" s="93">
        <v>24</v>
      </c>
      <c r="E119" s="93">
        <v>744</v>
      </c>
      <c r="F119" s="93">
        <v>744</v>
      </c>
      <c r="G119" s="96"/>
      <c r="H119" s="95">
        <v>1</v>
      </c>
      <c r="I119" s="96">
        <v>100</v>
      </c>
      <c r="J119" s="106"/>
      <c r="K119" s="106"/>
    </row>
    <row r="120" s="17" customFormat="1" ht="13" customHeight="1" spans="1:11">
      <c r="A120" s="36">
        <v>103</v>
      </c>
      <c r="B120" s="97" t="s">
        <v>261</v>
      </c>
      <c r="C120" s="93">
        <v>31</v>
      </c>
      <c r="D120" s="93">
        <v>24</v>
      </c>
      <c r="E120" s="93">
        <v>744</v>
      </c>
      <c r="F120" s="93">
        <v>744</v>
      </c>
      <c r="G120" s="93"/>
      <c r="H120" s="95">
        <v>1</v>
      </c>
      <c r="I120" s="96">
        <v>100</v>
      </c>
      <c r="J120" s="109"/>
      <c r="K120" s="109"/>
    </row>
    <row r="121" s="17" customFormat="1" ht="13" customHeight="1" spans="1:11">
      <c r="A121" s="36">
        <v>104</v>
      </c>
      <c r="B121" s="97" t="s">
        <v>262</v>
      </c>
      <c r="C121" s="93">
        <v>31</v>
      </c>
      <c r="D121" s="93">
        <v>24</v>
      </c>
      <c r="E121" s="93">
        <v>744</v>
      </c>
      <c r="F121" s="93">
        <v>0</v>
      </c>
      <c r="G121" s="93"/>
      <c r="H121" s="95">
        <v>0</v>
      </c>
      <c r="I121" s="96">
        <v>100</v>
      </c>
      <c r="J121" s="110"/>
      <c r="K121" s="109"/>
    </row>
    <row r="122" s="17" customFormat="1" ht="13" customHeight="1" spans="1:11">
      <c r="A122" s="36">
        <v>105</v>
      </c>
      <c r="B122" s="97" t="s">
        <v>263</v>
      </c>
      <c r="C122" s="93">
        <v>31</v>
      </c>
      <c r="D122" s="93">
        <v>24</v>
      </c>
      <c r="E122" s="93">
        <v>744</v>
      </c>
      <c r="F122" s="93">
        <v>192.5</v>
      </c>
      <c r="G122" s="93"/>
      <c r="H122" s="95">
        <v>0.258736559139785</v>
      </c>
      <c r="I122" s="96">
        <v>100</v>
      </c>
      <c r="J122" s="110"/>
      <c r="K122" s="109"/>
    </row>
    <row r="123" s="17" customFormat="1" ht="13" customHeight="1" spans="1:11">
      <c r="A123" s="36">
        <v>106</v>
      </c>
      <c r="B123" s="97" t="s">
        <v>264</v>
      </c>
      <c r="C123" s="93">
        <v>31</v>
      </c>
      <c r="D123" s="93">
        <v>24</v>
      </c>
      <c r="E123" s="93">
        <v>744</v>
      </c>
      <c r="F123" s="93">
        <v>744</v>
      </c>
      <c r="G123" s="93"/>
      <c r="H123" s="95">
        <v>1</v>
      </c>
      <c r="I123" s="96">
        <v>100</v>
      </c>
      <c r="J123" s="109"/>
      <c r="K123" s="109"/>
    </row>
    <row r="124" s="17" customFormat="1" ht="13" customHeight="1" spans="1:11">
      <c r="A124" s="36">
        <v>107</v>
      </c>
      <c r="B124" s="97" t="s">
        <v>265</v>
      </c>
      <c r="C124" s="93">
        <v>31</v>
      </c>
      <c r="D124" s="93">
        <v>24</v>
      </c>
      <c r="E124" s="93">
        <v>744</v>
      </c>
      <c r="F124" s="96">
        <v>50.5</v>
      </c>
      <c r="G124" s="96"/>
      <c r="H124" s="95">
        <v>0.0678763440860215</v>
      </c>
      <c r="I124" s="96">
        <v>100</v>
      </c>
      <c r="J124" s="106"/>
      <c r="K124" s="111"/>
    </row>
    <row r="125" s="17" customFormat="1" ht="11" customHeight="1" spans="1:11">
      <c r="A125" s="84" t="s">
        <v>87</v>
      </c>
      <c r="B125" s="86"/>
      <c r="C125" s="58"/>
      <c r="D125" s="58"/>
      <c r="E125" s="58"/>
      <c r="F125" s="58"/>
      <c r="G125" s="58"/>
      <c r="H125" s="58"/>
      <c r="I125" s="58"/>
      <c r="J125" s="73"/>
      <c r="K125" s="112"/>
    </row>
    <row r="126" s="17" customFormat="1" ht="13" customHeight="1" spans="1:11">
      <c r="A126" s="36">
        <v>108</v>
      </c>
      <c r="B126" s="98" t="s">
        <v>266</v>
      </c>
      <c r="C126" s="99">
        <v>31</v>
      </c>
      <c r="D126" s="99">
        <v>24</v>
      </c>
      <c r="E126" s="99">
        <v>744</v>
      </c>
      <c r="F126" s="99">
        <v>0</v>
      </c>
      <c r="G126" s="99"/>
      <c r="H126" s="100">
        <v>0</v>
      </c>
      <c r="I126" s="99">
        <v>100</v>
      </c>
      <c r="J126" s="113"/>
      <c r="K126" s="113"/>
    </row>
    <row r="127" s="17" customFormat="1" ht="13" customHeight="1" spans="1:11">
      <c r="A127" s="59">
        <v>109</v>
      </c>
      <c r="B127" s="98" t="s">
        <v>267</v>
      </c>
      <c r="C127" s="99">
        <v>31</v>
      </c>
      <c r="D127" s="99">
        <v>24</v>
      </c>
      <c r="E127" s="99">
        <v>744</v>
      </c>
      <c r="F127" s="99">
        <v>744</v>
      </c>
      <c r="G127" s="101"/>
      <c r="H127" s="100">
        <v>1</v>
      </c>
      <c r="I127" s="99">
        <v>100</v>
      </c>
      <c r="J127" s="101"/>
      <c r="K127" s="113"/>
    </row>
    <row r="128" s="17" customFormat="1" ht="13" customHeight="1" spans="1:11">
      <c r="A128" s="42" t="s">
        <v>196</v>
      </c>
      <c r="B128" s="43"/>
      <c r="C128" s="42"/>
      <c r="D128" s="42"/>
      <c r="E128" s="42" t="s">
        <v>197</v>
      </c>
      <c r="F128" s="42"/>
      <c r="G128" s="43"/>
      <c r="H128" s="42"/>
      <c r="I128" s="42" t="s">
        <v>198</v>
      </c>
      <c r="J128" s="43"/>
      <c r="K128" s="42"/>
    </row>
    <row r="129" s="17" customFormat="1" ht="45" customHeight="1" spans="1:11">
      <c r="A129" s="31" t="s">
        <v>268</v>
      </c>
      <c r="B129" s="32"/>
      <c r="C129" s="32"/>
      <c r="D129" s="32"/>
      <c r="E129" s="32"/>
      <c r="F129" s="32"/>
      <c r="G129" s="32"/>
      <c r="H129" s="32"/>
      <c r="I129" s="32"/>
      <c r="J129" s="32"/>
      <c r="K129" s="32"/>
    </row>
    <row r="130" s="17" customFormat="1" ht="15.75" customHeight="1" spans="1:11">
      <c r="A130" s="21" t="s">
        <v>157</v>
      </c>
      <c r="B130" s="21" t="s">
        <v>158</v>
      </c>
      <c r="C130" s="23" t="s">
        <v>159</v>
      </c>
      <c r="D130" s="23" t="s">
        <v>160</v>
      </c>
      <c r="E130" s="23" t="s">
        <v>161</v>
      </c>
      <c r="F130" s="23" t="s">
        <v>162</v>
      </c>
      <c r="G130" s="23" t="s">
        <v>163</v>
      </c>
      <c r="H130" s="23" t="s">
        <v>164</v>
      </c>
      <c r="I130" s="23" t="s">
        <v>165</v>
      </c>
      <c r="J130" s="21" t="s">
        <v>166</v>
      </c>
      <c r="K130" s="21" t="s">
        <v>167</v>
      </c>
    </row>
    <row r="131" s="17" customFormat="1" customHeight="1" spans="1:1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</row>
    <row r="132" s="17" customFormat="1" ht="13" customHeight="1" spans="1:11">
      <c r="A132" s="114">
        <v>110</v>
      </c>
      <c r="B132" s="115" t="s">
        <v>269</v>
      </c>
      <c r="C132" s="116">
        <v>31</v>
      </c>
      <c r="D132" s="116">
        <v>24</v>
      </c>
      <c r="E132" s="116">
        <v>744</v>
      </c>
      <c r="F132" s="116">
        <v>0</v>
      </c>
      <c r="G132" s="117"/>
      <c r="H132" s="118">
        <v>0</v>
      </c>
      <c r="I132" s="162">
        <v>100</v>
      </c>
      <c r="J132" s="117"/>
      <c r="K132" s="163"/>
    </row>
    <row r="133" s="17" customFormat="1" ht="13" customHeight="1" spans="1:11">
      <c r="A133" s="114">
        <v>111</v>
      </c>
      <c r="B133" s="115" t="s">
        <v>270</v>
      </c>
      <c r="C133" s="116">
        <v>31</v>
      </c>
      <c r="D133" s="116">
        <v>24</v>
      </c>
      <c r="E133" s="116">
        <v>744</v>
      </c>
      <c r="F133" s="116">
        <v>0</v>
      </c>
      <c r="G133" s="119"/>
      <c r="H133" s="118">
        <v>0</v>
      </c>
      <c r="I133" s="162">
        <v>100</v>
      </c>
      <c r="J133" s="164"/>
      <c r="K133" s="165"/>
    </row>
    <row r="134" s="17" customFormat="1" ht="13" customHeight="1" spans="1:11">
      <c r="A134" s="114">
        <v>112</v>
      </c>
      <c r="B134" s="115" t="s">
        <v>271</v>
      </c>
      <c r="C134" s="116">
        <v>31</v>
      </c>
      <c r="D134" s="116">
        <v>24</v>
      </c>
      <c r="E134" s="116">
        <v>744</v>
      </c>
      <c r="F134" s="116">
        <v>744</v>
      </c>
      <c r="G134" s="119"/>
      <c r="H134" s="118">
        <v>1</v>
      </c>
      <c r="I134" s="162">
        <v>100</v>
      </c>
      <c r="J134" s="166"/>
      <c r="K134" s="167"/>
    </row>
    <row r="135" s="17" customFormat="1" ht="13" customHeight="1" spans="1:11">
      <c r="A135" s="114">
        <v>113</v>
      </c>
      <c r="B135" s="115" t="s">
        <v>272</v>
      </c>
      <c r="C135" s="116">
        <v>31</v>
      </c>
      <c r="D135" s="116">
        <v>24</v>
      </c>
      <c r="E135" s="116">
        <v>744</v>
      </c>
      <c r="F135" s="116">
        <v>0</v>
      </c>
      <c r="G135" s="119"/>
      <c r="H135" s="118">
        <v>0</v>
      </c>
      <c r="I135" s="162">
        <v>100</v>
      </c>
      <c r="J135" s="168"/>
      <c r="K135" s="167"/>
    </row>
    <row r="136" s="17" customFormat="1" ht="13" customHeight="1" spans="1:11">
      <c r="A136" s="114">
        <v>114</v>
      </c>
      <c r="B136" s="115" t="s">
        <v>273</v>
      </c>
      <c r="C136" s="116">
        <v>31</v>
      </c>
      <c r="D136" s="116">
        <v>24</v>
      </c>
      <c r="E136" s="116">
        <v>744</v>
      </c>
      <c r="F136" s="116">
        <v>0</v>
      </c>
      <c r="G136" s="119"/>
      <c r="H136" s="118">
        <v>0</v>
      </c>
      <c r="I136" s="162">
        <v>100</v>
      </c>
      <c r="J136" s="119"/>
      <c r="K136" s="167"/>
    </row>
    <row r="137" s="17" customFormat="1" ht="13" customHeight="1" spans="1:11">
      <c r="A137" s="114">
        <v>115</v>
      </c>
      <c r="B137" s="120" t="s">
        <v>274</v>
      </c>
      <c r="C137" s="121">
        <v>31</v>
      </c>
      <c r="D137" s="121">
        <v>24</v>
      </c>
      <c r="E137" s="121">
        <v>744</v>
      </c>
      <c r="F137" s="121">
        <v>744</v>
      </c>
      <c r="G137" s="122"/>
      <c r="H137" s="123">
        <v>1</v>
      </c>
      <c r="I137" s="169">
        <v>100</v>
      </c>
      <c r="J137" s="164"/>
      <c r="K137" s="164"/>
    </row>
    <row r="138" s="17" customFormat="1" ht="13" customHeight="1" spans="1:11">
      <c r="A138" s="114">
        <v>116</v>
      </c>
      <c r="B138" s="120" t="s">
        <v>275</v>
      </c>
      <c r="C138" s="121">
        <v>31</v>
      </c>
      <c r="D138" s="121">
        <v>24</v>
      </c>
      <c r="E138" s="121">
        <v>744</v>
      </c>
      <c r="F138" s="121">
        <v>744</v>
      </c>
      <c r="G138" s="122"/>
      <c r="H138" s="123">
        <v>1</v>
      </c>
      <c r="I138" s="169">
        <v>100</v>
      </c>
      <c r="J138" s="164"/>
      <c r="K138" s="164"/>
    </row>
    <row r="139" s="17" customFormat="1" ht="13" customHeight="1" spans="1:11">
      <c r="A139" s="114">
        <v>117</v>
      </c>
      <c r="B139" s="120" t="s">
        <v>276</v>
      </c>
      <c r="C139" s="121">
        <v>31</v>
      </c>
      <c r="D139" s="121">
        <v>24</v>
      </c>
      <c r="E139" s="121">
        <v>744</v>
      </c>
      <c r="F139" s="121">
        <v>0</v>
      </c>
      <c r="G139" s="122"/>
      <c r="H139" s="123">
        <v>0</v>
      </c>
      <c r="I139" s="169">
        <v>100</v>
      </c>
      <c r="J139" s="164" t="s">
        <v>277</v>
      </c>
      <c r="K139" s="164"/>
    </row>
    <row r="140" s="17" customFormat="1" ht="13" customHeight="1" spans="1:11">
      <c r="A140" s="114">
        <v>118</v>
      </c>
      <c r="B140" s="120" t="s">
        <v>278</v>
      </c>
      <c r="C140" s="121">
        <v>31</v>
      </c>
      <c r="D140" s="121">
        <v>24</v>
      </c>
      <c r="E140" s="121">
        <v>744</v>
      </c>
      <c r="F140" s="121">
        <v>744</v>
      </c>
      <c r="G140" s="122"/>
      <c r="H140" s="123">
        <v>1</v>
      </c>
      <c r="I140" s="169">
        <v>100</v>
      </c>
      <c r="J140" s="164" t="s">
        <v>277</v>
      </c>
      <c r="K140" s="164"/>
    </row>
    <row r="141" s="17" customFormat="1" ht="13" customHeight="1" spans="1:11">
      <c r="A141" s="114">
        <v>119</v>
      </c>
      <c r="B141" s="120" t="s">
        <v>279</v>
      </c>
      <c r="C141" s="121">
        <v>31</v>
      </c>
      <c r="D141" s="121">
        <v>24</v>
      </c>
      <c r="E141" s="121">
        <v>744</v>
      </c>
      <c r="F141" s="121">
        <v>744</v>
      </c>
      <c r="G141" s="122"/>
      <c r="H141" s="123">
        <v>1</v>
      </c>
      <c r="I141" s="169">
        <v>100</v>
      </c>
      <c r="J141" s="164" t="s">
        <v>277</v>
      </c>
      <c r="K141" s="164"/>
    </row>
    <row r="142" s="17" customFormat="1" ht="13" customHeight="1" spans="1:11">
      <c r="A142" s="114">
        <v>120</v>
      </c>
      <c r="B142" s="120" t="s">
        <v>280</v>
      </c>
      <c r="C142" s="121">
        <v>31</v>
      </c>
      <c r="D142" s="121">
        <v>24</v>
      </c>
      <c r="E142" s="121">
        <v>744</v>
      </c>
      <c r="F142" s="121">
        <v>0</v>
      </c>
      <c r="G142" s="122"/>
      <c r="H142" s="123">
        <v>0</v>
      </c>
      <c r="I142" s="169">
        <v>100</v>
      </c>
      <c r="J142" s="164" t="s">
        <v>277</v>
      </c>
      <c r="K142" s="164"/>
    </row>
    <row r="143" s="17" customFormat="1" ht="13" customHeight="1" spans="1:11">
      <c r="A143" s="114">
        <v>121</v>
      </c>
      <c r="B143" s="120" t="s">
        <v>281</v>
      </c>
      <c r="C143" s="121">
        <v>31</v>
      </c>
      <c r="D143" s="121">
        <v>24</v>
      </c>
      <c r="E143" s="121">
        <v>744</v>
      </c>
      <c r="F143" s="121">
        <v>0</v>
      </c>
      <c r="G143" s="122"/>
      <c r="H143" s="123">
        <v>0</v>
      </c>
      <c r="I143" s="169">
        <v>100</v>
      </c>
      <c r="J143" s="170"/>
      <c r="K143" s="164"/>
    </row>
    <row r="144" s="17" customFormat="1" ht="13" customHeight="1" spans="1:11">
      <c r="A144" s="114">
        <v>122</v>
      </c>
      <c r="B144" s="120" t="s">
        <v>282</v>
      </c>
      <c r="C144" s="121">
        <v>31</v>
      </c>
      <c r="D144" s="121">
        <v>24</v>
      </c>
      <c r="E144" s="121">
        <v>744</v>
      </c>
      <c r="F144" s="121">
        <v>295.5</v>
      </c>
      <c r="G144" s="122"/>
      <c r="H144" s="123">
        <v>0.397177419354839</v>
      </c>
      <c r="I144" s="169">
        <v>100</v>
      </c>
      <c r="J144" s="170"/>
      <c r="K144" s="164"/>
    </row>
    <row r="145" s="17" customFormat="1" ht="13" customHeight="1" spans="1:11">
      <c r="A145" s="114">
        <v>123</v>
      </c>
      <c r="B145" s="120" t="s">
        <v>283</v>
      </c>
      <c r="C145" s="121">
        <v>31</v>
      </c>
      <c r="D145" s="121">
        <v>24</v>
      </c>
      <c r="E145" s="121">
        <v>744</v>
      </c>
      <c r="F145" s="121">
        <v>44</v>
      </c>
      <c r="G145" s="122"/>
      <c r="H145" s="123">
        <v>0.0591397849462366</v>
      </c>
      <c r="I145" s="169">
        <v>100</v>
      </c>
      <c r="J145" s="171"/>
      <c r="K145" s="172"/>
    </row>
    <row r="146" s="17" customFormat="1" ht="13" customHeight="1" spans="1:11">
      <c r="A146" s="114">
        <v>124</v>
      </c>
      <c r="B146" s="120" t="s">
        <v>284</v>
      </c>
      <c r="C146" s="121">
        <v>31</v>
      </c>
      <c r="D146" s="121">
        <v>24</v>
      </c>
      <c r="E146" s="121">
        <v>744</v>
      </c>
      <c r="F146" s="121">
        <v>744</v>
      </c>
      <c r="G146" s="122"/>
      <c r="H146" s="123">
        <v>1</v>
      </c>
      <c r="I146" s="169">
        <v>100</v>
      </c>
      <c r="J146" s="21"/>
      <c r="K146" s="109"/>
    </row>
    <row r="147" s="17" customFormat="1" ht="13" customHeight="1" spans="1:11">
      <c r="A147" s="33" t="s">
        <v>285</v>
      </c>
      <c r="B147" s="34"/>
      <c r="C147" s="34"/>
      <c r="D147" s="34"/>
      <c r="E147" s="34"/>
      <c r="F147" s="34"/>
      <c r="G147" s="34"/>
      <c r="H147" s="124"/>
      <c r="I147" s="34"/>
      <c r="J147" s="34"/>
      <c r="K147" s="173"/>
    </row>
    <row r="148" s="17" customFormat="1" ht="13" customHeight="1" spans="1:11">
      <c r="A148" s="21">
        <v>125</v>
      </c>
      <c r="B148" s="125" t="s">
        <v>286</v>
      </c>
      <c r="C148" s="126">
        <v>31</v>
      </c>
      <c r="D148" s="126">
        <v>24</v>
      </c>
      <c r="E148" s="126">
        <v>744</v>
      </c>
      <c r="F148" s="127">
        <v>0</v>
      </c>
      <c r="G148" s="128"/>
      <c r="H148" s="129">
        <v>0</v>
      </c>
      <c r="I148" s="174">
        <v>100</v>
      </c>
      <c r="J148" s="175"/>
      <c r="K148" s="127"/>
    </row>
    <row r="149" s="17" customFormat="1" ht="13" customHeight="1" spans="1:11">
      <c r="A149" s="21">
        <v>126</v>
      </c>
      <c r="B149" s="125" t="s">
        <v>287</v>
      </c>
      <c r="C149" s="126">
        <v>31</v>
      </c>
      <c r="D149" s="126">
        <v>24</v>
      </c>
      <c r="E149" s="126">
        <v>744</v>
      </c>
      <c r="F149" s="127">
        <v>0</v>
      </c>
      <c r="G149" s="128">
        <v>4</v>
      </c>
      <c r="H149" s="129">
        <v>0</v>
      </c>
      <c r="I149" s="174">
        <v>99.5</v>
      </c>
      <c r="J149" s="175" t="s">
        <v>288</v>
      </c>
      <c r="K149" s="127"/>
    </row>
    <row r="150" s="17" customFormat="1" ht="13" customHeight="1" spans="1:11">
      <c r="A150" s="21">
        <v>127</v>
      </c>
      <c r="B150" s="125" t="s">
        <v>289</v>
      </c>
      <c r="C150" s="126">
        <v>31</v>
      </c>
      <c r="D150" s="126">
        <v>24</v>
      </c>
      <c r="E150" s="126">
        <v>744</v>
      </c>
      <c r="F150" s="127">
        <v>124</v>
      </c>
      <c r="G150" s="128"/>
      <c r="H150" s="129">
        <v>0.166666666666667</v>
      </c>
      <c r="I150" s="174">
        <v>100</v>
      </c>
      <c r="J150" s="175"/>
      <c r="K150" s="127"/>
    </row>
    <row r="151" s="17" customFormat="1" ht="13" customHeight="1" spans="1:11">
      <c r="A151" s="21">
        <v>128</v>
      </c>
      <c r="B151" s="125" t="s">
        <v>290</v>
      </c>
      <c r="C151" s="126">
        <v>31</v>
      </c>
      <c r="D151" s="126">
        <v>24</v>
      </c>
      <c r="E151" s="126">
        <v>744</v>
      </c>
      <c r="F151" s="127">
        <v>124</v>
      </c>
      <c r="G151" s="128"/>
      <c r="H151" s="129">
        <v>0.166666666666667</v>
      </c>
      <c r="I151" s="174">
        <v>100</v>
      </c>
      <c r="J151" s="175"/>
      <c r="K151" s="127"/>
    </row>
    <row r="152" s="17" customFormat="1" ht="13" customHeight="1" spans="1:11">
      <c r="A152" s="21">
        <v>129</v>
      </c>
      <c r="B152" s="130" t="s">
        <v>291</v>
      </c>
      <c r="C152" s="131">
        <v>31</v>
      </c>
      <c r="D152" s="131">
        <v>24</v>
      </c>
      <c r="E152" s="131">
        <v>744</v>
      </c>
      <c r="F152" s="132">
        <v>124</v>
      </c>
      <c r="G152" s="133"/>
      <c r="H152" s="134">
        <v>0.166666666666667</v>
      </c>
      <c r="I152" s="176">
        <v>100</v>
      </c>
      <c r="J152" s="132"/>
      <c r="K152" s="132"/>
    </row>
    <row r="153" s="17" customFormat="1" ht="13" customHeight="1" spans="1:11">
      <c r="A153" s="21">
        <v>130</v>
      </c>
      <c r="B153" s="130" t="s">
        <v>292</v>
      </c>
      <c r="C153" s="131">
        <v>31</v>
      </c>
      <c r="D153" s="131">
        <v>24</v>
      </c>
      <c r="E153" s="131">
        <v>744</v>
      </c>
      <c r="F153" s="131">
        <v>124</v>
      </c>
      <c r="G153" s="135"/>
      <c r="H153" s="136">
        <v>0.166666666666667</v>
      </c>
      <c r="I153" s="176">
        <v>100</v>
      </c>
      <c r="J153" s="132"/>
      <c r="K153" s="132"/>
    </row>
    <row r="154" s="17" customFormat="1" ht="13" customHeight="1" spans="1:11">
      <c r="A154" s="21">
        <v>131</v>
      </c>
      <c r="B154" s="130" t="s">
        <v>293</v>
      </c>
      <c r="C154" s="131">
        <v>31</v>
      </c>
      <c r="D154" s="131">
        <v>24</v>
      </c>
      <c r="E154" s="131">
        <v>744</v>
      </c>
      <c r="F154" s="131">
        <v>154</v>
      </c>
      <c r="G154" s="135">
        <v>6</v>
      </c>
      <c r="H154" s="136">
        <v>0.206989247311828</v>
      </c>
      <c r="I154" s="176">
        <v>99.2</v>
      </c>
      <c r="J154" s="132" t="s">
        <v>294</v>
      </c>
      <c r="K154" s="132"/>
    </row>
    <row r="155" s="17" customFormat="1" ht="13" customHeight="1" spans="1:11">
      <c r="A155" s="21">
        <v>132</v>
      </c>
      <c r="B155" s="130" t="s">
        <v>295</v>
      </c>
      <c r="C155" s="131">
        <v>31</v>
      </c>
      <c r="D155" s="131">
        <v>24</v>
      </c>
      <c r="E155" s="131">
        <v>744</v>
      </c>
      <c r="F155" s="131">
        <v>238</v>
      </c>
      <c r="G155" s="135"/>
      <c r="H155" s="136">
        <v>0.31989247311828</v>
      </c>
      <c r="I155" s="176">
        <v>99</v>
      </c>
      <c r="J155" s="132" t="s">
        <v>296</v>
      </c>
      <c r="K155" s="132"/>
    </row>
    <row r="156" s="17" customFormat="1" ht="13" customHeight="1" spans="1:13">
      <c r="A156" s="21">
        <v>133</v>
      </c>
      <c r="B156" s="130" t="s">
        <v>297</v>
      </c>
      <c r="C156" s="131">
        <v>31</v>
      </c>
      <c r="D156" s="131">
        <v>24</v>
      </c>
      <c r="E156" s="131">
        <v>744</v>
      </c>
      <c r="F156" s="131">
        <v>248</v>
      </c>
      <c r="G156" s="135"/>
      <c r="H156" s="136">
        <v>0.333333333333333</v>
      </c>
      <c r="I156" s="176">
        <v>100</v>
      </c>
      <c r="J156" s="175"/>
      <c r="K156" s="132"/>
      <c r="M156" s="177" t="s">
        <v>298</v>
      </c>
    </row>
    <row r="157" s="17" customFormat="1" ht="13" customHeight="1" spans="1:11">
      <c r="A157" s="21">
        <v>134</v>
      </c>
      <c r="B157" s="130" t="s">
        <v>299</v>
      </c>
      <c r="C157" s="131">
        <v>31</v>
      </c>
      <c r="D157" s="131">
        <v>24</v>
      </c>
      <c r="E157" s="131">
        <v>744</v>
      </c>
      <c r="F157" s="131">
        <v>193</v>
      </c>
      <c r="G157" s="135">
        <v>6</v>
      </c>
      <c r="H157" s="136">
        <v>0.259408602150538</v>
      </c>
      <c r="I157" s="176">
        <v>99.2</v>
      </c>
      <c r="J157" s="175" t="s">
        <v>300</v>
      </c>
      <c r="K157" s="132"/>
    </row>
    <row r="158" s="17" customFormat="1" ht="13" customHeight="1" spans="1:11">
      <c r="A158" s="21">
        <v>135</v>
      </c>
      <c r="B158" s="130" t="s">
        <v>301</v>
      </c>
      <c r="C158" s="131">
        <v>31</v>
      </c>
      <c r="D158" s="131">
        <v>24</v>
      </c>
      <c r="E158" s="131">
        <v>744</v>
      </c>
      <c r="F158" s="137">
        <v>0</v>
      </c>
      <c r="G158" s="135"/>
      <c r="H158" s="136">
        <v>0</v>
      </c>
      <c r="I158" s="176">
        <v>100</v>
      </c>
      <c r="J158" s="176"/>
      <c r="K158" s="132"/>
    </row>
    <row r="159" s="17" customFormat="1" ht="13" customHeight="1" spans="1:11">
      <c r="A159" s="21">
        <v>136</v>
      </c>
      <c r="B159" s="138" t="s">
        <v>302</v>
      </c>
      <c r="C159" s="131">
        <v>31</v>
      </c>
      <c r="D159" s="131">
        <v>24</v>
      </c>
      <c r="E159" s="131">
        <v>744</v>
      </c>
      <c r="F159" s="137">
        <v>0</v>
      </c>
      <c r="G159" s="139"/>
      <c r="H159" s="136">
        <v>0</v>
      </c>
      <c r="I159" s="132">
        <v>100</v>
      </c>
      <c r="J159" s="132"/>
      <c r="K159" s="131"/>
    </row>
    <row r="160" s="17" customFormat="1" ht="13" customHeight="1" spans="1:11">
      <c r="A160" s="42" t="s">
        <v>196</v>
      </c>
      <c r="B160" s="43"/>
      <c r="C160" s="42"/>
      <c r="D160" s="42"/>
      <c r="E160" s="42" t="s">
        <v>197</v>
      </c>
      <c r="F160" s="42"/>
      <c r="G160" s="43"/>
      <c r="H160" s="42"/>
      <c r="I160" s="42" t="s">
        <v>198</v>
      </c>
      <c r="J160" s="43"/>
      <c r="K160" s="42"/>
    </row>
    <row r="161" s="17" customFormat="1" ht="38" customHeight="1" spans="1:11">
      <c r="A161" s="31" t="s">
        <v>303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</row>
    <row r="162" s="17" customFormat="1" ht="15" customHeight="1" spans="1:11">
      <c r="A162" s="21" t="s">
        <v>157</v>
      </c>
      <c r="B162" s="21" t="s">
        <v>158</v>
      </c>
      <c r="C162" s="23" t="s">
        <v>304</v>
      </c>
      <c r="D162" s="23" t="s">
        <v>305</v>
      </c>
      <c r="E162" s="23" t="s">
        <v>306</v>
      </c>
      <c r="F162" s="23" t="s">
        <v>307</v>
      </c>
      <c r="G162" s="23" t="s">
        <v>308</v>
      </c>
      <c r="H162" s="23" t="s">
        <v>309</v>
      </c>
      <c r="I162" s="23" t="s">
        <v>310</v>
      </c>
      <c r="J162" s="21" t="s">
        <v>166</v>
      </c>
      <c r="K162" s="21" t="s">
        <v>311</v>
      </c>
    </row>
    <row r="163" s="17" customFormat="1" ht="12" customHeight="1" spans="1:1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</row>
    <row r="164" s="17" customFormat="1" ht="13" customHeight="1" spans="1:11">
      <c r="A164" s="21">
        <v>137</v>
      </c>
      <c r="B164" s="140" t="s">
        <v>312</v>
      </c>
      <c r="C164" s="141">
        <v>31</v>
      </c>
      <c r="D164" s="141">
        <v>24</v>
      </c>
      <c r="E164" s="141">
        <v>744</v>
      </c>
      <c r="F164" s="142">
        <v>0</v>
      </c>
      <c r="G164" s="143"/>
      <c r="H164" s="144">
        <v>0</v>
      </c>
      <c r="I164" s="178">
        <v>100</v>
      </c>
      <c r="J164" s="178"/>
      <c r="K164" s="178"/>
    </row>
    <row r="165" s="17" customFormat="1" ht="13" customHeight="1" spans="1:11">
      <c r="A165" s="21">
        <v>138</v>
      </c>
      <c r="B165" s="145" t="s">
        <v>313</v>
      </c>
      <c r="C165" s="146">
        <v>31</v>
      </c>
      <c r="D165" s="146">
        <v>24</v>
      </c>
      <c r="E165" s="146">
        <v>744</v>
      </c>
      <c r="F165" s="142">
        <v>0</v>
      </c>
      <c r="G165" s="147"/>
      <c r="H165" s="148">
        <v>0</v>
      </c>
      <c r="I165" s="179">
        <v>100</v>
      </c>
      <c r="J165" s="147"/>
      <c r="K165" s="179"/>
    </row>
    <row r="166" s="17" customFormat="1" ht="13" customHeight="1" spans="1:11">
      <c r="A166" s="21">
        <v>139</v>
      </c>
      <c r="B166" s="149" t="s">
        <v>314</v>
      </c>
      <c r="C166" s="56">
        <v>31</v>
      </c>
      <c r="D166" s="56">
        <v>24</v>
      </c>
      <c r="E166" s="56">
        <v>744</v>
      </c>
      <c r="F166" s="142">
        <v>0</v>
      </c>
      <c r="G166" s="150"/>
      <c r="H166" s="151">
        <v>0</v>
      </c>
      <c r="I166" s="180">
        <v>100</v>
      </c>
      <c r="J166" s="181"/>
      <c r="K166" s="179"/>
    </row>
    <row r="167" s="17" customFormat="1" ht="13" customHeight="1" spans="1:11">
      <c r="A167" s="21">
        <v>140</v>
      </c>
      <c r="B167" s="145" t="s">
        <v>315</v>
      </c>
      <c r="C167" s="146">
        <v>31</v>
      </c>
      <c r="D167" s="146">
        <v>24</v>
      </c>
      <c r="E167" s="146">
        <v>744</v>
      </c>
      <c r="F167" s="142">
        <v>722</v>
      </c>
      <c r="G167" s="147"/>
      <c r="H167" s="148">
        <v>0.970430107526882</v>
      </c>
      <c r="I167" s="179">
        <v>100</v>
      </c>
      <c r="J167" s="182"/>
      <c r="K167" s="179"/>
    </row>
    <row r="168" s="17" customFormat="1" ht="13" customHeight="1" spans="1:11">
      <c r="A168" s="21">
        <v>141</v>
      </c>
      <c r="B168" s="145" t="s">
        <v>316</v>
      </c>
      <c r="C168" s="146">
        <v>31</v>
      </c>
      <c r="D168" s="146">
        <v>24</v>
      </c>
      <c r="E168" s="146">
        <v>744</v>
      </c>
      <c r="F168" s="142">
        <v>163.5</v>
      </c>
      <c r="G168" s="147"/>
      <c r="H168" s="148">
        <v>0.219758064516129</v>
      </c>
      <c r="I168" s="179">
        <v>100</v>
      </c>
      <c r="J168" s="182"/>
      <c r="K168" s="179"/>
    </row>
    <row r="169" s="17" customFormat="1" ht="13" customHeight="1" spans="1:11">
      <c r="A169" s="21">
        <v>142</v>
      </c>
      <c r="B169" s="145" t="s">
        <v>317</v>
      </c>
      <c r="C169" s="146">
        <v>31</v>
      </c>
      <c r="D169" s="146">
        <v>24</v>
      </c>
      <c r="E169" s="146">
        <v>744</v>
      </c>
      <c r="F169" s="142">
        <v>594</v>
      </c>
      <c r="G169" s="147"/>
      <c r="H169" s="148">
        <v>0.798387096774194</v>
      </c>
      <c r="I169" s="179">
        <v>100</v>
      </c>
      <c r="J169" s="182"/>
      <c r="K169" s="179"/>
    </row>
    <row r="170" s="17" customFormat="1" ht="13" customHeight="1" spans="1:11">
      <c r="A170" s="21">
        <v>143</v>
      </c>
      <c r="B170" s="145" t="s">
        <v>318</v>
      </c>
      <c r="C170" s="146">
        <v>31</v>
      </c>
      <c r="D170" s="146">
        <v>24</v>
      </c>
      <c r="E170" s="146">
        <v>744</v>
      </c>
      <c r="F170" s="142">
        <v>257</v>
      </c>
      <c r="G170" s="147"/>
      <c r="H170" s="148">
        <v>0.345430107526882</v>
      </c>
      <c r="I170" s="179">
        <v>100</v>
      </c>
      <c r="J170" s="182"/>
      <c r="K170" s="179"/>
    </row>
    <row r="171" s="17" customFormat="1" ht="13" customHeight="1" spans="1:11">
      <c r="A171" s="21">
        <v>144</v>
      </c>
      <c r="B171" s="145" t="s">
        <v>319</v>
      </c>
      <c r="C171" s="146">
        <v>31</v>
      </c>
      <c r="D171" s="146">
        <v>24</v>
      </c>
      <c r="E171" s="146">
        <v>744</v>
      </c>
      <c r="F171" s="142">
        <v>744</v>
      </c>
      <c r="G171" s="147"/>
      <c r="H171" s="148">
        <v>1</v>
      </c>
      <c r="I171" s="179">
        <v>100</v>
      </c>
      <c r="J171" s="182"/>
      <c r="K171" s="179"/>
    </row>
    <row r="172" s="17" customFormat="1" ht="13" customHeight="1" spans="1:11">
      <c r="A172" s="21">
        <v>145</v>
      </c>
      <c r="B172" s="145" t="s">
        <v>320</v>
      </c>
      <c r="C172" s="146">
        <v>31</v>
      </c>
      <c r="D172" s="146">
        <v>24</v>
      </c>
      <c r="E172" s="146">
        <v>744</v>
      </c>
      <c r="F172" s="142">
        <v>0</v>
      </c>
      <c r="G172" s="147"/>
      <c r="H172" s="148">
        <v>0</v>
      </c>
      <c r="I172" s="179">
        <v>100</v>
      </c>
      <c r="J172" s="182"/>
      <c r="K172" s="179"/>
    </row>
    <row r="173" s="17" customFormat="1" ht="13" customHeight="1" spans="1:11">
      <c r="A173" s="21">
        <v>146</v>
      </c>
      <c r="B173" s="145" t="s">
        <v>321</v>
      </c>
      <c r="C173" s="146">
        <v>31</v>
      </c>
      <c r="D173" s="146">
        <v>24</v>
      </c>
      <c r="E173" s="146">
        <v>744</v>
      </c>
      <c r="F173" s="146">
        <v>31</v>
      </c>
      <c r="G173" s="147">
        <v>1</v>
      </c>
      <c r="H173" s="148">
        <v>0.0416666666666667</v>
      </c>
      <c r="I173" s="179">
        <v>99.9</v>
      </c>
      <c r="J173" s="182" t="s">
        <v>322</v>
      </c>
      <c r="K173" s="179"/>
    </row>
    <row r="174" s="17" customFormat="1" ht="13" customHeight="1" spans="1:11">
      <c r="A174" s="21">
        <v>147</v>
      </c>
      <c r="B174" s="145" t="s">
        <v>323</v>
      </c>
      <c r="C174" s="146">
        <v>31</v>
      </c>
      <c r="D174" s="146">
        <v>24</v>
      </c>
      <c r="E174" s="146">
        <v>744</v>
      </c>
      <c r="F174" s="146">
        <v>31</v>
      </c>
      <c r="G174" s="147"/>
      <c r="H174" s="148">
        <v>0.0416666666666667</v>
      </c>
      <c r="I174" s="179">
        <v>100</v>
      </c>
      <c r="J174" s="182"/>
      <c r="K174" s="179"/>
    </row>
    <row r="175" s="17" customFormat="1" ht="13" customHeight="1" spans="1:11">
      <c r="A175" s="21">
        <v>148</v>
      </c>
      <c r="B175" s="149" t="s">
        <v>324</v>
      </c>
      <c r="C175" s="152">
        <v>31</v>
      </c>
      <c r="D175" s="152">
        <v>24</v>
      </c>
      <c r="E175" s="152">
        <v>744</v>
      </c>
      <c r="F175" s="152">
        <v>0</v>
      </c>
      <c r="G175" s="153"/>
      <c r="H175" s="154">
        <v>0</v>
      </c>
      <c r="I175" s="183">
        <v>100</v>
      </c>
      <c r="J175" s="184"/>
      <c r="K175" s="183"/>
    </row>
    <row r="176" s="17" customFormat="1" ht="13" customHeight="1" spans="1:11">
      <c r="A176" s="21">
        <v>149</v>
      </c>
      <c r="B176" s="149" t="s">
        <v>325</v>
      </c>
      <c r="C176" s="152">
        <v>31</v>
      </c>
      <c r="D176" s="152">
        <v>24</v>
      </c>
      <c r="E176" s="152">
        <v>744</v>
      </c>
      <c r="F176" s="152">
        <v>0</v>
      </c>
      <c r="G176" s="153"/>
      <c r="H176" s="154">
        <v>0</v>
      </c>
      <c r="I176" s="183">
        <v>100</v>
      </c>
      <c r="J176" s="184"/>
      <c r="K176" s="183"/>
    </row>
    <row r="177" s="17" customFormat="1" ht="13" customHeight="1" spans="1:11">
      <c r="A177" s="21">
        <v>150</v>
      </c>
      <c r="B177" s="149" t="s">
        <v>326</v>
      </c>
      <c r="C177" s="152">
        <v>31</v>
      </c>
      <c r="D177" s="152">
        <v>24</v>
      </c>
      <c r="E177" s="152">
        <v>744</v>
      </c>
      <c r="F177" s="152">
        <v>0</v>
      </c>
      <c r="G177" s="153"/>
      <c r="H177" s="154">
        <v>0</v>
      </c>
      <c r="I177" s="183">
        <v>100</v>
      </c>
      <c r="J177" s="184"/>
      <c r="K177" s="183"/>
    </row>
    <row r="178" s="17" customFormat="1" ht="13" customHeight="1" spans="1:11">
      <c r="A178" s="21">
        <v>151</v>
      </c>
      <c r="B178" s="149" t="s">
        <v>327</v>
      </c>
      <c r="C178" s="152">
        <v>31</v>
      </c>
      <c r="D178" s="152">
        <v>24</v>
      </c>
      <c r="E178" s="152">
        <v>744</v>
      </c>
      <c r="F178" s="152">
        <v>0</v>
      </c>
      <c r="G178" s="153"/>
      <c r="H178" s="154">
        <v>0</v>
      </c>
      <c r="I178" s="183">
        <v>100</v>
      </c>
      <c r="J178" s="184"/>
      <c r="K178" s="183"/>
    </row>
    <row r="179" s="17" customFormat="1" ht="13" customHeight="1" spans="1:11">
      <c r="A179" s="21">
        <v>152</v>
      </c>
      <c r="B179" s="149" t="s">
        <v>328</v>
      </c>
      <c r="C179" s="152">
        <v>31</v>
      </c>
      <c r="D179" s="152">
        <v>24</v>
      </c>
      <c r="E179" s="152">
        <v>744</v>
      </c>
      <c r="F179" s="152">
        <v>0</v>
      </c>
      <c r="G179" s="153"/>
      <c r="H179" s="154">
        <v>0</v>
      </c>
      <c r="I179" s="183">
        <v>100</v>
      </c>
      <c r="J179" s="184"/>
      <c r="K179" s="183"/>
    </row>
    <row r="180" s="17" customFormat="1" ht="13" customHeight="1" spans="1:11">
      <c r="A180" s="21">
        <v>153</v>
      </c>
      <c r="B180" s="149" t="s">
        <v>329</v>
      </c>
      <c r="C180" s="152">
        <v>31</v>
      </c>
      <c r="D180" s="152">
        <v>24</v>
      </c>
      <c r="E180" s="152">
        <v>744</v>
      </c>
      <c r="F180" s="152">
        <v>0</v>
      </c>
      <c r="G180" s="153"/>
      <c r="H180" s="154">
        <v>0</v>
      </c>
      <c r="I180" s="183">
        <v>100</v>
      </c>
      <c r="J180" s="184"/>
      <c r="K180" s="183"/>
    </row>
    <row r="181" s="17" customFormat="1" ht="13" customHeight="1" spans="1:11">
      <c r="A181" s="21">
        <v>154</v>
      </c>
      <c r="B181" s="149" t="s">
        <v>330</v>
      </c>
      <c r="C181" s="152">
        <v>31</v>
      </c>
      <c r="D181" s="152">
        <v>24</v>
      </c>
      <c r="E181" s="152">
        <v>744</v>
      </c>
      <c r="F181" s="152">
        <v>0</v>
      </c>
      <c r="G181" s="153"/>
      <c r="H181" s="154">
        <v>0</v>
      </c>
      <c r="I181" s="183">
        <v>100</v>
      </c>
      <c r="J181" s="184"/>
      <c r="K181" s="183"/>
    </row>
    <row r="182" s="17" customFormat="1" ht="13" customHeight="1" spans="1:11">
      <c r="A182" s="21">
        <v>155</v>
      </c>
      <c r="B182" s="149" t="s">
        <v>331</v>
      </c>
      <c r="C182" s="152">
        <v>31</v>
      </c>
      <c r="D182" s="152">
        <v>24</v>
      </c>
      <c r="E182" s="152">
        <v>744</v>
      </c>
      <c r="F182" s="152">
        <v>0</v>
      </c>
      <c r="G182" s="153"/>
      <c r="H182" s="154">
        <v>0</v>
      </c>
      <c r="I182" s="183">
        <v>100</v>
      </c>
      <c r="J182" s="184"/>
      <c r="K182" s="183"/>
    </row>
    <row r="183" s="17" customFormat="1" ht="13" customHeight="1" spans="1:11">
      <c r="A183" s="21">
        <v>156</v>
      </c>
      <c r="B183" s="149" t="s">
        <v>332</v>
      </c>
      <c r="C183" s="152">
        <v>31</v>
      </c>
      <c r="D183" s="152">
        <v>24</v>
      </c>
      <c r="E183" s="152">
        <v>744</v>
      </c>
      <c r="F183" s="152">
        <v>0</v>
      </c>
      <c r="G183" s="153"/>
      <c r="H183" s="154">
        <v>0</v>
      </c>
      <c r="I183" s="183">
        <v>100</v>
      </c>
      <c r="J183" s="184"/>
      <c r="K183" s="183"/>
    </row>
    <row r="184" s="17" customFormat="1" ht="13" customHeight="1" spans="1:11">
      <c r="A184" s="21">
        <v>157</v>
      </c>
      <c r="B184" s="149" t="s">
        <v>333</v>
      </c>
      <c r="C184" s="152">
        <v>31</v>
      </c>
      <c r="D184" s="152">
        <v>24</v>
      </c>
      <c r="E184" s="152">
        <v>744</v>
      </c>
      <c r="F184" s="152">
        <v>0</v>
      </c>
      <c r="G184" s="153"/>
      <c r="H184" s="154">
        <v>0</v>
      </c>
      <c r="I184" s="183">
        <v>100</v>
      </c>
      <c r="J184" s="184"/>
      <c r="K184" s="183"/>
    </row>
    <row r="185" s="29" customFormat="1" ht="13" customHeight="1" spans="1:11">
      <c r="A185" s="21">
        <v>158</v>
      </c>
      <c r="B185" s="155" t="s">
        <v>334</v>
      </c>
      <c r="C185" s="152">
        <v>31</v>
      </c>
      <c r="D185" s="152">
        <v>24</v>
      </c>
      <c r="E185" s="152">
        <v>744</v>
      </c>
      <c r="F185" s="156">
        <v>0</v>
      </c>
      <c r="G185" s="153"/>
      <c r="H185" s="154">
        <v>0</v>
      </c>
      <c r="I185" s="183">
        <v>100</v>
      </c>
      <c r="J185" s="184"/>
      <c r="K185" s="183"/>
    </row>
    <row r="186" s="29" customFormat="1" ht="13" customHeight="1" spans="1:11">
      <c r="A186" s="21">
        <v>159</v>
      </c>
      <c r="B186" s="155" t="s">
        <v>335</v>
      </c>
      <c r="C186" s="152">
        <v>31</v>
      </c>
      <c r="D186" s="152">
        <v>24</v>
      </c>
      <c r="E186" s="152">
        <v>744</v>
      </c>
      <c r="F186" s="156">
        <v>0</v>
      </c>
      <c r="G186" s="153"/>
      <c r="H186" s="154">
        <v>0</v>
      </c>
      <c r="I186" s="183">
        <v>100</v>
      </c>
      <c r="J186" s="184"/>
      <c r="K186" s="183"/>
    </row>
    <row r="187" s="29" customFormat="1" ht="13" customHeight="1" spans="1:11">
      <c r="A187" s="21">
        <v>160</v>
      </c>
      <c r="B187" s="155" t="s">
        <v>336</v>
      </c>
      <c r="C187" s="152">
        <v>31</v>
      </c>
      <c r="D187" s="152">
        <v>24</v>
      </c>
      <c r="E187" s="152">
        <v>744</v>
      </c>
      <c r="F187" s="156">
        <v>305</v>
      </c>
      <c r="G187" s="153"/>
      <c r="H187" s="154">
        <v>0.40994623655914</v>
      </c>
      <c r="I187" s="183">
        <v>100</v>
      </c>
      <c r="J187" s="184"/>
      <c r="K187" s="183"/>
    </row>
    <row r="188" s="29" customFormat="1" ht="13" customHeight="1" spans="1:11">
      <c r="A188" s="21">
        <v>161</v>
      </c>
      <c r="B188" s="155" t="s">
        <v>337</v>
      </c>
      <c r="C188" s="152">
        <v>31</v>
      </c>
      <c r="D188" s="152">
        <v>24</v>
      </c>
      <c r="E188" s="152">
        <v>744</v>
      </c>
      <c r="F188" s="156">
        <v>247</v>
      </c>
      <c r="G188" s="153"/>
      <c r="H188" s="154">
        <v>0.331989247311828</v>
      </c>
      <c r="I188" s="183">
        <v>100</v>
      </c>
      <c r="J188" s="185"/>
      <c r="K188" s="183"/>
    </row>
    <row r="189" s="29" customFormat="1" ht="13" customHeight="1" spans="1:11">
      <c r="A189" s="21">
        <v>162</v>
      </c>
      <c r="B189" s="155" t="s">
        <v>338</v>
      </c>
      <c r="C189" s="152">
        <v>31</v>
      </c>
      <c r="D189" s="152">
        <v>24</v>
      </c>
      <c r="E189" s="152">
        <v>744</v>
      </c>
      <c r="F189" s="156">
        <v>689</v>
      </c>
      <c r="G189" s="153">
        <v>1</v>
      </c>
      <c r="H189" s="154">
        <v>0.926075268817204</v>
      </c>
      <c r="I189" s="183">
        <v>99.9</v>
      </c>
      <c r="J189" s="185" t="s">
        <v>339</v>
      </c>
      <c r="K189" s="186"/>
    </row>
    <row r="190" s="29" customFormat="1" ht="13" customHeight="1" spans="1:11">
      <c r="A190" s="21">
        <v>163</v>
      </c>
      <c r="B190" s="155" t="s">
        <v>340</v>
      </c>
      <c r="C190" s="152">
        <v>31</v>
      </c>
      <c r="D190" s="152">
        <v>24</v>
      </c>
      <c r="E190" s="152">
        <v>744</v>
      </c>
      <c r="F190" s="156">
        <v>607</v>
      </c>
      <c r="G190" s="153"/>
      <c r="H190" s="154">
        <v>0.815860215053763</v>
      </c>
      <c r="I190" s="187">
        <v>100</v>
      </c>
      <c r="K190" s="186"/>
    </row>
    <row r="191" s="17" customFormat="1" ht="13" customHeight="1" spans="1:11">
      <c r="A191" s="21">
        <v>164</v>
      </c>
      <c r="B191" s="157" t="s">
        <v>341</v>
      </c>
      <c r="C191" s="158">
        <v>31</v>
      </c>
      <c r="D191" s="158">
        <v>24</v>
      </c>
      <c r="E191" s="158">
        <v>744</v>
      </c>
      <c r="F191" s="159">
        <v>0</v>
      </c>
      <c r="G191" s="160"/>
      <c r="H191" s="161">
        <v>0</v>
      </c>
      <c r="I191" s="188">
        <v>100</v>
      </c>
      <c r="J191" s="189"/>
      <c r="K191" s="188"/>
    </row>
    <row r="192" s="17" customFormat="1" ht="13" customHeight="1" spans="1:11">
      <c r="A192" s="21">
        <v>165</v>
      </c>
      <c r="B192" s="157" t="s">
        <v>342</v>
      </c>
      <c r="C192" s="158">
        <v>31</v>
      </c>
      <c r="D192" s="158">
        <v>24</v>
      </c>
      <c r="E192" s="158">
        <v>744</v>
      </c>
      <c r="F192" s="159">
        <v>23</v>
      </c>
      <c r="G192" s="160">
        <v>4</v>
      </c>
      <c r="H192" s="161">
        <v>0.0309139784946237</v>
      </c>
      <c r="I192" s="188">
        <v>99.5</v>
      </c>
      <c r="J192" s="188" t="s">
        <v>343</v>
      </c>
      <c r="K192" s="188"/>
    </row>
    <row r="193" s="17" customFormat="1" ht="13" customHeight="1" spans="1:11">
      <c r="A193" s="21">
        <v>166</v>
      </c>
      <c r="B193" s="157" t="s">
        <v>344</v>
      </c>
      <c r="C193" s="158">
        <v>31</v>
      </c>
      <c r="D193" s="158">
        <v>24</v>
      </c>
      <c r="E193" s="188">
        <v>744</v>
      </c>
      <c r="F193" s="190">
        <v>479.5</v>
      </c>
      <c r="G193" s="160">
        <v>6</v>
      </c>
      <c r="H193" s="161">
        <v>0.644489247311828</v>
      </c>
      <c r="I193" s="188">
        <v>99.2</v>
      </c>
      <c r="J193" s="188" t="s">
        <v>345</v>
      </c>
      <c r="K193" s="188"/>
    </row>
    <row r="194" s="17" customFormat="1" ht="13" customHeight="1" spans="1:11">
      <c r="A194" s="42" t="s">
        <v>196</v>
      </c>
      <c r="B194" s="43"/>
      <c r="C194" s="42"/>
      <c r="D194" s="42"/>
      <c r="E194" s="42" t="s">
        <v>197</v>
      </c>
      <c r="F194" s="42"/>
      <c r="G194" s="43"/>
      <c r="H194" s="42"/>
      <c r="I194" s="42" t="s">
        <v>198</v>
      </c>
      <c r="J194" s="43"/>
      <c r="K194" s="42"/>
    </row>
    <row r="195" s="17" customFormat="1" ht="1.5" hidden="1" customHeight="1" spans="1:11">
      <c r="A195" s="42"/>
      <c r="B195" s="43"/>
      <c r="C195" s="42"/>
      <c r="D195" s="42"/>
      <c r="E195" s="42"/>
      <c r="F195" s="42"/>
      <c r="G195" s="43"/>
      <c r="H195" s="42"/>
      <c r="I195" s="42"/>
      <c r="J195" s="43"/>
      <c r="K195" s="42"/>
    </row>
    <row r="196" s="17" customFormat="1" ht="3.75" hidden="1" customHeight="1" spans="1:11">
      <c r="A196" s="42"/>
      <c r="B196" s="43"/>
      <c r="C196" s="42"/>
      <c r="D196" s="42"/>
      <c r="E196" s="42"/>
      <c r="F196" s="42"/>
      <c r="G196" s="43"/>
      <c r="H196" s="42"/>
      <c r="I196" s="42"/>
      <c r="J196" s="43"/>
      <c r="K196" s="42"/>
    </row>
    <row r="197" s="17" customFormat="1" ht="37" customHeight="1" spans="1:11">
      <c r="A197" s="31" t="s">
        <v>346</v>
      </c>
      <c r="B197" s="32"/>
      <c r="C197" s="32"/>
      <c r="D197" s="32"/>
      <c r="E197" s="32"/>
      <c r="F197" s="32"/>
      <c r="G197" s="32"/>
      <c r="H197" s="32"/>
      <c r="I197" s="32"/>
      <c r="J197" s="32"/>
      <c r="K197" s="32"/>
    </row>
    <row r="198" s="17" customFormat="1" ht="9" customHeight="1" spans="1:11">
      <c r="A198" s="21" t="s">
        <v>157</v>
      </c>
      <c r="B198" s="21" t="s">
        <v>158</v>
      </c>
      <c r="C198" s="23" t="s">
        <v>304</v>
      </c>
      <c r="D198" s="23" t="s">
        <v>305</v>
      </c>
      <c r="E198" s="23" t="s">
        <v>306</v>
      </c>
      <c r="F198" s="23" t="s">
        <v>307</v>
      </c>
      <c r="G198" s="23" t="s">
        <v>308</v>
      </c>
      <c r="H198" s="23" t="s">
        <v>309</v>
      </c>
      <c r="I198" s="23" t="s">
        <v>310</v>
      </c>
      <c r="J198" s="21" t="s">
        <v>166</v>
      </c>
      <c r="K198" s="21" t="s">
        <v>311</v>
      </c>
    </row>
    <row r="199" s="17" customFormat="1" ht="13" customHeight="1" spans="1:1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</row>
    <row r="200" s="17" customFormat="1" ht="13" customHeight="1" spans="1:11">
      <c r="A200" s="33" t="s">
        <v>347</v>
      </c>
      <c r="B200" s="34"/>
      <c r="C200" s="34"/>
      <c r="D200" s="34"/>
      <c r="E200" s="34"/>
      <c r="F200" s="34"/>
      <c r="G200" s="34"/>
      <c r="H200" s="124"/>
      <c r="I200" s="34"/>
      <c r="J200" s="34"/>
      <c r="K200" s="173"/>
    </row>
    <row r="201" s="17" customFormat="1" ht="13" customHeight="1" spans="1:11">
      <c r="A201" s="21">
        <v>167</v>
      </c>
      <c r="B201" s="191" t="s">
        <v>348</v>
      </c>
      <c r="C201" s="180">
        <v>31</v>
      </c>
      <c r="D201" s="192">
        <v>24</v>
      </c>
      <c r="E201" s="193">
        <v>744</v>
      </c>
      <c r="F201" s="192">
        <v>0</v>
      </c>
      <c r="G201" s="194"/>
      <c r="H201" s="195">
        <v>0</v>
      </c>
      <c r="I201" s="192">
        <v>100</v>
      </c>
      <c r="J201" s="194"/>
      <c r="K201" s="192"/>
    </row>
    <row r="202" s="17" customFormat="1" ht="13" customHeight="1" spans="1:11">
      <c r="A202" s="21">
        <v>168</v>
      </c>
      <c r="B202" s="191" t="s">
        <v>349</v>
      </c>
      <c r="C202" s="56">
        <v>31</v>
      </c>
      <c r="D202" s="193">
        <v>24</v>
      </c>
      <c r="E202" s="193">
        <v>744</v>
      </c>
      <c r="F202" s="193">
        <v>0</v>
      </c>
      <c r="G202" s="196">
        <v>1</v>
      </c>
      <c r="H202" s="197">
        <v>0</v>
      </c>
      <c r="I202" s="193">
        <v>99.9</v>
      </c>
      <c r="J202" s="188" t="s">
        <v>350</v>
      </c>
      <c r="K202" s="193"/>
    </row>
    <row r="203" s="17" customFormat="1" ht="13" customHeight="1" spans="1:11">
      <c r="A203" s="21">
        <v>169</v>
      </c>
      <c r="B203" s="191" t="s">
        <v>351</v>
      </c>
      <c r="C203" s="56">
        <v>31</v>
      </c>
      <c r="D203" s="193">
        <v>24</v>
      </c>
      <c r="E203" s="193">
        <v>744</v>
      </c>
      <c r="F203" s="193">
        <v>0</v>
      </c>
      <c r="G203" s="196"/>
      <c r="H203" s="197">
        <v>0</v>
      </c>
      <c r="I203" s="193">
        <v>100</v>
      </c>
      <c r="J203" s="196"/>
      <c r="K203" s="193"/>
    </row>
    <row r="204" s="17" customFormat="1" ht="13" customHeight="1" spans="1:11">
      <c r="A204" s="21">
        <v>170</v>
      </c>
      <c r="B204" s="191" t="s">
        <v>352</v>
      </c>
      <c r="C204" s="56">
        <v>31</v>
      </c>
      <c r="D204" s="193">
        <v>24</v>
      </c>
      <c r="E204" s="193">
        <v>744</v>
      </c>
      <c r="F204" s="193">
        <v>0</v>
      </c>
      <c r="G204" s="196"/>
      <c r="H204" s="197">
        <v>0</v>
      </c>
      <c r="I204" s="193">
        <v>100</v>
      </c>
      <c r="J204" s="196"/>
      <c r="K204" s="193"/>
    </row>
    <row r="205" s="17" customFormat="1" ht="13" customHeight="1" spans="1:11">
      <c r="A205" s="21">
        <v>171</v>
      </c>
      <c r="B205" s="191" t="s">
        <v>353</v>
      </c>
      <c r="C205" s="56">
        <v>31</v>
      </c>
      <c r="D205" s="193">
        <v>24</v>
      </c>
      <c r="E205" s="193">
        <v>744</v>
      </c>
      <c r="F205" s="193">
        <v>700</v>
      </c>
      <c r="G205" s="196"/>
      <c r="H205" s="197">
        <v>0.940860215053763</v>
      </c>
      <c r="I205" s="193">
        <v>100</v>
      </c>
      <c r="J205" s="196"/>
      <c r="K205" s="193"/>
    </row>
    <row r="206" s="17" customFormat="1" ht="13" customHeight="1" spans="1:11">
      <c r="A206" s="21">
        <v>172</v>
      </c>
      <c r="B206" s="191" t="s">
        <v>354</v>
      </c>
      <c r="C206" s="198">
        <v>31</v>
      </c>
      <c r="D206" s="199">
        <v>24</v>
      </c>
      <c r="E206" s="198">
        <v>744</v>
      </c>
      <c r="F206" s="199">
        <v>700</v>
      </c>
      <c r="G206" s="200"/>
      <c r="H206" s="201">
        <v>0.940860215053763</v>
      </c>
      <c r="I206" s="199">
        <v>100</v>
      </c>
      <c r="J206" s="204"/>
      <c r="K206" s="199"/>
    </row>
    <row r="207" s="17" customFormat="1" ht="13" customHeight="1" spans="1:11">
      <c r="A207" s="21">
        <v>173</v>
      </c>
      <c r="B207" s="191" t="s">
        <v>355</v>
      </c>
      <c r="C207" s="198">
        <v>31</v>
      </c>
      <c r="D207" s="199">
        <v>24</v>
      </c>
      <c r="E207" s="198">
        <v>744</v>
      </c>
      <c r="F207" s="199">
        <v>700</v>
      </c>
      <c r="G207" s="200"/>
      <c r="H207" s="201">
        <v>0.940860215053763</v>
      </c>
      <c r="I207" s="199">
        <v>100</v>
      </c>
      <c r="J207" s="204"/>
      <c r="K207" s="199"/>
    </row>
    <row r="208" s="17" customFormat="1" ht="13" customHeight="1" spans="1:11">
      <c r="A208" s="21">
        <v>174</v>
      </c>
      <c r="B208" s="191" t="s">
        <v>356</v>
      </c>
      <c r="C208" s="198">
        <v>31</v>
      </c>
      <c r="D208" s="199">
        <v>24</v>
      </c>
      <c r="E208" s="198">
        <v>744</v>
      </c>
      <c r="F208" s="199">
        <v>700</v>
      </c>
      <c r="G208" s="200"/>
      <c r="H208" s="201">
        <v>0.940860215053763</v>
      </c>
      <c r="I208" s="199">
        <v>100</v>
      </c>
      <c r="J208" s="204"/>
      <c r="K208" s="199"/>
    </row>
    <row r="209" s="17" customFormat="1" ht="13" customHeight="1" spans="1:11">
      <c r="A209" s="21">
        <v>175</v>
      </c>
      <c r="B209" s="191" t="s">
        <v>357</v>
      </c>
      <c r="C209" s="198">
        <v>31</v>
      </c>
      <c r="D209" s="199">
        <v>24</v>
      </c>
      <c r="E209" s="198">
        <v>744</v>
      </c>
      <c r="F209" s="199">
        <v>700</v>
      </c>
      <c r="G209" s="200"/>
      <c r="H209" s="201">
        <v>0.940860215053763</v>
      </c>
      <c r="I209" s="199">
        <v>100</v>
      </c>
      <c r="J209" s="204"/>
      <c r="K209" s="199"/>
    </row>
    <row r="210" s="17" customFormat="1" ht="13" customHeight="1" spans="1:11">
      <c r="A210" s="21">
        <v>176</v>
      </c>
      <c r="B210" s="191" t="s">
        <v>358</v>
      </c>
      <c r="C210" s="198">
        <v>31</v>
      </c>
      <c r="D210" s="199">
        <v>24</v>
      </c>
      <c r="E210" s="198">
        <v>744</v>
      </c>
      <c r="F210" s="199">
        <v>700</v>
      </c>
      <c r="G210" s="200"/>
      <c r="H210" s="201">
        <v>0.940860215053763</v>
      </c>
      <c r="I210" s="199">
        <v>100</v>
      </c>
      <c r="J210" s="204"/>
      <c r="K210" s="199"/>
    </row>
    <row r="211" s="17" customFormat="1" ht="13" customHeight="1" spans="1:11">
      <c r="A211" s="21">
        <v>177</v>
      </c>
      <c r="B211" s="191" t="s">
        <v>359</v>
      </c>
      <c r="C211" s="198">
        <v>31</v>
      </c>
      <c r="D211" s="199">
        <v>24</v>
      </c>
      <c r="E211" s="198">
        <v>744</v>
      </c>
      <c r="F211" s="199">
        <v>700</v>
      </c>
      <c r="G211" s="200"/>
      <c r="H211" s="201">
        <v>0.940860215053763</v>
      </c>
      <c r="I211" s="199">
        <v>100</v>
      </c>
      <c r="J211" s="204"/>
      <c r="K211" s="199"/>
    </row>
    <row r="212" s="17" customFormat="1" ht="13" customHeight="1" spans="1:11">
      <c r="A212" s="21">
        <v>178</v>
      </c>
      <c r="B212" s="191" t="s">
        <v>360</v>
      </c>
      <c r="C212" s="198">
        <v>31</v>
      </c>
      <c r="D212" s="199">
        <v>24</v>
      </c>
      <c r="E212" s="198">
        <v>744</v>
      </c>
      <c r="F212" s="199">
        <v>700</v>
      </c>
      <c r="G212" s="200"/>
      <c r="H212" s="201">
        <v>0.940860215053763</v>
      </c>
      <c r="I212" s="199">
        <v>100</v>
      </c>
      <c r="J212" s="204"/>
      <c r="K212" s="199"/>
    </row>
    <row r="213" s="17" customFormat="1" ht="13" customHeight="1" spans="1:11">
      <c r="A213" s="21">
        <v>179</v>
      </c>
      <c r="B213" s="191" t="s">
        <v>169</v>
      </c>
      <c r="C213" s="198">
        <v>31</v>
      </c>
      <c r="D213" s="199">
        <v>24</v>
      </c>
      <c r="E213" s="198">
        <v>744</v>
      </c>
      <c r="F213" s="199">
        <v>744</v>
      </c>
      <c r="G213" s="200"/>
      <c r="H213" s="201">
        <v>1</v>
      </c>
      <c r="I213" s="199">
        <v>100</v>
      </c>
      <c r="J213" s="204"/>
      <c r="K213" s="199"/>
    </row>
    <row r="214" s="17" customFormat="1" ht="13" customHeight="1" spans="1:11">
      <c r="A214" s="21">
        <v>180</v>
      </c>
      <c r="B214" s="191" t="s">
        <v>361</v>
      </c>
      <c r="C214" s="198">
        <v>31</v>
      </c>
      <c r="D214" s="199">
        <v>24</v>
      </c>
      <c r="E214" s="198">
        <v>744</v>
      </c>
      <c r="F214" s="199">
        <v>744</v>
      </c>
      <c r="G214" s="200"/>
      <c r="H214" s="201">
        <v>1</v>
      </c>
      <c r="I214" s="199">
        <v>100</v>
      </c>
      <c r="J214" s="204"/>
      <c r="K214" s="199"/>
    </row>
    <row r="215" s="17" customFormat="1" ht="13" customHeight="1" spans="1:11">
      <c r="A215" s="21">
        <v>181</v>
      </c>
      <c r="B215" s="191" t="s">
        <v>362</v>
      </c>
      <c r="C215" s="198">
        <v>31</v>
      </c>
      <c r="D215" s="199">
        <v>24</v>
      </c>
      <c r="E215" s="198">
        <v>744</v>
      </c>
      <c r="F215" s="199">
        <v>744</v>
      </c>
      <c r="G215" s="200"/>
      <c r="H215" s="201">
        <v>1</v>
      </c>
      <c r="I215" s="199">
        <v>100</v>
      </c>
      <c r="J215" s="204"/>
      <c r="K215" s="199"/>
    </row>
    <row r="216" s="17" customFormat="1" ht="13" customHeight="1" spans="1:11">
      <c r="A216" s="21">
        <v>182</v>
      </c>
      <c r="B216" s="191" t="s">
        <v>266</v>
      </c>
      <c r="C216" s="198">
        <v>31</v>
      </c>
      <c r="D216" s="199">
        <v>24</v>
      </c>
      <c r="E216" s="198">
        <v>744</v>
      </c>
      <c r="F216" s="199">
        <v>744</v>
      </c>
      <c r="G216" s="200"/>
      <c r="H216" s="201">
        <v>1</v>
      </c>
      <c r="I216" s="199">
        <v>100</v>
      </c>
      <c r="J216" s="204"/>
      <c r="K216" s="199"/>
    </row>
    <row r="217" s="17" customFormat="1" ht="13" customHeight="1" spans="1:11">
      <c r="A217" s="21">
        <v>183</v>
      </c>
      <c r="B217" s="191" t="s">
        <v>363</v>
      </c>
      <c r="C217" s="198">
        <v>31</v>
      </c>
      <c r="D217" s="202">
        <v>24</v>
      </c>
      <c r="E217" s="198">
        <v>744</v>
      </c>
      <c r="F217" s="202">
        <v>0</v>
      </c>
      <c r="G217" s="203"/>
      <c r="H217" s="201">
        <v>0</v>
      </c>
      <c r="I217" s="202">
        <v>100</v>
      </c>
      <c r="J217" s="203"/>
      <c r="K217" s="202"/>
    </row>
    <row r="218" s="17" customFormat="1" ht="13" customHeight="1" spans="1:11">
      <c r="A218" s="21">
        <v>184</v>
      </c>
      <c r="B218" s="191" t="s">
        <v>364</v>
      </c>
      <c r="C218" s="198">
        <v>31</v>
      </c>
      <c r="D218" s="202">
        <v>24</v>
      </c>
      <c r="E218" s="198">
        <v>744</v>
      </c>
      <c r="F218" s="202">
        <v>0</v>
      </c>
      <c r="G218" s="203"/>
      <c r="H218" s="201">
        <v>0</v>
      </c>
      <c r="I218" s="202">
        <v>100</v>
      </c>
      <c r="J218" s="203"/>
      <c r="K218" s="202"/>
    </row>
    <row r="219" s="17" customFormat="1" ht="13" customHeight="1" spans="1:11">
      <c r="A219" s="21">
        <v>185</v>
      </c>
      <c r="B219" s="191" t="s">
        <v>365</v>
      </c>
      <c r="C219" s="198">
        <v>31</v>
      </c>
      <c r="D219" s="202">
        <v>24</v>
      </c>
      <c r="E219" s="198">
        <v>744</v>
      </c>
      <c r="F219" s="202">
        <v>0</v>
      </c>
      <c r="G219" s="203"/>
      <c r="H219" s="201">
        <v>0</v>
      </c>
      <c r="I219" s="202">
        <v>100</v>
      </c>
      <c r="J219" s="203"/>
      <c r="K219" s="202"/>
    </row>
    <row r="220" s="17" customFormat="1" ht="13" customHeight="1" spans="1:11">
      <c r="A220" s="21">
        <v>186</v>
      </c>
      <c r="B220" s="191" t="s">
        <v>366</v>
      </c>
      <c r="C220" s="198">
        <v>31</v>
      </c>
      <c r="D220" s="202">
        <v>24</v>
      </c>
      <c r="E220" s="198">
        <v>744</v>
      </c>
      <c r="F220" s="202">
        <v>0</v>
      </c>
      <c r="G220" s="203"/>
      <c r="H220" s="201">
        <v>0</v>
      </c>
      <c r="I220" s="202">
        <v>100</v>
      </c>
      <c r="J220" s="203"/>
      <c r="K220" s="202"/>
    </row>
    <row r="221" s="17" customFormat="1" ht="13" customHeight="1" spans="1:11">
      <c r="A221" s="21">
        <v>187</v>
      </c>
      <c r="B221" s="191" t="s">
        <v>262</v>
      </c>
      <c r="C221" s="198">
        <v>31</v>
      </c>
      <c r="D221" s="202">
        <v>24</v>
      </c>
      <c r="E221" s="198">
        <v>744</v>
      </c>
      <c r="F221" s="202">
        <v>0</v>
      </c>
      <c r="G221" s="203"/>
      <c r="H221" s="201">
        <v>0</v>
      </c>
      <c r="I221" s="202">
        <v>100</v>
      </c>
      <c r="J221" s="205"/>
      <c r="K221" s="202"/>
    </row>
    <row r="222" s="17" customFormat="1" ht="13" customHeight="1" spans="1:11">
      <c r="A222" s="21">
        <v>188</v>
      </c>
      <c r="B222" s="191" t="s">
        <v>263</v>
      </c>
      <c r="C222" s="198">
        <v>31</v>
      </c>
      <c r="D222" s="202">
        <v>24</v>
      </c>
      <c r="E222" s="198">
        <v>744</v>
      </c>
      <c r="F222" s="202">
        <v>0</v>
      </c>
      <c r="G222" s="203"/>
      <c r="H222" s="201">
        <v>0</v>
      </c>
      <c r="I222" s="202">
        <v>100</v>
      </c>
      <c r="J222" s="205"/>
      <c r="K222" s="202"/>
    </row>
    <row r="223" s="17" customFormat="1" ht="13" customHeight="1" spans="1:11">
      <c r="A223" s="21">
        <v>189</v>
      </c>
      <c r="B223" s="191" t="s">
        <v>281</v>
      </c>
      <c r="C223" s="198">
        <v>31</v>
      </c>
      <c r="D223" s="202">
        <v>24</v>
      </c>
      <c r="E223" s="198">
        <v>744</v>
      </c>
      <c r="F223" s="202">
        <v>0</v>
      </c>
      <c r="G223" s="203"/>
      <c r="H223" s="201">
        <v>0</v>
      </c>
      <c r="I223" s="202">
        <v>100</v>
      </c>
      <c r="J223" s="205"/>
      <c r="K223" s="202"/>
    </row>
    <row r="224" s="17" customFormat="1" ht="13" customHeight="1" spans="1:11">
      <c r="A224" s="21">
        <v>190</v>
      </c>
      <c r="B224" s="191" t="s">
        <v>282</v>
      </c>
      <c r="C224" s="198">
        <v>31</v>
      </c>
      <c r="D224" s="202">
        <v>24</v>
      </c>
      <c r="E224" s="198">
        <v>744</v>
      </c>
      <c r="F224" s="202">
        <v>0</v>
      </c>
      <c r="G224" s="203"/>
      <c r="H224" s="201">
        <v>0</v>
      </c>
      <c r="I224" s="202">
        <v>100</v>
      </c>
      <c r="J224" s="205"/>
      <c r="K224" s="202"/>
    </row>
    <row r="225" s="17" customFormat="1" ht="13" customHeight="1" spans="1:11">
      <c r="A225" s="21">
        <v>191</v>
      </c>
      <c r="B225" s="191" t="s">
        <v>367</v>
      </c>
      <c r="C225" s="198">
        <v>31</v>
      </c>
      <c r="D225" s="202">
        <v>24</v>
      </c>
      <c r="E225" s="198">
        <v>744</v>
      </c>
      <c r="F225" s="202">
        <v>0</v>
      </c>
      <c r="G225" s="203"/>
      <c r="H225" s="201">
        <v>0</v>
      </c>
      <c r="I225" s="202">
        <v>100</v>
      </c>
      <c r="J225" s="205"/>
      <c r="K225" s="202"/>
    </row>
    <row r="226" s="17" customFormat="1" ht="13" customHeight="1" spans="1:11">
      <c r="A226" s="21">
        <v>192</v>
      </c>
      <c r="B226" s="191" t="s">
        <v>368</v>
      </c>
      <c r="C226" s="198">
        <v>31</v>
      </c>
      <c r="D226" s="202">
        <v>24</v>
      </c>
      <c r="E226" s="198">
        <v>744</v>
      </c>
      <c r="F226" s="202">
        <v>0</v>
      </c>
      <c r="G226" s="203"/>
      <c r="H226" s="201">
        <v>0</v>
      </c>
      <c r="I226" s="202">
        <v>100</v>
      </c>
      <c r="J226" s="205"/>
      <c r="K226" s="202"/>
    </row>
    <row r="227" s="17" customFormat="1" ht="13" customHeight="1" spans="1:11">
      <c r="A227" s="21">
        <v>193</v>
      </c>
      <c r="B227" s="191" t="s">
        <v>369</v>
      </c>
      <c r="C227" s="198">
        <v>31</v>
      </c>
      <c r="D227" s="202">
        <v>24</v>
      </c>
      <c r="E227" s="198">
        <v>744</v>
      </c>
      <c r="F227" s="202">
        <v>578.5</v>
      </c>
      <c r="G227" s="203"/>
      <c r="H227" s="201">
        <v>0.77755376344086</v>
      </c>
      <c r="I227" s="202">
        <v>100</v>
      </c>
      <c r="J227" s="206" t="s">
        <v>370</v>
      </c>
      <c r="K227" s="202"/>
    </row>
    <row r="228" s="17" customFormat="1" ht="13" customHeight="1" spans="1:11">
      <c r="A228" s="21">
        <v>194</v>
      </c>
      <c r="B228" s="191" t="s">
        <v>371</v>
      </c>
      <c r="C228" s="198">
        <v>31</v>
      </c>
      <c r="D228" s="202">
        <v>24</v>
      </c>
      <c r="E228" s="198">
        <v>744</v>
      </c>
      <c r="F228" s="202">
        <v>483.5</v>
      </c>
      <c r="G228" s="203"/>
      <c r="H228" s="201">
        <v>0.649865591397849</v>
      </c>
      <c r="I228" s="202">
        <v>100</v>
      </c>
      <c r="J228" s="206" t="s">
        <v>370</v>
      </c>
      <c r="K228" s="202"/>
    </row>
    <row r="229" s="17" customFormat="1" ht="13" customHeight="1" spans="1:11">
      <c r="A229" s="21">
        <v>195</v>
      </c>
      <c r="B229" s="191" t="s">
        <v>372</v>
      </c>
      <c r="C229" s="198">
        <v>31</v>
      </c>
      <c r="D229" s="199">
        <v>24</v>
      </c>
      <c r="E229" s="198">
        <v>744</v>
      </c>
      <c r="F229" s="202">
        <v>0</v>
      </c>
      <c r="G229" s="200"/>
      <c r="H229" s="201">
        <v>0</v>
      </c>
      <c r="I229" s="199">
        <v>100</v>
      </c>
      <c r="J229" s="206" t="s">
        <v>370</v>
      </c>
      <c r="K229" s="199"/>
    </row>
    <row r="230" s="17" customFormat="1" ht="13" customHeight="1" spans="1:11">
      <c r="A230" s="21">
        <v>196</v>
      </c>
      <c r="B230" s="191" t="s">
        <v>373</v>
      </c>
      <c r="C230" s="198">
        <v>31</v>
      </c>
      <c r="D230" s="199">
        <v>24</v>
      </c>
      <c r="E230" s="198">
        <v>744</v>
      </c>
      <c r="F230" s="202">
        <v>695</v>
      </c>
      <c r="G230" s="200"/>
      <c r="H230" s="201">
        <v>0.934139784946237</v>
      </c>
      <c r="I230" s="199">
        <v>100</v>
      </c>
      <c r="J230" s="206" t="s">
        <v>370</v>
      </c>
      <c r="K230" s="199"/>
    </row>
    <row r="231" s="17" customFormat="1" ht="13" customHeight="1" spans="1:11">
      <c r="A231" s="21">
        <v>197</v>
      </c>
      <c r="B231" s="191" t="s">
        <v>374</v>
      </c>
      <c r="C231" s="198">
        <v>31</v>
      </c>
      <c r="D231" s="202">
        <v>24</v>
      </c>
      <c r="E231" s="198">
        <v>744</v>
      </c>
      <c r="F231" s="202">
        <v>0</v>
      </c>
      <c r="G231" s="200"/>
      <c r="H231" s="201">
        <v>0</v>
      </c>
      <c r="I231" s="202">
        <v>100</v>
      </c>
      <c r="J231" s="206" t="s">
        <v>370</v>
      </c>
      <c r="K231" s="202"/>
    </row>
    <row r="232" s="17" customFormat="1" ht="13" customHeight="1" spans="1:11">
      <c r="A232" s="21">
        <v>198</v>
      </c>
      <c r="B232" s="191" t="s">
        <v>375</v>
      </c>
      <c r="C232" s="198">
        <v>31</v>
      </c>
      <c r="D232" s="202">
        <v>24</v>
      </c>
      <c r="E232" s="198">
        <v>744</v>
      </c>
      <c r="F232" s="202">
        <v>328</v>
      </c>
      <c r="G232" s="203"/>
      <c r="H232" s="201">
        <v>0.440860215053763</v>
      </c>
      <c r="I232" s="202">
        <v>100</v>
      </c>
      <c r="J232" s="206" t="s">
        <v>370</v>
      </c>
      <c r="K232" s="202"/>
    </row>
    <row r="233" s="17" customFormat="1" ht="13" customHeight="1" spans="1:11">
      <c r="A233" s="42" t="s">
        <v>196</v>
      </c>
      <c r="B233" s="43"/>
      <c r="C233" s="42"/>
      <c r="D233" s="42"/>
      <c r="E233" s="42" t="s">
        <v>197</v>
      </c>
      <c r="F233" s="42"/>
      <c r="G233" s="43"/>
      <c r="H233" s="42"/>
      <c r="I233" s="42" t="s">
        <v>198</v>
      </c>
      <c r="J233" s="43"/>
      <c r="K233" s="42"/>
    </row>
    <row r="234" s="17" customFormat="1" ht="15" customHeight="1" spans="1:11">
      <c r="A234" s="42"/>
      <c r="B234" s="43"/>
      <c r="C234" s="42"/>
      <c r="D234" s="42"/>
      <c r="E234" s="42"/>
      <c r="F234" s="42"/>
      <c r="G234" s="43"/>
      <c r="H234" s="42"/>
      <c r="I234" s="42"/>
      <c r="J234" s="43"/>
      <c r="K234" s="42"/>
    </row>
    <row r="235" s="17" customFormat="1" ht="15" customHeight="1" spans="1:11">
      <c r="A235" s="42"/>
      <c r="B235" s="43"/>
      <c r="C235" s="42"/>
      <c r="D235" s="42"/>
      <c r="E235" s="42"/>
      <c r="F235" s="42"/>
      <c r="G235" s="43"/>
      <c r="H235" s="42"/>
      <c r="I235" s="42"/>
      <c r="J235" s="43"/>
      <c r="K235" s="42"/>
    </row>
    <row r="236" s="17" customFormat="1" ht="15" customHeight="1" spans="1:11">
      <c r="A236" s="42"/>
      <c r="B236" s="43"/>
      <c r="C236" s="42"/>
      <c r="D236" s="42"/>
      <c r="E236" s="42"/>
      <c r="F236" s="42"/>
      <c r="G236" s="43"/>
      <c r="H236" s="42"/>
      <c r="I236" s="42"/>
      <c r="J236" s="43"/>
      <c r="K236" s="42"/>
    </row>
    <row r="237" s="17" customFormat="1" ht="15" customHeight="1" spans="1:11">
      <c r="A237" s="42"/>
      <c r="B237" s="43"/>
      <c r="C237" s="42"/>
      <c r="D237" s="42"/>
      <c r="E237" s="42"/>
      <c r="F237" s="42"/>
      <c r="G237" s="43"/>
      <c r="H237" s="42"/>
      <c r="I237" s="42"/>
      <c r="J237" s="43"/>
      <c r="K237" s="42"/>
    </row>
    <row r="238" s="17" customFormat="1" ht="15" customHeight="1" spans="1:11">
      <c r="A238" s="42"/>
      <c r="B238" s="43"/>
      <c r="C238" s="42"/>
      <c r="D238" s="42"/>
      <c r="E238" s="42"/>
      <c r="F238" s="42"/>
      <c r="G238" s="43"/>
      <c r="H238" s="42"/>
      <c r="I238" s="42"/>
      <c r="J238" s="43"/>
      <c r="K238" s="42"/>
    </row>
    <row r="239" s="17" customFormat="1" ht="15.75" customHeight="1" spans="1:11">
      <c r="A239" s="42"/>
      <c r="B239" s="43"/>
      <c r="C239" s="42"/>
      <c r="D239" s="42"/>
      <c r="E239" s="42"/>
      <c r="F239" s="42"/>
      <c r="G239" s="43"/>
      <c r="H239" s="42"/>
      <c r="I239" s="42"/>
      <c r="J239" s="43"/>
      <c r="K239" s="42"/>
    </row>
    <row r="240" s="17" customFormat="1" ht="18" customHeight="1" spans="1:11">
      <c r="A240" s="42"/>
      <c r="B240" s="43"/>
      <c r="C240" s="42"/>
      <c r="D240" s="42"/>
      <c r="E240" s="42"/>
      <c r="F240" s="42"/>
      <c r="G240" s="43"/>
      <c r="H240" s="42"/>
      <c r="I240" s="42"/>
      <c r="J240" s="43"/>
      <c r="K240" s="42"/>
    </row>
    <row r="241" s="17" customFormat="1" customHeight="1" spans="1:11">
      <c r="A241" s="42"/>
      <c r="B241" s="43"/>
      <c r="C241" s="42"/>
      <c r="D241" s="42"/>
      <c r="E241" s="42"/>
      <c r="F241" s="42"/>
      <c r="G241" s="43"/>
      <c r="H241" s="42"/>
      <c r="I241" s="42"/>
      <c r="J241" s="43"/>
      <c r="K241" s="42"/>
    </row>
    <row r="242" s="17" customFormat="1" customHeight="1" spans="1:11">
      <c r="A242" s="42"/>
      <c r="B242" s="43"/>
      <c r="C242" s="42"/>
      <c r="D242" s="42"/>
      <c r="E242" s="42"/>
      <c r="F242" s="42"/>
      <c r="G242" s="43"/>
      <c r="H242" s="42"/>
      <c r="I242" s="42"/>
      <c r="J242" s="43"/>
      <c r="K242" s="42"/>
    </row>
    <row r="243" s="17" customFormat="1" ht="15.75" spans="1:11">
      <c r="A243" s="42"/>
      <c r="B243" s="43"/>
      <c r="C243" s="42"/>
      <c r="D243" s="42"/>
      <c r="E243" s="42"/>
      <c r="F243" s="42"/>
      <c r="G243" s="43"/>
      <c r="H243" s="42"/>
      <c r="I243" s="42"/>
      <c r="J243" s="43"/>
      <c r="K243" s="42"/>
    </row>
    <row r="244" s="17" customFormat="1" ht="18" customHeight="1" spans="1:11">
      <c r="A244" s="42"/>
      <c r="B244" s="43"/>
      <c r="C244" s="42"/>
      <c r="D244" s="42"/>
      <c r="E244" s="42"/>
      <c r="F244" s="42"/>
      <c r="G244" s="43"/>
      <c r="H244" s="42"/>
      <c r="I244" s="42"/>
      <c r="J244" s="43"/>
      <c r="K244" s="42"/>
    </row>
    <row r="245" s="17" customFormat="1" customHeight="1" spans="1:11">
      <c r="A245" s="42"/>
      <c r="B245" s="43"/>
      <c r="C245" s="42"/>
      <c r="D245" s="42"/>
      <c r="E245" s="42"/>
      <c r="F245" s="42"/>
      <c r="G245" s="43"/>
      <c r="H245" s="42"/>
      <c r="I245" s="42"/>
      <c r="J245" s="43"/>
      <c r="K245" s="42"/>
    </row>
    <row r="246" s="17" customFormat="1" customHeight="1" spans="1:11">
      <c r="A246" s="42"/>
      <c r="B246" s="43"/>
      <c r="C246" s="42"/>
      <c r="D246" s="42"/>
      <c r="E246" s="42"/>
      <c r="F246" s="42"/>
      <c r="G246" s="43"/>
      <c r="H246" s="42"/>
      <c r="I246" s="42"/>
      <c r="J246" s="43"/>
      <c r="K246" s="42"/>
    </row>
    <row r="247" s="17" customFormat="1" ht="15.75" spans="1:11">
      <c r="A247" s="42"/>
      <c r="B247" s="43"/>
      <c r="C247" s="42"/>
      <c r="D247" s="42"/>
      <c r="E247" s="42"/>
      <c r="F247" s="42"/>
      <c r="G247" s="43"/>
      <c r="H247" s="42"/>
      <c r="I247" s="42"/>
      <c r="J247" s="43"/>
      <c r="K247" s="42"/>
    </row>
    <row r="248" s="17" customFormat="1" ht="15.75" spans="1:11">
      <c r="A248" s="42"/>
      <c r="B248" s="43"/>
      <c r="C248" s="42"/>
      <c r="D248" s="42"/>
      <c r="E248" s="42"/>
      <c r="F248" s="42"/>
      <c r="G248" s="43"/>
      <c r="H248" s="42"/>
      <c r="I248" s="42"/>
      <c r="J248" s="43"/>
      <c r="K248" s="42"/>
    </row>
    <row r="249" s="17" customFormat="1" ht="15.75" spans="1:11">
      <c r="A249" s="42"/>
      <c r="B249" s="43"/>
      <c r="C249" s="42"/>
      <c r="D249" s="42"/>
      <c r="E249" s="42"/>
      <c r="F249" s="42"/>
      <c r="G249" s="43"/>
      <c r="H249" s="42"/>
      <c r="I249" s="42"/>
      <c r="J249" s="43"/>
      <c r="K249" s="42"/>
    </row>
    <row r="250" s="17" customFormat="1" ht="15.75" spans="1:11">
      <c r="A250" s="42"/>
      <c r="B250" s="43"/>
      <c r="C250" s="42"/>
      <c r="D250" s="42"/>
      <c r="E250" s="42"/>
      <c r="F250" s="42"/>
      <c r="G250" s="43"/>
      <c r="H250" s="42"/>
      <c r="I250" s="42"/>
      <c r="J250" s="43"/>
      <c r="K250" s="42"/>
    </row>
    <row r="251" s="17" customFormat="1" ht="15.75" spans="1:11">
      <c r="A251" s="42"/>
      <c r="B251" s="43"/>
      <c r="C251" s="42"/>
      <c r="D251" s="42"/>
      <c r="E251" s="42"/>
      <c r="F251" s="42"/>
      <c r="G251" s="43"/>
      <c r="H251" s="42"/>
      <c r="I251" s="42"/>
      <c r="J251" s="43"/>
      <c r="K251" s="42"/>
    </row>
    <row r="252" s="17" customFormat="1" ht="15.75" spans="1:11">
      <c r="A252" s="42"/>
      <c r="B252" s="43"/>
      <c r="C252" s="42"/>
      <c r="D252" s="42"/>
      <c r="E252" s="42"/>
      <c r="F252" s="42"/>
      <c r="G252" s="43"/>
      <c r="H252" s="42"/>
      <c r="I252" s="42"/>
      <c r="J252" s="43"/>
      <c r="K252" s="42"/>
    </row>
    <row r="253" s="17" customFormat="1" ht="15.75" spans="1:11">
      <c r="A253" s="42"/>
      <c r="B253" s="43"/>
      <c r="C253" s="42"/>
      <c r="D253" s="42"/>
      <c r="E253" s="42"/>
      <c r="F253" s="42"/>
      <c r="G253" s="43"/>
      <c r="H253" s="42"/>
      <c r="I253" s="42"/>
      <c r="J253" s="43"/>
      <c r="K253" s="42"/>
    </row>
    <row r="254" s="17" customFormat="1" ht="15.75" spans="1:11">
      <c r="A254" s="42"/>
      <c r="B254" s="43"/>
      <c r="C254" s="42"/>
      <c r="D254" s="42"/>
      <c r="E254" s="42"/>
      <c r="F254" s="42"/>
      <c r="G254" s="43"/>
      <c r="H254" s="42"/>
      <c r="I254" s="42"/>
      <c r="J254" s="43"/>
      <c r="K254" s="42"/>
    </row>
    <row r="255" s="17" customFormat="1" ht="15.75" spans="1:11">
      <c r="A255" s="42"/>
      <c r="B255" s="43"/>
      <c r="C255" s="42"/>
      <c r="D255" s="42"/>
      <c r="E255" s="42"/>
      <c r="F255" s="42"/>
      <c r="G255" s="43"/>
      <c r="H255" s="42"/>
      <c r="I255" s="42"/>
      <c r="J255" s="43"/>
      <c r="K255" s="42"/>
    </row>
    <row r="256" s="17" customFormat="1" ht="15.75" spans="1:11">
      <c r="A256" s="42"/>
      <c r="B256" s="43"/>
      <c r="C256" s="42"/>
      <c r="D256" s="42"/>
      <c r="E256" s="42"/>
      <c r="F256" s="42"/>
      <c r="G256" s="43"/>
      <c r="H256" s="42"/>
      <c r="I256" s="42"/>
      <c r="J256" s="43"/>
      <c r="K256" s="42"/>
    </row>
    <row r="257" s="17" customFormat="1" ht="15.75" spans="1:11">
      <c r="A257" s="42"/>
      <c r="B257" s="43"/>
      <c r="C257" s="42"/>
      <c r="D257" s="42"/>
      <c r="E257" s="42"/>
      <c r="F257" s="42"/>
      <c r="G257" s="43"/>
      <c r="H257" s="42"/>
      <c r="I257" s="42"/>
      <c r="J257" s="43"/>
      <c r="K257" s="42"/>
    </row>
    <row r="258" s="17" customFormat="1" ht="15.75" spans="1:11">
      <c r="A258" s="42"/>
      <c r="B258" s="43"/>
      <c r="C258" s="42"/>
      <c r="D258" s="42"/>
      <c r="E258" s="42"/>
      <c r="F258" s="42"/>
      <c r="G258" s="43"/>
      <c r="H258" s="42"/>
      <c r="I258" s="42"/>
      <c r="J258" s="43"/>
      <c r="K258" s="42"/>
    </row>
    <row r="259" s="17" customFormat="1" ht="15.75" spans="1:11">
      <c r="A259" s="42"/>
      <c r="B259" s="43"/>
      <c r="C259" s="42"/>
      <c r="D259" s="42"/>
      <c r="E259" s="42"/>
      <c r="F259" s="42"/>
      <c r="G259" s="43"/>
      <c r="H259" s="42"/>
      <c r="I259" s="42"/>
      <c r="J259" s="43"/>
      <c r="K259" s="42"/>
    </row>
    <row r="260" s="17" customFormat="1" ht="15.75" spans="1:11">
      <c r="A260" s="42"/>
      <c r="B260" s="43"/>
      <c r="C260" s="42"/>
      <c r="D260" s="42"/>
      <c r="E260" s="42"/>
      <c r="F260" s="42"/>
      <c r="G260" s="43"/>
      <c r="H260" s="42"/>
      <c r="I260" s="42"/>
      <c r="J260" s="43"/>
      <c r="K260" s="42"/>
    </row>
    <row r="261" s="17" customFormat="1" ht="15.75" spans="1:11">
      <c r="A261" s="42"/>
      <c r="B261" s="43"/>
      <c r="C261" s="42"/>
      <c r="D261" s="42"/>
      <c r="E261" s="42"/>
      <c r="F261" s="42"/>
      <c r="G261" s="43"/>
      <c r="H261" s="42"/>
      <c r="I261" s="42"/>
      <c r="J261" s="43"/>
      <c r="K261" s="42"/>
    </row>
    <row r="262" s="17" customFormat="1" ht="15.75" spans="1:11">
      <c r="A262" s="42"/>
      <c r="B262" s="43"/>
      <c r="C262" s="42"/>
      <c r="D262" s="42"/>
      <c r="E262" s="42"/>
      <c r="F262" s="42"/>
      <c r="G262" s="43"/>
      <c r="H262" s="42"/>
      <c r="I262" s="42"/>
      <c r="J262" s="43"/>
      <c r="K262" s="42"/>
    </row>
    <row r="263" s="17" customFormat="1" ht="15.75" spans="1:11">
      <c r="A263" s="42"/>
      <c r="B263" s="43"/>
      <c r="C263" s="42"/>
      <c r="D263" s="42"/>
      <c r="E263" s="42"/>
      <c r="F263" s="42"/>
      <c r="G263" s="43"/>
      <c r="H263" s="42"/>
      <c r="I263" s="42"/>
      <c r="J263" s="43"/>
      <c r="K263" s="42"/>
    </row>
    <row r="264" s="17" customFormat="1" ht="15.75" spans="1:11">
      <c r="A264" s="42"/>
      <c r="B264" s="43"/>
      <c r="C264" s="42"/>
      <c r="D264" s="42"/>
      <c r="E264" s="42"/>
      <c r="F264" s="42"/>
      <c r="G264" s="43"/>
      <c r="H264" s="42"/>
      <c r="I264" s="42"/>
      <c r="J264" s="43"/>
      <c r="K264" s="42"/>
    </row>
    <row r="265" s="17" customFormat="1" ht="15.75" spans="1:11">
      <c r="A265" s="42"/>
      <c r="B265" s="43"/>
      <c r="C265" s="42"/>
      <c r="D265" s="42"/>
      <c r="E265" s="42"/>
      <c r="F265" s="42"/>
      <c r="G265" s="43"/>
      <c r="H265" s="42"/>
      <c r="I265" s="42"/>
      <c r="J265" s="43"/>
      <c r="K265" s="42"/>
    </row>
    <row r="266" s="17" customFormat="1" ht="15.75" spans="1:11">
      <c r="A266" s="42"/>
      <c r="B266" s="43"/>
      <c r="C266" s="42"/>
      <c r="D266" s="42"/>
      <c r="E266" s="42"/>
      <c r="F266" s="42"/>
      <c r="G266" s="43"/>
      <c r="H266" s="42"/>
      <c r="I266" s="42"/>
      <c r="J266" s="43"/>
      <c r="K266" s="42"/>
    </row>
    <row r="267" s="17" customFormat="1" ht="15.75" spans="1:11">
      <c r="A267" s="42"/>
      <c r="B267" s="43"/>
      <c r="C267" s="42"/>
      <c r="D267" s="42"/>
      <c r="E267" s="42"/>
      <c r="F267" s="42"/>
      <c r="G267" s="43"/>
      <c r="H267" s="42"/>
      <c r="I267" s="42"/>
      <c r="J267" s="43"/>
      <c r="K267" s="42"/>
    </row>
    <row r="268" s="17" customFormat="1" ht="15.75" spans="1:11">
      <c r="A268" s="42"/>
      <c r="B268" s="43"/>
      <c r="C268" s="42"/>
      <c r="D268" s="42"/>
      <c r="E268" s="42"/>
      <c r="F268" s="42"/>
      <c r="G268" s="43"/>
      <c r="H268" s="42"/>
      <c r="I268" s="42"/>
      <c r="J268" s="43"/>
      <c r="K268" s="42"/>
    </row>
    <row r="269" s="17" customFormat="1" ht="15.75" spans="1:11">
      <c r="A269" s="42"/>
      <c r="B269" s="43"/>
      <c r="C269" s="42"/>
      <c r="D269" s="42"/>
      <c r="E269" s="42"/>
      <c r="F269" s="42"/>
      <c r="G269" s="43"/>
      <c r="H269" s="42"/>
      <c r="I269" s="42"/>
      <c r="J269" s="43"/>
      <c r="K269" s="42"/>
    </row>
    <row r="270" s="17" customFormat="1" ht="15.75" spans="1:11">
      <c r="A270" s="42"/>
      <c r="B270" s="43"/>
      <c r="C270" s="42"/>
      <c r="D270" s="42"/>
      <c r="E270" s="42"/>
      <c r="F270" s="42"/>
      <c r="G270" s="43"/>
      <c r="H270" s="42"/>
      <c r="I270" s="42"/>
      <c r="J270" s="43"/>
      <c r="K270" s="42"/>
    </row>
    <row r="271" s="17" customFormat="1" ht="15.75" spans="1:11">
      <c r="A271" s="42"/>
      <c r="B271" s="43"/>
      <c r="C271" s="42"/>
      <c r="D271" s="42"/>
      <c r="E271" s="42"/>
      <c r="F271" s="42"/>
      <c r="G271" s="43"/>
      <c r="H271" s="42"/>
      <c r="I271" s="42"/>
      <c r="J271" s="43"/>
      <c r="K271" s="42"/>
    </row>
    <row r="272" s="17" customFormat="1" ht="18" customHeight="1" spans="1:11">
      <c r="A272" s="42"/>
      <c r="B272" s="43"/>
      <c r="C272" s="42"/>
      <c r="D272" s="42"/>
      <c r="E272" s="42"/>
      <c r="F272" s="42"/>
      <c r="G272" s="43"/>
      <c r="H272" s="42"/>
      <c r="I272" s="42"/>
      <c r="J272" s="43"/>
      <c r="K272" s="42"/>
    </row>
    <row r="273" s="17" customFormat="1" customHeight="1" spans="1:11">
      <c r="A273" s="42"/>
      <c r="B273" s="43"/>
      <c r="C273" s="42"/>
      <c r="D273" s="42"/>
      <c r="E273" s="42"/>
      <c r="F273" s="42"/>
      <c r="G273" s="43"/>
      <c r="H273" s="42"/>
      <c r="I273" s="42"/>
      <c r="J273" s="43"/>
      <c r="K273" s="42"/>
    </row>
    <row r="274" s="17" customFormat="1" customHeight="1" spans="1:11">
      <c r="A274" s="42"/>
      <c r="B274" s="43"/>
      <c r="C274" s="42"/>
      <c r="D274" s="42"/>
      <c r="E274" s="42"/>
      <c r="F274" s="42"/>
      <c r="G274" s="43"/>
      <c r="H274" s="42"/>
      <c r="I274" s="42"/>
      <c r="J274" s="43"/>
      <c r="K274" s="42"/>
    </row>
    <row r="275" s="17" customFormat="1" ht="15.75" spans="1:11">
      <c r="A275" s="42"/>
      <c r="B275" s="43"/>
      <c r="C275" s="42"/>
      <c r="D275" s="42"/>
      <c r="E275" s="42"/>
      <c r="F275" s="42"/>
      <c r="G275" s="43"/>
      <c r="H275" s="42"/>
      <c r="I275" s="42"/>
      <c r="J275" s="43"/>
      <c r="K275" s="42"/>
    </row>
    <row r="276" s="17" customFormat="1" ht="18" customHeight="1" spans="1:11">
      <c r="A276" s="42"/>
      <c r="B276" s="43"/>
      <c r="C276" s="42"/>
      <c r="D276" s="42"/>
      <c r="E276" s="42"/>
      <c r="F276" s="42"/>
      <c r="G276" s="43"/>
      <c r="H276" s="42"/>
      <c r="I276" s="42"/>
      <c r="J276" s="43"/>
      <c r="K276" s="42"/>
    </row>
    <row r="277" s="17" customFormat="1" customHeight="1" spans="1:11">
      <c r="A277" s="42"/>
      <c r="B277" s="43"/>
      <c r="C277" s="42"/>
      <c r="D277" s="42"/>
      <c r="E277" s="42"/>
      <c r="F277" s="42"/>
      <c r="G277" s="43"/>
      <c r="H277" s="42"/>
      <c r="I277" s="42"/>
      <c r="J277" s="43"/>
      <c r="K277" s="42"/>
    </row>
    <row r="278" s="17" customFormat="1" customHeight="1" spans="1:11">
      <c r="A278" s="42"/>
      <c r="B278" s="43"/>
      <c r="C278" s="42"/>
      <c r="D278" s="42"/>
      <c r="E278" s="42"/>
      <c r="F278" s="42"/>
      <c r="G278" s="43"/>
      <c r="H278" s="42"/>
      <c r="I278" s="42"/>
      <c r="J278" s="43"/>
      <c r="K278" s="42"/>
    </row>
    <row r="279" s="17" customFormat="1" ht="15.75" spans="1:11">
      <c r="A279" s="42"/>
      <c r="B279" s="43"/>
      <c r="C279" s="42"/>
      <c r="D279" s="42"/>
      <c r="E279" s="42"/>
      <c r="F279" s="42"/>
      <c r="G279" s="43"/>
      <c r="H279" s="42"/>
      <c r="I279" s="42"/>
      <c r="J279" s="43"/>
      <c r="K279" s="42"/>
    </row>
    <row r="280" s="17" customFormat="1" ht="15.75" spans="1:11">
      <c r="A280" s="42"/>
      <c r="B280" s="43"/>
      <c r="C280" s="42"/>
      <c r="D280" s="42"/>
      <c r="E280" s="42"/>
      <c r="F280" s="42"/>
      <c r="G280" s="43"/>
      <c r="H280" s="42"/>
      <c r="I280" s="42"/>
      <c r="J280" s="43"/>
      <c r="K280" s="42"/>
    </row>
    <row r="281" s="17" customFormat="1" ht="15.75" spans="1:11">
      <c r="A281" s="42"/>
      <c r="B281" s="43"/>
      <c r="C281" s="42"/>
      <c r="D281" s="42"/>
      <c r="E281" s="42"/>
      <c r="F281" s="42"/>
      <c r="G281" s="43"/>
      <c r="H281" s="42"/>
      <c r="I281" s="42"/>
      <c r="J281" s="43"/>
      <c r="K281" s="42"/>
    </row>
    <row r="282" s="17" customFormat="1" ht="15.75" spans="1:11">
      <c r="A282" s="42"/>
      <c r="B282" s="43"/>
      <c r="C282" s="42"/>
      <c r="D282" s="42"/>
      <c r="E282" s="42"/>
      <c r="F282" s="42"/>
      <c r="G282" s="43"/>
      <c r="H282" s="42"/>
      <c r="I282" s="42"/>
      <c r="J282" s="43"/>
      <c r="K282" s="42"/>
    </row>
    <row r="283" s="17" customFormat="1" ht="15.75" spans="1:11">
      <c r="A283" s="42"/>
      <c r="B283" s="43"/>
      <c r="C283" s="42"/>
      <c r="D283" s="42"/>
      <c r="E283" s="42"/>
      <c r="F283" s="42"/>
      <c r="G283" s="43"/>
      <c r="H283" s="42"/>
      <c r="I283" s="42"/>
      <c r="J283" s="43"/>
      <c r="K283" s="42"/>
    </row>
    <row r="284" s="17" customFormat="1" ht="15.75" spans="1:11">
      <c r="A284" s="42"/>
      <c r="B284" s="43"/>
      <c r="C284" s="42"/>
      <c r="D284" s="42"/>
      <c r="E284" s="42"/>
      <c r="F284" s="42"/>
      <c r="G284" s="43"/>
      <c r="H284" s="42"/>
      <c r="I284" s="42"/>
      <c r="J284" s="43"/>
      <c r="K284" s="42"/>
    </row>
    <row r="285" s="17" customFormat="1" ht="15.75" spans="1:11">
      <c r="A285" s="42"/>
      <c r="B285" s="43"/>
      <c r="C285" s="42"/>
      <c r="D285" s="42"/>
      <c r="E285" s="42"/>
      <c r="F285" s="42"/>
      <c r="G285" s="43"/>
      <c r="H285" s="42"/>
      <c r="I285" s="42"/>
      <c r="J285" s="43"/>
      <c r="K285" s="42"/>
    </row>
    <row r="286" s="17" customFormat="1" ht="15.75" spans="1:11">
      <c r="A286" s="42"/>
      <c r="B286" s="43"/>
      <c r="C286" s="42"/>
      <c r="D286" s="42"/>
      <c r="E286" s="42"/>
      <c r="F286" s="42"/>
      <c r="G286" s="43"/>
      <c r="H286" s="42"/>
      <c r="I286" s="42"/>
      <c r="J286" s="43"/>
      <c r="K286" s="42"/>
    </row>
    <row r="287" s="17" customFormat="1" ht="15.75" spans="1:11">
      <c r="A287" s="42"/>
      <c r="B287" s="43"/>
      <c r="C287" s="42"/>
      <c r="D287" s="42"/>
      <c r="E287" s="42"/>
      <c r="F287" s="42"/>
      <c r="G287" s="43"/>
      <c r="H287" s="42"/>
      <c r="I287" s="42"/>
      <c r="J287" s="43"/>
      <c r="K287" s="42"/>
    </row>
    <row r="288" s="17" customFormat="1" ht="15.75" spans="1:11">
      <c r="A288" s="42"/>
      <c r="B288" s="43"/>
      <c r="C288" s="42"/>
      <c r="D288" s="42"/>
      <c r="E288" s="42"/>
      <c r="F288" s="42"/>
      <c r="G288" s="43"/>
      <c r="H288" s="42"/>
      <c r="I288" s="42"/>
      <c r="J288" s="43"/>
      <c r="K288" s="42"/>
    </row>
    <row r="289" s="17" customFormat="1" ht="15.75" spans="1:11">
      <c r="A289" s="42"/>
      <c r="B289" s="43"/>
      <c r="C289" s="42"/>
      <c r="D289" s="42"/>
      <c r="E289" s="42"/>
      <c r="F289" s="42"/>
      <c r="G289" s="43"/>
      <c r="H289" s="42"/>
      <c r="I289" s="42"/>
      <c r="J289" s="43"/>
      <c r="K289" s="42"/>
    </row>
    <row r="290" s="17" customFormat="1" ht="15.75" spans="1:11">
      <c r="A290" s="42"/>
      <c r="B290" s="43"/>
      <c r="C290" s="42"/>
      <c r="D290" s="42"/>
      <c r="E290" s="42"/>
      <c r="F290" s="42"/>
      <c r="G290" s="43"/>
      <c r="H290" s="42"/>
      <c r="I290" s="42"/>
      <c r="J290" s="43"/>
      <c r="K290" s="42"/>
    </row>
    <row r="291" s="17" customFormat="1" spans="2:10">
      <c r="B291" s="16"/>
      <c r="G291" s="16"/>
      <c r="J291" s="16"/>
    </row>
    <row r="292" s="17" customFormat="1" spans="2:10">
      <c r="B292" s="16"/>
      <c r="G292" s="16"/>
      <c r="J292" s="16"/>
    </row>
    <row r="293" s="17" customFormat="1" spans="2:10">
      <c r="B293" s="16"/>
      <c r="G293" s="16"/>
      <c r="J293" s="16"/>
    </row>
    <row r="294" s="17" customFormat="1" spans="2:10">
      <c r="B294" s="16"/>
      <c r="G294" s="16"/>
      <c r="J294" s="16"/>
    </row>
    <row r="295" s="17" customFormat="1" spans="2:10">
      <c r="B295" s="16"/>
      <c r="G295" s="16"/>
      <c r="J295" s="16"/>
    </row>
    <row r="296" s="17" customFormat="1" spans="2:10">
      <c r="B296" s="16"/>
      <c r="G296" s="16"/>
      <c r="J296" s="16"/>
    </row>
    <row r="297" s="17" customFormat="1" spans="2:10">
      <c r="B297" s="16"/>
      <c r="G297" s="16"/>
      <c r="J297" s="16"/>
    </row>
    <row r="298" s="17" customFormat="1" spans="2:10">
      <c r="B298" s="16"/>
      <c r="G298" s="16"/>
      <c r="J298" s="16"/>
    </row>
    <row r="299" s="17" customFormat="1" spans="2:10">
      <c r="B299" s="16"/>
      <c r="G299" s="16"/>
      <c r="J299" s="16"/>
    </row>
    <row r="300" s="17" customFormat="1" spans="2:10">
      <c r="B300" s="16"/>
      <c r="G300" s="16"/>
      <c r="J300" s="16"/>
    </row>
    <row r="301" s="17" customFormat="1" spans="2:10">
      <c r="B301" s="16"/>
      <c r="G301" s="16"/>
      <c r="J301" s="16"/>
    </row>
    <row r="302" s="17" customFormat="1" spans="2:10">
      <c r="B302" s="16"/>
      <c r="G302" s="16"/>
      <c r="J302" s="16"/>
    </row>
    <row r="303" s="17" customFormat="1" spans="2:10">
      <c r="B303" s="16"/>
      <c r="G303" s="16"/>
      <c r="J303" s="16"/>
    </row>
    <row r="304" s="17" customFormat="1" ht="18" customHeight="1" spans="2:10">
      <c r="B304" s="16"/>
      <c r="G304" s="16"/>
      <c r="J304" s="16"/>
    </row>
    <row r="305" s="17" customFormat="1" customHeight="1" spans="2:10">
      <c r="B305" s="16"/>
      <c r="G305" s="16"/>
      <c r="J305" s="16"/>
    </row>
    <row r="306" s="17" customFormat="1" customHeight="1" spans="2:10">
      <c r="B306" s="16"/>
      <c r="G306" s="16"/>
      <c r="J306" s="16"/>
    </row>
    <row r="307" s="17" customFormat="1" spans="2:10">
      <c r="B307" s="16"/>
      <c r="G307" s="16"/>
      <c r="J307" s="16"/>
    </row>
    <row r="308" s="17" customFormat="1" ht="18" customHeight="1" spans="2:10">
      <c r="B308" s="16"/>
      <c r="G308" s="16"/>
      <c r="J308" s="16"/>
    </row>
    <row r="309" s="17" customFormat="1" customHeight="1" spans="2:10">
      <c r="B309" s="16"/>
      <c r="G309" s="16"/>
      <c r="J309" s="16"/>
    </row>
    <row r="310" s="17" customFormat="1" customHeight="1" spans="2:10">
      <c r="B310" s="16"/>
      <c r="G310" s="16"/>
      <c r="J310" s="16"/>
    </row>
    <row r="311" s="17" customFormat="1" spans="2:10">
      <c r="B311" s="16"/>
      <c r="G311" s="16"/>
      <c r="J311" s="16"/>
    </row>
    <row r="312" s="17" customFormat="1" spans="2:10">
      <c r="B312" s="16"/>
      <c r="G312" s="16"/>
      <c r="J312" s="16"/>
    </row>
    <row r="313" s="17" customFormat="1" spans="2:10">
      <c r="B313" s="16"/>
      <c r="G313" s="16"/>
      <c r="J313" s="16"/>
    </row>
    <row r="314" s="17" customFormat="1" spans="2:10">
      <c r="B314" s="16"/>
      <c r="G314" s="16"/>
      <c r="J314" s="16"/>
    </row>
    <row r="315" s="17" customFormat="1" spans="2:10">
      <c r="B315" s="16"/>
      <c r="G315" s="16"/>
      <c r="J315" s="16"/>
    </row>
    <row r="316" s="17" customFormat="1" spans="2:10">
      <c r="B316" s="16"/>
      <c r="G316" s="16"/>
      <c r="J316" s="16"/>
    </row>
    <row r="317" s="17" customFormat="1" spans="2:10">
      <c r="B317" s="16"/>
      <c r="G317" s="16"/>
      <c r="J317" s="16"/>
    </row>
    <row r="318" s="17" customFormat="1" spans="2:10">
      <c r="B318" s="16"/>
      <c r="G318" s="16"/>
      <c r="J318" s="16"/>
    </row>
    <row r="319" s="17" customFormat="1" spans="2:10">
      <c r="B319" s="16"/>
      <c r="G319" s="16"/>
      <c r="J319" s="16"/>
    </row>
    <row r="320" s="17" customFormat="1" spans="2:10">
      <c r="B320" s="16"/>
      <c r="G320" s="16"/>
      <c r="J320" s="16"/>
    </row>
    <row r="321" s="17" customFormat="1" spans="2:10">
      <c r="B321" s="16"/>
      <c r="G321" s="16"/>
      <c r="J321" s="16"/>
    </row>
    <row r="322" s="17" customFormat="1" spans="2:10">
      <c r="B322" s="16"/>
      <c r="G322" s="16"/>
      <c r="J322" s="16"/>
    </row>
    <row r="323" s="17" customFormat="1" spans="2:10">
      <c r="B323" s="16"/>
      <c r="G323" s="16"/>
      <c r="J323" s="16"/>
    </row>
    <row r="324" s="17" customFormat="1" spans="2:10">
      <c r="B324" s="16"/>
      <c r="G324" s="16"/>
      <c r="J324" s="16"/>
    </row>
    <row r="325" s="17" customFormat="1" spans="2:10">
      <c r="B325" s="16"/>
      <c r="G325" s="16"/>
      <c r="J325" s="16"/>
    </row>
    <row r="326" s="17" customFormat="1" spans="2:10">
      <c r="B326" s="16"/>
      <c r="G326" s="16"/>
      <c r="J326" s="16"/>
    </row>
    <row r="327" s="17" customFormat="1" spans="2:10">
      <c r="B327" s="16"/>
      <c r="G327" s="16"/>
      <c r="J327" s="16"/>
    </row>
    <row r="328" s="17" customFormat="1" spans="2:10">
      <c r="B328" s="16"/>
      <c r="G328" s="16"/>
      <c r="J328" s="16"/>
    </row>
    <row r="329" s="17" customFormat="1" spans="2:10">
      <c r="B329" s="16"/>
      <c r="G329" s="16"/>
      <c r="J329" s="16"/>
    </row>
    <row r="330" s="17" customFormat="1" spans="2:10">
      <c r="B330" s="16"/>
      <c r="G330" s="16"/>
      <c r="J330" s="16"/>
    </row>
    <row r="331" s="17" customFormat="1" spans="2:10">
      <c r="B331" s="16"/>
      <c r="G331" s="16"/>
      <c r="J331" s="16"/>
    </row>
    <row r="332" s="17" customFormat="1" spans="2:10">
      <c r="B332" s="16"/>
      <c r="G332" s="16"/>
      <c r="J332" s="16"/>
    </row>
    <row r="333" s="17" customFormat="1" spans="2:10">
      <c r="B333" s="16"/>
      <c r="G333" s="16"/>
      <c r="J333" s="16"/>
    </row>
    <row r="334" s="17" customFormat="1" spans="2:10">
      <c r="B334" s="16"/>
      <c r="G334" s="16"/>
      <c r="J334" s="16"/>
    </row>
    <row r="335" s="17" customFormat="1" spans="2:10">
      <c r="B335" s="16"/>
      <c r="G335" s="16"/>
      <c r="J335" s="16"/>
    </row>
    <row r="336" s="17" customFormat="1" ht="18" customHeight="1" spans="2:10">
      <c r="B336" s="16"/>
      <c r="G336" s="16"/>
      <c r="J336" s="16"/>
    </row>
    <row r="337" s="17" customFormat="1" customHeight="1" spans="2:10">
      <c r="B337" s="16"/>
      <c r="G337" s="16"/>
      <c r="J337" s="16"/>
    </row>
    <row r="338" s="17" customFormat="1" customHeight="1" spans="2:10">
      <c r="B338" s="16"/>
      <c r="G338" s="16"/>
      <c r="J338" s="16"/>
    </row>
    <row r="339" s="17" customFormat="1" ht="18" customHeight="1" spans="2:10">
      <c r="B339" s="16"/>
      <c r="G339" s="16"/>
      <c r="J339" s="16"/>
    </row>
    <row r="340" s="17" customFormat="1" customHeight="1" spans="2:10">
      <c r="B340" s="16"/>
      <c r="G340" s="16"/>
      <c r="J340" s="16"/>
    </row>
    <row r="341" s="17" customFormat="1" customHeight="1" spans="2:10">
      <c r="B341" s="16"/>
      <c r="G341" s="16"/>
      <c r="J341" s="16"/>
    </row>
    <row r="342" s="17" customFormat="1" spans="2:10">
      <c r="B342" s="16"/>
      <c r="G342" s="16"/>
      <c r="J342" s="16"/>
    </row>
    <row r="343" s="17" customFormat="1" spans="2:10">
      <c r="B343" s="16"/>
      <c r="G343" s="16"/>
      <c r="J343" s="16"/>
    </row>
    <row r="344" s="17" customFormat="1" spans="2:10">
      <c r="B344" s="16"/>
      <c r="G344" s="16"/>
      <c r="J344" s="16"/>
    </row>
    <row r="345" s="17" customFormat="1" spans="2:10">
      <c r="B345" s="16"/>
      <c r="G345" s="16"/>
      <c r="J345" s="16"/>
    </row>
    <row r="346" s="17" customFormat="1" spans="2:10">
      <c r="B346" s="16"/>
      <c r="G346" s="16"/>
      <c r="J346" s="16"/>
    </row>
    <row r="347" s="17" customFormat="1" spans="2:10">
      <c r="B347" s="16"/>
      <c r="G347" s="16"/>
      <c r="J347" s="16"/>
    </row>
    <row r="348" s="17" customFormat="1" spans="2:10">
      <c r="B348" s="16"/>
      <c r="G348" s="16"/>
      <c r="J348" s="16"/>
    </row>
    <row r="349" s="17" customFormat="1" spans="2:10">
      <c r="B349" s="16"/>
      <c r="G349" s="16"/>
      <c r="J349" s="16"/>
    </row>
    <row r="350" s="17" customFormat="1" spans="2:10">
      <c r="B350" s="16"/>
      <c r="G350" s="16"/>
      <c r="J350" s="16"/>
    </row>
    <row r="351" s="17" customFormat="1" spans="2:10">
      <c r="B351" s="16"/>
      <c r="G351" s="16"/>
      <c r="J351" s="16"/>
    </row>
    <row r="352" s="17" customFormat="1" spans="2:10">
      <c r="B352" s="16"/>
      <c r="G352" s="16"/>
      <c r="J352" s="16"/>
    </row>
    <row r="353" s="17" customFormat="1" spans="2:10">
      <c r="B353" s="16"/>
      <c r="G353" s="16"/>
      <c r="J353" s="16"/>
    </row>
    <row r="354" s="17" customFormat="1" spans="2:10">
      <c r="B354" s="16"/>
      <c r="G354" s="16"/>
      <c r="J354" s="16"/>
    </row>
    <row r="355" s="17" customFormat="1" spans="2:10">
      <c r="B355" s="16"/>
      <c r="G355" s="16"/>
      <c r="J355" s="16"/>
    </row>
    <row r="356" s="17" customFormat="1" spans="2:10">
      <c r="B356" s="16"/>
      <c r="G356" s="16"/>
      <c r="J356" s="16"/>
    </row>
    <row r="357" s="17" customFormat="1" spans="2:10">
      <c r="B357" s="16"/>
      <c r="G357" s="16"/>
      <c r="J357" s="16"/>
    </row>
    <row r="358" s="17" customFormat="1" spans="2:10">
      <c r="B358" s="16"/>
      <c r="G358" s="16"/>
      <c r="J358" s="16"/>
    </row>
    <row r="359" s="17" customFormat="1" spans="2:10">
      <c r="B359" s="16"/>
      <c r="G359" s="16"/>
      <c r="J359" s="16"/>
    </row>
    <row r="360" s="17" customFormat="1" spans="2:10">
      <c r="B360" s="16"/>
      <c r="G360" s="16"/>
      <c r="J360" s="16"/>
    </row>
    <row r="361" s="17" customFormat="1" spans="2:10">
      <c r="B361" s="16"/>
      <c r="G361" s="16"/>
      <c r="J361" s="16"/>
    </row>
    <row r="362" s="17" customFormat="1" spans="2:10">
      <c r="B362" s="16"/>
      <c r="G362" s="16"/>
      <c r="J362" s="16"/>
    </row>
    <row r="363" s="17" customFormat="1" spans="2:10">
      <c r="B363" s="16"/>
      <c r="G363" s="16"/>
      <c r="J363" s="16"/>
    </row>
    <row r="364" s="17" customFormat="1" spans="2:10">
      <c r="B364" s="16"/>
      <c r="G364" s="16"/>
      <c r="J364" s="16"/>
    </row>
    <row r="365" s="17" customFormat="1" spans="2:10">
      <c r="B365" s="16"/>
      <c r="G365" s="16"/>
      <c r="J365" s="16"/>
    </row>
    <row r="366" s="17" customFormat="1" spans="2:10">
      <c r="B366" s="16"/>
      <c r="G366" s="16"/>
      <c r="J366" s="16"/>
    </row>
    <row r="367" s="17" customFormat="1" spans="2:10">
      <c r="B367" s="16"/>
      <c r="G367" s="16"/>
      <c r="J367" s="16"/>
    </row>
    <row r="368" s="17" customFormat="1" ht="18" customHeight="1" spans="2:10">
      <c r="B368" s="16"/>
      <c r="G368" s="16"/>
      <c r="J368" s="16"/>
    </row>
    <row r="369" s="17" customFormat="1" customHeight="1" spans="2:10">
      <c r="B369" s="16"/>
      <c r="G369" s="16"/>
      <c r="J369" s="16"/>
    </row>
    <row r="370" s="17" customFormat="1" customHeight="1" spans="2:10">
      <c r="B370" s="16"/>
      <c r="G370" s="16"/>
      <c r="J370" s="16"/>
    </row>
    <row r="371" s="17" customFormat="1" customHeight="1" spans="2:10">
      <c r="B371" s="16"/>
      <c r="G371" s="16"/>
      <c r="J371" s="16"/>
    </row>
    <row r="372" s="17" customFormat="1" customHeight="1" spans="2:10">
      <c r="B372" s="16"/>
      <c r="G372" s="16"/>
      <c r="J372" s="16"/>
    </row>
    <row r="373" s="17" customFormat="1" spans="2:10">
      <c r="B373" s="16"/>
      <c r="G373" s="16"/>
      <c r="J373" s="16"/>
    </row>
    <row r="374" s="17" customFormat="1" spans="2:10">
      <c r="B374" s="16"/>
      <c r="G374" s="16"/>
      <c r="J374" s="16"/>
    </row>
    <row r="375" s="17" customFormat="1" spans="2:10">
      <c r="B375" s="16"/>
      <c r="G375" s="16"/>
      <c r="J375" s="16"/>
    </row>
    <row r="376" s="17" customFormat="1" spans="2:10">
      <c r="B376" s="16"/>
      <c r="G376" s="16"/>
      <c r="J376" s="16"/>
    </row>
    <row r="377" s="17" customFormat="1" spans="2:10">
      <c r="B377" s="16"/>
      <c r="G377" s="16"/>
      <c r="J377" s="16"/>
    </row>
    <row r="378" s="17" customFormat="1" spans="2:10">
      <c r="B378" s="16"/>
      <c r="G378" s="16"/>
      <c r="J378" s="16"/>
    </row>
    <row r="379" s="17" customFormat="1" spans="2:10">
      <c r="B379" s="16"/>
      <c r="G379" s="16"/>
      <c r="J379" s="16"/>
    </row>
    <row r="380" s="17" customFormat="1" spans="2:10">
      <c r="B380" s="16"/>
      <c r="G380" s="16"/>
      <c r="J380" s="16"/>
    </row>
    <row r="381" s="17" customFormat="1" spans="2:10">
      <c r="B381" s="16"/>
      <c r="G381" s="16"/>
      <c r="J381" s="16"/>
    </row>
    <row r="382" s="17" customFormat="1" spans="2:10">
      <c r="B382" s="16"/>
      <c r="G382" s="16"/>
      <c r="J382" s="16"/>
    </row>
    <row r="383" s="17" customFormat="1" spans="2:10">
      <c r="B383" s="16"/>
      <c r="G383" s="16"/>
      <c r="J383" s="16"/>
    </row>
    <row r="384" s="17" customFormat="1" spans="2:10">
      <c r="B384" s="16"/>
      <c r="G384" s="16"/>
      <c r="J384" s="16"/>
    </row>
    <row r="385" s="17" customFormat="1" spans="2:10">
      <c r="B385" s="16"/>
      <c r="G385" s="16"/>
      <c r="J385" s="16"/>
    </row>
    <row r="386" s="17" customFormat="1" spans="2:10">
      <c r="B386" s="16"/>
      <c r="G386" s="16"/>
      <c r="J386" s="16"/>
    </row>
    <row r="387" s="17" customFormat="1" spans="2:10">
      <c r="B387" s="16"/>
      <c r="G387" s="16"/>
      <c r="J387" s="16"/>
    </row>
    <row r="388" s="17" customFormat="1" spans="2:10">
      <c r="B388" s="16"/>
      <c r="G388" s="16"/>
      <c r="J388" s="16"/>
    </row>
    <row r="389" s="17" customFormat="1" spans="2:10">
      <c r="B389" s="16"/>
      <c r="G389" s="16"/>
      <c r="J389" s="16"/>
    </row>
    <row r="390" s="17" customFormat="1" spans="2:10">
      <c r="B390" s="16"/>
      <c r="G390" s="16"/>
      <c r="J390" s="16"/>
    </row>
    <row r="391" s="17" customFormat="1" spans="2:10">
      <c r="B391" s="16"/>
      <c r="G391" s="16"/>
      <c r="J391" s="16"/>
    </row>
    <row r="392" s="17" customFormat="1" spans="2:10">
      <c r="B392" s="16"/>
      <c r="G392" s="16"/>
      <c r="J392" s="16"/>
    </row>
    <row r="393" s="17" customFormat="1" spans="2:10">
      <c r="B393" s="16"/>
      <c r="G393" s="16"/>
      <c r="J393" s="16"/>
    </row>
    <row r="394" s="17" customFormat="1" spans="2:10">
      <c r="B394" s="16"/>
      <c r="G394" s="16"/>
      <c r="J394" s="16"/>
    </row>
    <row r="395" s="17" customFormat="1" spans="2:10">
      <c r="B395" s="16"/>
      <c r="G395" s="16"/>
      <c r="J395" s="16"/>
    </row>
    <row r="396" s="17" customFormat="1" spans="2:10">
      <c r="B396" s="16"/>
      <c r="G396" s="16"/>
      <c r="J396" s="16"/>
    </row>
    <row r="397" s="17" customFormat="1" spans="2:10">
      <c r="B397" s="16"/>
      <c r="G397" s="16"/>
      <c r="J397" s="16"/>
    </row>
    <row r="398" s="17" customFormat="1" spans="2:10">
      <c r="B398" s="16"/>
      <c r="G398" s="16"/>
      <c r="J398" s="16"/>
    </row>
    <row r="399" s="17" customFormat="1" ht="18" customHeight="1" spans="2:10">
      <c r="B399" s="16"/>
      <c r="G399" s="16"/>
      <c r="J399" s="16"/>
    </row>
    <row r="400" s="17" customFormat="1" customHeight="1" spans="2:10">
      <c r="B400" s="16"/>
      <c r="G400" s="16"/>
      <c r="J400" s="16"/>
    </row>
    <row r="401" s="17" customFormat="1" customHeight="1" spans="2:10">
      <c r="B401" s="16"/>
      <c r="G401" s="16"/>
      <c r="J401" s="16"/>
    </row>
    <row r="402" s="17" customFormat="1" spans="2:10">
      <c r="B402" s="16"/>
      <c r="G402" s="16"/>
      <c r="J402" s="16"/>
    </row>
    <row r="403" s="17" customFormat="1" spans="2:10">
      <c r="B403" s="16"/>
      <c r="G403" s="16"/>
      <c r="J403" s="16"/>
    </row>
    <row r="404" s="17" customFormat="1" spans="2:10">
      <c r="B404" s="16"/>
      <c r="G404" s="16"/>
      <c r="J404" s="16"/>
    </row>
    <row r="405" s="17" customFormat="1" spans="2:10">
      <c r="B405" s="16"/>
      <c r="G405" s="16"/>
      <c r="J405" s="16"/>
    </row>
    <row r="406" s="17" customFormat="1" spans="2:10">
      <c r="B406" s="16"/>
      <c r="G406" s="16"/>
      <c r="J406" s="16"/>
    </row>
    <row r="407" s="17" customFormat="1" spans="2:10">
      <c r="B407" s="16"/>
      <c r="G407" s="16"/>
      <c r="J407" s="16"/>
    </row>
    <row r="408" s="17" customFormat="1" spans="2:10">
      <c r="B408" s="16"/>
      <c r="G408" s="16"/>
      <c r="J408" s="16"/>
    </row>
    <row r="409" s="17" customFormat="1" spans="2:10">
      <c r="B409" s="16"/>
      <c r="G409" s="16"/>
      <c r="J409" s="16"/>
    </row>
    <row r="410" s="17" customFormat="1" spans="2:10">
      <c r="B410" s="16"/>
      <c r="G410" s="16"/>
      <c r="J410" s="16"/>
    </row>
    <row r="411" s="17" customFormat="1" spans="2:10">
      <c r="B411" s="16"/>
      <c r="G411" s="16"/>
      <c r="J411" s="16"/>
    </row>
    <row r="412" s="17" customFormat="1" spans="2:10">
      <c r="B412" s="16"/>
      <c r="G412" s="16"/>
      <c r="J412" s="16"/>
    </row>
    <row r="413" s="17" customFormat="1" spans="2:10">
      <c r="B413" s="16"/>
      <c r="G413" s="16"/>
      <c r="J413" s="16"/>
    </row>
    <row r="414" s="17" customFormat="1" spans="2:10">
      <c r="B414" s="16"/>
      <c r="G414" s="16"/>
      <c r="J414" s="16"/>
    </row>
    <row r="415" s="17" customFormat="1" spans="2:10">
      <c r="B415" s="16"/>
      <c r="G415" s="16"/>
      <c r="J415" s="16"/>
    </row>
    <row r="416" s="17" customFormat="1" spans="2:10">
      <c r="B416" s="16"/>
      <c r="G416" s="16"/>
      <c r="J416" s="16"/>
    </row>
    <row r="417" s="17" customFormat="1" spans="2:10">
      <c r="B417" s="16"/>
      <c r="G417" s="16"/>
      <c r="J417" s="16"/>
    </row>
    <row r="418" s="17" customFormat="1" spans="2:10">
      <c r="B418" s="16"/>
      <c r="G418" s="16"/>
      <c r="J418" s="16"/>
    </row>
    <row r="419" s="17" customFormat="1" spans="2:10">
      <c r="B419" s="16"/>
      <c r="G419" s="16"/>
      <c r="J419" s="16"/>
    </row>
    <row r="420" s="17" customFormat="1" spans="2:10">
      <c r="B420" s="16"/>
      <c r="G420" s="16"/>
      <c r="J420" s="16"/>
    </row>
    <row r="421" s="17" customFormat="1" spans="2:10">
      <c r="B421" s="16"/>
      <c r="G421" s="16"/>
      <c r="J421" s="16"/>
    </row>
    <row r="422" s="17" customFormat="1" spans="2:10">
      <c r="B422" s="16"/>
      <c r="G422" s="16"/>
      <c r="J422" s="16"/>
    </row>
    <row r="423" s="17" customFormat="1" spans="2:10">
      <c r="B423" s="16"/>
      <c r="G423" s="16"/>
      <c r="J423" s="16"/>
    </row>
    <row r="424" s="17" customFormat="1" spans="2:10">
      <c r="B424" s="16"/>
      <c r="G424" s="16"/>
      <c r="J424" s="16"/>
    </row>
    <row r="425" s="17" customFormat="1" spans="2:10">
      <c r="B425" s="16"/>
      <c r="G425" s="16"/>
      <c r="J425" s="16"/>
    </row>
    <row r="426" s="17" customFormat="1" spans="2:10">
      <c r="B426" s="16"/>
      <c r="G426" s="16"/>
      <c r="J426" s="16"/>
    </row>
    <row r="427" s="17" customFormat="1" spans="2:10">
      <c r="B427" s="16"/>
      <c r="G427" s="16"/>
      <c r="J427" s="16"/>
    </row>
    <row r="428" s="17" customFormat="1" spans="2:10">
      <c r="B428" s="16"/>
      <c r="G428" s="16"/>
      <c r="J428" s="16"/>
    </row>
    <row r="429" s="17" customFormat="1" spans="2:10">
      <c r="B429" s="16"/>
      <c r="G429" s="16"/>
      <c r="J429" s="16"/>
    </row>
    <row r="430" s="17" customFormat="1" ht="18" customHeight="1" spans="2:10">
      <c r="B430" s="16"/>
      <c r="G430" s="16"/>
      <c r="J430" s="16"/>
    </row>
    <row r="431" s="17" customFormat="1" customHeight="1" spans="2:10">
      <c r="B431" s="16"/>
      <c r="G431" s="16"/>
      <c r="J431" s="16"/>
    </row>
    <row r="432" s="17" customFormat="1" customHeight="1" spans="2:10">
      <c r="B432" s="16"/>
      <c r="G432" s="16"/>
      <c r="J432" s="16"/>
    </row>
  </sheetData>
  <mergeCells count="80">
    <mergeCell ref="A1:K1"/>
    <mergeCell ref="I32:K32"/>
    <mergeCell ref="A33:K33"/>
    <mergeCell ref="I64:K64"/>
    <mergeCell ref="A65:K65"/>
    <mergeCell ref="I96:K96"/>
    <mergeCell ref="A97:K97"/>
    <mergeCell ref="I128:K128"/>
    <mergeCell ref="A129:K129"/>
    <mergeCell ref="I160:K160"/>
    <mergeCell ref="A161:K161"/>
    <mergeCell ref="I194:K194"/>
    <mergeCell ref="A197:K197"/>
    <mergeCell ref="I233:K233"/>
    <mergeCell ref="A2:A3"/>
    <mergeCell ref="A34:A35"/>
    <mergeCell ref="A66:A67"/>
    <mergeCell ref="A130:A131"/>
    <mergeCell ref="A162:A163"/>
    <mergeCell ref="A198:A199"/>
    <mergeCell ref="B2:B3"/>
    <mergeCell ref="B34:B35"/>
    <mergeCell ref="B66:B67"/>
    <mergeCell ref="B130:B131"/>
    <mergeCell ref="B162:B163"/>
    <mergeCell ref="B198:B199"/>
    <mergeCell ref="C2:C3"/>
    <mergeCell ref="C34:C35"/>
    <mergeCell ref="C66:C67"/>
    <mergeCell ref="C130:C131"/>
    <mergeCell ref="C162:C163"/>
    <mergeCell ref="C198:C199"/>
    <mergeCell ref="D2:D3"/>
    <mergeCell ref="D34:D35"/>
    <mergeCell ref="D66:D67"/>
    <mergeCell ref="D130:D131"/>
    <mergeCell ref="D162:D163"/>
    <mergeCell ref="D198:D199"/>
    <mergeCell ref="E2:E3"/>
    <mergeCell ref="E34:E35"/>
    <mergeCell ref="E66:E67"/>
    <mergeCell ref="E130:E131"/>
    <mergeCell ref="E162:E163"/>
    <mergeCell ref="E198:E199"/>
    <mergeCell ref="F2:F3"/>
    <mergeCell ref="F34:F35"/>
    <mergeCell ref="F66:F67"/>
    <mergeCell ref="F130:F131"/>
    <mergeCell ref="F162:F163"/>
    <mergeCell ref="F198:F199"/>
    <mergeCell ref="G2:G3"/>
    <mergeCell ref="G34:G35"/>
    <mergeCell ref="G66:G67"/>
    <mergeCell ref="G130:G131"/>
    <mergeCell ref="G162:G163"/>
    <mergeCell ref="G198:G199"/>
    <mergeCell ref="H2:H3"/>
    <mergeCell ref="H34:H35"/>
    <mergeCell ref="H66:H67"/>
    <mergeCell ref="H130:H131"/>
    <mergeCell ref="H162:H163"/>
    <mergeCell ref="H198:H199"/>
    <mergeCell ref="I2:I3"/>
    <mergeCell ref="I34:I35"/>
    <mergeCell ref="I66:I67"/>
    <mergeCell ref="I130:I131"/>
    <mergeCell ref="I162:I163"/>
    <mergeCell ref="I198:I199"/>
    <mergeCell ref="J2:J3"/>
    <mergeCell ref="J34:J35"/>
    <mergeCell ref="J66:J67"/>
    <mergeCell ref="J130:J131"/>
    <mergeCell ref="J162:J163"/>
    <mergeCell ref="J198:J199"/>
    <mergeCell ref="K2:K3"/>
    <mergeCell ref="K34:K35"/>
    <mergeCell ref="K66:K67"/>
    <mergeCell ref="K130:K131"/>
    <mergeCell ref="K162:K163"/>
    <mergeCell ref="K198:K199"/>
  </mergeCells>
  <printOptions horizontalCentered="1" verticalCentered="1"/>
  <pageMargins left="0.751388888888889" right="0.751388888888889" top="0.409027777777778" bottom="0.409027777777778" header="0.5" footer="0.5"/>
  <pageSetup paperSize="9" fitToHeight="0" orientation="landscape" horizontalDpi="600"/>
  <headerFooter/>
  <rowBreaks count="7" manualBreakCount="7">
    <brk id="32" max="16383" man="1"/>
    <brk id="64" max="16383" man="1"/>
    <brk id="96" max="16383" man="1"/>
    <brk id="128" max="16383" man="1"/>
    <brk id="160" max="16383" man="1"/>
    <brk id="196" max="16383" man="1"/>
    <brk id="233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C33" sqref="C33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376</v>
      </c>
      <c r="B1" s="19"/>
      <c r="C1" s="19"/>
      <c r="D1" s="19"/>
      <c r="E1" s="19"/>
      <c r="F1" s="19"/>
      <c r="G1" s="19"/>
    </row>
    <row r="2" s="16" customFormat="1" ht="15.75" spans="1:7">
      <c r="A2" s="20">
        <v>44409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377</v>
      </c>
      <c r="B3" s="21" t="s">
        <v>378</v>
      </c>
      <c r="C3" s="21" t="s">
        <v>379</v>
      </c>
      <c r="D3" s="22" t="s">
        <v>380</v>
      </c>
      <c r="E3" s="21" t="s">
        <v>381</v>
      </c>
      <c r="F3" s="23" t="s">
        <v>382</v>
      </c>
      <c r="G3" s="21" t="s">
        <v>383</v>
      </c>
    </row>
    <row r="4" s="16" customFormat="1" ht="19" customHeight="1" spans="1:7">
      <c r="A4" s="21">
        <v>1</v>
      </c>
      <c r="B4" s="21" t="s">
        <v>384</v>
      </c>
      <c r="C4" s="24" t="s">
        <v>385</v>
      </c>
      <c r="D4" s="21" t="s">
        <v>386</v>
      </c>
      <c r="E4" s="21" t="s">
        <v>387</v>
      </c>
      <c r="F4" s="21" t="s">
        <v>388</v>
      </c>
      <c r="G4" s="25" t="s">
        <v>389</v>
      </c>
    </row>
    <row r="5" s="16" customFormat="1" ht="19" customHeight="1" spans="1:7">
      <c r="A5" s="21">
        <v>2</v>
      </c>
      <c r="B5" s="21" t="s">
        <v>384</v>
      </c>
      <c r="C5" s="24" t="s">
        <v>385</v>
      </c>
      <c r="D5" s="26" t="s">
        <v>390</v>
      </c>
      <c r="E5" s="26" t="s">
        <v>391</v>
      </c>
      <c r="F5" s="26" t="s">
        <v>392</v>
      </c>
      <c r="G5" s="25" t="s">
        <v>393</v>
      </c>
    </row>
    <row r="6" s="16" customFormat="1" ht="19" customHeight="1" spans="1:7">
      <c r="A6" s="21">
        <v>3</v>
      </c>
      <c r="B6" s="21" t="s">
        <v>394</v>
      </c>
      <c r="C6" s="26" t="s">
        <v>395</v>
      </c>
      <c r="D6" s="21" t="s">
        <v>396</v>
      </c>
      <c r="E6" s="21" t="s">
        <v>387</v>
      </c>
      <c r="F6" s="21" t="s">
        <v>388</v>
      </c>
      <c r="G6" s="25" t="s">
        <v>397</v>
      </c>
    </row>
    <row r="7" s="16" customFormat="1" ht="19" customHeight="1" spans="1:7">
      <c r="A7" s="21">
        <v>4</v>
      </c>
      <c r="B7" s="21" t="s">
        <v>398</v>
      </c>
      <c r="C7" s="26" t="s">
        <v>399</v>
      </c>
      <c r="D7" s="21" t="s">
        <v>396</v>
      </c>
      <c r="E7" s="21" t="s">
        <v>387</v>
      </c>
      <c r="F7" s="21" t="s">
        <v>388</v>
      </c>
      <c r="G7" s="25" t="s">
        <v>393</v>
      </c>
    </row>
    <row r="8" s="16" customFormat="1" ht="19" customHeight="1" spans="1:7">
      <c r="A8" s="21">
        <v>5</v>
      </c>
      <c r="B8" s="21" t="s">
        <v>398</v>
      </c>
      <c r="C8" s="23" t="s">
        <v>400</v>
      </c>
      <c r="D8" s="21" t="s">
        <v>401</v>
      </c>
      <c r="E8" s="21" t="s">
        <v>387</v>
      </c>
      <c r="F8" s="21" t="s">
        <v>388</v>
      </c>
      <c r="G8" s="25" t="s">
        <v>397</v>
      </c>
    </row>
    <row r="9" s="16" customFormat="1" ht="19" customHeight="1" spans="1:7">
      <c r="A9" s="21">
        <v>6</v>
      </c>
      <c r="B9" s="21" t="s">
        <v>394</v>
      </c>
      <c r="C9" s="27" t="s">
        <v>402</v>
      </c>
      <c r="D9" s="21" t="s">
        <v>401</v>
      </c>
      <c r="E9" s="21" t="s">
        <v>387</v>
      </c>
      <c r="F9" s="21" t="s">
        <v>388</v>
      </c>
      <c r="G9" s="25" t="s">
        <v>403</v>
      </c>
    </row>
    <row r="10" s="16" customFormat="1" ht="19" customHeight="1" spans="1:7">
      <c r="A10" s="21">
        <v>7</v>
      </c>
      <c r="B10" s="21" t="s">
        <v>398</v>
      </c>
      <c r="C10" s="23" t="s">
        <v>400</v>
      </c>
      <c r="D10" s="21" t="s">
        <v>404</v>
      </c>
      <c r="E10" s="21" t="s">
        <v>387</v>
      </c>
      <c r="F10" s="21" t="s">
        <v>388</v>
      </c>
      <c r="G10" s="25" t="s">
        <v>389</v>
      </c>
    </row>
    <row r="11" s="16" customFormat="1" ht="19" customHeight="1" spans="1:7">
      <c r="A11" s="21">
        <v>8</v>
      </c>
      <c r="B11" s="21" t="s">
        <v>394</v>
      </c>
      <c r="C11" s="27" t="s">
        <v>402</v>
      </c>
      <c r="D11" s="21" t="s">
        <v>404</v>
      </c>
      <c r="E11" s="21" t="s">
        <v>387</v>
      </c>
      <c r="F11" s="21" t="s">
        <v>388</v>
      </c>
      <c r="G11" s="25" t="s">
        <v>393</v>
      </c>
    </row>
    <row r="12" s="16" customFormat="1" ht="19" customHeight="1" spans="1:7">
      <c r="A12" s="21">
        <v>9</v>
      </c>
      <c r="B12" s="21" t="s">
        <v>398</v>
      </c>
      <c r="C12" s="21" t="s">
        <v>400</v>
      </c>
      <c r="D12" s="21" t="s">
        <v>405</v>
      </c>
      <c r="E12" s="21" t="s">
        <v>387</v>
      </c>
      <c r="F12" s="21" t="s">
        <v>388</v>
      </c>
      <c r="G12" s="25" t="s">
        <v>397</v>
      </c>
    </row>
    <row r="13" s="16" customFormat="1" ht="19" customHeight="1" spans="1:7">
      <c r="A13" s="21">
        <v>10</v>
      </c>
      <c r="B13" s="21" t="s">
        <v>394</v>
      </c>
      <c r="C13" s="27" t="s">
        <v>402</v>
      </c>
      <c r="D13" s="21" t="s">
        <v>405</v>
      </c>
      <c r="E13" s="21" t="s">
        <v>387</v>
      </c>
      <c r="F13" s="21" t="s">
        <v>388</v>
      </c>
      <c r="G13" s="25" t="s">
        <v>403</v>
      </c>
    </row>
    <row r="14" s="16" customFormat="1" ht="19" customHeight="1" spans="1:7">
      <c r="A14" s="21">
        <v>11</v>
      </c>
      <c r="B14" s="21" t="s">
        <v>406</v>
      </c>
      <c r="C14" s="21" t="s">
        <v>407</v>
      </c>
      <c r="D14" s="21" t="s">
        <v>408</v>
      </c>
      <c r="E14" s="21" t="s">
        <v>387</v>
      </c>
      <c r="F14" s="21" t="s">
        <v>388</v>
      </c>
      <c r="G14" s="21" t="s">
        <v>409</v>
      </c>
    </row>
    <row r="15" s="16" customFormat="1" ht="19" customHeight="1" spans="1:7">
      <c r="A15" s="21">
        <v>12</v>
      </c>
      <c r="B15" s="21" t="s">
        <v>410</v>
      </c>
      <c r="C15" s="21" t="s">
        <v>411</v>
      </c>
      <c r="D15" s="21" t="s">
        <v>408</v>
      </c>
      <c r="E15" s="21" t="s">
        <v>387</v>
      </c>
      <c r="F15" s="21" t="s">
        <v>388</v>
      </c>
      <c r="G15" s="21" t="s">
        <v>409</v>
      </c>
    </row>
    <row r="16" s="16" customFormat="1" ht="19" customHeight="1" spans="1:7">
      <c r="A16" s="21">
        <v>13</v>
      </c>
      <c r="B16" s="21" t="s">
        <v>412</v>
      </c>
      <c r="C16" s="21" t="s">
        <v>413</v>
      </c>
      <c r="D16" s="21" t="s">
        <v>408</v>
      </c>
      <c r="E16" s="21" t="s">
        <v>387</v>
      </c>
      <c r="F16" s="21" t="s">
        <v>388</v>
      </c>
      <c r="G16" s="21" t="s">
        <v>409</v>
      </c>
    </row>
    <row r="17" s="16" customFormat="1" ht="19" customHeight="1" spans="1:7">
      <c r="A17" s="21">
        <v>14</v>
      </c>
      <c r="B17" s="21" t="s">
        <v>414</v>
      </c>
      <c r="C17" s="21" t="s">
        <v>415</v>
      </c>
      <c r="D17" s="26" t="s">
        <v>416</v>
      </c>
      <c r="E17" s="26" t="s">
        <v>391</v>
      </c>
      <c r="F17" s="26" t="s">
        <v>392</v>
      </c>
      <c r="G17" s="21" t="s">
        <v>409</v>
      </c>
    </row>
    <row r="18" s="16" customFormat="1" ht="19" customHeight="1" spans="1:7">
      <c r="A18" s="21">
        <v>15</v>
      </c>
      <c r="B18" s="21" t="s">
        <v>406</v>
      </c>
      <c r="C18" s="21" t="s">
        <v>407</v>
      </c>
      <c r="D18" s="22" t="s">
        <v>417</v>
      </c>
      <c r="E18" s="21" t="s">
        <v>387</v>
      </c>
      <c r="F18" s="21" t="s">
        <v>388</v>
      </c>
      <c r="G18" s="21" t="s">
        <v>418</v>
      </c>
    </row>
    <row r="19" s="16" customFormat="1" ht="19" customHeight="1" spans="1:7">
      <c r="A19" s="21">
        <v>16</v>
      </c>
      <c r="B19" s="21" t="s">
        <v>410</v>
      </c>
      <c r="C19" s="21" t="s">
        <v>411</v>
      </c>
      <c r="D19" s="22" t="s">
        <v>417</v>
      </c>
      <c r="E19" s="21" t="s">
        <v>387</v>
      </c>
      <c r="F19" s="21" t="s">
        <v>388</v>
      </c>
      <c r="G19" s="21" t="s">
        <v>418</v>
      </c>
    </row>
    <row r="20" s="16" customFormat="1" ht="19" customHeight="1" spans="1:7">
      <c r="A20" s="21">
        <v>17</v>
      </c>
      <c r="B20" s="21" t="s">
        <v>419</v>
      </c>
      <c r="C20" s="21" t="s">
        <v>415</v>
      </c>
      <c r="D20" s="22" t="s">
        <v>417</v>
      </c>
      <c r="E20" s="26" t="s">
        <v>391</v>
      </c>
      <c r="F20" s="26" t="s">
        <v>392</v>
      </c>
      <c r="G20" s="21" t="s">
        <v>418</v>
      </c>
    </row>
    <row r="21" s="16" customFormat="1" ht="19" customHeight="1" spans="1:7">
      <c r="A21" s="21">
        <v>18</v>
      </c>
      <c r="B21" s="21" t="s">
        <v>412</v>
      </c>
      <c r="C21" s="21" t="s">
        <v>413</v>
      </c>
      <c r="D21" s="22" t="s">
        <v>417</v>
      </c>
      <c r="E21" s="21" t="s">
        <v>387</v>
      </c>
      <c r="F21" s="21" t="s">
        <v>388</v>
      </c>
      <c r="G21" s="21" t="s">
        <v>418</v>
      </c>
    </row>
    <row r="22" s="16" customFormat="1" ht="19" customHeight="1" spans="1:7">
      <c r="A22" s="21">
        <v>19</v>
      </c>
      <c r="B22" s="22" t="s">
        <v>420</v>
      </c>
      <c r="C22" s="21" t="s">
        <v>421</v>
      </c>
      <c r="D22" s="22" t="s">
        <v>422</v>
      </c>
      <c r="E22" s="21" t="s">
        <v>387</v>
      </c>
      <c r="F22" s="21" t="s">
        <v>388</v>
      </c>
      <c r="G22" s="25" t="s">
        <v>389</v>
      </c>
    </row>
    <row r="23" s="16" customFormat="1" ht="19" customHeight="1" spans="1:7">
      <c r="A23" s="21">
        <v>20</v>
      </c>
      <c r="B23" s="22" t="s">
        <v>420</v>
      </c>
      <c r="C23" s="21" t="s">
        <v>421</v>
      </c>
      <c r="D23" s="22" t="s">
        <v>423</v>
      </c>
      <c r="E23" s="21" t="s">
        <v>387</v>
      </c>
      <c r="F23" s="21" t="s">
        <v>388</v>
      </c>
      <c r="G23" s="25" t="s">
        <v>393</v>
      </c>
    </row>
    <row r="24" s="17" customFormat="1" ht="30" customHeight="1" spans="1:7">
      <c r="A24" s="28" t="s">
        <v>424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3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zoomScaleSheetLayoutView="60" workbookViewId="0">
      <selection activeCell="N33" sqref="N33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427</v>
      </c>
      <c r="B3" s="2" t="s">
        <v>428</v>
      </c>
      <c r="C3" s="2" t="s">
        <v>429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430</v>
      </c>
      <c r="K3" s="10"/>
      <c r="L3" s="10" t="s">
        <v>431</v>
      </c>
    </row>
    <row r="4" ht="15.75" spans="1:12">
      <c r="A4" s="4">
        <v>44432</v>
      </c>
      <c r="B4" s="5" t="s">
        <v>432</v>
      </c>
      <c r="C4" s="3" t="s">
        <v>433</v>
      </c>
      <c r="D4" s="3"/>
      <c r="E4" s="3"/>
      <c r="F4" s="3"/>
      <c r="G4" s="3"/>
      <c r="H4" s="3"/>
      <c r="I4" s="3"/>
      <c r="J4" s="13">
        <v>3.225</v>
      </c>
      <c r="K4" s="10"/>
      <c r="L4" s="10"/>
    </row>
    <row r="5" ht="15.75" spans="1:12">
      <c r="A5" s="4"/>
      <c r="B5" s="4"/>
      <c r="C5" s="3" t="s">
        <v>434</v>
      </c>
      <c r="D5" s="3">
        <v>3.63</v>
      </c>
      <c r="E5" s="3">
        <v>4.57</v>
      </c>
      <c r="F5" s="3">
        <v>7.32</v>
      </c>
      <c r="G5" s="6">
        <v>8.89</v>
      </c>
      <c r="H5" s="3"/>
      <c r="I5" s="3"/>
      <c r="J5" s="13"/>
      <c r="K5" s="14">
        <f>SLOPE(D5:G5,D$3:G$3)</f>
        <v>0.0918285714285714</v>
      </c>
      <c r="L5" s="14">
        <f>K5*60/J4</f>
        <v>1.70843853820598</v>
      </c>
    </row>
    <row r="6" ht="15.75" spans="1:12">
      <c r="A6" s="4"/>
      <c r="B6" s="4"/>
      <c r="C6" s="3" t="s">
        <v>130</v>
      </c>
      <c r="D6" s="3">
        <v>8.12</v>
      </c>
      <c r="E6" s="3">
        <v>6.7</v>
      </c>
      <c r="F6" s="3">
        <v>5.09</v>
      </c>
      <c r="G6" s="3">
        <v>3.51</v>
      </c>
      <c r="H6" s="3"/>
      <c r="I6" s="3"/>
      <c r="J6" s="13"/>
      <c r="K6" s="14">
        <f>SLOPE(D6:G6,D$3:G$3)</f>
        <v>-0.0766857142857143</v>
      </c>
      <c r="L6" s="14">
        <f>K6*60/J4</f>
        <v>-1.42671096345515</v>
      </c>
    </row>
    <row r="7" ht="15.75" spans="1:12">
      <c r="A7" s="4"/>
      <c r="B7" s="4"/>
      <c r="C7" s="7" t="s">
        <v>435</v>
      </c>
      <c r="D7" s="6">
        <v>5.51</v>
      </c>
      <c r="E7" s="6">
        <v>2.25</v>
      </c>
      <c r="F7" s="6">
        <v>1.83</v>
      </c>
      <c r="G7" s="6">
        <v>1.67</v>
      </c>
      <c r="H7" s="3"/>
      <c r="I7" s="3"/>
      <c r="J7" s="13"/>
      <c r="K7" s="14">
        <f>SLOPE(D7:G7,D$3:G$3)</f>
        <v>-0.0542095238095238</v>
      </c>
      <c r="L7" s="14">
        <f>K7*60/J4</f>
        <v>-1.00854928017719</v>
      </c>
    </row>
    <row r="8" spans="1:12">
      <c r="A8" s="8" t="s">
        <v>436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427</v>
      </c>
      <c r="B9" s="2" t="s">
        <v>428</v>
      </c>
      <c r="C9" s="2" t="s">
        <v>429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430</v>
      </c>
      <c r="K9" s="10"/>
      <c r="L9" s="10" t="s">
        <v>431</v>
      </c>
    </row>
    <row r="10" ht="15.75" spans="1:12">
      <c r="A10" s="4">
        <v>44432</v>
      </c>
      <c r="B10" s="10" t="s">
        <v>432</v>
      </c>
      <c r="C10" s="3" t="s">
        <v>434</v>
      </c>
      <c r="D10" s="6">
        <v>7.29</v>
      </c>
      <c r="E10" s="6">
        <v>6.65</v>
      </c>
      <c r="F10" s="3">
        <v>5.91</v>
      </c>
      <c r="G10" s="3">
        <v>4.39</v>
      </c>
      <c r="H10" s="3">
        <v>2.91</v>
      </c>
      <c r="I10" s="3">
        <v>2.2</v>
      </c>
      <c r="J10" s="13">
        <v>3.054</v>
      </c>
      <c r="K10" s="13">
        <f>SLOPE(D10:I10,D$9:I$9)</f>
        <v>-0.0588260869565217</v>
      </c>
      <c r="L10" s="14">
        <f>K10*60/J10</f>
        <v>-1.15571880071752</v>
      </c>
    </row>
    <row r="11" spans="1:12">
      <c r="A11" s="8" t="s">
        <v>437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427</v>
      </c>
      <c r="B12" s="2" t="s">
        <v>428</v>
      </c>
      <c r="C12" s="2" t="s">
        <v>429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430</v>
      </c>
      <c r="K12" s="10"/>
      <c r="L12" s="10" t="s">
        <v>431</v>
      </c>
    </row>
    <row r="13" ht="15.75" spans="1:12">
      <c r="A13" s="4">
        <v>44432</v>
      </c>
      <c r="B13" s="12" t="s">
        <v>432</v>
      </c>
      <c r="C13" s="3" t="s">
        <v>435</v>
      </c>
      <c r="D13" s="6">
        <v>2.71</v>
      </c>
      <c r="E13" s="3">
        <v>5.32</v>
      </c>
      <c r="F13" s="6">
        <v>6.51</v>
      </c>
      <c r="G13" s="6">
        <v>9.37</v>
      </c>
      <c r="H13" s="11"/>
      <c r="I13" s="11"/>
      <c r="J13" s="13">
        <v>3.482</v>
      </c>
      <c r="K13" s="14">
        <f>SLOPE(D13:G13,D$12:G$12)</f>
        <v>0.106495238095238</v>
      </c>
      <c r="L13" s="14">
        <f>K13*60/J13</f>
        <v>1.83507015672438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2024-08-28T06:13:48Z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FF690229AC6942D9A0C0F2285C47ADF0</vt:lpwstr>
  </property>
</Properties>
</file>