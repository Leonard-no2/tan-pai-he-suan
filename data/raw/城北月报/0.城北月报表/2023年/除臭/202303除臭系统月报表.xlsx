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除臭" sheetId="2" r:id="rId1"/>
    <sheet name="Sheet1" sheetId="3" r:id="rId2"/>
  </sheets>
  <definedNames>
    <definedName name="_xlnm.Print_Area" localSheetId="0">除臭!$A$1:$U$37</definedName>
    <definedName name="_xlnm._FilterDatabase" localSheetId="1" hidden="1">Sheet1!$K$1:$S$35</definedName>
  </definedNames>
  <calcPr calcId="144525"/>
</workbook>
</file>

<file path=xl/sharedStrings.xml><?xml version="1.0" encoding="utf-8"?>
<sst xmlns="http://schemas.openxmlformats.org/spreadsheetml/2006/main" count="154" uniqueCount="99">
  <si>
    <r>
      <rPr>
        <b/>
        <u/>
        <sz val="16"/>
        <rFont val="宋体"/>
        <charset val="134"/>
      </rPr>
      <t>常州市深水城北污水处理有限公司</t>
    </r>
    <r>
      <rPr>
        <b/>
        <sz val="16"/>
        <rFont val="宋体"/>
        <charset val="134"/>
      </rPr>
      <t>除臭系统运行月报表</t>
    </r>
  </si>
  <si>
    <t>日期</t>
  </si>
  <si>
    <r>
      <rPr>
        <sz val="10.5"/>
        <color rgb="FF000000"/>
        <rFont val="Times New Roman"/>
        <charset val="134"/>
      </rPr>
      <t>1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</si>
  <si>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2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</si>
  <si>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3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</si>
  <si>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4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宋体"/>
        <charset val="134"/>
      </rPr>
      <t>除臭系统</t>
    </r>
  </si>
  <si>
    <t>合计</t>
  </si>
  <si>
    <r>
      <rPr>
        <sz val="10.5"/>
        <color rgb="FF000000"/>
        <rFont val="Times New Roman"/>
        <charset val="134"/>
      </rPr>
      <t>1#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(*30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</si>
  <si>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文鼎CS中等线"/>
        <charset val="134"/>
      </rPr>
      <t>1#新电表读数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</t>
    </r>
    <r>
      <rPr>
        <sz val="10.5"/>
        <color indexed="8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</si>
  <si>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</si>
  <si>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</si>
  <si>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文鼎CS中等线"/>
        <charset val="134"/>
      </rPr>
      <t>2#新电表读数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</t>
    </r>
    <r>
      <rPr>
        <sz val="10.5"/>
        <color indexed="8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</si>
  <si>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</si>
  <si>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3#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</si>
  <si>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Times New Roman"/>
        <charset val="134"/>
      </rPr>
      <t>3#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</si>
  <si>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4#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</si>
  <si>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Times New Roman"/>
        <charset val="134"/>
      </rPr>
      <t>4#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</si>
  <si>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用电量(</t>
    </r>
    <r>
      <rPr>
        <sz val="10.5"/>
        <color indexed="8"/>
        <rFont val="文鼎CS中等线"/>
        <charset val="134"/>
      </rPr>
      <t>度）</t>
    </r>
  </si>
  <si>
    <r>
      <rPr>
        <sz val="10.5"/>
        <color rgb="FF000000"/>
        <rFont val="宋体"/>
        <charset val="134"/>
      </rPr>
      <t>用水量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宋体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</si>
  <si>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宋体"/>
        <charset val="134"/>
      </rPr>
      <t>用电量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</si>
  <si>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t>用水量(吨)</t>
  </si>
  <si>
    <r>
      <rPr>
        <sz val="10.5"/>
        <color rgb="FF000000"/>
        <rFont val="Times New Roman"/>
        <charset val="134"/>
      </rPr>
      <t>1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</si>
  <si>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</si>
  <si>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3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</si>
  <si>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4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</si>
  <si>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5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</si>
  <si>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6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</si>
  <si>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7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</si>
  <si>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8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</si>
  <si>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9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</si>
  <si>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10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</si>
  <si>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11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</si>
  <si>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12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</si>
  <si>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13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</si>
  <si>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14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</si>
  <si>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15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</si>
  <si>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16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</si>
  <si>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17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</si>
  <si>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18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</si>
  <si>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19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</si>
  <si>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20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</si>
  <si>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21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</si>
  <si>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22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</si>
  <si>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23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</si>
  <si>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24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</si>
  <si>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25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</si>
  <si>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26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</si>
  <si>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27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</si>
  <si>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28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</si>
  <si>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宋体"/>
        <charset val="134"/>
      </rPr>
      <t>29</t>
    </r>
    <r>
      <rPr>
        <sz val="10.5"/>
        <color indexed="8"/>
        <rFont val="Times New Roman"/>
        <charset val="134"/>
      </rPr>
      <t>日</t>
    </r>
  </si>
  <si>
    <r>
      <rPr>
        <sz val="10.5"/>
        <color rgb="FF000000"/>
        <rFont val="宋体"/>
        <charset val="134"/>
      </rPr>
      <t>30</t>
    </r>
    <r>
      <rPr>
        <sz val="10.5"/>
        <color indexed="8"/>
        <rFont val="Times New Roman"/>
        <charset val="134"/>
      </rPr>
      <t>日</t>
    </r>
  </si>
  <si>
    <t>31日</t>
  </si>
  <si>
    <t>下月初</t>
  </si>
  <si>
    <t>审核：                                                                                                         制表：                                                                                               排水处审核：</t>
  </si>
  <si>
    <r>
      <rPr>
        <sz val="10.5"/>
        <color rgb="FF000000"/>
        <rFont val="Times New Roman"/>
        <charset val="134"/>
      </rPr>
      <t>1</t>
    </r>
    <r>
      <rPr>
        <vertAlign val="superscript"/>
        <sz val="10.5"/>
        <color rgb="FF000000"/>
        <rFont val="Times New Roman"/>
        <charset val="134"/>
      </rPr>
      <t>#</t>
    </r>
    <r>
      <rPr>
        <sz val="10.5"/>
        <color rgb="FF000000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</si>
  <si>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2</t>
    </r>
    <r>
      <rPr>
        <vertAlign val="superscript"/>
        <sz val="10.5"/>
        <color rgb="FF000000"/>
        <rFont val="Times New Roman"/>
        <charset val="134"/>
      </rPr>
      <t>#</t>
    </r>
    <r>
      <rPr>
        <sz val="10.5"/>
        <color rgb="FF000000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</si>
  <si>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3</t>
    </r>
    <r>
      <rPr>
        <vertAlign val="superscript"/>
        <sz val="10.5"/>
        <color rgb="FF000000"/>
        <rFont val="Times New Roman"/>
        <charset val="134"/>
      </rPr>
      <t>#</t>
    </r>
    <r>
      <rPr>
        <sz val="10.5"/>
        <color rgb="FF000000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</si>
  <si>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电表读数</t>
    </r>
    <r>
      <rPr>
        <sz val="10.5"/>
        <color rgb="FF000000"/>
        <rFont val="Times New Roman"/>
        <charset val="134"/>
      </rPr>
      <t>(*30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</si>
  <si>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新电表读数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</si>
  <si>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水表读数（吨）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</si>
  <si>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</si>
  <si>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新电表读数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</si>
  <si>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水表读数（吨）</t>
    </r>
  </si>
  <si>
    <r>
      <rPr>
        <sz val="10.5"/>
        <color rgb="FF000000"/>
        <rFont val="Times New Roman"/>
        <charset val="134"/>
      </rPr>
      <t>3#</t>
    </r>
    <r>
      <rPr>
        <sz val="10.5"/>
        <color rgb="FF000000"/>
        <rFont val="文鼎CS中等线"/>
        <charset val="134"/>
      </rPr>
      <t>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</si>
  <si>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3#</t>
    </r>
    <r>
      <rPr>
        <sz val="10.5"/>
        <color rgb="FF000000"/>
        <rFont val="文鼎CS中等线"/>
        <charset val="134"/>
      </rPr>
      <t>水表读数（吨）</t>
    </r>
  </si>
  <si>
    <r>
      <rPr>
        <sz val="10.5"/>
        <color rgb="FF000000"/>
        <rFont val="Times New Roman"/>
        <charset val="134"/>
      </rPr>
      <t>用电量(</t>
    </r>
    <r>
      <rPr>
        <sz val="10.5"/>
        <color rgb="FF000000"/>
        <rFont val="文鼎CS中等线"/>
        <charset val="134"/>
      </rPr>
      <t>度）</t>
    </r>
  </si>
  <si>
    <t>用水量（吨）</t>
  </si>
  <si>
    <r>
      <rPr>
        <sz val="10.5"/>
        <color rgb="FF000000"/>
        <rFont val="Times New Roman"/>
        <charset val="134"/>
      </rPr>
      <t>1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</si>
  <si>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</si>
  <si>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3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</si>
  <si>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4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</si>
  <si>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5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</si>
  <si>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6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</si>
  <si>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7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</si>
  <si>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8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</si>
  <si>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9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</si>
  <si>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10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</si>
  <si>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11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</si>
  <si>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12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</si>
  <si>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13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</si>
  <si>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14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</si>
  <si>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15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</si>
  <si>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16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</si>
  <si>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17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</si>
  <si>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18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</si>
  <si>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19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</si>
  <si>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20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</si>
  <si>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21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</si>
  <si>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22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</si>
  <si>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23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</si>
  <si>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24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</si>
  <si>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25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</si>
  <si>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26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</si>
  <si>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27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</si>
  <si>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28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</si>
  <si>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29</t>
    </r>
    <r>
      <rPr>
        <sz val="10.5"/>
        <color rgb="FF000000"/>
        <rFont val="宋体"/>
        <charset val="134"/>
      </rPr>
      <t>日</t>
    </r>
  </si>
  <si>
    <t>30日</t>
  </si>
  <si>
    <r>
      <rPr>
        <sz val="10.5"/>
        <color rgb="FF000000"/>
        <rFont val="Times New Roman"/>
        <charset val="134"/>
      </rPr>
      <t>31</t>
    </r>
    <r>
      <rPr>
        <sz val="10.5"/>
        <color rgb="FF000000"/>
        <rFont val="宋体"/>
        <charset val="134"/>
      </rPr>
      <t>日</t>
    </r>
  </si>
  <si>
    <t>日均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</si>
</sst>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_);[Red]\(0\)"/>
  </numFmts>
  <fonts count="34">
    <font>
      <sz val="11"/>
      <color theme="1"/>
      <name val="等线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1"/>
      <color rgb="FF000000"/>
      <name val="Times New Roman"/>
      <charset val="134"/>
    </font>
    <font>
      <sz val="10"/>
      <name val="微软雅黑"/>
      <charset val="134"/>
    </font>
    <font>
      <sz val="12"/>
      <name val="宋体"/>
      <charset val="134"/>
    </font>
    <font>
      <b/>
      <u/>
      <sz val="16"/>
      <name val="宋体"/>
      <charset val="134"/>
    </font>
    <font>
      <b/>
      <sz val="16"/>
      <name val="宋体"/>
      <charset val="134"/>
    </font>
    <font>
      <sz val="10.5"/>
      <color rgb="FF000000"/>
      <name val="文鼎CS中等线"/>
      <charset val="134"/>
    </font>
    <font>
      <sz val="11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vertAlign val="superscript"/>
      <sz val="10.5"/>
      <color rgb="FF000000"/>
      <name val="Times New Roman"/>
      <charset val="134"/>
    </font>
    <font>
      <vertAlign val="superscript"/>
      <sz val="10.5"/>
      <color indexed="8"/>
      <name val="Times New Roman"/>
      <charset val="134"/>
    </font>
    <font>
      <sz val="10.5"/>
      <color indexed="8"/>
      <name val="Times New Roman"/>
      <charset val="134"/>
    </font>
    <font>
      <sz val="10.5"/>
      <color indexed="8"/>
      <name val="宋体"/>
      <charset val="134"/>
    </font>
    <font>
      <sz val="10.5"/>
      <color indexed="8"/>
      <name val="文鼎CS中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12" borderId="12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2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/>
    </xf>
    <xf numFmtId="0" fontId="4" fillId="0" borderId="0" xfId="49" applyFont="1" applyAlignment="1">
      <alignment horizontal="center" vertical="center"/>
    </xf>
    <xf numFmtId="0" fontId="5" fillId="0" borderId="0" xfId="49" applyAlignment="1"/>
    <xf numFmtId="0" fontId="6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/>
    </xf>
    <xf numFmtId="57" fontId="4" fillId="0" borderId="0" xfId="49" applyNumberFormat="1" applyFont="1" applyAlignment="1">
      <alignment horizontal="center" vertical="center"/>
    </xf>
    <xf numFmtId="0" fontId="1" fillId="0" borderId="5" xfId="49" applyFont="1" applyBorder="1" applyAlignment="1">
      <alignment horizontal="center" vertical="center" wrapText="1"/>
    </xf>
    <xf numFmtId="0" fontId="8" fillId="0" borderId="5" xfId="49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5" xfId="49" applyFont="1" applyBorder="1" applyAlignment="1">
      <alignment horizontal="center" vertical="center" wrapText="1"/>
    </xf>
    <xf numFmtId="0" fontId="9" fillId="0" borderId="0" xfId="49" applyFont="1" applyAlignment="1">
      <alignment horizontal="center"/>
    </xf>
    <xf numFmtId="0" fontId="4" fillId="0" borderId="6" xfId="49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5" fillId="0" borderId="5" xfId="49" applyBorder="1" applyAlignment="1"/>
    <xf numFmtId="178" fontId="5" fillId="0" borderId="0" xfId="49" applyNumberFormat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"/>
  <sheetViews>
    <sheetView zoomScale="85" zoomScaleNormal="85" workbookViewId="0">
      <selection activeCell="Z32" sqref="Z32"/>
    </sheetView>
  </sheetViews>
  <sheetFormatPr defaultColWidth="9" defaultRowHeight="14.25"/>
  <cols>
    <col min="1" max="1" width="6.175" style="14" customWidth="1"/>
    <col min="2" max="7" width="7.625" style="14" customWidth="1"/>
    <col min="8" max="8" width="7.2" style="14" customWidth="1"/>
    <col min="9" max="9" width="7.625" style="14" customWidth="1"/>
    <col min="10" max="10" width="5.58333333333333" style="14" customWidth="1"/>
    <col min="11" max="11" width="5.29166666666667" style="14" customWidth="1"/>
    <col min="12" max="12" width="5.625" style="14" customWidth="1"/>
    <col min="13" max="13" width="6.31666666666667" style="14" customWidth="1"/>
    <col min="14" max="15" width="6.175" style="14" customWidth="1"/>
    <col min="16" max="16" width="5.44166666666667" style="14" customWidth="1"/>
    <col min="17" max="18" width="5.29166666666667" style="14" customWidth="1"/>
    <col min="19" max="19" width="6.175" style="14" customWidth="1"/>
    <col min="20" max="20" width="6.90833333333333" style="14" customWidth="1"/>
    <col min="21" max="21" width="6.75833333333333" style="14" customWidth="1"/>
    <col min="22" max="16384" width="9" style="14"/>
  </cols>
  <sheetData>
    <row r="1" ht="29" customHeight="1" spans="1:2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ht="14" customHeight="1" spans="1:21">
      <c r="A2" s="17">
        <v>44986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ht="15" customHeight="1" spans="1:21">
      <c r="A3" s="18" t="s">
        <v>1</v>
      </c>
      <c r="B3" s="18" t="s">
        <v>2</v>
      </c>
      <c r="C3" s="18"/>
      <c r="D3" s="18"/>
      <c r="E3" s="18" t="s">
        <v>3</v>
      </c>
      <c r="F3" s="18"/>
      <c r="G3" s="18"/>
      <c r="H3" s="18" t="s">
        <v>4</v>
      </c>
      <c r="I3" s="18"/>
      <c r="J3" s="18" t="s">
        <v>5</v>
      </c>
      <c r="K3" s="18"/>
      <c r="L3" s="18" t="s">
        <v>2</v>
      </c>
      <c r="M3" s="18"/>
      <c r="N3" s="18" t="s">
        <v>3</v>
      </c>
      <c r="O3" s="18"/>
      <c r="P3" s="18" t="s">
        <v>4</v>
      </c>
      <c r="Q3" s="18"/>
      <c r="R3" s="18" t="s">
        <v>5</v>
      </c>
      <c r="S3" s="18"/>
      <c r="T3" s="18" t="s">
        <v>6</v>
      </c>
      <c r="U3" s="18"/>
    </row>
    <row r="4" ht="50" customHeight="1" spans="1:21">
      <c r="A4" s="18"/>
      <c r="B4" s="18" t="s">
        <v>7</v>
      </c>
      <c r="C4" s="19" t="s">
        <v>8</v>
      </c>
      <c r="D4" s="18" t="s">
        <v>9</v>
      </c>
      <c r="E4" s="18" t="s">
        <v>10</v>
      </c>
      <c r="F4" s="19" t="s">
        <v>11</v>
      </c>
      <c r="G4" s="18" t="s">
        <v>12</v>
      </c>
      <c r="H4" s="18" t="s">
        <v>13</v>
      </c>
      <c r="I4" s="18" t="s">
        <v>14</v>
      </c>
      <c r="J4" s="18" t="s">
        <v>15</v>
      </c>
      <c r="K4" s="18" t="s">
        <v>16</v>
      </c>
      <c r="L4" s="18" t="s">
        <v>17</v>
      </c>
      <c r="M4" s="23" t="s">
        <v>18</v>
      </c>
      <c r="N4" s="23" t="s">
        <v>19</v>
      </c>
      <c r="O4" s="23" t="s">
        <v>18</v>
      </c>
      <c r="P4" s="18" t="s">
        <v>17</v>
      </c>
      <c r="Q4" s="23" t="s">
        <v>18</v>
      </c>
      <c r="R4" s="18" t="s">
        <v>17</v>
      </c>
      <c r="S4" s="23" t="s">
        <v>20</v>
      </c>
      <c r="T4" s="18" t="s">
        <v>17</v>
      </c>
      <c r="U4" s="23" t="s">
        <v>18</v>
      </c>
    </row>
    <row r="5" ht="13" customHeight="1" spans="1:21">
      <c r="A5" s="18" t="s">
        <v>21</v>
      </c>
      <c r="B5" s="20">
        <v>76876</v>
      </c>
      <c r="C5" s="21">
        <v>849357</v>
      </c>
      <c r="D5" s="22">
        <v>6034</v>
      </c>
      <c r="E5" s="22">
        <v>179276</v>
      </c>
      <c r="F5" s="21">
        <v>663208</v>
      </c>
      <c r="G5" s="22">
        <v>20046</v>
      </c>
      <c r="H5" s="22">
        <v>323462</v>
      </c>
      <c r="I5" s="22">
        <v>2865</v>
      </c>
      <c r="J5" s="22"/>
      <c r="K5" s="22"/>
      <c r="L5" s="26">
        <v>1116</v>
      </c>
      <c r="M5" s="26">
        <v>10</v>
      </c>
      <c r="N5" s="26">
        <v>671</v>
      </c>
      <c r="O5" s="26">
        <v>9</v>
      </c>
      <c r="P5" s="26">
        <v>91</v>
      </c>
      <c r="Q5" s="22">
        <v>1</v>
      </c>
      <c r="R5" s="22"/>
      <c r="S5" s="22"/>
      <c r="T5" s="22">
        <v>1878</v>
      </c>
      <c r="U5" s="22">
        <v>20</v>
      </c>
    </row>
    <row r="6" ht="13" customHeight="1" spans="1:21">
      <c r="A6" s="18" t="s">
        <v>22</v>
      </c>
      <c r="B6" s="20">
        <v>76891</v>
      </c>
      <c r="C6" s="21">
        <v>850023</v>
      </c>
      <c r="D6" s="22">
        <v>6044</v>
      </c>
      <c r="E6" s="22">
        <v>179465</v>
      </c>
      <c r="F6" s="21">
        <v>663690</v>
      </c>
      <c r="G6" s="22">
        <v>20055</v>
      </c>
      <c r="H6" s="22">
        <v>323553</v>
      </c>
      <c r="I6" s="22">
        <v>2866</v>
      </c>
      <c r="J6" s="22"/>
      <c r="K6" s="22"/>
      <c r="L6" s="26">
        <v>1147</v>
      </c>
      <c r="M6" s="26">
        <v>10</v>
      </c>
      <c r="N6" s="26">
        <v>678</v>
      </c>
      <c r="O6" s="26">
        <v>9</v>
      </c>
      <c r="P6" s="26">
        <v>91</v>
      </c>
      <c r="Q6" s="22">
        <v>1</v>
      </c>
      <c r="R6" s="22"/>
      <c r="S6" s="22"/>
      <c r="T6" s="22">
        <v>1916</v>
      </c>
      <c r="U6" s="22">
        <v>20</v>
      </c>
    </row>
    <row r="7" ht="13" customHeight="1" spans="1:21">
      <c r="A7" s="18" t="s">
        <v>23</v>
      </c>
      <c r="B7" s="20">
        <v>76907</v>
      </c>
      <c r="C7" s="21">
        <v>850690</v>
      </c>
      <c r="D7" s="22">
        <v>6054</v>
      </c>
      <c r="E7" s="22">
        <v>179658</v>
      </c>
      <c r="F7" s="21">
        <v>664175</v>
      </c>
      <c r="G7" s="22">
        <v>20064</v>
      </c>
      <c r="H7" s="22">
        <v>323644</v>
      </c>
      <c r="I7" s="22">
        <v>2867</v>
      </c>
      <c r="J7" s="22"/>
      <c r="K7" s="22"/>
      <c r="L7" s="26">
        <v>1117</v>
      </c>
      <c r="M7" s="26">
        <v>11</v>
      </c>
      <c r="N7" s="26">
        <v>668</v>
      </c>
      <c r="O7" s="26">
        <v>9</v>
      </c>
      <c r="P7" s="26">
        <v>89</v>
      </c>
      <c r="Q7" s="22">
        <v>2</v>
      </c>
      <c r="R7" s="22"/>
      <c r="S7" s="22"/>
      <c r="T7" s="22">
        <v>1874</v>
      </c>
      <c r="U7" s="22">
        <v>22</v>
      </c>
    </row>
    <row r="8" ht="13" customHeight="1" spans="1:21">
      <c r="A8" s="18" t="s">
        <v>24</v>
      </c>
      <c r="B8" s="20">
        <v>76922</v>
      </c>
      <c r="C8" s="21">
        <v>851357</v>
      </c>
      <c r="D8" s="22">
        <v>6065</v>
      </c>
      <c r="E8" s="22">
        <v>179848</v>
      </c>
      <c r="F8" s="21">
        <v>664653</v>
      </c>
      <c r="G8" s="22">
        <v>20073</v>
      </c>
      <c r="H8" s="22">
        <v>323733</v>
      </c>
      <c r="I8" s="22">
        <v>2869</v>
      </c>
      <c r="J8" s="22"/>
      <c r="K8" s="22"/>
      <c r="L8" s="26">
        <v>1143</v>
      </c>
      <c r="M8" s="26">
        <v>10</v>
      </c>
      <c r="N8" s="26">
        <v>666</v>
      </c>
      <c r="O8" s="26">
        <v>9</v>
      </c>
      <c r="P8" s="26">
        <v>92</v>
      </c>
      <c r="Q8" s="22">
        <v>1</v>
      </c>
      <c r="R8" s="22"/>
      <c r="S8" s="22"/>
      <c r="T8" s="22">
        <v>1901</v>
      </c>
      <c r="U8" s="22">
        <v>20</v>
      </c>
    </row>
    <row r="9" ht="13" customHeight="1" spans="1:21">
      <c r="A9" s="18" t="s">
        <v>25</v>
      </c>
      <c r="B9" s="20">
        <v>76938</v>
      </c>
      <c r="C9" s="21">
        <v>852020</v>
      </c>
      <c r="D9" s="22">
        <v>6075</v>
      </c>
      <c r="E9" s="22">
        <v>180037</v>
      </c>
      <c r="F9" s="21">
        <v>665130</v>
      </c>
      <c r="G9" s="22">
        <v>20082</v>
      </c>
      <c r="H9" s="22">
        <v>323825</v>
      </c>
      <c r="I9" s="22">
        <v>2870</v>
      </c>
      <c r="J9" s="22"/>
      <c r="K9" s="22"/>
      <c r="L9" s="26">
        <v>1121</v>
      </c>
      <c r="M9" s="26">
        <v>10</v>
      </c>
      <c r="N9" s="26">
        <v>674</v>
      </c>
      <c r="O9" s="26">
        <v>9</v>
      </c>
      <c r="P9" s="26">
        <v>89</v>
      </c>
      <c r="Q9" s="22">
        <v>1</v>
      </c>
      <c r="R9" s="22"/>
      <c r="S9" s="22"/>
      <c r="T9" s="22">
        <v>1884</v>
      </c>
      <c r="U9" s="22">
        <v>20</v>
      </c>
    </row>
    <row r="10" ht="13" customHeight="1" spans="1:21">
      <c r="A10" s="18" t="s">
        <v>26</v>
      </c>
      <c r="B10" s="20">
        <v>76953</v>
      </c>
      <c r="C10" s="21">
        <v>852691</v>
      </c>
      <c r="D10" s="22">
        <v>6085</v>
      </c>
      <c r="E10" s="22">
        <v>180228</v>
      </c>
      <c r="F10" s="21">
        <v>665613</v>
      </c>
      <c r="G10" s="22">
        <v>20091</v>
      </c>
      <c r="H10" s="22">
        <v>323914</v>
      </c>
      <c r="I10" s="22">
        <v>2871</v>
      </c>
      <c r="J10" s="22"/>
      <c r="K10" s="22"/>
      <c r="L10" s="26">
        <v>1119</v>
      </c>
      <c r="M10" s="26">
        <v>9</v>
      </c>
      <c r="N10" s="26">
        <v>656</v>
      </c>
      <c r="O10" s="26">
        <v>9</v>
      </c>
      <c r="P10" s="26">
        <v>88</v>
      </c>
      <c r="Q10" s="22">
        <v>3</v>
      </c>
      <c r="R10" s="22"/>
      <c r="S10" s="22"/>
      <c r="T10" s="22">
        <v>1863</v>
      </c>
      <c r="U10" s="22">
        <v>21</v>
      </c>
    </row>
    <row r="11" ht="13" customHeight="1" spans="1:21">
      <c r="A11" s="18" t="s">
        <v>27</v>
      </c>
      <c r="B11" s="20">
        <v>76968</v>
      </c>
      <c r="C11" s="21">
        <v>853360</v>
      </c>
      <c r="D11" s="22">
        <v>6094</v>
      </c>
      <c r="E11" s="22">
        <v>180414</v>
      </c>
      <c r="F11" s="21">
        <v>666083</v>
      </c>
      <c r="G11" s="22">
        <v>20100</v>
      </c>
      <c r="H11" s="22">
        <v>324002</v>
      </c>
      <c r="I11" s="22">
        <v>2874</v>
      </c>
      <c r="J11" s="22"/>
      <c r="K11" s="22"/>
      <c r="L11" s="26">
        <v>1119</v>
      </c>
      <c r="M11" s="26">
        <v>12</v>
      </c>
      <c r="N11" s="26">
        <v>665</v>
      </c>
      <c r="O11" s="26">
        <v>10</v>
      </c>
      <c r="P11" s="26">
        <v>88</v>
      </c>
      <c r="Q11" s="22">
        <v>1</v>
      </c>
      <c r="R11" s="22"/>
      <c r="S11" s="22"/>
      <c r="T11" s="22">
        <v>1872</v>
      </c>
      <c r="U11" s="22">
        <v>23</v>
      </c>
    </row>
    <row r="12" ht="13" customHeight="1" spans="1:21">
      <c r="A12" s="18" t="s">
        <v>28</v>
      </c>
      <c r="B12" s="20">
        <v>76983</v>
      </c>
      <c r="C12" s="21">
        <v>854029</v>
      </c>
      <c r="D12" s="22">
        <v>6106</v>
      </c>
      <c r="E12" s="22">
        <v>180602</v>
      </c>
      <c r="F12" s="21">
        <v>666560</v>
      </c>
      <c r="G12" s="22">
        <v>20110</v>
      </c>
      <c r="H12" s="22">
        <v>324090</v>
      </c>
      <c r="I12" s="22">
        <v>2875</v>
      </c>
      <c r="J12" s="22"/>
      <c r="K12" s="22"/>
      <c r="L12" s="26">
        <v>1107</v>
      </c>
      <c r="M12" s="26">
        <v>11</v>
      </c>
      <c r="N12" s="26">
        <v>648</v>
      </c>
      <c r="O12" s="26">
        <v>8</v>
      </c>
      <c r="P12" s="26">
        <v>87</v>
      </c>
      <c r="Q12" s="22">
        <v>1</v>
      </c>
      <c r="R12" s="22"/>
      <c r="S12" s="22"/>
      <c r="T12" s="22">
        <v>1842</v>
      </c>
      <c r="U12" s="22">
        <v>20</v>
      </c>
    </row>
    <row r="13" ht="13" customHeight="1" spans="1:21">
      <c r="A13" s="18" t="s">
        <v>29</v>
      </c>
      <c r="B13" s="20">
        <v>76998</v>
      </c>
      <c r="C13" s="21">
        <v>854686</v>
      </c>
      <c r="D13" s="22">
        <v>6117</v>
      </c>
      <c r="E13" s="22">
        <v>180786</v>
      </c>
      <c r="F13" s="21">
        <v>667024</v>
      </c>
      <c r="G13" s="22">
        <v>20118</v>
      </c>
      <c r="H13" s="22">
        <v>324177</v>
      </c>
      <c r="I13" s="22">
        <v>2876</v>
      </c>
      <c r="J13" s="22"/>
      <c r="K13" s="22"/>
      <c r="L13" s="26">
        <v>1104</v>
      </c>
      <c r="M13" s="26">
        <v>10</v>
      </c>
      <c r="N13" s="26">
        <v>655</v>
      </c>
      <c r="O13" s="26">
        <v>10</v>
      </c>
      <c r="P13" s="26">
        <v>88</v>
      </c>
      <c r="Q13" s="22">
        <v>2</v>
      </c>
      <c r="R13" s="22"/>
      <c r="S13" s="22"/>
      <c r="T13" s="22">
        <v>1847</v>
      </c>
      <c r="U13" s="22">
        <v>22</v>
      </c>
    </row>
    <row r="14" ht="13" customHeight="1" spans="1:21">
      <c r="A14" s="18" t="s">
        <v>30</v>
      </c>
      <c r="B14" s="20">
        <v>77013</v>
      </c>
      <c r="C14" s="21">
        <v>855340</v>
      </c>
      <c r="D14" s="22">
        <v>6127</v>
      </c>
      <c r="E14" s="22">
        <v>180970</v>
      </c>
      <c r="F14" s="21">
        <v>667495</v>
      </c>
      <c r="G14" s="22">
        <v>20128</v>
      </c>
      <c r="H14" s="22">
        <v>324265</v>
      </c>
      <c r="I14" s="22">
        <v>2878</v>
      </c>
      <c r="J14" s="22"/>
      <c r="K14" s="22"/>
      <c r="L14" s="26">
        <v>1114</v>
      </c>
      <c r="M14" s="26">
        <v>10</v>
      </c>
      <c r="N14" s="26">
        <v>665</v>
      </c>
      <c r="O14" s="26">
        <v>9</v>
      </c>
      <c r="P14" s="26">
        <v>89</v>
      </c>
      <c r="Q14" s="22">
        <v>1</v>
      </c>
      <c r="R14" s="22"/>
      <c r="S14" s="22"/>
      <c r="T14" s="22">
        <v>1868</v>
      </c>
      <c r="U14" s="22">
        <v>20</v>
      </c>
    </row>
    <row r="15" ht="13" customHeight="1" spans="1:21">
      <c r="A15" s="18" t="s">
        <v>31</v>
      </c>
      <c r="B15" s="20">
        <v>77028</v>
      </c>
      <c r="C15" s="21">
        <v>856004</v>
      </c>
      <c r="D15" s="22">
        <v>6137</v>
      </c>
      <c r="E15" s="22">
        <v>181159</v>
      </c>
      <c r="F15" s="21">
        <v>667971</v>
      </c>
      <c r="G15" s="22">
        <v>20137</v>
      </c>
      <c r="H15" s="22">
        <v>324354</v>
      </c>
      <c r="I15" s="22">
        <v>2879</v>
      </c>
      <c r="J15" s="22"/>
      <c r="K15" s="22"/>
      <c r="L15" s="26">
        <v>1112</v>
      </c>
      <c r="M15" s="26">
        <v>9</v>
      </c>
      <c r="N15" s="26">
        <v>663</v>
      </c>
      <c r="O15" s="26">
        <v>9</v>
      </c>
      <c r="P15" s="26">
        <v>86</v>
      </c>
      <c r="Q15" s="22">
        <v>2</v>
      </c>
      <c r="R15" s="22"/>
      <c r="S15" s="22"/>
      <c r="T15" s="22">
        <v>1861</v>
      </c>
      <c r="U15" s="22">
        <v>20</v>
      </c>
    </row>
    <row r="16" ht="13" customHeight="1" spans="1:21">
      <c r="A16" s="18" t="s">
        <v>32</v>
      </c>
      <c r="B16" s="20">
        <v>77043</v>
      </c>
      <c r="C16" s="21">
        <v>856666</v>
      </c>
      <c r="D16" s="22">
        <v>6146</v>
      </c>
      <c r="E16" s="22">
        <v>181346</v>
      </c>
      <c r="F16" s="21">
        <v>668447</v>
      </c>
      <c r="G16" s="22">
        <v>20146</v>
      </c>
      <c r="H16" s="22">
        <v>324440</v>
      </c>
      <c r="I16" s="22">
        <v>2881</v>
      </c>
      <c r="J16" s="22"/>
      <c r="K16" s="22"/>
      <c r="L16" s="26">
        <v>1112</v>
      </c>
      <c r="M16" s="26">
        <v>11</v>
      </c>
      <c r="N16" s="26">
        <v>662</v>
      </c>
      <c r="O16" s="26">
        <v>10</v>
      </c>
      <c r="P16" s="26">
        <v>91</v>
      </c>
      <c r="Q16" s="22">
        <v>1</v>
      </c>
      <c r="R16" s="22"/>
      <c r="S16" s="22"/>
      <c r="T16" s="22">
        <v>1865</v>
      </c>
      <c r="U16" s="22">
        <v>22</v>
      </c>
    </row>
    <row r="17" ht="13" customHeight="1" spans="1:21">
      <c r="A17" s="18" t="s">
        <v>33</v>
      </c>
      <c r="B17" s="20">
        <v>77058</v>
      </c>
      <c r="C17" s="21">
        <v>857328</v>
      </c>
      <c r="D17" s="22">
        <v>6157</v>
      </c>
      <c r="E17" s="22">
        <v>181534</v>
      </c>
      <c r="F17" s="21">
        <v>668921</v>
      </c>
      <c r="G17" s="22">
        <v>20156</v>
      </c>
      <c r="H17" s="22">
        <v>324531</v>
      </c>
      <c r="I17" s="22">
        <v>2882</v>
      </c>
      <c r="J17" s="22"/>
      <c r="K17" s="22"/>
      <c r="L17" s="26">
        <v>1138</v>
      </c>
      <c r="M17" s="26">
        <v>11</v>
      </c>
      <c r="N17" s="26">
        <v>665</v>
      </c>
      <c r="O17" s="26">
        <v>11</v>
      </c>
      <c r="P17" s="26">
        <v>89</v>
      </c>
      <c r="Q17" s="22">
        <v>2</v>
      </c>
      <c r="R17" s="22"/>
      <c r="S17" s="22"/>
      <c r="T17" s="22">
        <v>1892</v>
      </c>
      <c r="U17" s="22">
        <v>24</v>
      </c>
    </row>
    <row r="18" ht="13" customHeight="1" spans="1:21">
      <c r="A18" s="18" t="s">
        <v>34</v>
      </c>
      <c r="B18" s="20">
        <v>77074</v>
      </c>
      <c r="C18" s="21">
        <v>857986</v>
      </c>
      <c r="D18" s="22">
        <v>6168</v>
      </c>
      <c r="E18" s="22">
        <v>181723</v>
      </c>
      <c r="F18" s="21">
        <v>669397</v>
      </c>
      <c r="G18" s="22">
        <v>20167</v>
      </c>
      <c r="H18" s="22">
        <v>324620</v>
      </c>
      <c r="I18" s="22">
        <v>2884</v>
      </c>
      <c r="J18" s="22"/>
      <c r="K18" s="22"/>
      <c r="L18" s="26">
        <v>1115</v>
      </c>
      <c r="M18" s="26">
        <v>9</v>
      </c>
      <c r="N18" s="26">
        <v>661</v>
      </c>
      <c r="O18" s="26">
        <v>11</v>
      </c>
      <c r="P18" s="26">
        <v>89</v>
      </c>
      <c r="Q18" s="22">
        <v>1</v>
      </c>
      <c r="R18" s="22"/>
      <c r="S18" s="22"/>
      <c r="T18" s="22">
        <v>1865</v>
      </c>
      <c r="U18" s="22">
        <v>21</v>
      </c>
    </row>
    <row r="19" ht="13" customHeight="1" spans="1:21">
      <c r="A19" s="18" t="s">
        <v>35</v>
      </c>
      <c r="B19" s="20">
        <v>77089</v>
      </c>
      <c r="C19" s="21">
        <v>858651</v>
      </c>
      <c r="D19" s="22">
        <v>6177</v>
      </c>
      <c r="E19" s="22">
        <v>181910</v>
      </c>
      <c r="F19" s="21">
        <v>669871</v>
      </c>
      <c r="G19" s="22">
        <v>20178</v>
      </c>
      <c r="H19" s="22">
        <v>324709</v>
      </c>
      <c r="I19" s="22">
        <v>2885</v>
      </c>
      <c r="J19" s="22"/>
      <c r="K19" s="22"/>
      <c r="L19" s="26">
        <v>1116</v>
      </c>
      <c r="M19" s="26">
        <v>10</v>
      </c>
      <c r="N19" s="26">
        <v>662</v>
      </c>
      <c r="O19" s="26">
        <v>11</v>
      </c>
      <c r="P19" s="26">
        <v>89</v>
      </c>
      <c r="Q19" s="22">
        <v>2</v>
      </c>
      <c r="R19" s="22"/>
      <c r="S19" s="22"/>
      <c r="T19" s="22">
        <v>1867</v>
      </c>
      <c r="U19" s="22">
        <v>23</v>
      </c>
    </row>
    <row r="20" ht="13" customHeight="1" spans="1:21">
      <c r="A20" s="18" t="s">
        <v>36</v>
      </c>
      <c r="B20" s="20">
        <v>77104</v>
      </c>
      <c r="C20" s="21">
        <v>859317</v>
      </c>
      <c r="D20" s="22">
        <v>6187</v>
      </c>
      <c r="E20" s="22">
        <v>182098</v>
      </c>
      <c r="F20" s="21">
        <v>670345</v>
      </c>
      <c r="G20" s="22">
        <v>20189</v>
      </c>
      <c r="H20" s="22">
        <v>324798</v>
      </c>
      <c r="I20" s="22">
        <v>2887</v>
      </c>
      <c r="J20" s="22"/>
      <c r="K20" s="22"/>
      <c r="L20" s="26">
        <v>1097</v>
      </c>
      <c r="M20" s="26">
        <v>9</v>
      </c>
      <c r="N20" s="26">
        <v>673</v>
      </c>
      <c r="O20" s="26">
        <v>8</v>
      </c>
      <c r="P20" s="26">
        <v>89</v>
      </c>
      <c r="Q20" s="22">
        <v>1</v>
      </c>
      <c r="R20" s="22"/>
      <c r="S20" s="22"/>
      <c r="T20" s="22">
        <v>1859</v>
      </c>
      <c r="U20" s="22">
        <v>18</v>
      </c>
    </row>
    <row r="21" ht="13" customHeight="1" spans="1:21">
      <c r="A21" s="18" t="s">
        <v>37</v>
      </c>
      <c r="B21" s="20">
        <v>77119</v>
      </c>
      <c r="C21" s="21">
        <v>859964</v>
      </c>
      <c r="D21" s="22">
        <v>6196</v>
      </c>
      <c r="E21" s="22">
        <v>182295</v>
      </c>
      <c r="F21" s="21">
        <v>670821</v>
      </c>
      <c r="G21" s="22">
        <v>20197</v>
      </c>
      <c r="H21" s="22">
        <v>324887</v>
      </c>
      <c r="I21" s="22">
        <v>2888</v>
      </c>
      <c r="J21" s="22"/>
      <c r="K21" s="22"/>
      <c r="L21" s="26">
        <v>1131</v>
      </c>
      <c r="M21" s="26">
        <v>10</v>
      </c>
      <c r="N21" s="26">
        <v>664</v>
      </c>
      <c r="O21" s="26">
        <v>9</v>
      </c>
      <c r="P21" s="26">
        <v>90</v>
      </c>
      <c r="Q21" s="22">
        <v>2</v>
      </c>
      <c r="R21" s="22"/>
      <c r="S21" s="22"/>
      <c r="T21" s="22">
        <v>1885</v>
      </c>
      <c r="U21" s="22">
        <v>21</v>
      </c>
    </row>
    <row r="22" ht="13" customHeight="1" spans="1:21">
      <c r="A22" s="18" t="s">
        <v>38</v>
      </c>
      <c r="B22" s="20">
        <v>77135</v>
      </c>
      <c r="C22" s="21">
        <v>860615</v>
      </c>
      <c r="D22" s="22">
        <v>6206</v>
      </c>
      <c r="E22" s="22">
        <v>182482</v>
      </c>
      <c r="F22" s="21">
        <v>671298</v>
      </c>
      <c r="G22" s="22">
        <v>20206</v>
      </c>
      <c r="H22" s="22">
        <v>324977</v>
      </c>
      <c r="I22" s="22">
        <v>2890</v>
      </c>
      <c r="J22" s="22"/>
      <c r="K22" s="22"/>
      <c r="L22" s="26">
        <v>1095</v>
      </c>
      <c r="M22" s="26">
        <v>9</v>
      </c>
      <c r="N22" s="26">
        <v>662</v>
      </c>
      <c r="O22" s="26">
        <v>8</v>
      </c>
      <c r="P22" s="26">
        <v>88</v>
      </c>
      <c r="Q22" s="22">
        <v>2</v>
      </c>
      <c r="R22" s="22"/>
      <c r="S22" s="22"/>
      <c r="T22" s="22">
        <v>1845</v>
      </c>
      <c r="U22" s="22">
        <v>19</v>
      </c>
    </row>
    <row r="23" ht="13" customHeight="1" spans="1:21">
      <c r="A23" s="18" t="s">
        <v>39</v>
      </c>
      <c r="B23" s="20">
        <v>77150</v>
      </c>
      <c r="C23" s="21">
        <v>861260</v>
      </c>
      <c r="D23" s="22">
        <v>6215</v>
      </c>
      <c r="E23" s="22">
        <v>182665</v>
      </c>
      <c r="F23" s="21">
        <v>671777</v>
      </c>
      <c r="G23" s="22">
        <v>20214</v>
      </c>
      <c r="H23" s="22">
        <v>325065</v>
      </c>
      <c r="I23" s="22">
        <v>2892</v>
      </c>
      <c r="J23" s="22"/>
      <c r="K23" s="22"/>
      <c r="L23" s="26">
        <v>1101</v>
      </c>
      <c r="M23" s="26">
        <v>9</v>
      </c>
      <c r="N23" s="26">
        <v>664</v>
      </c>
      <c r="O23" s="26">
        <v>9</v>
      </c>
      <c r="P23" s="26">
        <v>89</v>
      </c>
      <c r="Q23" s="22">
        <v>1</v>
      </c>
      <c r="R23" s="22"/>
      <c r="S23" s="22"/>
      <c r="T23" s="22">
        <v>1854</v>
      </c>
      <c r="U23" s="22">
        <v>19</v>
      </c>
    </row>
    <row r="24" ht="13" customHeight="1" spans="1:21">
      <c r="A24" s="18" t="s">
        <v>40</v>
      </c>
      <c r="B24" s="20">
        <v>77165</v>
      </c>
      <c r="C24" s="21">
        <v>861911</v>
      </c>
      <c r="D24" s="22">
        <v>6224</v>
      </c>
      <c r="E24" s="22">
        <v>182854</v>
      </c>
      <c r="F24" s="21">
        <v>672252</v>
      </c>
      <c r="G24" s="22">
        <v>20223</v>
      </c>
      <c r="H24" s="22">
        <v>325154</v>
      </c>
      <c r="I24" s="22">
        <v>2893</v>
      </c>
      <c r="J24" s="22"/>
      <c r="K24" s="22"/>
      <c r="L24" s="26">
        <v>1128</v>
      </c>
      <c r="M24" s="26">
        <v>10</v>
      </c>
      <c r="N24" s="26">
        <v>671</v>
      </c>
      <c r="O24" s="26">
        <v>8</v>
      </c>
      <c r="P24" s="26">
        <v>90</v>
      </c>
      <c r="Q24" s="22">
        <v>2</v>
      </c>
      <c r="R24" s="22"/>
      <c r="S24" s="22"/>
      <c r="T24" s="22">
        <v>1889</v>
      </c>
      <c r="U24" s="22">
        <v>20</v>
      </c>
    </row>
    <row r="25" ht="13" customHeight="1" spans="1:21">
      <c r="A25" s="18" t="s">
        <v>41</v>
      </c>
      <c r="B25" s="20">
        <v>77181</v>
      </c>
      <c r="C25" s="21">
        <v>862559</v>
      </c>
      <c r="D25" s="22">
        <v>6234</v>
      </c>
      <c r="E25" s="22">
        <v>183044</v>
      </c>
      <c r="F25" s="21">
        <v>672733</v>
      </c>
      <c r="G25" s="22">
        <v>20231</v>
      </c>
      <c r="H25" s="22">
        <v>325244</v>
      </c>
      <c r="I25" s="22">
        <v>2895</v>
      </c>
      <c r="J25" s="22"/>
      <c r="K25" s="22"/>
      <c r="L25" s="26">
        <v>1101</v>
      </c>
      <c r="M25" s="26">
        <v>10</v>
      </c>
      <c r="N25" s="26">
        <v>662</v>
      </c>
      <c r="O25" s="26">
        <v>9</v>
      </c>
      <c r="P25" s="26">
        <v>88</v>
      </c>
      <c r="Q25" s="22">
        <v>1</v>
      </c>
      <c r="R25" s="22"/>
      <c r="S25" s="22"/>
      <c r="T25" s="22">
        <v>1851</v>
      </c>
      <c r="U25" s="22">
        <v>20</v>
      </c>
    </row>
    <row r="26" ht="13" customHeight="1" spans="1:21">
      <c r="A26" s="18" t="s">
        <v>42</v>
      </c>
      <c r="B26" s="20">
        <v>77196</v>
      </c>
      <c r="C26" s="21">
        <v>863210</v>
      </c>
      <c r="D26" s="22">
        <v>6244</v>
      </c>
      <c r="E26" s="22">
        <v>183230</v>
      </c>
      <c r="F26" s="21">
        <v>673209</v>
      </c>
      <c r="G26" s="22">
        <v>20240</v>
      </c>
      <c r="H26" s="22">
        <v>325332</v>
      </c>
      <c r="I26" s="22">
        <v>2896</v>
      </c>
      <c r="J26" s="22"/>
      <c r="K26" s="22"/>
      <c r="L26" s="26">
        <v>1103</v>
      </c>
      <c r="M26" s="26">
        <v>10</v>
      </c>
      <c r="N26" s="26">
        <v>670</v>
      </c>
      <c r="O26" s="26">
        <v>10</v>
      </c>
      <c r="P26" s="26">
        <v>90</v>
      </c>
      <c r="Q26" s="22">
        <v>1</v>
      </c>
      <c r="R26" s="22"/>
      <c r="S26" s="22"/>
      <c r="T26" s="22">
        <v>1863</v>
      </c>
      <c r="U26" s="22">
        <v>21</v>
      </c>
    </row>
    <row r="27" ht="13" customHeight="1" spans="1:21">
      <c r="A27" s="18" t="s">
        <v>43</v>
      </c>
      <c r="B27" s="20">
        <v>77211</v>
      </c>
      <c r="C27" s="21">
        <v>863863</v>
      </c>
      <c r="D27" s="22">
        <v>6254</v>
      </c>
      <c r="E27" s="22">
        <v>183421</v>
      </c>
      <c r="F27" s="21">
        <v>673688</v>
      </c>
      <c r="G27" s="22">
        <v>20250</v>
      </c>
      <c r="H27" s="22">
        <v>325422</v>
      </c>
      <c r="I27" s="22">
        <v>2897</v>
      </c>
      <c r="J27" s="22"/>
      <c r="K27" s="22"/>
      <c r="L27" s="26">
        <v>1101</v>
      </c>
      <c r="M27" s="26">
        <v>10</v>
      </c>
      <c r="N27" s="26">
        <v>664</v>
      </c>
      <c r="O27" s="26">
        <v>10</v>
      </c>
      <c r="P27" s="26">
        <v>88</v>
      </c>
      <c r="Q27" s="22">
        <v>1</v>
      </c>
      <c r="R27" s="22"/>
      <c r="S27" s="22"/>
      <c r="T27" s="22">
        <v>1853</v>
      </c>
      <c r="U27" s="22">
        <v>21</v>
      </c>
    </row>
    <row r="28" ht="13" customHeight="1" spans="1:21">
      <c r="A28" s="18" t="s">
        <v>44</v>
      </c>
      <c r="B28" s="20">
        <v>77226</v>
      </c>
      <c r="C28" s="21">
        <v>864514</v>
      </c>
      <c r="D28" s="22">
        <v>6264</v>
      </c>
      <c r="E28" s="22">
        <v>183608</v>
      </c>
      <c r="F28" s="21">
        <v>674165</v>
      </c>
      <c r="G28" s="22">
        <v>20260</v>
      </c>
      <c r="H28" s="22">
        <v>325510</v>
      </c>
      <c r="I28" s="22">
        <v>2898</v>
      </c>
      <c r="J28" s="22"/>
      <c r="K28" s="22"/>
      <c r="L28" s="26">
        <v>1104</v>
      </c>
      <c r="M28" s="26">
        <v>9</v>
      </c>
      <c r="N28" s="26">
        <v>664</v>
      </c>
      <c r="O28" s="26">
        <v>9</v>
      </c>
      <c r="P28" s="26">
        <v>89</v>
      </c>
      <c r="Q28" s="22">
        <v>2</v>
      </c>
      <c r="R28" s="22"/>
      <c r="S28" s="22"/>
      <c r="T28" s="22">
        <v>1857</v>
      </c>
      <c r="U28" s="22">
        <v>20</v>
      </c>
    </row>
    <row r="29" ht="13" customHeight="1" spans="1:21">
      <c r="A29" s="18" t="s">
        <v>45</v>
      </c>
      <c r="B29" s="20">
        <v>77241</v>
      </c>
      <c r="C29" s="21">
        <v>865168</v>
      </c>
      <c r="D29" s="22">
        <v>6273</v>
      </c>
      <c r="E29" s="22">
        <v>183796</v>
      </c>
      <c r="F29" s="21">
        <v>674641</v>
      </c>
      <c r="G29" s="22">
        <v>20269</v>
      </c>
      <c r="H29" s="22">
        <v>325599</v>
      </c>
      <c r="I29" s="22">
        <v>2900</v>
      </c>
      <c r="J29" s="22"/>
      <c r="K29" s="22"/>
      <c r="L29" s="26">
        <v>1109</v>
      </c>
      <c r="M29" s="26">
        <v>9</v>
      </c>
      <c r="N29" s="26">
        <v>671</v>
      </c>
      <c r="O29" s="26">
        <v>10</v>
      </c>
      <c r="P29" s="26">
        <v>90</v>
      </c>
      <c r="Q29" s="22">
        <v>1</v>
      </c>
      <c r="R29" s="22"/>
      <c r="S29" s="22"/>
      <c r="T29" s="22">
        <v>1870</v>
      </c>
      <c r="U29" s="22">
        <v>20</v>
      </c>
    </row>
    <row r="30" ht="13" customHeight="1" spans="1:21">
      <c r="A30" s="18" t="s">
        <v>46</v>
      </c>
      <c r="B30" s="20">
        <v>77256</v>
      </c>
      <c r="C30" s="21">
        <v>865827</v>
      </c>
      <c r="D30" s="22">
        <v>6282</v>
      </c>
      <c r="E30" s="22">
        <v>183987</v>
      </c>
      <c r="F30" s="21">
        <v>675121</v>
      </c>
      <c r="G30" s="22">
        <v>20279</v>
      </c>
      <c r="H30" s="22">
        <v>325689</v>
      </c>
      <c r="I30" s="22">
        <v>2901</v>
      </c>
      <c r="J30" s="22"/>
      <c r="K30" s="22"/>
      <c r="L30" s="26">
        <v>1135</v>
      </c>
      <c r="M30" s="26">
        <v>9</v>
      </c>
      <c r="N30" s="26">
        <v>667</v>
      </c>
      <c r="O30" s="26">
        <v>9</v>
      </c>
      <c r="P30" s="26">
        <v>91</v>
      </c>
      <c r="Q30" s="22">
        <v>2</v>
      </c>
      <c r="R30" s="22"/>
      <c r="S30" s="22"/>
      <c r="T30" s="22">
        <v>1893</v>
      </c>
      <c r="U30" s="22">
        <v>20</v>
      </c>
    </row>
    <row r="31" ht="13" customHeight="1" spans="1:21">
      <c r="A31" s="18" t="s">
        <v>47</v>
      </c>
      <c r="B31" s="20">
        <v>77272</v>
      </c>
      <c r="C31" s="21">
        <v>866482</v>
      </c>
      <c r="D31" s="22">
        <v>6291</v>
      </c>
      <c r="E31" s="22">
        <v>184175</v>
      </c>
      <c r="F31" s="21">
        <v>675600</v>
      </c>
      <c r="G31" s="22">
        <v>20288</v>
      </c>
      <c r="H31" s="22">
        <v>325780</v>
      </c>
      <c r="I31" s="22">
        <v>2903</v>
      </c>
      <c r="J31" s="22"/>
      <c r="K31" s="22"/>
      <c r="L31" s="26">
        <v>1106</v>
      </c>
      <c r="M31" s="26">
        <v>10</v>
      </c>
      <c r="N31" s="26">
        <v>666</v>
      </c>
      <c r="O31" s="26">
        <v>10</v>
      </c>
      <c r="P31" s="26">
        <v>87</v>
      </c>
      <c r="Q31" s="22">
        <v>2</v>
      </c>
      <c r="R31" s="22"/>
      <c r="S31" s="22"/>
      <c r="T31" s="22">
        <v>1859</v>
      </c>
      <c r="U31" s="22">
        <v>22</v>
      </c>
    </row>
    <row r="32" ht="13" customHeight="1" spans="1:21">
      <c r="A32" s="18" t="s">
        <v>48</v>
      </c>
      <c r="B32" s="20">
        <v>77287</v>
      </c>
      <c r="C32" s="21">
        <v>867138</v>
      </c>
      <c r="D32" s="22">
        <v>6301</v>
      </c>
      <c r="E32" s="22">
        <v>184364</v>
      </c>
      <c r="F32" s="21">
        <v>676077</v>
      </c>
      <c r="G32" s="22">
        <v>20298</v>
      </c>
      <c r="H32" s="22">
        <v>325867</v>
      </c>
      <c r="I32" s="22">
        <v>2905</v>
      </c>
      <c r="J32" s="22"/>
      <c r="K32" s="22"/>
      <c r="L32" s="26">
        <v>1103</v>
      </c>
      <c r="M32" s="26">
        <v>9</v>
      </c>
      <c r="N32" s="26">
        <v>691</v>
      </c>
      <c r="O32" s="26">
        <v>10</v>
      </c>
      <c r="P32" s="26">
        <v>88</v>
      </c>
      <c r="Q32" s="22">
        <v>1</v>
      </c>
      <c r="R32" s="22"/>
      <c r="S32" s="22"/>
      <c r="T32" s="22">
        <v>1882</v>
      </c>
      <c r="U32" s="22">
        <v>20</v>
      </c>
    </row>
    <row r="33" ht="13" customHeight="1" spans="1:21">
      <c r="A33" s="23" t="s">
        <v>49</v>
      </c>
      <c r="B33" s="20">
        <v>77302</v>
      </c>
      <c r="C33" s="21">
        <v>867791</v>
      </c>
      <c r="D33" s="22">
        <v>6310</v>
      </c>
      <c r="E33" s="22">
        <v>184548</v>
      </c>
      <c r="F33" s="21">
        <v>676584</v>
      </c>
      <c r="G33" s="22">
        <v>20308</v>
      </c>
      <c r="H33" s="22">
        <v>325955</v>
      </c>
      <c r="I33" s="22">
        <v>2906</v>
      </c>
      <c r="J33" s="22"/>
      <c r="K33" s="22"/>
      <c r="L33" s="26">
        <v>1136</v>
      </c>
      <c r="M33" s="26">
        <v>9</v>
      </c>
      <c r="N33" s="26">
        <v>693</v>
      </c>
      <c r="O33" s="26">
        <v>9</v>
      </c>
      <c r="P33" s="26">
        <v>90</v>
      </c>
      <c r="Q33" s="22">
        <v>2</v>
      </c>
      <c r="R33" s="22"/>
      <c r="S33" s="22"/>
      <c r="T33" s="22">
        <v>1919</v>
      </c>
      <c r="U33" s="22">
        <v>20</v>
      </c>
    </row>
    <row r="34" ht="13" customHeight="1" spans="1:21">
      <c r="A34" s="23" t="s">
        <v>50</v>
      </c>
      <c r="B34" s="20">
        <v>77318</v>
      </c>
      <c r="C34" s="21">
        <v>868447</v>
      </c>
      <c r="D34" s="22">
        <v>6319</v>
      </c>
      <c r="E34" s="22">
        <v>184735</v>
      </c>
      <c r="F34" s="21">
        <v>677090</v>
      </c>
      <c r="G34" s="22">
        <v>20317</v>
      </c>
      <c r="H34" s="22">
        <v>326045</v>
      </c>
      <c r="I34" s="22">
        <v>2908</v>
      </c>
      <c r="J34" s="22"/>
      <c r="K34" s="22"/>
      <c r="L34" s="26">
        <v>1105</v>
      </c>
      <c r="M34" s="26">
        <v>10</v>
      </c>
      <c r="N34" s="26">
        <v>697</v>
      </c>
      <c r="O34" s="26">
        <v>9</v>
      </c>
      <c r="P34" s="26">
        <v>89</v>
      </c>
      <c r="Q34" s="22">
        <v>1</v>
      </c>
      <c r="R34" s="22"/>
      <c r="S34" s="22"/>
      <c r="T34" s="22">
        <v>1891</v>
      </c>
      <c r="U34" s="22">
        <v>20</v>
      </c>
    </row>
    <row r="35" ht="13" customHeight="1" spans="1:21">
      <c r="A35" s="24" t="s">
        <v>51</v>
      </c>
      <c r="B35" s="20">
        <v>77333</v>
      </c>
      <c r="C35" s="21">
        <v>869102</v>
      </c>
      <c r="D35" s="22">
        <v>6329</v>
      </c>
      <c r="E35" s="22">
        <v>184924</v>
      </c>
      <c r="F35" s="21">
        <v>677598</v>
      </c>
      <c r="G35" s="22">
        <v>20326</v>
      </c>
      <c r="H35" s="22">
        <v>326134</v>
      </c>
      <c r="I35" s="22">
        <v>2909</v>
      </c>
      <c r="J35" s="22"/>
      <c r="K35" s="22"/>
      <c r="L35" s="26">
        <v>1107</v>
      </c>
      <c r="M35" s="26">
        <v>9</v>
      </c>
      <c r="N35" s="26">
        <v>692</v>
      </c>
      <c r="O35" s="26">
        <v>10</v>
      </c>
      <c r="P35" s="26">
        <v>88</v>
      </c>
      <c r="Q35" s="22">
        <v>1</v>
      </c>
      <c r="R35" s="22"/>
      <c r="S35" s="22"/>
      <c r="T35" s="22">
        <v>1887</v>
      </c>
      <c r="U35" s="22">
        <v>20</v>
      </c>
    </row>
    <row r="36" ht="13" customHeight="1" spans="1:21">
      <c r="A36" s="23" t="s">
        <v>52</v>
      </c>
      <c r="B36" s="20">
        <v>77348</v>
      </c>
      <c r="C36" s="21">
        <v>869759</v>
      </c>
      <c r="D36" s="22">
        <v>6338</v>
      </c>
      <c r="E36" s="22">
        <v>185107</v>
      </c>
      <c r="F36" s="21">
        <v>678107</v>
      </c>
      <c r="G36" s="22">
        <v>20336</v>
      </c>
      <c r="H36" s="22">
        <v>326222</v>
      </c>
      <c r="I36" s="22">
        <v>2910</v>
      </c>
      <c r="J36" s="22"/>
      <c r="K36" s="22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 s="13" customFormat="1" ht="16.15" customHeight="1" spans="1:21">
      <c r="A37" s="25" t="s">
        <v>53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9" spans="12:21">
      <c r="L39" s="14">
        <f t="shared" ref="L39:Q39" si="0">SUM(L5:L35)</f>
        <v>34562</v>
      </c>
      <c r="M39" s="14">
        <f t="shared" si="0"/>
        <v>304</v>
      </c>
      <c r="N39" s="14">
        <f t="shared" si="0"/>
        <v>20730</v>
      </c>
      <c r="O39" s="14">
        <f t="shared" si="0"/>
        <v>290</v>
      </c>
      <c r="P39" s="14">
        <f t="shared" si="0"/>
        <v>2760</v>
      </c>
      <c r="Q39" s="14">
        <f t="shared" si="0"/>
        <v>45</v>
      </c>
      <c r="T39" s="14">
        <f>SUM(T5:T35)</f>
        <v>58052</v>
      </c>
      <c r="U39" s="14">
        <f>SUM(U5:U35)</f>
        <v>639</v>
      </c>
    </row>
    <row r="40" spans="12:21">
      <c r="L40" s="28">
        <f t="shared" ref="L40:Q40" si="1">AVERAGE(L5:L35)</f>
        <v>1114.90322580645</v>
      </c>
      <c r="M40" s="28">
        <f t="shared" si="1"/>
        <v>9.80645161290323</v>
      </c>
      <c r="N40" s="28">
        <f t="shared" si="1"/>
        <v>668.709677419355</v>
      </c>
      <c r="O40" s="28">
        <f t="shared" si="1"/>
        <v>9.35483870967742</v>
      </c>
      <c r="P40" s="28">
        <f t="shared" si="1"/>
        <v>89.0322580645161</v>
      </c>
      <c r="Q40" s="28">
        <f t="shared" si="1"/>
        <v>1.45161290322581</v>
      </c>
      <c r="R40" s="28"/>
      <c r="S40" s="28"/>
      <c r="T40" s="28">
        <f>AVERAGE(T5:T35)</f>
        <v>1872.64516129032</v>
      </c>
      <c r="U40" s="28">
        <f>AVERAGE(U5:U35)</f>
        <v>20.6129032258065</v>
      </c>
    </row>
  </sheetData>
  <mergeCells count="13">
    <mergeCell ref="A1:U1"/>
    <mergeCell ref="A2:U2"/>
    <mergeCell ref="B3:D3"/>
    <mergeCell ref="E3:G3"/>
    <mergeCell ref="H3:I3"/>
    <mergeCell ref="J3:K3"/>
    <mergeCell ref="L3:M3"/>
    <mergeCell ref="N3:O3"/>
    <mergeCell ref="P3:Q3"/>
    <mergeCell ref="R3:S3"/>
    <mergeCell ref="T3:U3"/>
    <mergeCell ref="A37:U37"/>
    <mergeCell ref="A3:A4"/>
  </mergeCells>
  <pageMargins left="0.503472222222222" right="0.503472222222222" top="0.161111111111111" bottom="0.554861111111111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tabSelected="1" workbookViewId="0">
      <selection activeCell="U30" sqref="U30"/>
    </sheetView>
  </sheetViews>
  <sheetFormatPr defaultColWidth="8.89166666666667" defaultRowHeight="13.5"/>
  <cols>
    <col min="13" max="18" width="11.125"/>
  </cols>
  <sheetData>
    <row r="1" ht="16.65" customHeight="1" spans="1:19">
      <c r="A1" s="1" t="s">
        <v>1</v>
      </c>
      <c r="B1" s="2" t="s">
        <v>54</v>
      </c>
      <c r="C1" s="2"/>
      <c r="D1" s="2"/>
      <c r="E1" s="2" t="s">
        <v>55</v>
      </c>
      <c r="F1" s="2"/>
      <c r="G1" s="2"/>
      <c r="H1" s="2" t="s">
        <v>56</v>
      </c>
      <c r="I1" s="2"/>
      <c r="K1" s="1" t="s">
        <v>1</v>
      </c>
      <c r="L1" s="2" t="s">
        <v>54</v>
      </c>
      <c r="M1" s="2"/>
      <c r="N1" s="2" t="s">
        <v>55</v>
      </c>
      <c r="O1" s="2"/>
      <c r="P1" s="2" t="s">
        <v>56</v>
      </c>
      <c r="Q1" s="2"/>
      <c r="R1" s="2" t="s">
        <v>6</v>
      </c>
      <c r="S1" s="2"/>
    </row>
    <row r="2" ht="27.75" spans="1:19">
      <c r="A2" s="1"/>
      <c r="B2" s="3" t="s">
        <v>57</v>
      </c>
      <c r="C2" s="4" t="s">
        <v>58</v>
      </c>
      <c r="D2" s="3" t="s">
        <v>59</v>
      </c>
      <c r="E2" s="2" t="s">
        <v>60</v>
      </c>
      <c r="F2" s="5" t="s">
        <v>61</v>
      </c>
      <c r="G2" s="2" t="s">
        <v>62</v>
      </c>
      <c r="H2" s="2" t="s">
        <v>63</v>
      </c>
      <c r="I2" s="2" t="s">
        <v>64</v>
      </c>
      <c r="K2" s="9"/>
      <c r="L2" s="3" t="s">
        <v>65</v>
      </c>
      <c r="M2" s="3" t="s">
        <v>66</v>
      </c>
      <c r="N2" s="3" t="s">
        <v>65</v>
      </c>
      <c r="O2" s="3" t="s">
        <v>66</v>
      </c>
      <c r="P2" s="2" t="s">
        <v>65</v>
      </c>
      <c r="Q2" s="2" t="s">
        <v>66</v>
      </c>
      <c r="R2" s="2" t="s">
        <v>65</v>
      </c>
      <c r="S2" s="2" t="s">
        <v>66</v>
      </c>
    </row>
    <row r="3" ht="14.25" spans="1:19">
      <c r="A3" s="6" t="s">
        <v>67</v>
      </c>
      <c r="B3" s="7">
        <v>76876</v>
      </c>
      <c r="C3" s="8">
        <v>849357</v>
      </c>
      <c r="D3" s="7">
        <v>6034</v>
      </c>
      <c r="E3" s="7">
        <v>179276</v>
      </c>
      <c r="F3" s="8">
        <v>663208</v>
      </c>
      <c r="G3" s="7">
        <v>20046</v>
      </c>
      <c r="H3" s="7">
        <v>323462</v>
      </c>
      <c r="I3" s="7">
        <v>2865</v>
      </c>
      <c r="K3" s="6" t="s">
        <v>67</v>
      </c>
      <c r="L3" s="10">
        <v>1116</v>
      </c>
      <c r="M3" s="10">
        <v>10</v>
      </c>
      <c r="N3" s="10">
        <v>671</v>
      </c>
      <c r="O3" s="10">
        <v>9</v>
      </c>
      <c r="P3" s="10">
        <v>91</v>
      </c>
      <c r="Q3" s="7">
        <v>1</v>
      </c>
      <c r="R3" s="7">
        <v>1878</v>
      </c>
      <c r="S3" s="7">
        <v>20</v>
      </c>
    </row>
    <row r="4" ht="14.25" spans="1:19">
      <c r="A4" s="6" t="s">
        <v>68</v>
      </c>
      <c r="B4" s="7">
        <v>76891</v>
      </c>
      <c r="C4" s="8">
        <v>850023</v>
      </c>
      <c r="D4" s="7">
        <v>6044</v>
      </c>
      <c r="E4" s="7">
        <v>179465</v>
      </c>
      <c r="F4" s="8">
        <v>663690</v>
      </c>
      <c r="G4" s="7">
        <v>20055</v>
      </c>
      <c r="H4" s="7">
        <v>323553</v>
      </c>
      <c r="I4" s="7">
        <v>2866</v>
      </c>
      <c r="K4" s="6" t="s">
        <v>68</v>
      </c>
      <c r="L4" s="10">
        <v>1147</v>
      </c>
      <c r="M4" s="10">
        <v>10</v>
      </c>
      <c r="N4" s="10">
        <v>678</v>
      </c>
      <c r="O4" s="10">
        <v>9</v>
      </c>
      <c r="P4" s="10">
        <v>91</v>
      </c>
      <c r="Q4" s="7">
        <v>1</v>
      </c>
      <c r="R4" s="7">
        <v>1916</v>
      </c>
      <c r="S4" s="7">
        <v>20</v>
      </c>
    </row>
    <row r="5" ht="14.25" spans="1:19">
      <c r="A5" s="6" t="s">
        <v>69</v>
      </c>
      <c r="B5" s="7">
        <v>76907</v>
      </c>
      <c r="C5" s="8">
        <v>850690</v>
      </c>
      <c r="D5" s="7">
        <v>6054</v>
      </c>
      <c r="E5" s="7">
        <v>179658</v>
      </c>
      <c r="F5" s="8">
        <v>664175</v>
      </c>
      <c r="G5" s="7">
        <v>20064</v>
      </c>
      <c r="H5" s="7">
        <v>323644</v>
      </c>
      <c r="I5" s="7">
        <v>2867</v>
      </c>
      <c r="K5" s="6" t="s">
        <v>69</v>
      </c>
      <c r="L5" s="10">
        <v>1117</v>
      </c>
      <c r="M5" s="10">
        <v>11</v>
      </c>
      <c r="N5" s="10">
        <v>668</v>
      </c>
      <c r="O5" s="10">
        <v>9</v>
      </c>
      <c r="P5" s="10">
        <v>89</v>
      </c>
      <c r="Q5" s="7">
        <v>2</v>
      </c>
      <c r="R5" s="7">
        <v>1874</v>
      </c>
      <c r="S5" s="7">
        <v>22</v>
      </c>
    </row>
    <row r="6" ht="14.25" spans="1:19">
      <c r="A6" s="6" t="s">
        <v>70</v>
      </c>
      <c r="B6" s="7">
        <v>76922</v>
      </c>
      <c r="C6" s="8">
        <v>851357</v>
      </c>
      <c r="D6" s="7">
        <v>6065</v>
      </c>
      <c r="E6" s="7">
        <v>179848</v>
      </c>
      <c r="F6" s="8">
        <v>664653</v>
      </c>
      <c r="G6" s="7">
        <v>20073</v>
      </c>
      <c r="H6" s="7">
        <v>323733</v>
      </c>
      <c r="I6" s="7">
        <v>2869</v>
      </c>
      <c r="K6" s="6" t="s">
        <v>70</v>
      </c>
      <c r="L6" s="10">
        <v>1143</v>
      </c>
      <c r="M6" s="10">
        <v>10</v>
      </c>
      <c r="N6" s="10">
        <v>666</v>
      </c>
      <c r="O6" s="10">
        <v>9</v>
      </c>
      <c r="P6" s="10">
        <v>92</v>
      </c>
      <c r="Q6" s="7">
        <v>1</v>
      </c>
      <c r="R6" s="7">
        <v>1901</v>
      </c>
      <c r="S6" s="7">
        <v>20</v>
      </c>
    </row>
    <row r="7" ht="14.25" spans="1:19">
      <c r="A7" s="6" t="s">
        <v>71</v>
      </c>
      <c r="B7" s="7">
        <v>76938</v>
      </c>
      <c r="C7" s="8">
        <v>852020</v>
      </c>
      <c r="D7" s="7">
        <v>6075</v>
      </c>
      <c r="E7" s="7">
        <v>180037</v>
      </c>
      <c r="F7" s="8">
        <v>665130</v>
      </c>
      <c r="G7" s="7">
        <v>20082</v>
      </c>
      <c r="H7" s="7">
        <v>323825</v>
      </c>
      <c r="I7" s="7">
        <v>2870</v>
      </c>
      <c r="K7" s="6" t="s">
        <v>71</v>
      </c>
      <c r="L7" s="10">
        <v>1121</v>
      </c>
      <c r="M7" s="10">
        <v>10</v>
      </c>
      <c r="N7" s="10">
        <v>674</v>
      </c>
      <c r="O7" s="10">
        <v>9</v>
      </c>
      <c r="P7" s="10">
        <v>89</v>
      </c>
      <c r="Q7" s="7">
        <v>1</v>
      </c>
      <c r="R7" s="7">
        <v>1884</v>
      </c>
      <c r="S7" s="7">
        <v>20</v>
      </c>
    </row>
    <row r="8" ht="14.25" spans="1:19">
      <c r="A8" s="6" t="s">
        <v>72</v>
      </c>
      <c r="B8" s="7">
        <v>76953</v>
      </c>
      <c r="C8" s="8">
        <v>852691</v>
      </c>
      <c r="D8" s="7">
        <v>6085</v>
      </c>
      <c r="E8" s="7">
        <v>180228</v>
      </c>
      <c r="F8" s="8">
        <v>665613</v>
      </c>
      <c r="G8" s="7">
        <v>20091</v>
      </c>
      <c r="H8" s="7">
        <v>323914</v>
      </c>
      <c r="I8" s="7">
        <v>2871</v>
      </c>
      <c r="K8" s="6" t="s">
        <v>72</v>
      </c>
      <c r="L8" s="10">
        <v>1119</v>
      </c>
      <c r="M8" s="10">
        <v>9</v>
      </c>
      <c r="N8" s="10">
        <v>656</v>
      </c>
      <c r="O8" s="10">
        <v>9</v>
      </c>
      <c r="P8" s="10">
        <v>88</v>
      </c>
      <c r="Q8" s="7">
        <v>3</v>
      </c>
      <c r="R8" s="7">
        <v>1863</v>
      </c>
      <c r="S8" s="7">
        <v>21</v>
      </c>
    </row>
    <row r="9" ht="14.25" spans="1:19">
      <c r="A9" s="6" t="s">
        <v>73</v>
      </c>
      <c r="B9" s="7">
        <v>76968</v>
      </c>
      <c r="C9" s="8">
        <v>853360</v>
      </c>
      <c r="D9" s="7">
        <v>6094</v>
      </c>
      <c r="E9" s="7">
        <v>180414</v>
      </c>
      <c r="F9" s="8">
        <v>666083</v>
      </c>
      <c r="G9" s="7">
        <v>20100</v>
      </c>
      <c r="H9" s="7">
        <v>324002</v>
      </c>
      <c r="I9" s="7">
        <v>2874</v>
      </c>
      <c r="K9" s="6" t="s">
        <v>73</v>
      </c>
      <c r="L9" s="10">
        <v>1119</v>
      </c>
      <c r="M9" s="10">
        <v>12</v>
      </c>
      <c r="N9" s="10">
        <v>665</v>
      </c>
      <c r="O9" s="10">
        <v>10</v>
      </c>
      <c r="P9" s="10">
        <v>88</v>
      </c>
      <c r="Q9" s="7">
        <v>1</v>
      </c>
      <c r="R9" s="7">
        <v>1872</v>
      </c>
      <c r="S9" s="7">
        <v>23</v>
      </c>
    </row>
    <row r="10" ht="14.25" spans="1:19">
      <c r="A10" s="6" t="s">
        <v>74</v>
      </c>
      <c r="B10" s="7">
        <v>76983</v>
      </c>
      <c r="C10" s="8">
        <v>854029</v>
      </c>
      <c r="D10" s="7">
        <v>6106</v>
      </c>
      <c r="E10" s="7">
        <v>180602</v>
      </c>
      <c r="F10" s="8">
        <v>666560</v>
      </c>
      <c r="G10" s="7">
        <v>20110</v>
      </c>
      <c r="H10" s="7">
        <v>324090</v>
      </c>
      <c r="I10" s="7">
        <v>2875</v>
      </c>
      <c r="K10" s="6" t="s">
        <v>74</v>
      </c>
      <c r="L10" s="10">
        <v>1107</v>
      </c>
      <c r="M10" s="10">
        <v>11</v>
      </c>
      <c r="N10" s="10">
        <v>648</v>
      </c>
      <c r="O10" s="10">
        <v>8</v>
      </c>
      <c r="P10" s="10">
        <v>87</v>
      </c>
      <c r="Q10" s="7">
        <v>1</v>
      </c>
      <c r="R10" s="7">
        <v>1842</v>
      </c>
      <c r="S10" s="7">
        <v>20</v>
      </c>
    </row>
    <row r="11" ht="14.25" spans="1:19">
      <c r="A11" s="6" t="s">
        <v>75</v>
      </c>
      <c r="B11" s="7">
        <v>76998</v>
      </c>
      <c r="C11" s="8">
        <v>854686</v>
      </c>
      <c r="D11" s="7">
        <v>6117</v>
      </c>
      <c r="E11" s="7">
        <v>180786</v>
      </c>
      <c r="F11" s="8">
        <v>667024</v>
      </c>
      <c r="G11" s="7">
        <v>20118</v>
      </c>
      <c r="H11" s="7">
        <v>324177</v>
      </c>
      <c r="I11" s="7">
        <v>2876</v>
      </c>
      <c r="K11" s="6" t="s">
        <v>75</v>
      </c>
      <c r="L11" s="10">
        <v>1104</v>
      </c>
      <c r="M11" s="10">
        <v>10</v>
      </c>
      <c r="N11" s="10">
        <v>655</v>
      </c>
      <c r="O11" s="10">
        <v>10</v>
      </c>
      <c r="P11" s="10">
        <v>88</v>
      </c>
      <c r="Q11" s="7">
        <v>2</v>
      </c>
      <c r="R11" s="7">
        <v>1847</v>
      </c>
      <c r="S11" s="7">
        <v>22</v>
      </c>
    </row>
    <row r="12" ht="14.25" spans="1:19">
      <c r="A12" s="6" t="s">
        <v>76</v>
      </c>
      <c r="B12" s="7">
        <v>77013</v>
      </c>
      <c r="C12" s="8">
        <v>855340</v>
      </c>
      <c r="D12" s="7">
        <v>6127</v>
      </c>
      <c r="E12" s="7">
        <v>180970</v>
      </c>
      <c r="F12" s="8">
        <v>667495</v>
      </c>
      <c r="G12" s="7">
        <v>20128</v>
      </c>
      <c r="H12" s="7">
        <v>324265</v>
      </c>
      <c r="I12" s="7">
        <v>2878</v>
      </c>
      <c r="K12" s="6" t="s">
        <v>76</v>
      </c>
      <c r="L12" s="10">
        <v>1114</v>
      </c>
      <c r="M12" s="10">
        <v>10</v>
      </c>
      <c r="N12" s="10">
        <v>665</v>
      </c>
      <c r="O12" s="10">
        <v>9</v>
      </c>
      <c r="P12" s="10">
        <v>89</v>
      </c>
      <c r="Q12" s="7">
        <v>1</v>
      </c>
      <c r="R12" s="7">
        <v>1868</v>
      </c>
      <c r="S12" s="7">
        <v>20</v>
      </c>
    </row>
    <row r="13" ht="14.25" spans="1:19">
      <c r="A13" s="6" t="s">
        <v>77</v>
      </c>
      <c r="B13" s="7">
        <v>77028</v>
      </c>
      <c r="C13" s="8">
        <v>856004</v>
      </c>
      <c r="D13" s="7">
        <v>6137</v>
      </c>
      <c r="E13" s="7">
        <v>181159</v>
      </c>
      <c r="F13" s="8">
        <v>667971</v>
      </c>
      <c r="G13" s="7">
        <v>20137</v>
      </c>
      <c r="H13" s="7">
        <v>324354</v>
      </c>
      <c r="I13" s="7">
        <v>2879</v>
      </c>
      <c r="K13" s="6" t="s">
        <v>77</v>
      </c>
      <c r="L13" s="10">
        <v>1112</v>
      </c>
      <c r="M13" s="10">
        <v>9</v>
      </c>
      <c r="N13" s="10">
        <v>663</v>
      </c>
      <c r="O13" s="10">
        <v>9</v>
      </c>
      <c r="P13" s="10">
        <v>86</v>
      </c>
      <c r="Q13" s="7">
        <v>2</v>
      </c>
      <c r="R13" s="7">
        <v>1861</v>
      </c>
      <c r="S13" s="7">
        <v>20</v>
      </c>
    </row>
    <row r="14" ht="14.25" spans="1:19">
      <c r="A14" s="6" t="s">
        <v>78</v>
      </c>
      <c r="B14" s="7">
        <v>77043</v>
      </c>
      <c r="C14" s="8">
        <v>856666</v>
      </c>
      <c r="D14" s="7">
        <v>6146</v>
      </c>
      <c r="E14" s="7">
        <v>181346</v>
      </c>
      <c r="F14" s="8">
        <v>668447</v>
      </c>
      <c r="G14" s="7">
        <v>20146</v>
      </c>
      <c r="H14" s="7">
        <v>324440</v>
      </c>
      <c r="I14" s="7">
        <v>2881</v>
      </c>
      <c r="K14" s="6" t="s">
        <v>78</v>
      </c>
      <c r="L14" s="10">
        <v>1112</v>
      </c>
      <c r="M14" s="10">
        <v>11</v>
      </c>
      <c r="N14" s="10">
        <v>662</v>
      </c>
      <c r="O14" s="10">
        <v>10</v>
      </c>
      <c r="P14" s="10">
        <v>91</v>
      </c>
      <c r="Q14" s="7">
        <v>1</v>
      </c>
      <c r="R14" s="7">
        <v>1865</v>
      </c>
      <c r="S14" s="7">
        <v>22</v>
      </c>
    </row>
    <row r="15" ht="14.25" spans="1:19">
      <c r="A15" s="6" t="s">
        <v>79</v>
      </c>
      <c r="B15" s="7">
        <v>77058</v>
      </c>
      <c r="C15" s="8">
        <v>857328</v>
      </c>
      <c r="D15" s="7">
        <v>6157</v>
      </c>
      <c r="E15" s="7">
        <v>181534</v>
      </c>
      <c r="F15" s="8">
        <v>668921</v>
      </c>
      <c r="G15" s="7">
        <v>20156</v>
      </c>
      <c r="H15" s="7">
        <v>324531</v>
      </c>
      <c r="I15" s="7">
        <v>2882</v>
      </c>
      <c r="K15" s="6" t="s">
        <v>79</v>
      </c>
      <c r="L15" s="10">
        <v>1138</v>
      </c>
      <c r="M15" s="10">
        <v>11</v>
      </c>
      <c r="N15" s="10">
        <v>665</v>
      </c>
      <c r="O15" s="10">
        <v>11</v>
      </c>
      <c r="P15" s="10">
        <v>89</v>
      </c>
      <c r="Q15" s="7">
        <v>2</v>
      </c>
      <c r="R15" s="7">
        <v>1892</v>
      </c>
      <c r="S15" s="7">
        <v>24</v>
      </c>
    </row>
    <row r="16" ht="14.25" spans="1:19">
      <c r="A16" s="6" t="s">
        <v>80</v>
      </c>
      <c r="B16" s="7">
        <v>77074</v>
      </c>
      <c r="C16" s="8">
        <v>857986</v>
      </c>
      <c r="D16" s="7">
        <v>6168</v>
      </c>
      <c r="E16" s="7">
        <v>181723</v>
      </c>
      <c r="F16" s="8">
        <v>669397</v>
      </c>
      <c r="G16" s="7">
        <v>20167</v>
      </c>
      <c r="H16" s="7">
        <v>324620</v>
      </c>
      <c r="I16" s="7">
        <v>2884</v>
      </c>
      <c r="K16" s="6" t="s">
        <v>80</v>
      </c>
      <c r="L16" s="10">
        <v>1115</v>
      </c>
      <c r="M16" s="10">
        <v>9</v>
      </c>
      <c r="N16" s="10">
        <v>661</v>
      </c>
      <c r="O16" s="10">
        <v>11</v>
      </c>
      <c r="P16" s="10">
        <v>89</v>
      </c>
      <c r="Q16" s="7">
        <v>1</v>
      </c>
      <c r="R16" s="7">
        <v>1865</v>
      </c>
      <c r="S16" s="7">
        <v>21</v>
      </c>
    </row>
    <row r="17" ht="14.25" spans="1:19">
      <c r="A17" s="6" t="s">
        <v>81</v>
      </c>
      <c r="B17" s="7">
        <v>77089</v>
      </c>
      <c r="C17" s="8">
        <v>858651</v>
      </c>
      <c r="D17" s="7">
        <v>6177</v>
      </c>
      <c r="E17" s="7">
        <v>181910</v>
      </c>
      <c r="F17" s="8">
        <v>669871</v>
      </c>
      <c r="G17" s="7">
        <v>20178</v>
      </c>
      <c r="H17" s="7">
        <v>324709</v>
      </c>
      <c r="I17" s="7">
        <v>2885</v>
      </c>
      <c r="K17" s="6" t="s">
        <v>81</v>
      </c>
      <c r="L17" s="10">
        <v>1116</v>
      </c>
      <c r="M17" s="10">
        <v>10</v>
      </c>
      <c r="N17" s="10">
        <v>662</v>
      </c>
      <c r="O17" s="10">
        <v>11</v>
      </c>
      <c r="P17" s="10">
        <v>89</v>
      </c>
      <c r="Q17" s="7">
        <v>2</v>
      </c>
      <c r="R17" s="7">
        <v>1867</v>
      </c>
      <c r="S17" s="7">
        <v>23</v>
      </c>
    </row>
    <row r="18" ht="14.25" spans="1:19">
      <c r="A18" s="6" t="s">
        <v>82</v>
      </c>
      <c r="B18" s="7">
        <v>77104</v>
      </c>
      <c r="C18" s="8">
        <v>859317</v>
      </c>
      <c r="D18" s="7">
        <v>6187</v>
      </c>
      <c r="E18" s="7">
        <v>182098</v>
      </c>
      <c r="F18" s="8">
        <v>670345</v>
      </c>
      <c r="G18" s="7">
        <v>20189</v>
      </c>
      <c r="H18" s="7">
        <v>324798</v>
      </c>
      <c r="I18" s="7">
        <v>2887</v>
      </c>
      <c r="K18" s="6" t="s">
        <v>82</v>
      </c>
      <c r="L18" s="10">
        <v>1097</v>
      </c>
      <c r="M18" s="10">
        <v>9</v>
      </c>
      <c r="N18" s="10">
        <v>673</v>
      </c>
      <c r="O18" s="10">
        <v>8</v>
      </c>
      <c r="P18" s="10">
        <v>89</v>
      </c>
      <c r="Q18" s="7">
        <v>1</v>
      </c>
      <c r="R18" s="7">
        <v>1859</v>
      </c>
      <c r="S18" s="7">
        <v>18</v>
      </c>
    </row>
    <row r="19" ht="14.25" spans="1:19">
      <c r="A19" s="6" t="s">
        <v>83</v>
      </c>
      <c r="B19" s="7">
        <v>77119</v>
      </c>
      <c r="C19" s="8">
        <v>859964</v>
      </c>
      <c r="D19" s="7">
        <v>6196</v>
      </c>
      <c r="E19" s="7">
        <v>182295</v>
      </c>
      <c r="F19" s="8">
        <v>670821</v>
      </c>
      <c r="G19" s="7">
        <v>20197</v>
      </c>
      <c r="H19" s="7">
        <v>324887</v>
      </c>
      <c r="I19" s="7">
        <v>2888</v>
      </c>
      <c r="K19" s="6" t="s">
        <v>83</v>
      </c>
      <c r="L19" s="10">
        <v>1131</v>
      </c>
      <c r="M19" s="10">
        <v>10</v>
      </c>
      <c r="N19" s="10">
        <v>664</v>
      </c>
      <c r="O19" s="10">
        <v>9</v>
      </c>
      <c r="P19" s="10">
        <v>90</v>
      </c>
      <c r="Q19" s="7">
        <v>2</v>
      </c>
      <c r="R19" s="7">
        <v>1885</v>
      </c>
      <c r="S19" s="7">
        <v>21</v>
      </c>
    </row>
    <row r="20" ht="14.25" spans="1:19">
      <c r="A20" s="6" t="s">
        <v>84</v>
      </c>
      <c r="B20" s="7">
        <v>77135</v>
      </c>
      <c r="C20" s="8">
        <v>860615</v>
      </c>
      <c r="D20" s="7">
        <v>6206</v>
      </c>
      <c r="E20" s="7">
        <v>182482</v>
      </c>
      <c r="F20" s="8">
        <v>671298</v>
      </c>
      <c r="G20" s="7">
        <v>20206</v>
      </c>
      <c r="H20" s="7">
        <v>324977</v>
      </c>
      <c r="I20" s="7">
        <v>2890</v>
      </c>
      <c r="K20" s="6" t="s">
        <v>84</v>
      </c>
      <c r="L20" s="10">
        <v>1095</v>
      </c>
      <c r="M20" s="10">
        <v>9</v>
      </c>
      <c r="N20" s="10">
        <v>662</v>
      </c>
      <c r="O20" s="10">
        <v>8</v>
      </c>
      <c r="P20" s="10">
        <v>88</v>
      </c>
      <c r="Q20" s="7">
        <v>2</v>
      </c>
      <c r="R20" s="7">
        <v>1845</v>
      </c>
      <c r="S20" s="7">
        <v>19</v>
      </c>
    </row>
    <row r="21" ht="14.25" spans="1:19">
      <c r="A21" s="6" t="s">
        <v>85</v>
      </c>
      <c r="B21" s="7">
        <v>77150</v>
      </c>
      <c r="C21" s="8">
        <v>861260</v>
      </c>
      <c r="D21" s="7">
        <v>6215</v>
      </c>
      <c r="E21" s="7">
        <v>182665</v>
      </c>
      <c r="F21" s="8">
        <v>671777</v>
      </c>
      <c r="G21" s="7">
        <v>20214</v>
      </c>
      <c r="H21" s="7">
        <v>325065</v>
      </c>
      <c r="I21" s="7">
        <v>2892</v>
      </c>
      <c r="K21" s="6" t="s">
        <v>85</v>
      </c>
      <c r="L21" s="10">
        <v>1101</v>
      </c>
      <c r="M21" s="10">
        <v>9</v>
      </c>
      <c r="N21" s="10">
        <v>664</v>
      </c>
      <c r="O21" s="10">
        <v>9</v>
      </c>
      <c r="P21" s="10">
        <v>89</v>
      </c>
      <c r="Q21" s="7">
        <v>1</v>
      </c>
      <c r="R21" s="7">
        <v>1854</v>
      </c>
      <c r="S21" s="7">
        <v>19</v>
      </c>
    </row>
    <row r="22" ht="14.25" spans="1:19">
      <c r="A22" s="6" t="s">
        <v>86</v>
      </c>
      <c r="B22" s="7">
        <v>77165</v>
      </c>
      <c r="C22" s="8">
        <v>861911</v>
      </c>
      <c r="D22" s="7">
        <v>6224</v>
      </c>
      <c r="E22" s="7">
        <v>182854</v>
      </c>
      <c r="F22" s="8">
        <v>672252</v>
      </c>
      <c r="G22" s="7">
        <v>20223</v>
      </c>
      <c r="H22" s="7">
        <v>325154</v>
      </c>
      <c r="I22" s="7">
        <v>2893</v>
      </c>
      <c r="K22" s="6" t="s">
        <v>86</v>
      </c>
      <c r="L22" s="10">
        <v>1128</v>
      </c>
      <c r="M22" s="10">
        <v>10</v>
      </c>
      <c r="N22" s="10">
        <v>671</v>
      </c>
      <c r="O22" s="10">
        <v>8</v>
      </c>
      <c r="P22" s="10">
        <v>90</v>
      </c>
      <c r="Q22" s="7">
        <v>2</v>
      </c>
      <c r="R22" s="7">
        <v>1889</v>
      </c>
      <c r="S22" s="7">
        <v>20</v>
      </c>
    </row>
    <row r="23" ht="14.25" spans="1:19">
      <c r="A23" s="6" t="s">
        <v>87</v>
      </c>
      <c r="B23" s="7">
        <v>77181</v>
      </c>
      <c r="C23" s="8">
        <v>862559</v>
      </c>
      <c r="D23" s="7">
        <v>6234</v>
      </c>
      <c r="E23" s="7">
        <v>183044</v>
      </c>
      <c r="F23" s="8">
        <v>672733</v>
      </c>
      <c r="G23" s="7">
        <v>20231</v>
      </c>
      <c r="H23" s="7">
        <v>325244</v>
      </c>
      <c r="I23" s="7">
        <v>2895</v>
      </c>
      <c r="K23" s="6" t="s">
        <v>87</v>
      </c>
      <c r="L23" s="10">
        <v>1101</v>
      </c>
      <c r="M23" s="10">
        <v>10</v>
      </c>
      <c r="N23" s="10">
        <v>662</v>
      </c>
      <c r="O23" s="10">
        <v>9</v>
      </c>
      <c r="P23" s="10">
        <v>88</v>
      </c>
      <c r="Q23" s="7">
        <v>1</v>
      </c>
      <c r="R23" s="7">
        <v>1851</v>
      </c>
      <c r="S23" s="7">
        <v>20</v>
      </c>
    </row>
    <row r="24" ht="14.25" spans="1:19">
      <c r="A24" s="6" t="s">
        <v>88</v>
      </c>
      <c r="B24" s="7">
        <v>77196</v>
      </c>
      <c r="C24" s="8">
        <v>863210</v>
      </c>
      <c r="D24" s="7">
        <v>6244</v>
      </c>
      <c r="E24" s="7">
        <v>183230</v>
      </c>
      <c r="F24" s="8">
        <v>673209</v>
      </c>
      <c r="G24" s="7">
        <v>20240</v>
      </c>
      <c r="H24" s="7">
        <v>325332</v>
      </c>
      <c r="I24" s="7">
        <v>2896</v>
      </c>
      <c r="K24" s="6" t="s">
        <v>88</v>
      </c>
      <c r="L24" s="10">
        <v>1103</v>
      </c>
      <c r="M24" s="10">
        <v>10</v>
      </c>
      <c r="N24" s="10">
        <v>670</v>
      </c>
      <c r="O24" s="10">
        <v>10</v>
      </c>
      <c r="P24" s="10">
        <v>90</v>
      </c>
      <c r="Q24" s="7">
        <v>1</v>
      </c>
      <c r="R24" s="7">
        <v>1863</v>
      </c>
      <c r="S24" s="7">
        <v>21</v>
      </c>
    </row>
    <row r="25" ht="14.25" spans="1:19">
      <c r="A25" s="6" t="s">
        <v>89</v>
      </c>
      <c r="B25" s="7">
        <v>77211</v>
      </c>
      <c r="C25" s="8">
        <v>863863</v>
      </c>
      <c r="D25" s="7">
        <v>6254</v>
      </c>
      <c r="E25" s="7">
        <v>183421</v>
      </c>
      <c r="F25" s="8">
        <v>673688</v>
      </c>
      <c r="G25" s="7">
        <v>20250</v>
      </c>
      <c r="H25" s="7">
        <v>325422</v>
      </c>
      <c r="I25" s="7">
        <v>2897</v>
      </c>
      <c r="K25" s="6" t="s">
        <v>89</v>
      </c>
      <c r="L25" s="10">
        <v>1101</v>
      </c>
      <c r="M25" s="10">
        <v>10</v>
      </c>
      <c r="N25" s="10">
        <v>664</v>
      </c>
      <c r="O25" s="10">
        <v>10</v>
      </c>
      <c r="P25" s="10">
        <v>88</v>
      </c>
      <c r="Q25" s="7">
        <v>1</v>
      </c>
      <c r="R25" s="7">
        <v>1853</v>
      </c>
      <c r="S25" s="7">
        <v>21</v>
      </c>
    </row>
    <row r="26" ht="14.25" spans="1:19">
      <c r="A26" s="6" t="s">
        <v>90</v>
      </c>
      <c r="B26" s="7">
        <v>77226</v>
      </c>
      <c r="C26" s="8">
        <v>864514</v>
      </c>
      <c r="D26" s="7">
        <v>6264</v>
      </c>
      <c r="E26" s="7">
        <v>183608</v>
      </c>
      <c r="F26" s="8">
        <v>674165</v>
      </c>
      <c r="G26" s="7">
        <v>20260</v>
      </c>
      <c r="H26" s="7">
        <v>325510</v>
      </c>
      <c r="I26" s="7">
        <v>2898</v>
      </c>
      <c r="K26" s="6" t="s">
        <v>90</v>
      </c>
      <c r="L26" s="10">
        <v>1104</v>
      </c>
      <c r="M26" s="10">
        <v>9</v>
      </c>
      <c r="N26" s="10">
        <v>664</v>
      </c>
      <c r="O26" s="10">
        <v>9</v>
      </c>
      <c r="P26" s="10">
        <v>89</v>
      </c>
      <c r="Q26" s="7">
        <v>2</v>
      </c>
      <c r="R26" s="7">
        <v>1857</v>
      </c>
      <c r="S26" s="7">
        <v>20</v>
      </c>
    </row>
    <row r="27" ht="14.25" spans="1:19">
      <c r="A27" s="6" t="s">
        <v>91</v>
      </c>
      <c r="B27" s="7">
        <v>77241</v>
      </c>
      <c r="C27" s="8">
        <v>865168</v>
      </c>
      <c r="D27" s="7">
        <v>6273</v>
      </c>
      <c r="E27" s="7">
        <v>183796</v>
      </c>
      <c r="F27" s="8">
        <v>674641</v>
      </c>
      <c r="G27" s="7">
        <v>20269</v>
      </c>
      <c r="H27" s="7">
        <v>325599</v>
      </c>
      <c r="I27" s="7">
        <v>2900</v>
      </c>
      <c r="K27" s="6" t="s">
        <v>91</v>
      </c>
      <c r="L27" s="10">
        <v>1109</v>
      </c>
      <c r="M27" s="10">
        <v>9</v>
      </c>
      <c r="N27" s="10">
        <v>671</v>
      </c>
      <c r="O27" s="10">
        <v>10</v>
      </c>
      <c r="P27" s="10">
        <v>90</v>
      </c>
      <c r="Q27" s="7">
        <v>1</v>
      </c>
      <c r="R27" s="7">
        <v>1870</v>
      </c>
      <c r="S27" s="7">
        <v>20</v>
      </c>
    </row>
    <row r="28" ht="14.25" spans="1:19">
      <c r="A28" s="6" t="s">
        <v>92</v>
      </c>
      <c r="B28" s="7">
        <v>77256</v>
      </c>
      <c r="C28" s="8">
        <v>865827</v>
      </c>
      <c r="D28" s="7">
        <v>6282</v>
      </c>
      <c r="E28" s="7">
        <v>183987</v>
      </c>
      <c r="F28" s="8">
        <v>675121</v>
      </c>
      <c r="G28" s="7">
        <v>20279</v>
      </c>
      <c r="H28" s="7">
        <v>325689</v>
      </c>
      <c r="I28" s="7">
        <v>2901</v>
      </c>
      <c r="K28" s="6" t="s">
        <v>92</v>
      </c>
      <c r="L28" s="10">
        <v>1135</v>
      </c>
      <c r="M28" s="10">
        <v>9</v>
      </c>
      <c r="N28" s="10">
        <v>667</v>
      </c>
      <c r="O28" s="10">
        <v>9</v>
      </c>
      <c r="P28" s="10">
        <v>91</v>
      </c>
      <c r="Q28" s="7">
        <v>2</v>
      </c>
      <c r="R28" s="7">
        <v>1893</v>
      </c>
      <c r="S28" s="7">
        <v>20</v>
      </c>
    </row>
    <row r="29" ht="14.25" spans="1:19">
      <c r="A29" s="6" t="s">
        <v>93</v>
      </c>
      <c r="B29" s="7">
        <v>77272</v>
      </c>
      <c r="C29" s="8">
        <v>866482</v>
      </c>
      <c r="D29" s="7">
        <v>6291</v>
      </c>
      <c r="E29" s="7">
        <v>184175</v>
      </c>
      <c r="F29" s="8">
        <v>675600</v>
      </c>
      <c r="G29" s="7">
        <v>20288</v>
      </c>
      <c r="H29" s="7">
        <v>325780</v>
      </c>
      <c r="I29" s="7">
        <v>2903</v>
      </c>
      <c r="K29" s="6" t="s">
        <v>93</v>
      </c>
      <c r="L29" s="10">
        <v>1106</v>
      </c>
      <c r="M29" s="10">
        <v>10</v>
      </c>
      <c r="N29" s="10">
        <v>666</v>
      </c>
      <c r="O29" s="10">
        <v>10</v>
      </c>
      <c r="P29" s="10">
        <v>87</v>
      </c>
      <c r="Q29" s="7">
        <v>2</v>
      </c>
      <c r="R29" s="7">
        <v>1859</v>
      </c>
      <c r="S29" s="7">
        <v>22</v>
      </c>
    </row>
    <row r="30" ht="14.25" spans="1:19">
      <c r="A30" s="6" t="s">
        <v>94</v>
      </c>
      <c r="B30" s="7">
        <v>77287</v>
      </c>
      <c r="C30" s="8">
        <v>867138</v>
      </c>
      <c r="D30" s="7">
        <v>6301</v>
      </c>
      <c r="E30" s="7">
        <v>184364</v>
      </c>
      <c r="F30" s="8">
        <v>676077</v>
      </c>
      <c r="G30" s="7">
        <v>20298</v>
      </c>
      <c r="H30" s="7">
        <v>325867</v>
      </c>
      <c r="I30" s="7">
        <v>2905</v>
      </c>
      <c r="K30" s="6" t="s">
        <v>94</v>
      </c>
      <c r="L30" s="10">
        <v>1103</v>
      </c>
      <c r="M30" s="10">
        <v>9</v>
      </c>
      <c r="N30" s="10">
        <v>691</v>
      </c>
      <c r="O30" s="10">
        <v>10</v>
      </c>
      <c r="P30" s="10">
        <v>88</v>
      </c>
      <c r="Q30" s="7">
        <v>1</v>
      </c>
      <c r="R30" s="7">
        <v>1882</v>
      </c>
      <c r="S30" s="7">
        <v>20</v>
      </c>
    </row>
    <row r="31" ht="14.25" spans="1:19">
      <c r="A31" s="6" t="s">
        <v>95</v>
      </c>
      <c r="B31" s="7">
        <v>77302</v>
      </c>
      <c r="C31" s="8">
        <v>867791</v>
      </c>
      <c r="D31" s="7">
        <v>6310</v>
      </c>
      <c r="E31" s="7">
        <v>184548</v>
      </c>
      <c r="F31" s="8">
        <v>676584</v>
      </c>
      <c r="G31" s="7">
        <v>20308</v>
      </c>
      <c r="H31" s="7">
        <v>325955</v>
      </c>
      <c r="I31" s="7">
        <v>2906</v>
      </c>
      <c r="K31" s="6" t="s">
        <v>95</v>
      </c>
      <c r="L31" s="10">
        <v>1136</v>
      </c>
      <c r="M31" s="10">
        <v>9</v>
      </c>
      <c r="N31" s="10">
        <v>693</v>
      </c>
      <c r="O31" s="10">
        <v>9</v>
      </c>
      <c r="P31" s="10">
        <v>90</v>
      </c>
      <c r="Q31" s="7">
        <v>2</v>
      </c>
      <c r="R31" s="7">
        <v>1919</v>
      </c>
      <c r="S31" s="7">
        <v>20</v>
      </c>
    </row>
    <row r="32" ht="14.25" spans="1:19">
      <c r="A32" s="6" t="s">
        <v>96</v>
      </c>
      <c r="B32" s="7">
        <v>77318</v>
      </c>
      <c r="C32" s="8">
        <v>868447</v>
      </c>
      <c r="D32" s="7">
        <v>6319</v>
      </c>
      <c r="E32" s="7">
        <v>184735</v>
      </c>
      <c r="F32" s="8">
        <v>677090</v>
      </c>
      <c r="G32" s="7">
        <v>20317</v>
      </c>
      <c r="H32" s="7">
        <v>326045</v>
      </c>
      <c r="I32" s="7">
        <v>2908</v>
      </c>
      <c r="K32" s="6" t="s">
        <v>96</v>
      </c>
      <c r="L32" s="10">
        <v>1105</v>
      </c>
      <c r="M32" s="10">
        <v>10</v>
      </c>
      <c r="N32" s="10">
        <v>697</v>
      </c>
      <c r="O32" s="10">
        <v>9</v>
      </c>
      <c r="P32" s="10">
        <v>89</v>
      </c>
      <c r="Q32" s="7">
        <v>1</v>
      </c>
      <c r="R32" s="7">
        <v>1891</v>
      </c>
      <c r="S32" s="7">
        <v>20</v>
      </c>
    </row>
    <row r="33" ht="14.25" spans="1:19">
      <c r="A33" s="6" t="s">
        <v>97</v>
      </c>
      <c r="B33" s="7">
        <v>77333</v>
      </c>
      <c r="C33" s="8">
        <v>869102</v>
      </c>
      <c r="D33" s="7">
        <v>6329</v>
      </c>
      <c r="E33" s="7">
        <v>184924</v>
      </c>
      <c r="F33" s="8">
        <v>677598</v>
      </c>
      <c r="G33" s="7">
        <v>20326</v>
      </c>
      <c r="H33" s="7">
        <v>326134</v>
      </c>
      <c r="I33" s="7">
        <v>2909</v>
      </c>
      <c r="K33" s="6" t="s">
        <v>97</v>
      </c>
      <c r="L33" s="10">
        <v>1107</v>
      </c>
      <c r="M33" s="10">
        <v>9</v>
      </c>
      <c r="N33" s="10">
        <v>692</v>
      </c>
      <c r="O33" s="10">
        <v>10</v>
      </c>
      <c r="P33" s="10">
        <v>88</v>
      </c>
      <c r="Q33" s="7">
        <v>1</v>
      </c>
      <c r="R33" s="7">
        <v>1887</v>
      </c>
      <c r="S33" s="7">
        <v>20</v>
      </c>
    </row>
    <row r="34" ht="14.25" spans="1:19">
      <c r="A34" s="6" t="s">
        <v>67</v>
      </c>
      <c r="B34" s="7">
        <v>77348</v>
      </c>
      <c r="C34" s="8">
        <v>869759</v>
      </c>
      <c r="D34" s="7">
        <v>6338</v>
      </c>
      <c r="E34" s="7">
        <v>185107</v>
      </c>
      <c r="F34" s="8">
        <v>678107</v>
      </c>
      <c r="G34" s="7">
        <v>20336</v>
      </c>
      <c r="H34" s="7">
        <v>326222</v>
      </c>
      <c r="I34" s="7">
        <v>2910</v>
      </c>
      <c r="K34" s="11" t="s">
        <v>6</v>
      </c>
      <c r="L34" s="10">
        <f>SUM(L3:L33)</f>
        <v>34562</v>
      </c>
      <c r="M34" s="10">
        <f>SUM(M3:M33)</f>
        <v>304</v>
      </c>
      <c r="N34" s="10">
        <f t="shared" ref="N34:S34" si="0">SUM(N3:N33)</f>
        <v>20730</v>
      </c>
      <c r="O34" s="10">
        <f t="shared" si="0"/>
        <v>290</v>
      </c>
      <c r="P34" s="10">
        <f t="shared" si="0"/>
        <v>2760</v>
      </c>
      <c r="Q34" s="10">
        <f t="shared" si="0"/>
        <v>45</v>
      </c>
      <c r="R34" s="10">
        <f t="shared" si="0"/>
        <v>58052</v>
      </c>
      <c r="S34" s="10">
        <f t="shared" si="0"/>
        <v>639</v>
      </c>
    </row>
    <row r="35" ht="15.75" spans="11:19">
      <c r="K35" s="11" t="s">
        <v>98</v>
      </c>
      <c r="L35" s="12">
        <f>AVERAGE(L3:L33)</f>
        <v>1114.90322580645</v>
      </c>
      <c r="M35" s="12">
        <f>AVERAGE(M3:M33)</f>
        <v>9.80645161290323</v>
      </c>
      <c r="N35" s="12">
        <f t="shared" ref="N35:S35" si="1">AVERAGE(N3:N33)</f>
        <v>668.709677419355</v>
      </c>
      <c r="O35" s="12">
        <f t="shared" si="1"/>
        <v>9.35483870967742</v>
      </c>
      <c r="P35" s="12">
        <f t="shared" si="1"/>
        <v>89.0322580645161</v>
      </c>
      <c r="Q35" s="12">
        <f t="shared" si="1"/>
        <v>1.45161290322581</v>
      </c>
      <c r="R35" s="12">
        <f t="shared" si="1"/>
        <v>1872.64516129032</v>
      </c>
      <c r="S35" s="12">
        <f t="shared" si="1"/>
        <v>20.6129032258065</v>
      </c>
    </row>
  </sheetData>
  <mergeCells count="8">
    <mergeCell ref="B1:D1"/>
    <mergeCell ref="E1:G1"/>
    <mergeCell ref="H1:I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除臭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朱慧俊</cp:lastModifiedBy>
  <dcterms:created xsi:type="dcterms:W3CDTF">2015-06-05T18:19:00Z</dcterms:created>
  <dcterms:modified xsi:type="dcterms:W3CDTF">2023-04-06T01:04:55Z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E7A76A245D2945F1A6725C59CED4D551</vt:lpwstr>
  </property>
  <property fmtid="{D5CDD505-2E9C-101B-9397-08002B2CF9AE}" pid="3" name="KSOProductBuildVer">
    <vt:lpwstr>2052-11.1.0.13703</vt:lpwstr>
  </property>
</Properties>
</file>