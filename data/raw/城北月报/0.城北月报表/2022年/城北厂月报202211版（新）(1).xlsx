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50" windowHeight="14220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处理量!$A$1:$S$37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<sst xmlns="http://schemas.openxmlformats.org/spreadsheetml/2006/main" count="838" uniqueCount="442">
  <si>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</si>
  <si>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</si>
  <si>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</si>
  <si>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</si>
  <si>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</si>
  <si>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</si>
  <si>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</si>
  <si>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</si>
  <si>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</si>
  <si>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</si>
  <si>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</si>
  <si>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</si>
  <si>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</si>
  <si>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</si>
  <si>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</si>
  <si>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</si>
  <si>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</si>
  <si>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</si>
  <si>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</si>
  <si>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</si>
  <si>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</si>
  <si>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</si>
  <si>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</si>
  <si>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</si>
  <si>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</si>
  <si>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</si>
  <si>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</si>
  <si>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</si>
  <si>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</si>
  <si>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</si>
  <si>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</si>
  <si>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</si>
  <si>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</si>
  <si>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</si>
  <si>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</si>
  <si>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</si>
  <si>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</si>
  <si>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</si>
  <si>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</si>
  <si>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</si>
  <si>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</si>
  <si>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</si>
  <si>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</si>
  <si>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</si>
  <si>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</si>
  <si>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</si>
  <si>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</si>
  <si>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</si>
  <si>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</si>
  <si>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</si>
  <si>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</si>
  <si>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</si>
  <si>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</si>
  <si>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</si>
  <si>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</si>
  <si>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</si>
  <si>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</si>
  <si>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本月总用电量为1424589度，其中排水处电量为8603度，除臭工程用电51986度，城北实际用电为1364000度。本月自来水用量为3046吨，其中除臭工程自来水用量为586吨，城北实际用自来水用量为2460吨。                                                                                                                                                                                                                                                                                                                                      
本月产生泥饼3417.68吨，运往英科焚烧中心1652.34吨；运往国电1765.34吨；无外运。</t>
  </si>
  <si>
    <t>审核：                                               制表：                               制表日期：2022-12-2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</si>
  <si>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</si>
  <si>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</si>
  <si>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</si>
  <si>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</si>
  <si>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</si>
  <si>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</si>
  <si>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</si>
  <si>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</si>
  <si>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</si>
  <si>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</si>
  <si>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</si>
  <si>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</si>
  <si>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</si>
  <si>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</si>
  <si>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</si>
  <si>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</si>
  <si>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</si>
  <si>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</si>
  <si>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</si>
  <si>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</si>
  <si>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</si>
  <si>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</si>
  <si>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</si>
  <si>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</si>
  <si>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</si>
  <si>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</si>
  <si>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</si>
  <si>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</si>
  <si>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</si>
  <si>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</si>
  <si>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</si>
  <si>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</si>
  <si>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</si>
  <si>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</si>
  <si>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</si>
  <si>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</si>
  <si>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</si>
  <si>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</si>
  <si>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</si>
  <si>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</si>
  <si>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</si>
  <si>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运费总单价</t>
  </si>
  <si>
    <t>阴</t>
  </si>
  <si>
    <t>总药剂费</t>
  </si>
  <si>
    <t>水费</t>
  </si>
  <si>
    <t>雨</t>
  </si>
  <si>
    <t>实际电费</t>
  </si>
  <si>
    <t>平均</t>
  </si>
  <si>
    <t>审核：</t>
  </si>
  <si>
    <t>制表：</t>
  </si>
  <si>
    <t>制表时间:2022-12-2</t>
  </si>
  <si>
    <t>最大值</t>
  </si>
  <si>
    <t>脱水污泥量</t>
  </si>
  <si>
    <t>除臭</t>
  </si>
  <si>
    <t>最小值</t>
  </si>
  <si>
    <t>干污泥量</t>
  </si>
  <si>
    <t>排水借用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</si>
  <si>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</si>
  <si>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</si>
  <si>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</si>
  <si>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</si>
  <si>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</si>
  <si>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</si>
  <si>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</si>
  <si>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</si>
  <si>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</si>
  <si>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</si>
  <si>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</si>
  <si>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</si>
  <si>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</si>
  <si>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</si>
  <si>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</si>
  <si>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2022-12-2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</si>
  <si>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</si>
  <si>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</si>
  <si>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</si>
  <si>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</si>
  <si>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</si>
  <si>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</si>
  <si>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</si>
  <si>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</si>
  <si>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</si>
  <si>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</si>
  <si>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</si>
  <si>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</si>
  <si>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</si>
  <si>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</si>
  <si>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</si>
  <si>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</si>
  <si>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</si>
  <si>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</si>
  <si>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</si>
  <si>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</si>
  <si>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</si>
  <si>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</si>
  <si>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</si>
  <si>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</si>
  <si>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</si>
  <si>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</si>
  <si>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</si>
  <si>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</si>
  <si>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</si>
  <si>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</si>
  <si>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</si>
  <si>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</si>
  <si>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</si>
  <si>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</si>
  <si>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</si>
  <si>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</si>
  <si>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</si>
  <si>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</si>
  <si>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</si>
  <si>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</si>
  <si>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</si>
  <si>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</si>
  <si>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</si>
  <si>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</si>
  <si>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</si>
  <si>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</si>
  <si>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</si>
  <si>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</si>
  <si>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</si>
  <si>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</si>
  <si>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</si>
  <si>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</si>
  <si>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（3、10、17）日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</si>
  <si>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</si>
  <si>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</si>
  <si>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（4、11、18）日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</si>
  <si>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</si>
  <si>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</si>
  <si>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</si>
  <si>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</si>
  <si>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</si>
  <si>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</si>
  <si>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</si>
  <si>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</si>
  <si>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</si>
  <si>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</si>
  <si>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</si>
  <si>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</si>
  <si>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</si>
  <si>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</si>
  <si>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</si>
  <si>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</si>
  <si>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</si>
  <si>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29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</si>
  <si>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</si>
  <si>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</si>
  <si>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</si>
  <si>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</si>
  <si>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</si>
  <si>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2022-12-2</t>
    </r>
  </si>
  <si>
    <t>常州市深水城北污水处理有限公司设备运行汇总报表（一）
 2022年11月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</si>
  <si>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</si>
  <si>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</si>
  <si>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</si>
  <si>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</si>
  <si>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</si>
  <si>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</si>
  <si>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</si>
  <si>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</si>
  <si>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</si>
  <si>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</si>
  <si>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</si>
  <si>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</si>
  <si>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</si>
  <si>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</si>
  <si>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</si>
  <si>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</si>
  <si>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</si>
  <si>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</si>
  <si>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</si>
  <si>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</si>
  <si>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</si>
  <si>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</si>
  <si>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</si>
  <si>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</si>
  <si>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</si>
  <si>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</si>
  <si>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</si>
  <si>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</si>
  <si>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</si>
  <si>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</si>
  <si>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</si>
  <si>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</si>
  <si>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</si>
  <si>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</si>
  <si>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</si>
  <si>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</si>
  <si>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</si>
  <si>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</si>
  <si>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11月30日维修保养</t>
  </si>
  <si>
    <t>内回流泵2#</t>
  </si>
  <si>
    <t>11月2日水泵轴承故障检修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</si>
  <si>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</si>
  <si>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</si>
  <si>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制表时间：2022-12-2</t>
  </si>
  <si>
    <t>常州市深水城北污水处理有限公司设备运行汇总报表（二）                                                                                                                                                                      2022年11月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</si>
  <si>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</si>
  <si>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</si>
  <si>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</si>
  <si>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</si>
  <si>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</si>
  <si>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</si>
  <si>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</si>
  <si>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</si>
  <si>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</si>
  <si>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</si>
  <si>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</si>
  <si>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</si>
  <si>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</si>
  <si>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</si>
  <si>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</si>
  <si>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</si>
  <si>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</si>
  <si>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11月2日设备拆除重置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</si>
  <si>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</si>
  <si>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</si>
  <si>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</si>
  <si>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2022年11月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</si>
  <si>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</si>
  <si>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</si>
  <si>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</si>
  <si>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</si>
  <si>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</si>
  <si>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</si>
  <si>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</si>
  <si>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</si>
  <si>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</si>
  <si>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</si>
  <si>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</si>
  <si>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</si>
  <si>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</si>
  <si>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</si>
  <si>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</si>
  <si>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</si>
  <si>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</si>
  <si>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</si>
  <si>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</si>
  <si>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</si>
  <si>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11月3日减速机检修</t>
  </si>
  <si>
    <t>常州市深水城北污水处理有限公司设备运行汇总报表（四）                                                                                                                                                                      2022年11月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</si>
  <si>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</si>
  <si>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</si>
  <si>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</si>
  <si>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</si>
  <si>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</si>
  <si>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</si>
  <si>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</si>
  <si>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</si>
  <si>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</si>
  <si>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</si>
  <si>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</si>
  <si>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</si>
  <si>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</si>
  <si>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</si>
  <si>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</si>
  <si>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</si>
  <si>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</si>
  <si>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11月24日行走轮更换轴承</t>
  </si>
  <si>
    <t>吸泥机6#</t>
  </si>
  <si>
    <t>剩余污泥泵1#</t>
  </si>
  <si>
    <t>剩余污泥泵2#</t>
  </si>
  <si>
    <t>11月15日叶轮清理垃圾</t>
  </si>
  <si>
    <t>浓缩机4#</t>
  </si>
  <si>
    <t>11月24日油管更换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</si>
  <si>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</si>
  <si>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</si>
  <si>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</si>
  <si>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2022年11月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</si>
  <si>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</si>
  <si>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</si>
  <si>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</si>
  <si>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</si>
  <si>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</si>
  <si>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</si>
  <si>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11月1日设备拆除重置</t>
  </si>
  <si>
    <t>吸泥机8#</t>
  </si>
  <si>
    <t>回流泵11#</t>
  </si>
  <si>
    <t>11月15日水泵轴断检修</t>
  </si>
  <si>
    <t>回流泵12#</t>
  </si>
  <si>
    <t>回流泵13#</t>
  </si>
  <si>
    <t>11月3日管路破损检修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</si>
  <si>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</si>
  <si>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</si>
  <si>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</si>
  <si>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</si>
  <si>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</si>
  <si>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</si>
  <si>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</si>
  <si>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</si>
  <si>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</si>
  <si>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</si>
  <si>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</si>
  <si>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</si>
  <si>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</si>
  <si>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</si>
  <si>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</si>
  <si>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</si>
  <si>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</si>
  <si>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</si>
  <si>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2022年11月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</si>
  <si>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</si>
  <si>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</si>
  <si>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</si>
  <si>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</si>
  <si>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</si>
  <si>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</si>
  <si>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</si>
  <si>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</si>
  <si>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</si>
  <si>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</si>
  <si>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</si>
  <si>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</si>
  <si>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</si>
  <si>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</si>
  <si>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</si>
  <si>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</si>
  <si>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</si>
  <si>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</si>
  <si>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</si>
  <si>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</si>
  <si>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</si>
  <si>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</si>
  <si>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</si>
  <si>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</si>
  <si>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</si>
  <si>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11月27日电气故障检修</t>
  </si>
  <si>
    <t>新鼓风机2#</t>
  </si>
  <si>
    <t>新鼓风机3#</t>
  </si>
  <si>
    <t>新鼓风机4#</t>
  </si>
  <si>
    <t>新鼓风机5#</t>
  </si>
  <si>
    <t>11月23日变频器故障检修</t>
  </si>
  <si>
    <t>新鼓风机8#</t>
  </si>
  <si>
    <t>11月18日更换滤网</t>
  </si>
  <si>
    <t>离心脱水机1#</t>
  </si>
  <si>
    <t>离心脱水机2#</t>
  </si>
  <si>
    <t>11月14日主机转鼓清理</t>
  </si>
  <si>
    <t>离心脱水机3#</t>
  </si>
  <si>
    <t>11月18日厂家转鼓检修</t>
  </si>
  <si>
    <t>制表时间：2022-12-2</t>
  </si>
  <si>
    <t>常州市深水城北污水处理有限公司设备运行汇总报表（七）                                                                                                                                                                      2022年11月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</si>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</sst>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_ﰀ"/>
    <numFmt numFmtId="177" formatCode="0.00;[Red]0.00"/>
    <numFmt numFmtId="178" formatCode="0.00_ "/>
    <numFmt numFmtId="179" formatCode="0.000_ "/>
    <numFmt numFmtId="180" formatCode="0.0000_ "/>
    <numFmt numFmtId="181" formatCode="0_ "/>
    <numFmt numFmtId="182" formatCode="0.0%"/>
    <numFmt numFmtId="183" formatCode="0;_釿"/>
    <numFmt numFmtId="184" formatCode="0_);[Red]\(0\)"/>
    <numFmt numFmtId="185" formatCode="0;[Red]0"/>
    <numFmt numFmtId="186" formatCode="0.0_ "/>
    <numFmt numFmtId="187" formatCode="0.0;[Red]0.0"/>
    <numFmt numFmtId="188" formatCode="0.00000_ "/>
    <numFmt numFmtId="189" formatCode="0.00_);[Red]\(0.00\)"/>
    <numFmt numFmtId="190" formatCode="0;_鰀"/>
    <numFmt numFmtId="191" formatCode="0.000_);[Red]\(0.000\)"/>
    <numFmt numFmtId="192" formatCode="0.00_);\(0.00\)"/>
    <numFmt numFmtId="193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3">
    <xf numFmtId="0" fontId="0" fillId="0" borderId="0"/>
    <xf numFmtId="42" fontId="0" fillId="0" borderId="0" applyFont="0" applyFill="0" applyBorder="0" applyAlignment="0" applyProtection="0"/>
    <xf numFmtId="0" fontId="27" fillId="5" borderId="0" applyNumberFormat="0" applyBorder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9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7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0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3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0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0" borderId="0"/>
    <xf numFmtId="0" fontId="30" fillId="2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>
      <alignment vertical="top"/>
      <protection locked="0"/>
    </xf>
    <xf numFmtId="0" fontId="30" fillId="2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>
      <alignment vertical="top"/>
      <protection locked="0"/>
    </xf>
    <xf numFmtId="0" fontId="38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30" fillId="0" borderId="0">
      <alignment vertical="center"/>
    </xf>
    <xf numFmtId="0" fontId="33" fillId="11" borderId="16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0" fillId="0" borderId="0"/>
    <xf numFmtId="0" fontId="2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27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6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8" fillId="6" borderId="16" applyNumberFormat="0" applyAlignment="0" applyProtection="0">
      <alignment vertical="center"/>
    </xf>
    <xf numFmtId="0" fontId="0" fillId="0" borderId="0"/>
    <xf numFmtId="0" fontId="28" fillId="6" borderId="16" applyNumberFormat="0" applyAlignment="0" applyProtection="0">
      <alignment vertical="center"/>
    </xf>
    <xf numFmtId="0" fontId="0" fillId="0" borderId="0"/>
    <xf numFmtId="0" fontId="0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33" fillId="11" borderId="16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2" fillId="21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30" fillId="0" borderId="0" applyFont="0" applyFill="0" applyBorder="0" applyAlignment="0" applyProtection="0">
      <alignment vertical="center"/>
    </xf>
  </cellStyleXfs>
  <cellXfs count="35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2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4" xfId="20" applyFont="1" applyFill="1" applyBorder="1" applyAlignment="1" applyProtection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5" applyFont="1" applyBorder="1" applyAlignment="1">
      <alignment horizontal="center" vertical="center" wrapText="1"/>
    </xf>
    <xf numFmtId="0" fontId="7" fillId="0" borderId="3" xfId="565" applyFont="1" applyBorder="1" applyAlignment="1">
      <alignment vertical="center" wrapText="1"/>
    </xf>
    <xf numFmtId="0" fontId="7" fillId="0" borderId="3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3" applyFont="1" applyBorder="1" applyAlignment="1">
      <alignment horizontal="center" vertical="center" wrapText="1"/>
    </xf>
    <xf numFmtId="0" fontId="7" fillId="0" borderId="7" xfId="473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7" applyFont="1" applyFill="1" applyBorder="1" applyAlignment="1">
      <alignment horizontal="center" vertical="center" wrapText="1"/>
    </xf>
    <xf numFmtId="0" fontId="7" fillId="0" borderId="8" xfId="217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7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2" fontId="6" fillId="0" borderId="3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3" xfId="624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3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29" applyFont="1" applyBorder="1" applyAlignment="1">
      <alignment horizontal="center" vertical="center" wrapText="1"/>
    </xf>
    <xf numFmtId="183" fontId="7" fillId="0" borderId="4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6" applyFont="1" applyFill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4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0" fillId="0" borderId="1" xfId="626" applyFont="1" applyBorder="1" applyAlignment="1">
      <alignment horizontal="center" vertical="center" wrapText="1"/>
    </xf>
    <xf numFmtId="0" fontId="8" fillId="0" borderId="1" xfId="625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58" fontId="7" fillId="0" borderId="2" xfId="628" applyNumberFormat="1" applyFont="1" applyBorder="1" applyAlignment="1">
      <alignment horizontal="center" vertical="center" wrapText="1"/>
    </xf>
    <xf numFmtId="0" fontId="7" fillId="0" borderId="2" xfId="630" applyFont="1" applyBorder="1" applyAlignment="1">
      <alignment horizontal="center" vertical="center" wrapText="1"/>
    </xf>
    <xf numFmtId="0" fontId="0" fillId="0" borderId="2" xfId="630" applyFont="1" applyFill="1" applyBorder="1" applyAlignment="1">
      <alignment horizontal="center" vertical="center" wrapText="1"/>
    </xf>
    <xf numFmtId="0" fontId="8" fillId="0" borderId="2" xfId="630" applyFont="1" applyFill="1" applyBorder="1" applyAlignment="1">
      <alignment horizontal="center" vertical="center" wrapText="1"/>
    </xf>
    <xf numFmtId="58" fontId="8" fillId="0" borderId="2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4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5" fontId="8" fillId="2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6" fontId="6" fillId="0" borderId="13" xfId="0" applyNumberFormat="1" applyFont="1" applyFill="1" applyBorder="1" applyAlignment="1">
      <alignment horizontal="center" vertical="center"/>
    </xf>
    <xf numFmtId="185" fontId="8" fillId="2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5" fontId="0" fillId="3" borderId="0" xfId="0" applyNumberFormat="1" applyFill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4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4" fontId="16" fillId="0" borderId="7" xfId="0" applyNumberFormat="1" applyFont="1" applyBorder="1" applyAlignment="1">
      <alignment horizontal="center" vertical="center" wrapText="1"/>
    </xf>
    <xf numFmtId="184" fontId="16" fillId="0" borderId="13" xfId="0" applyNumberFormat="1" applyFont="1" applyBorder="1" applyAlignment="1">
      <alignment horizontal="center" vertical="center" wrapText="1"/>
    </xf>
    <xf numFmtId="184" fontId="16" fillId="0" borderId="4" xfId="0" applyNumberFormat="1" applyFont="1" applyBorder="1" applyAlignment="1">
      <alignment horizontal="center" vertical="center" wrapText="1"/>
    </xf>
    <xf numFmtId="184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8" fontId="6" fillId="0" borderId="6" xfId="0" applyNumberFormat="1" applyFont="1" applyFill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184" fontId="2" fillId="0" borderId="12" xfId="0" applyNumberFormat="1" applyFont="1" applyBorder="1" applyAlignment="1">
      <alignment horizontal="left" vertical="center"/>
    </xf>
    <xf numFmtId="184" fontId="2" fillId="0" borderId="0" xfId="0" applyNumberFormat="1" applyFont="1" applyBorder="1" applyAlignment="1">
      <alignment horizontal="left" vertical="center"/>
    </xf>
    <xf numFmtId="18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8" fontId="16" fillId="0" borderId="0" xfId="0" applyNumberFormat="1" applyFont="1" applyFill="1" applyBorder="1" applyAlignment="1">
      <alignment horizontal="center"/>
    </xf>
    <xf numFmtId="178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8" fontId="0" fillId="0" borderId="0" xfId="0" applyNumberFormat="1" applyBorder="1" applyAlignment="1">
      <alignment horizontal="center"/>
    </xf>
    <xf numFmtId="0" fontId="0" fillId="0" borderId="0" xfId="0" applyBorder="1"/>
    <xf numFmtId="179" fontId="0" fillId="0" borderId="0" xfId="0" applyNumberFormat="1" applyBorder="1" applyAlignment="1">
      <alignment horizontal="center"/>
    </xf>
    <xf numFmtId="0" fontId="19" fillId="0" borderId="0" xfId="319" applyFont="1" applyFill="1" applyBorder="1" applyAlignment="1"/>
    <xf numFmtId="0" fontId="20" fillId="0" borderId="0" xfId="0" applyFont="1" applyFill="1" applyAlignment="1"/>
    <xf numFmtId="0" fontId="19" fillId="0" borderId="0" xfId="319" applyFont="1"/>
    <xf numFmtId="0" fontId="19" fillId="0" borderId="0" xfId="319" applyFont="1" applyAlignment="1">
      <alignment horizontal="center"/>
    </xf>
    <xf numFmtId="0" fontId="19" fillId="0" borderId="0" xfId="319" applyFont="1" applyAlignment="1">
      <alignment horizontal="center" vertical="center"/>
    </xf>
    <xf numFmtId="0" fontId="21" fillId="0" borderId="0" xfId="319" applyFont="1" applyAlignment="1">
      <alignment horizontal="center" vertical="center"/>
    </xf>
    <xf numFmtId="57" fontId="19" fillId="0" borderId="0" xfId="319" applyNumberFormat="1" applyFont="1" applyAlignment="1">
      <alignment horizontal="center" vertical="center" wrapText="1"/>
    </xf>
    <xf numFmtId="0" fontId="22" fillId="0" borderId="7" xfId="319" applyFont="1" applyBorder="1" applyAlignment="1">
      <alignment horizontal="center" vertical="center" wrapText="1"/>
    </xf>
    <xf numFmtId="0" fontId="22" fillId="0" borderId="7" xfId="319" applyFont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/>
    </xf>
    <xf numFmtId="0" fontId="22" fillId="0" borderId="4" xfId="319" applyFont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58" fontId="23" fillId="0" borderId="14" xfId="161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89" fontId="24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 wrapText="1"/>
    </xf>
    <xf numFmtId="186" fontId="22" fillId="0" borderId="1" xfId="319" applyNumberFormat="1" applyFont="1" applyBorder="1" applyAlignment="1">
      <alignment horizontal="center" vertical="center" wrapText="1"/>
    </xf>
    <xf numFmtId="184" fontId="24" fillId="0" borderId="1" xfId="342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 vertical="center"/>
    </xf>
    <xf numFmtId="0" fontId="22" fillId="0" borderId="2" xfId="319" applyFont="1" applyBorder="1" applyAlignment="1">
      <alignment horizontal="center" vertical="center"/>
    </xf>
    <xf numFmtId="0" fontId="22" fillId="0" borderId="3" xfId="319" applyFont="1" applyBorder="1" applyAlignment="1">
      <alignment horizontal="center" vertical="center"/>
    </xf>
    <xf numFmtId="0" fontId="22" fillId="0" borderId="10" xfId="319" applyFont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5" fillId="0" borderId="0" xfId="319" applyFont="1"/>
    <xf numFmtId="0" fontId="19" fillId="0" borderId="1" xfId="319" applyFont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190" fontId="19" fillId="0" borderId="1" xfId="319" applyNumberFormat="1" applyFont="1" applyBorder="1" applyAlignment="1">
      <alignment horizontal="center" vertical="center"/>
    </xf>
    <xf numFmtId="0" fontId="19" fillId="0" borderId="0" xfId="319" applyNumberFormat="1" applyFont="1"/>
    <xf numFmtId="176" fontId="22" fillId="0" borderId="1" xfId="319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right"/>
    </xf>
    <xf numFmtId="191" fontId="19" fillId="0" borderId="0" xfId="319" applyNumberFormat="1" applyFont="1" applyFill="1"/>
    <xf numFmtId="189" fontId="19" fillId="0" borderId="0" xfId="319" applyNumberFormat="1" applyFont="1"/>
    <xf numFmtId="191" fontId="19" fillId="0" borderId="0" xfId="319" applyNumberFormat="1" applyFont="1"/>
    <xf numFmtId="181" fontId="19" fillId="0" borderId="0" xfId="319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5" applyFont="1" applyAlignment="1">
      <alignment horizontal="center" vertical="center"/>
    </xf>
    <xf numFmtId="57" fontId="8" fillId="0" borderId="11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7" xfId="495" applyFont="1" applyBorder="1" applyAlignment="1">
      <alignment horizontal="center" vertical="center" wrapText="1"/>
    </xf>
    <xf numFmtId="178" fontId="2" fillId="0" borderId="1" xfId="495" applyNumberFormat="1" applyFont="1" applyFill="1" applyBorder="1" applyAlignment="1">
      <alignment horizontal="center" vertical="center"/>
    </xf>
    <xf numFmtId="181" fontId="2" fillId="0" borderId="7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81" fontId="2" fillId="0" borderId="4" xfId="495" applyNumberFormat="1" applyFont="1" applyFill="1" applyBorder="1" applyAlignment="1">
      <alignment horizontal="center" vertical="center"/>
    </xf>
    <xf numFmtId="186" fontId="2" fillId="0" borderId="1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4" xfId="495" applyFont="1" applyBorder="1" applyAlignment="1">
      <alignment horizontal="center" vertical="center" wrapText="1"/>
    </xf>
    <xf numFmtId="181" fontId="2" fillId="0" borderId="1" xfId="495" applyNumberFormat="1" applyFont="1" applyFill="1" applyBorder="1" applyAlignment="1">
      <alignment horizontal="center" vertical="center"/>
    </xf>
    <xf numFmtId="0" fontId="8" fillId="0" borderId="8" xfId="495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86" fontId="2" fillId="0" borderId="0" xfId="495" applyNumberFormat="1" applyFont="1" applyFill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78" fontId="2" fillId="0" borderId="2" xfId="495" applyNumberFormat="1" applyFont="1" applyFill="1" applyBorder="1" applyAlignment="1">
      <alignment horizontal="center" vertical="center"/>
    </xf>
    <xf numFmtId="178" fontId="2" fillId="0" borderId="10" xfId="495" applyNumberFormat="1" applyFont="1" applyFill="1" applyBorder="1" applyAlignment="1">
      <alignment horizontal="center" vertical="center"/>
    </xf>
    <xf numFmtId="182" fontId="2" fillId="0" borderId="2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86" fontId="2" fillId="0" borderId="2" xfId="495" applyNumberFormat="1" applyFont="1" applyFill="1" applyBorder="1" applyAlignment="1">
      <alignment horizontal="center" vertical="center"/>
    </xf>
    <xf numFmtId="187" fontId="2" fillId="0" borderId="10" xfId="495" applyNumberFormat="1" applyFont="1" applyFill="1" applyBorder="1" applyAlignment="1">
      <alignment horizontal="center" vertical="center"/>
    </xf>
    <xf numFmtId="192" fontId="2" fillId="0" borderId="2" xfId="495" applyNumberFormat="1" applyFont="1" applyFill="1" applyBorder="1" applyAlignment="1">
      <alignment horizontal="center" vertical="center"/>
    </xf>
    <xf numFmtId="192" fontId="2" fillId="0" borderId="10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79" fontId="2" fillId="0" borderId="1" xfId="495" applyNumberFormat="1" applyFont="1" applyFill="1" applyBorder="1" applyAlignment="1">
      <alignment horizontal="center" vertical="center"/>
    </xf>
    <xf numFmtId="178" fontId="2" fillId="0" borderId="7" xfId="495" applyNumberFormat="1" applyFont="1" applyFill="1" applyBorder="1" applyAlignment="1">
      <alignment horizontal="center" vertical="center"/>
    </xf>
    <xf numFmtId="193" fontId="2" fillId="0" borderId="1" xfId="495" applyNumberFormat="1" applyFont="1" applyFill="1" applyBorder="1" applyAlignment="1">
      <alignment horizontal="center" vertical="center"/>
    </xf>
    <xf numFmtId="178" fontId="2" fillId="0" borderId="4" xfId="495" applyNumberFormat="1" applyFont="1" applyFill="1" applyBorder="1" applyAlignment="1">
      <alignment horizontal="center" vertical="center"/>
    </xf>
    <xf numFmtId="0" fontId="8" fillId="0" borderId="15" xfId="495" applyFont="1" applyBorder="1" applyAlignment="1">
      <alignment horizontal="center" vertical="center"/>
    </xf>
    <xf numFmtId="0" fontId="8" fillId="0" borderId="5" xfId="495" applyFont="1" applyBorder="1" applyAlignment="1">
      <alignment horizontal="center" vertical="center"/>
    </xf>
    <xf numFmtId="0" fontId="8" fillId="0" borderId="7" xfId="495" applyFont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1" fontId="2" fillId="0" borderId="2" xfId="495" applyNumberFormat="1" applyFont="1" applyFill="1" applyBorder="1" applyAlignment="1">
      <alignment horizontal="center" vertical="center"/>
    </xf>
    <xf numFmtId="181" fontId="2" fillId="0" borderId="3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2" xfId="495" applyFont="1" applyFill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3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  <cellStyle name="百分比 2 4" xfId="632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3.52</c:v>
                </c:pt>
                <c:pt idx="1">
                  <c:v>4.58</c:v>
                </c:pt>
                <c:pt idx="2">
                  <c:v>6.89</c:v>
                </c:pt>
                <c:pt idx="3" c:formatCode="0.00_ ">
                  <c:v>7.92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8.15</c:v>
                </c:pt>
                <c:pt idx="1">
                  <c:v>6.9</c:v>
                </c:pt>
                <c:pt idx="2">
                  <c:v>5.14</c:v>
                </c:pt>
                <c:pt idx="3">
                  <c:v>3.82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5.66</c:v>
                </c:pt>
                <c:pt idx="1">
                  <c:v>2.37</c:v>
                </c:pt>
                <c:pt idx="2">
                  <c:v>1.95</c:v>
                </c:pt>
                <c:pt idx="3">
                  <c:v>1.88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7.15</c:v>
                </c:pt>
                <c:pt idx="1">
                  <c:v>6.72</c:v>
                </c:pt>
                <c:pt idx="2" c:formatCode="General">
                  <c:v>5.88</c:v>
                </c:pt>
                <c:pt idx="3" c:formatCode="General">
                  <c:v>4.37</c:v>
                </c:pt>
                <c:pt idx="4" c:formatCode="General">
                  <c:v>2.84</c:v>
                </c:pt>
                <c:pt idx="5" c:formatCode="General">
                  <c:v>2.36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2.88</c:v>
                </c:pt>
                <c:pt idx="1" c:formatCode="General">
                  <c:v>5.34</c:v>
                </c:pt>
                <c:pt idx="2">
                  <c:v>5.91</c:v>
                </c:pt>
                <c:pt idx="3">
                  <c:v>8.84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03663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51</xdr:row>
      <xdr:rowOff>28575</xdr:rowOff>
    </xdr:from>
    <xdr:to>
      <xdr:col>47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3982700" y="11185525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5477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27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5286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674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27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9125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8360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opLeftCell="B1" workbookViewId="0">
      <selection activeCell="J26" sqref="J26"/>
    </sheetView>
  </sheetViews>
  <sheetFormatPr defaultColWidth="8.75" defaultRowHeight="14.25"/>
  <cols>
    <col min="1" max="1" width="4" style="295" customWidth="1"/>
    <col min="2" max="2" width="14.875" style="295" customWidth="1"/>
    <col min="3" max="3" width="9" style="295" customWidth="1"/>
    <col min="4" max="4" width="5.125" style="295" customWidth="1"/>
    <col min="5" max="5" width="14.5" style="295" customWidth="1"/>
    <col min="6" max="6" width="10" style="295" customWidth="1"/>
    <col min="7" max="7" width="5.75" style="295" customWidth="1"/>
    <col min="8" max="8" width="9" style="295"/>
    <col min="9" max="9" width="7" style="295" customWidth="1"/>
    <col min="10" max="10" width="8.25" style="295" customWidth="1"/>
    <col min="11" max="11" width="8.75" style="295" customWidth="1"/>
    <col min="12" max="12" width="15.25" style="295" customWidth="1"/>
    <col min="13" max="13" width="8.625" style="295" customWidth="1"/>
    <col min="14" max="14" width="7.625" style="295" customWidth="1"/>
    <col min="15" max="29" width="9" style="295"/>
    <col min="30" max="16384" width="8.75" style="295"/>
  </cols>
  <sheetData>
    <row r="1" ht="18.75" spans="1:13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</row>
    <row r="2" s="294" customFormat="1" ht="20.1" customHeight="1" spans="1:13">
      <c r="A2" s="297">
        <v>44866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</row>
    <row r="3" s="294" customFormat="1" ht="24" customHeight="1" spans="1:13">
      <c r="A3" s="298" t="s">
        <v>1</v>
      </c>
      <c r="B3" s="299" t="s">
        <v>2</v>
      </c>
      <c r="C3" s="300">
        <f>处理量!D36</f>
        <v>4365504</v>
      </c>
      <c r="D3" s="301" t="s">
        <v>3</v>
      </c>
      <c r="E3" s="299" t="s">
        <v>4</v>
      </c>
      <c r="F3" s="302">
        <f>处理量!G40</f>
        <v>3417.68</v>
      </c>
      <c r="G3" s="298" t="s">
        <v>5</v>
      </c>
      <c r="H3" s="299" t="s">
        <v>6</v>
      </c>
      <c r="I3" s="299"/>
      <c r="J3" s="300">
        <v>1364000</v>
      </c>
      <c r="K3" s="301" t="s">
        <v>7</v>
      </c>
      <c r="L3" s="299" t="s">
        <v>8</v>
      </c>
      <c r="M3" s="335">
        <f>J3/C3</f>
        <v>0.312449604902435</v>
      </c>
    </row>
    <row r="4" s="294" customFormat="1" ht="24" customHeight="1" spans="1:13">
      <c r="A4" s="298"/>
      <c r="B4" s="299" t="s">
        <v>9</v>
      </c>
      <c r="C4" s="303">
        <f>处理量!D35</f>
        <v>145516.8</v>
      </c>
      <c r="D4" s="304"/>
      <c r="E4" s="299" t="s">
        <v>10</v>
      </c>
      <c r="F4" s="300">
        <f>处理量!H36</f>
        <v>4700</v>
      </c>
      <c r="G4" s="298"/>
      <c r="H4" s="299" t="s">
        <v>11</v>
      </c>
      <c r="I4" s="299"/>
      <c r="J4" s="309">
        <f>J3/M16</f>
        <v>45466.6666666667</v>
      </c>
      <c r="K4" s="304"/>
      <c r="L4" s="299" t="s">
        <v>12</v>
      </c>
      <c r="M4" s="336">
        <f>J3/I12</f>
        <v>1.03482977998157</v>
      </c>
    </row>
    <row r="5" s="294" customFormat="1" ht="24" customHeight="1" spans="1:13">
      <c r="A5" s="298"/>
      <c r="B5" s="299"/>
      <c r="C5" s="305"/>
      <c r="D5" s="304"/>
      <c r="E5" s="299" t="s">
        <v>13</v>
      </c>
      <c r="F5" s="306">
        <f>进出水!AB37</f>
        <v>78.6433333333333</v>
      </c>
      <c r="G5" s="298"/>
      <c r="H5" s="299" t="s">
        <v>14</v>
      </c>
      <c r="I5" s="299"/>
      <c r="J5" s="337">
        <v>2460</v>
      </c>
      <c r="K5" s="304"/>
      <c r="L5" s="299"/>
      <c r="M5" s="338"/>
    </row>
    <row r="6" s="294" customFormat="1" ht="24" customHeight="1" spans="1:13">
      <c r="A6" s="298"/>
      <c r="B6" s="299" t="s">
        <v>15</v>
      </c>
      <c r="C6" s="300">
        <f>处理量!D40</f>
        <v>157632</v>
      </c>
      <c r="D6" s="304"/>
      <c r="E6" s="298" t="s">
        <v>16</v>
      </c>
      <c r="F6" s="302">
        <f>F4/处理量!G41</f>
        <v>6.43921597319258</v>
      </c>
      <c r="G6" s="301" t="s">
        <v>17</v>
      </c>
      <c r="H6" s="307" t="s">
        <v>18</v>
      </c>
      <c r="I6" s="339"/>
      <c r="J6" s="336">
        <f>处理量!O36</f>
        <v>283.112</v>
      </c>
      <c r="K6" s="304"/>
      <c r="L6" s="299" t="s">
        <v>19</v>
      </c>
      <c r="M6" s="302">
        <f>J3/I13</f>
        <v>1.82321017409808</v>
      </c>
    </row>
    <row r="7" s="294" customFormat="1" ht="24" customHeight="1" spans="1:13">
      <c r="A7" s="298"/>
      <c r="B7" s="299" t="s">
        <v>20</v>
      </c>
      <c r="C7" s="300">
        <f>处理量!D41</f>
        <v>128128</v>
      </c>
      <c r="D7" s="308"/>
      <c r="E7" s="298" t="s">
        <v>21</v>
      </c>
      <c r="F7" s="309">
        <f>处理量!G41/C3*1000000</f>
        <v>167.197768077485</v>
      </c>
      <c r="G7" s="304"/>
      <c r="H7" s="310"/>
      <c r="I7" s="340"/>
      <c r="J7" s="338"/>
      <c r="K7" s="304"/>
      <c r="L7" s="341" t="s">
        <v>22</v>
      </c>
      <c r="M7" s="302">
        <f>J3/I14</f>
        <v>1.68466717237115</v>
      </c>
    </row>
    <row r="8" s="294" customFormat="1" ht="24" customHeight="1" spans="1:13">
      <c r="A8" s="298"/>
      <c r="B8" s="299" t="s">
        <v>23</v>
      </c>
      <c r="C8" s="306">
        <f>C4/150000*100</f>
        <v>97.0112</v>
      </c>
      <c r="D8" s="298" t="s">
        <v>24</v>
      </c>
      <c r="E8" s="299" t="s">
        <v>25</v>
      </c>
      <c r="F8" s="302">
        <f>处理量!M36</f>
        <v>267.240000000001</v>
      </c>
      <c r="G8" s="304"/>
      <c r="H8" s="307" t="s">
        <v>26</v>
      </c>
      <c r="I8" s="339"/>
      <c r="J8" s="336">
        <f>J6/C3*1000*1000</f>
        <v>64.8520766445295</v>
      </c>
      <c r="K8" s="342" t="s">
        <v>27</v>
      </c>
      <c r="L8" s="319" t="s">
        <v>28</v>
      </c>
      <c r="M8" s="302">
        <f>处理量!P36</f>
        <v>58.9936800000001</v>
      </c>
    </row>
    <row r="9" s="294" customFormat="1" ht="24" customHeight="1" spans="1:13">
      <c r="A9" s="298"/>
      <c r="B9" s="311" t="s">
        <v>29</v>
      </c>
      <c r="C9" s="312">
        <f>处理量!B35</f>
        <v>22.5933333333333</v>
      </c>
      <c r="D9" s="298"/>
      <c r="E9" s="299" t="s">
        <v>30</v>
      </c>
      <c r="F9" s="302">
        <f>F8/C3*1000*1000</f>
        <v>61.2162994238468</v>
      </c>
      <c r="G9" s="308"/>
      <c r="H9" s="310"/>
      <c r="I9" s="340"/>
      <c r="J9" s="338"/>
      <c r="K9" s="316"/>
      <c r="L9" s="343" t="s">
        <v>30</v>
      </c>
      <c r="M9" s="302">
        <f>M8/C3*1000*1000</f>
        <v>13.5136011786955</v>
      </c>
    </row>
    <row r="10" s="294" customFormat="1" ht="24" customHeight="1" spans="1:13">
      <c r="A10" s="298" t="s">
        <v>31</v>
      </c>
      <c r="B10" s="313" t="s">
        <v>32</v>
      </c>
      <c r="C10" s="314" t="s">
        <v>33</v>
      </c>
      <c r="D10" s="315"/>
      <c r="E10" s="314" t="s">
        <v>34</v>
      </c>
      <c r="F10" s="315"/>
      <c r="G10" s="314" t="s">
        <v>35</v>
      </c>
      <c r="H10" s="315"/>
      <c r="I10" s="314" t="s">
        <v>36</v>
      </c>
      <c r="J10" s="315"/>
      <c r="K10" s="301" t="s">
        <v>37</v>
      </c>
      <c r="L10" s="319" t="s">
        <v>28</v>
      </c>
      <c r="M10" s="302">
        <f>处理量!Q36</f>
        <v>40.9788</v>
      </c>
    </row>
    <row r="11" s="294" customFormat="1" ht="24" customHeight="1" spans="1:13">
      <c r="A11" s="298"/>
      <c r="B11" s="316"/>
      <c r="C11" s="317"/>
      <c r="D11" s="318"/>
      <c r="E11" s="317"/>
      <c r="F11" s="318"/>
      <c r="G11" s="317"/>
      <c r="H11" s="318"/>
      <c r="I11" s="317"/>
      <c r="J11" s="318"/>
      <c r="K11" s="308"/>
      <c r="L11" s="343" t="s">
        <v>30</v>
      </c>
      <c r="M11" s="302">
        <f>M10/C3*1000*1000</f>
        <v>9.38695738224041</v>
      </c>
    </row>
    <row r="12" s="294" customFormat="1" ht="24" customHeight="1" spans="1:13">
      <c r="A12" s="298"/>
      <c r="B12" s="319" t="s">
        <v>38</v>
      </c>
      <c r="C12" s="320">
        <f>进出水!B37</f>
        <v>309.933333333333</v>
      </c>
      <c r="D12" s="321"/>
      <c r="E12" s="320">
        <f>进出水!V37</f>
        <v>12.1333333333333</v>
      </c>
      <c r="F12" s="321"/>
      <c r="G12" s="322">
        <f>(C12-8)/C12</f>
        <v>0.9741879974188</v>
      </c>
      <c r="H12" s="323"/>
      <c r="I12" s="344">
        <f>(C12-8)*C3/1000</f>
        <v>1318091.1744</v>
      </c>
      <c r="J12" s="345"/>
      <c r="K12" s="298" t="s">
        <v>39</v>
      </c>
      <c r="L12" s="299" t="s">
        <v>40</v>
      </c>
      <c r="M12" s="302">
        <f>处理量!E36</f>
        <v>1765.34</v>
      </c>
    </row>
    <row r="13" s="294" customFormat="1" ht="24" customHeight="1" spans="1:13">
      <c r="A13" s="298"/>
      <c r="B13" s="319" t="s">
        <v>41</v>
      </c>
      <c r="C13" s="320">
        <f>进出水!C37</f>
        <v>172.373333333333</v>
      </c>
      <c r="D13" s="321"/>
      <c r="E13" s="320">
        <f>进出水!W37</f>
        <v>2.22733333333333</v>
      </c>
      <c r="F13" s="321"/>
      <c r="G13" s="322">
        <f>(C13-1)/C13</f>
        <v>0.994198638613861</v>
      </c>
      <c r="H13" s="323"/>
      <c r="I13" s="344">
        <f>(C13-1)*C3/1000</f>
        <v>748130.97216</v>
      </c>
      <c r="J13" s="345"/>
      <c r="K13" s="298"/>
      <c r="L13" s="346" t="s">
        <v>42</v>
      </c>
      <c r="M13" s="302">
        <f>处理量!F36</f>
        <v>1652.34</v>
      </c>
    </row>
    <row r="14" s="294" customFormat="1" ht="24" customHeight="1" spans="1:13">
      <c r="A14" s="298"/>
      <c r="B14" s="319" t="s">
        <v>43</v>
      </c>
      <c r="C14" s="320">
        <f>进出水!D37</f>
        <v>190.466666666667</v>
      </c>
      <c r="D14" s="321"/>
      <c r="E14" s="320">
        <f>进出水!X37</f>
        <v>5</v>
      </c>
      <c r="F14" s="321"/>
      <c r="G14" s="322">
        <f t="shared" ref="G14:G17" si="0">(C14-E14)/C14</f>
        <v>0.973748687434372</v>
      </c>
      <c r="H14" s="323"/>
      <c r="I14" s="344">
        <f>(C14-5)*C3/1000</f>
        <v>809655.4752</v>
      </c>
      <c r="J14" s="345"/>
      <c r="K14" s="298"/>
      <c r="L14" s="346" t="s">
        <v>44</v>
      </c>
      <c r="M14" s="302">
        <f>处理量!G36</f>
        <v>0</v>
      </c>
    </row>
    <row r="15" s="294" customFormat="1" ht="24" customHeight="1" spans="1:13">
      <c r="A15" s="298"/>
      <c r="B15" s="319" t="s">
        <v>45</v>
      </c>
      <c r="C15" s="320">
        <f>进出水!E37</f>
        <v>5.35633333333333</v>
      </c>
      <c r="D15" s="321"/>
      <c r="E15" s="320">
        <f>进出水!Y37</f>
        <v>0.193333333333333</v>
      </c>
      <c r="F15" s="321"/>
      <c r="G15" s="322">
        <f t="shared" si="0"/>
        <v>0.963905656854814</v>
      </c>
      <c r="H15" s="323"/>
      <c r="I15" s="344">
        <f>(C15-E15)*C3/1000</f>
        <v>22539.097152</v>
      </c>
      <c r="J15" s="345"/>
      <c r="K15" s="342" t="s">
        <v>46</v>
      </c>
      <c r="L15" s="347" t="s">
        <v>47</v>
      </c>
      <c r="M15" s="309">
        <v>30</v>
      </c>
    </row>
    <row r="16" s="294" customFormat="1" ht="24" customHeight="1" spans="1:13">
      <c r="A16" s="298"/>
      <c r="B16" s="319" t="s">
        <v>48</v>
      </c>
      <c r="C16" s="320">
        <f>进出水!G37</f>
        <v>40.9733333333333</v>
      </c>
      <c r="D16" s="321"/>
      <c r="E16" s="320">
        <f>进出水!AA37</f>
        <v>7.871</v>
      </c>
      <c r="F16" s="321"/>
      <c r="G16" s="322">
        <f t="shared" si="0"/>
        <v>0.807899446794663</v>
      </c>
      <c r="H16" s="323"/>
      <c r="I16" s="344">
        <f>(C16-E16)*C3/1000</f>
        <v>144508.368576</v>
      </c>
      <c r="J16" s="345"/>
      <c r="K16" s="348"/>
      <c r="L16" s="349" t="s">
        <v>49</v>
      </c>
      <c r="M16" s="309">
        <v>30</v>
      </c>
    </row>
    <row r="17" s="294" customFormat="1" ht="24" customHeight="1" spans="1:13">
      <c r="A17" s="298"/>
      <c r="B17" s="319" t="s">
        <v>50</v>
      </c>
      <c r="C17" s="320">
        <f>进出水!F37</f>
        <v>30.23</v>
      </c>
      <c r="D17" s="321"/>
      <c r="E17" s="320">
        <f>进出水!Z37</f>
        <v>0.209</v>
      </c>
      <c r="F17" s="321"/>
      <c r="G17" s="322">
        <f t="shared" si="0"/>
        <v>0.99308633807476</v>
      </c>
      <c r="H17" s="323"/>
      <c r="I17" s="344">
        <f>(C17-E17)*C3/1000</f>
        <v>131056.795584</v>
      </c>
      <c r="J17" s="345"/>
      <c r="K17" s="348"/>
      <c r="L17" s="349" t="s">
        <v>51</v>
      </c>
      <c r="M17" s="309">
        <v>30</v>
      </c>
    </row>
    <row r="18" s="294" customFormat="1" ht="24" customHeight="1" spans="1:17">
      <c r="A18" s="298"/>
      <c r="B18" s="311" t="s">
        <v>52</v>
      </c>
      <c r="C18" s="324" t="s">
        <v>53</v>
      </c>
      <c r="D18" s="325"/>
      <c r="E18" s="326" t="s">
        <v>54</v>
      </c>
      <c r="F18" s="327"/>
      <c r="G18" s="324" t="s">
        <v>53</v>
      </c>
      <c r="H18" s="328"/>
      <c r="I18" s="344" t="s">
        <v>53</v>
      </c>
      <c r="J18" s="345"/>
      <c r="K18" s="350"/>
      <c r="L18" s="313" t="s">
        <v>55</v>
      </c>
      <c r="M18" s="309">
        <v>100</v>
      </c>
      <c r="P18" s="294">
        <f>1424589-51986-8603</f>
        <v>1364000</v>
      </c>
      <c r="Q18" s="294">
        <f>3046-586</f>
        <v>2460</v>
      </c>
    </row>
    <row r="19" s="294" customFormat="1" ht="20.1" customHeight="1" spans="1:13">
      <c r="A19" s="298" t="s">
        <v>56</v>
      </c>
      <c r="B19" s="329" t="s">
        <v>57</v>
      </c>
      <c r="C19" s="330"/>
      <c r="D19" s="330"/>
      <c r="E19" s="330"/>
      <c r="F19" s="330"/>
      <c r="G19" s="330"/>
      <c r="H19" s="330"/>
      <c r="I19" s="330"/>
      <c r="J19" s="330"/>
      <c r="K19" s="330"/>
      <c r="L19" s="330"/>
      <c r="M19" s="351"/>
    </row>
    <row r="20" s="294" customFormat="1" ht="32" customHeight="1" spans="1:13">
      <c r="A20" s="298"/>
      <c r="B20" s="331"/>
      <c r="C20" s="332"/>
      <c r="D20" s="332"/>
      <c r="E20" s="332"/>
      <c r="F20" s="332"/>
      <c r="G20" s="332"/>
      <c r="H20" s="332"/>
      <c r="I20" s="332"/>
      <c r="J20" s="332"/>
      <c r="K20" s="332"/>
      <c r="L20" s="332"/>
      <c r="M20" s="352"/>
    </row>
    <row r="21" ht="20.1" customHeight="1" spans="1:13">
      <c r="A21" s="333" t="s">
        <v>58</v>
      </c>
      <c r="B21" s="333"/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</row>
    <row r="22" ht="17.25" customHeight="1" spans="9:9">
      <c r="I22" s="353"/>
    </row>
    <row r="23" ht="17.25" customHeight="1" spans="5:9">
      <c r="E23" s="334"/>
      <c r="I23" s="353"/>
    </row>
    <row r="24" ht="17.25" customHeight="1" spans="5:9">
      <c r="E24" s="334"/>
      <c r="I24" s="353"/>
    </row>
    <row r="25" ht="17.25" customHeight="1" spans="5:9">
      <c r="E25" s="334"/>
      <c r="I25" s="353"/>
    </row>
    <row r="26" ht="17.25" customHeight="1" spans="5:9">
      <c r="E26" s="334"/>
      <c r="I26" s="353"/>
    </row>
    <row r="27" ht="17.25" customHeight="1" spans="5:9">
      <c r="E27" s="334"/>
      <c r="I27" s="353"/>
    </row>
    <row r="28" ht="17.25" customHeight="1" spans="5:9">
      <c r="E28" s="334"/>
      <c r="I28" s="353"/>
    </row>
    <row r="29" ht="17.25" customHeight="1" spans="9:9">
      <c r="I29" s="353"/>
    </row>
    <row r="30" ht="17.25" customHeight="1" spans="9:9">
      <c r="I30" s="353"/>
    </row>
    <row r="31" ht="17.25" customHeight="1" spans="9:9">
      <c r="I31" s="35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72"/>
  <sheetViews>
    <sheetView tabSelected="1" zoomScale="80" zoomScaleNormal="80" workbookViewId="0">
      <pane xSplit="1" ySplit="4" topLeftCell="B5" activePane="bottomRight" state="frozen"/>
      <selection/>
      <selection pane="topRight"/>
      <selection pane="bottomLeft"/>
      <selection pane="bottomRight" activeCell="V33" sqref="V33"/>
    </sheetView>
  </sheetViews>
  <sheetFormatPr defaultColWidth="7.9" defaultRowHeight="14.25"/>
  <cols>
    <col min="1" max="1" width="5.625" style="259" customWidth="1"/>
    <col min="2" max="2" width="6.625" style="259" customWidth="1"/>
    <col min="3" max="3" width="6" style="259" customWidth="1"/>
    <col min="4" max="4" width="10.125" style="259" customWidth="1"/>
    <col min="5" max="5" width="6.875" style="259" customWidth="1"/>
    <col min="6" max="6" width="9" style="259" customWidth="1"/>
    <col min="7" max="7" width="10.6916666666667" style="260" customWidth="1"/>
    <col min="8" max="8" width="7.625" style="260" customWidth="1"/>
    <col min="9" max="10" width="7" style="259" customWidth="1"/>
    <col min="11" max="11" width="6.625" style="259" customWidth="1"/>
    <col min="12" max="12" width="8.125" style="259" customWidth="1"/>
    <col min="13" max="13" width="7.5" style="259" customWidth="1"/>
    <col min="14" max="14" width="6.625" style="259" customWidth="1"/>
    <col min="15" max="15" width="7.375" style="259" customWidth="1"/>
    <col min="16" max="16" width="9.625" style="259" customWidth="1"/>
    <col min="17" max="17" width="9.375" style="259" customWidth="1"/>
    <col min="18" max="18" width="6.625" style="259" customWidth="1"/>
    <col min="19" max="19" width="10.5" style="259" customWidth="1"/>
    <col min="20" max="20" width="9" style="261" customWidth="1"/>
    <col min="21" max="23" width="8.1" style="259" customWidth="1"/>
    <col min="24" max="24" width="12.1833333333333" style="259" customWidth="1"/>
    <col min="25" max="25" width="12.5" style="259" customWidth="1"/>
    <col min="26" max="26" width="15.5" style="259" customWidth="1"/>
    <col min="27" max="27" width="13.75" style="259"/>
    <col min="28" max="28" width="12.0333333333333" style="259" customWidth="1"/>
    <col min="29" max="16384" width="7.9" style="259"/>
  </cols>
  <sheetData>
    <row r="1" s="257" customFormat="1" ht="18.75" spans="1:32">
      <c r="A1" s="262" t="s">
        <v>59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</row>
    <row r="2" s="257" customFormat="1" ht="14" customHeight="1" spans="1:32">
      <c r="A2" s="263">
        <v>44866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</row>
    <row r="3" s="257" customFormat="1" ht="19" customHeight="1" spans="1:32">
      <c r="A3" s="264" t="s">
        <v>60</v>
      </c>
      <c r="B3" s="265" t="s">
        <v>61</v>
      </c>
      <c r="C3" s="265" t="s">
        <v>62</v>
      </c>
      <c r="D3" s="264" t="s">
        <v>63</v>
      </c>
      <c r="E3" s="266" t="s">
        <v>64</v>
      </c>
      <c r="F3" s="266"/>
      <c r="G3" s="266"/>
      <c r="H3" s="265" t="s">
        <v>65</v>
      </c>
      <c r="I3" s="277" t="s">
        <v>66</v>
      </c>
      <c r="J3" s="278"/>
      <c r="K3" s="279"/>
      <c r="L3" s="265" t="s">
        <v>67</v>
      </c>
      <c r="M3" s="265" t="s">
        <v>68</v>
      </c>
      <c r="N3" s="264" t="s">
        <v>69</v>
      </c>
      <c r="O3" s="265" t="s">
        <v>70</v>
      </c>
      <c r="P3" s="266" t="s">
        <v>71</v>
      </c>
      <c r="Q3" s="266"/>
      <c r="R3" s="264" t="s">
        <v>72</v>
      </c>
      <c r="S3" s="273" t="s">
        <v>73</v>
      </c>
      <c r="T3" s="284" t="s">
        <v>74</v>
      </c>
      <c r="U3" s="259"/>
      <c r="V3" s="259"/>
      <c r="W3" s="259"/>
      <c r="X3" s="259" t="s">
        <v>75</v>
      </c>
      <c r="Y3" s="259"/>
      <c r="Z3" s="259" t="s">
        <v>76</v>
      </c>
      <c r="AA3" s="259">
        <v>4900</v>
      </c>
      <c r="AB3" s="259" t="s">
        <v>77</v>
      </c>
      <c r="AC3" s="259"/>
      <c r="AD3" s="259" t="s">
        <v>74</v>
      </c>
      <c r="AE3" s="259">
        <v>14800</v>
      </c>
      <c r="AF3" s="259"/>
    </row>
    <row r="4" s="257" customFormat="1" ht="20" customHeight="1" spans="1:32">
      <c r="A4" s="267"/>
      <c r="B4" s="267" t="s">
        <v>78</v>
      </c>
      <c r="C4" s="267" t="s">
        <v>79</v>
      </c>
      <c r="D4" s="267"/>
      <c r="E4" s="266" t="s">
        <v>80</v>
      </c>
      <c r="F4" s="266" t="s">
        <v>81</v>
      </c>
      <c r="G4" s="266" t="s">
        <v>82</v>
      </c>
      <c r="H4" s="267" t="s">
        <v>83</v>
      </c>
      <c r="I4" s="267" t="s">
        <v>84</v>
      </c>
      <c r="J4" s="267" t="s">
        <v>85</v>
      </c>
      <c r="K4" s="267" t="s">
        <v>86</v>
      </c>
      <c r="L4" s="267" t="s">
        <v>87</v>
      </c>
      <c r="M4" s="267" t="s">
        <v>88</v>
      </c>
      <c r="N4" s="267"/>
      <c r="O4" s="267" t="s">
        <v>88</v>
      </c>
      <c r="P4" s="266" t="s">
        <v>89</v>
      </c>
      <c r="Q4" s="266" t="s">
        <v>90</v>
      </c>
      <c r="R4" s="267"/>
      <c r="S4" s="266"/>
      <c r="T4" s="284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</row>
    <row r="5" s="257" customFormat="1" ht="16" customHeight="1" spans="1:32">
      <c r="A5" s="174">
        <v>1</v>
      </c>
      <c r="B5" s="268">
        <v>24.4</v>
      </c>
      <c r="C5" s="269" t="s">
        <v>91</v>
      </c>
      <c r="D5" s="270">
        <v>141888</v>
      </c>
      <c r="E5" s="271">
        <v>88.78</v>
      </c>
      <c r="F5" s="271">
        <v>56.58</v>
      </c>
      <c r="G5" s="271">
        <v>0</v>
      </c>
      <c r="H5" s="272">
        <v>175</v>
      </c>
      <c r="I5" s="270">
        <v>3278</v>
      </c>
      <c r="J5" s="270">
        <v>3848</v>
      </c>
      <c r="K5" s="270">
        <v>3640</v>
      </c>
      <c r="L5" s="280">
        <v>47502.96</v>
      </c>
      <c r="M5" s="281">
        <v>8.4</v>
      </c>
      <c r="N5" s="281">
        <v>0</v>
      </c>
      <c r="O5" s="281">
        <v>6.09525000000008</v>
      </c>
      <c r="P5" s="271">
        <v>1.41545999999999</v>
      </c>
      <c r="Q5" s="271">
        <v>0</v>
      </c>
      <c r="R5" s="285">
        <v>0</v>
      </c>
      <c r="S5" s="270">
        <v>141888</v>
      </c>
      <c r="T5" s="286">
        <v>35</v>
      </c>
      <c r="U5" s="259">
        <f>S5-115000</f>
        <v>26888</v>
      </c>
      <c r="V5" s="287"/>
      <c r="W5" s="259"/>
      <c r="X5" s="259"/>
      <c r="Y5" s="259"/>
      <c r="Z5" s="259"/>
      <c r="AA5" s="259"/>
      <c r="AB5" s="259"/>
      <c r="AC5" s="259"/>
      <c r="AD5" s="259"/>
      <c r="AE5" s="259"/>
      <c r="AF5" s="259"/>
    </row>
    <row r="6" s="257" customFormat="1" ht="16" customHeight="1" spans="1:32">
      <c r="A6" s="174">
        <v>2</v>
      </c>
      <c r="B6" s="268">
        <v>24.3</v>
      </c>
      <c r="C6" s="269" t="s">
        <v>91</v>
      </c>
      <c r="D6" s="270">
        <v>140160</v>
      </c>
      <c r="E6" s="271">
        <v>105.92</v>
      </c>
      <c r="F6" s="271">
        <v>0</v>
      </c>
      <c r="G6" s="271">
        <v>0</v>
      </c>
      <c r="H6" s="272">
        <v>150</v>
      </c>
      <c r="I6" s="270">
        <v>3542</v>
      </c>
      <c r="J6" s="270">
        <v>3940</v>
      </c>
      <c r="K6" s="270">
        <v>3676</v>
      </c>
      <c r="L6" s="280">
        <v>47802.97</v>
      </c>
      <c r="M6" s="281">
        <v>7.32000000000044</v>
      </c>
      <c r="N6" s="281">
        <v>0</v>
      </c>
      <c r="O6" s="281">
        <v>5.61150000000027</v>
      </c>
      <c r="P6" s="271">
        <v>1.40130000000007</v>
      </c>
      <c r="Q6" s="271">
        <v>0</v>
      </c>
      <c r="R6" s="285">
        <v>0</v>
      </c>
      <c r="S6" s="270">
        <v>140160</v>
      </c>
      <c r="T6" s="286">
        <v>35</v>
      </c>
      <c r="U6" s="259">
        <f>S6-115000</f>
        <v>25160</v>
      </c>
      <c r="V6" s="287"/>
      <c r="W6" s="259"/>
      <c r="X6" s="259"/>
      <c r="Y6" s="259"/>
      <c r="Z6" s="259"/>
      <c r="AA6" s="259"/>
      <c r="AB6" s="259"/>
      <c r="AC6" s="259"/>
      <c r="AD6" s="259"/>
      <c r="AE6" s="259"/>
      <c r="AF6" s="259"/>
    </row>
    <row r="7" s="257" customFormat="1" ht="16" customHeight="1" spans="1:32">
      <c r="A7" s="174">
        <v>3</v>
      </c>
      <c r="B7" s="268">
        <v>24.5</v>
      </c>
      <c r="C7" s="269" t="s">
        <v>91</v>
      </c>
      <c r="D7" s="270">
        <v>139872</v>
      </c>
      <c r="E7" s="271">
        <v>34.82</v>
      </c>
      <c r="F7" s="271">
        <v>106.18</v>
      </c>
      <c r="G7" s="271">
        <v>0</v>
      </c>
      <c r="H7" s="272">
        <v>150</v>
      </c>
      <c r="I7" s="270">
        <v>3828</v>
      </c>
      <c r="J7" s="270">
        <v>3878</v>
      </c>
      <c r="K7" s="270">
        <v>3704</v>
      </c>
      <c r="L7" s="280">
        <v>48103</v>
      </c>
      <c r="M7" s="281">
        <v>6.23999999999869</v>
      </c>
      <c r="N7" s="281">
        <v>0</v>
      </c>
      <c r="O7" s="281">
        <v>5.70824999999994</v>
      </c>
      <c r="P7" s="271">
        <v>1.38911999999997</v>
      </c>
      <c r="Q7" s="271">
        <v>0</v>
      </c>
      <c r="R7" s="285">
        <v>0</v>
      </c>
      <c r="S7" s="270">
        <v>139872</v>
      </c>
      <c r="T7" s="286">
        <v>35</v>
      </c>
      <c r="U7" s="259">
        <f>S7-135000</f>
        <v>4872</v>
      </c>
      <c r="V7" s="287"/>
      <c r="W7" s="259"/>
      <c r="X7" s="259"/>
      <c r="Y7" s="259" t="s">
        <v>92</v>
      </c>
      <c r="Z7" s="259" t="s">
        <v>93</v>
      </c>
      <c r="AA7" s="259" t="s">
        <v>94</v>
      </c>
      <c r="AB7" s="259"/>
      <c r="AC7" s="259"/>
      <c r="AD7" s="259"/>
      <c r="AE7" s="259"/>
      <c r="AF7" s="259"/>
    </row>
    <row r="8" s="257" customFormat="1" ht="16" customHeight="1" spans="1:32">
      <c r="A8" s="174">
        <v>4</v>
      </c>
      <c r="B8" s="268">
        <v>24.8</v>
      </c>
      <c r="C8" s="269" t="s">
        <v>91</v>
      </c>
      <c r="D8" s="270">
        <v>140960</v>
      </c>
      <c r="E8" s="271">
        <v>107.8</v>
      </c>
      <c r="F8" s="271">
        <v>0</v>
      </c>
      <c r="G8" s="271">
        <v>0</v>
      </c>
      <c r="H8" s="272">
        <v>150</v>
      </c>
      <c r="I8" s="282">
        <v>4574</v>
      </c>
      <c r="J8" s="282">
        <v>4360</v>
      </c>
      <c r="K8" s="282">
        <v>4118</v>
      </c>
      <c r="L8" s="280">
        <v>47202.94</v>
      </c>
      <c r="M8" s="281">
        <v>6.48000000000175</v>
      </c>
      <c r="N8" s="281">
        <v>0</v>
      </c>
      <c r="O8" s="281">
        <v>5.62225000000002</v>
      </c>
      <c r="P8" s="271">
        <v>1.35924000000001</v>
      </c>
      <c r="Q8" s="271">
        <v>0</v>
      </c>
      <c r="R8" s="285">
        <v>0</v>
      </c>
      <c r="S8" s="270">
        <v>140960</v>
      </c>
      <c r="T8" s="286">
        <v>35</v>
      </c>
      <c r="U8" s="259">
        <f>S8-135000</f>
        <v>5960</v>
      </c>
      <c r="V8" s="287"/>
      <c r="W8" s="259"/>
      <c r="X8" s="259" t="s">
        <v>95</v>
      </c>
      <c r="Y8" s="290">
        <v>0.667</v>
      </c>
      <c r="Z8" s="291">
        <f>L36</f>
        <v>1424588.76</v>
      </c>
      <c r="AA8" s="291">
        <f t="shared" ref="AA8:AA14" si="0">Z8*Y8</f>
        <v>950200.70292</v>
      </c>
      <c r="AB8" s="259"/>
      <c r="AC8" s="259"/>
      <c r="AD8" s="259"/>
      <c r="AE8" s="259"/>
      <c r="AF8" s="259"/>
    </row>
    <row r="9" s="257" customFormat="1" ht="16" customHeight="1" spans="1:32">
      <c r="A9" s="174">
        <v>5</v>
      </c>
      <c r="B9" s="268">
        <v>24.8</v>
      </c>
      <c r="C9" s="269" t="s">
        <v>91</v>
      </c>
      <c r="D9" s="270">
        <v>139616</v>
      </c>
      <c r="E9" s="271">
        <v>107.16</v>
      </c>
      <c r="F9" s="271">
        <v>0</v>
      </c>
      <c r="G9" s="271">
        <v>0</v>
      </c>
      <c r="H9" s="272">
        <v>150</v>
      </c>
      <c r="I9" s="270">
        <v>4300</v>
      </c>
      <c r="J9" s="270">
        <v>3852</v>
      </c>
      <c r="K9" s="270">
        <v>4026</v>
      </c>
      <c r="L9" s="280">
        <v>45602.84</v>
      </c>
      <c r="M9" s="281">
        <v>6.47999999999956</v>
      </c>
      <c r="N9" s="281">
        <v>0</v>
      </c>
      <c r="O9" s="281">
        <v>6.72949999999975</v>
      </c>
      <c r="P9" s="271">
        <v>1.40141999999997</v>
      </c>
      <c r="Q9" s="271">
        <v>2.9436</v>
      </c>
      <c r="R9" s="285">
        <v>0</v>
      </c>
      <c r="S9" s="270">
        <v>139616</v>
      </c>
      <c r="T9" s="286">
        <v>35</v>
      </c>
      <c r="U9" s="259">
        <f>S9-135000</f>
        <v>4616</v>
      </c>
      <c r="V9" s="287"/>
      <c r="W9" s="259"/>
      <c r="X9" s="259" t="s">
        <v>96</v>
      </c>
      <c r="Y9" s="292">
        <v>28000</v>
      </c>
      <c r="Z9" s="291">
        <f>H36/1000</f>
        <v>4.7</v>
      </c>
      <c r="AA9" s="291">
        <f t="shared" si="0"/>
        <v>131600</v>
      </c>
      <c r="AB9" s="259"/>
      <c r="AC9" s="259"/>
      <c r="AD9" s="259"/>
      <c r="AE9" s="259"/>
      <c r="AF9" s="259"/>
    </row>
    <row r="10" s="257" customFormat="1" ht="16" customHeight="1" spans="1:32">
      <c r="A10" s="174">
        <v>6</v>
      </c>
      <c r="B10" s="268">
        <v>24.2</v>
      </c>
      <c r="C10" s="269" t="s">
        <v>91</v>
      </c>
      <c r="D10" s="270">
        <v>137440</v>
      </c>
      <c r="E10" s="271">
        <v>125.18</v>
      </c>
      <c r="F10" s="271">
        <v>0</v>
      </c>
      <c r="G10" s="271">
        <v>0</v>
      </c>
      <c r="H10" s="272">
        <v>150</v>
      </c>
      <c r="I10" s="270">
        <v>4036</v>
      </c>
      <c r="J10" s="270">
        <v>3944</v>
      </c>
      <c r="K10" s="270">
        <v>3872</v>
      </c>
      <c r="L10" s="280">
        <v>47202.94</v>
      </c>
      <c r="M10" s="281">
        <v>4.92000000000044</v>
      </c>
      <c r="N10" s="281">
        <v>0</v>
      </c>
      <c r="O10" s="281">
        <v>5.19225000000041</v>
      </c>
      <c r="P10" s="271">
        <v>1.35282000000004</v>
      </c>
      <c r="Q10" s="271">
        <v>1.62761999999997</v>
      </c>
      <c r="R10" s="285">
        <v>0</v>
      </c>
      <c r="S10" s="270">
        <v>137440</v>
      </c>
      <c r="T10" s="286">
        <v>35</v>
      </c>
      <c r="U10" s="259">
        <f>S10-135000</f>
        <v>2440</v>
      </c>
      <c r="V10" s="287"/>
      <c r="W10" s="259"/>
      <c r="X10" s="259" t="s">
        <v>97</v>
      </c>
      <c r="Y10" s="292">
        <v>430</v>
      </c>
      <c r="Z10" s="291"/>
      <c r="AA10" s="291">
        <f t="shared" si="0"/>
        <v>0</v>
      </c>
      <c r="AB10" s="259"/>
      <c r="AC10" s="259"/>
      <c r="AD10" s="259"/>
      <c r="AE10" s="259"/>
      <c r="AF10" s="259"/>
    </row>
    <row r="11" s="257" customFormat="1" ht="16" customHeight="1" spans="1:32">
      <c r="A11" s="174">
        <v>7</v>
      </c>
      <c r="B11" s="268">
        <v>23.9</v>
      </c>
      <c r="C11" s="269" t="s">
        <v>91</v>
      </c>
      <c r="D11" s="270">
        <v>141408</v>
      </c>
      <c r="E11" s="271">
        <v>0</v>
      </c>
      <c r="F11" s="271">
        <v>140.04</v>
      </c>
      <c r="G11" s="271">
        <v>0</v>
      </c>
      <c r="H11" s="272">
        <v>150</v>
      </c>
      <c r="I11" s="270">
        <v>3862</v>
      </c>
      <c r="J11" s="270">
        <v>3738</v>
      </c>
      <c r="K11" s="270">
        <v>3610</v>
      </c>
      <c r="L11" s="280">
        <v>48603.04</v>
      </c>
      <c r="M11" s="281">
        <v>4.8</v>
      </c>
      <c r="N11" s="281">
        <v>0</v>
      </c>
      <c r="O11" s="281">
        <v>7.12724999999963</v>
      </c>
      <c r="P11" s="271">
        <v>1.41426000000006</v>
      </c>
      <c r="Q11" s="271">
        <v>1.70315999999992</v>
      </c>
      <c r="R11" s="285">
        <v>0</v>
      </c>
      <c r="S11" s="270">
        <v>141408</v>
      </c>
      <c r="T11" s="286">
        <v>35</v>
      </c>
      <c r="U11" s="259">
        <f>S11-135000</f>
        <v>6408</v>
      </c>
      <c r="V11" s="287"/>
      <c r="W11" s="259"/>
      <c r="X11" s="259" t="s">
        <v>98</v>
      </c>
      <c r="Y11" s="292">
        <v>4900</v>
      </c>
      <c r="Z11" s="291"/>
      <c r="AA11" s="291">
        <f t="shared" si="0"/>
        <v>0</v>
      </c>
      <c r="AB11" s="259"/>
      <c r="AC11" s="259"/>
      <c r="AD11" s="259"/>
      <c r="AE11" s="259"/>
      <c r="AF11" s="259"/>
    </row>
    <row r="12" s="257" customFormat="1" ht="16" customHeight="1" spans="1:32">
      <c r="A12" s="174">
        <v>8</v>
      </c>
      <c r="B12" s="268">
        <v>24.5</v>
      </c>
      <c r="C12" s="269" t="s">
        <v>91</v>
      </c>
      <c r="D12" s="270">
        <v>128128</v>
      </c>
      <c r="E12" s="271">
        <v>121.32</v>
      </c>
      <c r="F12" s="271">
        <v>17.54</v>
      </c>
      <c r="G12" s="271">
        <v>0</v>
      </c>
      <c r="H12" s="272">
        <v>175</v>
      </c>
      <c r="I12" s="270">
        <v>4204</v>
      </c>
      <c r="J12" s="270">
        <v>3810</v>
      </c>
      <c r="K12" s="270">
        <v>3982</v>
      </c>
      <c r="L12" s="280">
        <v>47702.96</v>
      </c>
      <c r="M12" s="281">
        <v>12</v>
      </c>
      <c r="N12" s="281">
        <v>0</v>
      </c>
      <c r="O12" s="281">
        <v>4.71925000000035</v>
      </c>
      <c r="P12" s="271">
        <v>1.72985999999999</v>
      </c>
      <c r="Q12" s="271">
        <v>1.5147</v>
      </c>
      <c r="R12" s="285">
        <v>0</v>
      </c>
      <c r="S12" s="270">
        <v>128128</v>
      </c>
      <c r="T12" s="286">
        <v>35</v>
      </c>
      <c r="U12" s="259"/>
      <c r="V12" s="287"/>
      <c r="W12" s="259"/>
      <c r="X12" s="259" t="s">
        <v>68</v>
      </c>
      <c r="Y12" s="292">
        <v>526</v>
      </c>
      <c r="Z12" s="291">
        <f>M36</f>
        <v>267.240000000001</v>
      </c>
      <c r="AA12" s="291">
        <f t="shared" si="0"/>
        <v>140568.240000001</v>
      </c>
      <c r="AB12" s="259"/>
      <c r="AC12" s="259"/>
      <c r="AD12" s="259"/>
      <c r="AE12" s="259"/>
      <c r="AF12" s="259"/>
    </row>
    <row r="13" s="257" customFormat="1" ht="16" customHeight="1" spans="1:32">
      <c r="A13" s="174">
        <v>9</v>
      </c>
      <c r="B13" s="268">
        <v>24.1</v>
      </c>
      <c r="C13" s="269" t="s">
        <v>91</v>
      </c>
      <c r="D13" s="270">
        <v>140384</v>
      </c>
      <c r="E13" s="271">
        <v>53.46</v>
      </c>
      <c r="F13" s="271">
        <v>51.7</v>
      </c>
      <c r="G13" s="271">
        <v>0</v>
      </c>
      <c r="H13" s="272">
        <v>150</v>
      </c>
      <c r="I13" s="270">
        <v>4224</v>
      </c>
      <c r="J13" s="270">
        <v>3978</v>
      </c>
      <c r="K13" s="270">
        <v>4006</v>
      </c>
      <c r="L13" s="280">
        <v>46302.89</v>
      </c>
      <c r="M13" s="281">
        <v>15.6</v>
      </c>
      <c r="N13" s="281">
        <v>0</v>
      </c>
      <c r="O13" s="281">
        <v>10.7069999999995</v>
      </c>
      <c r="P13" s="271">
        <v>2.15765999999992</v>
      </c>
      <c r="Q13" s="271">
        <v>1.72932000000011</v>
      </c>
      <c r="R13" s="285">
        <v>0</v>
      </c>
      <c r="S13" s="270">
        <v>140384</v>
      </c>
      <c r="T13" s="286">
        <v>35</v>
      </c>
      <c r="U13" s="259"/>
      <c r="V13" s="287"/>
      <c r="W13" s="259"/>
      <c r="X13" s="259" t="s">
        <v>74</v>
      </c>
      <c r="Y13" s="292">
        <v>14800</v>
      </c>
      <c r="Z13" s="291">
        <f>T36/1000</f>
        <v>1.05</v>
      </c>
      <c r="AA13" s="291">
        <f t="shared" si="0"/>
        <v>15540</v>
      </c>
      <c r="AB13" s="259"/>
      <c r="AC13" s="259"/>
      <c r="AD13" s="259"/>
      <c r="AE13" s="259"/>
      <c r="AF13" s="259"/>
    </row>
    <row r="14" s="257" customFormat="1" ht="16" customHeight="1" spans="1:32">
      <c r="A14" s="174">
        <v>10</v>
      </c>
      <c r="B14" s="268">
        <v>24.1</v>
      </c>
      <c r="C14" s="269" t="s">
        <v>91</v>
      </c>
      <c r="D14" s="270">
        <v>140672</v>
      </c>
      <c r="E14" s="271">
        <v>72.48</v>
      </c>
      <c r="F14" s="271">
        <v>51.92</v>
      </c>
      <c r="G14" s="271">
        <v>0</v>
      </c>
      <c r="H14" s="272">
        <v>150</v>
      </c>
      <c r="I14" s="270">
        <v>4392</v>
      </c>
      <c r="J14" s="270">
        <v>4330</v>
      </c>
      <c r="K14" s="270">
        <v>4114</v>
      </c>
      <c r="L14" s="280">
        <v>49103.06</v>
      </c>
      <c r="M14" s="281">
        <v>10.4399999999987</v>
      </c>
      <c r="N14" s="281">
        <v>0</v>
      </c>
      <c r="O14" s="281">
        <v>11.7390000000001</v>
      </c>
      <c r="P14" s="271">
        <v>1.66992000000004</v>
      </c>
      <c r="Q14" s="271">
        <v>1.64021999999997</v>
      </c>
      <c r="R14" s="285">
        <v>0</v>
      </c>
      <c r="S14" s="270">
        <v>140672</v>
      </c>
      <c r="T14" s="286">
        <v>35</v>
      </c>
      <c r="U14" s="259"/>
      <c r="V14" s="287"/>
      <c r="W14" s="259"/>
      <c r="X14" s="259" t="s">
        <v>99</v>
      </c>
      <c r="Y14" s="292">
        <v>22.18</v>
      </c>
      <c r="Z14" s="291">
        <f>G40</f>
        <v>3417.68</v>
      </c>
      <c r="AA14" s="291">
        <f t="shared" si="0"/>
        <v>75804.1424</v>
      </c>
      <c r="AB14" s="259" t="s">
        <v>100</v>
      </c>
      <c r="AC14" s="259">
        <v>46.36</v>
      </c>
      <c r="AD14" s="259">
        <f>Z14*AC14</f>
        <v>158443.6448</v>
      </c>
      <c r="AE14" s="259"/>
      <c r="AF14" s="259"/>
    </row>
    <row r="15" s="257" customFormat="1" ht="16" customHeight="1" spans="1:32">
      <c r="A15" s="174">
        <v>11</v>
      </c>
      <c r="B15" s="268">
        <v>23.7</v>
      </c>
      <c r="C15" s="269" t="s">
        <v>101</v>
      </c>
      <c r="D15" s="270">
        <v>140768</v>
      </c>
      <c r="E15" s="271">
        <v>70.44</v>
      </c>
      <c r="F15" s="271">
        <v>51.24</v>
      </c>
      <c r="G15" s="271">
        <v>0</v>
      </c>
      <c r="H15" s="272">
        <v>175</v>
      </c>
      <c r="I15" s="270">
        <v>4188</v>
      </c>
      <c r="J15" s="270">
        <v>4044</v>
      </c>
      <c r="K15" s="270">
        <v>3992</v>
      </c>
      <c r="L15" s="280">
        <v>48603.02</v>
      </c>
      <c r="M15" s="281">
        <v>9.12000000000044</v>
      </c>
      <c r="N15" s="281">
        <v>0</v>
      </c>
      <c r="O15" s="281">
        <v>7.51425000000025</v>
      </c>
      <c r="P15" s="271">
        <v>2.07605999999999</v>
      </c>
      <c r="Q15" s="271">
        <v>1.46628000000003</v>
      </c>
      <c r="R15" s="285">
        <v>0</v>
      </c>
      <c r="S15" s="270">
        <v>140768</v>
      </c>
      <c r="T15" s="286">
        <v>35</v>
      </c>
      <c r="U15" s="259"/>
      <c r="V15" s="287"/>
      <c r="W15" s="259"/>
      <c r="X15" s="259" t="s">
        <v>102</v>
      </c>
      <c r="Y15" s="259"/>
      <c r="Z15" s="259"/>
      <c r="AA15" s="259">
        <f>AA9+AA10+AA11+AA12+AA13</f>
        <v>287708.240000001</v>
      </c>
      <c r="AB15" s="259"/>
      <c r="AC15" s="259"/>
      <c r="AD15" s="259"/>
      <c r="AE15" s="259"/>
      <c r="AF15" s="259"/>
    </row>
    <row r="16" s="257" customFormat="1" ht="16" customHeight="1" spans="1:32">
      <c r="A16" s="174">
        <v>12</v>
      </c>
      <c r="B16" s="268">
        <v>21.5</v>
      </c>
      <c r="C16" s="269" t="s">
        <v>101</v>
      </c>
      <c r="D16" s="270">
        <v>140768</v>
      </c>
      <c r="E16" s="271">
        <v>123.72</v>
      </c>
      <c r="F16" s="271">
        <v>0</v>
      </c>
      <c r="G16" s="271">
        <v>0</v>
      </c>
      <c r="H16" s="272">
        <v>150</v>
      </c>
      <c r="I16" s="270">
        <v>4376</v>
      </c>
      <c r="J16" s="270">
        <v>4116</v>
      </c>
      <c r="K16" s="270">
        <v>4228</v>
      </c>
      <c r="L16" s="280">
        <v>47802.98</v>
      </c>
      <c r="M16" s="281">
        <v>14.4</v>
      </c>
      <c r="N16" s="281">
        <v>0</v>
      </c>
      <c r="O16" s="281">
        <v>8.90099999999973</v>
      </c>
      <c r="P16" s="271">
        <v>2.04917999999996</v>
      </c>
      <c r="Q16" s="271">
        <v>1.37033999999994</v>
      </c>
      <c r="R16" s="285">
        <v>0</v>
      </c>
      <c r="S16" s="270">
        <v>140768</v>
      </c>
      <c r="T16" s="286">
        <v>35</v>
      </c>
      <c r="U16" s="259"/>
      <c r="V16" s="287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</row>
    <row r="17" s="257" customFormat="1" ht="16" customHeight="1" spans="1:32">
      <c r="A17" s="174">
        <v>13</v>
      </c>
      <c r="B17" s="268">
        <v>21.7</v>
      </c>
      <c r="C17" s="269" t="s">
        <v>101</v>
      </c>
      <c r="D17" s="270">
        <v>132288</v>
      </c>
      <c r="E17" s="271">
        <v>85.92</v>
      </c>
      <c r="F17" s="271">
        <v>69.2</v>
      </c>
      <c r="G17" s="271">
        <v>0</v>
      </c>
      <c r="H17" s="272">
        <v>0</v>
      </c>
      <c r="I17" s="270">
        <v>4032</v>
      </c>
      <c r="J17" s="270">
        <v>3830</v>
      </c>
      <c r="K17" s="270">
        <v>4104</v>
      </c>
      <c r="L17" s="280">
        <v>43502.71</v>
      </c>
      <c r="M17" s="281">
        <v>16.8</v>
      </c>
      <c r="N17" s="281">
        <v>0</v>
      </c>
      <c r="O17" s="281">
        <v>9.36325000000004</v>
      </c>
      <c r="P17" s="271">
        <v>1.65755999999999</v>
      </c>
      <c r="Q17" s="271">
        <v>1.32498000000003</v>
      </c>
      <c r="R17" s="285">
        <v>0</v>
      </c>
      <c r="S17" s="270">
        <v>132288</v>
      </c>
      <c r="T17" s="286">
        <v>35</v>
      </c>
      <c r="U17" s="259"/>
      <c r="V17" s="287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</row>
    <row r="18" s="257" customFormat="1" ht="16" customHeight="1" spans="1:32">
      <c r="A18" s="174">
        <v>14</v>
      </c>
      <c r="B18" s="268">
        <v>22</v>
      </c>
      <c r="C18" s="269" t="s">
        <v>101</v>
      </c>
      <c r="D18" s="270">
        <v>138432</v>
      </c>
      <c r="E18" s="271">
        <v>0</v>
      </c>
      <c r="F18" s="271">
        <v>14.4</v>
      </c>
      <c r="G18" s="271">
        <v>0</v>
      </c>
      <c r="H18" s="272">
        <v>125</v>
      </c>
      <c r="I18" s="270">
        <v>4032</v>
      </c>
      <c r="J18" s="270">
        <v>3882</v>
      </c>
      <c r="K18" s="270">
        <v>3900</v>
      </c>
      <c r="L18" s="280">
        <v>46202.88</v>
      </c>
      <c r="M18" s="281">
        <v>3.72000000000044</v>
      </c>
      <c r="N18" s="281">
        <v>0</v>
      </c>
      <c r="O18" s="281">
        <v>10.0405000000002</v>
      </c>
      <c r="P18" s="271">
        <v>1.95618000000003</v>
      </c>
      <c r="Q18" s="271">
        <v>1.30788000000003</v>
      </c>
      <c r="R18" s="285">
        <v>0</v>
      </c>
      <c r="S18" s="270">
        <v>138432</v>
      </c>
      <c r="T18" s="286">
        <v>35</v>
      </c>
      <c r="U18" s="259"/>
      <c r="V18" s="287"/>
      <c r="W18" s="259"/>
      <c r="X18" s="259" t="s">
        <v>103</v>
      </c>
      <c r="Y18" s="259">
        <v>4.2</v>
      </c>
      <c r="Z18" s="259"/>
      <c r="AA18" s="259">
        <f>Z18*Y18</f>
        <v>0</v>
      </c>
      <c r="AB18" s="259"/>
      <c r="AC18" s="259"/>
      <c r="AD18" s="259"/>
      <c r="AE18" s="259"/>
      <c r="AF18" s="259"/>
    </row>
    <row r="19" s="257" customFormat="1" ht="16" customHeight="1" spans="1:32">
      <c r="A19" s="174">
        <v>15</v>
      </c>
      <c r="B19" s="268">
        <v>20.7</v>
      </c>
      <c r="C19" s="269" t="s">
        <v>91</v>
      </c>
      <c r="D19" s="270">
        <v>137856</v>
      </c>
      <c r="E19" s="271">
        <v>0</v>
      </c>
      <c r="F19" s="271">
        <v>34.22</v>
      </c>
      <c r="G19" s="271">
        <v>0</v>
      </c>
      <c r="H19" s="272">
        <v>175</v>
      </c>
      <c r="I19" s="270">
        <v>4088</v>
      </c>
      <c r="J19" s="270">
        <v>4028</v>
      </c>
      <c r="K19" s="270">
        <v>3914</v>
      </c>
      <c r="L19" s="280">
        <v>47202.94</v>
      </c>
      <c r="M19" s="281">
        <v>4.8</v>
      </c>
      <c r="N19" s="281">
        <v>0</v>
      </c>
      <c r="O19" s="281">
        <v>12.65275</v>
      </c>
      <c r="P19" s="271">
        <v>2.06231999999997</v>
      </c>
      <c r="Q19" s="271">
        <v>1.37897999999989</v>
      </c>
      <c r="R19" s="285">
        <v>0</v>
      </c>
      <c r="S19" s="270">
        <v>137856</v>
      </c>
      <c r="T19" s="286">
        <v>35</v>
      </c>
      <c r="U19" s="259"/>
      <c r="V19" s="287"/>
      <c r="W19" s="259"/>
      <c r="X19" s="259"/>
      <c r="Y19" s="259"/>
      <c r="Z19" s="259"/>
      <c r="AA19" s="259">
        <f>Z19*Y18</f>
        <v>0</v>
      </c>
      <c r="AB19" s="259"/>
      <c r="AC19" s="259"/>
      <c r="AD19" s="259"/>
      <c r="AE19" s="259"/>
      <c r="AF19" s="259"/>
    </row>
    <row r="20" s="257" customFormat="1" ht="16" customHeight="1" spans="1:32">
      <c r="A20" s="174">
        <v>16</v>
      </c>
      <c r="B20" s="268">
        <v>19.4</v>
      </c>
      <c r="C20" s="269" t="s">
        <v>104</v>
      </c>
      <c r="D20" s="270">
        <v>138400</v>
      </c>
      <c r="E20" s="271">
        <v>68.08</v>
      </c>
      <c r="F20" s="271">
        <v>50.78</v>
      </c>
      <c r="G20" s="271">
        <v>0</v>
      </c>
      <c r="H20" s="272">
        <v>175</v>
      </c>
      <c r="I20" s="270">
        <v>4012</v>
      </c>
      <c r="J20" s="270">
        <v>4032</v>
      </c>
      <c r="K20" s="270">
        <v>3806</v>
      </c>
      <c r="L20" s="280">
        <v>47102.94</v>
      </c>
      <c r="M20" s="281">
        <v>9.6</v>
      </c>
      <c r="N20" s="281">
        <v>0</v>
      </c>
      <c r="O20" s="281">
        <v>9.44924999999996</v>
      </c>
      <c r="P20" s="271">
        <v>2.01780000000007</v>
      </c>
      <c r="Q20" s="271">
        <v>1.34946000000006</v>
      </c>
      <c r="R20" s="285">
        <v>0</v>
      </c>
      <c r="S20" s="270">
        <v>138400</v>
      </c>
      <c r="T20" s="286">
        <v>35</v>
      </c>
      <c r="U20" s="259"/>
      <c r="V20" s="287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</row>
    <row r="21" s="257" customFormat="1" ht="16" customHeight="1" spans="1:32">
      <c r="A21" s="174">
        <v>17</v>
      </c>
      <c r="B21" s="268">
        <v>22.8</v>
      </c>
      <c r="C21" s="269" t="s">
        <v>104</v>
      </c>
      <c r="D21" s="270">
        <v>145728</v>
      </c>
      <c r="E21" s="271">
        <v>51.32</v>
      </c>
      <c r="F21" s="271">
        <v>47.82</v>
      </c>
      <c r="G21" s="271">
        <v>0</v>
      </c>
      <c r="H21" s="272">
        <v>175</v>
      </c>
      <c r="I21" s="270">
        <v>4228</v>
      </c>
      <c r="J21" s="270">
        <v>4042</v>
      </c>
      <c r="K21" s="270">
        <v>4114</v>
      </c>
      <c r="L21" s="280">
        <v>46802.92</v>
      </c>
      <c r="M21" s="281">
        <v>11.6399999999987</v>
      </c>
      <c r="N21" s="281">
        <v>0</v>
      </c>
      <c r="O21" s="281">
        <v>11.3412500000002</v>
      </c>
      <c r="P21" s="271">
        <v>2.21724000000001</v>
      </c>
      <c r="Q21" s="271">
        <v>1.48236000000006</v>
      </c>
      <c r="R21" s="285">
        <v>0</v>
      </c>
      <c r="S21" s="270">
        <v>145728</v>
      </c>
      <c r="T21" s="286">
        <v>35</v>
      </c>
      <c r="U21" s="259"/>
      <c r="V21" s="287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</row>
    <row r="22" s="257" customFormat="1" ht="16" customHeight="1" spans="1:32">
      <c r="A22" s="174">
        <v>18</v>
      </c>
      <c r="B22" s="268">
        <v>21.2</v>
      </c>
      <c r="C22" s="269" t="s">
        <v>104</v>
      </c>
      <c r="D22" s="270">
        <v>152224</v>
      </c>
      <c r="E22" s="271">
        <v>50.4</v>
      </c>
      <c r="F22" s="271">
        <v>48.2</v>
      </c>
      <c r="G22" s="271">
        <v>0</v>
      </c>
      <c r="H22" s="272">
        <v>150</v>
      </c>
      <c r="I22" s="270">
        <v>3918</v>
      </c>
      <c r="J22" s="270">
        <v>3788</v>
      </c>
      <c r="K22" s="270">
        <v>3806</v>
      </c>
      <c r="L22" s="280">
        <v>49103.05</v>
      </c>
      <c r="M22" s="281">
        <v>9.96000000000131</v>
      </c>
      <c r="N22" s="281">
        <v>0</v>
      </c>
      <c r="O22" s="281">
        <v>9.2449999999999</v>
      </c>
      <c r="P22" s="271">
        <v>2.2569</v>
      </c>
      <c r="Q22" s="271">
        <v>1.50887999999989</v>
      </c>
      <c r="R22" s="285">
        <v>0</v>
      </c>
      <c r="S22" s="270">
        <v>152224</v>
      </c>
      <c r="T22" s="286">
        <v>35</v>
      </c>
      <c r="U22" s="259"/>
      <c r="V22" s="287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</row>
    <row r="23" s="257" customFormat="1" ht="16" customHeight="1" spans="1:32">
      <c r="A23" s="174">
        <v>19</v>
      </c>
      <c r="B23" s="268">
        <v>20.8</v>
      </c>
      <c r="C23" s="269" t="s">
        <v>104</v>
      </c>
      <c r="D23" s="270">
        <v>154080</v>
      </c>
      <c r="E23" s="271">
        <v>67.78</v>
      </c>
      <c r="F23" s="271">
        <v>65.94</v>
      </c>
      <c r="G23" s="271">
        <v>0</v>
      </c>
      <c r="H23" s="272">
        <v>200</v>
      </c>
      <c r="I23" s="270">
        <v>3934</v>
      </c>
      <c r="J23" s="270">
        <v>4196</v>
      </c>
      <c r="K23" s="270">
        <v>3882</v>
      </c>
      <c r="L23" s="280">
        <v>46202.88</v>
      </c>
      <c r="M23" s="281">
        <v>9.47999999999956</v>
      </c>
      <c r="N23" s="281">
        <v>0</v>
      </c>
      <c r="O23" s="281">
        <v>14.6629999999999</v>
      </c>
      <c r="P23" s="271">
        <v>2.25245999999999</v>
      </c>
      <c r="Q23" s="271">
        <v>1.50576000000006</v>
      </c>
      <c r="R23" s="285">
        <v>0</v>
      </c>
      <c r="S23" s="270">
        <v>154080</v>
      </c>
      <c r="T23" s="286">
        <v>35</v>
      </c>
      <c r="U23" s="259"/>
      <c r="V23" s="287"/>
      <c r="W23" s="259"/>
      <c r="X23" s="259" t="s">
        <v>105</v>
      </c>
      <c r="Y23" s="293"/>
      <c r="Z23" s="259">
        <f>Y23*Y8</f>
        <v>0</v>
      </c>
      <c r="AA23" s="259"/>
      <c r="AB23" s="259">
        <f>AA9+AA12+AA13</f>
        <v>287708.240000001</v>
      </c>
      <c r="AC23" s="259"/>
      <c r="AD23" s="259"/>
      <c r="AE23" s="259"/>
      <c r="AF23" s="259"/>
    </row>
    <row r="24" s="257" customFormat="1" ht="16" customHeight="1" spans="1:32">
      <c r="A24" s="174">
        <v>20</v>
      </c>
      <c r="B24" s="268">
        <v>21.8</v>
      </c>
      <c r="C24" s="269" t="s">
        <v>91</v>
      </c>
      <c r="D24" s="270">
        <v>145056</v>
      </c>
      <c r="E24" s="271">
        <v>70.1</v>
      </c>
      <c r="F24" s="271">
        <v>67.18</v>
      </c>
      <c r="G24" s="271">
        <v>0</v>
      </c>
      <c r="H24" s="272">
        <v>150</v>
      </c>
      <c r="I24" s="270">
        <v>4056</v>
      </c>
      <c r="J24" s="270">
        <v>3836</v>
      </c>
      <c r="K24" s="270">
        <v>4012</v>
      </c>
      <c r="L24" s="280">
        <v>48303.01</v>
      </c>
      <c r="M24" s="281">
        <v>10.0799999999996</v>
      </c>
      <c r="N24" s="281">
        <v>0</v>
      </c>
      <c r="O24" s="281">
        <v>10.6102499999999</v>
      </c>
      <c r="P24" s="271">
        <v>2.13702000000004</v>
      </c>
      <c r="Q24" s="271">
        <v>1.4289</v>
      </c>
      <c r="R24" s="285">
        <v>0</v>
      </c>
      <c r="S24" s="270">
        <v>145056</v>
      </c>
      <c r="T24" s="286">
        <v>35</v>
      </c>
      <c r="U24" s="259"/>
      <c r="V24" s="287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</row>
    <row r="25" s="257" customFormat="1" ht="16" customHeight="1" spans="1:32">
      <c r="A25" s="174">
        <v>21</v>
      </c>
      <c r="B25" s="268">
        <v>23.8</v>
      </c>
      <c r="C25" s="269" t="s">
        <v>91</v>
      </c>
      <c r="D25" s="270">
        <v>144576</v>
      </c>
      <c r="E25" s="271">
        <v>0</v>
      </c>
      <c r="F25" s="271">
        <v>101.56</v>
      </c>
      <c r="G25" s="271">
        <v>0</v>
      </c>
      <c r="H25" s="272">
        <v>175</v>
      </c>
      <c r="I25" s="270">
        <v>4180</v>
      </c>
      <c r="J25" s="270">
        <v>2724</v>
      </c>
      <c r="K25" s="270">
        <v>2892</v>
      </c>
      <c r="L25" s="280">
        <v>48703.04</v>
      </c>
      <c r="M25" s="281">
        <v>8.87999999999956</v>
      </c>
      <c r="N25" s="281">
        <v>0</v>
      </c>
      <c r="O25" s="281">
        <v>10.7285</v>
      </c>
      <c r="P25" s="271">
        <v>2.18045999999999</v>
      </c>
      <c r="Q25" s="271">
        <v>1.45776000000006</v>
      </c>
      <c r="R25" s="285">
        <v>0</v>
      </c>
      <c r="S25" s="270">
        <v>144576</v>
      </c>
      <c r="T25" s="286">
        <v>35</v>
      </c>
      <c r="U25" s="259"/>
      <c r="V25" s="287"/>
      <c r="W25" s="259"/>
      <c r="X25" s="259"/>
      <c r="Y25" s="259"/>
      <c r="Z25" s="259">
        <f>Y25*0.658</f>
        <v>0</v>
      </c>
      <c r="AA25" s="259"/>
      <c r="AB25" s="259"/>
      <c r="AC25" s="259"/>
      <c r="AD25" s="259"/>
      <c r="AE25" s="259"/>
      <c r="AF25" s="259"/>
    </row>
    <row r="26" s="257" customFormat="1" ht="16" customHeight="1" spans="1:32">
      <c r="A26" s="174">
        <v>22</v>
      </c>
      <c r="B26" s="268">
        <v>22.8</v>
      </c>
      <c r="C26" s="269" t="s">
        <v>104</v>
      </c>
      <c r="D26" s="270">
        <v>156544</v>
      </c>
      <c r="E26" s="271">
        <v>50.74</v>
      </c>
      <c r="F26" s="271">
        <v>47.94</v>
      </c>
      <c r="G26" s="271">
        <v>0</v>
      </c>
      <c r="H26" s="272">
        <v>175</v>
      </c>
      <c r="I26" s="270">
        <v>4140</v>
      </c>
      <c r="J26" s="270">
        <v>3822</v>
      </c>
      <c r="K26" s="270">
        <v>4006</v>
      </c>
      <c r="L26" s="280">
        <v>47502.95</v>
      </c>
      <c r="M26" s="281">
        <v>7.32000000000044</v>
      </c>
      <c r="N26" s="281">
        <v>0</v>
      </c>
      <c r="O26" s="281">
        <v>9.16975000000022</v>
      </c>
      <c r="P26" s="271">
        <v>2.31498000000003</v>
      </c>
      <c r="Q26" s="271">
        <v>1.54811999999997</v>
      </c>
      <c r="R26" s="285">
        <v>0</v>
      </c>
      <c r="S26" s="270">
        <v>156544</v>
      </c>
      <c r="T26" s="286">
        <v>35</v>
      </c>
      <c r="U26" s="259"/>
      <c r="V26" s="287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</row>
    <row r="27" s="257" customFormat="1" ht="16" customHeight="1" spans="1:32">
      <c r="A27" s="174">
        <v>23</v>
      </c>
      <c r="B27" s="268">
        <v>21.8</v>
      </c>
      <c r="C27" s="269" t="s">
        <v>91</v>
      </c>
      <c r="D27" s="270">
        <v>156448</v>
      </c>
      <c r="E27" s="271">
        <v>68.1</v>
      </c>
      <c r="F27" s="271">
        <v>65.74</v>
      </c>
      <c r="G27" s="271">
        <v>0</v>
      </c>
      <c r="H27" s="272">
        <v>175</v>
      </c>
      <c r="I27" s="270">
        <v>3762</v>
      </c>
      <c r="J27" s="270">
        <v>4364</v>
      </c>
      <c r="K27" s="270">
        <v>3998</v>
      </c>
      <c r="L27" s="280">
        <v>47602.97</v>
      </c>
      <c r="M27" s="281">
        <v>7.67999999999956</v>
      </c>
      <c r="N27" s="281">
        <v>0</v>
      </c>
      <c r="O27" s="281">
        <v>9.32025000000008</v>
      </c>
      <c r="P27" s="271">
        <v>2.31845999999992</v>
      </c>
      <c r="Q27" s="271">
        <v>1.55045999999992</v>
      </c>
      <c r="R27" s="285">
        <v>0</v>
      </c>
      <c r="S27" s="270">
        <v>156448</v>
      </c>
      <c r="T27" s="286">
        <v>35</v>
      </c>
      <c r="U27" s="259"/>
      <c r="V27" s="287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</row>
    <row r="28" s="257" customFormat="1" ht="16" customHeight="1" spans="1:32">
      <c r="A28" s="174">
        <v>24</v>
      </c>
      <c r="B28" s="268">
        <v>22.6</v>
      </c>
      <c r="C28" s="269" t="s">
        <v>91</v>
      </c>
      <c r="D28" s="270">
        <v>153952</v>
      </c>
      <c r="E28" s="271">
        <v>69.22</v>
      </c>
      <c r="F28" s="271">
        <v>64.8</v>
      </c>
      <c r="G28" s="271">
        <v>0</v>
      </c>
      <c r="H28" s="272">
        <v>175</v>
      </c>
      <c r="I28" s="270">
        <v>4112</v>
      </c>
      <c r="J28" s="270">
        <v>3664</v>
      </c>
      <c r="K28" s="270">
        <v>3808</v>
      </c>
      <c r="L28" s="280">
        <v>48503.03</v>
      </c>
      <c r="M28" s="281">
        <v>7.32000000000044</v>
      </c>
      <c r="N28" s="281">
        <v>0</v>
      </c>
      <c r="O28" s="281">
        <v>12.5237500000001</v>
      </c>
      <c r="P28" s="271">
        <v>2.25971999999997</v>
      </c>
      <c r="Q28" s="271">
        <v>1.51062000000011</v>
      </c>
      <c r="R28" s="285">
        <v>0</v>
      </c>
      <c r="S28" s="270">
        <v>153952</v>
      </c>
      <c r="T28" s="286">
        <v>35</v>
      </c>
      <c r="U28" s="259"/>
      <c r="V28" s="287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</row>
    <row r="29" s="257" customFormat="1" ht="16" customHeight="1" spans="1:32">
      <c r="A29" s="174">
        <v>25</v>
      </c>
      <c r="B29" s="268">
        <v>22.1</v>
      </c>
      <c r="C29" s="269" t="s">
        <v>91</v>
      </c>
      <c r="D29" s="270">
        <v>157632</v>
      </c>
      <c r="E29" s="271">
        <v>85.52</v>
      </c>
      <c r="F29" s="271">
        <v>33.62</v>
      </c>
      <c r="G29" s="271">
        <v>0</v>
      </c>
      <c r="H29" s="272">
        <v>175</v>
      </c>
      <c r="I29" s="208">
        <v>3874</v>
      </c>
      <c r="J29" s="208">
        <v>3896</v>
      </c>
      <c r="K29" s="208">
        <v>3772</v>
      </c>
      <c r="L29" s="280">
        <v>48803.04</v>
      </c>
      <c r="M29" s="281">
        <v>1.67999999999956</v>
      </c>
      <c r="N29" s="281">
        <v>0</v>
      </c>
      <c r="O29" s="281">
        <v>6.92299999999957</v>
      </c>
      <c r="P29" s="271">
        <v>2.39832000000004</v>
      </c>
      <c r="Q29" s="271">
        <v>1.63517999999989</v>
      </c>
      <c r="R29" s="285">
        <v>0</v>
      </c>
      <c r="S29" s="270">
        <v>157632</v>
      </c>
      <c r="T29" s="286">
        <v>35</v>
      </c>
      <c r="U29" s="259"/>
      <c r="V29" s="287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</row>
    <row r="30" s="257" customFormat="1" ht="16" customHeight="1" spans="1:32">
      <c r="A30" s="174">
        <v>26</v>
      </c>
      <c r="B30" s="268">
        <v>22.1</v>
      </c>
      <c r="C30" s="269" t="s">
        <v>91</v>
      </c>
      <c r="D30" s="270">
        <v>156224</v>
      </c>
      <c r="E30" s="271">
        <v>0</v>
      </c>
      <c r="F30" s="271">
        <v>104.78</v>
      </c>
      <c r="G30" s="271">
        <v>0</v>
      </c>
      <c r="H30" s="272">
        <v>175</v>
      </c>
      <c r="I30" s="270">
        <v>3890</v>
      </c>
      <c r="J30" s="270">
        <v>4124</v>
      </c>
      <c r="K30" s="270">
        <v>3912</v>
      </c>
      <c r="L30" s="280">
        <v>48102.99</v>
      </c>
      <c r="M30" s="281">
        <v>5.76000000000131</v>
      </c>
      <c r="N30" s="281">
        <v>0</v>
      </c>
      <c r="O30" s="281">
        <v>15.7380000000004</v>
      </c>
      <c r="P30" s="271">
        <v>2.27778000000003</v>
      </c>
      <c r="Q30" s="271">
        <v>1.5711</v>
      </c>
      <c r="R30" s="285">
        <v>0</v>
      </c>
      <c r="S30" s="270">
        <v>156224</v>
      </c>
      <c r="T30" s="286">
        <v>35</v>
      </c>
      <c r="U30" s="259"/>
      <c r="V30" s="287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</row>
    <row r="31" s="257" customFormat="1" ht="16" customHeight="1" spans="1:32">
      <c r="A31" s="174">
        <v>27</v>
      </c>
      <c r="B31" s="268">
        <v>22.4</v>
      </c>
      <c r="C31" s="269" t="s">
        <v>91</v>
      </c>
      <c r="D31" s="270">
        <v>155872</v>
      </c>
      <c r="E31" s="271">
        <v>87.08</v>
      </c>
      <c r="F31" s="271">
        <v>51.4</v>
      </c>
      <c r="G31" s="271">
        <v>0</v>
      </c>
      <c r="H31" s="272">
        <v>150</v>
      </c>
      <c r="I31" s="270">
        <v>4184</v>
      </c>
      <c r="J31" s="270">
        <v>3928</v>
      </c>
      <c r="K31" s="270">
        <v>4002</v>
      </c>
      <c r="L31" s="280">
        <v>49003.06</v>
      </c>
      <c r="M31" s="281">
        <v>5.15999999999913</v>
      </c>
      <c r="N31" s="281">
        <v>0</v>
      </c>
      <c r="O31" s="281">
        <v>5.64375</v>
      </c>
      <c r="P31" s="271">
        <v>2.32985999999992</v>
      </c>
      <c r="Q31" s="271">
        <v>1.6146</v>
      </c>
      <c r="R31" s="285">
        <v>0</v>
      </c>
      <c r="S31" s="270">
        <v>155872</v>
      </c>
      <c r="T31" s="286">
        <v>35</v>
      </c>
      <c r="U31" s="259"/>
      <c r="V31" s="287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</row>
    <row r="32" s="257" customFormat="1" ht="16" customHeight="1" spans="1:32">
      <c r="A32" s="174">
        <v>28</v>
      </c>
      <c r="B32" s="268">
        <v>21.4</v>
      </c>
      <c r="C32" s="269" t="s">
        <v>104</v>
      </c>
      <c r="D32" s="270">
        <v>156416</v>
      </c>
      <c r="E32" s="271">
        <v>0</v>
      </c>
      <c r="F32" s="271">
        <v>104.64</v>
      </c>
      <c r="G32" s="271">
        <v>0</v>
      </c>
      <c r="H32" s="272">
        <v>175</v>
      </c>
      <c r="I32" s="270">
        <v>3842</v>
      </c>
      <c r="J32" s="270">
        <v>3966</v>
      </c>
      <c r="K32" s="270">
        <v>3714</v>
      </c>
      <c r="L32" s="280">
        <v>48603.03</v>
      </c>
      <c r="M32" s="281">
        <v>7.44000000000087</v>
      </c>
      <c r="N32" s="281">
        <v>0</v>
      </c>
      <c r="O32" s="281">
        <v>17.2537499999997</v>
      </c>
      <c r="P32" s="271">
        <v>2.31078000000003</v>
      </c>
      <c r="Q32" s="271">
        <v>1.59072000000011</v>
      </c>
      <c r="R32" s="285">
        <v>0</v>
      </c>
      <c r="S32" s="270">
        <v>156416</v>
      </c>
      <c r="T32" s="286">
        <v>35</v>
      </c>
      <c r="U32" s="259"/>
      <c r="V32" s="287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</row>
    <row r="33" s="257" customFormat="1" ht="16" customHeight="1" spans="1:32">
      <c r="A33" s="174">
        <v>29</v>
      </c>
      <c r="B33" s="268">
        <v>21.4</v>
      </c>
      <c r="C33" s="269" t="s">
        <v>104</v>
      </c>
      <c r="D33" s="270">
        <v>154912</v>
      </c>
      <c r="E33" s="271">
        <v>0</v>
      </c>
      <c r="F33" s="271">
        <v>102.54</v>
      </c>
      <c r="G33" s="271">
        <v>0</v>
      </c>
      <c r="H33" s="272">
        <v>150</v>
      </c>
      <c r="I33" s="270">
        <v>4016</v>
      </c>
      <c r="J33" s="270">
        <v>4410</v>
      </c>
      <c r="K33" s="270">
        <v>4238</v>
      </c>
      <c r="L33" s="280">
        <v>46402.88</v>
      </c>
      <c r="M33" s="281">
        <v>17.8799999999996</v>
      </c>
      <c r="N33" s="281">
        <v>0</v>
      </c>
      <c r="O33" s="281">
        <v>4.95575000000014</v>
      </c>
      <c r="P33" s="271">
        <v>2.39808000000003</v>
      </c>
      <c r="Q33" s="271">
        <v>1.67591999999997</v>
      </c>
      <c r="R33" s="285">
        <v>0</v>
      </c>
      <c r="S33" s="270">
        <v>154912</v>
      </c>
      <c r="T33" s="286">
        <v>35</v>
      </c>
      <c r="U33" s="259"/>
      <c r="V33" s="287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</row>
    <row r="34" s="257" customFormat="1" ht="16" customHeight="1" spans="1:32">
      <c r="A34" s="174">
        <v>30</v>
      </c>
      <c r="B34" s="268">
        <v>18.2</v>
      </c>
      <c r="C34" s="269" t="s">
        <v>101</v>
      </c>
      <c r="D34" s="270">
        <v>156800</v>
      </c>
      <c r="E34" s="271">
        <v>0</v>
      </c>
      <c r="F34" s="271">
        <v>102.38</v>
      </c>
      <c r="G34" s="271">
        <v>0</v>
      </c>
      <c r="H34" s="272">
        <v>150</v>
      </c>
      <c r="I34" s="270">
        <v>3884</v>
      </c>
      <c r="J34" s="270">
        <v>3962</v>
      </c>
      <c r="K34" s="270">
        <v>3670</v>
      </c>
      <c r="L34" s="280">
        <v>45402.84</v>
      </c>
      <c r="M34" s="281">
        <v>15.8400000000009</v>
      </c>
      <c r="N34" s="281">
        <v>0</v>
      </c>
      <c r="O34" s="281">
        <v>17.8234999999999</v>
      </c>
      <c r="P34" s="271">
        <v>2.23145999999999</v>
      </c>
      <c r="Q34" s="271">
        <v>1.54188000000003</v>
      </c>
      <c r="R34" s="285">
        <v>0</v>
      </c>
      <c r="S34" s="270">
        <v>156800</v>
      </c>
      <c r="T34" s="286">
        <v>35</v>
      </c>
      <c r="U34" s="259"/>
      <c r="V34" s="287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</row>
    <row r="35" s="257" customFormat="1" ht="19" customHeight="1" spans="1:32">
      <c r="A35" s="273" t="s">
        <v>106</v>
      </c>
      <c r="B35" s="274">
        <f t="shared" ref="B35:M35" si="1">AVERAGE(B5:B34)</f>
        <v>22.5933333333333</v>
      </c>
      <c r="C35" s="264" t="s">
        <v>53</v>
      </c>
      <c r="D35" s="270">
        <f t="shared" si="1"/>
        <v>145516.8</v>
      </c>
      <c r="E35" s="271">
        <f t="shared" si="1"/>
        <v>58.8446666666667</v>
      </c>
      <c r="F35" s="271">
        <f t="shared" si="1"/>
        <v>55.078</v>
      </c>
      <c r="G35" s="271">
        <f t="shared" si="1"/>
        <v>0</v>
      </c>
      <c r="H35" s="275">
        <f t="shared" si="1"/>
        <v>156.666666666667</v>
      </c>
      <c r="I35" s="270">
        <f t="shared" si="1"/>
        <v>4032.93333333333</v>
      </c>
      <c r="J35" s="270">
        <f t="shared" si="1"/>
        <v>3944.4</v>
      </c>
      <c r="K35" s="270">
        <f t="shared" si="1"/>
        <v>3883.93333333333</v>
      </c>
      <c r="L35" s="280">
        <f t="shared" si="1"/>
        <v>47486.292</v>
      </c>
      <c r="M35" s="281">
        <f t="shared" si="1"/>
        <v>8.90800000000003</v>
      </c>
      <c r="N35" s="281">
        <v>0</v>
      </c>
      <c r="O35" s="281">
        <f>AVERAGE(O5:O34)</f>
        <v>9.43706666666667</v>
      </c>
      <c r="P35" s="271">
        <f>AVERAGE(P5:P34)</f>
        <v>1.966456</v>
      </c>
      <c r="Q35" s="271">
        <f>AVERAGE(Q5:Q34)</f>
        <v>1.36596</v>
      </c>
      <c r="R35" s="285">
        <f>AVERAGE(R5:R34)</f>
        <v>0</v>
      </c>
      <c r="S35" s="285">
        <f>D35-R35</f>
        <v>145516.8</v>
      </c>
      <c r="T35" s="271">
        <f>AVERAGE(T5:T34)</f>
        <v>35</v>
      </c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</row>
    <row r="36" s="257" customFormat="1" ht="18" customHeight="1" spans="1:32">
      <c r="A36" s="273" t="s">
        <v>94</v>
      </c>
      <c r="B36" s="273" t="s">
        <v>53</v>
      </c>
      <c r="C36" s="273" t="s">
        <v>53</v>
      </c>
      <c r="D36" s="270">
        <f>SUM(D5:D34)</f>
        <v>4365504</v>
      </c>
      <c r="E36" s="271">
        <f>SUM(E5:E34)</f>
        <v>1765.34</v>
      </c>
      <c r="F36" s="271">
        <f>SUM(F5:F34)</f>
        <v>1652.34</v>
      </c>
      <c r="G36" s="271">
        <f>SUM(G5:G34)</f>
        <v>0</v>
      </c>
      <c r="H36" s="272">
        <f>SUM(H5:H34)</f>
        <v>4700</v>
      </c>
      <c r="I36" s="273" t="s">
        <v>53</v>
      </c>
      <c r="J36" s="273" t="s">
        <v>53</v>
      </c>
      <c r="K36" s="273" t="s">
        <v>53</v>
      </c>
      <c r="L36" s="280">
        <f>SUM(L5:L34)</f>
        <v>1424588.76</v>
      </c>
      <c r="M36" s="281">
        <f>SUM(M5:M34)</f>
        <v>267.240000000001</v>
      </c>
      <c r="N36" s="281">
        <v>0</v>
      </c>
      <c r="O36" s="281">
        <f t="shared" ref="O36:T36" si="2">SUM(O5:O34)</f>
        <v>283.112</v>
      </c>
      <c r="P36" s="271">
        <f t="shared" si="2"/>
        <v>58.9936800000001</v>
      </c>
      <c r="Q36" s="271">
        <f t="shared" si="2"/>
        <v>40.9788</v>
      </c>
      <c r="R36" s="285">
        <f t="shared" si="2"/>
        <v>0</v>
      </c>
      <c r="S36" s="285">
        <f t="shared" si="2"/>
        <v>4365504</v>
      </c>
      <c r="T36" s="288">
        <f t="shared" si="2"/>
        <v>1050</v>
      </c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</row>
    <row r="37" s="257" customFormat="1" ht="18.6" customHeight="1" spans="1:32">
      <c r="A37" s="276" t="s">
        <v>107</v>
      </c>
      <c r="B37" s="276"/>
      <c r="C37" s="276"/>
      <c r="D37" s="276"/>
      <c r="E37" s="276"/>
      <c r="F37" s="276"/>
      <c r="G37" s="260"/>
      <c r="H37" s="260"/>
      <c r="I37" s="259" t="s">
        <v>108</v>
      </c>
      <c r="J37" s="259"/>
      <c r="K37" s="259"/>
      <c r="L37" s="259"/>
      <c r="M37" s="259"/>
      <c r="N37" s="259"/>
      <c r="O37" s="259"/>
      <c r="P37" s="259"/>
      <c r="Q37" s="289" t="s">
        <v>109</v>
      </c>
      <c r="R37" s="289"/>
      <c r="S37" s="289"/>
      <c r="T37" s="28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</row>
    <row r="38" s="258" customFormat="1" ht="18.6" customHeight="1" spans="1:32">
      <c r="A38" s="259"/>
      <c r="B38" s="259"/>
      <c r="C38" s="259"/>
      <c r="D38" s="259"/>
      <c r="E38" s="259"/>
      <c r="F38" s="259"/>
      <c r="G38" s="260"/>
      <c r="H38" s="260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61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</row>
    <row r="40" spans="2:11">
      <c r="B40" s="259" t="s">
        <v>110</v>
      </c>
      <c r="D40" s="259">
        <f>MAX(D5:D34)</f>
        <v>157632</v>
      </c>
      <c r="E40" s="259" t="s">
        <v>111</v>
      </c>
      <c r="G40" s="260">
        <f>E36+F36+G36</f>
        <v>3417.68</v>
      </c>
      <c r="K40" s="259" t="s">
        <v>112</v>
      </c>
    </row>
    <row r="41" spans="2:17">
      <c r="B41" s="259" t="s">
        <v>113</v>
      </c>
      <c r="D41" s="259">
        <f>MIN(D5:D34)</f>
        <v>128128</v>
      </c>
      <c r="E41" s="259" t="s">
        <v>114</v>
      </c>
      <c r="G41" s="260">
        <f>G40*(100-进出水!AB37)/100</f>
        <v>729.902525333333</v>
      </c>
      <c r="K41" s="259" t="s">
        <v>115</v>
      </c>
      <c r="P41" s="259">
        <f>P36+Q36</f>
        <v>99.9724800000001</v>
      </c>
      <c r="Q41" s="259">
        <f>P36+Q36</f>
        <v>99.9724800000001</v>
      </c>
    </row>
    <row r="42" spans="12:17">
      <c r="L42" s="283">
        <f>L36-L40-L41</f>
        <v>1424588.76</v>
      </c>
      <c r="P42" s="259">
        <f>P41*1000</f>
        <v>99972.4800000001</v>
      </c>
      <c r="Q42" s="259">
        <f>Q41*1000</f>
        <v>99972.4800000001</v>
      </c>
    </row>
    <row r="45" spans="13:15">
      <c r="M45" s="259">
        <f>M36*1000</f>
        <v>267240.000000001</v>
      </c>
      <c r="O45" s="259">
        <f>O36*1000</f>
        <v>283112</v>
      </c>
    </row>
    <row r="48" spans="7:7">
      <c r="G48" s="260">
        <v>67.5</v>
      </c>
    </row>
    <row r="49" spans="7:7">
      <c r="G49" s="260">
        <v>16.9</v>
      </c>
    </row>
    <row r="50" spans="7:7">
      <c r="G50" s="260">
        <v>18.12</v>
      </c>
    </row>
    <row r="72" spans="7:7">
      <c r="G72" s="260">
        <v>48.18</v>
      </c>
    </row>
  </sheetData>
  <mergeCells count="13">
    <mergeCell ref="A1:T1"/>
    <mergeCell ref="A2:T2"/>
    <mergeCell ref="E3:G3"/>
    <mergeCell ref="I3:K3"/>
    <mergeCell ref="P3:Q3"/>
    <mergeCell ref="A37:D37"/>
    <mergeCell ref="Q37:T37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3"/>
  <sheetViews>
    <sheetView zoomScale="85" zoomScaleNormal="85" topLeftCell="L1" workbookViewId="0">
      <selection activeCell="V37" sqref="V37:AC37"/>
    </sheetView>
  </sheetViews>
  <sheetFormatPr defaultColWidth="8.75" defaultRowHeight="14.25"/>
  <cols>
    <col min="1" max="1" width="4.375" style="181" customWidth="1"/>
    <col min="2" max="27" width="6.625" style="181" customWidth="1"/>
    <col min="28" max="28" width="7" style="181" customWidth="1"/>
    <col min="29" max="29" width="5.88333333333333" style="183" customWidth="1"/>
    <col min="30" max="30" width="2.75" style="181"/>
    <col min="31" max="31" width="10.125" style="181" customWidth="1"/>
    <col min="32" max="39" width="2.75" style="181"/>
    <col min="40" max="40" width="10" style="181"/>
    <col min="41" max="46" width="2.75" style="181"/>
    <col min="47" max="47" width="9.75" style="181" customWidth="1"/>
    <col min="48" max="48" width="12.75" style="181" customWidth="1"/>
    <col min="49" max="49" width="2.75" style="181"/>
    <col min="50" max="50" width="12.5" style="181" customWidth="1"/>
    <col min="51" max="51" width="8.75" style="181" customWidth="1"/>
    <col min="52" max="52" width="6.75" style="181" customWidth="1"/>
    <col min="53" max="66" width="9" style="181"/>
    <col min="67" max="16384" width="8.75" style="181"/>
  </cols>
  <sheetData>
    <row r="1" s="181" customFormat="1" ht="19" customHeight="1" spans="1:52">
      <c r="A1" s="184" t="s">
        <v>116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232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</row>
    <row r="2" s="181" customFormat="1" ht="6" hidden="1" customHeight="1" spans="1:52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232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</row>
    <row r="3" s="181" customFormat="1" ht="24" customHeight="1" spans="1:52">
      <c r="A3" s="185">
        <v>44866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234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</row>
    <row r="4" s="182" customFormat="1" customHeight="1" spans="1:29">
      <c r="A4" s="186" t="s">
        <v>117</v>
      </c>
      <c r="B4" s="187" t="s">
        <v>118</v>
      </c>
      <c r="C4" s="188"/>
      <c r="D4" s="188"/>
      <c r="E4" s="188"/>
      <c r="F4" s="188"/>
      <c r="G4" s="189"/>
      <c r="H4" s="190" t="s">
        <v>119</v>
      </c>
      <c r="I4" s="190"/>
      <c r="J4" s="190"/>
      <c r="K4" s="190"/>
      <c r="L4" s="190"/>
      <c r="M4" s="190"/>
      <c r="N4" s="190" t="s">
        <v>120</v>
      </c>
      <c r="O4" s="190"/>
      <c r="P4" s="190"/>
      <c r="Q4" s="190"/>
      <c r="R4" s="190"/>
      <c r="S4" s="190"/>
      <c r="T4" s="220" t="s">
        <v>121</v>
      </c>
      <c r="U4" s="220"/>
      <c r="V4" s="221" t="s">
        <v>122</v>
      </c>
      <c r="W4" s="188"/>
      <c r="X4" s="188"/>
      <c r="Y4" s="188"/>
      <c r="Z4" s="188"/>
      <c r="AA4" s="189"/>
      <c r="AB4" s="186" t="s">
        <v>123</v>
      </c>
      <c r="AC4" s="236" t="s">
        <v>124</v>
      </c>
    </row>
    <row r="5" s="182" customFormat="1" ht="16.5" customHeight="1" spans="1:29">
      <c r="A5" s="191"/>
      <c r="B5" s="192" t="s">
        <v>125</v>
      </c>
      <c r="C5" s="192" t="s">
        <v>126</v>
      </c>
      <c r="D5" s="192" t="s">
        <v>43</v>
      </c>
      <c r="E5" s="192" t="s">
        <v>45</v>
      </c>
      <c r="F5" s="192" t="s">
        <v>127</v>
      </c>
      <c r="G5" s="193" t="s">
        <v>48</v>
      </c>
      <c r="H5" s="192" t="s">
        <v>125</v>
      </c>
      <c r="I5" s="192" t="s">
        <v>126</v>
      </c>
      <c r="J5" s="192" t="s">
        <v>43</v>
      </c>
      <c r="K5" s="192" t="s">
        <v>45</v>
      </c>
      <c r="L5" s="192" t="s">
        <v>127</v>
      </c>
      <c r="M5" s="193" t="s">
        <v>48</v>
      </c>
      <c r="N5" s="192" t="s">
        <v>125</v>
      </c>
      <c r="O5" s="192" t="s">
        <v>126</v>
      </c>
      <c r="P5" s="192" t="s">
        <v>43</v>
      </c>
      <c r="Q5" s="192" t="s">
        <v>45</v>
      </c>
      <c r="R5" s="192" t="s">
        <v>127</v>
      </c>
      <c r="S5" s="193" t="s">
        <v>48</v>
      </c>
      <c r="T5" s="222" t="s">
        <v>128</v>
      </c>
      <c r="U5" s="222" t="s">
        <v>45</v>
      </c>
      <c r="V5" s="192" t="s">
        <v>125</v>
      </c>
      <c r="W5" s="192" t="s">
        <v>126</v>
      </c>
      <c r="X5" s="192" t="s">
        <v>43</v>
      </c>
      <c r="Y5" s="192" t="s">
        <v>45</v>
      </c>
      <c r="Z5" s="192" t="s">
        <v>127</v>
      </c>
      <c r="AA5" s="193" t="s">
        <v>48</v>
      </c>
      <c r="AB5" s="191"/>
      <c r="AC5" s="237"/>
    </row>
    <row r="6" s="182" customFormat="1" ht="16.5" customHeight="1" spans="1:29">
      <c r="A6" s="194"/>
      <c r="B6" s="195" t="s">
        <v>129</v>
      </c>
      <c r="C6" s="195" t="s">
        <v>129</v>
      </c>
      <c r="D6" s="195" t="s">
        <v>129</v>
      </c>
      <c r="E6" s="195" t="s">
        <v>129</v>
      </c>
      <c r="F6" s="195" t="s">
        <v>129</v>
      </c>
      <c r="G6" s="195" t="s">
        <v>129</v>
      </c>
      <c r="H6" s="195" t="s">
        <v>129</v>
      </c>
      <c r="I6" s="195" t="s">
        <v>129</v>
      </c>
      <c r="J6" s="195" t="s">
        <v>129</v>
      </c>
      <c r="K6" s="195" t="s">
        <v>129</v>
      </c>
      <c r="L6" s="195" t="s">
        <v>129</v>
      </c>
      <c r="M6" s="195" t="s">
        <v>129</v>
      </c>
      <c r="N6" s="195" t="s">
        <v>129</v>
      </c>
      <c r="O6" s="195" t="s">
        <v>129</v>
      </c>
      <c r="P6" s="195" t="s">
        <v>129</v>
      </c>
      <c r="Q6" s="195" t="s">
        <v>129</v>
      </c>
      <c r="R6" s="195" t="s">
        <v>129</v>
      </c>
      <c r="S6" s="195" t="s">
        <v>129</v>
      </c>
      <c r="T6" s="223" t="s">
        <v>130</v>
      </c>
      <c r="U6" s="223" t="s">
        <v>130</v>
      </c>
      <c r="V6" s="195" t="s">
        <v>129</v>
      </c>
      <c r="W6" s="195" t="s">
        <v>129</v>
      </c>
      <c r="X6" s="195" t="s">
        <v>129</v>
      </c>
      <c r="Y6" s="195" t="s">
        <v>129</v>
      </c>
      <c r="Z6" s="195" t="s">
        <v>129</v>
      </c>
      <c r="AA6" s="195" t="s">
        <v>129</v>
      </c>
      <c r="AB6" s="194"/>
      <c r="AC6" s="238"/>
    </row>
    <row r="7" s="182" customFormat="1" ht="18" customHeight="1" spans="1:51">
      <c r="A7" s="196">
        <v>1</v>
      </c>
      <c r="B7" s="197">
        <v>226</v>
      </c>
      <c r="C7" s="198">
        <v>126</v>
      </c>
      <c r="D7" s="199">
        <v>144</v>
      </c>
      <c r="E7" s="200">
        <v>4.34</v>
      </c>
      <c r="F7" s="201">
        <v>35.2</v>
      </c>
      <c r="G7" s="202">
        <v>42.4</v>
      </c>
      <c r="H7" s="203">
        <v>18</v>
      </c>
      <c r="I7" s="217">
        <v>2.38</v>
      </c>
      <c r="J7" s="203">
        <v>6</v>
      </c>
      <c r="K7" s="217">
        <v>0.59</v>
      </c>
      <c r="L7" s="200">
        <v>0.55</v>
      </c>
      <c r="M7" s="201">
        <v>8.78</v>
      </c>
      <c r="N7" s="203">
        <v>17</v>
      </c>
      <c r="O7" s="217">
        <v>2.3</v>
      </c>
      <c r="P7" s="203">
        <v>5</v>
      </c>
      <c r="Q7" s="217">
        <v>0.98</v>
      </c>
      <c r="R7" s="200">
        <v>0.4</v>
      </c>
      <c r="S7" s="200">
        <v>7.96</v>
      </c>
      <c r="T7" s="203">
        <v>18.5</v>
      </c>
      <c r="U7" s="217">
        <v>0.95</v>
      </c>
      <c r="V7" s="203">
        <v>13</v>
      </c>
      <c r="W7" s="217">
        <v>2.17</v>
      </c>
      <c r="X7" s="203">
        <v>5</v>
      </c>
      <c r="Y7" s="217">
        <v>0.27</v>
      </c>
      <c r="Z7" s="200">
        <v>0.25</v>
      </c>
      <c r="AA7" s="200">
        <v>7.58</v>
      </c>
      <c r="AB7" s="206">
        <v>78.4</v>
      </c>
      <c r="AC7" s="239" t="s">
        <v>54</v>
      </c>
      <c r="AD7" s="240"/>
      <c r="AE7" s="240"/>
      <c r="AF7" s="240"/>
      <c r="AG7" s="250"/>
      <c r="AH7" s="250"/>
      <c r="AI7" s="250"/>
      <c r="AJ7" s="250"/>
      <c r="AK7" s="250"/>
      <c r="AL7" s="250"/>
      <c r="AM7" s="250"/>
      <c r="AN7" s="251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</row>
    <row r="8" s="182" customFormat="1" ht="18" customHeight="1" spans="1:51">
      <c r="A8" s="196">
        <v>2</v>
      </c>
      <c r="B8" s="197">
        <v>209</v>
      </c>
      <c r="C8" s="198">
        <v>115</v>
      </c>
      <c r="D8" s="199">
        <v>138</v>
      </c>
      <c r="E8" s="200">
        <v>5.49</v>
      </c>
      <c r="F8" s="201">
        <v>32.8</v>
      </c>
      <c r="G8" s="202">
        <v>39.7</v>
      </c>
      <c r="H8" s="203">
        <v>21</v>
      </c>
      <c r="I8" s="217">
        <v>2.74</v>
      </c>
      <c r="J8" s="203">
        <v>6</v>
      </c>
      <c r="K8" s="217">
        <v>0.64</v>
      </c>
      <c r="L8" s="200">
        <v>0.28</v>
      </c>
      <c r="M8" s="200">
        <v>7.96</v>
      </c>
      <c r="N8" s="203">
        <v>16</v>
      </c>
      <c r="O8" s="217">
        <v>2.36</v>
      </c>
      <c r="P8" s="203">
        <v>5</v>
      </c>
      <c r="Q8" s="217">
        <v>0.99</v>
      </c>
      <c r="R8" s="200">
        <v>0.27</v>
      </c>
      <c r="S8" s="200">
        <v>5.46</v>
      </c>
      <c r="T8" s="203">
        <v>16.4</v>
      </c>
      <c r="U8" s="217">
        <v>0.65</v>
      </c>
      <c r="V8" s="203">
        <v>11</v>
      </c>
      <c r="W8" s="217">
        <v>2.3</v>
      </c>
      <c r="X8" s="203">
        <v>5</v>
      </c>
      <c r="Y8" s="217">
        <v>0.27</v>
      </c>
      <c r="Z8" s="200">
        <v>0.23</v>
      </c>
      <c r="AA8" s="200">
        <v>4.3</v>
      </c>
      <c r="AB8" s="206">
        <v>78</v>
      </c>
      <c r="AC8" s="239" t="s">
        <v>54</v>
      </c>
      <c r="AD8" s="240"/>
      <c r="AE8" s="240"/>
      <c r="AF8" s="24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</row>
    <row r="9" s="182" customFormat="1" ht="18" customHeight="1" spans="1:51">
      <c r="A9" s="196">
        <v>3</v>
      </c>
      <c r="B9" s="197">
        <v>331</v>
      </c>
      <c r="C9" s="198">
        <v>187</v>
      </c>
      <c r="D9" s="199">
        <v>246</v>
      </c>
      <c r="E9" s="200">
        <v>5.96</v>
      </c>
      <c r="F9" s="201">
        <v>29.8</v>
      </c>
      <c r="G9" s="202">
        <v>44.9</v>
      </c>
      <c r="H9" s="203">
        <v>17</v>
      </c>
      <c r="I9" s="217">
        <v>2.65</v>
      </c>
      <c r="J9" s="203">
        <v>6</v>
      </c>
      <c r="K9" s="218">
        <v>0.47</v>
      </c>
      <c r="L9" s="200">
        <v>0.24</v>
      </c>
      <c r="M9" s="200">
        <v>10.5</v>
      </c>
      <c r="N9" s="203">
        <v>13</v>
      </c>
      <c r="O9" s="217">
        <v>2.57</v>
      </c>
      <c r="P9" s="203">
        <v>6</v>
      </c>
      <c r="Q9" s="217">
        <v>0.92</v>
      </c>
      <c r="R9" s="200">
        <v>0.28</v>
      </c>
      <c r="S9" s="200">
        <v>9.96</v>
      </c>
      <c r="T9" s="203">
        <v>15.8</v>
      </c>
      <c r="U9" s="217">
        <v>0.82</v>
      </c>
      <c r="V9" s="203">
        <v>11</v>
      </c>
      <c r="W9" s="217">
        <v>2.41</v>
      </c>
      <c r="X9" s="203">
        <v>5</v>
      </c>
      <c r="Y9" s="241">
        <v>0.16</v>
      </c>
      <c r="Z9" s="200">
        <v>0.1</v>
      </c>
      <c r="AA9" s="200">
        <v>9.78</v>
      </c>
      <c r="AB9" s="206">
        <v>78.6</v>
      </c>
      <c r="AC9" s="239">
        <v>20</v>
      </c>
      <c r="AD9" s="240"/>
      <c r="AE9" s="240"/>
      <c r="AF9" s="24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</row>
    <row r="10" s="182" customFormat="1" ht="18" customHeight="1" spans="1:51">
      <c r="A10" s="196">
        <v>4</v>
      </c>
      <c r="B10" s="197">
        <v>168</v>
      </c>
      <c r="C10" s="198">
        <v>93.2</v>
      </c>
      <c r="D10" s="199">
        <v>102</v>
      </c>
      <c r="E10" s="200">
        <v>2.88</v>
      </c>
      <c r="F10" s="201">
        <v>21.6</v>
      </c>
      <c r="G10" s="202">
        <v>28.4</v>
      </c>
      <c r="H10" s="203">
        <v>20</v>
      </c>
      <c r="I10" s="217">
        <v>2.78</v>
      </c>
      <c r="J10" s="203">
        <v>5</v>
      </c>
      <c r="K10" s="217">
        <v>0.71</v>
      </c>
      <c r="L10" s="200">
        <v>0.15</v>
      </c>
      <c r="M10" s="201">
        <v>7.96</v>
      </c>
      <c r="N10" s="203">
        <v>15</v>
      </c>
      <c r="O10" s="217">
        <v>2.42</v>
      </c>
      <c r="P10" s="203">
        <v>5</v>
      </c>
      <c r="Q10" s="217">
        <v>0.97</v>
      </c>
      <c r="R10" s="200">
        <v>0.17</v>
      </c>
      <c r="S10" s="200">
        <v>7.4</v>
      </c>
      <c r="T10" s="203">
        <v>15.7</v>
      </c>
      <c r="U10" s="217">
        <v>0.91</v>
      </c>
      <c r="V10" s="203">
        <v>12</v>
      </c>
      <c r="W10" s="217">
        <v>2.2</v>
      </c>
      <c r="X10" s="203">
        <v>5</v>
      </c>
      <c r="Y10" s="217">
        <v>0.32</v>
      </c>
      <c r="Z10" s="200">
        <v>0.1</v>
      </c>
      <c r="AA10" s="200">
        <v>7.06</v>
      </c>
      <c r="AB10" s="206">
        <v>78.1</v>
      </c>
      <c r="AC10" s="239">
        <v>160</v>
      </c>
      <c r="AD10" s="240"/>
      <c r="AE10" s="240"/>
      <c r="AF10" s="24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</row>
    <row r="11" s="182" customFormat="1" ht="18" customHeight="1" spans="1:51">
      <c r="A11" s="196">
        <v>5</v>
      </c>
      <c r="B11" s="197">
        <v>316</v>
      </c>
      <c r="C11" s="198">
        <v>177</v>
      </c>
      <c r="D11" s="199">
        <v>200</v>
      </c>
      <c r="E11" s="200">
        <v>5.76</v>
      </c>
      <c r="F11" s="201">
        <v>30.2</v>
      </c>
      <c r="G11" s="202">
        <v>37.8</v>
      </c>
      <c r="H11" s="203">
        <v>21</v>
      </c>
      <c r="I11" s="217">
        <v>2.81</v>
      </c>
      <c r="J11" s="203">
        <v>5</v>
      </c>
      <c r="K11" s="217">
        <v>0.48</v>
      </c>
      <c r="L11" s="200">
        <v>0.14</v>
      </c>
      <c r="M11" s="200">
        <v>8.99</v>
      </c>
      <c r="N11" s="203">
        <v>19</v>
      </c>
      <c r="O11" s="217">
        <v>2.61</v>
      </c>
      <c r="P11" s="203">
        <v>5</v>
      </c>
      <c r="Q11" s="217">
        <v>0.94</v>
      </c>
      <c r="R11" s="200">
        <v>0.15</v>
      </c>
      <c r="S11" s="200">
        <v>6.58</v>
      </c>
      <c r="T11" s="203">
        <v>20.2</v>
      </c>
      <c r="U11" s="217">
        <v>0.83</v>
      </c>
      <c r="V11" s="203">
        <v>15</v>
      </c>
      <c r="W11" s="217">
        <v>2.55</v>
      </c>
      <c r="X11" s="203">
        <v>5</v>
      </c>
      <c r="Y11" s="217">
        <v>0.31</v>
      </c>
      <c r="Z11" s="200">
        <v>0.1</v>
      </c>
      <c r="AA11" s="200">
        <v>6.5</v>
      </c>
      <c r="AB11" s="206">
        <v>78.7</v>
      </c>
      <c r="AC11" s="239" t="s">
        <v>54</v>
      </c>
      <c r="AD11" s="240"/>
      <c r="AE11" s="240"/>
      <c r="AF11" s="24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</row>
    <row r="12" s="182" customFormat="1" ht="18" customHeight="1" spans="1:51">
      <c r="A12" s="196">
        <v>6</v>
      </c>
      <c r="B12" s="197">
        <v>289</v>
      </c>
      <c r="C12" s="198">
        <v>159</v>
      </c>
      <c r="D12" s="199">
        <v>172</v>
      </c>
      <c r="E12" s="200">
        <v>5.09</v>
      </c>
      <c r="F12" s="201">
        <v>33.6</v>
      </c>
      <c r="G12" s="202">
        <v>40.6</v>
      </c>
      <c r="H12" s="203">
        <v>18</v>
      </c>
      <c r="I12" s="217">
        <v>2.71</v>
      </c>
      <c r="J12" s="203">
        <v>5</v>
      </c>
      <c r="K12" s="217">
        <v>0.42</v>
      </c>
      <c r="L12" s="200">
        <v>0.26</v>
      </c>
      <c r="M12" s="201">
        <v>9.19</v>
      </c>
      <c r="N12" s="203">
        <v>17</v>
      </c>
      <c r="O12" s="217">
        <v>2.62</v>
      </c>
      <c r="P12" s="203">
        <v>5</v>
      </c>
      <c r="Q12" s="217">
        <v>0.99</v>
      </c>
      <c r="R12" s="200">
        <v>0.31</v>
      </c>
      <c r="S12" s="200">
        <v>8.37</v>
      </c>
      <c r="T12" s="203">
        <v>18.4</v>
      </c>
      <c r="U12" s="217">
        <v>0.59</v>
      </c>
      <c r="V12" s="203">
        <v>13</v>
      </c>
      <c r="W12" s="217">
        <v>2.33</v>
      </c>
      <c r="X12" s="203">
        <v>5</v>
      </c>
      <c r="Y12" s="217">
        <v>0.27</v>
      </c>
      <c r="Z12" s="200">
        <v>0.2</v>
      </c>
      <c r="AA12" s="200">
        <v>7.56</v>
      </c>
      <c r="AB12" s="206">
        <v>78.8</v>
      </c>
      <c r="AC12" s="239" t="s">
        <v>54</v>
      </c>
      <c r="AD12" s="240"/>
      <c r="AE12" s="240"/>
      <c r="AF12" s="24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</row>
    <row r="13" s="182" customFormat="1" ht="18" customHeight="1" spans="1:51">
      <c r="A13" s="196">
        <v>7</v>
      </c>
      <c r="B13" s="198">
        <v>390</v>
      </c>
      <c r="C13" s="198">
        <v>216</v>
      </c>
      <c r="D13" s="199">
        <v>198</v>
      </c>
      <c r="E13" s="200">
        <v>5.72</v>
      </c>
      <c r="F13" s="201">
        <v>35.4</v>
      </c>
      <c r="G13" s="202">
        <v>50.9</v>
      </c>
      <c r="H13" s="203">
        <v>17</v>
      </c>
      <c r="I13" s="217">
        <v>2.25</v>
      </c>
      <c r="J13" s="203">
        <v>5</v>
      </c>
      <c r="K13" s="217">
        <v>0.51</v>
      </c>
      <c r="L13" s="200">
        <v>0.28</v>
      </c>
      <c r="M13" s="200">
        <v>11.5</v>
      </c>
      <c r="N13" s="203">
        <v>16</v>
      </c>
      <c r="O13" s="217">
        <v>2.3</v>
      </c>
      <c r="P13" s="203">
        <v>5</v>
      </c>
      <c r="Q13" s="217">
        <v>0.81</v>
      </c>
      <c r="R13" s="200">
        <v>0.31</v>
      </c>
      <c r="S13" s="200">
        <v>9.75</v>
      </c>
      <c r="T13" s="203">
        <v>18.3</v>
      </c>
      <c r="U13" s="217">
        <v>0.75</v>
      </c>
      <c r="V13" s="203">
        <v>12</v>
      </c>
      <c r="W13" s="217">
        <v>2.09</v>
      </c>
      <c r="X13" s="203">
        <v>5</v>
      </c>
      <c r="Y13" s="217">
        <v>0.29</v>
      </c>
      <c r="Z13" s="200">
        <v>0.17</v>
      </c>
      <c r="AA13" s="200">
        <v>8.44</v>
      </c>
      <c r="AB13" s="206">
        <v>78.1</v>
      </c>
      <c r="AC13" s="239" t="s">
        <v>54</v>
      </c>
      <c r="AD13" s="240"/>
      <c r="AE13" s="240"/>
      <c r="AF13" s="24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</row>
    <row r="14" s="182" customFormat="1" ht="18" customHeight="1" spans="1:51">
      <c r="A14" s="196">
        <v>8</v>
      </c>
      <c r="B14" s="197">
        <v>398</v>
      </c>
      <c r="C14" s="198">
        <v>223</v>
      </c>
      <c r="D14" s="199">
        <v>222</v>
      </c>
      <c r="E14" s="200">
        <v>5.98</v>
      </c>
      <c r="F14" s="204">
        <v>27.5</v>
      </c>
      <c r="G14" s="202">
        <v>40.7</v>
      </c>
      <c r="H14" s="203">
        <v>20</v>
      </c>
      <c r="I14" s="217">
        <v>2.46</v>
      </c>
      <c r="J14" s="203">
        <v>5</v>
      </c>
      <c r="K14" s="217">
        <v>0.35</v>
      </c>
      <c r="L14" s="200">
        <v>0.35</v>
      </c>
      <c r="M14" s="200">
        <v>12.8</v>
      </c>
      <c r="N14" s="203">
        <v>17</v>
      </c>
      <c r="O14" s="217">
        <v>2.27</v>
      </c>
      <c r="P14" s="203">
        <v>5</v>
      </c>
      <c r="Q14" s="217">
        <v>0.86</v>
      </c>
      <c r="R14" s="224">
        <v>0.37</v>
      </c>
      <c r="S14" s="200">
        <v>10.7</v>
      </c>
      <c r="T14" s="203">
        <v>21.3</v>
      </c>
      <c r="U14" s="217">
        <v>0.7</v>
      </c>
      <c r="V14" s="203">
        <v>13</v>
      </c>
      <c r="W14" s="217">
        <v>2.21</v>
      </c>
      <c r="X14" s="203">
        <v>5</v>
      </c>
      <c r="Y14" s="217">
        <v>0.27</v>
      </c>
      <c r="Z14" s="200">
        <v>0.32</v>
      </c>
      <c r="AA14" s="200">
        <v>10.4</v>
      </c>
      <c r="AB14" s="206">
        <v>78.3</v>
      </c>
      <c r="AC14" s="239" t="s">
        <v>54</v>
      </c>
      <c r="AD14" s="240"/>
      <c r="AE14" s="240"/>
      <c r="AF14" s="240"/>
      <c r="AG14" s="252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</row>
    <row r="15" s="182" customFormat="1" ht="18" customHeight="1" spans="1:51">
      <c r="A15" s="196">
        <v>9</v>
      </c>
      <c r="B15" s="197">
        <v>396</v>
      </c>
      <c r="C15" s="203">
        <v>224</v>
      </c>
      <c r="D15" s="199">
        <v>238</v>
      </c>
      <c r="E15" s="200">
        <v>5.39</v>
      </c>
      <c r="F15" s="201">
        <v>34.8</v>
      </c>
      <c r="G15" s="202">
        <v>48.3</v>
      </c>
      <c r="H15" s="203">
        <v>18</v>
      </c>
      <c r="I15" s="217">
        <v>2.69</v>
      </c>
      <c r="J15" s="203">
        <v>6</v>
      </c>
      <c r="K15" s="217">
        <v>0.21</v>
      </c>
      <c r="L15" s="200">
        <v>0.39</v>
      </c>
      <c r="M15" s="201">
        <v>10.7</v>
      </c>
      <c r="N15" s="203">
        <v>18</v>
      </c>
      <c r="O15" s="217">
        <v>2.33</v>
      </c>
      <c r="P15" s="203">
        <v>5</v>
      </c>
      <c r="Q15" s="217">
        <v>0.81</v>
      </c>
      <c r="R15" s="200">
        <v>0.38</v>
      </c>
      <c r="S15" s="200">
        <v>9.04</v>
      </c>
      <c r="T15" s="203">
        <v>20.6</v>
      </c>
      <c r="U15" s="217">
        <v>0.65</v>
      </c>
      <c r="V15" s="203">
        <v>14</v>
      </c>
      <c r="W15" s="217">
        <v>2.18</v>
      </c>
      <c r="X15" s="203">
        <v>5</v>
      </c>
      <c r="Y15" s="217">
        <v>0.21</v>
      </c>
      <c r="Z15" s="200">
        <v>0.36</v>
      </c>
      <c r="AA15" s="200">
        <v>9.02</v>
      </c>
      <c r="AB15" s="206">
        <v>78.5</v>
      </c>
      <c r="AC15" s="239">
        <v>40</v>
      </c>
      <c r="AD15" s="240"/>
      <c r="AE15" s="240"/>
      <c r="AF15" s="24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</row>
    <row r="16" s="182" customFormat="1" ht="18" customHeight="1" spans="1:51">
      <c r="A16" s="196">
        <v>10</v>
      </c>
      <c r="B16" s="197">
        <v>254</v>
      </c>
      <c r="C16" s="203">
        <v>141</v>
      </c>
      <c r="D16" s="199">
        <v>126</v>
      </c>
      <c r="E16" s="200">
        <v>5.98</v>
      </c>
      <c r="F16" s="201">
        <v>30.4</v>
      </c>
      <c r="G16" s="202">
        <v>38</v>
      </c>
      <c r="H16" s="203">
        <v>18</v>
      </c>
      <c r="I16" s="217">
        <v>2.47</v>
      </c>
      <c r="J16" s="203">
        <v>5</v>
      </c>
      <c r="K16" s="217">
        <v>0.32</v>
      </c>
      <c r="L16" s="200">
        <v>0.41</v>
      </c>
      <c r="M16" s="201">
        <v>9.4</v>
      </c>
      <c r="N16" s="203">
        <v>16</v>
      </c>
      <c r="O16" s="217">
        <v>2.42</v>
      </c>
      <c r="P16" s="203">
        <v>5</v>
      </c>
      <c r="Q16" s="217">
        <v>0.96</v>
      </c>
      <c r="R16" s="200">
        <v>0.96</v>
      </c>
      <c r="S16" s="200">
        <v>10.5</v>
      </c>
      <c r="T16" s="203">
        <v>18.9</v>
      </c>
      <c r="U16" s="217">
        <v>0.75</v>
      </c>
      <c r="V16" s="203">
        <v>13</v>
      </c>
      <c r="W16" s="217">
        <v>2.28</v>
      </c>
      <c r="X16" s="203">
        <v>5</v>
      </c>
      <c r="Y16" s="217">
        <v>0.21</v>
      </c>
      <c r="Z16" s="200">
        <v>0.33</v>
      </c>
      <c r="AA16" s="200">
        <v>7.58</v>
      </c>
      <c r="AB16" s="206">
        <v>78.6</v>
      </c>
      <c r="AC16" s="239" t="s">
        <v>54</v>
      </c>
      <c r="AD16" s="240"/>
      <c r="AE16" s="240"/>
      <c r="AF16" s="24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</row>
    <row r="17" s="182" customFormat="1" ht="18" customHeight="1" spans="1:51">
      <c r="A17" s="196">
        <v>11</v>
      </c>
      <c r="B17" s="197">
        <v>304</v>
      </c>
      <c r="C17" s="203">
        <v>169</v>
      </c>
      <c r="D17" s="199">
        <v>198</v>
      </c>
      <c r="E17" s="200">
        <v>5.94</v>
      </c>
      <c r="F17" s="201">
        <v>35.4</v>
      </c>
      <c r="G17" s="202">
        <v>41.8</v>
      </c>
      <c r="H17" s="203">
        <v>20</v>
      </c>
      <c r="I17" s="217">
        <v>2.9</v>
      </c>
      <c r="J17" s="203">
        <v>6</v>
      </c>
      <c r="K17" s="217">
        <v>0.27</v>
      </c>
      <c r="L17" s="200">
        <v>0.33</v>
      </c>
      <c r="M17" s="201">
        <v>9.62</v>
      </c>
      <c r="N17" s="203">
        <v>18</v>
      </c>
      <c r="O17" s="217">
        <v>2.58</v>
      </c>
      <c r="P17" s="203">
        <v>5</v>
      </c>
      <c r="Q17" s="217">
        <v>0.97</v>
      </c>
      <c r="R17" s="200">
        <v>1.34</v>
      </c>
      <c r="S17" s="200">
        <v>10.4</v>
      </c>
      <c r="T17" s="203">
        <v>21.2</v>
      </c>
      <c r="U17" s="217">
        <v>0.81</v>
      </c>
      <c r="V17" s="203">
        <v>13</v>
      </c>
      <c r="W17" s="217">
        <v>2.52</v>
      </c>
      <c r="X17" s="203">
        <v>5</v>
      </c>
      <c r="Y17" s="200">
        <v>0.17</v>
      </c>
      <c r="Z17" s="200">
        <v>0.3</v>
      </c>
      <c r="AA17" s="200">
        <v>8.07</v>
      </c>
      <c r="AB17" s="242">
        <v>78.9</v>
      </c>
      <c r="AC17" s="239" t="s">
        <v>54</v>
      </c>
      <c r="AD17" s="240"/>
      <c r="AE17" s="240"/>
      <c r="AF17" s="24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</row>
    <row r="18" s="182" customFormat="1" ht="18" customHeight="1" spans="1:51">
      <c r="A18" s="196">
        <v>12</v>
      </c>
      <c r="B18" s="203">
        <v>297</v>
      </c>
      <c r="C18" s="203">
        <v>162</v>
      </c>
      <c r="D18" s="205">
        <v>186</v>
      </c>
      <c r="E18" s="200">
        <v>5.09</v>
      </c>
      <c r="F18" s="201">
        <v>30.2</v>
      </c>
      <c r="G18" s="202">
        <v>38.5</v>
      </c>
      <c r="H18" s="203">
        <v>15</v>
      </c>
      <c r="I18" s="217">
        <v>2.38</v>
      </c>
      <c r="J18" s="203">
        <v>5</v>
      </c>
      <c r="K18" s="217">
        <v>0.91</v>
      </c>
      <c r="L18" s="200">
        <v>1.24</v>
      </c>
      <c r="M18" s="200">
        <v>9.48</v>
      </c>
      <c r="N18" s="203">
        <v>14</v>
      </c>
      <c r="O18" s="217">
        <v>2.31</v>
      </c>
      <c r="P18" s="203">
        <v>5</v>
      </c>
      <c r="Q18" s="217">
        <v>0.67</v>
      </c>
      <c r="R18" s="200">
        <v>0.28</v>
      </c>
      <c r="S18" s="200">
        <v>9.55</v>
      </c>
      <c r="T18" s="203">
        <v>16</v>
      </c>
      <c r="U18" s="217">
        <v>0.45</v>
      </c>
      <c r="V18" s="203">
        <v>12</v>
      </c>
      <c r="W18" s="217">
        <v>2.15</v>
      </c>
      <c r="X18" s="203">
        <v>5</v>
      </c>
      <c r="Y18" s="217">
        <v>0.17</v>
      </c>
      <c r="Z18" s="200">
        <v>0.22</v>
      </c>
      <c r="AA18" s="200">
        <v>8.83</v>
      </c>
      <c r="AB18" s="206">
        <v>78.7</v>
      </c>
      <c r="AC18" s="239">
        <v>60</v>
      </c>
      <c r="AD18" s="240"/>
      <c r="AE18" s="240"/>
      <c r="AF18" s="24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</row>
    <row r="19" s="182" customFormat="1" ht="18" customHeight="1" spans="1:51">
      <c r="A19" s="196">
        <v>13</v>
      </c>
      <c r="B19" s="197">
        <v>301</v>
      </c>
      <c r="C19" s="203">
        <v>163</v>
      </c>
      <c r="D19" s="199">
        <v>192</v>
      </c>
      <c r="E19" s="200">
        <v>5.56</v>
      </c>
      <c r="F19" s="201">
        <v>33.3</v>
      </c>
      <c r="G19" s="202">
        <v>42.6</v>
      </c>
      <c r="H19" s="203">
        <v>20</v>
      </c>
      <c r="I19" s="217">
        <v>2.86</v>
      </c>
      <c r="J19" s="203">
        <v>6</v>
      </c>
      <c r="K19" s="217">
        <v>0.26</v>
      </c>
      <c r="L19" s="200">
        <v>0.3</v>
      </c>
      <c r="M19" s="200">
        <v>9.98</v>
      </c>
      <c r="N19" s="203">
        <v>18</v>
      </c>
      <c r="O19" s="217">
        <v>2.61</v>
      </c>
      <c r="P19" s="203">
        <v>6</v>
      </c>
      <c r="Q19" s="217">
        <v>0.77</v>
      </c>
      <c r="R19" s="200">
        <v>0.29</v>
      </c>
      <c r="S19" s="200">
        <v>8.99</v>
      </c>
      <c r="T19" s="203">
        <v>19.2</v>
      </c>
      <c r="U19" s="217">
        <v>0.6</v>
      </c>
      <c r="V19" s="203">
        <v>13</v>
      </c>
      <c r="W19" s="217">
        <v>2.47</v>
      </c>
      <c r="X19" s="203">
        <v>5</v>
      </c>
      <c r="Y19" s="217">
        <v>0.16</v>
      </c>
      <c r="Z19" s="217">
        <v>0.29</v>
      </c>
      <c r="AA19" s="200">
        <v>8.63</v>
      </c>
      <c r="AB19" s="206">
        <v>78.5</v>
      </c>
      <c r="AC19" s="239" t="s">
        <v>54</v>
      </c>
      <c r="AD19" s="240"/>
      <c r="AE19" s="240"/>
      <c r="AF19" s="24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</row>
    <row r="20" s="182" customFormat="1" ht="18" customHeight="1" spans="1:51">
      <c r="A20" s="196">
        <v>14</v>
      </c>
      <c r="B20" s="197">
        <v>376</v>
      </c>
      <c r="C20" s="203">
        <v>212</v>
      </c>
      <c r="D20" s="199">
        <v>202</v>
      </c>
      <c r="E20" s="200">
        <v>5.57</v>
      </c>
      <c r="F20" s="206">
        <v>37.3</v>
      </c>
      <c r="G20" s="202">
        <v>47.9</v>
      </c>
      <c r="H20" s="203">
        <v>18</v>
      </c>
      <c r="I20" s="217">
        <v>2.69</v>
      </c>
      <c r="J20" s="203">
        <v>6</v>
      </c>
      <c r="K20" s="217">
        <v>0.92</v>
      </c>
      <c r="L20" s="200">
        <v>3.1</v>
      </c>
      <c r="M20" s="200">
        <v>13.7</v>
      </c>
      <c r="N20" s="203">
        <v>16</v>
      </c>
      <c r="O20" s="217">
        <v>2.52</v>
      </c>
      <c r="P20" s="203">
        <v>5</v>
      </c>
      <c r="Q20" s="217">
        <v>0.81</v>
      </c>
      <c r="R20" s="200">
        <v>0.37</v>
      </c>
      <c r="S20" s="200">
        <v>10.4</v>
      </c>
      <c r="T20" s="203">
        <v>22.7</v>
      </c>
      <c r="U20" s="217">
        <v>0.45</v>
      </c>
      <c r="V20" s="203">
        <v>12</v>
      </c>
      <c r="W20" s="217">
        <v>2.26</v>
      </c>
      <c r="X20" s="203">
        <v>5</v>
      </c>
      <c r="Y20" s="217">
        <v>0.08</v>
      </c>
      <c r="Z20" s="217">
        <v>0.23</v>
      </c>
      <c r="AA20" s="200">
        <v>10.1</v>
      </c>
      <c r="AB20" s="206">
        <v>78.3</v>
      </c>
      <c r="AC20" s="239" t="s">
        <v>54</v>
      </c>
      <c r="AD20" s="240"/>
      <c r="AE20" s="240"/>
      <c r="AF20" s="24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</row>
    <row r="21" s="182" customFormat="1" ht="18" customHeight="1" spans="1:51">
      <c r="A21" s="196">
        <v>15</v>
      </c>
      <c r="B21" s="197">
        <v>337</v>
      </c>
      <c r="C21" s="203">
        <v>186</v>
      </c>
      <c r="D21" s="199">
        <v>194</v>
      </c>
      <c r="E21" s="200">
        <v>5.61</v>
      </c>
      <c r="F21" s="206">
        <v>35</v>
      </c>
      <c r="G21" s="207">
        <v>46.8</v>
      </c>
      <c r="H21" s="203">
        <v>18</v>
      </c>
      <c r="I21" s="217">
        <v>2.44</v>
      </c>
      <c r="J21" s="203">
        <v>6</v>
      </c>
      <c r="K21" s="217">
        <v>0.21</v>
      </c>
      <c r="L21" s="200">
        <v>0.39</v>
      </c>
      <c r="M21" s="200">
        <v>10</v>
      </c>
      <c r="N21" s="203">
        <v>16</v>
      </c>
      <c r="O21" s="217">
        <v>2.25</v>
      </c>
      <c r="P21" s="203">
        <v>5</v>
      </c>
      <c r="Q21" s="217">
        <v>0.44</v>
      </c>
      <c r="R21" s="200">
        <v>0.36</v>
      </c>
      <c r="S21" s="200">
        <v>9.96</v>
      </c>
      <c r="T21" s="203">
        <v>19.3</v>
      </c>
      <c r="U21" s="217">
        <v>0.42</v>
      </c>
      <c r="V21" s="203">
        <v>12</v>
      </c>
      <c r="W21" s="217">
        <v>2.11</v>
      </c>
      <c r="X21" s="203">
        <v>5</v>
      </c>
      <c r="Y21" s="196">
        <v>0.08</v>
      </c>
      <c r="Z21" s="217">
        <v>0.12</v>
      </c>
      <c r="AA21" s="200">
        <v>9.86</v>
      </c>
      <c r="AB21" s="243">
        <v>78.7</v>
      </c>
      <c r="AC21" s="239" t="s">
        <v>54</v>
      </c>
      <c r="AD21" s="240"/>
      <c r="AE21" s="240"/>
      <c r="AF21" s="24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</row>
    <row r="22" s="182" customFormat="1" ht="18" customHeight="1" spans="1:51">
      <c r="A22" s="196">
        <v>16</v>
      </c>
      <c r="B22" s="197">
        <v>256</v>
      </c>
      <c r="C22" s="208">
        <v>142</v>
      </c>
      <c r="D22" s="199">
        <v>144</v>
      </c>
      <c r="E22" s="200">
        <v>3.85</v>
      </c>
      <c r="F22" s="206">
        <v>30.4</v>
      </c>
      <c r="G22" s="202">
        <v>40.6</v>
      </c>
      <c r="H22" s="203">
        <v>21</v>
      </c>
      <c r="I22" s="217">
        <v>2.81</v>
      </c>
      <c r="J22" s="203">
        <v>7</v>
      </c>
      <c r="K22" s="217">
        <v>0.35</v>
      </c>
      <c r="L22" s="200">
        <v>0.36</v>
      </c>
      <c r="M22" s="201">
        <v>11</v>
      </c>
      <c r="N22" s="203">
        <v>17</v>
      </c>
      <c r="O22" s="217">
        <v>2.4</v>
      </c>
      <c r="P22" s="203">
        <v>5</v>
      </c>
      <c r="Q22" s="217">
        <v>0.78</v>
      </c>
      <c r="R22" s="200">
        <v>0.26</v>
      </c>
      <c r="S22" s="201">
        <v>10.4</v>
      </c>
      <c r="T22" s="203">
        <v>16</v>
      </c>
      <c r="U22" s="217">
        <v>0.54</v>
      </c>
      <c r="V22" s="203">
        <v>11</v>
      </c>
      <c r="W22" s="217">
        <v>2.21</v>
      </c>
      <c r="X22" s="203">
        <v>5</v>
      </c>
      <c r="Y22" s="217">
        <v>0.25</v>
      </c>
      <c r="Z22" s="217">
        <v>0.21</v>
      </c>
      <c r="AA22" s="200">
        <v>9.07</v>
      </c>
      <c r="AB22" s="206">
        <v>79</v>
      </c>
      <c r="AC22" s="239" t="s">
        <v>54</v>
      </c>
      <c r="AD22" s="240"/>
      <c r="AE22" s="240"/>
      <c r="AF22" s="24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</row>
    <row r="23" s="182" customFormat="1" ht="18" customHeight="1" spans="1:51">
      <c r="A23" s="196">
        <v>17</v>
      </c>
      <c r="B23" s="209">
        <v>250</v>
      </c>
      <c r="C23" s="203">
        <v>140</v>
      </c>
      <c r="D23" s="199">
        <v>118</v>
      </c>
      <c r="E23" s="200">
        <v>5.98</v>
      </c>
      <c r="F23" s="206">
        <v>30.9</v>
      </c>
      <c r="G23" s="202">
        <v>39.9</v>
      </c>
      <c r="H23" s="203">
        <v>20</v>
      </c>
      <c r="I23" s="217">
        <v>2.5</v>
      </c>
      <c r="J23" s="203">
        <v>5</v>
      </c>
      <c r="K23" s="217">
        <v>0.2</v>
      </c>
      <c r="L23" s="200">
        <v>0.37</v>
      </c>
      <c r="M23" s="200">
        <v>10</v>
      </c>
      <c r="N23" s="203">
        <v>18</v>
      </c>
      <c r="O23" s="217">
        <v>2.31</v>
      </c>
      <c r="P23" s="203">
        <v>5</v>
      </c>
      <c r="Q23" s="217">
        <v>0.9</v>
      </c>
      <c r="R23" s="200">
        <v>0.22</v>
      </c>
      <c r="S23" s="200">
        <v>8.91</v>
      </c>
      <c r="T23" s="203">
        <v>14.9</v>
      </c>
      <c r="U23" s="217">
        <v>0.7</v>
      </c>
      <c r="V23" s="203">
        <v>13</v>
      </c>
      <c r="W23" s="217">
        <v>2.27</v>
      </c>
      <c r="X23" s="203">
        <v>5</v>
      </c>
      <c r="Y23" s="217">
        <v>0.2</v>
      </c>
      <c r="Z23" s="217">
        <v>0.17</v>
      </c>
      <c r="AA23" s="200">
        <v>8.86</v>
      </c>
      <c r="AB23" s="206">
        <v>79.2</v>
      </c>
      <c r="AC23" s="239" t="s">
        <v>54</v>
      </c>
      <c r="AD23" s="240"/>
      <c r="AE23" s="240"/>
      <c r="AF23" s="24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</row>
    <row r="24" s="182" customFormat="1" ht="18" customHeight="1" spans="1:51">
      <c r="A24" s="196">
        <v>18</v>
      </c>
      <c r="B24" s="196">
        <v>354</v>
      </c>
      <c r="C24" s="208">
        <v>196</v>
      </c>
      <c r="D24" s="199">
        <v>200</v>
      </c>
      <c r="E24" s="200">
        <v>5.44</v>
      </c>
      <c r="F24" s="206">
        <v>20.8</v>
      </c>
      <c r="G24" s="202">
        <v>34.6</v>
      </c>
      <c r="H24" s="203">
        <v>17</v>
      </c>
      <c r="I24" s="217">
        <v>2.71</v>
      </c>
      <c r="J24" s="203">
        <v>6</v>
      </c>
      <c r="K24" s="217">
        <v>0.21</v>
      </c>
      <c r="L24" s="200">
        <v>0.3</v>
      </c>
      <c r="M24" s="200">
        <v>8.22</v>
      </c>
      <c r="N24" s="203">
        <v>16</v>
      </c>
      <c r="O24" s="217">
        <v>2.63</v>
      </c>
      <c r="P24" s="203">
        <v>5</v>
      </c>
      <c r="Q24" s="217">
        <v>0.83</v>
      </c>
      <c r="R24" s="200">
        <v>0.33</v>
      </c>
      <c r="S24" s="200">
        <v>8.19</v>
      </c>
      <c r="T24" s="203">
        <v>18</v>
      </c>
      <c r="U24" s="217">
        <v>0.77</v>
      </c>
      <c r="V24" s="203">
        <v>12</v>
      </c>
      <c r="W24" s="217">
        <v>2.33</v>
      </c>
      <c r="X24" s="203">
        <v>5</v>
      </c>
      <c r="Y24" s="217">
        <v>0.2</v>
      </c>
      <c r="Z24" s="217">
        <v>0.27</v>
      </c>
      <c r="AA24" s="200">
        <v>7.36</v>
      </c>
      <c r="AB24" s="206">
        <v>78.8</v>
      </c>
      <c r="AC24" s="239">
        <v>20</v>
      </c>
      <c r="AD24" s="240"/>
      <c r="AE24" s="240"/>
      <c r="AF24" s="24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</row>
    <row r="25" s="182" customFormat="1" ht="18" customHeight="1" spans="1:51">
      <c r="A25" s="196">
        <v>19</v>
      </c>
      <c r="B25" s="196">
        <v>275</v>
      </c>
      <c r="C25" s="203">
        <v>155</v>
      </c>
      <c r="D25" s="199">
        <v>188</v>
      </c>
      <c r="E25" s="200">
        <v>5.71</v>
      </c>
      <c r="F25" s="206">
        <v>36.6</v>
      </c>
      <c r="G25" s="202">
        <v>51.2</v>
      </c>
      <c r="H25" s="203">
        <v>14</v>
      </c>
      <c r="I25" s="217">
        <v>2.37</v>
      </c>
      <c r="J25" s="203">
        <v>5</v>
      </c>
      <c r="K25" s="217">
        <v>0.31</v>
      </c>
      <c r="L25" s="200">
        <v>0.17</v>
      </c>
      <c r="M25" s="200">
        <v>8.22</v>
      </c>
      <c r="N25" s="203">
        <v>12</v>
      </c>
      <c r="O25" s="217">
        <v>2.28</v>
      </c>
      <c r="P25" s="203">
        <v>5</v>
      </c>
      <c r="Q25" s="217">
        <v>0.92</v>
      </c>
      <c r="R25" s="200">
        <v>0.14</v>
      </c>
      <c r="S25" s="200">
        <v>7.47</v>
      </c>
      <c r="T25" s="203">
        <v>14.6</v>
      </c>
      <c r="U25" s="217">
        <v>0.84</v>
      </c>
      <c r="V25" s="203">
        <v>10</v>
      </c>
      <c r="W25" s="217">
        <v>2.14</v>
      </c>
      <c r="X25" s="203">
        <v>5</v>
      </c>
      <c r="Y25" s="217">
        <v>0.19</v>
      </c>
      <c r="Z25" s="217">
        <v>0.1</v>
      </c>
      <c r="AA25" s="200">
        <v>6.49</v>
      </c>
      <c r="AB25" s="206">
        <v>78.4</v>
      </c>
      <c r="AC25" s="239" t="s">
        <v>54</v>
      </c>
      <c r="AD25" s="240"/>
      <c r="AE25" s="240"/>
      <c r="AF25" s="24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</row>
    <row r="26" s="182" customFormat="1" ht="18" customHeight="1" spans="1:51">
      <c r="A26" s="196">
        <v>20</v>
      </c>
      <c r="B26" s="196">
        <v>444</v>
      </c>
      <c r="C26" s="198">
        <v>244</v>
      </c>
      <c r="D26" s="199">
        <v>314</v>
      </c>
      <c r="E26" s="200">
        <v>5.86</v>
      </c>
      <c r="F26" s="206">
        <v>23.3</v>
      </c>
      <c r="G26" s="202">
        <v>47.7</v>
      </c>
      <c r="H26" s="203">
        <v>14</v>
      </c>
      <c r="I26" s="217">
        <v>2.61</v>
      </c>
      <c r="J26" s="203">
        <v>5</v>
      </c>
      <c r="K26" s="217">
        <v>0.2</v>
      </c>
      <c r="L26" s="200">
        <v>0.26</v>
      </c>
      <c r="M26" s="200">
        <v>9.2</v>
      </c>
      <c r="N26" s="203">
        <v>13</v>
      </c>
      <c r="O26" s="217">
        <v>2.3</v>
      </c>
      <c r="P26" s="203">
        <v>5</v>
      </c>
      <c r="Q26" s="217">
        <v>0.65</v>
      </c>
      <c r="R26" s="200">
        <v>0.2</v>
      </c>
      <c r="S26" s="200">
        <v>7.36</v>
      </c>
      <c r="T26" s="203">
        <v>15.3</v>
      </c>
      <c r="U26" s="217">
        <v>0.49</v>
      </c>
      <c r="V26" s="203">
        <v>11</v>
      </c>
      <c r="W26" s="217">
        <v>2.08</v>
      </c>
      <c r="X26" s="203">
        <v>5</v>
      </c>
      <c r="Y26" s="217">
        <v>0.18</v>
      </c>
      <c r="Z26" s="217">
        <v>0.16</v>
      </c>
      <c r="AA26" s="200">
        <v>6.49</v>
      </c>
      <c r="AB26" s="206">
        <v>78.8</v>
      </c>
      <c r="AC26" s="239" t="s">
        <v>54</v>
      </c>
      <c r="AD26" s="240"/>
      <c r="AE26" s="240"/>
      <c r="AF26" s="24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</row>
    <row r="27" s="182" customFormat="1" ht="18" customHeight="1" spans="1:51">
      <c r="A27" s="196">
        <v>21</v>
      </c>
      <c r="B27" s="196">
        <v>435</v>
      </c>
      <c r="C27" s="196">
        <v>240</v>
      </c>
      <c r="D27" s="199">
        <v>324</v>
      </c>
      <c r="E27" s="200">
        <v>5.94</v>
      </c>
      <c r="F27" s="206">
        <v>33.4</v>
      </c>
      <c r="G27" s="202">
        <v>42.4</v>
      </c>
      <c r="H27" s="203">
        <v>14</v>
      </c>
      <c r="I27" s="217">
        <v>2.51</v>
      </c>
      <c r="J27" s="203">
        <v>6</v>
      </c>
      <c r="K27" s="217">
        <v>0.19</v>
      </c>
      <c r="L27" s="200">
        <v>0.26</v>
      </c>
      <c r="M27" s="200">
        <v>8.86</v>
      </c>
      <c r="N27" s="203">
        <v>15</v>
      </c>
      <c r="O27" s="217">
        <v>2.47</v>
      </c>
      <c r="P27" s="203">
        <v>5</v>
      </c>
      <c r="Q27" s="217">
        <v>0.91</v>
      </c>
      <c r="R27" s="200">
        <v>0.24</v>
      </c>
      <c r="S27" s="200">
        <v>7.08</v>
      </c>
      <c r="T27" s="203">
        <v>13</v>
      </c>
      <c r="U27" s="217">
        <v>0.7</v>
      </c>
      <c r="V27" s="203">
        <v>10</v>
      </c>
      <c r="W27" s="217">
        <v>2.16</v>
      </c>
      <c r="X27" s="203">
        <v>5</v>
      </c>
      <c r="Y27" s="217">
        <v>0.18</v>
      </c>
      <c r="Z27" s="200">
        <v>0.11</v>
      </c>
      <c r="AA27" s="200">
        <v>6.59</v>
      </c>
      <c r="AB27" s="206">
        <v>78.7</v>
      </c>
      <c r="AC27" s="239">
        <v>80</v>
      </c>
      <c r="AD27" s="240"/>
      <c r="AE27" s="240"/>
      <c r="AF27" s="24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</row>
    <row r="28" s="182" customFormat="1" ht="18" customHeight="1" spans="1:51">
      <c r="A28" s="196">
        <v>22</v>
      </c>
      <c r="B28" s="196">
        <v>399</v>
      </c>
      <c r="C28" s="203">
        <v>225</v>
      </c>
      <c r="D28" s="199">
        <v>214</v>
      </c>
      <c r="E28" s="200">
        <v>5.42</v>
      </c>
      <c r="F28" s="206">
        <v>31.2</v>
      </c>
      <c r="G28" s="202">
        <v>37.9</v>
      </c>
      <c r="H28" s="203">
        <v>13</v>
      </c>
      <c r="I28" s="217">
        <v>2.33</v>
      </c>
      <c r="J28" s="203">
        <v>5</v>
      </c>
      <c r="K28" s="217">
        <v>0.18</v>
      </c>
      <c r="L28" s="200">
        <v>0.42</v>
      </c>
      <c r="M28" s="200">
        <v>8.6</v>
      </c>
      <c r="N28" s="203">
        <v>14</v>
      </c>
      <c r="O28" s="217">
        <v>2.26</v>
      </c>
      <c r="P28" s="203">
        <v>5</v>
      </c>
      <c r="Q28" s="217">
        <v>0.64</v>
      </c>
      <c r="R28" s="200">
        <v>0.51</v>
      </c>
      <c r="S28" s="200">
        <v>6.1</v>
      </c>
      <c r="T28" s="203">
        <v>15.3</v>
      </c>
      <c r="U28" s="217">
        <v>0.38</v>
      </c>
      <c r="V28" s="203">
        <v>11</v>
      </c>
      <c r="W28" s="217">
        <v>2.2</v>
      </c>
      <c r="X28" s="203">
        <v>5</v>
      </c>
      <c r="Y28" s="217">
        <v>0.13</v>
      </c>
      <c r="Z28" s="200">
        <v>0.33</v>
      </c>
      <c r="AA28" s="200">
        <v>5.92</v>
      </c>
      <c r="AB28" s="206">
        <v>78.4</v>
      </c>
      <c r="AC28" s="239" t="s">
        <v>54</v>
      </c>
      <c r="AD28" s="240"/>
      <c r="AE28" s="240"/>
      <c r="AF28" s="24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</row>
    <row r="29" s="182" customFormat="1" ht="18" customHeight="1" spans="1:51">
      <c r="A29" s="196">
        <v>23</v>
      </c>
      <c r="B29" s="196">
        <v>188</v>
      </c>
      <c r="C29" s="203">
        <v>102</v>
      </c>
      <c r="D29" s="199">
        <v>110</v>
      </c>
      <c r="E29" s="200">
        <v>3.85</v>
      </c>
      <c r="F29" s="206">
        <v>18.3</v>
      </c>
      <c r="G29" s="202">
        <v>30</v>
      </c>
      <c r="H29" s="203">
        <v>15</v>
      </c>
      <c r="I29" s="217">
        <v>2.41</v>
      </c>
      <c r="J29" s="203">
        <v>5</v>
      </c>
      <c r="K29" s="217">
        <v>0.2</v>
      </c>
      <c r="L29" s="200">
        <v>0.5</v>
      </c>
      <c r="M29" s="200">
        <v>7.62</v>
      </c>
      <c r="N29" s="203">
        <v>14</v>
      </c>
      <c r="O29" s="217">
        <v>2.37</v>
      </c>
      <c r="P29" s="203">
        <v>5</v>
      </c>
      <c r="Q29" s="217">
        <v>0.78</v>
      </c>
      <c r="R29" s="200">
        <v>0.56</v>
      </c>
      <c r="S29" s="200">
        <v>6.88</v>
      </c>
      <c r="T29" s="203">
        <v>17.1</v>
      </c>
      <c r="U29" s="217">
        <v>0.48</v>
      </c>
      <c r="V29" s="203">
        <v>10</v>
      </c>
      <c r="W29" s="217">
        <v>2.11</v>
      </c>
      <c r="X29" s="203">
        <v>5</v>
      </c>
      <c r="Y29" s="217">
        <v>0.13</v>
      </c>
      <c r="Z29" s="200">
        <v>0.23</v>
      </c>
      <c r="AA29" s="200">
        <v>5.81</v>
      </c>
      <c r="AB29" s="201">
        <v>78.8</v>
      </c>
      <c r="AC29" s="239" t="s">
        <v>54</v>
      </c>
      <c r="AD29" s="240"/>
      <c r="AE29" s="240"/>
      <c r="AF29" s="24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</row>
    <row r="30" s="182" customFormat="1" ht="18" customHeight="1" spans="1:51">
      <c r="A30" s="196">
        <v>24</v>
      </c>
      <c r="B30" s="196">
        <v>351</v>
      </c>
      <c r="C30" s="203">
        <v>198</v>
      </c>
      <c r="D30" s="199">
        <v>224</v>
      </c>
      <c r="E30" s="200">
        <v>5.88</v>
      </c>
      <c r="F30" s="206">
        <v>27.2</v>
      </c>
      <c r="G30" s="202">
        <v>35.9</v>
      </c>
      <c r="H30" s="203">
        <v>16</v>
      </c>
      <c r="I30" s="217">
        <v>2.74</v>
      </c>
      <c r="J30" s="203">
        <v>6</v>
      </c>
      <c r="K30" s="217">
        <v>0.2</v>
      </c>
      <c r="L30" s="200">
        <v>0.36</v>
      </c>
      <c r="M30" s="200">
        <v>7.57</v>
      </c>
      <c r="N30" s="203">
        <v>14</v>
      </c>
      <c r="O30" s="217">
        <v>2.66</v>
      </c>
      <c r="P30" s="203">
        <v>6</v>
      </c>
      <c r="Q30" s="217">
        <v>0.71</v>
      </c>
      <c r="R30" s="200">
        <v>0.43</v>
      </c>
      <c r="S30" s="200">
        <v>7.74</v>
      </c>
      <c r="T30" s="203">
        <v>15.5</v>
      </c>
      <c r="U30" s="217">
        <v>0.57</v>
      </c>
      <c r="V30" s="203">
        <v>11</v>
      </c>
      <c r="W30" s="217">
        <v>2.31</v>
      </c>
      <c r="X30" s="203">
        <v>5</v>
      </c>
      <c r="Y30" s="217">
        <v>0.15</v>
      </c>
      <c r="Z30" s="200">
        <v>0.22</v>
      </c>
      <c r="AA30" s="200">
        <v>7.21</v>
      </c>
      <c r="AB30" s="196">
        <v>78.7</v>
      </c>
      <c r="AC30" s="239" t="s">
        <v>54</v>
      </c>
      <c r="AD30" s="240"/>
      <c r="AE30" s="240"/>
      <c r="AF30" s="24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</row>
    <row r="31" s="182" customFormat="1" ht="18" customHeight="1" spans="1:51">
      <c r="A31" s="196">
        <v>25</v>
      </c>
      <c r="B31" s="196">
        <v>433</v>
      </c>
      <c r="C31" s="203">
        <v>240</v>
      </c>
      <c r="D31" s="199">
        <v>288</v>
      </c>
      <c r="E31" s="200">
        <v>5.56</v>
      </c>
      <c r="F31" s="206">
        <v>29</v>
      </c>
      <c r="G31" s="202">
        <v>48.2</v>
      </c>
      <c r="H31" s="203">
        <v>17</v>
      </c>
      <c r="I31" s="217">
        <v>2.45</v>
      </c>
      <c r="J31" s="203">
        <v>7</v>
      </c>
      <c r="K31" s="217">
        <v>0.15</v>
      </c>
      <c r="L31" s="200">
        <v>0.28</v>
      </c>
      <c r="M31" s="200">
        <v>7.57</v>
      </c>
      <c r="N31" s="203">
        <v>15</v>
      </c>
      <c r="O31" s="217">
        <v>2.29</v>
      </c>
      <c r="P31" s="203">
        <v>6</v>
      </c>
      <c r="Q31" s="217">
        <v>0.49</v>
      </c>
      <c r="R31" s="200">
        <v>0.34</v>
      </c>
      <c r="S31" s="200">
        <v>8.22</v>
      </c>
      <c r="T31" s="203">
        <v>16.8</v>
      </c>
      <c r="U31" s="217">
        <v>0.38</v>
      </c>
      <c r="V31" s="203">
        <v>12</v>
      </c>
      <c r="W31" s="217">
        <v>2.08</v>
      </c>
      <c r="X31" s="203">
        <v>5</v>
      </c>
      <c r="Y31" s="217">
        <v>0.14</v>
      </c>
      <c r="Z31" s="200">
        <v>0.22</v>
      </c>
      <c r="AA31" s="200">
        <v>7.52</v>
      </c>
      <c r="AB31" s="201">
        <v>78.9</v>
      </c>
      <c r="AC31" s="239" t="s">
        <v>54</v>
      </c>
      <c r="AD31" s="240"/>
      <c r="AE31" s="240"/>
      <c r="AF31" s="24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</row>
    <row r="32" s="182" customFormat="1" ht="18" customHeight="1" spans="1:51">
      <c r="A32" s="196">
        <v>26</v>
      </c>
      <c r="B32" s="196">
        <v>217</v>
      </c>
      <c r="C32" s="203">
        <v>123</v>
      </c>
      <c r="D32" s="199">
        <v>124</v>
      </c>
      <c r="E32" s="200">
        <v>5.79</v>
      </c>
      <c r="F32" s="206">
        <v>30.3</v>
      </c>
      <c r="G32" s="202">
        <v>41.2</v>
      </c>
      <c r="H32" s="203">
        <v>18</v>
      </c>
      <c r="I32" s="217">
        <v>2.37</v>
      </c>
      <c r="J32" s="203">
        <v>5</v>
      </c>
      <c r="K32" s="217">
        <v>0.22</v>
      </c>
      <c r="L32" s="200">
        <v>0.19</v>
      </c>
      <c r="M32" s="200">
        <v>8.55</v>
      </c>
      <c r="N32" s="203">
        <v>20</v>
      </c>
      <c r="O32" s="217">
        <v>2.43</v>
      </c>
      <c r="P32" s="203">
        <v>5</v>
      </c>
      <c r="Q32" s="217">
        <v>0.69</v>
      </c>
      <c r="R32" s="200">
        <v>0.21</v>
      </c>
      <c r="S32" s="200">
        <v>7.05</v>
      </c>
      <c r="T32" s="203">
        <v>19.1</v>
      </c>
      <c r="U32" s="217">
        <v>0.49</v>
      </c>
      <c r="V32" s="203">
        <v>13</v>
      </c>
      <c r="W32" s="217">
        <v>2.14</v>
      </c>
      <c r="X32" s="203">
        <v>5</v>
      </c>
      <c r="Y32" s="217">
        <v>0.2</v>
      </c>
      <c r="Z32" s="200">
        <v>0.12</v>
      </c>
      <c r="AA32" s="200">
        <v>6.64</v>
      </c>
      <c r="AB32" s="201">
        <v>78.8</v>
      </c>
      <c r="AC32" s="239">
        <v>140</v>
      </c>
      <c r="AD32" s="240"/>
      <c r="AE32" s="240"/>
      <c r="AF32" s="24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</row>
    <row r="33" s="182" customFormat="1" ht="18" customHeight="1" spans="1:51">
      <c r="A33" s="196">
        <v>27</v>
      </c>
      <c r="B33" s="196">
        <v>289</v>
      </c>
      <c r="C33" s="203">
        <v>157</v>
      </c>
      <c r="D33" s="199">
        <v>154</v>
      </c>
      <c r="E33" s="200">
        <v>5.69</v>
      </c>
      <c r="F33" s="206">
        <v>31.3</v>
      </c>
      <c r="G33" s="202">
        <v>40.2</v>
      </c>
      <c r="H33" s="203">
        <v>17</v>
      </c>
      <c r="I33" s="217">
        <v>2.39</v>
      </c>
      <c r="J33" s="203">
        <v>5</v>
      </c>
      <c r="K33" s="217">
        <v>0.19</v>
      </c>
      <c r="L33" s="200">
        <v>0.32</v>
      </c>
      <c r="M33" s="201">
        <v>9.48</v>
      </c>
      <c r="N33" s="203">
        <v>16</v>
      </c>
      <c r="O33" s="217">
        <v>2.22</v>
      </c>
      <c r="P33" s="203">
        <v>5</v>
      </c>
      <c r="Q33" s="217">
        <v>0.55</v>
      </c>
      <c r="R33" s="200">
        <v>0.3</v>
      </c>
      <c r="S33" s="200">
        <v>10.4</v>
      </c>
      <c r="T33" s="203">
        <v>18.8</v>
      </c>
      <c r="U33" s="217">
        <v>0.42</v>
      </c>
      <c r="V33" s="203">
        <v>12</v>
      </c>
      <c r="W33" s="217">
        <v>2.04</v>
      </c>
      <c r="X33" s="203">
        <v>5</v>
      </c>
      <c r="Y33" s="217">
        <v>0.19</v>
      </c>
      <c r="Z33" s="200">
        <v>0.17</v>
      </c>
      <c r="AA33" s="200">
        <v>9.27</v>
      </c>
      <c r="AB33" s="201">
        <v>78.6</v>
      </c>
      <c r="AC33" s="239" t="s">
        <v>54</v>
      </c>
      <c r="AD33" s="240"/>
      <c r="AE33" s="240"/>
      <c r="AF33" s="24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</row>
    <row r="34" s="182" customFormat="1" ht="18" customHeight="1" spans="1:51">
      <c r="A34" s="196">
        <v>28</v>
      </c>
      <c r="B34" s="196">
        <v>256</v>
      </c>
      <c r="C34" s="203">
        <v>144</v>
      </c>
      <c r="D34" s="199">
        <v>218</v>
      </c>
      <c r="E34" s="200">
        <v>4.31</v>
      </c>
      <c r="F34" s="206">
        <v>31.8</v>
      </c>
      <c r="G34" s="202">
        <v>43.5</v>
      </c>
      <c r="H34" s="203">
        <v>18</v>
      </c>
      <c r="I34" s="217">
        <v>2.78</v>
      </c>
      <c r="J34" s="203">
        <v>5</v>
      </c>
      <c r="K34" s="217">
        <v>0.19</v>
      </c>
      <c r="L34" s="200">
        <v>0.28</v>
      </c>
      <c r="M34" s="200">
        <v>10.6</v>
      </c>
      <c r="N34" s="203">
        <v>17</v>
      </c>
      <c r="O34" s="217">
        <v>2.63</v>
      </c>
      <c r="P34" s="203">
        <v>5</v>
      </c>
      <c r="Q34" s="217">
        <v>0.91</v>
      </c>
      <c r="R34" s="200">
        <v>0.25</v>
      </c>
      <c r="S34" s="200">
        <v>9.7</v>
      </c>
      <c r="T34" s="203">
        <v>20</v>
      </c>
      <c r="U34" s="217">
        <v>0.49</v>
      </c>
      <c r="V34" s="203">
        <v>14</v>
      </c>
      <c r="W34" s="217">
        <v>2.36</v>
      </c>
      <c r="X34" s="203">
        <v>5</v>
      </c>
      <c r="Y34" s="217">
        <v>0.18</v>
      </c>
      <c r="Z34" s="200">
        <v>0.15</v>
      </c>
      <c r="AA34" s="200">
        <v>9.63</v>
      </c>
      <c r="AB34" s="201">
        <v>78.9</v>
      </c>
      <c r="AC34" s="239" t="s">
        <v>54</v>
      </c>
      <c r="AD34" s="240"/>
      <c r="AE34" s="240"/>
      <c r="AF34" s="24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</row>
    <row r="35" s="182" customFormat="1" ht="18" customHeight="1" spans="1:51">
      <c r="A35" s="196">
        <v>29</v>
      </c>
      <c r="B35" s="196">
        <v>306</v>
      </c>
      <c r="C35" s="203">
        <v>170</v>
      </c>
      <c r="D35" s="199">
        <v>192</v>
      </c>
      <c r="E35" s="200">
        <v>5.73</v>
      </c>
      <c r="F35" s="206">
        <v>28.2</v>
      </c>
      <c r="G35" s="202">
        <v>37.7</v>
      </c>
      <c r="H35" s="203">
        <v>20</v>
      </c>
      <c r="I35" s="217">
        <v>2.66</v>
      </c>
      <c r="J35" s="203">
        <v>5</v>
      </c>
      <c r="K35" s="217">
        <v>0.18</v>
      </c>
      <c r="L35" s="200">
        <v>0.31</v>
      </c>
      <c r="M35" s="200">
        <v>10.3</v>
      </c>
      <c r="N35" s="203">
        <v>19</v>
      </c>
      <c r="O35" s="217">
        <v>2.31</v>
      </c>
      <c r="P35" s="203">
        <v>5</v>
      </c>
      <c r="Q35" s="217">
        <v>0.59</v>
      </c>
      <c r="R35" s="200">
        <v>0.35</v>
      </c>
      <c r="S35" s="201">
        <v>9.92</v>
      </c>
      <c r="T35" s="203">
        <v>20.3</v>
      </c>
      <c r="U35" s="217">
        <v>0.48</v>
      </c>
      <c r="V35" s="203">
        <v>12</v>
      </c>
      <c r="W35" s="217">
        <v>2.11</v>
      </c>
      <c r="X35" s="203">
        <v>5</v>
      </c>
      <c r="Y35" s="217">
        <v>0.17</v>
      </c>
      <c r="Z35" s="200">
        <v>0.27</v>
      </c>
      <c r="AA35" s="200">
        <v>9.38</v>
      </c>
      <c r="AB35" s="196">
        <v>79.2</v>
      </c>
      <c r="AC35" s="239" t="s">
        <v>54</v>
      </c>
      <c r="AD35" s="240"/>
      <c r="AE35" s="240"/>
      <c r="AF35" s="24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</row>
    <row r="36" s="182" customFormat="1" ht="18" customHeight="1" spans="1:51">
      <c r="A36" s="196">
        <v>30</v>
      </c>
      <c r="B36" s="196">
        <v>253</v>
      </c>
      <c r="C36" s="203">
        <v>142</v>
      </c>
      <c r="D36" s="199">
        <v>144</v>
      </c>
      <c r="E36" s="200">
        <v>5.32</v>
      </c>
      <c r="F36" s="206">
        <v>21.7</v>
      </c>
      <c r="G36" s="202">
        <v>28.9</v>
      </c>
      <c r="H36" s="203">
        <v>18</v>
      </c>
      <c r="I36" s="217">
        <v>2.39</v>
      </c>
      <c r="J36" s="203">
        <v>5</v>
      </c>
      <c r="K36" s="217">
        <v>0.13</v>
      </c>
      <c r="L36" s="200">
        <v>0.22</v>
      </c>
      <c r="M36" s="201">
        <v>7.1</v>
      </c>
      <c r="N36" s="203">
        <v>17</v>
      </c>
      <c r="O36" s="217">
        <v>2.2</v>
      </c>
      <c r="P36" s="203">
        <v>5</v>
      </c>
      <c r="Q36" s="217">
        <v>0.41</v>
      </c>
      <c r="R36" s="200">
        <v>0.24</v>
      </c>
      <c r="S36" s="201">
        <v>6.2</v>
      </c>
      <c r="T36" s="203">
        <v>17.7</v>
      </c>
      <c r="U36" s="217">
        <v>0.53</v>
      </c>
      <c r="V36" s="203">
        <v>13</v>
      </c>
      <c r="W36" s="217">
        <v>2.05</v>
      </c>
      <c r="X36" s="203">
        <v>5</v>
      </c>
      <c r="Y36" s="217">
        <v>0.07</v>
      </c>
      <c r="Z36" s="200">
        <v>0.22</v>
      </c>
      <c r="AA36" s="200">
        <v>6.18</v>
      </c>
      <c r="AB36" s="196">
        <v>78.9</v>
      </c>
      <c r="AC36" s="239" t="s">
        <v>54</v>
      </c>
      <c r="AD36" s="240"/>
      <c r="AE36" s="240"/>
      <c r="AF36" s="24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</row>
    <row r="37" s="182" customFormat="1" ht="18" customHeight="1" spans="1:46">
      <c r="A37" s="210" t="s">
        <v>106</v>
      </c>
      <c r="B37" s="198">
        <f t="shared" ref="B37:AB37" si="0">AVERAGE(B7:B36)</f>
        <v>309.933333333333</v>
      </c>
      <c r="C37" s="198">
        <f t="shared" si="0"/>
        <v>172.373333333333</v>
      </c>
      <c r="D37" s="198">
        <f t="shared" si="0"/>
        <v>190.466666666667</v>
      </c>
      <c r="E37" s="200">
        <f t="shared" si="0"/>
        <v>5.35633333333333</v>
      </c>
      <c r="F37" s="201">
        <f t="shared" si="0"/>
        <v>30.23</v>
      </c>
      <c r="G37" s="201">
        <f t="shared" si="0"/>
        <v>40.9733333333333</v>
      </c>
      <c r="H37" s="198">
        <f t="shared" si="0"/>
        <v>17.7</v>
      </c>
      <c r="I37" s="217">
        <f t="shared" si="0"/>
        <v>2.57466666666667</v>
      </c>
      <c r="J37" s="198">
        <f t="shared" si="0"/>
        <v>5.5</v>
      </c>
      <c r="K37" s="200">
        <f t="shared" si="0"/>
        <v>0.345666666666667</v>
      </c>
      <c r="L37" s="200">
        <f t="shared" si="0"/>
        <v>0.433666666666667</v>
      </c>
      <c r="M37" s="200">
        <f t="shared" si="0"/>
        <v>9.44833333333333</v>
      </c>
      <c r="N37" s="203">
        <f t="shared" si="0"/>
        <v>16.1</v>
      </c>
      <c r="O37" s="200">
        <f t="shared" si="0"/>
        <v>2.40766666666667</v>
      </c>
      <c r="P37" s="198">
        <f t="shared" si="0"/>
        <v>5.13333333333333</v>
      </c>
      <c r="Q37" s="200">
        <f t="shared" si="0"/>
        <v>0.788333333333333</v>
      </c>
      <c r="R37" s="200">
        <f t="shared" si="0"/>
        <v>0.360666666666667</v>
      </c>
      <c r="S37" s="200">
        <f t="shared" si="0"/>
        <v>8.55466666666667</v>
      </c>
      <c r="T37" s="198">
        <f t="shared" si="0"/>
        <v>17.83</v>
      </c>
      <c r="U37" s="200">
        <f t="shared" si="0"/>
        <v>0.619666666666667</v>
      </c>
      <c r="V37" s="201">
        <f t="shared" si="0"/>
        <v>12.1333333333333</v>
      </c>
      <c r="W37" s="217">
        <f t="shared" si="0"/>
        <v>2.22733333333333</v>
      </c>
      <c r="X37" s="198">
        <f t="shared" si="0"/>
        <v>5</v>
      </c>
      <c r="Y37" s="200">
        <f t="shared" si="0"/>
        <v>0.193333333333333</v>
      </c>
      <c r="Z37" s="200">
        <f t="shared" si="0"/>
        <v>0.209</v>
      </c>
      <c r="AA37" s="200">
        <f t="shared" si="0"/>
        <v>7.871</v>
      </c>
      <c r="AB37" s="201">
        <f t="shared" si="0"/>
        <v>78.6433333333333</v>
      </c>
      <c r="AC37" s="239" t="s">
        <v>54</v>
      </c>
      <c r="AG37" s="253"/>
      <c r="AH37" s="253"/>
      <c r="AI37" s="253"/>
      <c r="AJ37" s="253"/>
      <c r="AK37" s="253"/>
      <c r="AL37" s="253"/>
      <c r="AM37" s="253"/>
      <c r="AS37" s="253"/>
      <c r="AT37" s="253"/>
    </row>
    <row r="38" customFormat="1" ht="24" customHeight="1" spans="1:46">
      <c r="A38" s="211" t="s">
        <v>131</v>
      </c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44"/>
      <c r="AS38" s="255"/>
      <c r="AT38" s="255"/>
    </row>
    <row r="39" customFormat="1" ht="30" customHeight="1" spans="1:46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45"/>
      <c r="AS39" s="255"/>
      <c r="AT39" s="255"/>
    </row>
    <row r="40" s="181" customFormat="1" spans="29:51">
      <c r="AC40" s="246"/>
      <c r="AD40" s="247"/>
      <c r="AE40" s="247"/>
      <c r="AF40" s="247"/>
      <c r="AG40" s="247"/>
      <c r="AH40" s="247"/>
      <c r="AI40" s="247"/>
      <c r="AJ40" s="247"/>
      <c r="AK40" s="247"/>
      <c r="AL40" s="247"/>
      <c r="AM40" s="247"/>
      <c r="AN40" s="254"/>
      <c r="AO40" s="247"/>
      <c r="AP40" s="247"/>
      <c r="AQ40" s="247"/>
      <c r="AR40" s="247"/>
      <c r="AS40" s="247"/>
      <c r="AT40" s="247"/>
      <c r="AU40" s="256"/>
      <c r="AV40" s="256"/>
      <c r="AW40" s="247"/>
      <c r="AX40" s="247"/>
      <c r="AY40" s="247"/>
    </row>
    <row r="41" s="181" customFormat="1" spans="2:34">
      <c r="B41" s="214">
        <f t="shared" ref="B41:AB41" si="1">MIN(B7:B36)</f>
        <v>168</v>
      </c>
      <c r="C41" s="214">
        <f t="shared" si="1"/>
        <v>93.2</v>
      </c>
      <c r="D41" s="214">
        <f t="shared" si="1"/>
        <v>102</v>
      </c>
      <c r="E41" s="215">
        <f t="shared" si="1"/>
        <v>2.88</v>
      </c>
      <c r="F41" s="216">
        <f t="shared" si="1"/>
        <v>18.3</v>
      </c>
      <c r="G41" s="214">
        <f t="shared" si="1"/>
        <v>28.4</v>
      </c>
      <c r="H41" s="216">
        <f t="shared" si="1"/>
        <v>13</v>
      </c>
      <c r="I41" s="219">
        <f t="shared" si="1"/>
        <v>2.25</v>
      </c>
      <c r="J41" s="219">
        <f t="shared" si="1"/>
        <v>5</v>
      </c>
      <c r="K41" s="214">
        <f t="shared" si="1"/>
        <v>0.13</v>
      </c>
      <c r="L41" s="215">
        <f t="shared" si="1"/>
        <v>0.14</v>
      </c>
      <c r="M41" s="214">
        <f t="shared" si="1"/>
        <v>7.1</v>
      </c>
      <c r="N41" s="214">
        <f t="shared" si="1"/>
        <v>12</v>
      </c>
      <c r="O41" s="214">
        <f t="shared" si="1"/>
        <v>2.2</v>
      </c>
      <c r="P41" s="214">
        <f t="shared" si="1"/>
        <v>5</v>
      </c>
      <c r="Q41" s="214">
        <f t="shared" si="1"/>
        <v>0.41</v>
      </c>
      <c r="R41" s="214">
        <f t="shared" si="1"/>
        <v>0.14</v>
      </c>
      <c r="S41" s="214">
        <f t="shared" si="1"/>
        <v>5.46</v>
      </c>
      <c r="T41" s="214">
        <f t="shared" si="1"/>
        <v>13</v>
      </c>
      <c r="U41" s="214">
        <f t="shared" si="1"/>
        <v>0.38</v>
      </c>
      <c r="V41" s="214">
        <f t="shared" si="1"/>
        <v>10</v>
      </c>
      <c r="W41" s="214">
        <f t="shared" si="1"/>
        <v>2.04</v>
      </c>
      <c r="X41" s="214">
        <f t="shared" si="1"/>
        <v>5</v>
      </c>
      <c r="Y41" s="214">
        <f t="shared" si="1"/>
        <v>0.07</v>
      </c>
      <c r="Z41" s="215">
        <f t="shared" si="1"/>
        <v>0.1</v>
      </c>
      <c r="AA41" s="215">
        <f t="shared" si="1"/>
        <v>4.3</v>
      </c>
      <c r="AB41" s="214">
        <f t="shared" si="1"/>
        <v>78</v>
      </c>
      <c r="AC41" s="248"/>
      <c r="AH41" s="247"/>
    </row>
    <row r="42" s="181" customFormat="1" spans="2:29">
      <c r="B42" s="214">
        <f t="shared" ref="B42:AB42" si="2">MAX(B7:B36)</f>
        <v>444</v>
      </c>
      <c r="C42" s="214">
        <f t="shared" si="2"/>
        <v>244</v>
      </c>
      <c r="D42" s="214">
        <f t="shared" si="2"/>
        <v>324</v>
      </c>
      <c r="E42" s="215">
        <f t="shared" si="2"/>
        <v>5.98</v>
      </c>
      <c r="F42" s="216">
        <f t="shared" si="2"/>
        <v>37.3</v>
      </c>
      <c r="G42" s="216">
        <f t="shared" si="2"/>
        <v>51.2</v>
      </c>
      <c r="H42" s="214">
        <f t="shared" si="2"/>
        <v>21</v>
      </c>
      <c r="I42" s="219">
        <f t="shared" si="2"/>
        <v>2.9</v>
      </c>
      <c r="J42" s="219">
        <f t="shared" si="2"/>
        <v>7</v>
      </c>
      <c r="K42" s="214">
        <f t="shared" si="2"/>
        <v>0.92</v>
      </c>
      <c r="L42" s="214">
        <f t="shared" si="2"/>
        <v>3.1</v>
      </c>
      <c r="M42" s="214">
        <f t="shared" si="2"/>
        <v>13.7</v>
      </c>
      <c r="N42" s="214">
        <f t="shared" si="2"/>
        <v>20</v>
      </c>
      <c r="O42" s="215">
        <f t="shared" si="2"/>
        <v>2.66</v>
      </c>
      <c r="P42" s="214">
        <f t="shared" si="2"/>
        <v>6</v>
      </c>
      <c r="Q42" s="214">
        <f t="shared" si="2"/>
        <v>0.99</v>
      </c>
      <c r="R42" s="214">
        <f t="shared" si="2"/>
        <v>1.34</v>
      </c>
      <c r="S42" s="214">
        <f t="shared" si="2"/>
        <v>10.7</v>
      </c>
      <c r="T42" s="214">
        <f t="shared" si="2"/>
        <v>22.7</v>
      </c>
      <c r="U42" s="214">
        <f t="shared" si="2"/>
        <v>0.95</v>
      </c>
      <c r="V42" s="214">
        <f t="shared" si="2"/>
        <v>15</v>
      </c>
      <c r="W42" s="214">
        <f t="shared" si="2"/>
        <v>2.55</v>
      </c>
      <c r="X42" s="214">
        <f t="shared" si="2"/>
        <v>5</v>
      </c>
      <c r="Y42" s="215">
        <f t="shared" si="2"/>
        <v>0.32</v>
      </c>
      <c r="Z42" s="215">
        <f t="shared" si="2"/>
        <v>0.36</v>
      </c>
      <c r="AA42" s="215">
        <f t="shared" si="2"/>
        <v>10.4</v>
      </c>
      <c r="AB42" s="214">
        <f t="shared" si="2"/>
        <v>79.2</v>
      </c>
      <c r="AC42" s="248"/>
    </row>
    <row r="43" s="181" customFormat="1" spans="2:29">
      <c r="B43" s="214" t="s">
        <v>132</v>
      </c>
      <c r="C43" s="214"/>
      <c r="D43" s="214"/>
      <c r="E43" s="214"/>
      <c r="F43" s="214"/>
      <c r="G43" s="214"/>
      <c r="H43" s="214" t="s">
        <v>133</v>
      </c>
      <c r="I43" s="214"/>
      <c r="J43" s="214"/>
      <c r="K43" s="214"/>
      <c r="L43" s="214"/>
      <c r="M43" s="214"/>
      <c r="N43" s="214" t="s">
        <v>134</v>
      </c>
      <c r="O43" s="214"/>
      <c r="P43" s="214"/>
      <c r="Q43" s="214"/>
      <c r="R43" s="214"/>
      <c r="S43" s="214"/>
      <c r="T43" s="220" t="s">
        <v>121</v>
      </c>
      <c r="U43" s="220"/>
      <c r="V43" s="214" t="s">
        <v>122</v>
      </c>
      <c r="W43" s="214"/>
      <c r="X43" s="214"/>
      <c r="Y43" s="214"/>
      <c r="Z43" s="214"/>
      <c r="AA43" s="214"/>
      <c r="AB43" s="214" t="s">
        <v>135</v>
      </c>
      <c r="AC43" s="248" t="s">
        <v>124</v>
      </c>
    </row>
    <row r="44" s="181" customFormat="1" ht="18.75" spans="2:29">
      <c r="B44" s="214" t="s">
        <v>136</v>
      </c>
      <c r="C44" s="214" t="s">
        <v>137</v>
      </c>
      <c r="D44" s="214" t="s">
        <v>43</v>
      </c>
      <c r="E44" s="214" t="s">
        <v>45</v>
      </c>
      <c r="F44" s="214" t="s">
        <v>138</v>
      </c>
      <c r="G44" s="214" t="s">
        <v>48</v>
      </c>
      <c r="H44" s="214" t="s">
        <v>136</v>
      </c>
      <c r="I44" s="214" t="s">
        <v>137</v>
      </c>
      <c r="J44" s="214" t="s">
        <v>43</v>
      </c>
      <c r="K44" s="214" t="s">
        <v>45</v>
      </c>
      <c r="L44" s="214" t="s">
        <v>138</v>
      </c>
      <c r="M44" s="214" t="s">
        <v>48</v>
      </c>
      <c r="N44" s="214" t="s">
        <v>136</v>
      </c>
      <c r="O44" s="214" t="s">
        <v>137</v>
      </c>
      <c r="P44" s="214" t="s">
        <v>43</v>
      </c>
      <c r="Q44" s="214" t="s">
        <v>45</v>
      </c>
      <c r="R44" s="214" t="s">
        <v>138</v>
      </c>
      <c r="S44" s="214" t="s">
        <v>48</v>
      </c>
      <c r="T44" s="225" t="s">
        <v>128</v>
      </c>
      <c r="U44" s="225" t="s">
        <v>45</v>
      </c>
      <c r="V44" s="214" t="s">
        <v>136</v>
      </c>
      <c r="W44" s="214" t="s">
        <v>137</v>
      </c>
      <c r="X44" s="214" t="s">
        <v>43</v>
      </c>
      <c r="Y44" s="214" t="s">
        <v>45</v>
      </c>
      <c r="Z44" s="214" t="s">
        <v>138</v>
      </c>
      <c r="AA44" s="214" t="s">
        <v>48</v>
      </c>
      <c r="AB44" s="214"/>
      <c r="AC44" s="248"/>
    </row>
    <row r="45" s="181" customFormat="1" ht="15" spans="2:29">
      <c r="B45" s="214" t="s">
        <v>139</v>
      </c>
      <c r="C45" s="214" t="s">
        <v>139</v>
      </c>
      <c r="D45" s="214" t="s">
        <v>139</v>
      </c>
      <c r="E45" s="214" t="s">
        <v>139</v>
      </c>
      <c r="F45" s="214" t="s">
        <v>139</v>
      </c>
      <c r="G45" s="214" t="s">
        <v>139</v>
      </c>
      <c r="H45" s="214" t="s">
        <v>139</v>
      </c>
      <c r="I45" s="214" t="s">
        <v>139</v>
      </c>
      <c r="J45" s="214" t="s">
        <v>139</v>
      </c>
      <c r="K45" s="214" t="s">
        <v>139</v>
      </c>
      <c r="L45" s="214" t="s">
        <v>139</v>
      </c>
      <c r="M45" s="214" t="s">
        <v>139</v>
      </c>
      <c r="N45" s="214" t="s">
        <v>139</v>
      </c>
      <c r="O45" s="214" t="s">
        <v>139</v>
      </c>
      <c r="P45" s="214" t="s">
        <v>139</v>
      </c>
      <c r="Q45" s="214" t="s">
        <v>139</v>
      </c>
      <c r="R45" s="214" t="s">
        <v>139</v>
      </c>
      <c r="S45" s="214" t="s">
        <v>139</v>
      </c>
      <c r="T45" s="225" t="s">
        <v>130</v>
      </c>
      <c r="U45" s="225" t="s">
        <v>130</v>
      </c>
      <c r="V45" s="214" t="s">
        <v>139</v>
      </c>
      <c r="W45" s="214" t="s">
        <v>139</v>
      </c>
      <c r="X45" s="214" t="s">
        <v>139</v>
      </c>
      <c r="Y45" s="214" t="s">
        <v>139</v>
      </c>
      <c r="Z45" s="214" t="s">
        <v>139</v>
      </c>
      <c r="AA45" s="214" t="s">
        <v>139</v>
      </c>
      <c r="AB45" s="214"/>
      <c r="AC45" s="248"/>
    </row>
    <row r="46" s="181" customFormat="1" spans="20:29">
      <c r="T46" s="226"/>
      <c r="U46" s="226"/>
      <c r="V46" s="227" t="s">
        <v>140</v>
      </c>
      <c r="W46" s="227"/>
      <c r="X46" s="227"/>
      <c r="Y46" s="227"/>
      <c r="Z46" s="227"/>
      <c r="AA46" s="227"/>
      <c r="AC46" s="183"/>
    </row>
    <row r="47" s="181" customFormat="1" spans="20:29">
      <c r="T47" s="226"/>
      <c r="U47" s="226"/>
      <c r="V47" s="10" t="s">
        <v>141</v>
      </c>
      <c r="W47" s="10" t="s">
        <v>142</v>
      </c>
      <c r="X47" s="10" t="s">
        <v>53</v>
      </c>
      <c r="Y47" s="10" t="s">
        <v>143</v>
      </c>
      <c r="Z47" s="10" t="s">
        <v>144</v>
      </c>
      <c r="AA47" s="10" t="s">
        <v>145</v>
      </c>
      <c r="AC47" s="183"/>
    </row>
    <row r="48" s="181" customFormat="1" spans="20:29">
      <c r="T48" s="228"/>
      <c r="U48" s="228"/>
      <c r="V48" s="229">
        <f>COUNTIF(V7:V36,"&lt;=15")</f>
        <v>30</v>
      </c>
      <c r="W48" s="229">
        <f>COUNTIF(W7:W36,"&lt;=3")</f>
        <v>30</v>
      </c>
      <c r="X48" s="10"/>
      <c r="Y48" s="229">
        <f>COUNTIF(Y7:Y36,"&lt;=0.02")</f>
        <v>0</v>
      </c>
      <c r="Z48" s="229">
        <f>COUNTIF(Z7:Z36,"&lt;=0.15")</f>
        <v>8</v>
      </c>
      <c r="AA48" s="249"/>
      <c r="AC48" s="183"/>
    </row>
    <row r="49" s="181" customFormat="1" spans="20:29">
      <c r="T49" s="226"/>
      <c r="U49" s="226"/>
      <c r="V49" s="10" t="s">
        <v>146</v>
      </c>
      <c r="W49" s="10"/>
      <c r="X49" s="10"/>
      <c r="Y49" s="10"/>
      <c r="Z49" s="10"/>
      <c r="AA49" s="10"/>
      <c r="AC49" s="183"/>
    </row>
    <row r="50" s="181" customFormat="1" spans="20:29">
      <c r="T50" s="226"/>
      <c r="U50" s="226"/>
      <c r="V50" s="10" t="s">
        <v>141</v>
      </c>
      <c r="W50" s="10" t="s">
        <v>142</v>
      </c>
      <c r="X50" s="10" t="s">
        <v>53</v>
      </c>
      <c r="Y50" s="10" t="s">
        <v>147</v>
      </c>
      <c r="Z50" s="10" t="s">
        <v>148</v>
      </c>
      <c r="AA50" s="10" t="s">
        <v>148</v>
      </c>
      <c r="AC50" s="183"/>
    </row>
    <row r="51" s="181" customFormat="1" spans="20:29">
      <c r="T51" s="226"/>
      <c r="U51" s="226"/>
      <c r="V51" s="10">
        <f>COUNTIF(V7:V36,"&lt;=15")</f>
        <v>30</v>
      </c>
      <c r="W51" s="10" t="e">
        <f>COUNTIF(#REF!,"&lt;=3")</f>
        <v>#REF!</v>
      </c>
      <c r="X51" s="10"/>
      <c r="Y51" s="231">
        <f>COUNTIF(Y7:Y36,"&gt;0.02")-COUNTIF(Y7:Y36,"&gt;0.1")</f>
        <v>3</v>
      </c>
      <c r="Z51" s="231">
        <f>COUNTIF(Z7:Z36,"&gt;0.15")-COUNTIF(Z7:Z36,"&gt;0.5")</f>
        <v>22</v>
      </c>
      <c r="AA51" s="10"/>
      <c r="AC51" s="183"/>
    </row>
    <row r="52" s="181" customFormat="1" spans="20:29">
      <c r="T52" s="226"/>
      <c r="U52" s="226"/>
      <c r="V52" s="10" t="s">
        <v>149</v>
      </c>
      <c r="W52" s="10"/>
      <c r="X52" s="10"/>
      <c r="Y52" s="10"/>
      <c r="Z52" s="10"/>
      <c r="AA52" s="10"/>
      <c r="AC52" s="183"/>
    </row>
    <row r="53" s="181" customFormat="1" spans="20:29">
      <c r="T53" s="226"/>
      <c r="U53" s="226"/>
      <c r="V53" s="10" t="s">
        <v>150</v>
      </c>
      <c r="W53" s="10" t="s">
        <v>151</v>
      </c>
      <c r="X53" s="10" t="s">
        <v>53</v>
      </c>
      <c r="Y53" s="10" t="s">
        <v>145</v>
      </c>
      <c r="Z53" s="10" t="s">
        <v>152</v>
      </c>
      <c r="AA53" s="10" t="s">
        <v>152</v>
      </c>
      <c r="AC53" s="183"/>
    </row>
    <row r="54" s="181" customFormat="1" spans="20:29">
      <c r="T54" s="230"/>
      <c r="U54" s="230"/>
      <c r="V54" s="231">
        <f>COUNTIF(V7:V36,"&gt;15")-COUNTIF(V7:V36,"&gt;20")</f>
        <v>0</v>
      </c>
      <c r="W54" s="231" t="e">
        <f>COUNTIF(#REF!,"&gt;3")-COUNTIF(#REF!,"&gt;4")</f>
        <v>#REF!</v>
      </c>
      <c r="X54" s="10"/>
      <c r="Y54" s="231">
        <f>COUNTIF(Y7:Y36,"&gt;0.1")-COUNTIF(Y7:Y36,"&gt;0.2")</f>
        <v>17</v>
      </c>
      <c r="Z54" s="231">
        <f>COUNTIF(Z7:Z36,"&gt;0.5")-COUNTIF(Z7:Z36,"&gt;1")</f>
        <v>0</v>
      </c>
      <c r="AA54" s="10"/>
      <c r="AC54" s="183"/>
    </row>
    <row r="55" s="181" customFormat="1" spans="20:29">
      <c r="T55" s="226"/>
      <c r="U55" s="226"/>
      <c r="V55" s="10" t="s">
        <v>153</v>
      </c>
      <c r="W55" s="10"/>
      <c r="X55" s="10"/>
      <c r="Y55" s="10"/>
      <c r="Z55" s="10"/>
      <c r="AA55" s="10"/>
      <c r="AC55" s="183"/>
    </row>
    <row r="56" s="181" customFormat="1" spans="20:29">
      <c r="T56" s="226"/>
      <c r="U56" s="226"/>
      <c r="V56" s="10" t="s">
        <v>154</v>
      </c>
      <c r="W56" s="10" t="s">
        <v>155</v>
      </c>
      <c r="X56" s="10" t="s">
        <v>53</v>
      </c>
      <c r="Y56" s="10" t="s">
        <v>156</v>
      </c>
      <c r="Z56" s="10" t="s">
        <v>157</v>
      </c>
      <c r="AA56" s="10" t="s">
        <v>157</v>
      </c>
      <c r="AC56" s="183"/>
    </row>
    <row r="57" s="181" customFormat="1" spans="20:29">
      <c r="T57" s="230"/>
      <c r="U57" s="230"/>
      <c r="V57" s="231">
        <f>COUNTIF(V7:V36,"&gt;20")-COUNTIF(V7:V36,"&gt;30")</f>
        <v>0</v>
      </c>
      <c r="W57" s="10">
        <v>0</v>
      </c>
      <c r="X57" s="10"/>
      <c r="Y57" s="231">
        <f>COUNTIF(Y7:Y36,"&gt;0.2")-COUNTIF(Y7:Y36,"&gt;0.3")</f>
        <v>8</v>
      </c>
      <c r="Z57" s="231">
        <f>COUNTIF(Z7:Z36,"&gt;1")-COUNTIF(Z7:Z36,"&gt;1.5")</f>
        <v>0</v>
      </c>
      <c r="AA57" s="10"/>
      <c r="AC57" s="183"/>
    </row>
    <row r="58" s="181" customFormat="1" spans="20:29">
      <c r="T58" s="226"/>
      <c r="U58" s="226"/>
      <c r="V58" s="10" t="s">
        <v>158</v>
      </c>
      <c r="W58" s="10"/>
      <c r="X58" s="10"/>
      <c r="Y58" s="10"/>
      <c r="Z58" s="10"/>
      <c r="AA58" s="10"/>
      <c r="AC58" s="183"/>
    </row>
    <row r="59" s="181" customFormat="1" spans="20:29">
      <c r="T59" s="226"/>
      <c r="U59" s="226"/>
      <c r="V59" s="10" t="s">
        <v>159</v>
      </c>
      <c r="W59" s="10" t="s">
        <v>160</v>
      </c>
      <c r="X59" s="10" t="s">
        <v>53</v>
      </c>
      <c r="Y59" s="10" t="s">
        <v>161</v>
      </c>
      <c r="Z59" s="10" t="s">
        <v>162</v>
      </c>
      <c r="AA59" s="10" t="s">
        <v>162</v>
      </c>
      <c r="AC59" s="183"/>
    </row>
    <row r="60" s="181" customFormat="1" spans="20:29">
      <c r="T60" s="230"/>
      <c r="U60" s="230"/>
      <c r="V60" s="231">
        <f>COUNTIF(V7:V36,"&gt;30")-COUNTIF(V7:V36,"&gt;40")</f>
        <v>0</v>
      </c>
      <c r="W60" s="10">
        <v>0</v>
      </c>
      <c r="X60" s="10"/>
      <c r="Y60" s="231">
        <f>COUNTIF(Y7:Y36,"&gt;0.3")-COUNTIF(Y7:Y36,"&gt;0.4")</f>
        <v>2</v>
      </c>
      <c r="Z60" s="231">
        <f>COUNTIF(Z7:Z36,"&gt;1.5")-COUNTIF(Z7:Z36,"&gt;2")</f>
        <v>0</v>
      </c>
      <c r="AA60" s="10"/>
      <c r="AC60" s="183"/>
    </row>
    <row r="61" s="181" customFormat="1" spans="20:29">
      <c r="T61" s="226"/>
      <c r="U61" s="226"/>
      <c r="V61" s="10" t="s">
        <v>163</v>
      </c>
      <c r="W61" s="10"/>
      <c r="X61" s="10"/>
      <c r="Y61" s="10"/>
      <c r="Z61" s="10"/>
      <c r="AA61" s="10"/>
      <c r="AC61" s="183"/>
    </row>
    <row r="62" s="181" customFormat="1" spans="20:29">
      <c r="T62" s="230"/>
      <c r="U62" s="230"/>
      <c r="V62" s="231" t="e">
        <f>COUNTIF(#REF!,"&gt;40")</f>
        <v>#REF!</v>
      </c>
      <c r="W62" s="10">
        <v>0</v>
      </c>
      <c r="X62" s="10" t="s">
        <v>53</v>
      </c>
      <c r="Y62" s="231" t="e">
        <f>COUNTIF(#REF!,"&gt;0.4")</f>
        <v>#REF!</v>
      </c>
      <c r="Z62" s="231" t="e">
        <f>COUNTIF(#REF!,"&gt;2")</f>
        <v>#REF!</v>
      </c>
      <c r="AA62" s="231" t="e">
        <f>COUNTIF(#REF!,"&gt;2")</f>
        <v>#REF!</v>
      </c>
      <c r="AC62" s="183"/>
    </row>
    <row r="63" s="181" customFormat="1" spans="20:29">
      <c r="T63" s="230"/>
      <c r="U63" s="230"/>
      <c r="V63" s="231" t="e">
        <f>COUNTIF(#REF!,"&gt;50")</f>
        <v>#REF!</v>
      </c>
      <c r="W63" s="231" t="e">
        <f>COUNTIF(#REF!,"&gt;10")</f>
        <v>#REF!</v>
      </c>
      <c r="X63" s="231" t="e">
        <f>COUNTIF(#REF!,"&gt;10")</f>
        <v>#REF!</v>
      </c>
      <c r="Y63" s="231" t="e">
        <f>COUNTIF(#REF!,"&gt;0.5")</f>
        <v>#REF!</v>
      </c>
      <c r="Z63" s="231" t="e">
        <f>COUNTIF(#REF!,"&gt;5")</f>
        <v>#REF!</v>
      </c>
      <c r="AA63" s="231" t="e">
        <f>COUNTIF(#REF!,"&gt;15")</f>
        <v>#REF!</v>
      </c>
      <c r="AC63" s="183"/>
    </row>
  </sheetData>
  <mergeCells count="18">
    <mergeCell ref="A1:AC1"/>
    <mergeCell ref="A3:AC3"/>
    <mergeCell ref="B4:G4"/>
    <mergeCell ref="H4:M4"/>
    <mergeCell ref="N4:S4"/>
    <mergeCell ref="T4:U4"/>
    <mergeCell ref="V4:AA4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19" sqref="J19"/>
    </sheetView>
  </sheetViews>
  <sheetFormatPr defaultColWidth="8.75" defaultRowHeight="14.25" outlineLevelCol="6"/>
  <cols>
    <col min="1" max="1" width="6.25" style="169" customWidth="1"/>
    <col min="2" max="2" width="23.625" style="169" customWidth="1"/>
    <col min="3" max="3" width="28.125" style="169" customWidth="1"/>
    <col min="4" max="4" width="21.25" style="169" customWidth="1"/>
    <col min="5" max="5" width="11.5" style="169" customWidth="1"/>
    <col min="6" max="6" width="8.75" style="169" customWidth="1"/>
    <col min="7" max="7" width="20.625" style="169"/>
    <col min="8" max="32" width="9" style="169"/>
    <col min="33" max="16384" width="8.75" style="169"/>
  </cols>
  <sheetData>
    <row r="1" s="169" customFormat="1" ht="26" customHeight="1" spans="1:7">
      <c r="A1" s="171" t="s">
        <v>164</v>
      </c>
      <c r="B1" s="172"/>
      <c r="C1" s="172"/>
      <c r="D1" s="172"/>
      <c r="E1" s="172"/>
      <c r="F1" s="172"/>
      <c r="G1" s="172"/>
    </row>
    <row r="2" s="169" customFormat="1" ht="15.75" spans="1:7">
      <c r="A2" s="173">
        <v>44866</v>
      </c>
      <c r="B2" s="173"/>
      <c r="C2" s="173"/>
      <c r="D2" s="173"/>
      <c r="E2" s="173"/>
      <c r="F2" s="173"/>
      <c r="G2" s="173"/>
    </row>
    <row r="3" s="169" customFormat="1" ht="30" customHeight="1" spans="1:7">
      <c r="A3" s="174" t="s">
        <v>165</v>
      </c>
      <c r="B3" s="174" t="s">
        <v>166</v>
      </c>
      <c r="C3" s="174" t="s">
        <v>167</v>
      </c>
      <c r="D3" s="175" t="s">
        <v>168</v>
      </c>
      <c r="E3" s="174" t="s">
        <v>169</v>
      </c>
      <c r="F3" s="20" t="s">
        <v>170</v>
      </c>
      <c r="G3" s="174" t="s">
        <v>171</v>
      </c>
    </row>
    <row r="4" s="169" customFormat="1" ht="19" customHeight="1" spans="1:7">
      <c r="A4" s="174">
        <v>1</v>
      </c>
      <c r="B4" s="174" t="s">
        <v>172</v>
      </c>
      <c r="C4" s="176" t="s">
        <v>173</v>
      </c>
      <c r="D4" s="174" t="s">
        <v>174</v>
      </c>
      <c r="E4" s="174" t="s">
        <v>175</v>
      </c>
      <c r="F4" s="174" t="s">
        <v>176</v>
      </c>
      <c r="G4" s="177" t="s">
        <v>177</v>
      </c>
    </row>
    <row r="5" s="169" customFormat="1" ht="19" customHeight="1" spans="1:7">
      <c r="A5" s="174">
        <v>2</v>
      </c>
      <c r="B5" s="174" t="s">
        <v>172</v>
      </c>
      <c r="C5" s="176" t="s">
        <v>173</v>
      </c>
      <c r="D5" s="178" t="s">
        <v>178</v>
      </c>
      <c r="E5" s="178" t="s">
        <v>179</v>
      </c>
      <c r="F5" s="178" t="s">
        <v>180</v>
      </c>
      <c r="G5" s="177" t="s">
        <v>177</v>
      </c>
    </row>
    <row r="6" s="169" customFormat="1" ht="19" customHeight="1" spans="1:7">
      <c r="A6" s="174">
        <v>3</v>
      </c>
      <c r="B6" s="174" t="s">
        <v>181</v>
      </c>
      <c r="C6" s="178" t="s">
        <v>182</v>
      </c>
      <c r="D6" s="174" t="s">
        <v>183</v>
      </c>
      <c r="E6" s="174" t="s">
        <v>175</v>
      </c>
      <c r="F6" s="174" t="s">
        <v>176</v>
      </c>
      <c r="G6" s="177" t="s">
        <v>184</v>
      </c>
    </row>
    <row r="7" s="169" customFormat="1" ht="19" customHeight="1" spans="1:7">
      <c r="A7" s="174">
        <v>4</v>
      </c>
      <c r="B7" s="174" t="s">
        <v>185</v>
      </c>
      <c r="C7" s="178" t="s">
        <v>186</v>
      </c>
      <c r="D7" s="174" t="s">
        <v>183</v>
      </c>
      <c r="E7" s="174" t="s">
        <v>175</v>
      </c>
      <c r="F7" s="174" t="s">
        <v>176</v>
      </c>
      <c r="G7" s="177" t="s">
        <v>187</v>
      </c>
    </row>
    <row r="8" s="169" customFormat="1" ht="19" customHeight="1" spans="1:7">
      <c r="A8" s="174">
        <v>5</v>
      </c>
      <c r="B8" s="174" t="s">
        <v>185</v>
      </c>
      <c r="C8" s="20" t="s">
        <v>188</v>
      </c>
      <c r="D8" s="174" t="s">
        <v>189</v>
      </c>
      <c r="E8" s="174" t="s">
        <v>175</v>
      </c>
      <c r="F8" s="174" t="s">
        <v>176</v>
      </c>
      <c r="G8" s="177" t="s">
        <v>177</v>
      </c>
    </row>
    <row r="9" s="169" customFormat="1" ht="19" customHeight="1" spans="1:7">
      <c r="A9" s="174">
        <v>6</v>
      </c>
      <c r="B9" s="174" t="s">
        <v>181</v>
      </c>
      <c r="C9" s="179" t="s">
        <v>190</v>
      </c>
      <c r="D9" s="174" t="s">
        <v>189</v>
      </c>
      <c r="E9" s="174" t="s">
        <v>175</v>
      </c>
      <c r="F9" s="174" t="s">
        <v>176</v>
      </c>
      <c r="G9" s="177" t="s">
        <v>184</v>
      </c>
    </row>
    <row r="10" s="169" customFormat="1" ht="19" customHeight="1" spans="1:7">
      <c r="A10" s="174">
        <v>7</v>
      </c>
      <c r="B10" s="174" t="s">
        <v>185</v>
      </c>
      <c r="C10" s="20" t="s">
        <v>188</v>
      </c>
      <c r="D10" s="174" t="s">
        <v>191</v>
      </c>
      <c r="E10" s="174" t="s">
        <v>175</v>
      </c>
      <c r="F10" s="174" t="s">
        <v>176</v>
      </c>
      <c r="G10" s="177" t="s">
        <v>187</v>
      </c>
    </row>
    <row r="11" s="169" customFormat="1" ht="19" customHeight="1" spans="1:7">
      <c r="A11" s="174">
        <v>8</v>
      </c>
      <c r="B11" s="174" t="s">
        <v>181</v>
      </c>
      <c r="C11" s="179" t="s">
        <v>190</v>
      </c>
      <c r="D11" s="174" t="s">
        <v>191</v>
      </c>
      <c r="E11" s="174" t="s">
        <v>175</v>
      </c>
      <c r="F11" s="174" t="s">
        <v>176</v>
      </c>
      <c r="G11" s="177" t="s">
        <v>177</v>
      </c>
    </row>
    <row r="12" s="169" customFormat="1" ht="19" customHeight="1" spans="1:7">
      <c r="A12" s="174">
        <v>9</v>
      </c>
      <c r="B12" s="174" t="s">
        <v>185</v>
      </c>
      <c r="C12" s="174" t="s">
        <v>188</v>
      </c>
      <c r="D12" s="174" t="s">
        <v>192</v>
      </c>
      <c r="E12" s="174" t="s">
        <v>175</v>
      </c>
      <c r="F12" s="174" t="s">
        <v>176</v>
      </c>
      <c r="G12" s="177" t="s">
        <v>184</v>
      </c>
    </row>
    <row r="13" s="169" customFormat="1" ht="19" customHeight="1" spans="1:7">
      <c r="A13" s="174">
        <v>10</v>
      </c>
      <c r="B13" s="174" t="s">
        <v>181</v>
      </c>
      <c r="C13" s="179" t="s">
        <v>190</v>
      </c>
      <c r="D13" s="174" t="s">
        <v>192</v>
      </c>
      <c r="E13" s="174" t="s">
        <v>175</v>
      </c>
      <c r="F13" s="174" t="s">
        <v>176</v>
      </c>
      <c r="G13" s="177" t="s">
        <v>187</v>
      </c>
    </row>
    <row r="14" s="169" customFormat="1" ht="19" customHeight="1" spans="1:7">
      <c r="A14" s="174">
        <v>11</v>
      </c>
      <c r="B14" s="174" t="s">
        <v>193</v>
      </c>
      <c r="C14" s="174" t="s">
        <v>194</v>
      </c>
      <c r="D14" s="174" t="s">
        <v>195</v>
      </c>
      <c r="E14" s="174" t="s">
        <v>175</v>
      </c>
      <c r="F14" s="174" t="s">
        <v>176</v>
      </c>
      <c r="G14" s="174" t="s">
        <v>196</v>
      </c>
    </row>
    <row r="15" s="169" customFormat="1" ht="19" customHeight="1" spans="1:7">
      <c r="A15" s="174">
        <v>12</v>
      </c>
      <c r="B15" s="174" t="s">
        <v>197</v>
      </c>
      <c r="C15" s="174" t="s">
        <v>198</v>
      </c>
      <c r="D15" s="174" t="s">
        <v>195</v>
      </c>
      <c r="E15" s="174" t="s">
        <v>175</v>
      </c>
      <c r="F15" s="174" t="s">
        <v>176</v>
      </c>
      <c r="G15" s="174" t="s">
        <v>196</v>
      </c>
    </row>
    <row r="16" s="169" customFormat="1" ht="19" customHeight="1" spans="1:7">
      <c r="A16" s="174">
        <v>13</v>
      </c>
      <c r="B16" s="174" t="s">
        <v>199</v>
      </c>
      <c r="C16" s="174" t="s">
        <v>200</v>
      </c>
      <c r="D16" s="174" t="s">
        <v>195</v>
      </c>
      <c r="E16" s="174" t="s">
        <v>175</v>
      </c>
      <c r="F16" s="174" t="s">
        <v>176</v>
      </c>
      <c r="G16" s="174" t="s">
        <v>196</v>
      </c>
    </row>
    <row r="17" s="169" customFormat="1" ht="19" customHeight="1" spans="1:7">
      <c r="A17" s="174">
        <v>14</v>
      </c>
      <c r="B17" s="174" t="s">
        <v>201</v>
      </c>
      <c r="C17" s="174" t="s">
        <v>202</v>
      </c>
      <c r="D17" s="178" t="s">
        <v>203</v>
      </c>
      <c r="E17" s="178" t="s">
        <v>179</v>
      </c>
      <c r="F17" s="178" t="s">
        <v>180</v>
      </c>
      <c r="G17" s="174" t="s">
        <v>196</v>
      </c>
    </row>
    <row r="18" s="169" customFormat="1" ht="19" customHeight="1" spans="1:7">
      <c r="A18" s="174">
        <v>15</v>
      </c>
      <c r="B18" s="174" t="s">
        <v>193</v>
      </c>
      <c r="C18" s="174" t="s">
        <v>194</v>
      </c>
      <c r="D18" s="175" t="s">
        <v>204</v>
      </c>
      <c r="E18" s="174" t="s">
        <v>175</v>
      </c>
      <c r="F18" s="174" t="s">
        <v>176</v>
      </c>
      <c r="G18" s="174" t="s">
        <v>205</v>
      </c>
    </row>
    <row r="19" s="169" customFormat="1" ht="19" customHeight="1" spans="1:7">
      <c r="A19" s="174">
        <v>16</v>
      </c>
      <c r="B19" s="174" t="s">
        <v>197</v>
      </c>
      <c r="C19" s="174" t="s">
        <v>198</v>
      </c>
      <c r="D19" s="175" t="s">
        <v>204</v>
      </c>
      <c r="E19" s="174" t="s">
        <v>175</v>
      </c>
      <c r="F19" s="174" t="s">
        <v>176</v>
      </c>
      <c r="G19" s="174" t="s">
        <v>205</v>
      </c>
    </row>
    <row r="20" s="169" customFormat="1" ht="19" customHeight="1" spans="1:7">
      <c r="A20" s="174">
        <v>17</v>
      </c>
      <c r="B20" s="174" t="s">
        <v>206</v>
      </c>
      <c r="C20" s="174" t="s">
        <v>202</v>
      </c>
      <c r="D20" s="175" t="s">
        <v>204</v>
      </c>
      <c r="E20" s="178" t="s">
        <v>179</v>
      </c>
      <c r="F20" s="178" t="s">
        <v>180</v>
      </c>
      <c r="G20" s="174" t="s">
        <v>205</v>
      </c>
    </row>
    <row r="21" s="169" customFormat="1" ht="19" customHeight="1" spans="1:7">
      <c r="A21" s="174">
        <v>18</v>
      </c>
      <c r="B21" s="174" t="s">
        <v>199</v>
      </c>
      <c r="C21" s="174" t="s">
        <v>200</v>
      </c>
      <c r="D21" s="175" t="s">
        <v>204</v>
      </c>
      <c r="E21" s="174" t="s">
        <v>175</v>
      </c>
      <c r="F21" s="174" t="s">
        <v>176</v>
      </c>
      <c r="G21" s="174" t="s">
        <v>205</v>
      </c>
    </row>
    <row r="22" s="169" customFormat="1" ht="19" customHeight="1" spans="1:7">
      <c r="A22" s="174">
        <v>19</v>
      </c>
      <c r="B22" s="175" t="s">
        <v>207</v>
      </c>
      <c r="C22" s="174" t="s">
        <v>208</v>
      </c>
      <c r="D22" s="175" t="s">
        <v>209</v>
      </c>
      <c r="E22" s="174" t="s">
        <v>175</v>
      </c>
      <c r="F22" s="174" t="s">
        <v>176</v>
      </c>
      <c r="G22" s="177" t="s">
        <v>177</v>
      </c>
    </row>
    <row r="23" s="169" customFormat="1" ht="19" customHeight="1" spans="1:7">
      <c r="A23" s="174">
        <v>20</v>
      </c>
      <c r="B23" s="175" t="s">
        <v>207</v>
      </c>
      <c r="C23" s="174" t="s">
        <v>208</v>
      </c>
      <c r="D23" s="175" t="s">
        <v>210</v>
      </c>
      <c r="E23" s="174" t="s">
        <v>175</v>
      </c>
      <c r="F23" s="174" t="s">
        <v>176</v>
      </c>
      <c r="G23" s="177" t="s">
        <v>184</v>
      </c>
    </row>
    <row r="24" s="170" customFormat="1" ht="30" customHeight="1" spans="1:7">
      <c r="A24" s="180" t="s">
        <v>211</v>
      </c>
      <c r="B24" s="180"/>
      <c r="C24" s="180"/>
      <c r="D24" s="180"/>
      <c r="E24" s="180"/>
      <c r="F24" s="180"/>
      <c r="G24" s="180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14" workbookViewId="0">
      <selection activeCell="I185" sqref="I185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213</v>
      </c>
      <c r="B2" s="20" t="s">
        <v>214</v>
      </c>
      <c r="C2" s="20" t="s">
        <v>215</v>
      </c>
      <c r="D2" s="20" t="s">
        <v>216</v>
      </c>
      <c r="E2" s="20" t="s">
        <v>217</v>
      </c>
      <c r="F2" s="20" t="s">
        <v>218</v>
      </c>
      <c r="G2" s="20" t="s">
        <v>219</v>
      </c>
      <c r="H2" s="20" t="s">
        <v>220</v>
      </c>
      <c r="I2" s="20" t="s">
        <v>221</v>
      </c>
      <c r="J2" s="21" t="s">
        <v>222</v>
      </c>
      <c r="K2" s="20" t="s">
        <v>223</v>
      </c>
    </row>
    <row r="3" s="16" customFormat="1" ht="13" customHeight="1" spans="1:11">
      <c r="A3" s="21" t="s">
        <v>224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225</v>
      </c>
      <c r="C4" s="26">
        <v>30</v>
      </c>
      <c r="D4" s="26">
        <v>24</v>
      </c>
      <c r="E4" s="26">
        <v>720</v>
      </c>
      <c r="F4" s="26">
        <v>0</v>
      </c>
      <c r="G4" s="26"/>
      <c r="H4" s="27">
        <f t="shared" ref="H4:H30" si="0">F4/E4</f>
        <v>0</v>
      </c>
      <c r="I4" s="54">
        <f>1-G4/E4</f>
        <v>1</v>
      </c>
      <c r="J4" s="55"/>
      <c r="K4" s="29"/>
    </row>
    <row r="5" s="16" customFormat="1" ht="13" customHeight="1" spans="1:11">
      <c r="A5" s="24">
        <v>2</v>
      </c>
      <c r="B5" s="28" t="s">
        <v>226</v>
      </c>
      <c r="C5" s="26">
        <v>30</v>
      </c>
      <c r="D5" s="26">
        <v>24</v>
      </c>
      <c r="E5" s="26">
        <v>720</v>
      </c>
      <c r="F5" s="26">
        <v>715</v>
      </c>
      <c r="G5" s="29"/>
      <c r="H5" s="27">
        <f t="shared" si="0"/>
        <v>0.993055555555556</v>
      </c>
      <c r="I5" s="54">
        <f t="shared" ref="I5:I30" si="1">1-G5/E5</f>
        <v>1</v>
      </c>
      <c r="J5" s="55"/>
      <c r="K5" s="29"/>
    </row>
    <row r="6" s="16" customFormat="1" ht="13" customHeight="1" spans="1:11">
      <c r="A6" s="24">
        <v>3</v>
      </c>
      <c r="B6" s="28" t="s">
        <v>227</v>
      </c>
      <c r="C6" s="26">
        <v>30</v>
      </c>
      <c r="D6" s="26">
        <v>24</v>
      </c>
      <c r="E6" s="26">
        <v>720</v>
      </c>
      <c r="F6" s="26">
        <v>715</v>
      </c>
      <c r="G6" s="29"/>
      <c r="H6" s="27">
        <f t="shared" si="0"/>
        <v>0.993055555555556</v>
      </c>
      <c r="I6" s="54">
        <f t="shared" si="1"/>
        <v>1</v>
      </c>
      <c r="J6" s="55"/>
      <c r="K6" s="29"/>
    </row>
    <row r="7" s="16" customFormat="1" ht="13" customHeight="1" spans="1:11">
      <c r="A7" s="24">
        <v>4</v>
      </c>
      <c r="B7" s="28" t="s">
        <v>228</v>
      </c>
      <c r="C7" s="26">
        <v>30</v>
      </c>
      <c r="D7" s="26">
        <v>24</v>
      </c>
      <c r="E7" s="26">
        <v>720</v>
      </c>
      <c r="F7" s="26">
        <v>0</v>
      </c>
      <c r="G7" s="29"/>
      <c r="H7" s="27">
        <f t="shared" si="0"/>
        <v>0</v>
      </c>
      <c r="I7" s="54">
        <f t="shared" si="1"/>
        <v>1</v>
      </c>
      <c r="J7" s="55"/>
      <c r="K7" s="29"/>
    </row>
    <row r="8" s="16" customFormat="1" ht="13" customHeight="1" spans="1:11">
      <c r="A8" s="24">
        <v>5</v>
      </c>
      <c r="B8" s="28" t="s">
        <v>229</v>
      </c>
      <c r="C8" s="26">
        <v>30</v>
      </c>
      <c r="D8" s="26">
        <v>24</v>
      </c>
      <c r="E8" s="26">
        <v>720</v>
      </c>
      <c r="F8" s="26">
        <v>719</v>
      </c>
      <c r="G8" s="29"/>
      <c r="H8" s="27">
        <f t="shared" si="0"/>
        <v>0.998611111111111</v>
      </c>
      <c r="I8" s="54">
        <f t="shared" si="1"/>
        <v>1</v>
      </c>
      <c r="J8" s="55"/>
      <c r="K8" s="29"/>
    </row>
    <row r="9" s="16" customFormat="1" ht="13" customHeight="1" spans="1:11">
      <c r="A9" s="24">
        <v>6</v>
      </c>
      <c r="B9" s="28" t="s">
        <v>230</v>
      </c>
      <c r="C9" s="26">
        <v>30</v>
      </c>
      <c r="D9" s="26">
        <v>24</v>
      </c>
      <c r="E9" s="26">
        <v>720</v>
      </c>
      <c r="F9" s="26">
        <v>719</v>
      </c>
      <c r="G9" s="29"/>
      <c r="H9" s="27">
        <f t="shared" si="0"/>
        <v>0.998611111111111</v>
      </c>
      <c r="I9" s="54">
        <f t="shared" si="1"/>
        <v>1</v>
      </c>
      <c r="J9" s="55"/>
      <c r="K9" s="29"/>
    </row>
    <row r="10" s="16" customFormat="1" ht="13" customHeight="1" spans="1:11">
      <c r="A10" s="24">
        <v>7</v>
      </c>
      <c r="B10" s="28" t="s">
        <v>231</v>
      </c>
      <c r="C10" s="26">
        <v>30</v>
      </c>
      <c r="D10" s="26">
        <v>24</v>
      </c>
      <c r="E10" s="26">
        <v>720</v>
      </c>
      <c r="F10" s="26">
        <v>0</v>
      </c>
      <c r="G10" s="29"/>
      <c r="H10" s="27">
        <f t="shared" si="0"/>
        <v>0</v>
      </c>
      <c r="I10" s="54">
        <f t="shared" si="1"/>
        <v>1</v>
      </c>
      <c r="J10" s="55"/>
      <c r="K10" s="29"/>
    </row>
    <row r="11" s="16" customFormat="1" ht="13" customHeight="1" spans="1:11">
      <c r="A11" s="24">
        <v>8</v>
      </c>
      <c r="B11" s="28" t="s">
        <v>232</v>
      </c>
      <c r="C11" s="26">
        <v>30</v>
      </c>
      <c r="D11" s="26">
        <v>24</v>
      </c>
      <c r="E11" s="26">
        <v>720</v>
      </c>
      <c r="F11" s="26">
        <v>715</v>
      </c>
      <c r="G11" s="29"/>
      <c r="H11" s="27">
        <f t="shared" si="0"/>
        <v>0.993055555555556</v>
      </c>
      <c r="I11" s="54">
        <f t="shared" si="1"/>
        <v>1</v>
      </c>
      <c r="J11" s="55"/>
      <c r="K11" s="29"/>
    </row>
    <row r="12" s="16" customFormat="1" ht="13" customHeight="1" spans="1:11">
      <c r="A12" s="24">
        <v>9</v>
      </c>
      <c r="B12" s="28" t="s">
        <v>233</v>
      </c>
      <c r="C12" s="26">
        <v>30</v>
      </c>
      <c r="D12" s="26">
        <v>24</v>
      </c>
      <c r="E12" s="26">
        <v>720</v>
      </c>
      <c r="F12" s="26">
        <v>715</v>
      </c>
      <c r="G12" s="29"/>
      <c r="H12" s="27">
        <f t="shared" si="0"/>
        <v>0.993055555555556</v>
      </c>
      <c r="I12" s="54">
        <f t="shared" si="1"/>
        <v>1</v>
      </c>
      <c r="J12" s="55"/>
      <c r="K12" s="29"/>
    </row>
    <row r="13" s="16" customFormat="1" ht="13" customHeight="1" spans="1:11">
      <c r="A13" s="24">
        <v>10</v>
      </c>
      <c r="B13" s="28" t="s">
        <v>234</v>
      </c>
      <c r="C13" s="26">
        <v>30</v>
      </c>
      <c r="D13" s="26">
        <v>24</v>
      </c>
      <c r="E13" s="26">
        <v>720</v>
      </c>
      <c r="F13" s="26">
        <v>715</v>
      </c>
      <c r="G13" s="29"/>
      <c r="H13" s="27">
        <f t="shared" si="0"/>
        <v>0.993055555555556</v>
      </c>
      <c r="I13" s="54">
        <f t="shared" si="1"/>
        <v>1</v>
      </c>
      <c r="J13" s="55"/>
      <c r="K13" s="29"/>
    </row>
    <row r="14" s="16" customFormat="1" ht="13" customHeight="1" spans="1:11">
      <c r="A14" s="24">
        <v>11</v>
      </c>
      <c r="B14" s="28" t="s">
        <v>235</v>
      </c>
      <c r="C14" s="26">
        <v>30</v>
      </c>
      <c r="D14" s="26">
        <v>24</v>
      </c>
      <c r="E14" s="26">
        <v>720</v>
      </c>
      <c r="F14" s="26">
        <v>715</v>
      </c>
      <c r="G14" s="29"/>
      <c r="H14" s="27">
        <f t="shared" si="0"/>
        <v>0.993055555555556</v>
      </c>
      <c r="I14" s="54">
        <f t="shared" si="1"/>
        <v>1</v>
      </c>
      <c r="J14" s="55"/>
      <c r="K14" s="29"/>
    </row>
    <row r="15" s="16" customFormat="1" ht="13" customHeight="1" spans="1:11">
      <c r="A15" s="24">
        <v>12</v>
      </c>
      <c r="B15" s="28" t="s">
        <v>236</v>
      </c>
      <c r="C15" s="26">
        <v>30</v>
      </c>
      <c r="D15" s="26">
        <v>24</v>
      </c>
      <c r="E15" s="26">
        <v>720</v>
      </c>
      <c r="F15" s="26">
        <v>715</v>
      </c>
      <c r="G15" s="29"/>
      <c r="H15" s="27">
        <f t="shared" si="0"/>
        <v>0.993055555555556</v>
      </c>
      <c r="I15" s="54">
        <f t="shared" si="1"/>
        <v>1</v>
      </c>
      <c r="J15" s="55"/>
      <c r="K15" s="29"/>
    </row>
    <row r="16" s="16" customFormat="1" ht="13" customHeight="1" spans="1:11">
      <c r="A16" s="24">
        <v>13</v>
      </c>
      <c r="B16" s="28" t="s">
        <v>237</v>
      </c>
      <c r="C16" s="26">
        <v>30</v>
      </c>
      <c r="D16" s="26">
        <v>24</v>
      </c>
      <c r="E16" s="26">
        <v>720</v>
      </c>
      <c r="F16" s="26">
        <v>715</v>
      </c>
      <c r="G16" s="29"/>
      <c r="H16" s="27">
        <f t="shared" si="0"/>
        <v>0.993055555555556</v>
      </c>
      <c r="I16" s="54">
        <f t="shared" si="1"/>
        <v>1</v>
      </c>
      <c r="J16" s="55"/>
      <c r="K16" s="29"/>
    </row>
    <row r="17" s="16" customFormat="1" ht="13" customHeight="1" spans="1:11">
      <c r="A17" s="24">
        <v>14</v>
      </c>
      <c r="B17" s="28" t="s">
        <v>238</v>
      </c>
      <c r="C17" s="26">
        <v>30</v>
      </c>
      <c r="D17" s="26">
        <v>24</v>
      </c>
      <c r="E17" s="26">
        <v>720</v>
      </c>
      <c r="F17" s="26">
        <v>715</v>
      </c>
      <c r="G17" s="29"/>
      <c r="H17" s="27">
        <f t="shared" si="0"/>
        <v>0.993055555555556</v>
      </c>
      <c r="I17" s="54">
        <f t="shared" si="1"/>
        <v>1</v>
      </c>
      <c r="J17" s="55"/>
      <c r="K17" s="29"/>
    </row>
    <row r="18" s="16" customFormat="1" ht="13" customHeight="1" spans="1:11">
      <c r="A18" s="24">
        <v>15</v>
      </c>
      <c r="B18" s="28" t="s">
        <v>239</v>
      </c>
      <c r="C18" s="26">
        <v>30</v>
      </c>
      <c r="D18" s="26">
        <v>24</v>
      </c>
      <c r="E18" s="26">
        <v>720</v>
      </c>
      <c r="F18" s="26">
        <v>715</v>
      </c>
      <c r="G18" s="29"/>
      <c r="H18" s="27">
        <f t="shared" si="0"/>
        <v>0.993055555555556</v>
      </c>
      <c r="I18" s="54">
        <f t="shared" si="1"/>
        <v>1</v>
      </c>
      <c r="J18" s="55"/>
      <c r="K18" s="29"/>
    </row>
    <row r="19" s="16" customFormat="1" ht="13" customHeight="1" spans="1:11">
      <c r="A19" s="24">
        <v>16</v>
      </c>
      <c r="B19" s="28" t="s">
        <v>240</v>
      </c>
      <c r="C19" s="26">
        <v>30</v>
      </c>
      <c r="D19" s="26">
        <v>24</v>
      </c>
      <c r="E19" s="26">
        <v>720</v>
      </c>
      <c r="F19" s="26">
        <v>715</v>
      </c>
      <c r="G19" s="29"/>
      <c r="H19" s="27">
        <f t="shared" si="0"/>
        <v>0.993055555555556</v>
      </c>
      <c r="I19" s="54">
        <f t="shared" si="1"/>
        <v>1</v>
      </c>
      <c r="J19" s="55"/>
      <c r="K19" s="29"/>
    </row>
    <row r="20" s="16" customFormat="1" ht="13" customHeight="1" spans="1:11">
      <c r="A20" s="24">
        <v>17</v>
      </c>
      <c r="B20" s="28" t="s">
        <v>241</v>
      </c>
      <c r="C20" s="26">
        <v>30</v>
      </c>
      <c r="D20" s="26">
        <v>24</v>
      </c>
      <c r="E20" s="26">
        <v>720</v>
      </c>
      <c r="F20" s="26">
        <v>719</v>
      </c>
      <c r="G20" s="29"/>
      <c r="H20" s="27">
        <f t="shared" si="0"/>
        <v>0.998611111111111</v>
      </c>
      <c r="I20" s="54">
        <f t="shared" si="1"/>
        <v>1</v>
      </c>
      <c r="J20" s="55"/>
      <c r="K20" s="29"/>
    </row>
    <row r="21" s="16" customFormat="1" ht="13" customHeight="1" spans="1:11">
      <c r="A21" s="24">
        <v>18</v>
      </c>
      <c r="B21" s="28" t="s">
        <v>242</v>
      </c>
      <c r="C21" s="26">
        <v>30</v>
      </c>
      <c r="D21" s="26">
        <v>24</v>
      </c>
      <c r="E21" s="26">
        <v>720</v>
      </c>
      <c r="F21" s="26">
        <v>719</v>
      </c>
      <c r="G21" s="29"/>
      <c r="H21" s="27">
        <f t="shared" si="0"/>
        <v>0.998611111111111</v>
      </c>
      <c r="I21" s="54">
        <f t="shared" si="1"/>
        <v>1</v>
      </c>
      <c r="J21" s="55"/>
      <c r="K21" s="29"/>
    </row>
    <row r="22" s="16" customFormat="1" ht="13" customHeight="1" spans="1:11">
      <c r="A22" s="24">
        <v>19</v>
      </c>
      <c r="B22" s="28" t="s">
        <v>243</v>
      </c>
      <c r="C22" s="26">
        <v>30</v>
      </c>
      <c r="D22" s="26">
        <v>24</v>
      </c>
      <c r="E22" s="26">
        <v>720</v>
      </c>
      <c r="F22" s="26">
        <v>719</v>
      </c>
      <c r="G22" s="29"/>
      <c r="H22" s="27">
        <f t="shared" si="0"/>
        <v>0.998611111111111</v>
      </c>
      <c r="I22" s="54">
        <f t="shared" si="1"/>
        <v>1</v>
      </c>
      <c r="J22" s="55"/>
      <c r="K22" s="29"/>
    </row>
    <row r="23" s="16" customFormat="1" ht="13" customHeight="1" spans="1:11">
      <c r="A23" s="24">
        <v>20</v>
      </c>
      <c r="B23" s="28" t="s">
        <v>244</v>
      </c>
      <c r="C23" s="26">
        <v>30</v>
      </c>
      <c r="D23" s="26">
        <v>24</v>
      </c>
      <c r="E23" s="26">
        <v>720</v>
      </c>
      <c r="F23" s="26">
        <v>719</v>
      </c>
      <c r="G23" s="29"/>
      <c r="H23" s="27">
        <f t="shared" si="0"/>
        <v>0.998611111111111</v>
      </c>
      <c r="I23" s="54">
        <f t="shared" si="1"/>
        <v>1</v>
      </c>
      <c r="J23" s="55"/>
      <c r="K23" s="29"/>
    </row>
    <row r="24" s="16" customFormat="1" ht="13" customHeight="1" spans="1:11">
      <c r="A24" s="24">
        <v>21</v>
      </c>
      <c r="B24" s="28" t="s">
        <v>245</v>
      </c>
      <c r="C24" s="26">
        <v>30</v>
      </c>
      <c r="D24" s="26">
        <v>24</v>
      </c>
      <c r="E24" s="26">
        <v>720</v>
      </c>
      <c r="F24" s="26">
        <v>719</v>
      </c>
      <c r="G24" s="29"/>
      <c r="H24" s="27">
        <f t="shared" si="0"/>
        <v>0.998611111111111</v>
      </c>
      <c r="I24" s="54">
        <f t="shared" si="1"/>
        <v>1</v>
      </c>
      <c r="J24" s="55"/>
      <c r="K24" s="29"/>
    </row>
    <row r="25" s="16" customFormat="1" ht="13" customHeight="1" spans="1:11">
      <c r="A25" s="24">
        <v>22</v>
      </c>
      <c r="B25" s="28" t="s">
        <v>246</v>
      </c>
      <c r="C25" s="26">
        <v>30</v>
      </c>
      <c r="D25" s="26">
        <v>24</v>
      </c>
      <c r="E25" s="26">
        <v>720</v>
      </c>
      <c r="F25" s="26">
        <v>719</v>
      </c>
      <c r="G25" s="29"/>
      <c r="H25" s="27">
        <f t="shared" si="0"/>
        <v>0.998611111111111</v>
      </c>
      <c r="I25" s="54">
        <f t="shared" si="1"/>
        <v>1</v>
      </c>
      <c r="J25" s="55"/>
      <c r="K25" s="29"/>
    </row>
    <row r="26" s="16" customFormat="1" ht="13" customHeight="1" spans="1:11">
      <c r="A26" s="24">
        <v>23</v>
      </c>
      <c r="B26" s="28" t="s">
        <v>247</v>
      </c>
      <c r="C26" s="26">
        <v>30</v>
      </c>
      <c r="D26" s="26">
        <v>24</v>
      </c>
      <c r="E26" s="26">
        <v>720</v>
      </c>
      <c r="F26" s="26">
        <v>719</v>
      </c>
      <c r="G26" s="29"/>
      <c r="H26" s="27">
        <f t="shared" si="0"/>
        <v>0.998611111111111</v>
      </c>
      <c r="I26" s="54">
        <f t="shared" si="1"/>
        <v>1</v>
      </c>
      <c r="J26" s="55"/>
      <c r="K26" s="29"/>
    </row>
    <row r="27" s="16" customFormat="1" ht="13" customHeight="1" spans="1:11">
      <c r="A27" s="24">
        <v>24</v>
      </c>
      <c r="B27" s="28" t="s">
        <v>248</v>
      </c>
      <c r="C27" s="26">
        <v>30</v>
      </c>
      <c r="D27" s="26">
        <v>24</v>
      </c>
      <c r="E27" s="26">
        <v>720</v>
      </c>
      <c r="F27" s="26">
        <v>719</v>
      </c>
      <c r="G27" s="29"/>
      <c r="H27" s="27">
        <f t="shared" si="0"/>
        <v>0.998611111111111</v>
      </c>
      <c r="I27" s="54">
        <f t="shared" si="1"/>
        <v>1</v>
      </c>
      <c r="J27" s="55"/>
      <c r="K27" s="29"/>
    </row>
    <row r="28" s="16" customFormat="1" ht="13" customHeight="1" spans="1:11">
      <c r="A28" s="24">
        <v>25</v>
      </c>
      <c r="B28" s="28" t="s">
        <v>249</v>
      </c>
      <c r="C28" s="26">
        <v>30</v>
      </c>
      <c r="D28" s="26">
        <v>24</v>
      </c>
      <c r="E28" s="26">
        <v>720</v>
      </c>
      <c r="F28" s="26">
        <v>719</v>
      </c>
      <c r="G28" s="29"/>
      <c r="H28" s="27">
        <f t="shared" si="0"/>
        <v>0.998611111111111</v>
      </c>
      <c r="I28" s="54">
        <f t="shared" si="1"/>
        <v>1</v>
      </c>
      <c r="J28" s="56"/>
      <c r="K28" s="29"/>
    </row>
    <row r="29" s="16" customFormat="1" ht="13" customHeight="1" spans="1:11">
      <c r="A29" s="24">
        <v>26</v>
      </c>
      <c r="B29" s="28" t="s">
        <v>250</v>
      </c>
      <c r="C29" s="26">
        <v>30</v>
      </c>
      <c r="D29" s="26">
        <v>24</v>
      </c>
      <c r="E29" s="26">
        <v>720</v>
      </c>
      <c r="F29" s="26">
        <v>714</v>
      </c>
      <c r="G29" s="29"/>
      <c r="H29" s="27">
        <f t="shared" si="0"/>
        <v>0.991666666666667</v>
      </c>
      <c r="I29" s="54">
        <f t="shared" si="1"/>
        <v>1</v>
      </c>
      <c r="J29" s="55" t="s">
        <v>251</v>
      </c>
      <c r="K29" s="29"/>
    </row>
    <row r="30" s="16" customFormat="1" ht="13" customHeight="1" spans="1:11">
      <c r="A30" s="24">
        <v>27</v>
      </c>
      <c r="B30" s="28" t="s">
        <v>252</v>
      </c>
      <c r="C30" s="26">
        <v>30</v>
      </c>
      <c r="D30" s="29">
        <v>24</v>
      </c>
      <c r="E30" s="26">
        <v>720</v>
      </c>
      <c r="F30" s="26">
        <v>714</v>
      </c>
      <c r="G30" s="29">
        <v>2</v>
      </c>
      <c r="H30" s="27">
        <f t="shared" si="0"/>
        <v>0.991666666666667</v>
      </c>
      <c r="I30" s="54">
        <f t="shared" si="1"/>
        <v>0.997222222222222</v>
      </c>
      <c r="J30" s="55" t="s">
        <v>253</v>
      </c>
      <c r="K30" s="29"/>
    </row>
    <row r="31" s="16" customFormat="1" ht="15.75" spans="1:11">
      <c r="A31" s="30" t="s">
        <v>254</v>
      </c>
      <c r="B31" s="31"/>
      <c r="C31" s="30"/>
      <c r="D31" s="30"/>
      <c r="E31" s="30" t="s">
        <v>255</v>
      </c>
      <c r="F31" s="30"/>
      <c r="G31" s="31"/>
      <c r="H31" s="30"/>
      <c r="I31" s="30" t="s">
        <v>256</v>
      </c>
      <c r="J31" s="31"/>
      <c r="K31" s="30"/>
    </row>
    <row r="32" s="16" customFormat="1" ht="33" customHeight="1" spans="1:11">
      <c r="A32" s="18" t="s">
        <v>257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213</v>
      </c>
      <c r="B33" s="20" t="s">
        <v>214</v>
      </c>
      <c r="C33" s="20" t="s">
        <v>215</v>
      </c>
      <c r="D33" s="20" t="s">
        <v>216</v>
      </c>
      <c r="E33" s="20" t="s">
        <v>217</v>
      </c>
      <c r="F33" s="20" t="s">
        <v>218</v>
      </c>
      <c r="G33" s="20" t="s">
        <v>219</v>
      </c>
      <c r="H33" s="20" t="s">
        <v>220</v>
      </c>
      <c r="I33" s="20" t="s">
        <v>221</v>
      </c>
      <c r="J33" s="21" t="s">
        <v>222</v>
      </c>
      <c r="K33" s="20" t="s">
        <v>223</v>
      </c>
    </row>
    <row r="34" s="16" customFormat="1" ht="13" customHeight="1" spans="1:11">
      <c r="A34" s="24">
        <v>30</v>
      </c>
      <c r="B34" s="32" t="s">
        <v>258</v>
      </c>
      <c r="C34" s="33">
        <v>30</v>
      </c>
      <c r="D34" s="33">
        <v>24</v>
      </c>
      <c r="E34" s="33">
        <v>720</v>
      </c>
      <c r="F34" s="33">
        <v>715</v>
      </c>
      <c r="G34" s="33"/>
      <c r="H34" s="27">
        <f t="shared" ref="H34:H52" si="2">F34/E34</f>
        <v>0.993055555555556</v>
      </c>
      <c r="I34" s="54">
        <f>1-G34/E34</f>
        <v>1</v>
      </c>
      <c r="J34" s="55" t="s">
        <v>251</v>
      </c>
      <c r="K34" s="35"/>
    </row>
    <row r="35" s="16" customFormat="1" ht="13" customHeight="1" spans="1:11">
      <c r="A35" s="24">
        <v>29</v>
      </c>
      <c r="B35" s="34" t="s">
        <v>259</v>
      </c>
      <c r="C35" s="33">
        <v>30</v>
      </c>
      <c r="D35" s="33">
        <v>24</v>
      </c>
      <c r="E35" s="33">
        <v>720</v>
      </c>
      <c r="F35" s="35">
        <v>715</v>
      </c>
      <c r="G35" s="35"/>
      <c r="H35" s="27">
        <f t="shared" si="2"/>
        <v>0.993055555555556</v>
      </c>
      <c r="I35" s="54">
        <f t="shared" ref="I35:I52" si="3">1-G35/E35</f>
        <v>1</v>
      </c>
      <c r="J35" s="55" t="s">
        <v>251</v>
      </c>
      <c r="K35" s="35"/>
    </row>
    <row r="36" s="16" customFormat="1" ht="13" customHeight="1" spans="1:11">
      <c r="A36" s="24">
        <v>30</v>
      </c>
      <c r="B36" s="34" t="s">
        <v>260</v>
      </c>
      <c r="C36" s="33">
        <v>30</v>
      </c>
      <c r="D36" s="33">
        <v>24</v>
      </c>
      <c r="E36" s="33">
        <v>720</v>
      </c>
      <c r="F36" s="35">
        <v>719</v>
      </c>
      <c r="G36" s="35"/>
      <c r="H36" s="27">
        <f t="shared" si="2"/>
        <v>0.998611111111111</v>
      </c>
      <c r="I36" s="54">
        <f t="shared" si="3"/>
        <v>1</v>
      </c>
      <c r="J36" s="55" t="s">
        <v>251</v>
      </c>
      <c r="K36" s="35"/>
    </row>
    <row r="37" s="16" customFormat="1" ht="13" customHeight="1" spans="1:11">
      <c r="A37" s="24">
        <v>30</v>
      </c>
      <c r="B37" s="34" t="s">
        <v>261</v>
      </c>
      <c r="C37" s="33">
        <v>30</v>
      </c>
      <c r="D37" s="33">
        <v>24</v>
      </c>
      <c r="E37" s="33">
        <v>720</v>
      </c>
      <c r="F37" s="35">
        <v>719</v>
      </c>
      <c r="G37" s="35"/>
      <c r="H37" s="27">
        <f t="shared" si="2"/>
        <v>0.998611111111111</v>
      </c>
      <c r="I37" s="54">
        <f t="shared" si="3"/>
        <v>1</v>
      </c>
      <c r="J37" s="55" t="s">
        <v>251</v>
      </c>
      <c r="K37" s="35"/>
    </row>
    <row r="38" s="16" customFormat="1" ht="13" customHeight="1" spans="1:11">
      <c r="A38" s="24">
        <v>32</v>
      </c>
      <c r="B38" s="34" t="s">
        <v>262</v>
      </c>
      <c r="C38" s="33">
        <v>30</v>
      </c>
      <c r="D38" s="33">
        <v>24</v>
      </c>
      <c r="E38" s="33">
        <v>720</v>
      </c>
      <c r="F38" s="35">
        <v>719</v>
      </c>
      <c r="G38" s="35"/>
      <c r="H38" s="27">
        <f t="shared" si="2"/>
        <v>0.998611111111111</v>
      </c>
      <c r="I38" s="54">
        <f t="shared" si="3"/>
        <v>1</v>
      </c>
      <c r="J38" s="55" t="s">
        <v>251</v>
      </c>
      <c r="K38" s="35"/>
    </row>
    <row r="39" s="16" customFormat="1" ht="13" customHeight="1" spans="1:11">
      <c r="A39" s="24">
        <v>33</v>
      </c>
      <c r="B39" s="34" t="s">
        <v>263</v>
      </c>
      <c r="C39" s="33">
        <v>30</v>
      </c>
      <c r="D39" s="33">
        <v>24</v>
      </c>
      <c r="E39" s="33">
        <v>720</v>
      </c>
      <c r="F39" s="35">
        <v>719</v>
      </c>
      <c r="G39" s="35"/>
      <c r="H39" s="27">
        <f t="shared" si="2"/>
        <v>0.998611111111111</v>
      </c>
      <c r="I39" s="54">
        <f t="shared" si="3"/>
        <v>1</v>
      </c>
      <c r="J39" s="55" t="s">
        <v>251</v>
      </c>
      <c r="K39" s="35"/>
    </row>
    <row r="40" s="16" customFormat="1" ht="13" customHeight="1" spans="1:11">
      <c r="A40" s="24">
        <v>34</v>
      </c>
      <c r="B40" s="34" t="s">
        <v>264</v>
      </c>
      <c r="C40" s="33">
        <v>30</v>
      </c>
      <c r="D40" s="33">
        <v>24</v>
      </c>
      <c r="E40" s="33">
        <v>720</v>
      </c>
      <c r="F40" s="35">
        <v>715</v>
      </c>
      <c r="G40" s="35"/>
      <c r="H40" s="27">
        <f t="shared" si="2"/>
        <v>0.993055555555556</v>
      </c>
      <c r="I40" s="54">
        <f t="shared" si="3"/>
        <v>1</v>
      </c>
      <c r="J40" s="55" t="s">
        <v>251</v>
      </c>
      <c r="K40" s="35"/>
    </row>
    <row r="41" s="16" customFormat="1" ht="13" customHeight="1" spans="1:11">
      <c r="A41" s="24">
        <v>35</v>
      </c>
      <c r="B41" s="34" t="s">
        <v>265</v>
      </c>
      <c r="C41" s="33">
        <v>30</v>
      </c>
      <c r="D41" s="33">
        <v>24</v>
      </c>
      <c r="E41" s="33">
        <v>720</v>
      </c>
      <c r="F41" s="33">
        <v>715</v>
      </c>
      <c r="G41" s="36"/>
      <c r="H41" s="27">
        <f t="shared" si="2"/>
        <v>0.993055555555556</v>
      </c>
      <c r="I41" s="54">
        <f t="shared" si="3"/>
        <v>1</v>
      </c>
      <c r="J41" s="55" t="s">
        <v>251</v>
      </c>
      <c r="K41" s="35"/>
    </row>
    <row r="42" s="16" customFormat="1" ht="13" customHeight="1" spans="1:11">
      <c r="A42" s="24">
        <v>36</v>
      </c>
      <c r="B42" s="34" t="s">
        <v>266</v>
      </c>
      <c r="C42" s="33">
        <v>30</v>
      </c>
      <c r="D42" s="33">
        <v>24</v>
      </c>
      <c r="E42" s="33">
        <v>720</v>
      </c>
      <c r="F42" s="33">
        <v>0</v>
      </c>
      <c r="G42" s="35"/>
      <c r="H42" s="27">
        <f t="shared" si="2"/>
        <v>0</v>
      </c>
      <c r="I42" s="54">
        <f t="shared" si="3"/>
        <v>1</v>
      </c>
      <c r="J42" s="55" t="s">
        <v>251</v>
      </c>
      <c r="K42" s="35"/>
    </row>
    <row r="43" s="16" customFormat="1" ht="13" customHeight="1" spans="1:11">
      <c r="A43" s="24">
        <v>37</v>
      </c>
      <c r="B43" s="34" t="s">
        <v>267</v>
      </c>
      <c r="C43" s="33">
        <v>30</v>
      </c>
      <c r="D43" s="33">
        <v>24</v>
      </c>
      <c r="E43" s="33">
        <v>720</v>
      </c>
      <c r="F43" s="33">
        <v>719</v>
      </c>
      <c r="G43" s="35"/>
      <c r="H43" s="27">
        <f t="shared" si="2"/>
        <v>0.998611111111111</v>
      </c>
      <c r="I43" s="54">
        <f t="shared" si="3"/>
        <v>1</v>
      </c>
      <c r="J43" s="55" t="s">
        <v>251</v>
      </c>
      <c r="K43" s="35"/>
    </row>
    <row r="44" s="16" customFormat="1" ht="13" customHeight="1" spans="1:11">
      <c r="A44" s="24">
        <v>38</v>
      </c>
      <c r="B44" s="34" t="s">
        <v>268</v>
      </c>
      <c r="C44" s="33">
        <v>30</v>
      </c>
      <c r="D44" s="33">
        <v>24</v>
      </c>
      <c r="E44" s="33">
        <v>720</v>
      </c>
      <c r="F44" s="33">
        <v>719</v>
      </c>
      <c r="G44" s="35"/>
      <c r="H44" s="27">
        <f t="shared" si="2"/>
        <v>0.998611111111111</v>
      </c>
      <c r="I44" s="54">
        <f t="shared" si="3"/>
        <v>1</v>
      </c>
      <c r="J44" s="55" t="s">
        <v>251</v>
      </c>
      <c r="K44" s="35"/>
    </row>
    <row r="45" s="16" customFormat="1" ht="13" customHeight="1" spans="1:11">
      <c r="A45" s="24">
        <v>39</v>
      </c>
      <c r="B45" s="34" t="s">
        <v>269</v>
      </c>
      <c r="C45" s="33">
        <v>30</v>
      </c>
      <c r="D45" s="33">
        <v>24</v>
      </c>
      <c r="E45" s="33">
        <v>720</v>
      </c>
      <c r="F45" s="33">
        <v>0</v>
      </c>
      <c r="G45" s="35"/>
      <c r="H45" s="27">
        <f t="shared" si="2"/>
        <v>0</v>
      </c>
      <c r="I45" s="54">
        <f t="shared" si="3"/>
        <v>1</v>
      </c>
      <c r="J45" s="55" t="s">
        <v>251</v>
      </c>
      <c r="K45" s="35"/>
    </row>
    <row r="46" s="16" customFormat="1" ht="13" customHeight="1" spans="1:11">
      <c r="A46" s="24">
        <v>40</v>
      </c>
      <c r="B46" s="34" t="s">
        <v>270</v>
      </c>
      <c r="C46" s="33">
        <v>30</v>
      </c>
      <c r="D46" s="33">
        <v>24</v>
      </c>
      <c r="E46" s="33">
        <v>720</v>
      </c>
      <c r="F46" s="37">
        <v>692</v>
      </c>
      <c r="G46" s="35"/>
      <c r="H46" s="27">
        <f t="shared" si="2"/>
        <v>0.961111111111111</v>
      </c>
      <c r="I46" s="54">
        <f t="shared" si="3"/>
        <v>1</v>
      </c>
      <c r="J46" s="57"/>
      <c r="K46" s="35"/>
    </row>
    <row r="47" s="16" customFormat="1" ht="13" customHeight="1" spans="1:11">
      <c r="A47" s="24">
        <v>41</v>
      </c>
      <c r="B47" s="34" t="s">
        <v>271</v>
      </c>
      <c r="C47" s="33">
        <v>30</v>
      </c>
      <c r="D47" s="33">
        <v>24</v>
      </c>
      <c r="E47" s="33">
        <v>720</v>
      </c>
      <c r="F47" s="37">
        <v>715</v>
      </c>
      <c r="G47" s="35"/>
      <c r="H47" s="27">
        <f t="shared" si="2"/>
        <v>0.993055555555556</v>
      </c>
      <c r="I47" s="54">
        <f t="shared" si="3"/>
        <v>1</v>
      </c>
      <c r="J47" s="58"/>
      <c r="K47" s="35"/>
    </row>
    <row r="48" s="16" customFormat="1" ht="13" customHeight="1" spans="1:11">
      <c r="A48" s="24">
        <v>42</v>
      </c>
      <c r="B48" s="34" t="s">
        <v>272</v>
      </c>
      <c r="C48" s="33">
        <v>30</v>
      </c>
      <c r="D48" s="35">
        <v>24</v>
      </c>
      <c r="E48" s="33">
        <v>720</v>
      </c>
      <c r="F48" s="37">
        <v>715</v>
      </c>
      <c r="G48" s="35"/>
      <c r="H48" s="27">
        <f t="shared" si="2"/>
        <v>0.993055555555556</v>
      </c>
      <c r="I48" s="54">
        <f t="shared" si="3"/>
        <v>1</v>
      </c>
      <c r="J48" s="58"/>
      <c r="K48" s="35"/>
    </row>
    <row r="49" s="16" customFormat="1" ht="13" customHeight="1" spans="1:11">
      <c r="A49" s="24">
        <v>43</v>
      </c>
      <c r="B49" s="34" t="s">
        <v>273</v>
      </c>
      <c r="C49" s="33">
        <v>30</v>
      </c>
      <c r="D49" s="33">
        <v>24</v>
      </c>
      <c r="E49" s="33">
        <v>720</v>
      </c>
      <c r="F49" s="37">
        <v>715</v>
      </c>
      <c r="G49" s="35"/>
      <c r="H49" s="27">
        <f t="shared" si="2"/>
        <v>0.993055555555556</v>
      </c>
      <c r="I49" s="54">
        <f t="shared" si="3"/>
        <v>1</v>
      </c>
      <c r="J49" s="59"/>
      <c r="K49" s="35"/>
    </row>
    <row r="50" s="16" customFormat="1" ht="13" customHeight="1" spans="1:11">
      <c r="A50" s="24">
        <v>44</v>
      </c>
      <c r="B50" s="34" t="s">
        <v>274</v>
      </c>
      <c r="C50" s="33">
        <v>30</v>
      </c>
      <c r="D50" s="33">
        <v>24</v>
      </c>
      <c r="E50" s="33">
        <v>720</v>
      </c>
      <c r="F50" s="37">
        <v>720</v>
      </c>
      <c r="G50" s="35"/>
      <c r="H50" s="27">
        <f t="shared" si="2"/>
        <v>1</v>
      </c>
      <c r="I50" s="54">
        <f t="shared" si="3"/>
        <v>1</v>
      </c>
      <c r="J50" s="59" t="s">
        <v>275</v>
      </c>
      <c r="K50" s="35"/>
    </row>
    <row r="51" s="16" customFormat="1" ht="13" customHeight="1" spans="1:11">
      <c r="A51" s="24">
        <v>45</v>
      </c>
      <c r="B51" s="34" t="s">
        <v>276</v>
      </c>
      <c r="C51" s="33">
        <v>30</v>
      </c>
      <c r="D51" s="33">
        <v>24</v>
      </c>
      <c r="E51" s="33">
        <v>720</v>
      </c>
      <c r="F51" s="37">
        <v>720</v>
      </c>
      <c r="G51" s="35"/>
      <c r="H51" s="27">
        <f t="shared" si="2"/>
        <v>1</v>
      </c>
      <c r="I51" s="54">
        <f t="shared" si="3"/>
        <v>1</v>
      </c>
      <c r="J51" s="59"/>
      <c r="K51" s="35"/>
    </row>
    <row r="52" s="16" customFormat="1" ht="13" customHeight="1" spans="1:11">
      <c r="A52" s="24">
        <v>46</v>
      </c>
      <c r="B52" s="34" t="s">
        <v>277</v>
      </c>
      <c r="C52" s="33">
        <v>30</v>
      </c>
      <c r="D52" s="35">
        <v>24</v>
      </c>
      <c r="E52" s="33">
        <v>720</v>
      </c>
      <c r="F52" s="37">
        <v>720</v>
      </c>
      <c r="G52" s="38"/>
      <c r="H52" s="27">
        <f t="shared" si="2"/>
        <v>1</v>
      </c>
      <c r="I52" s="54">
        <f t="shared" si="3"/>
        <v>1</v>
      </c>
      <c r="J52" s="59"/>
      <c r="K52" s="35"/>
    </row>
    <row r="53" s="16" customFormat="1" ht="13" customHeight="1" spans="1:11">
      <c r="A53" s="39" t="s">
        <v>278</v>
      </c>
      <c r="B53" s="40"/>
      <c r="C53" s="41"/>
      <c r="D53" s="42"/>
      <c r="E53" s="43"/>
      <c r="F53" s="44"/>
      <c r="G53" s="45"/>
      <c r="H53" s="27"/>
      <c r="I53" s="44"/>
      <c r="J53" s="45"/>
      <c r="K53" s="60"/>
    </row>
    <row r="54" s="16" customFormat="1" ht="13" customHeight="1" spans="1:11">
      <c r="A54" s="46">
        <v>47</v>
      </c>
      <c r="B54" s="47" t="s">
        <v>232</v>
      </c>
      <c r="C54" s="48">
        <v>30</v>
      </c>
      <c r="D54" s="48">
        <v>24</v>
      </c>
      <c r="E54" s="49">
        <v>720</v>
      </c>
      <c r="F54" s="49">
        <v>715</v>
      </c>
      <c r="G54" s="48"/>
      <c r="H54" s="27">
        <f t="shared" ref="H54:H61" si="4">F54/E54</f>
        <v>0.993055555555556</v>
      </c>
      <c r="I54" s="54">
        <f>1-G54/E54</f>
        <v>1</v>
      </c>
      <c r="J54" s="61"/>
      <c r="K54" s="48"/>
    </row>
    <row r="55" s="16" customFormat="1" ht="13" customHeight="1" spans="1:11">
      <c r="A55" s="46">
        <v>48</v>
      </c>
      <c r="B55" s="47" t="s">
        <v>233</v>
      </c>
      <c r="C55" s="49">
        <v>30</v>
      </c>
      <c r="D55" s="48">
        <v>24</v>
      </c>
      <c r="E55" s="49">
        <v>720</v>
      </c>
      <c r="F55" s="49">
        <v>715</v>
      </c>
      <c r="G55" s="48"/>
      <c r="H55" s="27">
        <f t="shared" si="4"/>
        <v>0.993055555555556</v>
      </c>
      <c r="I55" s="54">
        <f t="shared" ref="I55:I61" si="5">1-G55/E55</f>
        <v>1</v>
      </c>
      <c r="J55" s="61"/>
      <c r="K55" s="48"/>
    </row>
    <row r="56" s="16" customFormat="1" ht="13" customHeight="1" spans="1:11">
      <c r="A56" s="46">
        <v>49</v>
      </c>
      <c r="B56" s="47" t="s">
        <v>234</v>
      </c>
      <c r="C56" s="49">
        <v>30</v>
      </c>
      <c r="D56" s="49">
        <v>24</v>
      </c>
      <c r="E56" s="49">
        <v>720</v>
      </c>
      <c r="F56" s="49">
        <v>715</v>
      </c>
      <c r="G56" s="48"/>
      <c r="H56" s="27">
        <f t="shared" si="4"/>
        <v>0.993055555555556</v>
      </c>
      <c r="I56" s="54">
        <f t="shared" si="5"/>
        <v>1</v>
      </c>
      <c r="J56" s="61"/>
      <c r="K56" s="48"/>
    </row>
    <row r="57" s="16" customFormat="1" ht="13" customHeight="1" spans="1:11">
      <c r="A57" s="46">
        <v>50</v>
      </c>
      <c r="B57" s="47" t="s">
        <v>235</v>
      </c>
      <c r="C57" s="49">
        <v>30</v>
      </c>
      <c r="D57" s="49">
        <v>24</v>
      </c>
      <c r="E57" s="49">
        <v>720</v>
      </c>
      <c r="F57" s="49">
        <v>715</v>
      </c>
      <c r="G57" s="48"/>
      <c r="H57" s="27">
        <f t="shared" si="4"/>
        <v>0.993055555555556</v>
      </c>
      <c r="I57" s="54">
        <f t="shared" si="5"/>
        <v>1</v>
      </c>
      <c r="J57" s="61"/>
      <c r="K57" s="48"/>
    </row>
    <row r="58" s="16" customFormat="1" ht="13" customHeight="1" spans="1:11">
      <c r="A58" s="46">
        <v>51</v>
      </c>
      <c r="B58" s="47" t="s">
        <v>236</v>
      </c>
      <c r="C58" s="49">
        <v>30</v>
      </c>
      <c r="D58" s="49">
        <v>24</v>
      </c>
      <c r="E58" s="49">
        <v>720</v>
      </c>
      <c r="F58" s="49">
        <v>715</v>
      </c>
      <c r="G58" s="50"/>
      <c r="H58" s="27">
        <f t="shared" si="4"/>
        <v>0.993055555555556</v>
      </c>
      <c r="I58" s="54">
        <f t="shared" si="5"/>
        <v>1</v>
      </c>
      <c r="J58" s="61"/>
      <c r="K58" s="48"/>
    </row>
    <row r="59" s="16" customFormat="1" ht="13" customHeight="1" spans="1:11">
      <c r="A59" s="46">
        <v>52</v>
      </c>
      <c r="B59" s="47" t="s">
        <v>237</v>
      </c>
      <c r="C59" s="49">
        <v>30</v>
      </c>
      <c r="D59" s="49">
        <v>24</v>
      </c>
      <c r="E59" s="49">
        <v>720</v>
      </c>
      <c r="F59" s="49">
        <v>715</v>
      </c>
      <c r="G59" s="50"/>
      <c r="H59" s="27">
        <f t="shared" si="4"/>
        <v>0.993055555555556</v>
      </c>
      <c r="I59" s="54">
        <f t="shared" si="5"/>
        <v>1</v>
      </c>
      <c r="J59" s="61"/>
      <c r="K59" s="48"/>
    </row>
    <row r="60" s="16" customFormat="1" ht="13" customHeight="1" spans="1:11">
      <c r="A60" s="46">
        <v>53</v>
      </c>
      <c r="B60" s="47" t="s">
        <v>238</v>
      </c>
      <c r="C60" s="49">
        <v>30</v>
      </c>
      <c r="D60" s="49">
        <v>24</v>
      </c>
      <c r="E60" s="49">
        <v>720</v>
      </c>
      <c r="F60" s="49">
        <v>719</v>
      </c>
      <c r="G60" s="48"/>
      <c r="H60" s="27">
        <f t="shared" si="4"/>
        <v>0.998611111111111</v>
      </c>
      <c r="I60" s="54">
        <f t="shared" si="5"/>
        <v>1</v>
      </c>
      <c r="J60" s="61"/>
      <c r="K60" s="48"/>
    </row>
    <row r="61" s="16" customFormat="1" ht="13" customHeight="1" spans="1:11">
      <c r="A61" s="46">
        <v>54</v>
      </c>
      <c r="B61" s="47" t="s">
        <v>239</v>
      </c>
      <c r="C61" s="49">
        <v>30</v>
      </c>
      <c r="D61" s="48">
        <v>24</v>
      </c>
      <c r="E61" s="49">
        <v>720</v>
      </c>
      <c r="F61" s="49">
        <v>719</v>
      </c>
      <c r="G61" s="48"/>
      <c r="H61" s="27">
        <f t="shared" si="4"/>
        <v>0.998611111111111</v>
      </c>
      <c r="I61" s="54">
        <f t="shared" si="5"/>
        <v>1</v>
      </c>
      <c r="J61" s="61"/>
      <c r="K61" s="48"/>
    </row>
    <row r="62" s="16" customFormat="1" ht="15.75" spans="1:11">
      <c r="A62" s="30" t="s">
        <v>254</v>
      </c>
      <c r="B62" s="31"/>
      <c r="C62" s="30"/>
      <c r="D62" s="30"/>
      <c r="E62" s="30" t="s">
        <v>255</v>
      </c>
      <c r="F62" s="30"/>
      <c r="G62" s="31"/>
      <c r="H62" s="30"/>
      <c r="I62" s="30" t="s">
        <v>256</v>
      </c>
      <c r="J62" s="31"/>
      <c r="K62" s="30"/>
    </row>
    <row r="63" s="16" customFormat="1" ht="31" customHeight="1" spans="1:11">
      <c r="A63" s="18" t="s">
        <v>279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280</v>
      </c>
      <c r="B64" s="51" t="s">
        <v>281</v>
      </c>
      <c r="C64" s="51" t="s">
        <v>282</v>
      </c>
      <c r="D64" s="51" t="s">
        <v>283</v>
      </c>
      <c r="E64" s="51" t="s">
        <v>284</v>
      </c>
      <c r="F64" s="51" t="s">
        <v>285</v>
      </c>
      <c r="G64" s="51" t="s">
        <v>286</v>
      </c>
      <c r="H64" s="51" t="s">
        <v>287</v>
      </c>
      <c r="I64" s="51" t="s">
        <v>288</v>
      </c>
      <c r="J64" s="62" t="s">
        <v>289</v>
      </c>
      <c r="K64" s="20" t="s">
        <v>290</v>
      </c>
    </row>
    <row r="65" s="16" customFormat="1" spans="1:11">
      <c r="A65" s="63"/>
      <c r="B65" s="63"/>
      <c r="C65" s="63"/>
      <c r="D65" s="63"/>
      <c r="E65" s="63"/>
      <c r="F65" s="63"/>
      <c r="G65" s="63"/>
      <c r="H65" s="63"/>
      <c r="I65" s="63"/>
      <c r="J65" s="83"/>
      <c r="K65" s="20"/>
    </row>
    <row r="66" s="16" customFormat="1" ht="13" customHeight="1" spans="1:11">
      <c r="A66" s="64">
        <v>55</v>
      </c>
      <c r="B66" s="65" t="s">
        <v>240</v>
      </c>
      <c r="C66" s="66">
        <v>30</v>
      </c>
      <c r="D66" s="66">
        <v>24</v>
      </c>
      <c r="E66" s="66">
        <v>720</v>
      </c>
      <c r="F66" s="66">
        <v>719</v>
      </c>
      <c r="G66" s="67"/>
      <c r="H66" s="27">
        <f t="shared" ref="H66:H69" si="6">F66/E66</f>
        <v>0.998611111111111</v>
      </c>
      <c r="I66" s="54">
        <f t="shared" ref="I66:I71" si="7">1-G66/E66</f>
        <v>1</v>
      </c>
      <c r="J66" s="61"/>
      <c r="K66" s="67"/>
    </row>
    <row r="67" s="16" customFormat="1" ht="13" customHeight="1" spans="1:11">
      <c r="A67" s="64">
        <v>56</v>
      </c>
      <c r="B67" s="65" t="s">
        <v>241</v>
      </c>
      <c r="C67" s="66">
        <v>30</v>
      </c>
      <c r="D67" s="66">
        <v>24</v>
      </c>
      <c r="E67" s="66">
        <v>720</v>
      </c>
      <c r="F67" s="66">
        <v>719</v>
      </c>
      <c r="G67" s="66"/>
      <c r="H67" s="27">
        <f t="shared" si="6"/>
        <v>0.998611111111111</v>
      </c>
      <c r="I67" s="54">
        <f t="shared" si="7"/>
        <v>1</v>
      </c>
      <c r="J67" s="61"/>
      <c r="K67" s="67"/>
    </row>
    <row r="68" s="16" customFormat="1" ht="13" customHeight="1" spans="1:11">
      <c r="A68" s="64">
        <v>57</v>
      </c>
      <c r="B68" s="65" t="s">
        <v>242</v>
      </c>
      <c r="C68" s="66">
        <v>30</v>
      </c>
      <c r="D68" s="66">
        <v>24</v>
      </c>
      <c r="E68" s="66">
        <v>720</v>
      </c>
      <c r="F68" s="66">
        <v>719</v>
      </c>
      <c r="G68" s="67"/>
      <c r="H68" s="27">
        <f t="shared" si="6"/>
        <v>0.998611111111111</v>
      </c>
      <c r="I68" s="54">
        <f t="shared" si="7"/>
        <v>1</v>
      </c>
      <c r="J68" s="61"/>
      <c r="K68" s="67"/>
    </row>
    <row r="69" s="16" customFormat="1" ht="13" customHeight="1" spans="1:11">
      <c r="A69" s="64">
        <v>58</v>
      </c>
      <c r="B69" s="65" t="s">
        <v>243</v>
      </c>
      <c r="C69" s="66">
        <v>30</v>
      </c>
      <c r="D69" s="66">
        <v>24</v>
      </c>
      <c r="E69" s="66">
        <v>720</v>
      </c>
      <c r="F69" s="66">
        <v>719</v>
      </c>
      <c r="G69" s="67"/>
      <c r="H69" s="27">
        <f t="shared" si="6"/>
        <v>0.998611111111111</v>
      </c>
      <c r="I69" s="54">
        <f t="shared" si="7"/>
        <v>1</v>
      </c>
      <c r="J69" s="61"/>
      <c r="K69" s="67"/>
    </row>
    <row r="70" s="16" customFormat="1" ht="13" customHeight="1" spans="1:11">
      <c r="A70" s="68" t="s">
        <v>85</v>
      </c>
      <c r="B70" s="69"/>
      <c r="C70" s="69"/>
      <c r="D70" s="69"/>
      <c r="E70" s="69"/>
      <c r="F70" s="69"/>
      <c r="G70" s="70"/>
      <c r="H70" s="27"/>
      <c r="I70" s="69"/>
      <c r="J70" s="70"/>
      <c r="K70" s="60"/>
    </row>
    <row r="71" s="16" customFormat="1" ht="13" customHeight="1" spans="1:11">
      <c r="A71" s="46">
        <v>59</v>
      </c>
      <c r="B71" s="71" t="s">
        <v>291</v>
      </c>
      <c r="C71" s="72">
        <v>30</v>
      </c>
      <c r="D71" s="72">
        <v>24</v>
      </c>
      <c r="E71" s="72">
        <v>720</v>
      </c>
      <c r="F71" s="72">
        <v>0</v>
      </c>
      <c r="G71" s="73"/>
      <c r="H71" s="27">
        <f t="shared" ref="H71:H93" si="8">F71/E71</f>
        <v>0</v>
      </c>
      <c r="I71" s="54">
        <f t="shared" si="7"/>
        <v>1</v>
      </c>
      <c r="J71" s="84"/>
      <c r="K71" s="73"/>
    </row>
    <row r="72" s="16" customFormat="1" ht="13" customHeight="1" spans="1:11">
      <c r="A72" s="46">
        <v>60</v>
      </c>
      <c r="B72" s="71" t="s">
        <v>292</v>
      </c>
      <c r="C72" s="72">
        <v>30</v>
      </c>
      <c r="D72" s="72">
        <v>24</v>
      </c>
      <c r="E72" s="72">
        <v>720</v>
      </c>
      <c r="F72" s="72">
        <v>0</v>
      </c>
      <c r="G72" s="73"/>
      <c r="H72" s="27">
        <f t="shared" si="8"/>
        <v>0</v>
      </c>
      <c r="I72" s="54">
        <f t="shared" ref="I72:I93" si="9">1-G72/E72</f>
        <v>1</v>
      </c>
      <c r="J72" s="84"/>
      <c r="K72" s="73"/>
    </row>
    <row r="73" s="16" customFormat="1" ht="13" customHeight="1" spans="1:11">
      <c r="A73" s="46">
        <v>61</v>
      </c>
      <c r="B73" s="71" t="s">
        <v>293</v>
      </c>
      <c r="C73" s="72">
        <v>30</v>
      </c>
      <c r="D73" s="72">
        <v>24</v>
      </c>
      <c r="E73" s="72">
        <v>720</v>
      </c>
      <c r="F73" s="72">
        <v>0</v>
      </c>
      <c r="G73" s="73"/>
      <c r="H73" s="27">
        <f t="shared" si="8"/>
        <v>0</v>
      </c>
      <c r="I73" s="54">
        <f t="shared" si="9"/>
        <v>1</v>
      </c>
      <c r="J73" s="84"/>
      <c r="K73" s="73"/>
    </row>
    <row r="74" s="16" customFormat="1" ht="13" customHeight="1" spans="1:11">
      <c r="A74" s="46">
        <v>62</v>
      </c>
      <c r="B74" s="71" t="s">
        <v>294</v>
      </c>
      <c r="C74" s="72">
        <v>30</v>
      </c>
      <c r="D74" s="72">
        <v>24</v>
      </c>
      <c r="E74" s="72">
        <v>720</v>
      </c>
      <c r="F74" s="72">
        <v>0</v>
      </c>
      <c r="G74" s="73"/>
      <c r="H74" s="27">
        <f t="shared" si="8"/>
        <v>0</v>
      </c>
      <c r="I74" s="54">
        <f t="shared" si="9"/>
        <v>1</v>
      </c>
      <c r="J74" s="84"/>
      <c r="K74" s="73"/>
    </row>
    <row r="75" s="16" customFormat="1" ht="13" customHeight="1" spans="1:11">
      <c r="A75" s="46">
        <v>63</v>
      </c>
      <c r="B75" s="71" t="s">
        <v>295</v>
      </c>
      <c r="C75" s="72">
        <v>30</v>
      </c>
      <c r="D75" s="72">
        <v>24</v>
      </c>
      <c r="E75" s="72">
        <v>720</v>
      </c>
      <c r="F75" s="72">
        <v>0</v>
      </c>
      <c r="G75" s="73"/>
      <c r="H75" s="27">
        <f t="shared" si="8"/>
        <v>0</v>
      </c>
      <c r="I75" s="54">
        <f t="shared" si="9"/>
        <v>1</v>
      </c>
      <c r="J75" s="84"/>
      <c r="K75" s="73"/>
    </row>
    <row r="76" s="16" customFormat="1" ht="13" customHeight="1" spans="1:11">
      <c r="A76" s="46">
        <v>64</v>
      </c>
      <c r="B76" s="71" t="s">
        <v>296</v>
      </c>
      <c r="C76" s="72">
        <v>30</v>
      </c>
      <c r="D76" s="72">
        <v>24</v>
      </c>
      <c r="E76" s="72">
        <v>720</v>
      </c>
      <c r="F76" s="72">
        <v>0</v>
      </c>
      <c r="G76" s="73"/>
      <c r="H76" s="27">
        <f t="shared" si="8"/>
        <v>0</v>
      </c>
      <c r="I76" s="54">
        <f t="shared" si="9"/>
        <v>1</v>
      </c>
      <c r="J76" s="84"/>
      <c r="K76" s="73"/>
    </row>
    <row r="77" s="16" customFormat="1" ht="13" customHeight="1" spans="1:11">
      <c r="A77" s="46">
        <v>65</v>
      </c>
      <c r="B77" s="71" t="s">
        <v>297</v>
      </c>
      <c r="C77" s="72">
        <v>30</v>
      </c>
      <c r="D77" s="72">
        <v>24</v>
      </c>
      <c r="E77" s="72">
        <v>720</v>
      </c>
      <c r="F77" s="72">
        <v>0</v>
      </c>
      <c r="G77" s="73"/>
      <c r="H77" s="27">
        <f t="shared" si="8"/>
        <v>0</v>
      </c>
      <c r="I77" s="54">
        <f t="shared" si="9"/>
        <v>1</v>
      </c>
      <c r="J77" s="84"/>
      <c r="K77" s="73"/>
    </row>
    <row r="78" s="16" customFormat="1" ht="13" customHeight="1" spans="1:11">
      <c r="A78" s="46">
        <v>66</v>
      </c>
      <c r="B78" s="71" t="s">
        <v>298</v>
      </c>
      <c r="C78" s="72">
        <v>30</v>
      </c>
      <c r="D78" s="72">
        <v>24</v>
      </c>
      <c r="E78" s="72">
        <v>720</v>
      </c>
      <c r="F78" s="72">
        <v>0</v>
      </c>
      <c r="G78" s="73"/>
      <c r="H78" s="27">
        <f t="shared" si="8"/>
        <v>0</v>
      </c>
      <c r="I78" s="54">
        <f t="shared" si="9"/>
        <v>1</v>
      </c>
      <c r="J78" s="84"/>
      <c r="K78" s="73"/>
    </row>
    <row r="79" s="16" customFormat="1" ht="13" customHeight="1" spans="1:11">
      <c r="A79" s="46">
        <v>67</v>
      </c>
      <c r="B79" s="71" t="s">
        <v>299</v>
      </c>
      <c r="C79" s="72">
        <v>30</v>
      </c>
      <c r="D79" s="72">
        <v>24</v>
      </c>
      <c r="E79" s="72">
        <v>720</v>
      </c>
      <c r="F79" s="72">
        <v>0</v>
      </c>
      <c r="G79" s="73"/>
      <c r="H79" s="27">
        <f t="shared" si="8"/>
        <v>0</v>
      </c>
      <c r="I79" s="54">
        <f t="shared" si="9"/>
        <v>1</v>
      </c>
      <c r="J79" s="84"/>
      <c r="K79" s="73"/>
    </row>
    <row r="80" s="16" customFormat="1" ht="13" customHeight="1" spans="1:11">
      <c r="A80" s="46">
        <v>68</v>
      </c>
      <c r="B80" s="71" t="s">
        <v>232</v>
      </c>
      <c r="C80" s="72">
        <v>30</v>
      </c>
      <c r="D80" s="72">
        <v>24</v>
      </c>
      <c r="E80" s="72">
        <v>720</v>
      </c>
      <c r="F80" s="72">
        <v>719</v>
      </c>
      <c r="G80" s="73"/>
      <c r="H80" s="27">
        <f t="shared" si="8"/>
        <v>0.998611111111111</v>
      </c>
      <c r="I80" s="54">
        <f t="shared" si="9"/>
        <v>1</v>
      </c>
      <c r="J80" s="84"/>
      <c r="K80" s="73"/>
    </row>
    <row r="81" s="16" customFormat="1" ht="13" customHeight="1" spans="1:11">
      <c r="A81" s="46">
        <v>69</v>
      </c>
      <c r="B81" s="71" t="s">
        <v>233</v>
      </c>
      <c r="C81" s="72">
        <v>30</v>
      </c>
      <c r="D81" s="72">
        <v>24</v>
      </c>
      <c r="E81" s="72">
        <v>720</v>
      </c>
      <c r="F81" s="72">
        <v>719</v>
      </c>
      <c r="G81" s="73"/>
      <c r="H81" s="27">
        <f t="shared" si="8"/>
        <v>0.998611111111111</v>
      </c>
      <c r="I81" s="54">
        <f t="shared" si="9"/>
        <v>1</v>
      </c>
      <c r="J81" s="84"/>
      <c r="K81" s="73"/>
    </row>
    <row r="82" s="16" customFormat="1" ht="13" customHeight="1" spans="1:11">
      <c r="A82" s="46">
        <v>70</v>
      </c>
      <c r="B82" s="71" t="s">
        <v>234</v>
      </c>
      <c r="C82" s="72">
        <v>30</v>
      </c>
      <c r="D82" s="72">
        <v>24</v>
      </c>
      <c r="E82" s="72">
        <v>720</v>
      </c>
      <c r="F82" s="72">
        <v>719</v>
      </c>
      <c r="G82" s="73"/>
      <c r="H82" s="27">
        <f t="shared" si="8"/>
        <v>0.998611111111111</v>
      </c>
      <c r="I82" s="54">
        <f t="shared" si="9"/>
        <v>1</v>
      </c>
      <c r="J82" s="84"/>
      <c r="K82" s="73"/>
    </row>
    <row r="83" s="16" customFormat="1" ht="13" customHeight="1" spans="1:11">
      <c r="A83" s="46">
        <v>71</v>
      </c>
      <c r="B83" s="71" t="s">
        <v>235</v>
      </c>
      <c r="C83" s="72">
        <v>30</v>
      </c>
      <c r="D83" s="72">
        <v>24</v>
      </c>
      <c r="E83" s="72">
        <v>720</v>
      </c>
      <c r="F83" s="72">
        <v>662.5</v>
      </c>
      <c r="G83" s="73">
        <v>2</v>
      </c>
      <c r="H83" s="27">
        <f t="shared" si="8"/>
        <v>0.920138888888889</v>
      </c>
      <c r="I83" s="54">
        <f t="shared" si="9"/>
        <v>0.997222222222222</v>
      </c>
      <c r="J83" s="84" t="s">
        <v>300</v>
      </c>
      <c r="K83" s="73"/>
    </row>
    <row r="84" s="16" customFormat="1" ht="13" customHeight="1" spans="1:11">
      <c r="A84" s="46">
        <v>72</v>
      </c>
      <c r="B84" s="71" t="s">
        <v>236</v>
      </c>
      <c r="C84" s="72">
        <v>30</v>
      </c>
      <c r="D84" s="72">
        <v>24</v>
      </c>
      <c r="E84" s="72">
        <v>720</v>
      </c>
      <c r="F84" s="72">
        <v>719</v>
      </c>
      <c r="G84" s="73"/>
      <c r="H84" s="27">
        <f t="shared" si="8"/>
        <v>0.998611111111111</v>
      </c>
      <c r="I84" s="54">
        <f t="shared" si="9"/>
        <v>1</v>
      </c>
      <c r="J84" s="84"/>
      <c r="K84" s="73"/>
    </row>
    <row r="85" s="16" customFormat="1" ht="13" customHeight="1" spans="1:11">
      <c r="A85" s="46">
        <v>73</v>
      </c>
      <c r="B85" s="71" t="s">
        <v>237</v>
      </c>
      <c r="C85" s="72">
        <v>30</v>
      </c>
      <c r="D85" s="72">
        <v>24</v>
      </c>
      <c r="E85" s="72">
        <v>720</v>
      </c>
      <c r="F85" s="72">
        <v>719</v>
      </c>
      <c r="G85" s="73"/>
      <c r="H85" s="27">
        <f t="shared" si="8"/>
        <v>0.998611111111111</v>
      </c>
      <c r="I85" s="54">
        <f t="shared" si="9"/>
        <v>1</v>
      </c>
      <c r="J85" s="84"/>
      <c r="K85" s="73"/>
    </row>
    <row r="86" s="16" customFormat="1" ht="13" customHeight="1" spans="1:11">
      <c r="A86" s="46">
        <v>74</v>
      </c>
      <c r="B86" s="71" t="s">
        <v>238</v>
      </c>
      <c r="C86" s="72">
        <v>30</v>
      </c>
      <c r="D86" s="72">
        <v>24</v>
      </c>
      <c r="E86" s="72">
        <v>720</v>
      </c>
      <c r="F86" s="72">
        <v>719</v>
      </c>
      <c r="G86" s="73"/>
      <c r="H86" s="27">
        <f t="shared" si="8"/>
        <v>0.998611111111111</v>
      </c>
      <c r="I86" s="54">
        <f t="shared" si="9"/>
        <v>1</v>
      </c>
      <c r="J86" s="84"/>
      <c r="K86" s="73"/>
    </row>
    <row r="87" s="16" customFormat="1" ht="13" customHeight="1" spans="1:11">
      <c r="A87" s="46">
        <v>75</v>
      </c>
      <c r="B87" s="71" t="s">
        <v>239</v>
      </c>
      <c r="C87" s="72">
        <v>30</v>
      </c>
      <c r="D87" s="72">
        <v>24</v>
      </c>
      <c r="E87" s="72">
        <v>720</v>
      </c>
      <c r="F87" s="72">
        <v>0</v>
      </c>
      <c r="G87" s="72"/>
      <c r="H87" s="27">
        <f t="shared" si="8"/>
        <v>0</v>
      </c>
      <c r="I87" s="54">
        <f t="shared" si="9"/>
        <v>1</v>
      </c>
      <c r="J87" s="84"/>
      <c r="K87" s="73"/>
    </row>
    <row r="88" s="16" customFormat="1" ht="13" customHeight="1" spans="1:11">
      <c r="A88" s="46">
        <v>76</v>
      </c>
      <c r="B88" s="71" t="s">
        <v>240</v>
      </c>
      <c r="C88" s="72">
        <v>30</v>
      </c>
      <c r="D88" s="72">
        <v>24</v>
      </c>
      <c r="E88" s="72">
        <v>720</v>
      </c>
      <c r="F88" s="72">
        <v>719</v>
      </c>
      <c r="G88" s="72"/>
      <c r="H88" s="27">
        <f t="shared" si="8"/>
        <v>0.998611111111111</v>
      </c>
      <c r="I88" s="54">
        <f t="shared" si="9"/>
        <v>1</v>
      </c>
      <c r="J88" s="84"/>
      <c r="K88" s="73"/>
    </row>
    <row r="89" s="16" customFormat="1" ht="13" customHeight="1" spans="1:11">
      <c r="A89" s="46">
        <v>77</v>
      </c>
      <c r="B89" s="71" t="s">
        <v>241</v>
      </c>
      <c r="C89" s="72">
        <v>30</v>
      </c>
      <c r="D89" s="72">
        <v>24</v>
      </c>
      <c r="E89" s="72">
        <v>720</v>
      </c>
      <c r="F89" s="72">
        <v>0</v>
      </c>
      <c r="G89" s="72"/>
      <c r="H89" s="27">
        <f t="shared" si="8"/>
        <v>0</v>
      </c>
      <c r="I89" s="54">
        <f t="shared" si="9"/>
        <v>1</v>
      </c>
      <c r="J89" s="85"/>
      <c r="K89" s="73"/>
    </row>
    <row r="90" s="16" customFormat="1" ht="13" customHeight="1" spans="1:11">
      <c r="A90" s="46">
        <v>78</v>
      </c>
      <c r="B90" s="71" t="s">
        <v>242</v>
      </c>
      <c r="C90" s="72">
        <v>30</v>
      </c>
      <c r="D90" s="72">
        <v>24</v>
      </c>
      <c r="E90" s="72">
        <v>720</v>
      </c>
      <c r="F90" s="72">
        <v>719</v>
      </c>
      <c r="G90" s="73">
        <v>1</v>
      </c>
      <c r="H90" s="27">
        <f t="shared" si="8"/>
        <v>0.998611111111111</v>
      </c>
      <c r="I90" s="54">
        <f t="shared" si="9"/>
        <v>0.998611111111111</v>
      </c>
      <c r="J90" s="84" t="s">
        <v>300</v>
      </c>
      <c r="K90" s="73"/>
    </row>
    <row r="91" s="16" customFormat="1" ht="13" customHeight="1" spans="1:11">
      <c r="A91" s="46">
        <v>79</v>
      </c>
      <c r="B91" s="71" t="s">
        <v>243</v>
      </c>
      <c r="C91" s="72">
        <v>30</v>
      </c>
      <c r="D91" s="72">
        <v>24</v>
      </c>
      <c r="E91" s="72">
        <v>720</v>
      </c>
      <c r="F91" s="72">
        <v>719</v>
      </c>
      <c r="G91" s="73">
        <v>1</v>
      </c>
      <c r="H91" s="27">
        <f t="shared" si="8"/>
        <v>0.998611111111111</v>
      </c>
      <c r="I91" s="54">
        <f t="shared" si="9"/>
        <v>0.998611111111111</v>
      </c>
      <c r="J91" s="84" t="s">
        <v>300</v>
      </c>
      <c r="K91" s="73"/>
    </row>
    <row r="92" s="16" customFormat="1" ht="13" customHeight="1" spans="1:11">
      <c r="A92" s="46">
        <v>80</v>
      </c>
      <c r="B92" s="71" t="s">
        <v>244</v>
      </c>
      <c r="C92" s="72">
        <v>30</v>
      </c>
      <c r="D92" s="72">
        <v>24</v>
      </c>
      <c r="E92" s="72">
        <v>720</v>
      </c>
      <c r="F92" s="72">
        <v>719</v>
      </c>
      <c r="G92" s="73"/>
      <c r="H92" s="27">
        <f t="shared" si="8"/>
        <v>0.998611111111111</v>
      </c>
      <c r="I92" s="54">
        <f t="shared" si="9"/>
        <v>1</v>
      </c>
      <c r="J92" s="86"/>
      <c r="K92" s="73"/>
    </row>
    <row r="93" s="16" customFormat="1" ht="13" customHeight="1" spans="1:11">
      <c r="A93" s="46">
        <v>81</v>
      </c>
      <c r="B93" s="71" t="s">
        <v>245</v>
      </c>
      <c r="C93" s="72">
        <v>30</v>
      </c>
      <c r="D93" s="72">
        <v>24</v>
      </c>
      <c r="E93" s="72">
        <v>720</v>
      </c>
      <c r="F93" s="72">
        <v>719</v>
      </c>
      <c r="G93" s="73">
        <v>1</v>
      </c>
      <c r="H93" s="27">
        <f t="shared" si="8"/>
        <v>0.998611111111111</v>
      </c>
      <c r="I93" s="54">
        <f t="shared" si="9"/>
        <v>0.998611111111111</v>
      </c>
      <c r="J93" s="84" t="s">
        <v>300</v>
      </c>
      <c r="K93" s="73"/>
    </row>
    <row r="94" s="16" customFormat="1" ht="13" customHeight="1" spans="1:11">
      <c r="A94" s="30" t="s">
        <v>254</v>
      </c>
      <c r="B94" s="31"/>
      <c r="C94" s="30"/>
      <c r="D94" s="30"/>
      <c r="E94" s="30" t="s">
        <v>255</v>
      </c>
      <c r="F94" s="30"/>
      <c r="G94" s="31"/>
      <c r="H94" s="30"/>
      <c r="I94" s="30" t="s">
        <v>256</v>
      </c>
      <c r="J94" s="31"/>
      <c r="K94" s="30"/>
    </row>
    <row r="95" s="16" customFormat="1" ht="29" customHeight="1" spans="1:11">
      <c r="A95" s="18" t="s">
        <v>301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280</v>
      </c>
      <c r="B96" s="20" t="s">
        <v>281</v>
      </c>
      <c r="C96" s="20" t="s">
        <v>282</v>
      </c>
      <c r="D96" s="20" t="s">
        <v>283</v>
      </c>
      <c r="E96" s="20" t="s">
        <v>284</v>
      </c>
      <c r="F96" s="20" t="s">
        <v>285</v>
      </c>
      <c r="G96" s="20" t="s">
        <v>286</v>
      </c>
      <c r="H96" s="20" t="s">
        <v>287</v>
      </c>
      <c r="I96" s="20" t="s">
        <v>288</v>
      </c>
      <c r="J96" s="21" t="s">
        <v>289</v>
      </c>
      <c r="K96" s="20" t="s">
        <v>290</v>
      </c>
    </row>
    <row r="97" s="16" customFormat="1" ht="13" customHeight="1" spans="1:11">
      <c r="A97" s="24">
        <v>82</v>
      </c>
      <c r="B97" s="74" t="s">
        <v>246</v>
      </c>
      <c r="C97" s="75">
        <v>30</v>
      </c>
      <c r="D97" s="75">
        <v>24</v>
      </c>
      <c r="E97" s="75">
        <v>720</v>
      </c>
      <c r="F97" s="75">
        <v>719</v>
      </c>
      <c r="G97" s="76"/>
      <c r="H97" s="27">
        <f t="shared" ref="H97:H122" si="10">F97/E97</f>
        <v>0.998611111111111</v>
      </c>
      <c r="I97" s="54">
        <f>1-G97/E97</f>
        <v>1</v>
      </c>
      <c r="J97" s="86"/>
      <c r="K97" s="87"/>
    </row>
    <row r="98" s="16" customFormat="1" ht="13" customHeight="1" spans="1:11">
      <c r="A98" s="24">
        <v>83</v>
      </c>
      <c r="B98" s="74" t="s">
        <v>247</v>
      </c>
      <c r="C98" s="75">
        <v>30</v>
      </c>
      <c r="D98" s="75">
        <v>24</v>
      </c>
      <c r="E98" s="75">
        <v>720</v>
      </c>
      <c r="F98" s="75">
        <v>719</v>
      </c>
      <c r="G98" s="77"/>
      <c r="H98" s="27">
        <f t="shared" si="10"/>
        <v>0.998611111111111</v>
      </c>
      <c r="I98" s="54">
        <f t="shared" ref="I98:I122" si="11">1-G98/E98</f>
        <v>1</v>
      </c>
      <c r="J98" s="86"/>
      <c r="K98" s="87"/>
    </row>
    <row r="99" s="16" customFormat="1" ht="13" customHeight="1" spans="1:11">
      <c r="A99" s="24">
        <v>84</v>
      </c>
      <c r="B99" s="74" t="s">
        <v>248</v>
      </c>
      <c r="C99" s="75">
        <v>30</v>
      </c>
      <c r="D99" s="75">
        <v>24</v>
      </c>
      <c r="E99" s="75">
        <v>720</v>
      </c>
      <c r="F99" s="75">
        <v>719</v>
      </c>
      <c r="G99" s="77"/>
      <c r="H99" s="27">
        <f t="shared" si="10"/>
        <v>0.998611111111111</v>
      </c>
      <c r="I99" s="54">
        <f t="shared" si="11"/>
        <v>1</v>
      </c>
      <c r="J99" s="86"/>
      <c r="K99" s="87"/>
    </row>
    <row r="100" s="16" customFormat="1" ht="13" customHeight="1" spans="1:11">
      <c r="A100" s="24">
        <v>85</v>
      </c>
      <c r="B100" s="74" t="s">
        <v>249</v>
      </c>
      <c r="C100" s="75">
        <v>30</v>
      </c>
      <c r="D100" s="75">
        <v>24</v>
      </c>
      <c r="E100" s="75">
        <v>720</v>
      </c>
      <c r="F100" s="75">
        <v>719</v>
      </c>
      <c r="G100" s="77"/>
      <c r="H100" s="27">
        <f t="shared" si="10"/>
        <v>0.998611111111111</v>
      </c>
      <c r="I100" s="54">
        <f t="shared" si="11"/>
        <v>1</v>
      </c>
      <c r="J100" s="86"/>
      <c r="K100" s="87"/>
    </row>
    <row r="101" s="16" customFormat="1" ht="13" customHeight="1" spans="1:11">
      <c r="A101" s="24">
        <v>86</v>
      </c>
      <c r="B101" s="74" t="s">
        <v>302</v>
      </c>
      <c r="C101" s="75">
        <v>30</v>
      </c>
      <c r="D101" s="75">
        <v>24</v>
      </c>
      <c r="E101" s="75">
        <v>720</v>
      </c>
      <c r="F101" s="75">
        <v>0</v>
      </c>
      <c r="G101" s="75"/>
      <c r="H101" s="27">
        <f t="shared" si="10"/>
        <v>0</v>
      </c>
      <c r="I101" s="54">
        <f t="shared" si="11"/>
        <v>1</v>
      </c>
      <c r="J101" s="86"/>
      <c r="K101" s="87"/>
    </row>
    <row r="102" s="16" customFormat="1" ht="13" customHeight="1" spans="1:11">
      <c r="A102" s="24">
        <v>87</v>
      </c>
      <c r="B102" s="74" t="s">
        <v>303</v>
      </c>
      <c r="C102" s="75">
        <v>30</v>
      </c>
      <c r="D102" s="75">
        <v>24</v>
      </c>
      <c r="E102" s="75">
        <v>720</v>
      </c>
      <c r="F102" s="75">
        <v>719</v>
      </c>
      <c r="G102" s="77"/>
      <c r="H102" s="27">
        <f t="shared" si="10"/>
        <v>0.998611111111111</v>
      </c>
      <c r="I102" s="54">
        <f t="shared" si="11"/>
        <v>1</v>
      </c>
      <c r="J102" s="86"/>
      <c r="K102" s="87"/>
    </row>
    <row r="103" s="16" customFormat="1" ht="13" customHeight="1" spans="1:11">
      <c r="A103" s="24">
        <v>88</v>
      </c>
      <c r="B103" s="74" t="s">
        <v>304</v>
      </c>
      <c r="C103" s="75">
        <v>30</v>
      </c>
      <c r="D103" s="75">
        <v>24</v>
      </c>
      <c r="E103" s="75">
        <v>720</v>
      </c>
      <c r="F103" s="75">
        <v>719</v>
      </c>
      <c r="G103" s="77"/>
      <c r="H103" s="27">
        <f t="shared" si="10"/>
        <v>0.998611111111111</v>
      </c>
      <c r="I103" s="54">
        <f t="shared" si="11"/>
        <v>1</v>
      </c>
      <c r="J103" s="86"/>
      <c r="K103" s="87"/>
    </row>
    <row r="104" s="16" customFormat="1" ht="13" customHeight="1" spans="1:11">
      <c r="A104" s="24">
        <v>89</v>
      </c>
      <c r="B104" s="74" t="s">
        <v>305</v>
      </c>
      <c r="C104" s="75">
        <v>30</v>
      </c>
      <c r="D104" s="75">
        <v>24</v>
      </c>
      <c r="E104" s="75">
        <v>720</v>
      </c>
      <c r="F104" s="75">
        <v>0</v>
      </c>
      <c r="G104" s="77"/>
      <c r="H104" s="27">
        <f t="shared" si="10"/>
        <v>0</v>
      </c>
      <c r="I104" s="54">
        <f t="shared" si="11"/>
        <v>1</v>
      </c>
      <c r="J104" s="86"/>
      <c r="K104" s="87"/>
    </row>
    <row r="105" s="16" customFormat="1" ht="13" customHeight="1" spans="1:11">
      <c r="A105" s="24">
        <v>90</v>
      </c>
      <c r="B105" s="74" t="s">
        <v>306</v>
      </c>
      <c r="C105" s="75">
        <v>30</v>
      </c>
      <c r="D105" s="75">
        <v>24</v>
      </c>
      <c r="E105" s="75">
        <v>720</v>
      </c>
      <c r="F105" s="75">
        <v>0</v>
      </c>
      <c r="G105" s="77"/>
      <c r="H105" s="27">
        <f t="shared" si="10"/>
        <v>0</v>
      </c>
      <c r="I105" s="54">
        <f t="shared" si="11"/>
        <v>1</v>
      </c>
      <c r="J105" s="86"/>
      <c r="K105" s="87"/>
    </row>
    <row r="106" s="16" customFormat="1" ht="13" customHeight="1" spans="1:11">
      <c r="A106" s="24">
        <v>91</v>
      </c>
      <c r="B106" s="74" t="s">
        <v>307</v>
      </c>
      <c r="C106" s="75">
        <v>30</v>
      </c>
      <c r="D106" s="75">
        <v>24</v>
      </c>
      <c r="E106" s="75">
        <v>720</v>
      </c>
      <c r="F106" s="75">
        <v>719</v>
      </c>
      <c r="G106" s="77"/>
      <c r="H106" s="27">
        <f t="shared" si="10"/>
        <v>0.998611111111111</v>
      </c>
      <c r="I106" s="54">
        <f t="shared" si="11"/>
        <v>1</v>
      </c>
      <c r="J106" s="86"/>
      <c r="K106" s="87"/>
    </row>
    <row r="107" s="16" customFormat="1" ht="13" customHeight="1" spans="1:11">
      <c r="A107" s="24">
        <v>92</v>
      </c>
      <c r="B107" s="74" t="s">
        <v>308</v>
      </c>
      <c r="C107" s="75">
        <v>30</v>
      </c>
      <c r="D107" s="75">
        <v>24</v>
      </c>
      <c r="E107" s="75">
        <v>720</v>
      </c>
      <c r="F107" s="75">
        <v>719</v>
      </c>
      <c r="G107" s="77"/>
      <c r="H107" s="27">
        <f t="shared" si="10"/>
        <v>0.998611111111111</v>
      </c>
      <c r="I107" s="54">
        <f t="shared" si="11"/>
        <v>1</v>
      </c>
      <c r="J107" s="86"/>
      <c r="K107" s="87"/>
    </row>
    <row r="108" s="16" customFormat="1" ht="13" customHeight="1" spans="1:11">
      <c r="A108" s="24">
        <v>93</v>
      </c>
      <c r="B108" s="74" t="s">
        <v>309</v>
      </c>
      <c r="C108" s="75">
        <v>30</v>
      </c>
      <c r="D108" s="75">
        <v>24</v>
      </c>
      <c r="E108" s="75">
        <v>720</v>
      </c>
      <c r="F108" s="75">
        <v>0</v>
      </c>
      <c r="G108" s="77"/>
      <c r="H108" s="27">
        <f t="shared" si="10"/>
        <v>0</v>
      </c>
      <c r="I108" s="54">
        <f t="shared" si="11"/>
        <v>1</v>
      </c>
      <c r="J108" s="86"/>
      <c r="K108" s="87"/>
    </row>
    <row r="109" s="16" customFormat="1" ht="13" customHeight="1" spans="1:11">
      <c r="A109" s="24">
        <v>94</v>
      </c>
      <c r="B109" s="74" t="s">
        <v>310</v>
      </c>
      <c r="C109" s="75">
        <v>30</v>
      </c>
      <c r="D109" s="75">
        <v>24</v>
      </c>
      <c r="E109" s="75">
        <v>720</v>
      </c>
      <c r="F109" s="75">
        <v>662.5</v>
      </c>
      <c r="G109" s="77"/>
      <c r="H109" s="27">
        <f t="shared" si="10"/>
        <v>0.920138888888889</v>
      </c>
      <c r="I109" s="54">
        <f t="shared" si="11"/>
        <v>1</v>
      </c>
      <c r="J109" s="86"/>
      <c r="K109" s="87"/>
    </row>
    <row r="110" s="16" customFormat="1" ht="13" customHeight="1" spans="1:11">
      <c r="A110" s="24">
        <v>95</v>
      </c>
      <c r="B110" s="74" t="s">
        <v>311</v>
      </c>
      <c r="C110" s="75">
        <v>30</v>
      </c>
      <c r="D110" s="75">
        <v>24</v>
      </c>
      <c r="E110" s="75">
        <v>720</v>
      </c>
      <c r="F110" s="75">
        <v>719</v>
      </c>
      <c r="G110" s="77"/>
      <c r="H110" s="27">
        <f t="shared" si="10"/>
        <v>0.998611111111111</v>
      </c>
      <c r="I110" s="54">
        <f t="shared" si="11"/>
        <v>1</v>
      </c>
      <c r="J110" s="86"/>
      <c r="K110" s="87"/>
    </row>
    <row r="111" s="16" customFormat="1" ht="13" customHeight="1" spans="1:11">
      <c r="A111" s="24">
        <v>96</v>
      </c>
      <c r="B111" s="74" t="s">
        <v>312</v>
      </c>
      <c r="C111" s="75">
        <v>30</v>
      </c>
      <c r="D111" s="75">
        <v>24</v>
      </c>
      <c r="E111" s="75">
        <v>720</v>
      </c>
      <c r="F111" s="75">
        <v>0</v>
      </c>
      <c r="G111" s="77"/>
      <c r="H111" s="27">
        <f t="shared" si="10"/>
        <v>0</v>
      </c>
      <c r="I111" s="54">
        <f t="shared" si="11"/>
        <v>1</v>
      </c>
      <c r="J111" s="86"/>
      <c r="K111" s="87"/>
    </row>
    <row r="112" s="16" customFormat="1" ht="13" customHeight="1" spans="1:11">
      <c r="A112" s="24">
        <v>97</v>
      </c>
      <c r="B112" s="74" t="s">
        <v>313</v>
      </c>
      <c r="C112" s="75">
        <v>30</v>
      </c>
      <c r="D112" s="75">
        <v>24</v>
      </c>
      <c r="E112" s="75">
        <v>720</v>
      </c>
      <c r="F112" s="75">
        <v>719</v>
      </c>
      <c r="G112" s="77"/>
      <c r="H112" s="27">
        <f t="shared" si="10"/>
        <v>0.998611111111111</v>
      </c>
      <c r="I112" s="54">
        <f t="shared" si="11"/>
        <v>1</v>
      </c>
      <c r="J112" s="86"/>
      <c r="K112" s="87"/>
    </row>
    <row r="113" s="16" customFormat="1" ht="13" customHeight="1" spans="1:11">
      <c r="A113" s="24">
        <v>98</v>
      </c>
      <c r="B113" s="78" t="s">
        <v>314</v>
      </c>
      <c r="C113" s="75">
        <v>30</v>
      </c>
      <c r="D113" s="75">
        <v>24</v>
      </c>
      <c r="E113" s="75">
        <v>720</v>
      </c>
      <c r="F113" s="75">
        <v>717</v>
      </c>
      <c r="G113" s="77"/>
      <c r="H113" s="27">
        <f t="shared" si="10"/>
        <v>0.995833333333333</v>
      </c>
      <c r="I113" s="54">
        <f t="shared" si="11"/>
        <v>1</v>
      </c>
      <c r="J113" s="88"/>
      <c r="K113" s="89"/>
    </row>
    <row r="114" s="16" customFormat="1" ht="13" customHeight="1" spans="1:11">
      <c r="A114" s="24">
        <v>99</v>
      </c>
      <c r="B114" s="78" t="s">
        <v>315</v>
      </c>
      <c r="C114" s="75">
        <v>30</v>
      </c>
      <c r="D114" s="75">
        <v>24</v>
      </c>
      <c r="E114" s="75">
        <v>720</v>
      </c>
      <c r="F114" s="75">
        <v>719</v>
      </c>
      <c r="G114" s="77"/>
      <c r="H114" s="27">
        <f t="shared" si="10"/>
        <v>0.998611111111111</v>
      </c>
      <c r="I114" s="54">
        <f t="shared" si="11"/>
        <v>1</v>
      </c>
      <c r="J114" s="88"/>
      <c r="K114" s="89"/>
    </row>
    <row r="115" s="16" customFormat="1" ht="13" customHeight="1" spans="1:11">
      <c r="A115" s="24">
        <v>100</v>
      </c>
      <c r="B115" s="78" t="s">
        <v>316</v>
      </c>
      <c r="C115" s="75">
        <v>30</v>
      </c>
      <c r="D115" s="75">
        <v>24</v>
      </c>
      <c r="E115" s="75">
        <v>720</v>
      </c>
      <c r="F115" s="75">
        <v>719</v>
      </c>
      <c r="G115" s="77"/>
      <c r="H115" s="27">
        <f t="shared" si="10"/>
        <v>0.998611111111111</v>
      </c>
      <c r="I115" s="54">
        <f t="shared" si="11"/>
        <v>1</v>
      </c>
      <c r="J115" s="88"/>
      <c r="K115" s="89"/>
    </row>
    <row r="116" s="16" customFormat="1" ht="13" customHeight="1" spans="1:11">
      <c r="A116" s="24">
        <v>101</v>
      </c>
      <c r="B116" s="78" t="s">
        <v>317</v>
      </c>
      <c r="C116" s="75">
        <v>30</v>
      </c>
      <c r="D116" s="75">
        <v>24</v>
      </c>
      <c r="E116" s="75">
        <v>720</v>
      </c>
      <c r="F116" s="75">
        <v>0</v>
      </c>
      <c r="G116" s="77"/>
      <c r="H116" s="27">
        <f t="shared" si="10"/>
        <v>0</v>
      </c>
      <c r="I116" s="54">
        <f t="shared" si="11"/>
        <v>1</v>
      </c>
      <c r="J116" s="88"/>
      <c r="K116" s="89"/>
    </row>
    <row r="117" s="16" customFormat="1" ht="13" customHeight="1" spans="1:11">
      <c r="A117" s="24">
        <v>102</v>
      </c>
      <c r="B117" s="78" t="s">
        <v>318</v>
      </c>
      <c r="C117" s="75">
        <v>30</v>
      </c>
      <c r="D117" s="75">
        <v>24</v>
      </c>
      <c r="E117" s="75">
        <v>720</v>
      </c>
      <c r="F117" s="75">
        <v>719</v>
      </c>
      <c r="G117" s="77">
        <v>1</v>
      </c>
      <c r="H117" s="27">
        <f t="shared" si="10"/>
        <v>0.998611111111111</v>
      </c>
      <c r="I117" s="54">
        <f t="shared" si="11"/>
        <v>0.998611111111111</v>
      </c>
      <c r="J117" s="90" t="s">
        <v>319</v>
      </c>
      <c r="K117" s="89"/>
    </row>
    <row r="118" s="16" customFormat="1" ht="13" customHeight="1" spans="1:11">
      <c r="A118" s="24">
        <v>103</v>
      </c>
      <c r="B118" s="78" t="s">
        <v>320</v>
      </c>
      <c r="C118" s="75">
        <v>30</v>
      </c>
      <c r="D118" s="75">
        <v>24</v>
      </c>
      <c r="E118" s="75">
        <v>720</v>
      </c>
      <c r="F118" s="75">
        <v>719</v>
      </c>
      <c r="G118" s="75"/>
      <c r="H118" s="27">
        <f t="shared" si="10"/>
        <v>0.998611111111111</v>
      </c>
      <c r="I118" s="54">
        <f t="shared" si="11"/>
        <v>1</v>
      </c>
      <c r="J118" s="90"/>
      <c r="K118" s="89"/>
    </row>
    <row r="119" s="16" customFormat="1" ht="13" customHeight="1" spans="1:11">
      <c r="A119" s="24">
        <v>104</v>
      </c>
      <c r="B119" s="78" t="s">
        <v>321</v>
      </c>
      <c r="C119" s="75">
        <v>30</v>
      </c>
      <c r="D119" s="75">
        <v>24</v>
      </c>
      <c r="E119" s="75">
        <v>720</v>
      </c>
      <c r="F119" s="75">
        <v>0</v>
      </c>
      <c r="G119" s="75"/>
      <c r="H119" s="27">
        <f t="shared" si="10"/>
        <v>0</v>
      </c>
      <c r="I119" s="54">
        <f t="shared" si="11"/>
        <v>1</v>
      </c>
      <c r="J119" s="88"/>
      <c r="K119" s="89"/>
    </row>
    <row r="120" s="16" customFormat="1" ht="13" customHeight="1" spans="1:11">
      <c r="A120" s="24">
        <v>105</v>
      </c>
      <c r="B120" s="78" t="s">
        <v>322</v>
      </c>
      <c r="C120" s="75">
        <v>30</v>
      </c>
      <c r="D120" s="75">
        <v>24</v>
      </c>
      <c r="E120" s="75">
        <v>720</v>
      </c>
      <c r="F120" s="75">
        <v>650</v>
      </c>
      <c r="G120" s="75"/>
      <c r="H120" s="27">
        <f t="shared" si="10"/>
        <v>0.902777777777778</v>
      </c>
      <c r="I120" s="54">
        <f t="shared" si="11"/>
        <v>1</v>
      </c>
      <c r="J120" s="88" t="s">
        <v>323</v>
      </c>
      <c r="K120" s="89"/>
    </row>
    <row r="121" s="16" customFormat="1" ht="13" customHeight="1" spans="1:11">
      <c r="A121" s="24">
        <v>106</v>
      </c>
      <c r="B121" s="78" t="s">
        <v>324</v>
      </c>
      <c r="C121" s="75">
        <v>30</v>
      </c>
      <c r="D121" s="75">
        <v>24</v>
      </c>
      <c r="E121" s="75">
        <v>720</v>
      </c>
      <c r="F121" s="75">
        <v>719</v>
      </c>
      <c r="G121" s="75">
        <v>1</v>
      </c>
      <c r="H121" s="27">
        <f t="shared" si="10"/>
        <v>0.998611111111111</v>
      </c>
      <c r="I121" s="54">
        <f t="shared" si="11"/>
        <v>0.998611111111111</v>
      </c>
      <c r="J121" s="91" t="s">
        <v>325</v>
      </c>
      <c r="K121" s="89"/>
    </row>
    <row r="122" s="16" customFormat="1" ht="13" customHeight="1" spans="1:11">
      <c r="A122" s="24">
        <v>107</v>
      </c>
      <c r="B122" s="78" t="s">
        <v>326</v>
      </c>
      <c r="C122" s="75">
        <v>30</v>
      </c>
      <c r="D122" s="75">
        <v>24</v>
      </c>
      <c r="E122" s="75">
        <v>720</v>
      </c>
      <c r="F122" s="77">
        <v>35.5</v>
      </c>
      <c r="G122" s="77"/>
      <c r="H122" s="27">
        <f t="shared" si="10"/>
        <v>0.0493055555555556</v>
      </c>
      <c r="I122" s="54">
        <f t="shared" si="11"/>
        <v>1</v>
      </c>
      <c r="J122" s="88"/>
      <c r="K122" s="89"/>
    </row>
    <row r="123" s="16" customFormat="1" ht="13" customHeight="1" spans="1:11">
      <c r="A123" s="79" t="s">
        <v>86</v>
      </c>
      <c r="B123" s="70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80" t="s">
        <v>327</v>
      </c>
      <c r="C124" s="81">
        <v>30</v>
      </c>
      <c r="D124" s="81">
        <v>24</v>
      </c>
      <c r="E124" s="81">
        <v>720</v>
      </c>
      <c r="F124" s="81">
        <v>0</v>
      </c>
      <c r="G124" s="81"/>
      <c r="H124" s="27">
        <f t="shared" ref="H124:H130" si="12">F124/E124</f>
        <v>0</v>
      </c>
      <c r="I124" s="54">
        <f t="shared" ref="I124:I129" si="13">1-G124/E124</f>
        <v>1</v>
      </c>
      <c r="J124" s="92"/>
      <c r="K124" s="93"/>
    </row>
    <row r="125" s="16" customFormat="1" ht="13" customHeight="1" spans="1:11">
      <c r="A125" s="46">
        <v>109</v>
      </c>
      <c r="B125" s="80" t="s">
        <v>328</v>
      </c>
      <c r="C125" s="81">
        <v>30</v>
      </c>
      <c r="D125" s="81">
        <v>24</v>
      </c>
      <c r="E125" s="81">
        <v>720</v>
      </c>
      <c r="F125" s="81">
        <v>719</v>
      </c>
      <c r="G125" s="82"/>
      <c r="H125" s="27">
        <f t="shared" si="12"/>
        <v>0.998611111111111</v>
      </c>
      <c r="I125" s="54">
        <f t="shared" si="13"/>
        <v>1</v>
      </c>
      <c r="J125" s="94"/>
      <c r="K125" s="93"/>
    </row>
    <row r="126" s="16" customFormat="1" ht="13" customHeight="1" spans="1:11">
      <c r="A126" s="30" t="s">
        <v>254</v>
      </c>
      <c r="B126" s="31"/>
      <c r="C126" s="30"/>
      <c r="D126" s="30"/>
      <c r="E126" s="30" t="s">
        <v>255</v>
      </c>
      <c r="F126" s="30"/>
      <c r="G126" s="31"/>
      <c r="H126" s="30"/>
      <c r="I126" s="30" t="s">
        <v>256</v>
      </c>
      <c r="J126" s="31"/>
      <c r="K126" s="30"/>
    </row>
    <row r="127" s="16" customFormat="1" ht="32" customHeight="1" spans="1:11">
      <c r="A127" s="18" t="s">
        <v>329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213</v>
      </c>
      <c r="B128" s="20" t="s">
        <v>214</v>
      </c>
      <c r="C128" s="20" t="s">
        <v>215</v>
      </c>
      <c r="D128" s="20" t="s">
        <v>216</v>
      </c>
      <c r="E128" s="20" t="s">
        <v>217</v>
      </c>
      <c r="F128" s="20" t="s">
        <v>218</v>
      </c>
      <c r="G128" s="20" t="s">
        <v>219</v>
      </c>
      <c r="H128" s="20" t="s">
        <v>220</v>
      </c>
      <c r="I128" s="20" t="s">
        <v>221</v>
      </c>
      <c r="J128" s="21" t="s">
        <v>222</v>
      </c>
      <c r="K128" s="20" t="s">
        <v>223</v>
      </c>
    </row>
    <row r="129" s="16" customFormat="1" ht="13" customHeight="1" spans="1:11">
      <c r="A129" s="95">
        <v>110</v>
      </c>
      <c r="B129" s="96" t="s">
        <v>330</v>
      </c>
      <c r="C129" s="97">
        <v>30</v>
      </c>
      <c r="D129" s="97">
        <v>24</v>
      </c>
      <c r="E129" s="97">
        <v>720</v>
      </c>
      <c r="F129" s="97">
        <v>0</v>
      </c>
      <c r="G129" s="98"/>
      <c r="H129" s="27">
        <f t="shared" si="12"/>
        <v>0</v>
      </c>
      <c r="I129" s="54">
        <f t="shared" si="13"/>
        <v>1</v>
      </c>
      <c r="J129" s="141"/>
      <c r="K129" s="142"/>
    </row>
    <row r="130" s="16" customFormat="1" ht="13" customHeight="1" spans="1:11">
      <c r="A130" s="95">
        <v>111</v>
      </c>
      <c r="B130" s="96" t="s">
        <v>331</v>
      </c>
      <c r="C130" s="97">
        <v>30</v>
      </c>
      <c r="D130" s="97">
        <v>24</v>
      </c>
      <c r="E130" s="97">
        <v>720</v>
      </c>
      <c r="F130" s="97">
        <v>0</v>
      </c>
      <c r="G130" s="99"/>
      <c r="H130" s="27">
        <f t="shared" si="12"/>
        <v>0</v>
      </c>
      <c r="I130" s="54">
        <f t="shared" ref="I130:I143" si="14">1-G130/E130</f>
        <v>1</v>
      </c>
      <c r="J130" s="90"/>
      <c r="K130" s="142"/>
    </row>
    <row r="131" s="16" customFormat="1" ht="13" customHeight="1" spans="1:11">
      <c r="A131" s="95">
        <v>112</v>
      </c>
      <c r="B131" s="96" t="s">
        <v>332</v>
      </c>
      <c r="C131" s="97">
        <v>30</v>
      </c>
      <c r="D131" s="97">
        <v>24</v>
      </c>
      <c r="E131" s="97">
        <v>720</v>
      </c>
      <c r="F131" s="97">
        <v>719</v>
      </c>
      <c r="G131" s="99"/>
      <c r="H131" s="27">
        <f>F130/E130</f>
        <v>0</v>
      </c>
      <c r="I131" s="54">
        <f t="shared" si="14"/>
        <v>1</v>
      </c>
      <c r="J131" s="143"/>
      <c r="K131" s="142"/>
    </row>
    <row r="132" s="16" customFormat="1" ht="13" customHeight="1" spans="1:11">
      <c r="A132" s="95">
        <v>113</v>
      </c>
      <c r="B132" s="96" t="s">
        <v>333</v>
      </c>
      <c r="C132" s="97">
        <v>30</v>
      </c>
      <c r="D132" s="97">
        <v>24</v>
      </c>
      <c r="E132" s="97">
        <v>720</v>
      </c>
      <c r="F132" s="97">
        <v>0</v>
      </c>
      <c r="G132" s="99"/>
      <c r="H132" s="27">
        <f t="shared" ref="H132:H143" si="15">F132/E132</f>
        <v>0</v>
      </c>
      <c r="I132" s="54">
        <f t="shared" si="14"/>
        <v>1</v>
      </c>
      <c r="J132" s="144"/>
      <c r="K132" s="142"/>
    </row>
    <row r="133" s="16" customFormat="1" ht="13" customHeight="1" spans="1:11">
      <c r="A133" s="95">
        <v>114</v>
      </c>
      <c r="B133" s="96" t="s">
        <v>334</v>
      </c>
      <c r="C133" s="97">
        <v>30</v>
      </c>
      <c r="D133" s="97">
        <v>24</v>
      </c>
      <c r="E133" s="97">
        <v>720</v>
      </c>
      <c r="F133" s="97">
        <v>0</v>
      </c>
      <c r="G133" s="99"/>
      <c r="H133" s="27">
        <f t="shared" si="15"/>
        <v>0</v>
      </c>
      <c r="I133" s="54">
        <f t="shared" si="14"/>
        <v>1</v>
      </c>
      <c r="J133" s="144"/>
      <c r="K133" s="142"/>
    </row>
    <row r="134" s="16" customFormat="1" ht="13" customHeight="1" spans="1:11">
      <c r="A134" s="95">
        <v>115</v>
      </c>
      <c r="B134" s="100" t="s">
        <v>335</v>
      </c>
      <c r="C134" s="101">
        <v>30</v>
      </c>
      <c r="D134" s="101">
        <v>24</v>
      </c>
      <c r="E134" s="101">
        <v>720</v>
      </c>
      <c r="F134" s="101">
        <v>719</v>
      </c>
      <c r="G134" s="102"/>
      <c r="H134" s="27">
        <f t="shared" si="15"/>
        <v>0.998611111111111</v>
      </c>
      <c r="I134" s="54">
        <f t="shared" si="14"/>
        <v>1</v>
      </c>
      <c r="J134" s="90" t="s">
        <v>336</v>
      </c>
      <c r="K134" s="145"/>
    </row>
    <row r="135" s="16" customFormat="1" ht="13" customHeight="1" spans="1:11">
      <c r="A135" s="95">
        <v>116</v>
      </c>
      <c r="B135" s="100" t="s">
        <v>337</v>
      </c>
      <c r="C135" s="101">
        <v>30</v>
      </c>
      <c r="D135" s="101">
        <v>24</v>
      </c>
      <c r="E135" s="101">
        <v>720</v>
      </c>
      <c r="F135" s="101">
        <v>719</v>
      </c>
      <c r="G135" s="102"/>
      <c r="H135" s="27">
        <f t="shared" si="15"/>
        <v>0.998611111111111</v>
      </c>
      <c r="I135" s="54">
        <f t="shared" si="14"/>
        <v>1</v>
      </c>
      <c r="J135" s="90"/>
      <c r="K135" s="145"/>
    </row>
    <row r="136" s="16" customFormat="1" ht="13" customHeight="1" spans="1:11">
      <c r="A136" s="95">
        <v>117</v>
      </c>
      <c r="B136" s="100" t="s">
        <v>338</v>
      </c>
      <c r="C136" s="101">
        <v>30</v>
      </c>
      <c r="D136" s="101">
        <v>24</v>
      </c>
      <c r="E136" s="101">
        <v>720</v>
      </c>
      <c r="F136" s="101">
        <v>716.5</v>
      </c>
      <c r="G136" s="101">
        <v>2</v>
      </c>
      <c r="H136" s="27">
        <f t="shared" si="15"/>
        <v>0.995138888888889</v>
      </c>
      <c r="I136" s="54">
        <f t="shared" si="14"/>
        <v>0.997222222222222</v>
      </c>
      <c r="J136" s="90" t="s">
        <v>339</v>
      </c>
      <c r="K136" s="145"/>
    </row>
    <row r="137" s="16" customFormat="1" ht="13" customHeight="1" spans="1:11">
      <c r="A137" s="95">
        <v>118</v>
      </c>
      <c r="B137" s="100" t="s">
        <v>340</v>
      </c>
      <c r="C137" s="101">
        <v>30</v>
      </c>
      <c r="D137" s="101">
        <v>24</v>
      </c>
      <c r="E137" s="101">
        <v>720</v>
      </c>
      <c r="F137" s="101">
        <v>544.5</v>
      </c>
      <c r="G137" s="102"/>
      <c r="H137" s="27">
        <f t="shared" si="15"/>
        <v>0.75625</v>
      </c>
      <c r="I137" s="54">
        <f t="shared" si="14"/>
        <v>1</v>
      </c>
      <c r="J137" s="90"/>
      <c r="K137" s="145"/>
    </row>
    <row r="138" s="16" customFormat="1" ht="13" customHeight="1" spans="1:11">
      <c r="A138" s="95">
        <v>119</v>
      </c>
      <c r="B138" s="100" t="s">
        <v>341</v>
      </c>
      <c r="C138" s="101">
        <v>30</v>
      </c>
      <c r="D138" s="101">
        <v>24</v>
      </c>
      <c r="E138" s="101">
        <v>720</v>
      </c>
      <c r="F138" s="101">
        <v>0</v>
      </c>
      <c r="G138" s="102"/>
      <c r="H138" s="27">
        <f t="shared" si="15"/>
        <v>0</v>
      </c>
      <c r="I138" s="54">
        <f t="shared" si="14"/>
        <v>1</v>
      </c>
      <c r="J138" s="90" t="s">
        <v>342</v>
      </c>
      <c r="K138" s="145"/>
    </row>
    <row r="139" s="16" customFormat="1" ht="13" customHeight="1" spans="1:11">
      <c r="A139" s="95">
        <v>120</v>
      </c>
      <c r="B139" s="100" t="s">
        <v>343</v>
      </c>
      <c r="C139" s="101">
        <v>30</v>
      </c>
      <c r="D139" s="101">
        <v>24</v>
      </c>
      <c r="E139" s="101">
        <v>720</v>
      </c>
      <c r="F139" s="101">
        <v>341.5</v>
      </c>
      <c r="G139" s="102"/>
      <c r="H139" s="27">
        <f t="shared" si="15"/>
        <v>0.474305555555556</v>
      </c>
      <c r="I139" s="54">
        <f t="shared" si="14"/>
        <v>1</v>
      </c>
      <c r="J139" s="90"/>
      <c r="K139" s="145"/>
    </row>
    <row r="140" s="16" customFormat="1" ht="13" customHeight="1" spans="1:11">
      <c r="A140" s="95">
        <v>121</v>
      </c>
      <c r="B140" s="100" t="s">
        <v>344</v>
      </c>
      <c r="C140" s="101">
        <v>30</v>
      </c>
      <c r="D140" s="101">
        <v>24</v>
      </c>
      <c r="E140" s="101">
        <v>720</v>
      </c>
      <c r="F140" s="101">
        <v>0</v>
      </c>
      <c r="G140" s="102"/>
      <c r="H140" s="27">
        <f t="shared" si="15"/>
        <v>0</v>
      </c>
      <c r="I140" s="54">
        <f t="shared" si="14"/>
        <v>1</v>
      </c>
      <c r="J140" s="88" t="s">
        <v>323</v>
      </c>
      <c r="K140" s="145"/>
    </row>
    <row r="141" s="16" customFormat="1" ht="13" customHeight="1" spans="1:11">
      <c r="A141" s="95">
        <v>122</v>
      </c>
      <c r="B141" s="100" t="s">
        <v>345</v>
      </c>
      <c r="C141" s="101">
        <v>30</v>
      </c>
      <c r="D141" s="101">
        <v>24</v>
      </c>
      <c r="E141" s="101">
        <v>720</v>
      </c>
      <c r="F141" s="101">
        <v>583</v>
      </c>
      <c r="G141" s="102"/>
      <c r="H141" s="27">
        <f t="shared" si="15"/>
        <v>0.809722222222222</v>
      </c>
      <c r="I141" s="54">
        <f t="shared" si="14"/>
        <v>1</v>
      </c>
      <c r="J141" s="88"/>
      <c r="K141" s="145"/>
    </row>
    <row r="142" s="16" customFormat="1" ht="13" customHeight="1" spans="1:11">
      <c r="A142" s="95">
        <v>123</v>
      </c>
      <c r="B142" s="100" t="s">
        <v>346</v>
      </c>
      <c r="C142" s="101">
        <v>30</v>
      </c>
      <c r="D142" s="101">
        <v>24</v>
      </c>
      <c r="E142" s="101">
        <v>720</v>
      </c>
      <c r="F142" s="101">
        <v>83.5</v>
      </c>
      <c r="G142" s="102"/>
      <c r="H142" s="27">
        <f t="shared" si="15"/>
        <v>0.115972222222222</v>
      </c>
      <c r="I142" s="54">
        <f t="shared" si="14"/>
        <v>1</v>
      </c>
      <c r="J142" s="146"/>
      <c r="K142" s="145"/>
    </row>
    <row r="143" s="16" customFormat="1" ht="13" customHeight="1" spans="1:11">
      <c r="A143" s="95">
        <v>124</v>
      </c>
      <c r="B143" s="100" t="s">
        <v>347</v>
      </c>
      <c r="C143" s="101">
        <v>30</v>
      </c>
      <c r="D143" s="101">
        <v>24</v>
      </c>
      <c r="E143" s="101">
        <v>720</v>
      </c>
      <c r="F143" s="101">
        <v>719</v>
      </c>
      <c r="G143" s="102"/>
      <c r="H143" s="27">
        <f t="shared" si="15"/>
        <v>0.998611111111111</v>
      </c>
      <c r="I143" s="54">
        <f t="shared" si="14"/>
        <v>1</v>
      </c>
      <c r="J143" s="21"/>
      <c r="K143" s="89"/>
    </row>
    <row r="144" s="16" customFormat="1" ht="13" customHeight="1" spans="1:11">
      <c r="A144" s="21" t="s">
        <v>348</v>
      </c>
      <c r="B144" s="22"/>
      <c r="C144" s="22"/>
      <c r="D144" s="22"/>
      <c r="E144" s="22"/>
      <c r="F144" s="22"/>
      <c r="G144" s="22"/>
      <c r="H144" s="103"/>
      <c r="I144" s="22"/>
      <c r="J144" s="22"/>
      <c r="K144" s="20"/>
    </row>
    <row r="145" s="16" customFormat="1" ht="13" customHeight="1" spans="1:11">
      <c r="A145" s="20">
        <v>125</v>
      </c>
      <c r="B145" s="104" t="s">
        <v>349</v>
      </c>
      <c r="C145" s="105">
        <v>30</v>
      </c>
      <c r="D145" s="105">
        <v>24</v>
      </c>
      <c r="E145" s="105">
        <v>720</v>
      </c>
      <c r="F145" s="106">
        <v>120</v>
      </c>
      <c r="G145" s="107"/>
      <c r="H145" s="27">
        <f t="shared" ref="H145:H156" si="16">F145/E145</f>
        <v>0.166666666666667</v>
      </c>
      <c r="I145" s="54">
        <f>1-G145/E145</f>
        <v>1</v>
      </c>
      <c r="J145" s="147"/>
      <c r="K145" s="106"/>
    </row>
    <row r="146" s="16" customFormat="1" ht="13" customHeight="1" spans="1:11">
      <c r="A146" s="20">
        <v>126</v>
      </c>
      <c r="B146" s="104" t="s">
        <v>350</v>
      </c>
      <c r="C146" s="105">
        <v>30</v>
      </c>
      <c r="D146" s="105">
        <v>24</v>
      </c>
      <c r="E146" s="105">
        <v>720</v>
      </c>
      <c r="F146" s="106">
        <v>120</v>
      </c>
      <c r="G146" s="107"/>
      <c r="H146" s="27">
        <f t="shared" si="16"/>
        <v>0.166666666666667</v>
      </c>
      <c r="I146" s="54">
        <f t="shared" ref="I146:I156" si="17">1-G146/E146</f>
        <v>1</v>
      </c>
      <c r="J146" s="147"/>
      <c r="K146" s="106"/>
    </row>
    <row r="147" s="16" customFormat="1" ht="13" customHeight="1" spans="1:11">
      <c r="A147" s="20">
        <v>127</v>
      </c>
      <c r="B147" s="104" t="s">
        <v>351</v>
      </c>
      <c r="C147" s="105">
        <v>30</v>
      </c>
      <c r="D147" s="105">
        <v>24</v>
      </c>
      <c r="E147" s="105">
        <v>720</v>
      </c>
      <c r="F147" s="106">
        <v>120</v>
      </c>
      <c r="G147" s="107"/>
      <c r="H147" s="27">
        <f t="shared" si="16"/>
        <v>0.166666666666667</v>
      </c>
      <c r="I147" s="54">
        <f t="shared" si="17"/>
        <v>1</v>
      </c>
      <c r="J147" s="147"/>
      <c r="K147" s="106"/>
    </row>
    <row r="148" s="16" customFormat="1" ht="13" customHeight="1" spans="1:11">
      <c r="A148" s="20">
        <v>130</v>
      </c>
      <c r="B148" s="104" t="s">
        <v>352</v>
      </c>
      <c r="C148" s="105">
        <v>30</v>
      </c>
      <c r="D148" s="105">
        <v>24</v>
      </c>
      <c r="E148" s="105">
        <v>720</v>
      </c>
      <c r="F148" s="106">
        <v>120</v>
      </c>
      <c r="G148" s="107"/>
      <c r="H148" s="27">
        <f t="shared" si="16"/>
        <v>0.166666666666667</v>
      </c>
      <c r="I148" s="54">
        <f t="shared" si="17"/>
        <v>1</v>
      </c>
      <c r="J148" s="147"/>
      <c r="K148" s="106"/>
    </row>
    <row r="149" s="16" customFormat="1" ht="13" customHeight="1" spans="1:11">
      <c r="A149" s="20">
        <v>129</v>
      </c>
      <c r="B149" s="108" t="s">
        <v>353</v>
      </c>
      <c r="C149" s="109">
        <v>30</v>
      </c>
      <c r="D149" s="109">
        <v>24</v>
      </c>
      <c r="E149" s="109">
        <v>720</v>
      </c>
      <c r="F149" s="110">
        <v>0</v>
      </c>
      <c r="G149" s="111"/>
      <c r="H149" s="27">
        <f t="shared" si="16"/>
        <v>0</v>
      </c>
      <c r="I149" s="54">
        <f t="shared" si="17"/>
        <v>1</v>
      </c>
      <c r="J149" s="148"/>
      <c r="K149" s="110"/>
    </row>
    <row r="150" s="16" customFormat="1" ht="13" customHeight="1" spans="1:11">
      <c r="A150" s="20">
        <v>130</v>
      </c>
      <c r="B150" s="108" t="s">
        <v>354</v>
      </c>
      <c r="C150" s="109">
        <v>30</v>
      </c>
      <c r="D150" s="109">
        <v>24</v>
      </c>
      <c r="E150" s="109">
        <v>720</v>
      </c>
      <c r="F150" s="109">
        <v>0</v>
      </c>
      <c r="G150" s="112"/>
      <c r="H150" s="27">
        <f t="shared" si="16"/>
        <v>0</v>
      </c>
      <c r="I150" s="54">
        <f t="shared" si="17"/>
        <v>1</v>
      </c>
      <c r="J150" s="148"/>
      <c r="K150" s="110"/>
    </row>
    <row r="151" s="16" customFormat="1" ht="13" customHeight="1" spans="1:11">
      <c r="A151" s="20">
        <v>130</v>
      </c>
      <c r="B151" s="108" t="s">
        <v>355</v>
      </c>
      <c r="C151" s="109">
        <v>30</v>
      </c>
      <c r="D151" s="109">
        <v>24</v>
      </c>
      <c r="E151" s="109">
        <v>720</v>
      </c>
      <c r="F151" s="109">
        <v>0</v>
      </c>
      <c r="G151" s="112"/>
      <c r="H151" s="27">
        <f t="shared" si="16"/>
        <v>0</v>
      </c>
      <c r="I151" s="54">
        <f t="shared" si="17"/>
        <v>1</v>
      </c>
      <c r="J151" s="148"/>
      <c r="K151" s="110"/>
    </row>
    <row r="152" s="16" customFormat="1" ht="13" customHeight="1" spans="1:11">
      <c r="A152" s="20">
        <v>132</v>
      </c>
      <c r="B152" s="108" t="s">
        <v>356</v>
      </c>
      <c r="C152" s="109">
        <v>30</v>
      </c>
      <c r="D152" s="109">
        <v>24</v>
      </c>
      <c r="E152" s="109">
        <v>720</v>
      </c>
      <c r="F152" s="109">
        <v>240</v>
      </c>
      <c r="G152" s="112"/>
      <c r="H152" s="27">
        <f t="shared" si="16"/>
        <v>0.333333333333333</v>
      </c>
      <c r="I152" s="54">
        <f t="shared" si="17"/>
        <v>1</v>
      </c>
      <c r="J152" s="148"/>
      <c r="K152" s="110"/>
    </row>
    <row r="153" s="16" customFormat="1" ht="13" customHeight="1" spans="1:11">
      <c r="A153" s="20">
        <v>133</v>
      </c>
      <c r="B153" s="108" t="s">
        <v>357</v>
      </c>
      <c r="C153" s="109">
        <v>30</v>
      </c>
      <c r="D153" s="109">
        <v>24</v>
      </c>
      <c r="E153" s="109">
        <v>720</v>
      </c>
      <c r="F153" s="109">
        <v>240</v>
      </c>
      <c r="G153" s="112"/>
      <c r="H153" s="27">
        <f t="shared" si="16"/>
        <v>0.333333333333333</v>
      </c>
      <c r="I153" s="54">
        <f t="shared" si="17"/>
        <v>1</v>
      </c>
      <c r="J153" s="148"/>
      <c r="K153" s="110"/>
    </row>
    <row r="154" s="16" customFormat="1" ht="13" customHeight="1" spans="1:11">
      <c r="A154" s="20">
        <v>134</v>
      </c>
      <c r="B154" s="108" t="s">
        <v>358</v>
      </c>
      <c r="C154" s="109">
        <v>30</v>
      </c>
      <c r="D154" s="109">
        <v>24</v>
      </c>
      <c r="E154" s="109">
        <v>720</v>
      </c>
      <c r="F154" s="109">
        <v>240</v>
      </c>
      <c r="G154" s="112"/>
      <c r="H154" s="27">
        <f t="shared" si="16"/>
        <v>0.333333333333333</v>
      </c>
      <c r="I154" s="54">
        <f t="shared" si="17"/>
        <v>1</v>
      </c>
      <c r="J154" s="148"/>
      <c r="K154" s="110"/>
    </row>
    <row r="155" s="16" customFormat="1" ht="13" customHeight="1" spans="1:11">
      <c r="A155" s="20">
        <v>135</v>
      </c>
      <c r="B155" s="108" t="s">
        <v>359</v>
      </c>
      <c r="C155" s="109">
        <v>30</v>
      </c>
      <c r="D155" s="109">
        <v>24</v>
      </c>
      <c r="E155" s="109">
        <v>720</v>
      </c>
      <c r="F155" s="113">
        <v>0</v>
      </c>
      <c r="G155" s="112"/>
      <c r="H155" s="27">
        <f t="shared" si="16"/>
        <v>0</v>
      </c>
      <c r="I155" s="54">
        <f t="shared" si="17"/>
        <v>1</v>
      </c>
      <c r="J155" s="148"/>
      <c r="K155" s="110"/>
    </row>
    <row r="156" s="16" customFormat="1" ht="13" customHeight="1" spans="1:11">
      <c r="A156" s="20">
        <v>136</v>
      </c>
      <c r="B156" s="114" t="s">
        <v>360</v>
      </c>
      <c r="C156" s="109">
        <v>30</v>
      </c>
      <c r="D156" s="109">
        <v>24</v>
      </c>
      <c r="E156" s="109">
        <v>720</v>
      </c>
      <c r="F156" s="113">
        <v>0</v>
      </c>
      <c r="G156" s="115"/>
      <c r="H156" s="27">
        <f t="shared" si="16"/>
        <v>0</v>
      </c>
      <c r="I156" s="54">
        <f t="shared" si="17"/>
        <v>1</v>
      </c>
      <c r="J156" s="148"/>
      <c r="K156" s="110"/>
    </row>
    <row r="157" s="16" customFormat="1" ht="13" customHeight="1" spans="1:11">
      <c r="A157" s="30" t="s">
        <v>254</v>
      </c>
      <c r="B157" s="31"/>
      <c r="C157" s="30"/>
      <c r="D157" s="30"/>
      <c r="E157" s="30" t="s">
        <v>255</v>
      </c>
      <c r="F157" s="30"/>
      <c r="G157" s="31"/>
      <c r="H157" s="30"/>
      <c r="I157" s="30" t="s">
        <v>256</v>
      </c>
      <c r="J157" s="31"/>
      <c r="K157" s="30"/>
    </row>
    <row r="158" s="16" customFormat="1" ht="40" customHeight="1" spans="1:11">
      <c r="A158" s="18" t="s">
        <v>361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213</v>
      </c>
      <c r="B159" s="20" t="s">
        <v>214</v>
      </c>
      <c r="C159" s="20" t="s">
        <v>362</v>
      </c>
      <c r="D159" s="20" t="s">
        <v>363</v>
      </c>
      <c r="E159" s="20" t="s">
        <v>364</v>
      </c>
      <c r="F159" s="20" t="s">
        <v>365</v>
      </c>
      <c r="G159" s="20" t="s">
        <v>366</v>
      </c>
      <c r="H159" s="20" t="s">
        <v>367</v>
      </c>
      <c r="I159" s="20" t="s">
        <v>368</v>
      </c>
      <c r="J159" s="20" t="s">
        <v>222</v>
      </c>
      <c r="K159" s="20" t="s">
        <v>369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6" t="s">
        <v>370</v>
      </c>
      <c r="C161" s="117">
        <v>30</v>
      </c>
      <c r="D161" s="117">
        <v>24</v>
      </c>
      <c r="E161" s="117">
        <v>720</v>
      </c>
      <c r="F161" s="118">
        <v>0</v>
      </c>
      <c r="G161" s="119"/>
      <c r="H161" s="27">
        <f t="shared" ref="H161:H185" si="18">F161/E161</f>
        <v>0</v>
      </c>
      <c r="I161" s="54">
        <f>1-G161/E161</f>
        <v>1</v>
      </c>
      <c r="J161" s="149"/>
      <c r="K161" s="149"/>
    </row>
    <row r="162" s="16" customFormat="1" ht="14" customHeight="1" spans="1:11">
      <c r="A162" s="20">
        <v>138</v>
      </c>
      <c r="B162" s="120" t="s">
        <v>371</v>
      </c>
      <c r="C162" s="121">
        <v>30</v>
      </c>
      <c r="D162" s="121">
        <v>24</v>
      </c>
      <c r="E162" s="121">
        <v>720</v>
      </c>
      <c r="F162" s="118">
        <v>0</v>
      </c>
      <c r="G162" s="122"/>
      <c r="H162" s="27">
        <f t="shared" si="18"/>
        <v>0</v>
      </c>
      <c r="I162" s="54">
        <f t="shared" ref="I162:I185" si="19">1-G162/E162</f>
        <v>1</v>
      </c>
      <c r="J162" s="122"/>
      <c r="K162" s="150"/>
    </row>
    <row r="163" s="16" customFormat="1" ht="14" customHeight="1" spans="1:11">
      <c r="A163" s="20">
        <v>139</v>
      </c>
      <c r="B163" s="123" t="s">
        <v>372</v>
      </c>
      <c r="C163" s="43">
        <v>30</v>
      </c>
      <c r="D163" s="43">
        <v>24</v>
      </c>
      <c r="E163" s="43">
        <v>720</v>
      </c>
      <c r="F163" s="118">
        <v>0</v>
      </c>
      <c r="G163" s="124"/>
      <c r="H163" s="27">
        <f t="shared" si="18"/>
        <v>0</v>
      </c>
      <c r="I163" s="54">
        <f t="shared" si="19"/>
        <v>1</v>
      </c>
      <c r="J163" s="136"/>
      <c r="K163" s="150"/>
    </row>
    <row r="164" s="16" customFormat="1" ht="14" customHeight="1" spans="1:11">
      <c r="A164" s="20">
        <v>140</v>
      </c>
      <c r="B164" s="120" t="s">
        <v>373</v>
      </c>
      <c r="C164" s="121">
        <v>30</v>
      </c>
      <c r="D164" s="121">
        <v>24</v>
      </c>
      <c r="E164" s="121">
        <v>720</v>
      </c>
      <c r="F164" s="118">
        <v>542</v>
      </c>
      <c r="G164" s="122"/>
      <c r="H164" s="27">
        <f t="shared" si="18"/>
        <v>0.752777777777778</v>
      </c>
      <c r="I164" s="54">
        <f t="shared" si="19"/>
        <v>1</v>
      </c>
      <c r="J164" s="151"/>
      <c r="K164" s="150"/>
    </row>
    <row r="165" s="16" customFormat="1" ht="14" customHeight="1" spans="1:11">
      <c r="A165" s="20">
        <v>141</v>
      </c>
      <c r="B165" s="120" t="s">
        <v>374</v>
      </c>
      <c r="C165" s="121">
        <v>30</v>
      </c>
      <c r="D165" s="121">
        <v>24</v>
      </c>
      <c r="E165" s="121">
        <v>720</v>
      </c>
      <c r="F165" s="118">
        <v>150.5</v>
      </c>
      <c r="G165" s="122"/>
      <c r="H165" s="27">
        <f t="shared" si="18"/>
        <v>0.209027777777778</v>
      </c>
      <c r="I165" s="54">
        <f t="shared" si="19"/>
        <v>1</v>
      </c>
      <c r="J165" s="151"/>
      <c r="K165" s="150"/>
    </row>
    <row r="166" s="16" customFormat="1" ht="14" customHeight="1" spans="1:11">
      <c r="A166" s="20">
        <v>142</v>
      </c>
      <c r="B166" s="120" t="s">
        <v>375</v>
      </c>
      <c r="C166" s="121">
        <v>30</v>
      </c>
      <c r="D166" s="121">
        <v>24</v>
      </c>
      <c r="E166" s="121">
        <v>720</v>
      </c>
      <c r="F166" s="118">
        <v>719</v>
      </c>
      <c r="G166" s="122"/>
      <c r="H166" s="27">
        <f t="shared" si="18"/>
        <v>0.998611111111111</v>
      </c>
      <c r="I166" s="54">
        <f t="shared" si="19"/>
        <v>1</v>
      </c>
      <c r="J166" s="151"/>
      <c r="K166" s="150"/>
    </row>
    <row r="167" s="16" customFormat="1" ht="14" customHeight="1" spans="1:11">
      <c r="A167" s="20">
        <v>143</v>
      </c>
      <c r="B167" s="120" t="s">
        <v>376</v>
      </c>
      <c r="C167" s="121">
        <v>30</v>
      </c>
      <c r="D167" s="121">
        <v>24</v>
      </c>
      <c r="E167" s="121">
        <v>720</v>
      </c>
      <c r="F167" s="118">
        <v>0</v>
      </c>
      <c r="G167" s="122"/>
      <c r="H167" s="27">
        <f t="shared" si="18"/>
        <v>0</v>
      </c>
      <c r="I167" s="54">
        <f t="shared" si="19"/>
        <v>1</v>
      </c>
      <c r="J167" s="151"/>
      <c r="K167" s="150"/>
    </row>
    <row r="168" s="16" customFormat="1" ht="14" customHeight="1" spans="1:11">
      <c r="A168" s="20">
        <v>144</v>
      </c>
      <c r="B168" s="120" t="s">
        <v>377</v>
      </c>
      <c r="C168" s="121">
        <v>30</v>
      </c>
      <c r="D168" s="121">
        <v>24</v>
      </c>
      <c r="E168" s="121">
        <v>720</v>
      </c>
      <c r="F168" s="118">
        <v>719</v>
      </c>
      <c r="G168" s="122"/>
      <c r="H168" s="27">
        <f t="shared" si="18"/>
        <v>0.998611111111111</v>
      </c>
      <c r="I168" s="54">
        <f t="shared" si="19"/>
        <v>1</v>
      </c>
      <c r="J168" s="151"/>
      <c r="K168" s="150"/>
    </row>
    <row r="169" s="16" customFormat="1" ht="14" customHeight="1" spans="1:11">
      <c r="A169" s="20">
        <v>145</v>
      </c>
      <c r="B169" s="120" t="s">
        <v>378</v>
      </c>
      <c r="C169" s="121">
        <v>30</v>
      </c>
      <c r="D169" s="121">
        <v>24</v>
      </c>
      <c r="E169" s="121">
        <v>720</v>
      </c>
      <c r="F169" s="118">
        <v>0</v>
      </c>
      <c r="G169" s="122"/>
      <c r="H169" s="27">
        <f t="shared" si="18"/>
        <v>0</v>
      </c>
      <c r="I169" s="54">
        <f t="shared" si="19"/>
        <v>1</v>
      </c>
      <c r="J169" s="151"/>
      <c r="K169" s="150"/>
    </row>
    <row r="170" s="16" customFormat="1" ht="14" customHeight="1" spans="1:11">
      <c r="A170" s="20">
        <v>146</v>
      </c>
      <c r="B170" s="120" t="s">
        <v>379</v>
      </c>
      <c r="C170" s="121">
        <v>30</v>
      </c>
      <c r="D170" s="121">
        <v>24</v>
      </c>
      <c r="E170" s="121">
        <v>720</v>
      </c>
      <c r="F170" s="121">
        <v>30</v>
      </c>
      <c r="G170" s="122"/>
      <c r="H170" s="27">
        <f t="shared" si="18"/>
        <v>0.0416666666666667</v>
      </c>
      <c r="I170" s="54">
        <f t="shared" si="19"/>
        <v>1</v>
      </c>
      <c r="J170" s="151"/>
      <c r="K170" s="150"/>
    </row>
    <row r="171" s="16" customFormat="1" ht="14" customHeight="1" spans="1:11">
      <c r="A171" s="20">
        <v>147</v>
      </c>
      <c r="B171" s="120" t="s">
        <v>380</v>
      </c>
      <c r="C171" s="121">
        <v>30</v>
      </c>
      <c r="D171" s="121">
        <v>24</v>
      </c>
      <c r="E171" s="121">
        <v>720</v>
      </c>
      <c r="F171" s="121">
        <v>30</v>
      </c>
      <c r="G171" s="122"/>
      <c r="H171" s="27">
        <f t="shared" si="18"/>
        <v>0.0416666666666667</v>
      </c>
      <c r="I171" s="54">
        <f t="shared" si="19"/>
        <v>1</v>
      </c>
      <c r="J171" s="151"/>
      <c r="K171" s="150"/>
    </row>
    <row r="172" s="16" customFormat="1" ht="14" customHeight="1" spans="1:11">
      <c r="A172" s="20">
        <v>148</v>
      </c>
      <c r="B172" s="123" t="s">
        <v>381</v>
      </c>
      <c r="C172" s="125">
        <v>30</v>
      </c>
      <c r="D172" s="125">
        <v>24</v>
      </c>
      <c r="E172" s="125">
        <v>720</v>
      </c>
      <c r="F172" s="125">
        <v>0</v>
      </c>
      <c r="G172" s="126"/>
      <c r="H172" s="27">
        <f t="shared" si="18"/>
        <v>0</v>
      </c>
      <c r="I172" s="54">
        <f t="shared" si="19"/>
        <v>1</v>
      </c>
      <c r="J172" s="152"/>
      <c r="K172" s="153"/>
    </row>
    <row r="173" s="16" customFormat="1" ht="14" customHeight="1" spans="1:11">
      <c r="A173" s="20">
        <v>149</v>
      </c>
      <c r="B173" s="123" t="s">
        <v>382</v>
      </c>
      <c r="C173" s="125">
        <v>30</v>
      </c>
      <c r="D173" s="125">
        <v>24</v>
      </c>
      <c r="E173" s="125">
        <v>720</v>
      </c>
      <c r="F173" s="125">
        <v>0</v>
      </c>
      <c r="G173" s="126"/>
      <c r="H173" s="27">
        <f t="shared" si="18"/>
        <v>0</v>
      </c>
      <c r="I173" s="54">
        <f t="shared" si="19"/>
        <v>1</v>
      </c>
      <c r="J173" s="152"/>
      <c r="K173" s="153"/>
    </row>
    <row r="174" s="16" customFormat="1" ht="14" customHeight="1" spans="1:11">
      <c r="A174" s="20">
        <v>150</v>
      </c>
      <c r="B174" s="123" t="s">
        <v>383</v>
      </c>
      <c r="C174" s="125">
        <v>30</v>
      </c>
      <c r="D174" s="125">
        <v>24</v>
      </c>
      <c r="E174" s="125">
        <v>720</v>
      </c>
      <c r="F174" s="125">
        <v>0</v>
      </c>
      <c r="G174" s="126"/>
      <c r="H174" s="27">
        <f t="shared" si="18"/>
        <v>0</v>
      </c>
      <c r="I174" s="54">
        <f t="shared" si="19"/>
        <v>1</v>
      </c>
      <c r="J174" s="152"/>
      <c r="K174" s="153"/>
    </row>
    <row r="175" s="16" customFormat="1" ht="14" customHeight="1" spans="1:11">
      <c r="A175" s="20">
        <v>151</v>
      </c>
      <c r="B175" s="123" t="s">
        <v>384</v>
      </c>
      <c r="C175" s="125">
        <v>30</v>
      </c>
      <c r="D175" s="125">
        <v>24</v>
      </c>
      <c r="E175" s="125">
        <v>720</v>
      </c>
      <c r="F175" s="125">
        <v>0</v>
      </c>
      <c r="G175" s="126"/>
      <c r="H175" s="27">
        <f t="shared" si="18"/>
        <v>0</v>
      </c>
      <c r="I175" s="54">
        <f t="shared" si="19"/>
        <v>1</v>
      </c>
      <c r="J175" s="152"/>
      <c r="K175" s="153"/>
    </row>
    <row r="176" s="16" customFormat="1" ht="14" customHeight="1" spans="1:11">
      <c r="A176" s="20">
        <v>152</v>
      </c>
      <c r="B176" s="123" t="s">
        <v>385</v>
      </c>
      <c r="C176" s="125">
        <v>30</v>
      </c>
      <c r="D176" s="125">
        <v>24</v>
      </c>
      <c r="E176" s="125">
        <v>720</v>
      </c>
      <c r="F176" s="125">
        <v>0</v>
      </c>
      <c r="G176" s="126"/>
      <c r="H176" s="27">
        <f t="shared" si="18"/>
        <v>0</v>
      </c>
      <c r="I176" s="54">
        <f t="shared" si="19"/>
        <v>1</v>
      </c>
      <c r="J176" s="152"/>
      <c r="K176" s="153"/>
    </row>
    <row r="177" s="16" customFormat="1" ht="14" customHeight="1" spans="1:11">
      <c r="A177" s="20">
        <v>153</v>
      </c>
      <c r="B177" s="127" t="s">
        <v>386</v>
      </c>
      <c r="C177" s="125">
        <v>30</v>
      </c>
      <c r="D177" s="125">
        <v>24</v>
      </c>
      <c r="E177" s="125">
        <v>720</v>
      </c>
      <c r="F177" s="128">
        <v>0</v>
      </c>
      <c r="G177" s="126">
        <v>2</v>
      </c>
      <c r="H177" s="27">
        <f t="shared" si="18"/>
        <v>0</v>
      </c>
      <c r="I177" s="54">
        <f t="shared" si="19"/>
        <v>0.997222222222222</v>
      </c>
      <c r="J177" s="152" t="s">
        <v>387</v>
      </c>
      <c r="K177" s="153"/>
    </row>
    <row r="178" s="16" customFormat="1" ht="14" customHeight="1" spans="1:11">
      <c r="A178" s="20">
        <v>154</v>
      </c>
      <c r="B178" s="127" t="s">
        <v>388</v>
      </c>
      <c r="C178" s="125">
        <v>30</v>
      </c>
      <c r="D178" s="125">
        <v>24</v>
      </c>
      <c r="E178" s="125">
        <v>720</v>
      </c>
      <c r="F178" s="128">
        <v>304</v>
      </c>
      <c r="G178" s="126"/>
      <c r="H178" s="27">
        <f t="shared" si="18"/>
        <v>0.422222222222222</v>
      </c>
      <c r="I178" s="54">
        <f t="shared" si="19"/>
        <v>1</v>
      </c>
      <c r="J178" s="152"/>
      <c r="K178" s="153"/>
    </row>
    <row r="179" s="16" customFormat="1" ht="14" customHeight="1" spans="1:11">
      <c r="A179" s="20">
        <v>155</v>
      </c>
      <c r="B179" s="127" t="s">
        <v>389</v>
      </c>
      <c r="C179" s="125">
        <v>30</v>
      </c>
      <c r="D179" s="125">
        <v>24</v>
      </c>
      <c r="E179" s="125">
        <v>720</v>
      </c>
      <c r="F179" s="128">
        <v>404.5</v>
      </c>
      <c r="G179" s="126"/>
      <c r="H179" s="27">
        <f t="shared" si="18"/>
        <v>0.561805555555556</v>
      </c>
      <c r="I179" s="54">
        <f t="shared" si="19"/>
        <v>1</v>
      </c>
      <c r="J179" s="152"/>
      <c r="K179" s="153"/>
    </row>
    <row r="180" s="16" customFormat="1" ht="14" customHeight="1" spans="1:11">
      <c r="A180" s="20">
        <v>156</v>
      </c>
      <c r="B180" s="127" t="s">
        <v>390</v>
      </c>
      <c r="C180" s="125">
        <v>30</v>
      </c>
      <c r="D180" s="125">
        <v>24</v>
      </c>
      <c r="E180" s="125">
        <v>720</v>
      </c>
      <c r="F180" s="128">
        <v>276.5</v>
      </c>
      <c r="G180" s="126"/>
      <c r="H180" s="27">
        <f t="shared" si="18"/>
        <v>0.384027777777778</v>
      </c>
      <c r="I180" s="54">
        <f t="shared" si="19"/>
        <v>1</v>
      </c>
      <c r="J180" s="152"/>
      <c r="K180" s="153"/>
    </row>
    <row r="181" s="16" customFormat="1" ht="14" customHeight="1" spans="1:11">
      <c r="A181" s="20">
        <v>157</v>
      </c>
      <c r="B181" s="127" t="s">
        <v>391</v>
      </c>
      <c r="C181" s="125">
        <v>30</v>
      </c>
      <c r="D181" s="125">
        <v>24</v>
      </c>
      <c r="E181" s="125">
        <v>720</v>
      </c>
      <c r="F181" s="128">
        <v>493</v>
      </c>
      <c r="G181" s="129">
        <v>12</v>
      </c>
      <c r="H181" s="27">
        <f t="shared" si="18"/>
        <v>0.684722222222222</v>
      </c>
      <c r="I181" s="54">
        <f t="shared" si="19"/>
        <v>0.983333333333333</v>
      </c>
      <c r="J181" s="153" t="s">
        <v>392</v>
      </c>
      <c r="K181" s="154"/>
    </row>
    <row r="182" s="16" customFormat="1" ht="14" customHeight="1" spans="1:11">
      <c r="A182" s="20">
        <v>158</v>
      </c>
      <c r="B182" s="127" t="s">
        <v>393</v>
      </c>
      <c r="C182" s="125">
        <v>30</v>
      </c>
      <c r="D182" s="125">
        <v>24</v>
      </c>
      <c r="E182" s="125">
        <v>720</v>
      </c>
      <c r="F182" s="128">
        <v>594</v>
      </c>
      <c r="G182" s="126"/>
      <c r="H182" s="27">
        <f t="shared" si="18"/>
        <v>0.825</v>
      </c>
      <c r="I182" s="54">
        <f t="shared" si="19"/>
        <v>1</v>
      </c>
      <c r="J182" s="153" t="s">
        <v>394</v>
      </c>
      <c r="K182" s="154"/>
    </row>
    <row r="183" s="16" customFormat="1" ht="14" customHeight="1" spans="1:11">
      <c r="A183" s="20">
        <v>159</v>
      </c>
      <c r="B183" s="130" t="s">
        <v>395</v>
      </c>
      <c r="C183" s="131">
        <v>30</v>
      </c>
      <c r="D183" s="131">
        <v>24</v>
      </c>
      <c r="E183" s="131">
        <v>720</v>
      </c>
      <c r="F183" s="132">
        <v>0</v>
      </c>
      <c r="G183" s="133"/>
      <c r="H183" s="27">
        <f t="shared" si="18"/>
        <v>0</v>
      </c>
      <c r="I183" s="54">
        <f t="shared" si="19"/>
        <v>1</v>
      </c>
      <c r="J183" s="155"/>
      <c r="K183" s="134"/>
    </row>
    <row r="184" s="16" customFormat="1" ht="14" customHeight="1" spans="1:11">
      <c r="A184" s="20">
        <v>160</v>
      </c>
      <c r="B184" s="130" t="s">
        <v>396</v>
      </c>
      <c r="C184" s="131">
        <v>30</v>
      </c>
      <c r="D184" s="131">
        <v>24</v>
      </c>
      <c r="E184" s="131">
        <v>720</v>
      </c>
      <c r="F184" s="132">
        <v>91</v>
      </c>
      <c r="G184" s="133"/>
      <c r="H184" s="27">
        <f t="shared" si="18"/>
        <v>0.126388888888889</v>
      </c>
      <c r="I184" s="54">
        <f t="shared" si="19"/>
        <v>1</v>
      </c>
      <c r="J184" s="134" t="s">
        <v>397</v>
      </c>
      <c r="K184" s="134"/>
    </row>
    <row r="185" s="16" customFormat="1" ht="14" customHeight="1" spans="1:11">
      <c r="A185" s="20">
        <v>161</v>
      </c>
      <c r="B185" s="130" t="s">
        <v>398</v>
      </c>
      <c r="C185" s="131">
        <v>30</v>
      </c>
      <c r="D185" s="131">
        <v>24</v>
      </c>
      <c r="E185" s="134">
        <v>720</v>
      </c>
      <c r="F185" s="129">
        <v>597.5</v>
      </c>
      <c r="G185" s="129">
        <v>16</v>
      </c>
      <c r="H185" s="27">
        <f t="shared" si="18"/>
        <v>0.829861111111111</v>
      </c>
      <c r="I185" s="54">
        <f t="shared" si="19"/>
        <v>0.977777777777778</v>
      </c>
      <c r="J185" s="134" t="s">
        <v>399</v>
      </c>
      <c r="K185" s="134"/>
    </row>
    <row r="186" s="16" customFormat="1" ht="14" customHeight="1" spans="1:11">
      <c r="A186" s="30" t="s">
        <v>254</v>
      </c>
      <c r="B186" s="31"/>
      <c r="C186" s="30"/>
      <c r="D186" s="30"/>
      <c r="E186" s="30" t="s">
        <v>255</v>
      </c>
      <c r="F186" s="30"/>
      <c r="G186" s="31"/>
      <c r="H186" s="30"/>
      <c r="I186" s="156" t="s">
        <v>400</v>
      </c>
      <c r="J186" s="31"/>
      <c r="K186" s="30"/>
    </row>
    <row r="187" s="16" customFormat="1" ht="30" customHeight="1" spans="1:11">
      <c r="A187" s="18" t="s">
        <v>401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213</v>
      </c>
      <c r="B188" s="20" t="s">
        <v>214</v>
      </c>
      <c r="C188" s="20" t="s">
        <v>362</v>
      </c>
      <c r="D188" s="20" t="s">
        <v>363</v>
      </c>
      <c r="E188" s="20" t="s">
        <v>364</v>
      </c>
      <c r="F188" s="20" t="s">
        <v>365</v>
      </c>
      <c r="G188" s="20" t="s">
        <v>366</v>
      </c>
      <c r="H188" s="20" t="s">
        <v>367</v>
      </c>
      <c r="I188" s="20" t="s">
        <v>368</v>
      </c>
      <c r="J188" s="21" t="s">
        <v>222</v>
      </c>
      <c r="K188" s="157" t="s">
        <v>369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7" customHeight="1" spans="1:11">
      <c r="A190" s="21" t="s">
        <v>402</v>
      </c>
      <c r="B190" s="22"/>
      <c r="C190" s="22"/>
      <c r="D190" s="22"/>
      <c r="E190" s="22"/>
      <c r="F190" s="22"/>
      <c r="G190" s="22"/>
      <c r="H190" s="103"/>
      <c r="I190" s="22"/>
      <c r="J190" s="22"/>
      <c r="K190" s="20"/>
    </row>
    <row r="191" s="16" customFormat="1" spans="1:11">
      <c r="A191" s="20">
        <v>162</v>
      </c>
      <c r="B191" s="135" t="s">
        <v>403</v>
      </c>
      <c r="C191" s="136">
        <v>30</v>
      </c>
      <c r="D191" s="137">
        <v>24</v>
      </c>
      <c r="E191" s="138">
        <v>720</v>
      </c>
      <c r="F191" s="137">
        <v>0</v>
      </c>
      <c r="G191" s="139"/>
      <c r="H191" s="27">
        <f t="shared" ref="H191:H222" si="20">F191/E191</f>
        <v>0</v>
      </c>
      <c r="I191" s="54">
        <f>1-G191/E191</f>
        <v>1</v>
      </c>
      <c r="J191" s="148"/>
      <c r="K191" s="136"/>
    </row>
    <row r="192" s="16" customFormat="1" spans="1:11">
      <c r="A192" s="20">
        <v>163</v>
      </c>
      <c r="B192" s="135" t="s">
        <v>404</v>
      </c>
      <c r="C192" s="43">
        <v>30</v>
      </c>
      <c r="D192" s="138">
        <v>24</v>
      </c>
      <c r="E192" s="138">
        <v>720</v>
      </c>
      <c r="F192" s="138">
        <v>0</v>
      </c>
      <c r="G192" s="140"/>
      <c r="H192" s="27">
        <f t="shared" si="20"/>
        <v>0</v>
      </c>
      <c r="I192" s="54">
        <f t="shared" ref="I192:I222" si="21">1-G192/E192</f>
        <v>1</v>
      </c>
      <c r="J192" s="148"/>
      <c r="K192" s="136"/>
    </row>
    <row r="193" s="16" customFormat="1" spans="1:11">
      <c r="A193" s="20">
        <v>164</v>
      </c>
      <c r="B193" s="135" t="s">
        <v>405</v>
      </c>
      <c r="C193" s="43">
        <v>30</v>
      </c>
      <c r="D193" s="138">
        <v>24</v>
      </c>
      <c r="E193" s="138">
        <v>720</v>
      </c>
      <c r="F193" s="138">
        <v>0</v>
      </c>
      <c r="G193" s="140"/>
      <c r="H193" s="27">
        <f t="shared" si="20"/>
        <v>0</v>
      </c>
      <c r="I193" s="54">
        <f t="shared" si="21"/>
        <v>1</v>
      </c>
      <c r="J193" s="148"/>
      <c r="K193" s="136"/>
    </row>
    <row r="194" s="16" customFormat="1" spans="1:11">
      <c r="A194" s="20">
        <v>165</v>
      </c>
      <c r="B194" s="135" t="s">
        <v>406</v>
      </c>
      <c r="C194" s="43">
        <v>30</v>
      </c>
      <c r="D194" s="138">
        <v>24</v>
      </c>
      <c r="E194" s="138">
        <v>720</v>
      </c>
      <c r="F194" s="138">
        <v>0</v>
      </c>
      <c r="G194" s="140"/>
      <c r="H194" s="27">
        <f t="shared" si="20"/>
        <v>0</v>
      </c>
      <c r="I194" s="54">
        <f t="shared" si="21"/>
        <v>1</v>
      </c>
      <c r="J194" s="163" t="s">
        <v>275</v>
      </c>
      <c r="K194" s="136"/>
    </row>
    <row r="195" s="16" customFormat="1" spans="1:11">
      <c r="A195" s="20">
        <v>166</v>
      </c>
      <c r="B195" s="135" t="s">
        <v>407</v>
      </c>
      <c r="C195" s="43">
        <v>30</v>
      </c>
      <c r="D195" s="138">
        <v>24</v>
      </c>
      <c r="E195" s="138">
        <v>720</v>
      </c>
      <c r="F195" s="138">
        <v>450</v>
      </c>
      <c r="G195" s="140"/>
      <c r="H195" s="27">
        <f t="shared" si="20"/>
        <v>0.625</v>
      </c>
      <c r="I195" s="54">
        <f t="shared" si="21"/>
        <v>1</v>
      </c>
      <c r="J195" s="148"/>
      <c r="K195" s="136"/>
    </row>
    <row r="196" s="16" customFormat="1" spans="1:11">
      <c r="A196" s="20">
        <v>167</v>
      </c>
      <c r="B196" s="135" t="s">
        <v>408</v>
      </c>
      <c r="C196" s="158">
        <v>30</v>
      </c>
      <c r="D196" s="159">
        <v>24</v>
      </c>
      <c r="E196" s="158">
        <v>720</v>
      </c>
      <c r="F196" s="159">
        <v>450</v>
      </c>
      <c r="G196" s="160"/>
      <c r="H196" s="27">
        <f t="shared" si="20"/>
        <v>0.625</v>
      </c>
      <c r="I196" s="54">
        <f t="shared" si="21"/>
        <v>1</v>
      </c>
      <c r="J196" s="164"/>
      <c r="K196" s="159"/>
    </row>
    <row r="197" s="16" customFormat="1" spans="1:11">
      <c r="A197" s="20">
        <v>168</v>
      </c>
      <c r="B197" s="135" t="s">
        <v>409</v>
      </c>
      <c r="C197" s="158">
        <v>30</v>
      </c>
      <c r="D197" s="159">
        <v>24</v>
      </c>
      <c r="E197" s="158">
        <v>720</v>
      </c>
      <c r="F197" s="138">
        <v>600</v>
      </c>
      <c r="G197" s="160"/>
      <c r="H197" s="27">
        <f t="shared" si="20"/>
        <v>0.833333333333333</v>
      </c>
      <c r="I197" s="54">
        <f t="shared" si="21"/>
        <v>1</v>
      </c>
      <c r="J197" s="148"/>
      <c r="K197" s="159"/>
    </row>
    <row r="198" s="16" customFormat="1" spans="1:11">
      <c r="A198" s="20">
        <v>169</v>
      </c>
      <c r="B198" s="135" t="s">
        <v>410</v>
      </c>
      <c r="C198" s="158">
        <v>30</v>
      </c>
      <c r="D198" s="159">
        <v>24</v>
      </c>
      <c r="E198" s="158">
        <v>720</v>
      </c>
      <c r="F198" s="159">
        <v>600</v>
      </c>
      <c r="G198" s="160"/>
      <c r="H198" s="27">
        <f t="shared" si="20"/>
        <v>0.833333333333333</v>
      </c>
      <c r="I198" s="54">
        <f t="shared" si="21"/>
        <v>1</v>
      </c>
      <c r="J198" s="148"/>
      <c r="K198" s="159"/>
    </row>
    <row r="199" s="16" customFormat="1" spans="1:11">
      <c r="A199" s="20">
        <v>170</v>
      </c>
      <c r="B199" s="135" t="s">
        <v>411</v>
      </c>
      <c r="C199" s="158">
        <v>30</v>
      </c>
      <c r="D199" s="159">
        <v>24</v>
      </c>
      <c r="E199" s="158">
        <v>720</v>
      </c>
      <c r="F199" s="138">
        <v>600</v>
      </c>
      <c r="G199" s="160"/>
      <c r="H199" s="27">
        <f t="shared" si="20"/>
        <v>0.833333333333333</v>
      </c>
      <c r="I199" s="54">
        <f t="shared" si="21"/>
        <v>1</v>
      </c>
      <c r="J199" s="148"/>
      <c r="K199" s="159"/>
    </row>
    <row r="200" s="16" customFormat="1" spans="1:11">
      <c r="A200" s="20">
        <v>171</v>
      </c>
      <c r="B200" s="135" t="s">
        <v>412</v>
      </c>
      <c r="C200" s="158">
        <v>30</v>
      </c>
      <c r="D200" s="159">
        <v>24</v>
      </c>
      <c r="E200" s="158">
        <v>720</v>
      </c>
      <c r="F200" s="159">
        <v>600</v>
      </c>
      <c r="G200" s="160"/>
      <c r="H200" s="27">
        <f t="shared" si="20"/>
        <v>0.833333333333333</v>
      </c>
      <c r="I200" s="54">
        <f t="shared" si="21"/>
        <v>1</v>
      </c>
      <c r="J200" s="148"/>
      <c r="K200" s="159"/>
    </row>
    <row r="201" s="16" customFormat="1" spans="1:11">
      <c r="A201" s="20">
        <v>172</v>
      </c>
      <c r="B201" s="135" t="s">
        <v>413</v>
      </c>
      <c r="C201" s="158">
        <v>30</v>
      </c>
      <c r="D201" s="159">
        <v>24</v>
      </c>
      <c r="E201" s="158">
        <v>720</v>
      </c>
      <c r="F201" s="138">
        <v>492</v>
      </c>
      <c r="G201" s="160"/>
      <c r="H201" s="27">
        <f t="shared" si="20"/>
        <v>0.683333333333333</v>
      </c>
      <c r="I201" s="54">
        <f t="shared" si="21"/>
        <v>1</v>
      </c>
      <c r="J201" s="163" t="s">
        <v>275</v>
      </c>
      <c r="K201" s="159"/>
    </row>
    <row r="202" s="16" customFormat="1" spans="1:11">
      <c r="A202" s="20">
        <v>173</v>
      </c>
      <c r="B202" s="135" t="s">
        <v>414</v>
      </c>
      <c r="C202" s="158">
        <v>30</v>
      </c>
      <c r="D202" s="159">
        <v>24</v>
      </c>
      <c r="E202" s="158">
        <v>720</v>
      </c>
      <c r="F202" s="159">
        <v>492</v>
      </c>
      <c r="G202" s="160"/>
      <c r="H202" s="27">
        <f t="shared" si="20"/>
        <v>0.683333333333333</v>
      </c>
      <c r="I202" s="54">
        <f t="shared" si="21"/>
        <v>1</v>
      </c>
      <c r="J202" s="163" t="s">
        <v>275</v>
      </c>
      <c r="K202" s="159"/>
    </row>
    <row r="203" s="16" customFormat="1" spans="1:11">
      <c r="A203" s="20">
        <v>174</v>
      </c>
      <c r="B203" s="135" t="s">
        <v>225</v>
      </c>
      <c r="C203" s="158">
        <v>30</v>
      </c>
      <c r="D203" s="159">
        <v>24</v>
      </c>
      <c r="E203" s="158">
        <v>720</v>
      </c>
      <c r="F203" s="159">
        <v>719</v>
      </c>
      <c r="G203" s="160"/>
      <c r="H203" s="27">
        <f t="shared" si="20"/>
        <v>0.998611111111111</v>
      </c>
      <c r="I203" s="54">
        <f t="shared" si="21"/>
        <v>1</v>
      </c>
      <c r="J203" s="148"/>
      <c r="K203" s="159"/>
    </row>
    <row r="204" s="16" customFormat="1" spans="1:11">
      <c r="A204" s="20">
        <v>175</v>
      </c>
      <c r="B204" s="135" t="s">
        <v>415</v>
      </c>
      <c r="C204" s="158">
        <v>30</v>
      </c>
      <c r="D204" s="159">
        <v>24</v>
      </c>
      <c r="E204" s="158">
        <v>720</v>
      </c>
      <c r="F204" s="159">
        <v>719</v>
      </c>
      <c r="G204" s="160"/>
      <c r="H204" s="27">
        <f t="shared" si="20"/>
        <v>0.998611111111111</v>
      </c>
      <c r="I204" s="54">
        <f t="shared" si="21"/>
        <v>1</v>
      </c>
      <c r="J204" s="148"/>
      <c r="K204" s="159"/>
    </row>
    <row r="205" s="16" customFormat="1" spans="1:11">
      <c r="A205" s="20">
        <v>176</v>
      </c>
      <c r="B205" s="135" t="s">
        <v>416</v>
      </c>
      <c r="C205" s="158">
        <v>30</v>
      </c>
      <c r="D205" s="159">
        <v>24</v>
      </c>
      <c r="E205" s="158">
        <v>720</v>
      </c>
      <c r="F205" s="159">
        <v>719</v>
      </c>
      <c r="G205" s="160"/>
      <c r="H205" s="27">
        <f t="shared" si="20"/>
        <v>0.998611111111111</v>
      </c>
      <c r="I205" s="54">
        <f t="shared" si="21"/>
        <v>1</v>
      </c>
      <c r="J205" s="148"/>
      <c r="K205" s="159"/>
    </row>
    <row r="206" s="16" customFormat="1" spans="1:11">
      <c r="A206" s="20">
        <v>177</v>
      </c>
      <c r="B206" s="135" t="s">
        <v>327</v>
      </c>
      <c r="C206" s="158">
        <v>30</v>
      </c>
      <c r="D206" s="159">
        <v>24</v>
      </c>
      <c r="E206" s="158">
        <v>720</v>
      </c>
      <c r="F206" s="159">
        <v>719</v>
      </c>
      <c r="G206" s="160"/>
      <c r="H206" s="27">
        <f t="shared" si="20"/>
        <v>0.998611111111111</v>
      </c>
      <c r="I206" s="54">
        <f t="shared" si="21"/>
        <v>1</v>
      </c>
      <c r="J206" s="163" t="s">
        <v>275</v>
      </c>
      <c r="K206" s="159"/>
    </row>
    <row r="207" s="16" customFormat="1" spans="1:11">
      <c r="A207" s="20">
        <v>178</v>
      </c>
      <c r="B207" s="135" t="s">
        <v>417</v>
      </c>
      <c r="C207" s="158">
        <v>30</v>
      </c>
      <c r="D207" s="161">
        <v>24</v>
      </c>
      <c r="E207" s="158">
        <v>720</v>
      </c>
      <c r="F207" s="161">
        <v>0</v>
      </c>
      <c r="G207" s="162"/>
      <c r="H207" s="27">
        <f t="shared" si="20"/>
        <v>0</v>
      </c>
      <c r="I207" s="54">
        <f t="shared" si="21"/>
        <v>1</v>
      </c>
      <c r="J207" s="165"/>
      <c r="K207" s="161"/>
    </row>
    <row r="208" s="16" customFormat="1" spans="1:11">
      <c r="A208" s="20">
        <v>179</v>
      </c>
      <c r="B208" s="135" t="s">
        <v>418</v>
      </c>
      <c r="C208" s="158">
        <v>30</v>
      </c>
      <c r="D208" s="161">
        <v>24</v>
      </c>
      <c r="E208" s="158">
        <v>720</v>
      </c>
      <c r="F208" s="161">
        <v>0</v>
      </c>
      <c r="G208" s="162"/>
      <c r="H208" s="27">
        <f t="shared" si="20"/>
        <v>0</v>
      </c>
      <c r="I208" s="54">
        <f t="shared" si="21"/>
        <v>1</v>
      </c>
      <c r="J208" s="165"/>
      <c r="K208" s="161"/>
    </row>
    <row r="209" s="16" customFormat="1" spans="1:11">
      <c r="A209" s="20">
        <v>180</v>
      </c>
      <c r="B209" s="135" t="s">
        <v>419</v>
      </c>
      <c r="C209" s="158">
        <v>30</v>
      </c>
      <c r="D209" s="161">
        <v>24</v>
      </c>
      <c r="E209" s="158">
        <v>720</v>
      </c>
      <c r="F209" s="161">
        <v>0</v>
      </c>
      <c r="G209" s="162"/>
      <c r="H209" s="27">
        <f t="shared" si="20"/>
        <v>0</v>
      </c>
      <c r="I209" s="54">
        <f t="shared" si="21"/>
        <v>1</v>
      </c>
      <c r="J209" s="165"/>
      <c r="K209" s="161"/>
    </row>
    <row r="210" s="16" customFormat="1" spans="1:11">
      <c r="A210" s="20">
        <v>181</v>
      </c>
      <c r="B210" s="135" t="s">
        <v>420</v>
      </c>
      <c r="C210" s="158">
        <v>30</v>
      </c>
      <c r="D210" s="161">
        <v>24</v>
      </c>
      <c r="E210" s="158">
        <v>720</v>
      </c>
      <c r="F210" s="161">
        <v>0</v>
      </c>
      <c r="G210" s="162"/>
      <c r="H210" s="27">
        <f t="shared" si="20"/>
        <v>0</v>
      </c>
      <c r="I210" s="54">
        <f t="shared" si="21"/>
        <v>1</v>
      </c>
      <c r="J210" s="165"/>
      <c r="K210" s="161"/>
    </row>
    <row r="211" s="16" customFormat="1" spans="1:11">
      <c r="A211" s="20">
        <v>182</v>
      </c>
      <c r="B211" s="135" t="s">
        <v>321</v>
      </c>
      <c r="C211" s="158">
        <v>30</v>
      </c>
      <c r="D211" s="161">
        <v>24</v>
      </c>
      <c r="E211" s="158">
        <v>720</v>
      </c>
      <c r="F211" s="161">
        <v>0</v>
      </c>
      <c r="G211" s="162"/>
      <c r="H211" s="27">
        <f t="shared" si="20"/>
        <v>0</v>
      </c>
      <c r="I211" s="54">
        <f t="shared" si="21"/>
        <v>1</v>
      </c>
      <c r="J211" s="166"/>
      <c r="K211" s="161"/>
    </row>
    <row r="212" s="16" customFormat="1" spans="1:11">
      <c r="A212" s="20">
        <v>183</v>
      </c>
      <c r="B212" s="135" t="s">
        <v>322</v>
      </c>
      <c r="C212" s="158">
        <v>30</v>
      </c>
      <c r="D212" s="161">
        <v>24</v>
      </c>
      <c r="E212" s="158">
        <v>720</v>
      </c>
      <c r="F212" s="161">
        <v>0</v>
      </c>
      <c r="G212" s="162"/>
      <c r="H212" s="27">
        <f t="shared" si="20"/>
        <v>0</v>
      </c>
      <c r="I212" s="54">
        <f t="shared" si="21"/>
        <v>1</v>
      </c>
      <c r="J212" s="166"/>
      <c r="K212" s="161"/>
    </row>
    <row r="213" s="16" customFormat="1" spans="1:11">
      <c r="A213" s="20">
        <v>184</v>
      </c>
      <c r="B213" s="135" t="s">
        <v>344</v>
      </c>
      <c r="C213" s="158">
        <v>30</v>
      </c>
      <c r="D213" s="161">
        <v>24</v>
      </c>
      <c r="E213" s="158">
        <v>720</v>
      </c>
      <c r="F213" s="161">
        <v>0</v>
      </c>
      <c r="G213" s="162"/>
      <c r="H213" s="27">
        <f t="shared" si="20"/>
        <v>0</v>
      </c>
      <c r="I213" s="54">
        <f t="shared" si="21"/>
        <v>1</v>
      </c>
      <c r="J213" s="166"/>
      <c r="K213" s="161"/>
    </row>
    <row r="214" s="16" customFormat="1" spans="1:11">
      <c r="A214" s="20">
        <v>185</v>
      </c>
      <c r="B214" s="135" t="s">
        <v>345</v>
      </c>
      <c r="C214" s="158">
        <v>30</v>
      </c>
      <c r="D214" s="161">
        <v>24</v>
      </c>
      <c r="E214" s="158">
        <v>720</v>
      </c>
      <c r="F214" s="161">
        <v>0</v>
      </c>
      <c r="G214" s="162"/>
      <c r="H214" s="27">
        <f t="shared" si="20"/>
        <v>0</v>
      </c>
      <c r="I214" s="54">
        <f t="shared" si="21"/>
        <v>1</v>
      </c>
      <c r="J214" s="166"/>
      <c r="K214" s="161"/>
    </row>
    <row r="215" s="16" customFormat="1" spans="1:11">
      <c r="A215" s="20">
        <v>186</v>
      </c>
      <c r="B215" s="135" t="s">
        <v>421</v>
      </c>
      <c r="C215" s="158">
        <v>30</v>
      </c>
      <c r="D215" s="161">
        <v>24</v>
      </c>
      <c r="E215" s="158">
        <v>720</v>
      </c>
      <c r="F215" s="161">
        <v>0</v>
      </c>
      <c r="G215" s="162"/>
      <c r="H215" s="27">
        <f t="shared" si="20"/>
        <v>0</v>
      </c>
      <c r="I215" s="54">
        <f t="shared" si="21"/>
        <v>1</v>
      </c>
      <c r="J215" s="166"/>
      <c r="K215" s="161"/>
    </row>
    <row r="216" s="16" customFormat="1" spans="1:11">
      <c r="A216" s="20">
        <v>187</v>
      </c>
      <c r="B216" s="135" t="s">
        <v>422</v>
      </c>
      <c r="C216" s="158">
        <v>30</v>
      </c>
      <c r="D216" s="161">
        <v>24</v>
      </c>
      <c r="E216" s="158">
        <v>720</v>
      </c>
      <c r="F216" s="161">
        <v>0</v>
      </c>
      <c r="G216" s="162"/>
      <c r="H216" s="27">
        <f t="shared" si="20"/>
        <v>0</v>
      </c>
      <c r="I216" s="54">
        <f t="shared" si="21"/>
        <v>1</v>
      </c>
      <c r="J216" s="166"/>
      <c r="K216" s="161"/>
    </row>
    <row r="217" s="16" customFormat="1" spans="1:11">
      <c r="A217" s="20">
        <v>188</v>
      </c>
      <c r="B217" s="135" t="s">
        <v>423</v>
      </c>
      <c r="C217" s="158">
        <v>30</v>
      </c>
      <c r="D217" s="161">
        <v>24</v>
      </c>
      <c r="E217" s="158">
        <v>720</v>
      </c>
      <c r="F217" s="161">
        <v>0</v>
      </c>
      <c r="G217" s="162"/>
      <c r="H217" s="27">
        <f t="shared" si="20"/>
        <v>0</v>
      </c>
      <c r="I217" s="54">
        <f t="shared" si="21"/>
        <v>1</v>
      </c>
      <c r="J217" s="167"/>
      <c r="K217" s="161"/>
    </row>
    <row r="218" s="16" customFormat="1" spans="1:11">
      <c r="A218" s="20">
        <v>189</v>
      </c>
      <c r="B218" s="135" t="s">
        <v>424</v>
      </c>
      <c r="C218" s="158">
        <v>30</v>
      </c>
      <c r="D218" s="161">
        <v>24</v>
      </c>
      <c r="E218" s="158">
        <v>720</v>
      </c>
      <c r="F218" s="161">
        <v>0</v>
      </c>
      <c r="G218" s="162"/>
      <c r="H218" s="27">
        <f t="shared" si="20"/>
        <v>0</v>
      </c>
      <c r="I218" s="54">
        <f t="shared" si="21"/>
        <v>1</v>
      </c>
      <c r="J218" s="167"/>
      <c r="K218" s="161"/>
    </row>
    <row r="219" s="16" customFormat="1" spans="1:11">
      <c r="A219" s="20">
        <v>190</v>
      </c>
      <c r="B219" s="135" t="s">
        <v>425</v>
      </c>
      <c r="C219" s="158">
        <v>30</v>
      </c>
      <c r="D219" s="159">
        <v>24</v>
      </c>
      <c r="E219" s="158">
        <v>720</v>
      </c>
      <c r="F219" s="161">
        <v>0</v>
      </c>
      <c r="G219" s="160"/>
      <c r="H219" s="27">
        <f t="shared" si="20"/>
        <v>0</v>
      </c>
      <c r="I219" s="54">
        <f t="shared" si="21"/>
        <v>1</v>
      </c>
      <c r="J219" s="167"/>
      <c r="K219" s="159"/>
    </row>
    <row r="220" s="16" customFormat="1" spans="1:11">
      <c r="A220" s="20">
        <v>191</v>
      </c>
      <c r="B220" s="135" t="s">
        <v>426</v>
      </c>
      <c r="C220" s="158">
        <v>30</v>
      </c>
      <c r="D220" s="159">
        <v>24</v>
      </c>
      <c r="E220" s="158">
        <v>720</v>
      </c>
      <c r="F220" s="161">
        <v>0</v>
      </c>
      <c r="G220" s="160"/>
      <c r="H220" s="27">
        <f t="shared" si="20"/>
        <v>0</v>
      </c>
      <c r="I220" s="54">
        <f t="shared" si="21"/>
        <v>1</v>
      </c>
      <c r="J220" s="167"/>
      <c r="K220" s="159"/>
    </row>
    <row r="221" s="16" customFormat="1" spans="1:11">
      <c r="A221" s="20">
        <v>192</v>
      </c>
      <c r="B221" s="135" t="s">
        <v>427</v>
      </c>
      <c r="C221" s="158">
        <v>30</v>
      </c>
      <c r="D221" s="161">
        <v>24</v>
      </c>
      <c r="E221" s="158">
        <v>720</v>
      </c>
      <c r="F221" s="161">
        <v>0</v>
      </c>
      <c r="G221" s="160"/>
      <c r="H221" s="27">
        <f t="shared" si="20"/>
        <v>0</v>
      </c>
      <c r="I221" s="54">
        <f t="shared" si="21"/>
        <v>1</v>
      </c>
      <c r="J221" s="167"/>
      <c r="K221" s="161"/>
    </row>
    <row r="222" s="16" customFormat="1" spans="1:11">
      <c r="A222" s="20">
        <v>193</v>
      </c>
      <c r="B222" s="135" t="s">
        <v>428</v>
      </c>
      <c r="C222" s="158">
        <v>30</v>
      </c>
      <c r="D222" s="161">
        <v>24</v>
      </c>
      <c r="E222" s="158">
        <v>720</v>
      </c>
      <c r="F222" s="161">
        <v>0</v>
      </c>
      <c r="G222" s="162"/>
      <c r="H222" s="27">
        <f t="shared" si="20"/>
        <v>0</v>
      </c>
      <c r="I222" s="54">
        <f t="shared" si="21"/>
        <v>1</v>
      </c>
      <c r="J222" s="167"/>
      <c r="K222" s="161"/>
    </row>
    <row r="223" s="16" customFormat="1" ht="12" customHeight="1" spans="1:11">
      <c r="A223" s="30" t="s">
        <v>254</v>
      </c>
      <c r="B223" s="31"/>
      <c r="C223" s="30"/>
      <c r="D223" s="30"/>
      <c r="E223" s="30" t="s">
        <v>255</v>
      </c>
      <c r="F223" s="30"/>
      <c r="G223" s="31"/>
      <c r="H223" s="30"/>
      <c r="I223" s="30" t="s">
        <v>256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68"/>
      <c r="B281" s="57"/>
      <c r="C281" s="168"/>
      <c r="D281" s="168"/>
      <c r="E281" s="168"/>
      <c r="F281" s="168"/>
      <c r="G281" s="57"/>
      <c r="H281" s="168"/>
      <c r="I281" s="168"/>
      <c r="J281" s="57"/>
      <c r="K281" s="168"/>
    </row>
    <row r="282" s="16" customFormat="1" spans="1:11">
      <c r="A282" s="168"/>
      <c r="B282" s="57"/>
      <c r="C282" s="168"/>
      <c r="D282" s="168"/>
      <c r="E282" s="168"/>
      <c r="F282" s="168"/>
      <c r="G282" s="57"/>
      <c r="H282" s="168"/>
      <c r="I282" s="168"/>
      <c r="J282" s="57"/>
      <c r="K282" s="168"/>
    </row>
    <row r="283" s="16" customFormat="1" spans="1:11">
      <c r="A283" s="168"/>
      <c r="B283" s="57"/>
      <c r="C283" s="168"/>
      <c r="D283" s="168"/>
      <c r="E283" s="168"/>
      <c r="F283" s="168"/>
      <c r="G283" s="57"/>
      <c r="H283" s="168"/>
      <c r="I283" s="168"/>
      <c r="J283" s="57"/>
      <c r="K283" s="168"/>
    </row>
    <row r="284" s="16" customFormat="1" spans="1:11">
      <c r="A284" s="168"/>
      <c r="B284" s="57"/>
      <c r="C284" s="168"/>
      <c r="D284" s="168"/>
      <c r="E284" s="168"/>
      <c r="F284" s="168"/>
      <c r="G284" s="57"/>
      <c r="H284" s="168"/>
      <c r="I284" s="168"/>
      <c r="J284" s="57"/>
      <c r="K284" s="168"/>
    </row>
    <row r="285" s="16" customFormat="1" spans="1:11">
      <c r="A285" s="168"/>
      <c r="B285" s="57"/>
      <c r="C285" s="168"/>
      <c r="D285" s="168"/>
      <c r="E285" s="168"/>
      <c r="F285" s="168"/>
      <c r="G285" s="57"/>
      <c r="H285" s="168"/>
      <c r="I285" s="168"/>
      <c r="J285" s="57"/>
      <c r="K285" s="168"/>
    </row>
    <row r="286" s="16" customFormat="1" spans="1:11">
      <c r="A286" s="168"/>
      <c r="B286" s="57"/>
      <c r="C286" s="168"/>
      <c r="D286" s="168"/>
      <c r="E286" s="168"/>
      <c r="F286" s="168"/>
      <c r="G286" s="57"/>
      <c r="H286" s="168"/>
      <c r="I286" s="168"/>
      <c r="J286" s="57"/>
      <c r="K286" s="168"/>
    </row>
    <row r="287" s="16" customFormat="1" spans="1:11">
      <c r="A287" s="168"/>
      <c r="B287" s="57"/>
      <c r="C287" s="168"/>
      <c r="D287" s="168"/>
      <c r="E287" s="168"/>
      <c r="F287" s="168"/>
      <c r="G287" s="57"/>
      <c r="H287" s="168"/>
      <c r="I287" s="168"/>
      <c r="J287" s="57"/>
      <c r="K287" s="168"/>
    </row>
    <row r="288" s="16" customFormat="1" spans="1:11">
      <c r="A288" s="168"/>
      <c r="B288" s="57"/>
      <c r="C288" s="168"/>
      <c r="D288" s="168"/>
      <c r="E288" s="168"/>
      <c r="F288" s="168"/>
      <c r="G288" s="57"/>
      <c r="H288" s="168"/>
      <c r="I288" s="168"/>
      <c r="J288" s="57"/>
      <c r="K288" s="168"/>
    </row>
    <row r="289" s="16" customFormat="1" spans="1:11">
      <c r="A289" s="168"/>
      <c r="B289" s="57"/>
      <c r="C289" s="168"/>
      <c r="D289" s="168"/>
      <c r="E289" s="168"/>
      <c r="F289" s="168"/>
      <c r="G289" s="57"/>
      <c r="H289" s="168"/>
      <c r="I289" s="168"/>
      <c r="J289" s="57"/>
      <c r="K289" s="168"/>
    </row>
    <row r="290" s="16" customFormat="1" spans="1:11">
      <c r="A290" s="168"/>
      <c r="B290" s="57"/>
      <c r="C290" s="168"/>
      <c r="D290" s="168"/>
      <c r="E290" s="168"/>
      <c r="F290" s="168"/>
      <c r="G290" s="57"/>
      <c r="H290" s="168"/>
      <c r="I290" s="168"/>
      <c r="J290" s="57"/>
      <c r="K290" s="168"/>
    </row>
    <row r="291" s="16" customFormat="1" spans="1:11">
      <c r="A291" s="168"/>
      <c r="B291" s="57"/>
      <c r="C291" s="168"/>
      <c r="D291" s="168"/>
      <c r="E291" s="168"/>
      <c r="F291" s="168"/>
      <c r="G291" s="57"/>
      <c r="H291" s="168"/>
      <c r="I291" s="168"/>
      <c r="J291" s="57"/>
      <c r="K291" s="168"/>
    </row>
    <row r="292" s="16" customFormat="1" spans="1:11">
      <c r="A292" s="168"/>
      <c r="B292" s="57"/>
      <c r="C292" s="168"/>
      <c r="D292" s="168"/>
      <c r="E292" s="168"/>
      <c r="F292" s="168"/>
      <c r="G292" s="57"/>
      <c r="H292" s="168"/>
      <c r="I292" s="168"/>
      <c r="J292" s="57"/>
      <c r="K292" s="168"/>
    </row>
    <row r="293" s="16" customFormat="1" spans="1:11">
      <c r="A293" s="168"/>
      <c r="B293" s="57"/>
      <c r="C293" s="168"/>
      <c r="D293" s="168"/>
      <c r="E293" s="168"/>
      <c r="F293" s="168"/>
      <c r="G293" s="57"/>
      <c r="H293" s="168"/>
      <c r="I293" s="168"/>
      <c r="J293" s="57"/>
      <c r="K293" s="168"/>
    </row>
    <row r="294" s="16" customFormat="1" spans="1:11">
      <c r="A294" s="168"/>
      <c r="B294" s="57"/>
      <c r="C294" s="168"/>
      <c r="D294" s="168"/>
      <c r="E294" s="168"/>
      <c r="F294" s="168"/>
      <c r="G294" s="57"/>
      <c r="H294" s="168"/>
      <c r="I294" s="168"/>
      <c r="J294" s="57"/>
      <c r="K294" s="168"/>
    </row>
    <row r="295" s="16" customFormat="1" spans="1:11">
      <c r="A295" s="168"/>
      <c r="B295" s="57"/>
      <c r="C295" s="168"/>
      <c r="D295" s="168"/>
      <c r="E295" s="168"/>
      <c r="F295" s="168"/>
      <c r="G295" s="57"/>
      <c r="H295" s="168"/>
      <c r="I295" s="168"/>
      <c r="J295" s="57"/>
      <c r="K295" s="168"/>
    </row>
    <row r="296" s="16" customFormat="1" spans="1:11">
      <c r="A296" s="168"/>
      <c r="B296" s="57"/>
      <c r="C296" s="168"/>
      <c r="D296" s="168"/>
      <c r="E296" s="168"/>
      <c r="F296" s="168"/>
      <c r="G296" s="57"/>
      <c r="H296" s="168"/>
      <c r="I296" s="168"/>
      <c r="J296" s="57"/>
      <c r="K296" s="168"/>
    </row>
    <row r="297" s="16" customFormat="1" spans="1:11">
      <c r="A297" s="168"/>
      <c r="B297" s="57"/>
      <c r="C297" s="168"/>
      <c r="D297" s="168"/>
      <c r="E297" s="168"/>
      <c r="F297" s="168"/>
      <c r="G297" s="57"/>
      <c r="H297" s="168"/>
      <c r="I297" s="168"/>
      <c r="J297" s="57"/>
      <c r="K297" s="168"/>
    </row>
    <row r="298" s="16" customFormat="1" spans="1:11">
      <c r="A298" s="168"/>
      <c r="B298" s="57"/>
      <c r="C298" s="168"/>
      <c r="D298" s="168"/>
      <c r="E298" s="168"/>
      <c r="F298" s="168"/>
      <c r="G298" s="57"/>
      <c r="H298" s="168"/>
      <c r="I298" s="168"/>
      <c r="J298" s="57"/>
      <c r="K298" s="168"/>
    </row>
    <row r="299" s="16" customFormat="1" spans="1:11">
      <c r="A299" s="168"/>
      <c r="B299" s="57"/>
      <c r="C299" s="168"/>
      <c r="D299" s="168"/>
      <c r="E299" s="168"/>
      <c r="F299" s="168"/>
      <c r="G299" s="57"/>
      <c r="H299" s="168"/>
      <c r="I299" s="168"/>
      <c r="J299" s="57"/>
      <c r="K299" s="168"/>
    </row>
    <row r="300" s="16" customFormat="1" spans="1:11">
      <c r="A300" s="168"/>
      <c r="B300" s="57"/>
      <c r="C300" s="168"/>
      <c r="D300" s="168"/>
      <c r="E300" s="168"/>
      <c r="F300" s="168"/>
      <c r="G300" s="57"/>
      <c r="H300" s="168"/>
      <c r="I300" s="168"/>
      <c r="J300" s="57"/>
      <c r="K300" s="168"/>
    </row>
    <row r="301" s="16" customFormat="1" spans="1:11">
      <c r="A301" s="168"/>
      <c r="B301" s="57"/>
      <c r="C301" s="168"/>
      <c r="D301" s="168"/>
      <c r="E301" s="168"/>
      <c r="F301" s="168"/>
      <c r="G301" s="57"/>
      <c r="H301" s="168"/>
      <c r="I301" s="168"/>
      <c r="J301" s="57"/>
      <c r="K301" s="168"/>
    </row>
    <row r="302" s="16" customFormat="1" spans="1:11">
      <c r="A302" s="168"/>
      <c r="B302" s="57"/>
      <c r="C302" s="168"/>
      <c r="D302" s="168"/>
      <c r="E302" s="168"/>
      <c r="F302" s="168"/>
      <c r="G302" s="57"/>
      <c r="H302" s="168"/>
      <c r="I302" s="168"/>
      <c r="J302" s="57"/>
      <c r="K302" s="168"/>
    </row>
    <row r="303" s="16" customFormat="1" spans="1:11">
      <c r="A303" s="168"/>
      <c r="B303" s="57"/>
      <c r="C303" s="168"/>
      <c r="D303" s="168"/>
      <c r="E303" s="168"/>
      <c r="F303" s="168"/>
      <c r="G303" s="57"/>
      <c r="H303" s="168"/>
      <c r="I303" s="168"/>
      <c r="J303" s="57"/>
      <c r="K303" s="168"/>
    </row>
    <row r="304" s="16" customFormat="1" spans="1:11">
      <c r="A304" s="168"/>
      <c r="B304" s="57"/>
      <c r="C304" s="168"/>
      <c r="D304" s="168"/>
      <c r="E304" s="168"/>
      <c r="F304" s="168"/>
      <c r="G304" s="57"/>
      <c r="H304" s="168"/>
      <c r="I304" s="168"/>
      <c r="J304" s="57"/>
      <c r="K304" s="168"/>
    </row>
    <row r="305" s="16" customFormat="1" spans="1:11">
      <c r="A305" s="168"/>
      <c r="B305" s="57"/>
      <c r="C305" s="168"/>
      <c r="D305" s="168"/>
      <c r="E305" s="168"/>
      <c r="F305" s="168"/>
      <c r="G305" s="57"/>
      <c r="H305" s="168"/>
      <c r="I305" s="168"/>
      <c r="J305" s="57"/>
      <c r="K305" s="168"/>
    </row>
    <row r="306" s="16" customFormat="1" spans="1:11">
      <c r="A306" s="168"/>
      <c r="B306" s="57"/>
      <c r="C306" s="168"/>
      <c r="D306" s="168"/>
      <c r="E306" s="168"/>
      <c r="F306" s="168"/>
      <c r="G306" s="57"/>
      <c r="H306" s="168"/>
      <c r="I306" s="168"/>
      <c r="J306" s="57"/>
      <c r="K306" s="168"/>
    </row>
    <row r="307" s="16" customFormat="1" spans="1:11">
      <c r="A307" s="168"/>
      <c r="B307" s="57"/>
      <c r="C307" s="168"/>
      <c r="D307" s="168"/>
      <c r="E307" s="168"/>
      <c r="F307" s="168"/>
      <c r="G307" s="57"/>
      <c r="H307" s="168"/>
      <c r="I307" s="168"/>
      <c r="J307" s="57"/>
      <c r="K307" s="168"/>
    </row>
    <row r="308" s="16" customFormat="1" spans="1:11">
      <c r="A308" s="168"/>
      <c r="B308" s="57"/>
      <c r="C308" s="168"/>
      <c r="D308" s="168"/>
      <c r="E308" s="168"/>
      <c r="F308" s="168"/>
      <c r="G308" s="57"/>
      <c r="H308" s="168"/>
      <c r="I308" s="168"/>
      <c r="J308" s="57"/>
      <c r="K308" s="168"/>
    </row>
    <row r="309" s="16" customFormat="1" spans="1:11">
      <c r="A309" s="168"/>
      <c r="B309" s="57"/>
      <c r="C309" s="168"/>
      <c r="D309" s="168"/>
      <c r="E309" s="168"/>
      <c r="F309" s="168"/>
      <c r="G309" s="57"/>
      <c r="H309" s="168"/>
      <c r="I309" s="168"/>
      <c r="J309" s="57"/>
      <c r="K309" s="168"/>
    </row>
    <row r="310" s="16" customFormat="1" spans="1:11">
      <c r="A310" s="168"/>
      <c r="B310" s="57"/>
      <c r="C310" s="168"/>
      <c r="D310" s="168"/>
      <c r="E310" s="168"/>
      <c r="F310" s="168"/>
      <c r="G310" s="57"/>
      <c r="H310" s="168"/>
      <c r="I310" s="168"/>
      <c r="J310" s="57"/>
      <c r="K310" s="168"/>
    </row>
    <row r="311" s="16" customFormat="1" spans="1:11">
      <c r="A311" s="168"/>
      <c r="B311" s="57"/>
      <c r="C311" s="168"/>
      <c r="D311" s="168"/>
      <c r="E311" s="168"/>
      <c r="F311" s="168"/>
      <c r="G311" s="57"/>
      <c r="H311" s="168"/>
      <c r="I311" s="168"/>
      <c r="J311" s="57"/>
      <c r="K311" s="168"/>
    </row>
    <row r="312" s="16" customFormat="1" spans="1:11">
      <c r="A312" s="168"/>
      <c r="B312" s="57"/>
      <c r="C312" s="168"/>
      <c r="D312" s="168"/>
      <c r="E312" s="168"/>
      <c r="F312" s="168"/>
      <c r="G312" s="57"/>
      <c r="H312" s="168"/>
      <c r="I312" s="168"/>
      <c r="J312" s="57"/>
      <c r="K312" s="168"/>
    </row>
    <row r="313" s="16" customFormat="1" spans="1:11">
      <c r="A313" s="168"/>
      <c r="B313" s="57"/>
      <c r="C313" s="168"/>
      <c r="D313" s="168"/>
      <c r="E313" s="168"/>
      <c r="F313" s="168"/>
      <c r="G313" s="57"/>
      <c r="H313" s="168"/>
      <c r="I313" s="168"/>
      <c r="J313" s="57"/>
      <c r="K313" s="168"/>
    </row>
    <row r="314" s="16" customFormat="1" spans="1:11">
      <c r="A314" s="168"/>
      <c r="B314" s="57"/>
      <c r="C314" s="168"/>
      <c r="D314" s="168"/>
      <c r="E314" s="168"/>
      <c r="F314" s="168"/>
      <c r="G314" s="57"/>
      <c r="H314" s="168"/>
      <c r="I314" s="168"/>
      <c r="J314" s="57"/>
      <c r="K314" s="168"/>
    </row>
    <row r="315" s="16" customFormat="1" spans="1:11">
      <c r="A315" s="168"/>
      <c r="B315" s="57"/>
      <c r="C315" s="168"/>
      <c r="D315" s="168"/>
      <c r="E315" s="168"/>
      <c r="F315" s="168"/>
      <c r="G315" s="57"/>
      <c r="H315" s="168"/>
      <c r="I315" s="168"/>
      <c r="J315" s="57"/>
      <c r="K315" s="168"/>
    </row>
    <row r="316" s="16" customFormat="1" spans="1:11">
      <c r="A316" s="168"/>
      <c r="B316" s="57"/>
      <c r="C316" s="168"/>
      <c r="D316" s="168"/>
      <c r="E316" s="168"/>
      <c r="F316" s="168"/>
      <c r="G316" s="57"/>
      <c r="H316" s="168"/>
      <c r="I316" s="168"/>
      <c r="J316" s="57"/>
      <c r="K316" s="168"/>
    </row>
    <row r="317" s="16" customFormat="1" spans="1:11">
      <c r="A317" s="168"/>
      <c r="B317" s="57"/>
      <c r="C317" s="168"/>
      <c r="D317" s="168"/>
      <c r="E317" s="168"/>
      <c r="F317" s="168"/>
      <c r="G317" s="57"/>
      <c r="H317" s="168"/>
      <c r="I317" s="168"/>
      <c r="J317" s="57"/>
      <c r="K317" s="168"/>
    </row>
    <row r="318" s="16" customFormat="1" spans="1:11">
      <c r="A318" s="168"/>
      <c r="B318" s="57"/>
      <c r="C318" s="168"/>
      <c r="D318" s="168"/>
      <c r="E318" s="168"/>
      <c r="F318" s="168"/>
      <c r="G318" s="57"/>
      <c r="H318" s="168"/>
      <c r="I318" s="168"/>
      <c r="J318" s="57"/>
      <c r="K318" s="168"/>
    </row>
    <row r="319" s="16" customFormat="1" spans="1:11">
      <c r="A319" s="168"/>
      <c r="B319" s="57"/>
      <c r="C319" s="168"/>
      <c r="D319" s="168"/>
      <c r="E319" s="168"/>
      <c r="F319" s="168"/>
      <c r="G319" s="57"/>
      <c r="H319" s="168"/>
      <c r="I319" s="168"/>
      <c r="J319" s="57"/>
      <c r="K319" s="168"/>
    </row>
    <row r="320" s="16" customFormat="1" spans="1:11">
      <c r="A320" s="168"/>
      <c r="B320" s="57"/>
      <c r="C320" s="168"/>
      <c r="D320" s="168"/>
      <c r="E320" s="168"/>
      <c r="F320" s="168"/>
      <c r="G320" s="57"/>
      <c r="H320" s="168"/>
      <c r="I320" s="168"/>
      <c r="J320" s="57"/>
      <c r="K320" s="168"/>
    </row>
    <row r="321" s="16" customFormat="1" spans="1:11">
      <c r="A321" s="168"/>
      <c r="B321" s="57"/>
      <c r="C321" s="168"/>
      <c r="D321" s="168"/>
      <c r="E321" s="168"/>
      <c r="F321" s="168"/>
      <c r="G321" s="57"/>
      <c r="H321" s="168"/>
      <c r="I321" s="168"/>
      <c r="J321" s="57"/>
      <c r="K321" s="168"/>
    </row>
    <row r="322" s="16" customFormat="1" spans="1:11">
      <c r="A322" s="168"/>
      <c r="B322" s="57"/>
      <c r="C322" s="168"/>
      <c r="D322" s="168"/>
      <c r="E322" s="168"/>
      <c r="F322" s="168"/>
      <c r="G322" s="57"/>
      <c r="H322" s="168"/>
      <c r="I322" s="168"/>
      <c r="J322" s="57"/>
      <c r="K322" s="168"/>
    </row>
    <row r="323" s="16" customFormat="1" spans="1:11">
      <c r="A323" s="168"/>
      <c r="B323" s="57"/>
      <c r="C323" s="168"/>
      <c r="D323" s="168"/>
      <c r="E323" s="168"/>
      <c r="F323" s="168"/>
      <c r="G323" s="57"/>
      <c r="H323" s="168"/>
      <c r="I323" s="168"/>
      <c r="J323" s="57"/>
      <c r="K323" s="168"/>
    </row>
    <row r="324" s="16" customFormat="1" spans="1:11">
      <c r="A324" s="168"/>
      <c r="B324" s="57"/>
      <c r="C324" s="168"/>
      <c r="D324" s="168"/>
      <c r="E324" s="168"/>
      <c r="F324" s="168"/>
      <c r="G324" s="57"/>
      <c r="H324" s="168"/>
      <c r="I324" s="168"/>
      <c r="J324" s="57"/>
      <c r="K324" s="168"/>
    </row>
    <row r="325" s="16" customFormat="1" spans="1:11">
      <c r="A325" s="168"/>
      <c r="B325" s="57"/>
      <c r="C325" s="168"/>
      <c r="D325" s="168"/>
      <c r="E325" s="168"/>
      <c r="F325" s="168"/>
      <c r="G325" s="57"/>
      <c r="H325" s="168"/>
      <c r="I325" s="168"/>
      <c r="J325" s="57"/>
      <c r="K325" s="168"/>
    </row>
    <row r="326" s="16" customFormat="1" spans="1:11">
      <c r="A326" s="168"/>
      <c r="B326" s="57"/>
      <c r="C326" s="168"/>
      <c r="D326" s="168"/>
      <c r="E326" s="168"/>
      <c r="F326" s="168"/>
      <c r="G326" s="57"/>
      <c r="H326" s="168"/>
      <c r="I326" s="168"/>
      <c r="J326" s="57"/>
      <c r="K326" s="168"/>
    </row>
    <row r="327" s="16" customFormat="1" spans="1:11">
      <c r="A327" s="168"/>
      <c r="B327" s="57"/>
      <c r="C327" s="168"/>
      <c r="D327" s="168"/>
      <c r="E327" s="168"/>
      <c r="F327" s="168"/>
      <c r="G327" s="57"/>
      <c r="H327" s="168"/>
      <c r="I327" s="168"/>
      <c r="J327" s="57"/>
      <c r="K327" s="168"/>
    </row>
    <row r="328" s="16" customFormat="1" spans="1:11">
      <c r="A328" s="168"/>
      <c r="B328" s="57"/>
      <c r="C328" s="168"/>
      <c r="D328" s="168"/>
      <c r="E328" s="168"/>
      <c r="F328" s="168"/>
      <c r="G328" s="57"/>
      <c r="H328" s="168"/>
      <c r="I328" s="168"/>
      <c r="J328" s="57"/>
      <c r="K328" s="168"/>
    </row>
    <row r="329" s="16" customFormat="1" spans="1:11">
      <c r="A329" s="168"/>
      <c r="B329" s="57"/>
      <c r="C329" s="168"/>
      <c r="D329" s="168"/>
      <c r="E329" s="168"/>
      <c r="F329" s="168"/>
      <c r="G329" s="57"/>
      <c r="H329" s="168"/>
      <c r="I329" s="168"/>
      <c r="J329" s="57"/>
      <c r="K329" s="168"/>
    </row>
    <row r="330" s="16" customFormat="1" spans="1:11">
      <c r="A330" s="168"/>
      <c r="B330" s="57"/>
      <c r="C330" s="168"/>
      <c r="D330" s="168"/>
      <c r="E330" s="168"/>
      <c r="F330" s="168"/>
      <c r="G330" s="57"/>
      <c r="H330" s="168"/>
      <c r="I330" s="168"/>
      <c r="J330" s="57"/>
      <c r="K330" s="168"/>
    </row>
    <row r="331" s="16" customFormat="1" spans="1:11">
      <c r="A331" s="168"/>
      <c r="B331" s="57"/>
      <c r="C331" s="168"/>
      <c r="D331" s="168"/>
      <c r="E331" s="168"/>
      <c r="F331" s="168"/>
      <c r="G331" s="57"/>
      <c r="H331" s="168"/>
      <c r="I331" s="168"/>
      <c r="J331" s="57"/>
      <c r="K331" s="168"/>
    </row>
    <row r="332" s="16" customFormat="1" spans="1:11">
      <c r="A332" s="168"/>
      <c r="B332" s="57"/>
      <c r="C332" s="168"/>
      <c r="D332" s="168"/>
      <c r="E332" s="168"/>
      <c r="F332" s="168"/>
      <c r="G332" s="57"/>
      <c r="H332" s="168"/>
      <c r="I332" s="168"/>
      <c r="J332" s="57"/>
      <c r="K332" s="168"/>
    </row>
    <row r="333" s="16" customFormat="1" spans="1:11">
      <c r="A333" s="168"/>
      <c r="B333" s="57"/>
      <c r="C333" s="168"/>
      <c r="D333" s="168"/>
      <c r="E333" s="168"/>
      <c r="F333" s="168"/>
      <c r="G333" s="57"/>
      <c r="H333" s="168"/>
      <c r="I333" s="168"/>
      <c r="J333" s="57"/>
      <c r="K333" s="168"/>
    </row>
    <row r="334" s="16" customFormat="1" spans="1:11">
      <c r="A334" s="168"/>
      <c r="B334" s="57"/>
      <c r="C334" s="168"/>
      <c r="D334" s="168"/>
      <c r="E334" s="168"/>
      <c r="F334" s="168"/>
      <c r="G334" s="57"/>
      <c r="H334" s="168"/>
      <c r="I334" s="168"/>
      <c r="J334" s="57"/>
      <c r="K334" s="168"/>
    </row>
    <row r="335" s="16" customFormat="1" spans="1:11">
      <c r="A335" s="168"/>
      <c r="B335" s="57"/>
      <c r="C335" s="168"/>
      <c r="D335" s="168"/>
      <c r="E335" s="168"/>
      <c r="F335" s="168"/>
      <c r="G335" s="57"/>
      <c r="H335" s="168"/>
      <c r="I335" s="168"/>
      <c r="J335" s="57"/>
      <c r="K335" s="168"/>
    </row>
    <row r="336" s="16" customFormat="1" spans="1:11">
      <c r="A336" s="168"/>
      <c r="B336" s="57"/>
      <c r="C336" s="168"/>
      <c r="D336" s="168"/>
      <c r="E336" s="168"/>
      <c r="F336" s="168"/>
      <c r="G336" s="57"/>
      <c r="H336" s="168"/>
      <c r="I336" s="168"/>
      <c r="J336" s="57"/>
      <c r="K336" s="168"/>
    </row>
    <row r="337" s="16" customFormat="1" spans="1:11">
      <c r="A337" s="168"/>
      <c r="B337" s="57"/>
      <c r="C337" s="168"/>
      <c r="D337" s="168"/>
      <c r="E337" s="168"/>
      <c r="F337" s="168"/>
      <c r="G337" s="57"/>
      <c r="H337" s="168"/>
      <c r="I337" s="168"/>
      <c r="J337" s="57"/>
      <c r="K337" s="168"/>
    </row>
    <row r="338" s="16" customFormat="1" spans="1:11">
      <c r="A338" s="168"/>
      <c r="B338" s="57"/>
      <c r="C338" s="168"/>
      <c r="D338" s="168"/>
      <c r="E338" s="168"/>
      <c r="F338" s="168"/>
      <c r="G338" s="57"/>
      <c r="H338" s="168"/>
      <c r="I338" s="168"/>
      <c r="J338" s="57"/>
      <c r="K338" s="168"/>
    </row>
    <row r="339" s="16" customFormat="1" spans="1:11">
      <c r="A339" s="168"/>
      <c r="B339" s="57"/>
      <c r="C339" s="168"/>
      <c r="D339" s="168"/>
      <c r="E339" s="168"/>
      <c r="F339" s="168"/>
      <c r="G339" s="57"/>
      <c r="H339" s="168"/>
      <c r="I339" s="168"/>
      <c r="J339" s="57"/>
      <c r="K339" s="168"/>
    </row>
    <row r="340" s="16" customFormat="1" spans="1:11">
      <c r="A340" s="168"/>
      <c r="B340" s="57"/>
      <c r="C340" s="168"/>
      <c r="D340" s="168"/>
      <c r="E340" s="168"/>
      <c r="F340" s="168"/>
      <c r="G340" s="57"/>
      <c r="H340" s="168"/>
      <c r="I340" s="168"/>
      <c r="J340" s="57"/>
      <c r="K340" s="168"/>
    </row>
    <row r="341" s="16" customFormat="1" spans="1:11">
      <c r="A341" s="168"/>
      <c r="B341" s="57"/>
      <c r="C341" s="168"/>
      <c r="D341" s="168"/>
      <c r="E341" s="168"/>
      <c r="F341" s="168"/>
      <c r="G341" s="57"/>
      <c r="H341" s="168"/>
      <c r="I341" s="168"/>
      <c r="J341" s="57"/>
      <c r="K341" s="168"/>
    </row>
    <row r="342" s="16" customFormat="1" spans="1:11">
      <c r="A342" s="168"/>
      <c r="B342" s="57"/>
      <c r="C342" s="168"/>
      <c r="D342" s="168"/>
      <c r="E342" s="168"/>
      <c r="F342" s="168"/>
      <c r="G342" s="57"/>
      <c r="H342" s="168"/>
      <c r="I342" s="168"/>
      <c r="J342" s="57"/>
      <c r="K342" s="168"/>
    </row>
    <row r="343" s="16" customFormat="1" spans="1:11">
      <c r="A343" s="168"/>
      <c r="B343" s="57"/>
      <c r="C343" s="168"/>
      <c r="D343" s="168"/>
      <c r="E343" s="168"/>
      <c r="F343" s="168"/>
      <c r="G343" s="57"/>
      <c r="H343" s="168"/>
      <c r="I343" s="168"/>
      <c r="J343" s="57"/>
      <c r="K343" s="168"/>
    </row>
    <row r="344" s="16" customFormat="1" spans="1:11">
      <c r="A344" s="168"/>
      <c r="B344" s="57"/>
      <c r="C344" s="168"/>
      <c r="D344" s="168"/>
      <c r="E344" s="168"/>
      <c r="F344" s="168"/>
      <c r="G344" s="57"/>
      <c r="H344" s="168"/>
      <c r="I344" s="168"/>
      <c r="J344" s="57"/>
      <c r="K344" s="168"/>
    </row>
    <row r="345" s="16" customFormat="1" spans="1:11">
      <c r="A345" s="168"/>
      <c r="B345" s="57"/>
      <c r="C345" s="168"/>
      <c r="D345" s="168"/>
      <c r="E345" s="168"/>
      <c r="F345" s="168"/>
      <c r="G345" s="57"/>
      <c r="H345" s="168"/>
      <c r="I345" s="168"/>
      <c r="J345" s="57"/>
      <c r="K345" s="168"/>
    </row>
    <row r="346" s="16" customFormat="1" spans="1:11">
      <c r="A346" s="168"/>
      <c r="B346" s="57"/>
      <c r="C346" s="168"/>
      <c r="D346" s="168"/>
      <c r="E346" s="168"/>
      <c r="F346" s="168"/>
      <c r="G346" s="57"/>
      <c r="H346" s="168"/>
      <c r="I346" s="168"/>
      <c r="J346" s="57"/>
      <c r="K346" s="168"/>
    </row>
    <row r="347" s="16" customFormat="1" spans="1:11">
      <c r="A347" s="168"/>
      <c r="B347" s="57"/>
      <c r="C347" s="168"/>
      <c r="D347" s="168"/>
      <c r="E347" s="168"/>
      <c r="F347" s="168"/>
      <c r="G347" s="57"/>
      <c r="H347" s="168"/>
      <c r="I347" s="168"/>
      <c r="J347" s="57"/>
      <c r="K347" s="168"/>
    </row>
    <row r="348" s="16" customFormat="1" spans="1:11">
      <c r="A348" s="168"/>
      <c r="B348" s="57"/>
      <c r="C348" s="168"/>
      <c r="D348" s="168"/>
      <c r="E348" s="168"/>
      <c r="F348" s="168"/>
      <c r="G348" s="57"/>
      <c r="H348" s="168"/>
      <c r="I348" s="168"/>
      <c r="J348" s="57"/>
      <c r="K348" s="168"/>
    </row>
    <row r="349" s="16" customFormat="1" spans="1:11">
      <c r="A349" s="168"/>
      <c r="B349" s="57"/>
      <c r="C349" s="168"/>
      <c r="D349" s="168"/>
      <c r="E349" s="168"/>
      <c r="F349" s="168"/>
      <c r="G349" s="57"/>
      <c r="H349" s="168"/>
      <c r="I349" s="168"/>
      <c r="J349" s="57"/>
      <c r="K349" s="168"/>
    </row>
    <row r="350" s="16" customFormat="1" spans="1:11">
      <c r="A350" s="168"/>
      <c r="B350" s="57"/>
      <c r="C350" s="168"/>
      <c r="D350" s="168"/>
      <c r="E350" s="168"/>
      <c r="F350" s="168"/>
      <c r="G350" s="57"/>
      <c r="H350" s="168"/>
      <c r="I350" s="168"/>
      <c r="J350" s="57"/>
      <c r="K350" s="168"/>
    </row>
    <row r="351" s="16" customFormat="1" spans="1:11">
      <c r="A351" s="168"/>
      <c r="B351" s="57"/>
      <c r="C351" s="168"/>
      <c r="D351" s="168"/>
      <c r="E351" s="168"/>
      <c r="F351" s="168"/>
      <c r="G351" s="57"/>
      <c r="H351" s="168"/>
      <c r="I351" s="168"/>
      <c r="J351" s="57"/>
      <c r="K351" s="168"/>
    </row>
    <row r="352" s="16" customFormat="1" spans="1:11">
      <c r="A352" s="168"/>
      <c r="B352" s="57"/>
      <c r="C352" s="168"/>
      <c r="D352" s="168"/>
      <c r="E352" s="168"/>
      <c r="F352" s="168"/>
      <c r="G352" s="57"/>
      <c r="H352" s="168"/>
      <c r="I352" s="168"/>
      <c r="J352" s="57"/>
      <c r="K352" s="168"/>
    </row>
    <row r="353" s="16" customFormat="1" spans="1:11">
      <c r="A353" s="168"/>
      <c r="B353" s="57"/>
      <c r="C353" s="168"/>
      <c r="D353" s="168"/>
      <c r="E353" s="168"/>
      <c r="F353" s="168"/>
      <c r="G353" s="57"/>
      <c r="H353" s="168"/>
      <c r="I353" s="168"/>
      <c r="J353" s="57"/>
      <c r="K353" s="168"/>
    </row>
    <row r="354" s="16" customFormat="1" spans="1:11">
      <c r="A354" s="168"/>
      <c r="B354" s="57"/>
      <c r="C354" s="168"/>
      <c r="D354" s="168"/>
      <c r="E354" s="168"/>
      <c r="F354" s="168"/>
      <c r="G354" s="57"/>
      <c r="H354" s="168"/>
      <c r="I354" s="168"/>
      <c r="J354" s="57"/>
      <c r="K354" s="168"/>
    </row>
    <row r="355" s="16" customFormat="1" spans="1:11">
      <c r="A355" s="168"/>
      <c r="B355" s="57"/>
      <c r="C355" s="168"/>
      <c r="D355" s="168"/>
      <c r="E355" s="168"/>
      <c r="F355" s="168"/>
      <c r="G355" s="57"/>
      <c r="H355" s="168"/>
      <c r="I355" s="168"/>
      <c r="J355" s="57"/>
      <c r="K355" s="168"/>
    </row>
    <row r="356" s="16" customFormat="1" spans="1:11">
      <c r="A356" s="168"/>
      <c r="B356" s="57"/>
      <c r="C356" s="168"/>
      <c r="D356" s="168"/>
      <c r="E356" s="168"/>
      <c r="F356" s="168"/>
      <c r="G356" s="57"/>
      <c r="H356" s="168"/>
      <c r="I356" s="168"/>
      <c r="J356" s="57"/>
      <c r="K356" s="168"/>
    </row>
    <row r="357" s="16" customFormat="1" spans="1:11">
      <c r="A357" s="168"/>
      <c r="B357" s="57"/>
      <c r="C357" s="168"/>
      <c r="D357" s="168"/>
      <c r="E357" s="168"/>
      <c r="F357" s="168"/>
      <c r="G357" s="57"/>
      <c r="H357" s="168"/>
      <c r="I357" s="168"/>
      <c r="J357" s="57"/>
      <c r="K357" s="168"/>
    </row>
    <row r="358" s="16" customFormat="1" spans="1:11">
      <c r="A358" s="168"/>
      <c r="B358" s="57"/>
      <c r="C358" s="168"/>
      <c r="D358" s="168"/>
      <c r="E358" s="168"/>
      <c r="F358" s="168"/>
      <c r="G358" s="57"/>
      <c r="H358" s="168"/>
      <c r="I358" s="168"/>
      <c r="J358" s="57"/>
      <c r="K358" s="168"/>
    </row>
    <row r="359" s="16" customFormat="1" spans="1:11">
      <c r="A359" s="168"/>
      <c r="B359" s="57"/>
      <c r="C359" s="168"/>
      <c r="D359" s="168"/>
      <c r="E359" s="168"/>
      <c r="F359" s="168"/>
      <c r="G359" s="57"/>
      <c r="H359" s="168"/>
      <c r="I359" s="168"/>
      <c r="J359" s="57"/>
      <c r="K359" s="168"/>
    </row>
    <row r="360" s="16" customFormat="1" spans="1:11">
      <c r="A360" s="168"/>
      <c r="B360" s="57"/>
      <c r="C360" s="168"/>
      <c r="D360" s="168"/>
      <c r="E360" s="168"/>
      <c r="F360" s="168"/>
      <c r="G360" s="57"/>
      <c r="H360" s="168"/>
      <c r="I360" s="168"/>
      <c r="J360" s="57"/>
      <c r="K360" s="168"/>
    </row>
    <row r="361" s="16" customFormat="1" spans="1:11">
      <c r="A361" s="168"/>
      <c r="B361" s="57"/>
      <c r="C361" s="168"/>
      <c r="D361" s="168"/>
      <c r="E361" s="168"/>
      <c r="F361" s="168"/>
      <c r="G361" s="57"/>
      <c r="H361" s="168"/>
      <c r="I361" s="168"/>
      <c r="J361" s="57"/>
      <c r="K361" s="168"/>
    </row>
    <row r="362" s="16" customFormat="1" spans="1:11">
      <c r="A362" s="168"/>
      <c r="B362" s="57"/>
      <c r="C362" s="168"/>
      <c r="D362" s="168"/>
      <c r="E362" s="168"/>
      <c r="F362" s="168"/>
      <c r="G362" s="57"/>
      <c r="H362" s="168"/>
      <c r="I362" s="168"/>
      <c r="J362" s="57"/>
      <c r="K362" s="168"/>
    </row>
    <row r="363" s="16" customFormat="1" spans="1:11">
      <c r="A363" s="168"/>
      <c r="B363" s="57"/>
      <c r="C363" s="168"/>
      <c r="D363" s="168"/>
      <c r="E363" s="168"/>
      <c r="F363" s="168"/>
      <c r="G363" s="57"/>
      <c r="H363" s="168"/>
      <c r="I363" s="168"/>
      <c r="J363" s="57"/>
      <c r="K363" s="168"/>
    </row>
    <row r="364" s="16" customFormat="1" spans="1:11">
      <c r="A364" s="168"/>
      <c r="B364" s="57"/>
      <c r="C364" s="168"/>
      <c r="D364" s="168"/>
      <c r="E364" s="168"/>
      <c r="F364" s="168"/>
      <c r="G364" s="57"/>
      <c r="H364" s="168"/>
      <c r="I364" s="168"/>
      <c r="J364" s="57"/>
      <c r="K364" s="168"/>
    </row>
    <row r="365" s="16" customFormat="1" spans="1:11">
      <c r="A365" s="168"/>
      <c r="B365" s="57"/>
      <c r="C365" s="168"/>
      <c r="D365" s="168"/>
      <c r="E365" s="168"/>
      <c r="F365" s="168"/>
      <c r="G365" s="57"/>
      <c r="H365" s="168"/>
      <c r="I365" s="168"/>
      <c r="J365" s="57"/>
      <c r="K365" s="168"/>
    </row>
    <row r="366" s="16" customFormat="1" spans="1:11">
      <c r="A366" s="168"/>
      <c r="B366" s="57"/>
      <c r="C366" s="168"/>
      <c r="D366" s="168"/>
      <c r="E366" s="168"/>
      <c r="F366" s="168"/>
      <c r="G366" s="57"/>
      <c r="H366" s="168"/>
      <c r="I366" s="168"/>
      <c r="J366" s="57"/>
      <c r="K366" s="168"/>
    </row>
    <row r="367" s="16" customFormat="1" spans="1:11">
      <c r="A367" s="168"/>
      <c r="B367" s="57"/>
      <c r="C367" s="168"/>
      <c r="D367" s="168"/>
      <c r="E367" s="168"/>
      <c r="F367" s="168"/>
      <c r="G367" s="57"/>
      <c r="H367" s="168"/>
      <c r="I367" s="168"/>
      <c r="J367" s="57"/>
      <c r="K367" s="168"/>
    </row>
    <row r="368" s="16" customFormat="1" spans="1:11">
      <c r="A368" s="168"/>
      <c r="B368" s="57"/>
      <c r="C368" s="168"/>
      <c r="D368" s="168"/>
      <c r="E368" s="168"/>
      <c r="F368" s="168"/>
      <c r="G368" s="57"/>
      <c r="H368" s="168"/>
      <c r="I368" s="168"/>
      <c r="J368" s="57"/>
      <c r="K368" s="168"/>
    </row>
    <row r="369" s="16" customFormat="1" spans="1:11">
      <c r="A369" s="168"/>
      <c r="B369" s="57"/>
      <c r="C369" s="168"/>
      <c r="D369" s="168"/>
      <c r="E369" s="168"/>
      <c r="F369" s="168"/>
      <c r="G369" s="57"/>
      <c r="H369" s="168"/>
      <c r="I369" s="168"/>
      <c r="J369" s="57"/>
      <c r="K369" s="168"/>
    </row>
    <row r="370" s="16" customFormat="1" spans="1:11">
      <c r="A370" s="168"/>
      <c r="B370" s="57"/>
      <c r="C370" s="168"/>
      <c r="D370" s="168"/>
      <c r="E370" s="168"/>
      <c r="F370" s="168"/>
      <c r="G370" s="57"/>
      <c r="H370" s="168"/>
      <c r="I370" s="168"/>
      <c r="J370" s="57"/>
      <c r="K370" s="168"/>
    </row>
    <row r="371" s="16" customFormat="1" spans="1:11">
      <c r="A371" s="168"/>
      <c r="B371" s="57"/>
      <c r="C371" s="168"/>
      <c r="D371" s="168"/>
      <c r="E371" s="168"/>
      <c r="F371" s="168"/>
      <c r="G371" s="57"/>
      <c r="H371" s="168"/>
      <c r="I371" s="168"/>
      <c r="J371" s="57"/>
      <c r="K371" s="168"/>
    </row>
    <row r="372" s="16" customFormat="1" spans="1:11">
      <c r="A372" s="168"/>
      <c r="B372" s="57"/>
      <c r="C372" s="168"/>
      <c r="D372" s="168"/>
      <c r="E372" s="168"/>
      <c r="F372" s="168"/>
      <c r="G372" s="57"/>
      <c r="H372" s="168"/>
      <c r="I372" s="168"/>
      <c r="J372" s="57"/>
      <c r="K372" s="168"/>
    </row>
    <row r="373" s="16" customFormat="1" spans="1:11">
      <c r="A373" s="168"/>
      <c r="B373" s="57"/>
      <c r="C373" s="168"/>
      <c r="D373" s="168"/>
      <c r="E373" s="168"/>
      <c r="F373" s="168"/>
      <c r="G373" s="57"/>
      <c r="H373" s="168"/>
      <c r="I373" s="168"/>
      <c r="J373" s="57"/>
      <c r="K373" s="168"/>
    </row>
    <row r="374" s="16" customFormat="1" spans="1:11">
      <c r="A374" s="168"/>
      <c r="B374" s="57"/>
      <c r="C374" s="168"/>
      <c r="D374" s="168"/>
      <c r="E374" s="168"/>
      <c r="F374" s="168"/>
      <c r="G374" s="57"/>
      <c r="H374" s="168"/>
      <c r="I374" s="168"/>
      <c r="J374" s="57"/>
      <c r="K374" s="168"/>
    </row>
    <row r="375" s="16" customFormat="1" spans="1:11">
      <c r="A375" s="168"/>
      <c r="B375" s="57"/>
      <c r="C375" s="168"/>
      <c r="D375" s="168"/>
      <c r="E375" s="168"/>
      <c r="F375" s="168"/>
      <c r="G375" s="57"/>
      <c r="H375" s="168"/>
      <c r="I375" s="168"/>
      <c r="J375" s="57"/>
      <c r="K375" s="168"/>
    </row>
    <row r="376" s="16" customFormat="1" spans="1:11">
      <c r="A376" s="168"/>
      <c r="B376" s="57"/>
      <c r="C376" s="168"/>
      <c r="D376" s="168"/>
      <c r="E376" s="168"/>
      <c r="F376" s="168"/>
      <c r="G376" s="57"/>
      <c r="H376" s="168"/>
      <c r="I376" s="168"/>
      <c r="J376" s="57"/>
      <c r="K376" s="168"/>
    </row>
    <row r="377" s="16" customFormat="1" spans="1:11">
      <c r="A377" s="168"/>
      <c r="B377" s="57"/>
      <c r="C377" s="168"/>
      <c r="D377" s="168"/>
      <c r="E377" s="168"/>
      <c r="F377" s="168"/>
      <c r="G377" s="57"/>
      <c r="H377" s="168"/>
      <c r="I377" s="168"/>
      <c r="J377" s="57"/>
      <c r="K377" s="168"/>
    </row>
    <row r="378" s="16" customFormat="1" spans="1:11">
      <c r="A378" s="168"/>
      <c r="B378" s="57"/>
      <c r="C378" s="168"/>
      <c r="D378" s="168"/>
      <c r="E378" s="168"/>
      <c r="F378" s="168"/>
      <c r="G378" s="57"/>
      <c r="H378" s="168"/>
      <c r="I378" s="168"/>
      <c r="J378" s="57"/>
      <c r="K378" s="168"/>
    </row>
    <row r="379" s="16" customFormat="1" spans="1:11">
      <c r="A379" s="168"/>
      <c r="B379" s="57"/>
      <c r="C379" s="168"/>
      <c r="D379" s="168"/>
      <c r="E379" s="168"/>
      <c r="F379" s="168"/>
      <c r="G379" s="57"/>
      <c r="H379" s="168"/>
      <c r="I379" s="168"/>
      <c r="J379" s="57"/>
      <c r="K379" s="168"/>
    </row>
    <row r="380" s="16" customFormat="1" spans="1:11">
      <c r="A380" s="168"/>
      <c r="B380" s="57"/>
      <c r="C380" s="168"/>
      <c r="D380" s="168"/>
      <c r="E380" s="168"/>
      <c r="F380" s="168"/>
      <c r="G380" s="57"/>
      <c r="H380" s="168"/>
      <c r="I380" s="168"/>
      <c r="J380" s="57"/>
      <c r="K380" s="168"/>
    </row>
    <row r="381" s="16" customFormat="1" spans="1:11">
      <c r="A381" s="168"/>
      <c r="B381" s="57"/>
      <c r="C381" s="168"/>
      <c r="D381" s="168"/>
      <c r="E381" s="168"/>
      <c r="F381" s="168"/>
      <c r="G381" s="57"/>
      <c r="H381" s="168"/>
      <c r="I381" s="168"/>
      <c r="J381" s="57"/>
      <c r="K381" s="168"/>
    </row>
    <row r="382" s="16" customFormat="1" spans="1:11">
      <c r="A382" s="168"/>
      <c r="B382" s="57"/>
      <c r="C382" s="168"/>
      <c r="D382" s="168"/>
      <c r="E382" s="168"/>
      <c r="F382" s="168"/>
      <c r="G382" s="57"/>
      <c r="H382" s="168"/>
      <c r="I382" s="168"/>
      <c r="J382" s="57"/>
      <c r="K382" s="168"/>
    </row>
    <row r="383" s="16" customFormat="1" spans="1:11">
      <c r="A383" s="168"/>
      <c r="B383" s="57"/>
      <c r="C383" s="168"/>
      <c r="D383" s="168"/>
      <c r="E383" s="168"/>
      <c r="F383" s="168"/>
      <c r="G383" s="57"/>
      <c r="H383" s="168"/>
      <c r="I383" s="168"/>
      <c r="J383" s="57"/>
      <c r="K383" s="168"/>
    </row>
    <row r="384" s="16" customFormat="1" spans="1:11">
      <c r="A384" s="168"/>
      <c r="B384" s="57"/>
      <c r="C384" s="168"/>
      <c r="D384" s="168"/>
      <c r="E384" s="168"/>
      <c r="F384" s="168"/>
      <c r="G384" s="57"/>
      <c r="H384" s="168"/>
      <c r="I384" s="168"/>
      <c r="J384" s="57"/>
      <c r="K384" s="168"/>
    </row>
    <row r="385" s="16" customFormat="1" spans="1:11">
      <c r="A385" s="168"/>
      <c r="B385" s="57"/>
      <c r="C385" s="168"/>
      <c r="D385" s="168"/>
      <c r="E385" s="168"/>
      <c r="F385" s="168"/>
      <c r="G385" s="57"/>
      <c r="H385" s="168"/>
      <c r="I385" s="168"/>
      <c r="J385" s="57"/>
      <c r="K385" s="168"/>
    </row>
    <row r="386" s="16" customFormat="1" spans="1:11">
      <c r="A386" s="168"/>
      <c r="B386" s="57"/>
      <c r="C386" s="168"/>
      <c r="D386" s="168"/>
      <c r="E386" s="168"/>
      <c r="F386" s="168"/>
      <c r="G386" s="57"/>
      <c r="H386" s="168"/>
      <c r="I386" s="168"/>
      <c r="J386" s="57"/>
      <c r="K386" s="168"/>
    </row>
    <row r="387" s="16" customFormat="1" spans="1:11">
      <c r="A387" s="168"/>
      <c r="B387" s="57"/>
      <c r="C387" s="168"/>
      <c r="D387" s="168"/>
      <c r="E387" s="168"/>
      <c r="F387" s="168"/>
      <c r="G387" s="57"/>
      <c r="H387" s="168"/>
      <c r="I387" s="168"/>
      <c r="J387" s="57"/>
      <c r="K387" s="168"/>
    </row>
    <row r="388" s="16" customFormat="1" spans="1:11">
      <c r="A388" s="168"/>
      <c r="B388" s="57"/>
      <c r="C388" s="168"/>
      <c r="D388" s="168"/>
      <c r="E388" s="168"/>
      <c r="F388" s="168"/>
      <c r="G388" s="57"/>
      <c r="H388" s="168"/>
      <c r="I388" s="168"/>
      <c r="J388" s="57"/>
      <c r="K388" s="168"/>
    </row>
    <row r="389" s="16" customFormat="1" spans="1:11">
      <c r="A389" s="168"/>
      <c r="B389" s="57"/>
      <c r="C389" s="168"/>
      <c r="D389" s="168"/>
      <c r="E389" s="168"/>
      <c r="F389" s="168"/>
      <c r="G389" s="57"/>
      <c r="H389" s="168"/>
      <c r="I389" s="168"/>
      <c r="J389" s="57"/>
      <c r="K389" s="168"/>
    </row>
    <row r="390" s="16" customFormat="1" spans="1:11">
      <c r="A390" s="168"/>
      <c r="B390" s="57"/>
      <c r="C390" s="168"/>
      <c r="D390" s="168"/>
      <c r="E390" s="168"/>
      <c r="F390" s="168"/>
      <c r="G390" s="57"/>
      <c r="H390" s="168"/>
      <c r="I390" s="168"/>
      <c r="J390" s="57"/>
      <c r="K390" s="168"/>
    </row>
    <row r="391" s="16" customFormat="1" spans="1:11">
      <c r="A391" s="168"/>
      <c r="B391" s="57"/>
      <c r="C391" s="168"/>
      <c r="D391" s="168"/>
      <c r="E391" s="168"/>
      <c r="F391" s="168"/>
      <c r="G391" s="57"/>
      <c r="H391" s="168"/>
      <c r="I391" s="168"/>
      <c r="J391" s="57"/>
      <c r="K391" s="168"/>
    </row>
    <row r="392" s="16" customFormat="1" spans="1:11">
      <c r="A392" s="168"/>
      <c r="B392" s="57"/>
      <c r="C392" s="168"/>
      <c r="D392" s="168"/>
      <c r="E392" s="168"/>
      <c r="F392" s="168"/>
      <c r="G392" s="57"/>
      <c r="H392" s="168"/>
      <c r="I392" s="168"/>
      <c r="J392" s="57"/>
      <c r="K392" s="168"/>
    </row>
    <row r="393" s="16" customFormat="1" spans="1:11">
      <c r="A393" s="168"/>
      <c r="B393" s="57"/>
      <c r="C393" s="168"/>
      <c r="D393" s="168"/>
      <c r="E393" s="168"/>
      <c r="F393" s="168"/>
      <c r="G393" s="57"/>
      <c r="H393" s="168"/>
      <c r="I393" s="168"/>
      <c r="J393" s="57"/>
      <c r="K393" s="168"/>
    </row>
    <row r="394" s="16" customFormat="1" spans="1:11">
      <c r="A394" s="168"/>
      <c r="B394" s="57"/>
      <c r="C394" s="168"/>
      <c r="D394" s="168"/>
      <c r="E394" s="168"/>
      <c r="F394" s="168"/>
      <c r="G394" s="57"/>
      <c r="H394" s="168"/>
      <c r="I394" s="168"/>
      <c r="J394" s="57"/>
      <c r="K394" s="168"/>
    </row>
    <row r="395" s="16" customFormat="1" spans="1:11">
      <c r="A395" s="168"/>
      <c r="B395" s="57"/>
      <c r="C395" s="168"/>
      <c r="D395" s="168"/>
      <c r="E395" s="168"/>
      <c r="F395" s="168"/>
      <c r="G395" s="57"/>
      <c r="H395" s="168"/>
      <c r="I395" s="168"/>
      <c r="J395" s="57"/>
      <c r="K395" s="168"/>
    </row>
    <row r="396" s="16" customFormat="1" spans="1:11">
      <c r="A396" s="168"/>
      <c r="B396" s="57"/>
      <c r="C396" s="168"/>
      <c r="D396" s="168"/>
      <c r="E396" s="168"/>
      <c r="F396" s="168"/>
      <c r="G396" s="57"/>
      <c r="H396" s="168"/>
      <c r="I396" s="168"/>
      <c r="J396" s="57"/>
      <c r="K396" s="168"/>
    </row>
    <row r="397" s="16" customFormat="1" spans="1:11">
      <c r="A397" s="168"/>
      <c r="B397" s="57"/>
      <c r="C397" s="168"/>
      <c r="D397" s="168"/>
      <c r="E397" s="168"/>
      <c r="F397" s="168"/>
      <c r="G397" s="57"/>
      <c r="H397" s="168"/>
      <c r="I397" s="168"/>
      <c r="J397" s="57"/>
      <c r="K397" s="168"/>
    </row>
    <row r="398" s="16" customFormat="1" spans="1:11">
      <c r="A398" s="168"/>
      <c r="B398" s="57"/>
      <c r="C398" s="168"/>
      <c r="D398" s="168"/>
      <c r="E398" s="168"/>
      <c r="F398" s="168"/>
      <c r="G398" s="57"/>
      <c r="H398" s="168"/>
      <c r="I398" s="168"/>
      <c r="J398" s="57"/>
      <c r="K398" s="168"/>
    </row>
    <row r="399" s="16" customFormat="1" spans="1:11">
      <c r="A399" s="168"/>
      <c r="B399" s="57"/>
      <c r="C399" s="168"/>
      <c r="D399" s="168"/>
      <c r="E399" s="168"/>
      <c r="F399" s="168"/>
      <c r="G399" s="57"/>
      <c r="H399" s="168"/>
      <c r="I399" s="168"/>
      <c r="J399" s="57"/>
      <c r="K399" s="168"/>
    </row>
    <row r="400" s="16" customFormat="1" spans="1:11">
      <c r="A400" s="168"/>
      <c r="B400" s="57"/>
      <c r="C400" s="168"/>
      <c r="D400" s="168"/>
      <c r="E400" s="168"/>
      <c r="F400" s="168"/>
      <c r="G400" s="57"/>
      <c r="H400" s="168"/>
      <c r="I400" s="168"/>
      <c r="J400" s="57"/>
      <c r="K400" s="168"/>
    </row>
    <row r="401" s="16" customFormat="1" spans="1:11">
      <c r="A401" s="168"/>
      <c r="B401" s="57"/>
      <c r="C401" s="168"/>
      <c r="D401" s="168"/>
      <c r="E401" s="168"/>
      <c r="F401" s="168"/>
      <c r="G401" s="57"/>
      <c r="H401" s="168"/>
      <c r="I401" s="168"/>
      <c r="J401" s="57"/>
      <c r="K401" s="168"/>
    </row>
    <row r="402" s="16" customFormat="1" spans="1:11">
      <c r="A402" s="168"/>
      <c r="B402" s="57"/>
      <c r="C402" s="168"/>
      <c r="D402" s="168"/>
      <c r="E402" s="168"/>
      <c r="F402" s="168"/>
      <c r="G402" s="57"/>
      <c r="H402" s="168"/>
      <c r="I402" s="168"/>
      <c r="J402" s="57"/>
      <c r="K402" s="168"/>
    </row>
    <row r="403" s="16" customFormat="1" spans="1:11">
      <c r="A403" s="168"/>
      <c r="B403" s="57"/>
      <c r="C403" s="168"/>
      <c r="D403" s="168"/>
      <c r="E403" s="168"/>
      <c r="F403" s="168"/>
      <c r="G403" s="57"/>
      <c r="H403" s="168"/>
      <c r="I403" s="168"/>
      <c r="J403" s="57"/>
      <c r="K403" s="168"/>
    </row>
    <row r="404" s="16" customFormat="1" spans="1:11">
      <c r="A404" s="168"/>
      <c r="B404" s="57"/>
      <c r="C404" s="168"/>
      <c r="D404" s="168"/>
      <c r="E404" s="168"/>
      <c r="F404" s="168"/>
      <c r="G404" s="57"/>
      <c r="H404" s="168"/>
      <c r="I404" s="168"/>
      <c r="J404" s="57"/>
      <c r="K404" s="168"/>
    </row>
    <row r="405" s="16" customFormat="1" spans="1:11">
      <c r="A405" s="168"/>
      <c r="B405" s="57"/>
      <c r="C405" s="168"/>
      <c r="D405" s="168"/>
      <c r="E405" s="168"/>
      <c r="F405" s="168"/>
      <c r="G405" s="57"/>
      <c r="H405" s="168"/>
      <c r="I405" s="168"/>
      <c r="J405" s="57"/>
      <c r="K405" s="168"/>
    </row>
    <row r="406" s="16" customFormat="1" spans="1:11">
      <c r="A406" s="168"/>
      <c r="B406" s="57"/>
      <c r="C406" s="168"/>
      <c r="D406" s="168"/>
      <c r="E406" s="168"/>
      <c r="F406" s="168"/>
      <c r="G406" s="57"/>
      <c r="H406" s="168"/>
      <c r="I406" s="168"/>
      <c r="J406" s="57"/>
      <c r="K406" s="168"/>
    </row>
    <row r="407" s="16" customFormat="1" spans="1:11">
      <c r="A407" s="168"/>
      <c r="B407" s="57"/>
      <c r="C407" s="168"/>
      <c r="D407" s="168"/>
      <c r="E407" s="168"/>
      <c r="F407" s="168"/>
      <c r="G407" s="57"/>
      <c r="H407" s="168"/>
      <c r="I407" s="168"/>
      <c r="J407" s="57"/>
      <c r="K407" s="168"/>
    </row>
    <row r="408" s="16" customFormat="1" spans="1:11">
      <c r="A408" s="168"/>
      <c r="B408" s="57"/>
      <c r="C408" s="168"/>
      <c r="D408" s="168"/>
      <c r="E408" s="168"/>
      <c r="F408" s="168"/>
      <c r="G408" s="57"/>
      <c r="H408" s="168"/>
      <c r="I408" s="168"/>
      <c r="J408" s="57"/>
      <c r="K408" s="168"/>
    </row>
    <row r="409" s="16" customFormat="1" spans="1:11">
      <c r="A409" s="168"/>
      <c r="B409" s="57"/>
      <c r="C409" s="168"/>
      <c r="D409" s="168"/>
      <c r="E409" s="168"/>
      <c r="F409" s="168"/>
      <c r="G409" s="57"/>
      <c r="H409" s="168"/>
      <c r="I409" s="168"/>
      <c r="J409" s="57"/>
      <c r="K409" s="168"/>
    </row>
    <row r="410" s="16" customFormat="1" spans="1:11">
      <c r="A410" s="168"/>
      <c r="B410" s="57"/>
      <c r="C410" s="168"/>
      <c r="D410" s="168"/>
      <c r="E410" s="168"/>
      <c r="F410" s="168"/>
      <c r="G410" s="57"/>
      <c r="H410" s="168"/>
      <c r="I410" s="168"/>
      <c r="J410" s="57"/>
      <c r="K410" s="168"/>
    </row>
    <row r="411" s="16" customFormat="1" spans="1:11">
      <c r="A411" s="168"/>
      <c r="B411" s="57"/>
      <c r="C411" s="168"/>
      <c r="D411" s="168"/>
      <c r="E411" s="168"/>
      <c r="F411" s="168"/>
      <c r="G411" s="57"/>
      <c r="H411" s="168"/>
      <c r="I411" s="168"/>
      <c r="J411" s="57"/>
      <c r="K411" s="168"/>
    </row>
    <row r="412" s="16" customFormat="1" spans="1:11">
      <c r="A412" s="168"/>
      <c r="B412" s="57"/>
      <c r="C412" s="168"/>
      <c r="D412" s="168"/>
      <c r="E412" s="168"/>
      <c r="F412" s="168"/>
      <c r="G412" s="57"/>
      <c r="H412" s="168"/>
      <c r="I412" s="168"/>
      <c r="J412" s="57"/>
      <c r="K412" s="168"/>
    </row>
    <row r="413" s="16" customFormat="1" spans="1:11">
      <c r="A413" s="168"/>
      <c r="B413" s="57"/>
      <c r="C413" s="168"/>
      <c r="D413" s="168"/>
      <c r="E413" s="168"/>
      <c r="F413" s="168"/>
      <c r="G413" s="57"/>
      <c r="H413" s="168"/>
      <c r="I413" s="168"/>
      <c r="J413" s="57"/>
      <c r="K413" s="168"/>
    </row>
    <row r="414" s="16" customFormat="1" spans="1:11">
      <c r="A414" s="168"/>
      <c r="B414" s="57"/>
      <c r="C414" s="168"/>
      <c r="D414" s="168"/>
      <c r="E414" s="168"/>
      <c r="F414" s="168"/>
      <c r="G414" s="57"/>
      <c r="H414" s="168"/>
      <c r="I414" s="168"/>
      <c r="J414" s="57"/>
      <c r="K414" s="168"/>
    </row>
    <row r="415" s="16" customFormat="1" spans="1:11">
      <c r="A415" s="168"/>
      <c r="B415" s="57"/>
      <c r="C415" s="168"/>
      <c r="D415" s="168"/>
      <c r="E415" s="168"/>
      <c r="F415" s="168"/>
      <c r="G415" s="57"/>
      <c r="H415" s="168"/>
      <c r="I415" s="168"/>
      <c r="J415" s="57"/>
      <c r="K415" s="168"/>
    </row>
    <row r="416" s="16" customFormat="1" spans="1:11">
      <c r="A416" s="168"/>
      <c r="B416" s="57"/>
      <c r="C416" s="168"/>
      <c r="D416" s="168"/>
      <c r="E416" s="168"/>
      <c r="F416" s="168"/>
      <c r="G416" s="57"/>
      <c r="H416" s="168"/>
      <c r="I416" s="168"/>
      <c r="J416" s="57"/>
      <c r="K416" s="168"/>
    </row>
    <row r="417" s="16" customFormat="1" spans="1:11">
      <c r="A417" s="168"/>
      <c r="B417" s="57"/>
      <c r="C417" s="168"/>
      <c r="D417" s="168"/>
      <c r="E417" s="168"/>
      <c r="F417" s="168"/>
      <c r="G417" s="57"/>
      <c r="H417" s="168"/>
      <c r="I417" s="168"/>
      <c r="J417" s="57"/>
      <c r="K417" s="168"/>
    </row>
    <row r="418" s="16" customFormat="1" spans="1:11">
      <c r="A418" s="168"/>
      <c r="B418" s="57"/>
      <c r="C418" s="168"/>
      <c r="D418" s="168"/>
      <c r="E418" s="168"/>
      <c r="F418" s="168"/>
      <c r="G418" s="57"/>
      <c r="H418" s="168"/>
      <c r="I418" s="168"/>
      <c r="J418" s="57"/>
      <c r="K418" s="168"/>
    </row>
    <row r="419" s="16" customFormat="1" spans="1:11">
      <c r="A419" s="168"/>
      <c r="B419" s="57"/>
      <c r="C419" s="168"/>
      <c r="D419" s="168"/>
      <c r="E419" s="168"/>
      <c r="F419" s="168"/>
      <c r="G419" s="57"/>
      <c r="H419" s="168"/>
      <c r="I419" s="168"/>
      <c r="J419" s="57"/>
      <c r="K419" s="168"/>
    </row>
    <row r="420" s="16" customFormat="1" spans="1:11">
      <c r="A420" s="168"/>
      <c r="B420" s="57"/>
      <c r="C420" s="168"/>
      <c r="D420" s="168"/>
      <c r="E420" s="168"/>
      <c r="F420" s="168"/>
      <c r="G420" s="57"/>
      <c r="H420" s="168"/>
      <c r="I420" s="168"/>
      <c r="J420" s="57"/>
      <c r="K420" s="168"/>
    </row>
    <row r="421" s="16" customFormat="1" spans="1:11">
      <c r="A421" s="168"/>
      <c r="B421" s="57"/>
      <c r="C421" s="168"/>
      <c r="D421" s="168"/>
      <c r="E421" s="168"/>
      <c r="F421" s="168"/>
      <c r="G421" s="57"/>
      <c r="H421" s="168"/>
      <c r="I421" s="168"/>
      <c r="J421" s="57"/>
      <c r="K421" s="168"/>
    </row>
    <row r="422" s="16" customFormat="1" spans="1:11">
      <c r="A422" s="168"/>
      <c r="B422" s="57"/>
      <c r="C422" s="168"/>
      <c r="D422" s="168"/>
      <c r="E422" s="168"/>
      <c r="F422" s="168"/>
      <c r="G422" s="57"/>
      <c r="H422" s="168"/>
      <c r="I422" s="168"/>
      <c r="J422" s="57"/>
      <c r="K422" s="168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scale="13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P37" sqref="P37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431</v>
      </c>
      <c r="B3" s="2" t="s">
        <v>432</v>
      </c>
      <c r="C3" s="2" t="s">
        <v>433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434</v>
      </c>
      <c r="K3" s="10"/>
      <c r="L3" s="10" t="s">
        <v>435</v>
      </c>
    </row>
    <row r="4" ht="15.75" spans="1:12">
      <c r="A4" s="4">
        <v>44887</v>
      </c>
      <c r="B4" s="5" t="s">
        <v>436</v>
      </c>
      <c r="C4" s="3" t="s">
        <v>437</v>
      </c>
      <c r="D4" s="3"/>
      <c r="E4" s="3"/>
      <c r="F4" s="3"/>
      <c r="G4" s="3"/>
      <c r="H4" s="3"/>
      <c r="I4" s="3"/>
      <c r="J4" s="13">
        <v>3.268</v>
      </c>
      <c r="K4" s="10"/>
      <c r="L4" s="10"/>
    </row>
    <row r="5" ht="15.75" spans="1:12">
      <c r="A5" s="4"/>
      <c r="B5" s="4"/>
      <c r="C5" s="3" t="s">
        <v>438</v>
      </c>
      <c r="D5" s="3">
        <v>3.52</v>
      </c>
      <c r="E5" s="3">
        <v>4.58</v>
      </c>
      <c r="F5" s="3">
        <v>6.89</v>
      </c>
      <c r="G5" s="6">
        <v>7.92</v>
      </c>
      <c r="H5" s="3"/>
      <c r="I5" s="3"/>
      <c r="J5" s="13"/>
      <c r="K5" s="14">
        <f>SLOPE(D5:G5,D$3:G$3)</f>
        <v>0.0757904761904762</v>
      </c>
      <c r="L5" s="14">
        <f>K5*60/J4</f>
        <v>1.39150201084106</v>
      </c>
    </row>
    <row r="6" ht="15.75" spans="1:12">
      <c r="A6" s="4"/>
      <c r="B6" s="4"/>
      <c r="C6" s="3" t="s">
        <v>138</v>
      </c>
      <c r="D6" s="3">
        <v>8.15</v>
      </c>
      <c r="E6" s="3">
        <v>6.9</v>
      </c>
      <c r="F6" s="3">
        <v>5.14</v>
      </c>
      <c r="G6" s="3">
        <v>3.82</v>
      </c>
      <c r="H6" s="3"/>
      <c r="I6" s="3"/>
      <c r="J6" s="13"/>
      <c r="K6" s="14">
        <f>SLOPE(D6:G6,D$3:G$3)</f>
        <v>-0.0728190476190476</v>
      </c>
      <c r="L6" s="14">
        <f>K6*60/J4</f>
        <v>-1.33694701870957</v>
      </c>
    </row>
    <row r="7" ht="15.75" spans="1:12">
      <c r="A7" s="4"/>
      <c r="B7" s="4"/>
      <c r="C7" s="7" t="s">
        <v>439</v>
      </c>
      <c r="D7" s="6">
        <v>5.66</v>
      </c>
      <c r="E7" s="6">
        <v>2.37</v>
      </c>
      <c r="F7" s="6">
        <v>1.95</v>
      </c>
      <c r="G7" s="6">
        <v>1.88</v>
      </c>
      <c r="H7" s="3"/>
      <c r="I7" s="3"/>
      <c r="J7" s="13"/>
      <c r="K7" s="14">
        <f>SLOPE(D7:G7,D$3:G$3)</f>
        <v>-0.0530666666666667</v>
      </c>
      <c r="L7" s="14">
        <f>K7*60/J4</f>
        <v>-0.974296205630355</v>
      </c>
    </row>
    <row r="8" spans="1:12">
      <c r="A8" s="8" t="s">
        <v>440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431</v>
      </c>
      <c r="B9" s="2" t="s">
        <v>432</v>
      </c>
      <c r="C9" s="2" t="s">
        <v>433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434</v>
      </c>
      <c r="K9" s="10"/>
      <c r="L9" s="10" t="s">
        <v>435</v>
      </c>
    </row>
    <row r="10" ht="15.75" spans="1:12">
      <c r="A10" s="4">
        <v>44887</v>
      </c>
      <c r="B10" s="10" t="s">
        <v>436</v>
      </c>
      <c r="C10" s="3" t="s">
        <v>438</v>
      </c>
      <c r="D10" s="6">
        <v>7.15</v>
      </c>
      <c r="E10" s="6">
        <v>6.72</v>
      </c>
      <c r="F10" s="3">
        <v>5.88</v>
      </c>
      <c r="G10" s="3">
        <v>4.37</v>
      </c>
      <c r="H10" s="3">
        <v>2.84</v>
      </c>
      <c r="I10" s="3">
        <v>2.36</v>
      </c>
      <c r="J10" s="13">
        <v>3.162</v>
      </c>
      <c r="K10" s="13">
        <f>SLOPE(D10:I10,D$9:I$9)</f>
        <v>-0.0569565217391304</v>
      </c>
      <c r="L10" s="14">
        <f>K10*60/J10</f>
        <v>-1.08076891345599</v>
      </c>
    </row>
    <row r="11" spans="1:12">
      <c r="A11" s="8" t="s">
        <v>441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431</v>
      </c>
      <c r="B12" s="2" t="s">
        <v>432</v>
      </c>
      <c r="C12" s="2" t="s">
        <v>433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434</v>
      </c>
      <c r="K12" s="10"/>
      <c r="L12" s="10" t="s">
        <v>435</v>
      </c>
    </row>
    <row r="13" ht="15.75" spans="1:12">
      <c r="A13" s="4">
        <v>44887</v>
      </c>
      <c r="B13" s="12" t="s">
        <v>436</v>
      </c>
      <c r="C13" s="3" t="s">
        <v>439</v>
      </c>
      <c r="D13" s="6">
        <v>2.88</v>
      </c>
      <c r="E13" s="3">
        <v>5.34</v>
      </c>
      <c r="F13" s="6">
        <v>5.91</v>
      </c>
      <c r="G13" s="6">
        <v>8.84</v>
      </c>
      <c r="H13" s="11"/>
      <c r="I13" s="11"/>
      <c r="J13" s="13">
        <v>3.518</v>
      </c>
      <c r="K13" s="14">
        <f>SLOPE(D13:G13,D$12:G$12)</f>
        <v>0.0938857142857143</v>
      </c>
      <c r="L13" s="14">
        <f>K13*60/J13</f>
        <v>1.60123446763583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2023-01-06T01:27:13Z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FF690229AC6942D9A0C0F2285C47ADF0</vt:lpwstr>
  </property>
  <property fmtid="{D5CDD505-2E9C-101B-9397-08002B2CF9AE}" pid="4" name="KSOReadingLayout">
    <vt:bool>true</vt:bool>
  </property>
</Properties>
</file>