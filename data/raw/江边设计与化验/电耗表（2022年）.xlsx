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tabRatio="702" activeTab="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A6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更换新水表底数</t>
        </r>
      </text>
    </comment>
  </commentList>
</comments>
</file>

<file path=xl/sharedStrings.xml><?xml version="1.0" encoding="utf-8"?>
<sst xmlns="http://schemas.openxmlformats.org/spreadsheetml/2006/main" count="936" uniqueCount="45">
  <si>
    <t>高配电
表计数</t>
  </si>
  <si>
    <t>一次提升</t>
  </si>
  <si>
    <t>二次提升</t>
  </si>
  <si>
    <t>三次提升</t>
  </si>
  <si>
    <t>高压鼓风机</t>
  </si>
  <si>
    <t>提标
电表</t>
  </si>
  <si>
    <t>脱水
电表</t>
  </si>
  <si>
    <t>旧除臭
电表</t>
  </si>
  <si>
    <t>新除臭电表</t>
  </si>
  <si>
    <t>除臭
总电表</t>
  </si>
  <si>
    <t>旧除臭
水表</t>
  </si>
  <si>
    <t>新除臭
水表</t>
  </si>
  <si>
    <t>除臭
总水表</t>
  </si>
  <si>
    <t>实际处
理水量</t>
  </si>
  <si>
    <t>一次提升用电</t>
  </si>
  <si>
    <t>提标电量</t>
  </si>
  <si>
    <t>脱水电量</t>
  </si>
  <si>
    <t>除臭电量</t>
  </si>
  <si>
    <t>其他用电量</t>
  </si>
  <si>
    <t>总电量</t>
  </si>
  <si>
    <t>除臭水量</t>
  </si>
  <si>
    <t>总单耗</t>
  </si>
  <si>
    <t>一次提
升单耗</t>
  </si>
  <si>
    <t>二次提
升单耗</t>
  </si>
  <si>
    <t>三次提
升单耗</t>
  </si>
  <si>
    <t>风机
单耗</t>
  </si>
  <si>
    <t>提标
总单耗</t>
  </si>
  <si>
    <t>脱水
单耗</t>
  </si>
  <si>
    <t>除臭
单耗</t>
  </si>
  <si>
    <t>其他
单耗</t>
  </si>
  <si>
    <t>1#泵</t>
  </si>
  <si>
    <t>2#泵</t>
  </si>
  <si>
    <t>3#泵</t>
  </si>
  <si>
    <t>4#泵</t>
  </si>
  <si>
    <t>5#泵</t>
  </si>
  <si>
    <t>1#风机</t>
  </si>
  <si>
    <t>2#风机</t>
  </si>
  <si>
    <t>3#风机</t>
  </si>
  <si>
    <t>4#风机</t>
  </si>
  <si>
    <t>5#风机</t>
  </si>
  <si>
    <t>1#</t>
  </si>
  <si>
    <t>2#</t>
  </si>
  <si>
    <t>提升电量</t>
  </si>
  <si>
    <t>风机电量</t>
  </si>
  <si>
    <t>总水量</t>
  </si>
</sst>
</file>

<file path=xl/styles.xml><?xml version="1.0" encoding="utf-8"?>
<styleSheet xmlns="http://schemas.openxmlformats.org/spreadsheetml/2006/main">
  <numFmts count="10">
    <numFmt numFmtId="176" formatCode="0_);[Red]\(0\)"/>
    <numFmt numFmtId="177" formatCode="0.0000_);[Red]\(0.0000\)"/>
    <numFmt numFmtId="42" formatCode="_ &quot;￥&quot;* #,##0_ ;_ &quot;￥&quot;* \-#,##0_ ;_ &quot;￥&quot;* &quot;-&quot;_ ;_ @_ "/>
    <numFmt numFmtId="178" formatCode="0.0_);[Red]\(0.0\)"/>
    <numFmt numFmtId="44" formatCode="_ &quot;￥&quot;* #,##0.00_ ;_ &quot;￥&quot;* \-#,##0.00_ ;_ &quot;￥&quot;* &quot;-&quot;??_ ;_ @_ "/>
    <numFmt numFmtId="179" formatCode="0.00_);[Red]\(0.00\)"/>
    <numFmt numFmtId="180" formatCode="m&quot;月&quot;d&quot;日&quot;;@"/>
    <numFmt numFmtId="41" formatCode="_ * #,##0_ ;_ * \-#,##0_ ;_ * &quot;-&quot;_ ;_ @_ "/>
    <numFmt numFmtId="43" formatCode="_ * #,##0.00_ ;_ * \-#,##0.00_ ;_ * &quot;-&quot;??_ ;_ @_ "/>
    <numFmt numFmtId="181" formatCode="0.000_);[Red]\(0.000\)"/>
  </numFmts>
  <fonts count="25">
    <font>
      <sz val="11"/>
      <name val="宋体"/>
      <charset val="134"/>
    </font>
    <font>
      <sz val="9"/>
      <color indexed="8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6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9" borderId="9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7" fillId="8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 wrapText="1"/>
    </xf>
    <xf numFmtId="179" fontId="1" fillId="0" borderId="3" xfId="0" applyNumberFormat="1" applyFont="1" applyFill="1" applyBorder="1" applyAlignment="1">
      <alignment horizontal="center" vertical="center" wrapText="1"/>
    </xf>
    <xf numFmtId="178" fontId="1" fillId="0" borderId="3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79" fontId="1" fillId="0" borderId="3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4" xfId="0" applyNumberFormat="1" applyFont="1" applyFill="1" applyBorder="1" applyAlignment="1">
      <alignment horizontal="center" vertical="center" wrapText="1"/>
    </xf>
    <xf numFmtId="179" fontId="1" fillId="2" borderId="3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81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80" fontId="1" fillId="0" borderId="3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'1'!$BJ$2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'1'!$BJ$4:$BJ$32</c:f>
              <c:numCache>
                <c:formatCode>0.0000_);[Red]\(0.0000\)</c:formatCode>
                <c:ptCount val="29"/>
                <c:pt idx="0">
                  <c:v>0.0378476869608267</c:v>
                </c:pt>
                <c:pt idx="1">
                  <c:v>0.0405592695255157</c:v>
                </c:pt>
                <c:pt idx="2">
                  <c:v>0.0404781614356047</c:v>
                </c:pt>
                <c:pt idx="3">
                  <c:v>0.0392022778586799</c:v>
                </c:pt>
                <c:pt idx="4">
                  <c:v>0.0390699493899876</c:v>
                </c:pt>
                <c:pt idx="5">
                  <c:v>0.0419263116339239</c:v>
                </c:pt>
                <c:pt idx="6">
                  <c:v>0.0404085537914645</c:v>
                </c:pt>
                <c:pt idx="7">
                  <c:v>0.0406508567694167</c:v>
                </c:pt>
                <c:pt idx="8">
                  <c:v>0.0388001945183085</c:v>
                </c:pt>
                <c:pt idx="9">
                  <c:v>0.0405395559903875</c:v>
                </c:pt>
                <c:pt idx="10">
                  <c:v>0.041124164746841</c:v>
                </c:pt>
                <c:pt idx="11">
                  <c:v>0.0411612944665136</c:v>
                </c:pt>
                <c:pt idx="12">
                  <c:v>0.0395638328669205</c:v>
                </c:pt>
                <c:pt idx="13">
                  <c:v>0.0448461672171092</c:v>
                </c:pt>
                <c:pt idx="14">
                  <c:v>0.0354397184614356</c:v>
                </c:pt>
                <c:pt idx="15">
                  <c:v>0.0421137609741271</c:v>
                </c:pt>
                <c:pt idx="16">
                  <c:v>0.0409131411503443</c:v>
                </c:pt>
                <c:pt idx="17">
                  <c:v>0.0423566704924205</c:v>
                </c:pt>
                <c:pt idx="18">
                  <c:v>0.038481921325855</c:v>
                </c:pt>
                <c:pt idx="19">
                  <c:v>0.0420602789023885</c:v>
                </c:pt>
                <c:pt idx="20">
                  <c:v>0.0398197088102784</c:v>
                </c:pt>
                <c:pt idx="21">
                  <c:v>0.0402852632151942</c:v>
                </c:pt>
                <c:pt idx="22">
                  <c:v>0.0383572777235301</c:v>
                </c:pt>
                <c:pt idx="23">
                  <c:v>0.039163647388022</c:v>
                </c:pt>
                <c:pt idx="24">
                  <c:v>0.0387280067786458</c:v>
                </c:pt>
                <c:pt idx="25">
                  <c:v>0.0407599894362878</c:v>
                </c:pt>
                <c:pt idx="26">
                  <c:v>0.0393835616438321</c:v>
                </c:pt>
                <c:pt idx="27">
                  <c:v>0.0397317863911444</c:v>
                </c:pt>
                <c:pt idx="28">
                  <c:v>0.0391485805530531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'1'!$BK$4:$BK$32</c:f>
              <c:numCache>
                <c:formatCode>0.0000_);[Red]\(0.0000\)</c:formatCode>
                <c:ptCount val="29"/>
                <c:pt idx="0">
                  <c:v>0.102351842895549</c:v>
                </c:pt>
                <c:pt idx="1">
                  <c:v>0.101228327626505</c:v>
                </c:pt>
                <c:pt idx="2">
                  <c:v>0.0757650162052964</c:v>
                </c:pt>
                <c:pt idx="3">
                  <c:v>0.0825311112814134</c:v>
                </c:pt>
                <c:pt idx="4">
                  <c:v>0.0645460991173846</c:v>
                </c:pt>
                <c:pt idx="5">
                  <c:v>0.0659627310569519</c:v>
                </c:pt>
                <c:pt idx="6">
                  <c:v>0.0704235612952063</c:v>
                </c:pt>
                <c:pt idx="7">
                  <c:v>0.0836277843621602</c:v>
                </c:pt>
                <c:pt idx="8">
                  <c:v>0.0812217405249868</c:v>
                </c:pt>
                <c:pt idx="9">
                  <c:v>0.0837852184140154</c:v>
                </c:pt>
                <c:pt idx="10">
                  <c:v>0.0922557308009086</c:v>
                </c:pt>
                <c:pt idx="11">
                  <c:v>0.0925995311145091</c:v>
                </c:pt>
                <c:pt idx="12">
                  <c:v>0.0896855895692264</c:v>
                </c:pt>
                <c:pt idx="13">
                  <c:v>0.110666898429802</c:v>
                </c:pt>
                <c:pt idx="14">
                  <c:v>0.0989590742378661</c:v>
                </c:pt>
                <c:pt idx="15">
                  <c:v>0.0423828584883459</c:v>
                </c:pt>
                <c:pt idx="16">
                  <c:v>0.15248302606643</c:v>
                </c:pt>
                <c:pt idx="17">
                  <c:v>0.103158987812218</c:v>
                </c:pt>
                <c:pt idx="18">
                  <c:v>0.0909353696432465</c:v>
                </c:pt>
                <c:pt idx="19">
                  <c:v>0.10271405008247</c:v>
                </c:pt>
                <c:pt idx="20">
                  <c:v>0.094685301079798</c:v>
                </c:pt>
                <c:pt idx="21">
                  <c:v>0.0677469891907303</c:v>
                </c:pt>
                <c:pt idx="22">
                  <c:v>0.0768136698598027</c:v>
                </c:pt>
                <c:pt idx="23">
                  <c:v>0.0685860829891613</c:v>
                </c:pt>
                <c:pt idx="24">
                  <c:v>0.058316303643522</c:v>
                </c:pt>
                <c:pt idx="25">
                  <c:v>0.0553100101152559</c:v>
                </c:pt>
                <c:pt idx="26">
                  <c:v>0.0440313111545944</c:v>
                </c:pt>
                <c:pt idx="27">
                  <c:v>0.0476204219458019</c:v>
                </c:pt>
                <c:pt idx="28">
                  <c:v>0.0497440667764307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'1'!$BL$4:$BL$32</c:f>
              <c:numCache>
                <c:formatCode>0.0000_);[Red]\(0.0000\)</c:formatCode>
                <c:ptCount val="29"/>
                <c:pt idx="0">
                  <c:v>0.0326176202634318</c:v>
                </c:pt>
                <c:pt idx="1">
                  <c:v>0.0448393934452861</c:v>
                </c:pt>
                <c:pt idx="2">
                  <c:v>0.0505100108035097</c:v>
                </c:pt>
                <c:pt idx="3">
                  <c:v>0.0365494921389374</c:v>
                </c:pt>
                <c:pt idx="4">
                  <c:v>0.0430307327448993</c:v>
                </c:pt>
                <c:pt idx="5">
                  <c:v>0.0529700719093639</c:v>
                </c:pt>
                <c:pt idx="6">
                  <c:v>0.0446825354424997</c:v>
                </c:pt>
                <c:pt idx="7">
                  <c:v>0.0487367220123594</c:v>
                </c:pt>
                <c:pt idx="8">
                  <c:v>0.0413868741528624</c:v>
                </c:pt>
                <c:pt idx="9">
                  <c:v>0.0499588879984483</c:v>
                </c:pt>
                <c:pt idx="10">
                  <c:v>0.047952131263732</c:v>
                </c:pt>
                <c:pt idx="11">
                  <c:v>0.0535257405286202</c:v>
                </c:pt>
                <c:pt idx="12">
                  <c:v>0.0442751644708999</c:v>
                </c:pt>
                <c:pt idx="13">
                  <c:v>0.035923286401281</c:v>
                </c:pt>
                <c:pt idx="14">
                  <c:v>0.0408206181231085</c:v>
                </c:pt>
                <c:pt idx="15">
                  <c:v>0.0497830401291766</c:v>
                </c:pt>
                <c:pt idx="16">
                  <c:v>0.0489451688608508</c:v>
                </c:pt>
                <c:pt idx="17">
                  <c:v>0.0587528010056194</c:v>
                </c:pt>
                <c:pt idx="18">
                  <c:v>0.0457687953171208</c:v>
                </c:pt>
                <c:pt idx="19">
                  <c:v>0.0464837306942352</c:v>
                </c:pt>
                <c:pt idx="20">
                  <c:v>0.0479911799993609</c:v>
                </c:pt>
                <c:pt idx="21">
                  <c:v>0.0483907065648042</c:v>
                </c:pt>
                <c:pt idx="22">
                  <c:v>0.0446014857250467</c:v>
                </c:pt>
                <c:pt idx="23">
                  <c:v>0.0447300541233655</c:v>
                </c:pt>
                <c:pt idx="24">
                  <c:v>0.0438618352190745</c:v>
                </c:pt>
                <c:pt idx="25">
                  <c:v>0.0488322611828152</c:v>
                </c:pt>
                <c:pt idx="26">
                  <c:v>0.0459882583170326</c:v>
                </c:pt>
                <c:pt idx="27">
                  <c:v>0.0452153501303619</c:v>
                </c:pt>
                <c:pt idx="28">
                  <c:v>0.0427798974277271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'1'!$BO$4:$BO$33</c:f>
              <c:numCache>
                <c:formatCode>0.0000_);[Red]\(0.0000\)</c:formatCode>
                <c:ptCount val="30"/>
                <c:pt idx="0">
                  <c:v>0.0716305435895862</c:v>
                </c:pt>
                <c:pt idx="1">
                  <c:v>0.0994700798956113</c:v>
                </c:pt>
                <c:pt idx="2">
                  <c:v>0.1025437402662</c:v>
                </c:pt>
                <c:pt idx="3">
                  <c:v>0.091338359871126</c:v>
                </c:pt>
                <c:pt idx="4">
                  <c:v>0.0594860761350285</c:v>
                </c:pt>
                <c:pt idx="5">
                  <c:v>0.0457241658462643</c:v>
                </c:pt>
                <c:pt idx="6">
                  <c:v>0.0572519269343649</c:v>
                </c:pt>
                <c:pt idx="7">
                  <c:v>0.0687409310929337</c:v>
                </c:pt>
                <c:pt idx="8">
                  <c:v>0.0726298254508202</c:v>
                </c:pt>
                <c:pt idx="9">
                  <c:v>0.0807314813850711</c:v>
                </c:pt>
                <c:pt idx="10">
                  <c:v>0.0873166612808707</c:v>
                </c:pt>
                <c:pt idx="11">
                  <c:v>0.0800167000310705</c:v>
                </c:pt>
                <c:pt idx="12">
                  <c:v>0.0888296030560342</c:v>
                </c:pt>
                <c:pt idx="13">
                  <c:v>0.0708036386812519</c:v>
                </c:pt>
                <c:pt idx="14">
                  <c:v>0.0878088605482327</c:v>
                </c:pt>
                <c:pt idx="15">
                  <c:v>0.15839617881512</c:v>
                </c:pt>
                <c:pt idx="16">
                  <c:v>0.0413097225186013</c:v>
                </c:pt>
                <c:pt idx="17">
                  <c:v>0.101978466415205</c:v>
                </c:pt>
                <c:pt idx="18">
                  <c:v>0.0813359670465286</c:v>
                </c:pt>
                <c:pt idx="19">
                  <c:v>0.115768481031732</c:v>
                </c:pt>
                <c:pt idx="20">
                  <c:v>0.0862959239922145</c:v>
                </c:pt>
                <c:pt idx="21">
                  <c:v>0.116790970294106</c:v>
                </c:pt>
                <c:pt idx="22">
                  <c:v>0.0700461377591281</c:v>
                </c:pt>
                <c:pt idx="23">
                  <c:v>0.0652899750010092</c:v>
                </c:pt>
                <c:pt idx="24">
                  <c:v>0.0964581568058866</c:v>
                </c:pt>
                <c:pt idx="25">
                  <c:v>0.0938057771556478</c:v>
                </c:pt>
                <c:pt idx="26">
                  <c:v>0.0764324853228476</c:v>
                </c:pt>
                <c:pt idx="27">
                  <c:v>0.0816569982780051</c:v>
                </c:pt>
                <c:pt idx="28">
                  <c:v>0.0861945291474837</c:v>
                </c:pt>
                <c:pt idx="29">
                  <c:v>0.0799161239200433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'1'!$BG$4:$BG$33</c:f>
              <c:numCache>
                <c:formatCode>0.0000_);[Red]\(0.0000\)</c:formatCode>
                <c:ptCount val="30"/>
                <c:pt idx="0">
                  <c:v>0.299744682765622</c:v>
                </c:pt>
                <c:pt idx="1">
                  <c:v>0.349203761073932</c:v>
                </c:pt>
                <c:pt idx="2">
                  <c:v>0.327613542294996</c:v>
                </c:pt>
                <c:pt idx="3">
                  <c:v>0.311260191118619</c:v>
                </c:pt>
                <c:pt idx="4">
                  <c:v>0.262585266863841</c:v>
                </c:pt>
                <c:pt idx="5">
                  <c:v>0.260352900611111</c:v>
                </c:pt>
                <c:pt idx="6">
                  <c:v>0.269066572121054</c:v>
                </c:pt>
                <c:pt idx="7">
                  <c:v>0.308481297282912</c:v>
                </c:pt>
                <c:pt idx="8">
                  <c:v>0.287121439435445</c:v>
                </c:pt>
                <c:pt idx="9">
                  <c:v>0.325253177073034</c:v>
                </c:pt>
                <c:pt idx="10">
                  <c:v>0.317943479031481</c:v>
                </c:pt>
                <c:pt idx="11">
                  <c:v>0.322224957982317</c:v>
                </c:pt>
                <c:pt idx="12">
                  <c:v>0.317872975688311</c:v>
                </c:pt>
                <c:pt idx="13">
                  <c:v>0.317515499159833</c:v>
                </c:pt>
                <c:pt idx="14">
                  <c:v>0.319761508631204</c:v>
                </c:pt>
                <c:pt idx="15">
                  <c:v>0.351172256046118</c:v>
                </c:pt>
                <c:pt idx="16">
                  <c:v>0.343243684190783</c:v>
                </c:pt>
                <c:pt idx="17">
                  <c:v>0.366863420232755</c:v>
                </c:pt>
                <c:pt idx="18">
                  <c:v>0.308939368390686</c:v>
                </c:pt>
                <c:pt idx="19">
                  <c:v>0.36587194481939</c:v>
                </c:pt>
                <c:pt idx="20">
                  <c:v>0.329452965400831</c:v>
                </c:pt>
                <c:pt idx="21">
                  <c:v>0.335710526793285</c:v>
                </c:pt>
                <c:pt idx="22">
                  <c:v>0.280493788004175</c:v>
                </c:pt>
                <c:pt idx="23">
                  <c:v>0.26341031872663</c:v>
                </c:pt>
                <c:pt idx="24">
                  <c:v>0.287594078652086</c:v>
                </c:pt>
                <c:pt idx="25">
                  <c:v>0.285519241405931</c:v>
                </c:pt>
                <c:pt idx="26">
                  <c:v>0.250489236790557</c:v>
                </c:pt>
                <c:pt idx="27">
                  <c:v>0.258785727341867</c:v>
                </c:pt>
                <c:pt idx="28">
                  <c:v>0.270607723263743</c:v>
                </c:pt>
                <c:pt idx="29">
                  <c:v>0.273950099530287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79648"/>
        <c:axId val="219198208"/>
      </c:lineChart>
      <c:lineChart>
        <c:grouping val="standard"/>
        <c:varyColors val="0"/>
        <c:ser>
          <c:idx val="0"/>
          <c:order val="0"/>
          <c:tx>
            <c:strRef>
              <c:f>'1'!$BH$2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'1'!$BH$4:$BH$33</c:f>
              <c:numCache>
                <c:formatCode>0.0000_);[Red]\(0.0000\)</c:formatCode>
                <c:ptCount val="30"/>
                <c:pt idx="0">
                  <c:v>0.0454667131561486</c:v>
                </c:pt>
                <c:pt idx="1">
                  <c:v>0.0512310451655027</c:v>
                </c:pt>
                <c:pt idx="2">
                  <c:v>0.0463345165771046</c:v>
                </c:pt>
                <c:pt idx="3">
                  <c:v>0.0494479258163213</c:v>
                </c:pt>
                <c:pt idx="4">
                  <c:v>0.0462815090095612</c:v>
                </c:pt>
                <c:pt idx="5">
                  <c:v>0.0428957638933999</c:v>
                </c:pt>
                <c:pt idx="6">
                  <c:v>0.0461590018310091</c:v>
                </c:pt>
                <c:pt idx="7">
                  <c:v>0.0555377100386552</c:v>
                </c:pt>
                <c:pt idx="8">
                  <c:v>0.0424463781311815</c:v>
                </c:pt>
                <c:pt idx="9">
                  <c:v>0.0594344237554502</c:v>
                </c:pt>
                <c:pt idx="10">
                  <c:v>0.0361183792179602</c:v>
                </c:pt>
                <c:pt idx="11">
                  <c:v>0.0415188464132405</c:v>
                </c:pt>
                <c:pt idx="12">
                  <c:v>0.0413961435196447</c:v>
                </c:pt>
                <c:pt idx="13">
                  <c:v>0.040952546497481</c:v>
                </c:pt>
                <c:pt idx="14">
                  <c:v>0.0433737622384533</c:v>
                </c:pt>
                <c:pt idx="15">
                  <c:v>0.0419469205153264</c:v>
                </c:pt>
                <c:pt idx="16">
                  <c:v>0.0441560723384505</c:v>
                </c:pt>
                <c:pt idx="17">
                  <c:v>0.0434278843526192</c:v>
                </c:pt>
                <c:pt idx="18">
                  <c:v>0.0394816081709383</c:v>
                </c:pt>
                <c:pt idx="19">
                  <c:v>0.0413615234667877</c:v>
                </c:pt>
                <c:pt idx="20">
                  <c:v>0.0444476150329096</c:v>
                </c:pt>
                <c:pt idx="21">
                  <c:v>0.0470599621342774</c:v>
                </c:pt>
                <c:pt idx="22">
                  <c:v>0.038404852641645</c:v>
                </c:pt>
                <c:pt idx="23">
                  <c:v>0.0333745843832448</c:v>
                </c:pt>
                <c:pt idx="24">
                  <c:v>0.0380880227284079</c:v>
                </c:pt>
                <c:pt idx="25">
                  <c:v>0.0343739255656813</c:v>
                </c:pt>
                <c:pt idx="26">
                  <c:v>0.0332250489236785</c:v>
                </c:pt>
                <c:pt idx="27">
                  <c:v>0.0326320143919498</c:v>
                </c:pt>
                <c:pt idx="28">
                  <c:v>0.0408617662128372</c:v>
                </c:pt>
                <c:pt idx="29">
                  <c:v>0.0444195350095637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99744"/>
        <c:axId val="219213824"/>
      </c:lineChart>
      <c:catAx>
        <c:axId val="21917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198208"/>
        <c:crosses val="autoZero"/>
        <c:auto val="1"/>
        <c:lblAlgn val="ctr"/>
        <c:lblOffset val="100"/>
        <c:noMultiLvlLbl val="0"/>
      </c:catAx>
      <c:valAx>
        <c:axId val="21919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179648"/>
        <c:crosses val="autoZero"/>
        <c:crossBetween val="between"/>
      </c:valAx>
      <c:catAx>
        <c:axId val="21919974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9213824"/>
        <c:crosses val="autoZero"/>
        <c:auto val="1"/>
        <c:lblAlgn val="ctr"/>
        <c:lblOffset val="100"/>
        <c:noMultiLvlLbl val="0"/>
      </c:catAx>
      <c:valAx>
        <c:axId val="21921382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199744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'2'!$BJ$2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'2'!$BJ$4:$BJ$32</c:f>
              <c:numCache>
                <c:formatCode>0.0000_);[Red]\(0.0000\)</c:formatCode>
                <c:ptCount val="29"/>
                <c:pt idx="0">
                  <c:v>0.043247976421844</c:v>
                </c:pt>
                <c:pt idx="1">
                  <c:v>0.0446519593850701</c:v>
                </c:pt>
                <c:pt idx="2">
                  <c:v>0.0414538455844221</c:v>
                </c:pt>
                <c:pt idx="3">
                  <c:v>0.0450420686313314</c:v>
                </c:pt>
                <c:pt idx="4">
                  <c:v>0.0484076158440544</c:v>
                </c:pt>
                <c:pt idx="5">
                  <c:v>0.0366823077116763</c:v>
                </c:pt>
                <c:pt idx="6">
                  <c:v>0.0382766979968616</c:v>
                </c:pt>
                <c:pt idx="7">
                  <c:v>0.0395110090503892</c:v>
                </c:pt>
                <c:pt idx="8">
                  <c:v>0.0401099993694907</c:v>
                </c:pt>
                <c:pt idx="9">
                  <c:v>0.0387832958980359</c:v>
                </c:pt>
                <c:pt idx="10">
                  <c:v>0.0403849542793366</c:v>
                </c:pt>
                <c:pt idx="11">
                  <c:v>0.0399843006426853</c:v>
                </c:pt>
                <c:pt idx="12">
                  <c:v>0.0396842808320995</c:v>
                </c:pt>
                <c:pt idx="13">
                  <c:v>0.0398773006134998</c:v>
                </c:pt>
                <c:pt idx="14">
                  <c:v>0.0402772049351063</c:v>
                </c:pt>
                <c:pt idx="15">
                  <c:v>0.0397634936551295</c:v>
                </c:pt>
                <c:pt idx="16">
                  <c:v>0.0406224356131832</c:v>
                </c:pt>
                <c:pt idx="17">
                  <c:v>0.0405980383602734</c:v>
                </c:pt>
                <c:pt idx="18">
                  <c:v>0.0397706970746728</c:v>
                </c:pt>
                <c:pt idx="19">
                  <c:v>0.038792350456781</c:v>
                </c:pt>
                <c:pt idx="20">
                  <c:v>0.0409246490401237</c:v>
                </c:pt>
                <c:pt idx="21">
                  <c:v>0.0399205621137795</c:v>
                </c:pt>
                <c:pt idx="22">
                  <c:v>0.0394405509541579</c:v>
                </c:pt>
                <c:pt idx="23">
                  <c:v>0.039451407980366</c:v>
                </c:pt>
                <c:pt idx="24">
                  <c:v>0.0406259023053486</c:v>
                </c:pt>
                <c:pt idx="25">
                  <c:v>0.0393532561390506</c:v>
                </c:pt>
                <c:pt idx="26">
                  <c:v>0.0407960091331166</c:v>
                </c:pt>
                <c:pt idx="27">
                  <c:v>0.0400251397571981</c:v>
                </c:pt>
                <c:pt idx="2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'2'!$BK$4:$BK$32</c:f>
              <c:numCache>
                <c:formatCode>0.0000_);[Red]\(0.0000\)</c:formatCode>
                <c:ptCount val="29"/>
                <c:pt idx="0">
                  <c:v>0.148431326484843</c:v>
                </c:pt>
                <c:pt idx="1">
                  <c:v>0.16718998491212</c:v>
                </c:pt>
                <c:pt idx="2">
                  <c:v>0.139589480029195</c:v>
                </c:pt>
                <c:pt idx="3">
                  <c:v>0.172899872252322</c:v>
                </c:pt>
                <c:pt idx="4">
                  <c:v>0.150936886818897</c:v>
                </c:pt>
                <c:pt idx="5">
                  <c:v>0.0881382679571228</c:v>
                </c:pt>
                <c:pt idx="6">
                  <c:v>0.109361994276728</c:v>
                </c:pt>
                <c:pt idx="7">
                  <c:v>0.0675401864109101</c:v>
                </c:pt>
                <c:pt idx="8">
                  <c:v>0.0669308332888709</c:v>
                </c:pt>
                <c:pt idx="9">
                  <c:v>0.0764946916581843</c:v>
                </c:pt>
                <c:pt idx="10">
                  <c:v>0.103287580035638</c:v>
                </c:pt>
                <c:pt idx="11">
                  <c:v>0.0995927979198361</c:v>
                </c:pt>
                <c:pt idx="12">
                  <c:v>0.102379594284289</c:v>
                </c:pt>
                <c:pt idx="13">
                  <c:v>0.0870769839699207</c:v>
                </c:pt>
                <c:pt idx="14">
                  <c:v>0.11049498699011</c:v>
                </c:pt>
                <c:pt idx="15">
                  <c:v>0.105706678785063</c:v>
                </c:pt>
                <c:pt idx="16">
                  <c:v>0.108564351136868</c:v>
                </c:pt>
                <c:pt idx="17">
                  <c:v>0.0939246652329906</c:v>
                </c:pt>
                <c:pt idx="18">
                  <c:v>0.0978731998322155</c:v>
                </c:pt>
                <c:pt idx="19">
                  <c:v>0.0919712679703665</c:v>
                </c:pt>
                <c:pt idx="20">
                  <c:v>0.0942507068802971</c:v>
                </c:pt>
                <c:pt idx="21">
                  <c:v>0.097785215278686</c:v>
                </c:pt>
                <c:pt idx="22">
                  <c:v>0.0955674888504624</c:v>
                </c:pt>
                <c:pt idx="23">
                  <c:v>0.0962987123930249</c:v>
                </c:pt>
                <c:pt idx="24">
                  <c:v>0.0886475424368496</c:v>
                </c:pt>
                <c:pt idx="25">
                  <c:v>0.104449661066126</c:v>
                </c:pt>
                <c:pt idx="26">
                  <c:v>0.101719492268233</c:v>
                </c:pt>
                <c:pt idx="27">
                  <c:v>0.102543746485398</c:v>
                </c:pt>
                <c:pt idx="28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'2'!$BL$4:$BL$32</c:f>
              <c:numCache>
                <c:formatCode>0.0000_);[Red]\(0.0000\)</c:formatCode>
                <c:ptCount val="29"/>
                <c:pt idx="0">
                  <c:v>0.051256860944361</c:v>
                </c:pt>
                <c:pt idx="1">
                  <c:v>0.0509725563756473</c:v>
                </c:pt>
                <c:pt idx="2">
                  <c:v>0.0422998424330869</c:v>
                </c:pt>
                <c:pt idx="3">
                  <c:v>0.0506585612969233</c:v>
                </c:pt>
                <c:pt idx="4">
                  <c:v>0.0366561010845266</c:v>
                </c:pt>
                <c:pt idx="5">
                  <c:v>0.0453282520922468</c:v>
                </c:pt>
                <c:pt idx="6">
                  <c:v>0.0364539980922408</c:v>
                </c:pt>
                <c:pt idx="7">
                  <c:v>0.0443835510700506</c:v>
                </c:pt>
                <c:pt idx="8">
                  <c:v>0.0455905676025384</c:v>
                </c:pt>
                <c:pt idx="9">
                  <c:v>0.0467738241986612</c:v>
                </c:pt>
                <c:pt idx="10">
                  <c:v>0.0509095181218019</c:v>
                </c:pt>
                <c:pt idx="11">
                  <c:v>0.0500417014178696</c:v>
                </c:pt>
                <c:pt idx="12">
                  <c:v>0.0497272315094998</c:v>
                </c:pt>
                <c:pt idx="13">
                  <c:v>0.0494755590738175</c:v>
                </c:pt>
                <c:pt idx="14">
                  <c:v>0.0519377358202566</c:v>
                </c:pt>
                <c:pt idx="15">
                  <c:v>0.0503835571779137</c:v>
                </c:pt>
                <c:pt idx="16">
                  <c:v>0.0509691789374965</c:v>
                </c:pt>
                <c:pt idx="17">
                  <c:v>0.048245456458483</c:v>
                </c:pt>
                <c:pt idx="18">
                  <c:v>0.0507490665796457</c:v>
                </c:pt>
                <c:pt idx="19">
                  <c:v>0.0482977608336063</c:v>
                </c:pt>
                <c:pt idx="20">
                  <c:v>0.052581973312161</c:v>
                </c:pt>
                <c:pt idx="21">
                  <c:v>0.0514128451465486</c:v>
                </c:pt>
                <c:pt idx="22">
                  <c:v>0.0495535127372533</c:v>
                </c:pt>
                <c:pt idx="23">
                  <c:v>0.0528089713123255</c:v>
                </c:pt>
                <c:pt idx="24">
                  <c:v>0.0526819680767609</c:v>
                </c:pt>
                <c:pt idx="25">
                  <c:v>0.0506422599108408</c:v>
                </c:pt>
                <c:pt idx="26">
                  <c:v>0.0562703574249897</c:v>
                </c:pt>
                <c:pt idx="27">
                  <c:v>0.0562336674274591</c:v>
                </c:pt>
                <c:pt idx="28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'2'!$BO$4:$BO$33</c:f>
              <c:numCache>
                <c:formatCode>0.0000_);[Red]\(0.0000\)</c:formatCode>
                <c:ptCount val="30"/>
                <c:pt idx="0">
                  <c:v>0.131956517096087</c:v>
                </c:pt>
                <c:pt idx="1">
                  <c:v>0.0893446968152853</c:v>
                </c:pt>
                <c:pt idx="2">
                  <c:v>0.147321891226049</c:v>
                </c:pt>
                <c:pt idx="3">
                  <c:v>0.105823532002978</c:v>
                </c:pt>
                <c:pt idx="4">
                  <c:v>0.109041119520645</c:v>
                </c:pt>
                <c:pt idx="5">
                  <c:v>0.134416734519103</c:v>
                </c:pt>
                <c:pt idx="6">
                  <c:v>0.0823374303576577</c:v>
                </c:pt>
                <c:pt idx="7">
                  <c:v>0.0582254298450071</c:v>
                </c:pt>
                <c:pt idx="8">
                  <c:v>0.0534263251577643</c:v>
                </c:pt>
                <c:pt idx="9">
                  <c:v>0.0642906213609959</c:v>
                </c:pt>
                <c:pt idx="10">
                  <c:v>0.0542754204930442</c:v>
                </c:pt>
                <c:pt idx="11">
                  <c:v>0.0548790658882528</c:v>
                </c:pt>
                <c:pt idx="12">
                  <c:v>0.0575119808501224</c:v>
                </c:pt>
                <c:pt idx="13">
                  <c:v>0.0790698594894768</c:v>
                </c:pt>
                <c:pt idx="14">
                  <c:v>0.0640178421397939</c:v>
                </c:pt>
                <c:pt idx="15">
                  <c:v>0.0631296092310253</c:v>
                </c:pt>
                <c:pt idx="16">
                  <c:v>0.0628857729730869</c:v>
                </c:pt>
                <c:pt idx="17">
                  <c:v>0.0771126634057081</c:v>
                </c:pt>
                <c:pt idx="18">
                  <c:v>0.0740066388066153</c:v>
                </c:pt>
                <c:pt idx="19">
                  <c:v>0.08020100089391</c:v>
                </c:pt>
                <c:pt idx="20">
                  <c:v>0.0768788134333226</c:v>
                </c:pt>
                <c:pt idx="21">
                  <c:v>0.0799177394476704</c:v>
                </c:pt>
                <c:pt idx="22">
                  <c:v>0.0793665240739925</c:v>
                </c:pt>
                <c:pt idx="23">
                  <c:v>0.0760532024498674</c:v>
                </c:pt>
                <c:pt idx="24">
                  <c:v>0.0784880275162178</c:v>
                </c:pt>
                <c:pt idx="25">
                  <c:v>0.0676369582991332</c:v>
                </c:pt>
                <c:pt idx="26">
                  <c:v>0.0801506314183774</c:v>
                </c:pt>
                <c:pt idx="27">
                  <c:v>0.0820526391232496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'2'!$BG$4:$BG$33</c:f>
              <c:numCache>
                <c:formatCode>0.0000_);[Red]\(0.0000\)</c:formatCode>
                <c:ptCount val="30"/>
                <c:pt idx="0">
                  <c:v>0.450633235802653</c:v>
                </c:pt>
                <c:pt idx="1">
                  <c:v>0.409819353260249</c:v>
                </c:pt>
                <c:pt idx="2">
                  <c:v>0.42722840857427</c:v>
                </c:pt>
                <c:pt idx="3">
                  <c:v>0.432800317166677</c:v>
                </c:pt>
                <c:pt idx="4">
                  <c:v>0.401060870690338</c:v>
                </c:pt>
                <c:pt idx="5">
                  <c:v>0.362626016737852</c:v>
                </c:pt>
                <c:pt idx="6">
                  <c:v>0.318972483307107</c:v>
                </c:pt>
                <c:pt idx="7">
                  <c:v>0.256652708361461</c:v>
                </c:pt>
                <c:pt idx="8">
                  <c:v>0.25802321238898</c:v>
                </c:pt>
                <c:pt idx="9">
                  <c:v>0.272360080489963</c:v>
                </c:pt>
                <c:pt idx="10">
                  <c:v>0.300561962757701</c:v>
                </c:pt>
                <c:pt idx="11">
                  <c:v>0.287494480694725</c:v>
                </c:pt>
                <c:pt idx="12">
                  <c:v>0.294950735914239</c:v>
                </c:pt>
                <c:pt idx="13">
                  <c:v>0.30427468830405</c:v>
                </c:pt>
                <c:pt idx="14">
                  <c:v>0.321810284690065</c:v>
                </c:pt>
                <c:pt idx="15">
                  <c:v>0.31465025414054</c:v>
                </c:pt>
                <c:pt idx="16">
                  <c:v>0.318557368359353</c:v>
                </c:pt>
                <c:pt idx="17">
                  <c:v>0.312055718369617</c:v>
                </c:pt>
                <c:pt idx="18">
                  <c:v>0.320547675641086</c:v>
                </c:pt>
                <c:pt idx="19">
                  <c:v>0.31239402751935</c:v>
                </c:pt>
                <c:pt idx="20">
                  <c:v>0.318468177985113</c:v>
                </c:pt>
                <c:pt idx="21">
                  <c:v>0.324606590925063</c:v>
                </c:pt>
                <c:pt idx="22">
                  <c:v>0.323614777059831</c:v>
                </c:pt>
                <c:pt idx="23">
                  <c:v>0.31322968278372</c:v>
                </c:pt>
                <c:pt idx="24">
                  <c:v>0.314065578919145</c:v>
                </c:pt>
                <c:pt idx="25">
                  <c:v>0.323371930472259</c:v>
                </c:pt>
                <c:pt idx="26">
                  <c:v>0.34032745019537</c:v>
                </c:pt>
                <c:pt idx="27">
                  <c:v>0.341812488284693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899584"/>
        <c:axId val="218901504"/>
      </c:lineChart>
      <c:lineChart>
        <c:grouping val="standard"/>
        <c:varyColors val="0"/>
        <c:ser>
          <c:idx val="0"/>
          <c:order val="0"/>
          <c:tx>
            <c:strRef>
              <c:f>'2'!$BH$2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'2'!$BH$4:$BH$33</c:f>
              <c:numCache>
                <c:formatCode>0.0000_);[Red]\(0.0000\)</c:formatCode>
                <c:ptCount val="30"/>
                <c:pt idx="0">
                  <c:v>0.0546398137667394</c:v>
                </c:pt>
                <c:pt idx="1">
                  <c:v>0.0375158014924705</c:v>
                </c:pt>
                <c:pt idx="2">
                  <c:v>0.0357095269820113</c:v>
                </c:pt>
                <c:pt idx="3">
                  <c:v>0.0366151270869056</c:v>
                </c:pt>
                <c:pt idx="4">
                  <c:v>0.0342842357202963</c:v>
                </c:pt>
                <c:pt idx="5">
                  <c:v>0.0414065188741841</c:v>
                </c:pt>
                <c:pt idx="6">
                  <c:v>0.0405611485439682</c:v>
                </c:pt>
                <c:pt idx="7">
                  <c:v>0.0378070666332186</c:v>
                </c:pt>
                <c:pt idx="8">
                  <c:v>0.0423623674114772</c:v>
                </c:pt>
                <c:pt idx="9">
                  <c:v>0.0360197424516273</c:v>
                </c:pt>
                <c:pt idx="10">
                  <c:v>0.040641459928331</c:v>
                </c:pt>
                <c:pt idx="11">
                  <c:v>0.0318696953343472</c:v>
                </c:pt>
                <c:pt idx="12">
                  <c:v>0.0342201356285909</c:v>
                </c:pt>
                <c:pt idx="13">
                  <c:v>0.0354165842074014</c:v>
                </c:pt>
                <c:pt idx="14">
                  <c:v>0.0409473035658803</c:v>
                </c:pt>
                <c:pt idx="15">
                  <c:v>0.0421325087553793</c:v>
                </c:pt>
                <c:pt idx="16">
                  <c:v>0.0416927883708684</c:v>
                </c:pt>
                <c:pt idx="17">
                  <c:v>0.0378860278078634</c:v>
                </c:pt>
                <c:pt idx="18">
                  <c:v>0.0439590486103565</c:v>
                </c:pt>
                <c:pt idx="19">
                  <c:v>0.0390328116490066</c:v>
                </c:pt>
                <c:pt idx="20">
                  <c:v>0.0418869983630109</c:v>
                </c:pt>
                <c:pt idx="21">
                  <c:v>0.0437755174047633</c:v>
                </c:pt>
                <c:pt idx="22">
                  <c:v>0.0478747610812821</c:v>
                </c:pt>
                <c:pt idx="23">
                  <c:v>0.0366887739517119</c:v>
                </c:pt>
                <c:pt idx="24">
                  <c:v>0.040269285906052</c:v>
                </c:pt>
                <c:pt idx="25">
                  <c:v>0.0464980349748151</c:v>
                </c:pt>
                <c:pt idx="26">
                  <c:v>0.0462845332265621</c:v>
                </c:pt>
                <c:pt idx="27">
                  <c:v>0.0462924371230451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927872"/>
        <c:axId val="218929408"/>
      </c:lineChart>
      <c:catAx>
        <c:axId val="2188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901504"/>
        <c:crosses val="autoZero"/>
        <c:auto val="1"/>
        <c:lblAlgn val="ctr"/>
        <c:lblOffset val="100"/>
        <c:noMultiLvlLbl val="0"/>
      </c:catAx>
      <c:valAx>
        <c:axId val="2189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899584"/>
        <c:crosses val="autoZero"/>
        <c:crossBetween val="between"/>
      </c:valAx>
      <c:catAx>
        <c:axId val="21892787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8929408"/>
        <c:crosses val="autoZero"/>
        <c:auto val="1"/>
        <c:lblAlgn val="ctr"/>
        <c:lblOffset val="100"/>
        <c:noMultiLvlLbl val="0"/>
      </c:catAx>
      <c:valAx>
        <c:axId val="218929408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92787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'3'!$BJ$2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'3'!$BJ$4:$BJ$32</c:f>
              <c:numCache>
                <c:formatCode>0.0000_);[Red]\(0.0000\)</c:formatCode>
                <c:ptCount val="29"/>
                <c:pt idx="0">
                  <c:v>0.0399697232069409</c:v>
                </c:pt>
                <c:pt idx="1">
                  <c:v>0.0402073314581303</c:v>
                </c:pt>
                <c:pt idx="2">
                  <c:v>0.0410296514957924</c:v>
                </c:pt>
                <c:pt idx="3">
                  <c:v>0.0383866633763733</c:v>
                </c:pt>
                <c:pt idx="4">
                  <c:v>0.041580151701351</c:v>
                </c:pt>
                <c:pt idx="5">
                  <c:v>0.0394536086181417</c:v>
                </c:pt>
                <c:pt idx="6">
                  <c:v>0.0409166709646413</c:v>
                </c:pt>
                <c:pt idx="7">
                  <c:v>0.0393164730006803</c:v>
                </c:pt>
                <c:pt idx="8">
                  <c:v>0.0400842797677234</c:v>
                </c:pt>
                <c:pt idx="9">
                  <c:v>0.0398575305291723</c:v>
                </c:pt>
                <c:pt idx="10">
                  <c:v>0.0404499658469883</c:v>
                </c:pt>
                <c:pt idx="11">
                  <c:v>0.0401236452026454</c:v>
                </c:pt>
                <c:pt idx="12">
                  <c:v>0.0404461195970785</c:v>
                </c:pt>
                <c:pt idx="13">
                  <c:v>0.0396584809633826</c:v>
                </c:pt>
                <c:pt idx="14">
                  <c:v>0.0405797445374527</c:v>
                </c:pt>
                <c:pt idx="15">
                  <c:v>0.039921263325517</c:v>
                </c:pt>
                <c:pt idx="16">
                  <c:v>0.0416983150160498</c:v>
                </c:pt>
                <c:pt idx="17">
                  <c:v>0.0403279943908739</c:v>
                </c:pt>
                <c:pt idx="18">
                  <c:v>0.042948998686143</c:v>
                </c:pt>
                <c:pt idx="19">
                  <c:v>0.0404154402232836</c:v>
                </c:pt>
                <c:pt idx="20">
                  <c:v>0.0419685284723831</c:v>
                </c:pt>
                <c:pt idx="21">
                  <c:v>0.0413807608381221</c:v>
                </c:pt>
                <c:pt idx="22">
                  <c:v>0.0408240389444526</c:v>
                </c:pt>
                <c:pt idx="23">
                  <c:v>0.0404678258549355</c:v>
                </c:pt>
                <c:pt idx="24">
                  <c:v>0.0400233953180376</c:v>
                </c:pt>
                <c:pt idx="25">
                  <c:v>0.0423415418674895</c:v>
                </c:pt>
                <c:pt idx="26">
                  <c:v>0.042206253755335</c:v>
                </c:pt>
                <c:pt idx="27">
                  <c:v>0.040564356533123</c:v>
                </c:pt>
                <c:pt idx="28">
                  <c:v>0.0400497916328451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'3'!$BK$4:$BK$32</c:f>
              <c:numCache>
                <c:formatCode>0.0000_);[Red]\(0.0000\)</c:formatCode>
                <c:ptCount val="29"/>
                <c:pt idx="0">
                  <c:v>0.0942065683215399</c:v>
                </c:pt>
                <c:pt idx="1">
                  <c:v>0.114554033209321</c:v>
                </c:pt>
                <c:pt idx="2">
                  <c:v>0.109595981847824</c:v>
                </c:pt>
                <c:pt idx="3">
                  <c:v>0.101998848400101</c:v>
                </c:pt>
                <c:pt idx="4">
                  <c:v>0.111233526844353</c:v>
                </c:pt>
                <c:pt idx="5">
                  <c:v>0.110449555376325</c:v>
                </c:pt>
                <c:pt idx="6">
                  <c:v>0.100859020865212</c:v>
                </c:pt>
                <c:pt idx="7">
                  <c:v>0.101708817498293</c:v>
                </c:pt>
                <c:pt idx="8">
                  <c:v>0.105635210214068</c:v>
                </c:pt>
                <c:pt idx="9">
                  <c:v>0.10572139303483</c:v>
                </c:pt>
                <c:pt idx="10">
                  <c:v>0.107261782786882</c:v>
                </c:pt>
                <c:pt idx="11">
                  <c:v>0.10988218188276</c:v>
                </c:pt>
                <c:pt idx="12">
                  <c:v>0.110758447398</c:v>
                </c:pt>
                <c:pt idx="13">
                  <c:v>0.115137525377533</c:v>
                </c:pt>
                <c:pt idx="14">
                  <c:v>0.116281139317854</c:v>
                </c:pt>
                <c:pt idx="15">
                  <c:v>0.105608882204629</c:v>
                </c:pt>
                <c:pt idx="16">
                  <c:v>0.0961076405574262</c:v>
                </c:pt>
                <c:pt idx="17">
                  <c:v>0.066135921750763</c:v>
                </c:pt>
                <c:pt idx="18">
                  <c:v>0.0811203567305067</c:v>
                </c:pt>
                <c:pt idx="19">
                  <c:v>0.0848978429847383</c:v>
                </c:pt>
                <c:pt idx="20">
                  <c:v>0.0584248656228135</c:v>
                </c:pt>
                <c:pt idx="21">
                  <c:v>0.0473223440334363</c:v>
                </c:pt>
                <c:pt idx="22">
                  <c:v>0.0576807371200424</c:v>
                </c:pt>
                <c:pt idx="23">
                  <c:v>0.0578111797927683</c:v>
                </c:pt>
                <c:pt idx="24">
                  <c:v>0.0391533215067763</c:v>
                </c:pt>
                <c:pt idx="25">
                  <c:v>0.0526166874320548</c:v>
                </c:pt>
                <c:pt idx="26">
                  <c:v>0.0410338578176809</c:v>
                </c:pt>
                <c:pt idx="27">
                  <c:v>0.0841808855238387</c:v>
                </c:pt>
                <c:pt idx="28">
                  <c:v>0.0447731085821748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'3'!$BL$4:$BL$32</c:f>
              <c:numCache>
                <c:formatCode>0.0000_);[Red]\(0.0000\)</c:formatCode>
                <c:ptCount val="29"/>
                <c:pt idx="0">
                  <c:v>0.0533655704943008</c:v>
                </c:pt>
                <c:pt idx="1">
                  <c:v>0.0567099174303602</c:v>
                </c:pt>
                <c:pt idx="2">
                  <c:v>0.0572762920209399</c:v>
                </c:pt>
                <c:pt idx="3">
                  <c:v>0.0493542814839187</c:v>
                </c:pt>
                <c:pt idx="4">
                  <c:v>0.0497902453493869</c:v>
                </c:pt>
                <c:pt idx="5">
                  <c:v>0.0482895730482611</c:v>
                </c:pt>
                <c:pt idx="6">
                  <c:v>0.0573062618552329</c:v>
                </c:pt>
                <c:pt idx="7">
                  <c:v>0.0481203007518956</c:v>
                </c:pt>
                <c:pt idx="8">
                  <c:v>0.0536741068114393</c:v>
                </c:pt>
                <c:pt idx="9">
                  <c:v>0.0554047942107808</c:v>
                </c:pt>
                <c:pt idx="10">
                  <c:v>0.0490949453551757</c:v>
                </c:pt>
                <c:pt idx="11">
                  <c:v>0.0477266042521398</c:v>
                </c:pt>
                <c:pt idx="12">
                  <c:v>0.0484912605523355</c:v>
                </c:pt>
                <c:pt idx="13">
                  <c:v>0.0489473537837023</c:v>
                </c:pt>
                <c:pt idx="14">
                  <c:v>0.0593271118968658</c:v>
                </c:pt>
                <c:pt idx="15">
                  <c:v>0.0442340867872783</c:v>
                </c:pt>
                <c:pt idx="16">
                  <c:v>0.0506373590033515</c:v>
                </c:pt>
                <c:pt idx="17">
                  <c:v>0.0467426815381398</c:v>
                </c:pt>
                <c:pt idx="18">
                  <c:v>0.0477764064179567</c:v>
                </c:pt>
                <c:pt idx="19">
                  <c:v>0.0467700691892224</c:v>
                </c:pt>
                <c:pt idx="20">
                  <c:v>0.0516086313001409</c:v>
                </c:pt>
                <c:pt idx="21">
                  <c:v>0.0515287746142067</c:v>
                </c:pt>
                <c:pt idx="22">
                  <c:v>0.0507192688469178</c:v>
                </c:pt>
                <c:pt idx="23">
                  <c:v>0.0494112647801446</c:v>
                </c:pt>
                <c:pt idx="24">
                  <c:v>0.0483374339589809</c:v>
                </c:pt>
                <c:pt idx="25">
                  <c:v>0.0476528489950637</c:v>
                </c:pt>
                <c:pt idx="26">
                  <c:v>0.047872834120644</c:v>
                </c:pt>
                <c:pt idx="27">
                  <c:v>0.0511977315466709</c:v>
                </c:pt>
                <c:pt idx="28">
                  <c:v>0.0472331694932695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'3'!$BO$2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'3'!$BO$4:$BO$33</c:f>
              <c:numCache>
                <c:formatCode>0.0000_);[Red]\(0.0000\)</c:formatCode>
                <c:ptCount val="30"/>
                <c:pt idx="0">
                  <c:v>0.0746464530953991</c:v>
                </c:pt>
                <c:pt idx="1">
                  <c:v>0.0622289265947229</c:v>
                </c:pt>
                <c:pt idx="2">
                  <c:v>0.0574194827511211</c:v>
                </c:pt>
                <c:pt idx="3">
                  <c:v>0.0605588001424869</c:v>
                </c:pt>
                <c:pt idx="4">
                  <c:v>0.0556866816391903</c:v>
                </c:pt>
                <c:pt idx="5">
                  <c:v>0.0525185067219519</c:v>
                </c:pt>
                <c:pt idx="6">
                  <c:v>0.0873301585663072</c:v>
                </c:pt>
                <c:pt idx="7">
                  <c:v>0.061758031442244</c:v>
                </c:pt>
                <c:pt idx="8">
                  <c:v>0.0601789517561538</c:v>
                </c:pt>
                <c:pt idx="9">
                  <c:v>0.0593419267300732</c:v>
                </c:pt>
                <c:pt idx="10">
                  <c:v>0.0571166325137033</c:v>
                </c:pt>
                <c:pt idx="11">
                  <c:v>0.0597159712086072</c:v>
                </c:pt>
                <c:pt idx="12">
                  <c:v>0.0584848685225717</c:v>
                </c:pt>
                <c:pt idx="13">
                  <c:v>0.0623923019161755</c:v>
                </c:pt>
                <c:pt idx="14">
                  <c:v>0.0536791708441688</c:v>
                </c:pt>
                <c:pt idx="15">
                  <c:v>0.0650418012120405</c:v>
                </c:pt>
                <c:pt idx="16">
                  <c:v>0.0531485586438466</c:v>
                </c:pt>
                <c:pt idx="17">
                  <c:v>0.0497362022066976</c:v>
                </c:pt>
                <c:pt idx="18">
                  <c:v>0.0564458334993245</c:v>
                </c:pt>
                <c:pt idx="19">
                  <c:v>0.0538567514120349</c:v>
                </c:pt>
                <c:pt idx="20">
                  <c:v>0.0424554023525698</c:v>
                </c:pt>
                <c:pt idx="21">
                  <c:v>0.0430212687645513</c:v>
                </c:pt>
                <c:pt idx="22">
                  <c:v>0.043369947341424</c:v>
                </c:pt>
                <c:pt idx="23">
                  <c:v>0.0467924677467647</c:v>
                </c:pt>
                <c:pt idx="24">
                  <c:v>0.0608471618676212</c:v>
                </c:pt>
                <c:pt idx="25">
                  <c:v>0.0453397002834575</c:v>
                </c:pt>
                <c:pt idx="26">
                  <c:v>0.0699138777483975</c:v>
                </c:pt>
                <c:pt idx="27">
                  <c:v>0.0447231876495064</c:v>
                </c:pt>
                <c:pt idx="28">
                  <c:v>0.0702396591339996</c:v>
                </c:pt>
                <c:pt idx="29">
                  <c:v>0.075728761489566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'3'!$BG$2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'3'!$BG$4:$BG$33</c:f>
              <c:numCache>
                <c:formatCode>0.0000_);[Red]\(0.0000\)</c:formatCode>
                <c:ptCount val="30"/>
                <c:pt idx="0">
                  <c:v>0.323460702791819</c:v>
                </c:pt>
                <c:pt idx="1">
                  <c:v>0.337424008710685</c:v>
                </c:pt>
                <c:pt idx="2">
                  <c:v>0.328787945543528</c:v>
                </c:pt>
                <c:pt idx="3">
                  <c:v>0.305996545200192</c:v>
                </c:pt>
                <c:pt idx="4">
                  <c:v>0.320458494004137</c:v>
                </c:pt>
                <c:pt idx="5">
                  <c:v>0.309772473915865</c:v>
                </c:pt>
                <c:pt idx="6">
                  <c:v>0.348422072079708</c:v>
                </c:pt>
                <c:pt idx="7">
                  <c:v>0.310594668489421</c:v>
                </c:pt>
                <c:pt idx="8">
                  <c:v>0.319189635187382</c:v>
                </c:pt>
                <c:pt idx="9">
                  <c:v>0.320556309362386</c:v>
                </c:pt>
                <c:pt idx="10">
                  <c:v>0.307910689890734</c:v>
                </c:pt>
                <c:pt idx="11">
                  <c:v>0.314107651240606</c:v>
                </c:pt>
                <c:pt idx="12">
                  <c:v>0.315744230642044</c:v>
                </c:pt>
                <c:pt idx="13">
                  <c:v>0.320938899240784</c:v>
                </c:pt>
                <c:pt idx="14">
                  <c:v>0.325705844313672</c:v>
                </c:pt>
                <c:pt idx="15">
                  <c:v>0.310191533595821</c:v>
                </c:pt>
                <c:pt idx="16">
                  <c:v>0.296590245591274</c:v>
                </c:pt>
                <c:pt idx="17">
                  <c:v>0.25410117304225</c:v>
                </c:pt>
                <c:pt idx="18">
                  <c:v>0.286658438507885</c:v>
                </c:pt>
                <c:pt idx="19">
                  <c:v>0.278078563548891</c:v>
                </c:pt>
                <c:pt idx="20">
                  <c:v>0.246845057256354</c:v>
                </c:pt>
                <c:pt idx="21">
                  <c:v>0.233456897231574</c:v>
                </c:pt>
                <c:pt idx="22">
                  <c:v>0.246634875961509</c:v>
                </c:pt>
                <c:pt idx="23">
                  <c:v>0.249526887139694</c:v>
                </c:pt>
                <c:pt idx="24">
                  <c:v>0.240237046776191</c:v>
                </c:pt>
                <c:pt idx="25">
                  <c:v>0.240249780350156</c:v>
                </c:pt>
                <c:pt idx="26">
                  <c:v>0.256461611360517</c:v>
                </c:pt>
                <c:pt idx="27">
                  <c:v>0.269772662380476</c:v>
                </c:pt>
                <c:pt idx="28">
                  <c:v>0.260274444395286</c:v>
                </c:pt>
                <c:pt idx="29">
                  <c:v>0.272031315809112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19712"/>
        <c:axId val="220050560"/>
      </c:lineChart>
      <c:lineChart>
        <c:grouping val="standard"/>
        <c:varyColors val="0"/>
        <c:ser>
          <c:idx val="0"/>
          <c:order val="0"/>
          <c:tx>
            <c:strRef>
              <c:f>'3'!$BH$2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'3'!$BH$4:$BH$33</c:f>
              <c:numCache>
                <c:formatCode>0.0000_);[Red]\(0.0000\)</c:formatCode>
                <c:ptCount val="30"/>
                <c:pt idx="0">
                  <c:v>0.0463735916662558</c:v>
                </c:pt>
                <c:pt idx="1">
                  <c:v>0.0483894383449806</c:v>
                </c:pt>
                <c:pt idx="2">
                  <c:v>0.0489271709917575</c:v>
                </c:pt>
                <c:pt idx="3">
                  <c:v>0.0411329549505043</c:v>
                </c:pt>
                <c:pt idx="4">
                  <c:v>0.0475909996186315</c:v>
                </c:pt>
                <c:pt idx="5">
                  <c:v>0.0449031383085286</c:v>
                </c:pt>
                <c:pt idx="6">
                  <c:v>0.0464226566036893</c:v>
                </c:pt>
                <c:pt idx="7">
                  <c:v>0.0449924812030089</c:v>
                </c:pt>
                <c:pt idx="8">
                  <c:v>0.0441543758672038</c:v>
                </c:pt>
                <c:pt idx="9">
                  <c:v>0.0451922207146068</c:v>
                </c:pt>
                <c:pt idx="10">
                  <c:v>0.0394723360655812</c:v>
                </c:pt>
                <c:pt idx="11">
                  <c:v>0.041897299007174</c:v>
                </c:pt>
                <c:pt idx="12">
                  <c:v>0.0430161564063507</c:v>
                </c:pt>
                <c:pt idx="13">
                  <c:v>0.0400077870790126</c:v>
                </c:pt>
                <c:pt idx="14">
                  <c:v>0.042881636479056</c:v>
                </c:pt>
                <c:pt idx="15">
                  <c:v>0.0422258592471395</c:v>
                </c:pt>
                <c:pt idx="16">
                  <c:v>0.042494044943236</c:v>
                </c:pt>
                <c:pt idx="17">
                  <c:v>0.0381102033306644</c:v>
                </c:pt>
                <c:pt idx="18">
                  <c:v>0.0449098220328902</c:v>
                </c:pt>
                <c:pt idx="19">
                  <c:v>0.0389208314904897</c:v>
                </c:pt>
                <c:pt idx="20">
                  <c:v>0.0392615096985235</c:v>
                </c:pt>
                <c:pt idx="21">
                  <c:v>0.0370165891106059</c:v>
                </c:pt>
                <c:pt idx="22">
                  <c:v>0.0410129930832842</c:v>
                </c:pt>
                <c:pt idx="23">
                  <c:v>0.0424541586991008</c:v>
                </c:pt>
                <c:pt idx="24">
                  <c:v>0.0393080012954403</c:v>
                </c:pt>
                <c:pt idx="25">
                  <c:v>0.0394525878971703</c:v>
                </c:pt>
                <c:pt idx="26">
                  <c:v>0.0428315315887425</c:v>
                </c:pt>
                <c:pt idx="27">
                  <c:v>0.0360707710181457</c:v>
                </c:pt>
                <c:pt idx="28">
                  <c:v>0.0452060793025247</c:v>
                </c:pt>
                <c:pt idx="29">
                  <c:v>0.0449362039491623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52096"/>
        <c:axId val="220057984"/>
      </c:lineChart>
      <c:catAx>
        <c:axId val="2200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050560"/>
        <c:crosses val="autoZero"/>
        <c:auto val="1"/>
        <c:lblAlgn val="ctr"/>
        <c:lblOffset val="100"/>
        <c:noMultiLvlLbl val="0"/>
      </c:catAx>
      <c:valAx>
        <c:axId val="2200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019712"/>
        <c:crosses val="autoZero"/>
        <c:crossBetween val="between"/>
      </c:valAx>
      <c:catAx>
        <c:axId val="220052096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057984"/>
        <c:crosses val="autoZero"/>
        <c:auto val="1"/>
        <c:lblAlgn val="ctr"/>
        <c:lblOffset val="100"/>
        <c:noMultiLvlLbl val="0"/>
      </c:catAx>
      <c:valAx>
        <c:axId val="22005798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052096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'4'!$BJ$2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'4'!$BJ$4:$BJ$32</c:f>
              <c:numCache>
                <c:formatCode>0.0000_);[Red]\(0.0000\)</c:formatCode>
                <c:ptCount val="29"/>
                <c:pt idx="0">
                  <c:v>0.0411880216003899</c:v>
                </c:pt>
                <c:pt idx="1">
                  <c:v>0.0403976551581104</c:v>
                </c:pt>
                <c:pt idx="2">
                  <c:v>0.0410529900101152</c:v>
                </c:pt>
                <c:pt idx="3">
                  <c:v>0.0400316323573545</c:v>
                </c:pt>
                <c:pt idx="4">
                  <c:v>0.0403320312499993</c:v>
                </c:pt>
                <c:pt idx="5">
                  <c:v>0.0402632554273953</c:v>
                </c:pt>
                <c:pt idx="6">
                  <c:v>0.0390690320913363</c:v>
                </c:pt>
                <c:pt idx="7">
                  <c:v>0.0416326691112052</c:v>
                </c:pt>
                <c:pt idx="8">
                  <c:v>0.0399699119482028</c:v>
                </c:pt>
                <c:pt idx="9">
                  <c:v>0.0381753750401576</c:v>
                </c:pt>
                <c:pt idx="10">
                  <c:v>0.0414688258101896</c:v>
                </c:pt>
                <c:pt idx="11">
                  <c:v>0.0410314937094101</c:v>
                </c:pt>
                <c:pt idx="12">
                  <c:v>0.0395906626173938</c:v>
                </c:pt>
                <c:pt idx="13">
                  <c:v>0.0406116196220826</c:v>
                </c:pt>
                <c:pt idx="14">
                  <c:v>0.0407022338117167</c:v>
                </c:pt>
                <c:pt idx="15">
                  <c:v>0.0421865658688986</c:v>
                </c:pt>
                <c:pt idx="16">
                  <c:v>0.0406594361762802</c:v>
                </c:pt>
                <c:pt idx="17">
                  <c:v>0.0406086450862514</c:v>
                </c:pt>
                <c:pt idx="18">
                  <c:v>0.0405124704750097</c:v>
                </c:pt>
                <c:pt idx="19">
                  <c:v>0.040040719375632</c:v>
                </c:pt>
                <c:pt idx="20">
                  <c:v>0.0409079932383538</c:v>
                </c:pt>
                <c:pt idx="21">
                  <c:v>0.039956447472248</c:v>
                </c:pt>
                <c:pt idx="22">
                  <c:v>0.0403701567716588</c:v>
                </c:pt>
                <c:pt idx="23">
                  <c:v>0.0401896953621092</c:v>
                </c:pt>
                <c:pt idx="24">
                  <c:v>0.039320265509121</c:v>
                </c:pt>
                <c:pt idx="25">
                  <c:v>0.0396601123457443</c:v>
                </c:pt>
                <c:pt idx="26">
                  <c:v>0.0395671122863662</c:v>
                </c:pt>
                <c:pt idx="27">
                  <c:v>0.039883329248903</c:v>
                </c:pt>
                <c:pt idx="28">
                  <c:v>0.0395530790772859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'4'!$BK$4:$BK$32</c:f>
              <c:numCache>
                <c:formatCode>0.0000_);[Red]\(0.0000\)</c:formatCode>
                <c:ptCount val="29"/>
                <c:pt idx="0">
                  <c:v>0.0559646539027964</c:v>
                </c:pt>
                <c:pt idx="1">
                  <c:v>0.049879745366371</c:v>
                </c:pt>
                <c:pt idx="2">
                  <c:v>0.0489182824886928</c:v>
                </c:pt>
                <c:pt idx="3">
                  <c:v>0.0491185673096332</c:v>
                </c:pt>
                <c:pt idx="4">
                  <c:v>0.0571289062500036</c:v>
                </c:pt>
                <c:pt idx="5">
                  <c:v>0.0814249935421506</c:v>
                </c:pt>
                <c:pt idx="6">
                  <c:v>0.0815838413321034</c:v>
                </c:pt>
                <c:pt idx="7">
                  <c:v>0.078153416631434</c:v>
                </c:pt>
                <c:pt idx="8">
                  <c:v>0.077186668829859</c:v>
                </c:pt>
                <c:pt idx="9">
                  <c:v>0.0853022173310975</c:v>
                </c:pt>
                <c:pt idx="10">
                  <c:v>0.0974517406539596</c:v>
                </c:pt>
                <c:pt idx="11">
                  <c:v>0.0940191842613032</c:v>
                </c:pt>
                <c:pt idx="12">
                  <c:v>0.0902065730522852</c:v>
                </c:pt>
                <c:pt idx="13">
                  <c:v>0.0584960754887051</c:v>
                </c:pt>
                <c:pt idx="14">
                  <c:v>0.0663937147283356</c:v>
                </c:pt>
                <c:pt idx="15">
                  <c:v>0.0761768846546978</c:v>
                </c:pt>
                <c:pt idx="16">
                  <c:v>0.0864375187120397</c:v>
                </c:pt>
                <c:pt idx="17">
                  <c:v>0.0785035859662672</c:v>
                </c:pt>
                <c:pt idx="18">
                  <c:v>0.0878997844245537</c:v>
                </c:pt>
                <c:pt idx="19">
                  <c:v>0.0916185951815344</c:v>
                </c:pt>
                <c:pt idx="20">
                  <c:v>0.093697174595511</c:v>
                </c:pt>
                <c:pt idx="21">
                  <c:v>0.0938976515598007</c:v>
                </c:pt>
                <c:pt idx="22">
                  <c:v>0.103703155009764</c:v>
                </c:pt>
                <c:pt idx="23">
                  <c:v>0.105564933151139</c:v>
                </c:pt>
                <c:pt idx="24">
                  <c:v>0.0841881922410614</c:v>
                </c:pt>
                <c:pt idx="25">
                  <c:v>0.0668373640523119</c:v>
                </c:pt>
                <c:pt idx="26">
                  <c:v>0.0719847216101019</c:v>
                </c:pt>
                <c:pt idx="27">
                  <c:v>0.0639094312060631</c:v>
                </c:pt>
                <c:pt idx="28">
                  <c:v>0.0332014897364073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'4'!$BL$2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'4'!$BL$4:$BL$32</c:f>
              <c:numCache>
                <c:formatCode>0.0000_);[Red]\(0.0000\)</c:formatCode>
                <c:ptCount val="29"/>
                <c:pt idx="0">
                  <c:v>0.0500736377025251</c:v>
                </c:pt>
                <c:pt idx="1">
                  <c:v>0.0493858865013556</c:v>
                </c:pt>
                <c:pt idx="2">
                  <c:v>0.0527550105270226</c:v>
                </c:pt>
                <c:pt idx="3">
                  <c:v>0.0530480526943776</c:v>
                </c:pt>
                <c:pt idx="4">
                  <c:v>0.0527343750000142</c:v>
                </c:pt>
                <c:pt idx="5">
                  <c:v>0.0527858578825091</c:v>
                </c:pt>
                <c:pt idx="6">
                  <c:v>0.0516866572414379</c:v>
                </c:pt>
                <c:pt idx="7">
                  <c:v>0.0580006488208316</c:v>
                </c:pt>
                <c:pt idx="8">
                  <c:v>0.0550631013308412</c:v>
                </c:pt>
                <c:pt idx="9">
                  <c:v>0.0494963483279262</c:v>
                </c:pt>
                <c:pt idx="10">
                  <c:v>0.0559829148437813</c:v>
                </c:pt>
                <c:pt idx="11">
                  <c:v>0.0554332762696508</c:v>
                </c:pt>
                <c:pt idx="12">
                  <c:v>0.0511170580629496</c:v>
                </c:pt>
                <c:pt idx="13">
                  <c:v>0.0517834110883766</c:v>
                </c:pt>
                <c:pt idx="14">
                  <c:v>0.051960298483062</c:v>
                </c:pt>
                <c:pt idx="15">
                  <c:v>0.0530345399494725</c:v>
                </c:pt>
                <c:pt idx="16">
                  <c:v>0.051186463594828</c:v>
                </c:pt>
                <c:pt idx="17">
                  <c:v>0.0523357239774939</c:v>
                </c:pt>
                <c:pt idx="18">
                  <c:v>0.0500881453145701</c:v>
                </c:pt>
                <c:pt idx="19">
                  <c:v>0.0513839740171533</c:v>
                </c:pt>
                <c:pt idx="20">
                  <c:v>0.0521613136923589</c:v>
                </c:pt>
                <c:pt idx="21">
                  <c:v>0.054940115274351</c:v>
                </c:pt>
                <c:pt idx="22">
                  <c:v>0.0539679684234321</c:v>
                </c:pt>
                <c:pt idx="23">
                  <c:v>0.0546579856924529</c:v>
                </c:pt>
                <c:pt idx="24">
                  <c:v>0.0525567905320057</c:v>
                </c:pt>
                <c:pt idx="25">
                  <c:v>0.0520938278642933</c:v>
                </c:pt>
                <c:pt idx="26">
                  <c:v>0.0558248861466209</c:v>
                </c:pt>
                <c:pt idx="27">
                  <c:v>0.0538184683840384</c:v>
                </c:pt>
                <c:pt idx="28">
                  <c:v>0.0500428251099569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'4'!$BO$2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'4'!$BO$4:$BO$33</c:f>
              <c:numCache>
                <c:formatCode>0.0000_);[Red]\(0.0000\)</c:formatCode>
                <c:ptCount val="30"/>
                <c:pt idx="0">
                  <c:v>0.0810505645557206</c:v>
                </c:pt>
                <c:pt idx="1">
                  <c:v>0.0835056077673604</c:v>
                </c:pt>
                <c:pt idx="2">
                  <c:v>0.0788409244597071</c:v>
                </c:pt>
                <c:pt idx="3">
                  <c:v>0.0754087892763844</c:v>
                </c:pt>
                <c:pt idx="4">
                  <c:v>0.0849218750000329</c:v>
                </c:pt>
                <c:pt idx="5">
                  <c:v>0.0950931614236678</c:v>
                </c:pt>
                <c:pt idx="6">
                  <c:v>0.0776009283328358</c:v>
                </c:pt>
                <c:pt idx="7">
                  <c:v>0.0675265180932954</c:v>
                </c:pt>
                <c:pt idx="8">
                  <c:v>0.0753086237665224</c:v>
                </c:pt>
                <c:pt idx="9">
                  <c:v>0.0816731871963652</c:v>
                </c:pt>
                <c:pt idx="10">
                  <c:v>0.0798896929232855</c:v>
                </c:pt>
                <c:pt idx="11">
                  <c:v>0.0848650851879142</c:v>
                </c:pt>
                <c:pt idx="12">
                  <c:v>0.0547253209849761</c:v>
                </c:pt>
                <c:pt idx="13">
                  <c:v>0.0500208572073766</c:v>
                </c:pt>
                <c:pt idx="14">
                  <c:v>0.0502706265545364</c:v>
                </c:pt>
                <c:pt idx="15">
                  <c:v>0.0529207567547194</c:v>
                </c:pt>
                <c:pt idx="16">
                  <c:v>0.0510860222322055</c:v>
                </c:pt>
                <c:pt idx="17">
                  <c:v>0.060186082574216</c:v>
                </c:pt>
                <c:pt idx="18">
                  <c:v>0.0556606970108648</c:v>
                </c:pt>
                <c:pt idx="19">
                  <c:v>0.0483823743273639</c:v>
                </c:pt>
                <c:pt idx="20">
                  <c:v>0.0473528133302013</c:v>
                </c:pt>
                <c:pt idx="21">
                  <c:v>0.0521151944380385</c:v>
                </c:pt>
                <c:pt idx="22">
                  <c:v>0.0528780271002849</c:v>
                </c:pt>
                <c:pt idx="23">
                  <c:v>0.0558497441257135</c:v>
                </c:pt>
                <c:pt idx="24">
                  <c:v>0.0455842563213965</c:v>
                </c:pt>
                <c:pt idx="25">
                  <c:v>0.0450660756146275</c:v>
                </c:pt>
                <c:pt idx="26">
                  <c:v>0.0531766318985849</c:v>
                </c:pt>
                <c:pt idx="27">
                  <c:v>0.0529535287136548</c:v>
                </c:pt>
                <c:pt idx="28">
                  <c:v>0.0597395848369881</c:v>
                </c:pt>
                <c:pt idx="29">
                  <c:v>0.0221949635616282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'4'!$BG$2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'4'!$BG$4:$BG$33</c:f>
              <c:numCache>
                <c:formatCode>0.0000_);[Red]\(0.0000\)</c:formatCode>
                <c:ptCount val="30"/>
                <c:pt idx="0">
                  <c:v>0.278841433480623</c:v>
                </c:pt>
                <c:pt idx="1">
                  <c:v>0.269646940297359</c:v>
                </c:pt>
                <c:pt idx="2">
                  <c:v>0.275285236750176</c:v>
                </c:pt>
                <c:pt idx="3">
                  <c:v>0.27162567722219</c:v>
                </c:pt>
                <c:pt idx="4">
                  <c:v>0.28710937500005</c:v>
                </c:pt>
                <c:pt idx="5">
                  <c:v>0.318961354013426</c:v>
                </c:pt>
                <c:pt idx="6">
                  <c:v>0.300998768641335</c:v>
                </c:pt>
                <c:pt idx="7">
                  <c:v>0.292460898715174</c:v>
                </c:pt>
                <c:pt idx="8">
                  <c:v>0.294489265153314</c:v>
                </c:pt>
                <c:pt idx="9">
                  <c:v>0.300663988247396</c:v>
                </c:pt>
                <c:pt idx="10">
                  <c:v>0.325530282609988</c:v>
                </c:pt>
                <c:pt idx="11">
                  <c:v>0.330969267139488</c:v>
                </c:pt>
                <c:pt idx="12">
                  <c:v>0.287658738511089</c:v>
                </c:pt>
                <c:pt idx="13">
                  <c:v>0.250765962955836</c:v>
                </c:pt>
                <c:pt idx="14">
                  <c:v>0.254028125917067</c:v>
                </c:pt>
                <c:pt idx="15">
                  <c:v>0.271440418105077</c:v>
                </c:pt>
                <c:pt idx="16">
                  <c:v>0.277179529277593</c:v>
                </c:pt>
                <c:pt idx="17">
                  <c:v>0.280577631323942</c:v>
                </c:pt>
                <c:pt idx="18">
                  <c:v>0.281377522208178</c:v>
                </c:pt>
                <c:pt idx="19">
                  <c:v>0.280188084735025</c:v>
                </c:pt>
                <c:pt idx="20">
                  <c:v>0.282540449166973</c:v>
                </c:pt>
                <c:pt idx="21">
                  <c:v>0.29417934451445</c:v>
                </c:pt>
                <c:pt idx="22">
                  <c:v>0.303702096814195</c:v>
                </c:pt>
                <c:pt idx="23">
                  <c:v>0.307585135171428</c:v>
                </c:pt>
                <c:pt idx="24">
                  <c:v>0.26765032215366</c:v>
                </c:pt>
                <c:pt idx="25">
                  <c:v>0.255063176052501</c:v>
                </c:pt>
                <c:pt idx="26">
                  <c:v>0.275696586846923</c:v>
                </c:pt>
                <c:pt idx="27">
                  <c:v>0.262845555411455</c:v>
                </c:pt>
                <c:pt idx="28">
                  <c:v>0.23096688512281</c:v>
                </c:pt>
                <c:pt idx="29">
                  <c:v>0.242441734612929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24288"/>
        <c:axId val="220126208"/>
      </c:lineChart>
      <c:lineChart>
        <c:grouping val="standard"/>
        <c:varyColors val="0"/>
        <c:ser>
          <c:idx val="0"/>
          <c:order val="0"/>
          <c:tx>
            <c:strRef>
              <c:f>'4'!$BH$2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'4'!$BH$4:$BH$33</c:f>
              <c:numCache>
                <c:formatCode>0.0000_);[Red]\(0.0000\)</c:formatCode>
                <c:ptCount val="30"/>
                <c:pt idx="0">
                  <c:v>0.0379185076092265</c:v>
                </c:pt>
                <c:pt idx="1">
                  <c:v>0.0384182688271366</c:v>
                </c:pt>
                <c:pt idx="2">
                  <c:v>0.0410376430979661</c:v>
                </c:pt>
                <c:pt idx="3">
                  <c:v>0.0416211091954884</c:v>
                </c:pt>
                <c:pt idx="4">
                  <c:v>0.0394140624999981</c:v>
                </c:pt>
                <c:pt idx="5">
                  <c:v>0.0349509765383664</c:v>
                </c:pt>
                <c:pt idx="6">
                  <c:v>0.0375995094834922</c:v>
                </c:pt>
                <c:pt idx="7">
                  <c:v>0.0341908909489449</c:v>
                </c:pt>
                <c:pt idx="8">
                  <c:v>0.0347487500184375</c:v>
                </c:pt>
                <c:pt idx="9">
                  <c:v>0.0318208864058825</c:v>
                </c:pt>
                <c:pt idx="10">
                  <c:v>0.0372390055775571</c:v>
                </c:pt>
                <c:pt idx="11">
                  <c:v>0.0403597728322635</c:v>
                </c:pt>
                <c:pt idx="12">
                  <c:v>0.0379268524922033</c:v>
                </c:pt>
                <c:pt idx="13">
                  <c:v>0.036467028830898</c:v>
                </c:pt>
                <c:pt idx="14">
                  <c:v>0.0310376182938745</c:v>
                </c:pt>
                <c:pt idx="15">
                  <c:v>0.0332555493414065</c:v>
                </c:pt>
                <c:pt idx="16">
                  <c:v>0.0344822923809429</c:v>
                </c:pt>
                <c:pt idx="17">
                  <c:v>0.035530141500292</c:v>
                </c:pt>
                <c:pt idx="18">
                  <c:v>0.0338203014127768</c:v>
                </c:pt>
                <c:pt idx="19">
                  <c:v>0.0354801493043776</c:v>
                </c:pt>
                <c:pt idx="20">
                  <c:v>0.0355740159381773</c:v>
                </c:pt>
                <c:pt idx="21">
                  <c:v>0.0402641121177918</c:v>
                </c:pt>
                <c:pt idx="22">
                  <c:v>0.0392167237210422</c:v>
                </c:pt>
                <c:pt idx="23">
                  <c:v>0.0377333011815733</c:v>
                </c:pt>
                <c:pt idx="24">
                  <c:v>0.0338738247717677</c:v>
                </c:pt>
                <c:pt idx="25">
                  <c:v>0.0391391740671014</c:v>
                </c:pt>
                <c:pt idx="26">
                  <c:v>0.0428029969149452</c:v>
                </c:pt>
                <c:pt idx="27">
                  <c:v>0.0411134656691007</c:v>
                </c:pt>
                <c:pt idx="28">
                  <c:v>0.0364773700570696</c:v>
                </c:pt>
                <c:pt idx="29">
                  <c:v>0.0404261971763179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132096"/>
        <c:axId val="220133632"/>
      </c:lineChart>
      <c:catAx>
        <c:axId val="2201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26208"/>
        <c:crosses val="autoZero"/>
        <c:auto val="1"/>
        <c:lblAlgn val="ctr"/>
        <c:lblOffset val="100"/>
        <c:noMultiLvlLbl val="0"/>
      </c:catAx>
      <c:valAx>
        <c:axId val="22012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24288"/>
        <c:crosses val="autoZero"/>
        <c:crossBetween val="between"/>
      </c:valAx>
      <c:catAx>
        <c:axId val="220132096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133632"/>
        <c:crosses val="autoZero"/>
        <c:auto val="1"/>
        <c:lblAlgn val="ctr"/>
        <c:lblOffset val="100"/>
        <c:noMultiLvlLbl val="0"/>
      </c:catAx>
      <c:valAx>
        <c:axId val="220133632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32096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'5'!$BJ$2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'5'!$BJ$4:$BJ$32</c:f>
              <c:numCache>
                <c:formatCode>0.0000_);[Red]\(0.0000\)</c:formatCode>
                <c:ptCount val="29"/>
                <c:pt idx="0">
                  <c:v>0.0398364102860919</c:v>
                </c:pt>
                <c:pt idx="1">
                  <c:v>0.0394616030787879</c:v>
                </c:pt>
                <c:pt idx="2">
                  <c:v>0.0389357874678176</c:v>
                </c:pt>
                <c:pt idx="3">
                  <c:v>0.0394428327305936</c:v>
                </c:pt>
                <c:pt idx="4">
                  <c:v>0.0398522454542818</c:v>
                </c:pt>
                <c:pt idx="5">
                  <c:v>0.039053804237357</c:v>
                </c:pt>
                <c:pt idx="6">
                  <c:v>0.0395184266151994</c:v>
                </c:pt>
                <c:pt idx="7">
                  <c:v>0.0352927986116838</c:v>
                </c:pt>
                <c:pt idx="8">
                  <c:v>0.0440483911903333</c:v>
                </c:pt>
                <c:pt idx="9">
                  <c:v>0.0387016708886578</c:v>
                </c:pt>
                <c:pt idx="10">
                  <c:v>0.0388523996690055</c:v>
                </c:pt>
                <c:pt idx="11">
                  <c:v>0.039061149711364</c:v>
                </c:pt>
                <c:pt idx="12">
                  <c:v>0.0386726389502258</c:v>
                </c:pt>
                <c:pt idx="13">
                  <c:v>0.0383242386218851</c:v>
                </c:pt>
                <c:pt idx="14">
                  <c:v>0.0381577610727291</c:v>
                </c:pt>
                <c:pt idx="15">
                  <c:v>0.0389496476130307</c:v>
                </c:pt>
                <c:pt idx="16">
                  <c:v>0.0390114810104252</c:v>
                </c:pt>
                <c:pt idx="17">
                  <c:v>0.0396000205380963</c:v>
                </c:pt>
                <c:pt idx="18">
                  <c:v>0.0384116567330331</c:v>
                </c:pt>
                <c:pt idx="19">
                  <c:v>0.0398057213198008</c:v>
                </c:pt>
                <c:pt idx="20">
                  <c:v>0.0371947636557538</c:v>
                </c:pt>
                <c:pt idx="21">
                  <c:v>0.0387139234625639</c:v>
                </c:pt>
                <c:pt idx="22">
                  <c:v>0.0368446215139554</c:v>
                </c:pt>
                <c:pt idx="23">
                  <c:v>0.0369573187317345</c:v>
                </c:pt>
                <c:pt idx="24">
                  <c:v>0.0370245512880194</c:v>
                </c:pt>
                <c:pt idx="25">
                  <c:v>0.0376057278300814</c:v>
                </c:pt>
                <c:pt idx="26">
                  <c:v>0.0367653424602089</c:v>
                </c:pt>
                <c:pt idx="27">
                  <c:v>0.0383583363824866</c:v>
                </c:pt>
                <c:pt idx="28">
                  <c:v>0.036617118943924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'5'!$BK$4:$BK$32</c:f>
              <c:numCache>
                <c:formatCode>0.0000_);[Red]\(0.0000\)</c:formatCode>
                <c:ptCount val="29"/>
                <c:pt idx="0">
                  <c:v>0.0675193394679476</c:v>
                </c:pt>
                <c:pt idx="1">
                  <c:v>0.0815604915118518</c:v>
                </c:pt>
                <c:pt idx="2">
                  <c:v>0.0795201636951601</c:v>
                </c:pt>
                <c:pt idx="3">
                  <c:v>0.0874299566824324</c:v>
                </c:pt>
                <c:pt idx="4">
                  <c:v>0.0913589270017437</c:v>
                </c:pt>
                <c:pt idx="5">
                  <c:v>0.0880767332242851</c:v>
                </c:pt>
                <c:pt idx="6">
                  <c:v>0.0730389524956649</c:v>
                </c:pt>
                <c:pt idx="7">
                  <c:v>0.07994501342979</c:v>
                </c:pt>
                <c:pt idx="8">
                  <c:v>0.0857279828543973</c:v>
                </c:pt>
                <c:pt idx="9">
                  <c:v>0.0716460684219942</c:v>
                </c:pt>
                <c:pt idx="10">
                  <c:v>0.0833936698386406</c:v>
                </c:pt>
                <c:pt idx="11">
                  <c:v>0.0691347782501988</c:v>
                </c:pt>
                <c:pt idx="12">
                  <c:v>0.0630875023657813</c:v>
                </c:pt>
                <c:pt idx="13">
                  <c:v>0.0768430165261173</c:v>
                </c:pt>
                <c:pt idx="14">
                  <c:v>0.106029053230393</c:v>
                </c:pt>
                <c:pt idx="15">
                  <c:v>0.0778992952260658</c:v>
                </c:pt>
                <c:pt idx="16">
                  <c:v>0.0809887471268843</c:v>
                </c:pt>
                <c:pt idx="17">
                  <c:v>0.0815105771205691</c:v>
                </c:pt>
                <c:pt idx="18">
                  <c:v>0.0871703649107338</c:v>
                </c:pt>
                <c:pt idx="19">
                  <c:v>0.0829564612379221</c:v>
                </c:pt>
                <c:pt idx="20">
                  <c:v>0.0769337945322475</c:v>
                </c:pt>
                <c:pt idx="21">
                  <c:v>0.0838801675022422</c:v>
                </c:pt>
                <c:pt idx="22">
                  <c:v>0.0854183266932306</c:v>
                </c:pt>
                <c:pt idx="23">
                  <c:v>0.0762799058623102</c:v>
                </c:pt>
                <c:pt idx="24">
                  <c:v>0.077304008183769</c:v>
                </c:pt>
                <c:pt idx="25">
                  <c:v>0.0832960746724833</c:v>
                </c:pt>
                <c:pt idx="26">
                  <c:v>0.0779171308026619</c:v>
                </c:pt>
                <c:pt idx="27">
                  <c:v>0.0859860958653516</c:v>
                </c:pt>
                <c:pt idx="28">
                  <c:v>0.0811101511117338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'5'!$BL$2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'5'!$BL$4:$BL$32</c:f>
              <c:numCache>
                <c:formatCode>0.0000_);[Red]\(0.0000\)</c:formatCode>
                <c:ptCount val="29"/>
                <c:pt idx="0">
                  <c:v>0.0520863475895736</c:v>
                </c:pt>
                <c:pt idx="1">
                  <c:v>0.0527457070854853</c:v>
                </c:pt>
                <c:pt idx="2">
                  <c:v>0.0513971789737332</c:v>
                </c:pt>
                <c:pt idx="3">
                  <c:v>0.0536502006914698</c:v>
                </c:pt>
                <c:pt idx="4">
                  <c:v>0.0543215241632016</c:v>
                </c:pt>
                <c:pt idx="5">
                  <c:v>0.0483938094638934</c:v>
                </c:pt>
                <c:pt idx="6">
                  <c:v>0.0512723772486011</c:v>
                </c:pt>
                <c:pt idx="7">
                  <c:v>0.0526467161610936</c:v>
                </c:pt>
                <c:pt idx="8">
                  <c:v>0.054143989171194</c:v>
                </c:pt>
                <c:pt idx="9">
                  <c:v>0.0524551572375602</c:v>
                </c:pt>
                <c:pt idx="10">
                  <c:v>0.0517170045510964</c:v>
                </c:pt>
                <c:pt idx="11">
                  <c:v>0.0530033299918023</c:v>
                </c:pt>
                <c:pt idx="12">
                  <c:v>0.0517317519399223</c:v>
                </c:pt>
                <c:pt idx="13">
                  <c:v>0.051552909821344</c:v>
                </c:pt>
                <c:pt idx="14">
                  <c:v>0.0533319788703409</c:v>
                </c:pt>
                <c:pt idx="15">
                  <c:v>0.0552042249633505</c:v>
                </c:pt>
                <c:pt idx="16">
                  <c:v>0.0524715826456193</c:v>
                </c:pt>
                <c:pt idx="17">
                  <c:v>0.0564797699732725</c:v>
                </c:pt>
                <c:pt idx="18">
                  <c:v>0.0481917464547381</c:v>
                </c:pt>
                <c:pt idx="19">
                  <c:v>0.0575343198908089</c:v>
                </c:pt>
                <c:pt idx="20">
                  <c:v>0.0496737885956515</c:v>
                </c:pt>
                <c:pt idx="21">
                  <c:v>0.0619422775401079</c:v>
                </c:pt>
                <c:pt idx="22">
                  <c:v>0.048446215139433</c:v>
                </c:pt>
                <c:pt idx="23">
                  <c:v>0.0461227337772326</c:v>
                </c:pt>
                <c:pt idx="24">
                  <c:v>0.0453361852506024</c:v>
                </c:pt>
                <c:pt idx="25">
                  <c:v>0.0538974600822115</c:v>
                </c:pt>
                <c:pt idx="26">
                  <c:v>0.0438644588222309</c:v>
                </c:pt>
                <c:pt idx="27">
                  <c:v>0.0475667764361685</c:v>
                </c:pt>
                <c:pt idx="28">
                  <c:v>0.0458448680196524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'5'!$BO$2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'5'!$BO$4:$BO$33</c:f>
              <c:numCache>
                <c:formatCode>0.0000_);[Red]\(0.0000\)</c:formatCode>
                <c:ptCount val="30"/>
                <c:pt idx="0">
                  <c:v>0.0559253043192791</c:v>
                </c:pt>
                <c:pt idx="1">
                  <c:v>0.0445408193165776</c:v>
                </c:pt>
                <c:pt idx="2">
                  <c:v>0.0642038043610515</c:v>
                </c:pt>
                <c:pt idx="3">
                  <c:v>0.0531295950403871</c:v>
                </c:pt>
                <c:pt idx="4">
                  <c:v>0.0497920967120704</c:v>
                </c:pt>
                <c:pt idx="5">
                  <c:v>0.0532041541245694</c:v>
                </c:pt>
                <c:pt idx="6">
                  <c:v>0.0574889111391317</c:v>
                </c:pt>
                <c:pt idx="7">
                  <c:v>0.060656816531112</c:v>
                </c:pt>
                <c:pt idx="8">
                  <c:v>0.075876032824754</c:v>
                </c:pt>
                <c:pt idx="9">
                  <c:v>0.101796269286769</c:v>
                </c:pt>
                <c:pt idx="10">
                  <c:v>0.0769730037238012</c:v>
                </c:pt>
                <c:pt idx="11">
                  <c:v>0.0719232143063292</c:v>
                </c:pt>
                <c:pt idx="12">
                  <c:v>0.0952949340735309</c:v>
                </c:pt>
                <c:pt idx="13">
                  <c:v>0.0579454706391175</c:v>
                </c:pt>
                <c:pt idx="14">
                  <c:v>0.0507136326697148</c:v>
                </c:pt>
                <c:pt idx="15">
                  <c:v>0.0758260698883942</c:v>
                </c:pt>
                <c:pt idx="16">
                  <c:v>0.0673826376095879</c:v>
                </c:pt>
                <c:pt idx="17">
                  <c:v>0.0793309714520233</c:v>
                </c:pt>
                <c:pt idx="18">
                  <c:v>0.0900562000808365</c:v>
                </c:pt>
                <c:pt idx="19">
                  <c:v>0.0704193315315757</c:v>
                </c:pt>
                <c:pt idx="20">
                  <c:v>0.0619347334879671</c:v>
                </c:pt>
                <c:pt idx="21">
                  <c:v>0.0787441203229151</c:v>
                </c:pt>
                <c:pt idx="22">
                  <c:v>0.0776057370516902</c:v>
                </c:pt>
                <c:pt idx="23">
                  <c:v>0.0736189789136664</c:v>
                </c:pt>
                <c:pt idx="24">
                  <c:v>0.0774737282618198</c:v>
                </c:pt>
                <c:pt idx="25">
                  <c:v>0.0814096635696135</c:v>
                </c:pt>
                <c:pt idx="26">
                  <c:v>0.0655034889559353</c:v>
                </c:pt>
                <c:pt idx="27">
                  <c:v>0.0756067813147712</c:v>
                </c:pt>
                <c:pt idx="28">
                  <c:v>0.0755687996286195</c:v>
                </c:pt>
                <c:pt idx="29">
                  <c:v>0.0743057750861976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'5'!$BG$2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'5'!$BG$4:$BG$33</c:f>
              <c:numCache>
                <c:formatCode>0.0000_);[Red]\(0.0000\)</c:formatCode>
                <c:ptCount val="30"/>
                <c:pt idx="0">
                  <c:v>0.260914018943991</c:v>
                </c:pt>
                <c:pt idx="1">
                  <c:v>0.272519486608359</c:v>
                </c:pt>
                <c:pt idx="2">
                  <c:v>0.2860786376839</c:v>
                </c:pt>
                <c:pt idx="3">
                  <c:v>0.283153836982908</c:v>
                </c:pt>
                <c:pt idx="4">
                  <c:v>0.28395342176219</c:v>
                </c:pt>
                <c:pt idx="5">
                  <c:v>0.276328652038789</c:v>
                </c:pt>
                <c:pt idx="6">
                  <c:v>0.268454428046923</c:v>
                </c:pt>
                <c:pt idx="7">
                  <c:v>0.278832607816144</c:v>
                </c:pt>
                <c:pt idx="8">
                  <c:v>0.313019937395972</c:v>
                </c:pt>
                <c:pt idx="9">
                  <c:v>0.321767610859422</c:v>
                </c:pt>
                <c:pt idx="10">
                  <c:v>0.309009102192961</c:v>
                </c:pt>
                <c:pt idx="11">
                  <c:v>0.28921382234669</c:v>
                </c:pt>
                <c:pt idx="12">
                  <c:v>0.302820011355705</c:v>
                </c:pt>
                <c:pt idx="13">
                  <c:v>0.275273084517584</c:v>
                </c:pt>
                <c:pt idx="14">
                  <c:v>0.302849451442531</c:v>
                </c:pt>
                <c:pt idx="15">
                  <c:v>0.304849997853017</c:v>
                </c:pt>
                <c:pt idx="16">
                  <c:v>0.291445420998932</c:v>
                </c:pt>
                <c:pt idx="17">
                  <c:v>0.313847812692507</c:v>
                </c:pt>
                <c:pt idx="18">
                  <c:v>0.321750777800676</c:v>
                </c:pt>
                <c:pt idx="19">
                  <c:v>0.309748722202964</c:v>
                </c:pt>
                <c:pt idx="20">
                  <c:v>0.28229250592147</c:v>
                </c:pt>
                <c:pt idx="21">
                  <c:v>0.323906492970225</c:v>
                </c:pt>
                <c:pt idx="22">
                  <c:v>0.303426294820615</c:v>
                </c:pt>
                <c:pt idx="23">
                  <c:v>0.287380110458069</c:v>
                </c:pt>
                <c:pt idx="24">
                  <c:v>0.292360271552057</c:v>
                </c:pt>
                <c:pt idx="25">
                  <c:v>0.312972751159137</c:v>
                </c:pt>
                <c:pt idx="26">
                  <c:v>0.281078834821396</c:v>
                </c:pt>
                <c:pt idx="27">
                  <c:v>0.304915233565069</c:v>
                </c:pt>
                <c:pt idx="28">
                  <c:v>0.296228377973355</c:v>
                </c:pt>
                <c:pt idx="29">
                  <c:v>0.296712865137191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761856"/>
        <c:axId val="218784512"/>
      </c:lineChart>
      <c:lineChart>
        <c:grouping val="standard"/>
        <c:varyColors val="0"/>
        <c:ser>
          <c:idx val="0"/>
          <c:order val="0"/>
          <c:tx>
            <c:strRef>
              <c:f>'5'!$BH$2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'5'!$BH$4:$BH$33</c:f>
              <c:numCache>
                <c:formatCode>0.0000_);[Red]\(0.0000\)</c:formatCode>
                <c:ptCount val="30"/>
                <c:pt idx="0">
                  <c:v>0.0336632135347356</c:v>
                </c:pt>
                <c:pt idx="1">
                  <c:v>0.0417277149387568</c:v>
                </c:pt>
                <c:pt idx="2">
                  <c:v>0.0401906544412474</c:v>
                </c:pt>
                <c:pt idx="3">
                  <c:v>0.0373604101259863</c:v>
                </c:pt>
                <c:pt idx="4">
                  <c:v>0.0366186332704461</c:v>
                </c:pt>
                <c:pt idx="5">
                  <c:v>0.0360630668124936</c:v>
                </c:pt>
                <c:pt idx="6">
                  <c:v>0.0356623568847684</c:v>
                </c:pt>
                <c:pt idx="7">
                  <c:v>0.0385334964731594</c:v>
                </c:pt>
                <c:pt idx="8">
                  <c:v>0.0397552240489538</c:v>
                </c:pt>
                <c:pt idx="9">
                  <c:v>0.0417389524321325</c:v>
                </c:pt>
                <c:pt idx="10">
                  <c:v>0.0429975175837756</c:v>
                </c:pt>
                <c:pt idx="11">
                  <c:v>0.0448223812322114</c:v>
                </c:pt>
                <c:pt idx="12">
                  <c:v>0.0398511134944172</c:v>
                </c:pt>
                <c:pt idx="13">
                  <c:v>0.0386821909013964</c:v>
                </c:pt>
                <c:pt idx="14">
                  <c:v>0.0399126371393751</c:v>
                </c:pt>
                <c:pt idx="15">
                  <c:v>0.0425195208273307</c:v>
                </c:pt>
                <c:pt idx="16">
                  <c:v>0.0381080572396552</c:v>
                </c:pt>
                <c:pt idx="17">
                  <c:v>0.04157424522489</c:v>
                </c:pt>
                <c:pt idx="18">
                  <c:v>0.040911957931438</c:v>
                </c:pt>
                <c:pt idx="19">
                  <c:v>0.0429767989509998</c:v>
                </c:pt>
                <c:pt idx="20">
                  <c:v>0.0420652180497565</c:v>
                </c:pt>
                <c:pt idx="21">
                  <c:v>0.045630811121228</c:v>
                </c:pt>
                <c:pt idx="22">
                  <c:v>0.0401440637450159</c:v>
                </c:pt>
                <c:pt idx="23">
                  <c:v>0.0406589637759157</c:v>
                </c:pt>
                <c:pt idx="24">
                  <c:v>0.0414116990607304</c:v>
                </c:pt>
                <c:pt idx="25">
                  <c:v>0.0421625130915702</c:v>
                </c:pt>
                <c:pt idx="26">
                  <c:v>0.0435227777745672</c:v>
                </c:pt>
                <c:pt idx="27">
                  <c:v>0.0427125259177945</c:v>
                </c:pt>
                <c:pt idx="28">
                  <c:v>0.0430988779762455</c:v>
                </c:pt>
                <c:pt idx="29">
                  <c:v>0.0451890920586312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786048"/>
        <c:axId val="218791936"/>
      </c:lineChart>
      <c:catAx>
        <c:axId val="2187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784512"/>
        <c:crosses val="autoZero"/>
        <c:auto val="1"/>
        <c:lblAlgn val="ctr"/>
        <c:lblOffset val="100"/>
        <c:noMultiLvlLbl val="0"/>
      </c:catAx>
      <c:valAx>
        <c:axId val="2187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761856"/>
        <c:crosses val="autoZero"/>
        <c:crossBetween val="between"/>
      </c:valAx>
      <c:catAx>
        <c:axId val="218786048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8791936"/>
        <c:crosses val="autoZero"/>
        <c:auto val="1"/>
        <c:lblAlgn val="ctr"/>
        <c:lblOffset val="100"/>
        <c:noMultiLvlLbl val="0"/>
      </c:catAx>
      <c:valAx>
        <c:axId val="218791936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786048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'6'!$BJ$2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'6'!$BJ$4:$BJ$32</c:f>
              <c:numCache>
                <c:formatCode>0.0000_);[Red]\(0.0000\)</c:formatCode>
                <c:ptCount val="29"/>
                <c:pt idx="0">
                  <c:v>0.0390283744035821</c:v>
                </c:pt>
                <c:pt idx="1">
                  <c:v>0.0378546531239521</c:v>
                </c:pt>
                <c:pt idx="2">
                  <c:v>0.0395118258525579</c:v>
                </c:pt>
                <c:pt idx="3">
                  <c:v>0.0400654650569523</c:v>
                </c:pt>
                <c:pt idx="4">
                  <c:v>0.0400397983037464</c:v>
                </c:pt>
                <c:pt idx="5">
                  <c:v>0.0400320649955464</c:v>
                </c:pt>
                <c:pt idx="6">
                  <c:v>0.0398956129350845</c:v>
                </c:pt>
                <c:pt idx="7">
                  <c:v>0.0388579070026586</c:v>
                </c:pt>
                <c:pt idx="8">
                  <c:v>0.0394753412316306</c:v>
                </c:pt>
                <c:pt idx="9">
                  <c:v>0.0396053072158105</c:v>
                </c:pt>
                <c:pt idx="10">
                  <c:v>0.0393129998968274</c:v>
                </c:pt>
                <c:pt idx="11">
                  <c:v>0.0409238528493444</c:v>
                </c:pt>
                <c:pt idx="12">
                  <c:v>0.0388416531533394</c:v>
                </c:pt>
                <c:pt idx="13">
                  <c:v>0.0396570488148072</c:v>
                </c:pt>
                <c:pt idx="14">
                  <c:v>0.0391017763378393</c:v>
                </c:pt>
                <c:pt idx="15">
                  <c:v>0.0401701204601487</c:v>
                </c:pt>
                <c:pt idx="16">
                  <c:v>0.0387192056004448</c:v>
                </c:pt>
                <c:pt idx="17">
                  <c:v>0.0409979797380997</c:v>
                </c:pt>
                <c:pt idx="18">
                  <c:v>0.0381052298190744</c:v>
                </c:pt>
                <c:pt idx="19">
                  <c:v>0.0382027033357147</c:v>
                </c:pt>
                <c:pt idx="20">
                  <c:v>0.0395683453237353</c:v>
                </c:pt>
                <c:pt idx="21">
                  <c:v>0.0393807058642121</c:v>
                </c:pt>
                <c:pt idx="22">
                  <c:v>0.0402822656600972</c:v>
                </c:pt>
                <c:pt idx="23">
                  <c:v>0.0393645025958063</c:v>
                </c:pt>
                <c:pt idx="24">
                  <c:v>0.0389403220287466</c:v>
                </c:pt>
                <c:pt idx="25">
                  <c:v>0.0388839719687229</c:v>
                </c:pt>
                <c:pt idx="26">
                  <c:v>0.0388360969231068</c:v>
                </c:pt>
                <c:pt idx="27">
                  <c:v>0.0382976663116061</c:v>
                </c:pt>
                <c:pt idx="28">
                  <c:v>0.0392215081364248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'6'!$BK$2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'6'!$BK$4:$BK$32</c:f>
              <c:numCache>
                <c:formatCode>0.0000_);[Red]\(0.0000\)</c:formatCode>
                <c:ptCount val="29"/>
                <c:pt idx="0">
                  <c:v>0.0434222973496872</c:v>
                </c:pt>
                <c:pt idx="1">
                  <c:v>0.0915579304695223</c:v>
                </c:pt>
                <c:pt idx="2">
                  <c:v>0.0855474111137702</c:v>
                </c:pt>
                <c:pt idx="3">
                  <c:v>0.10680581533753</c:v>
                </c:pt>
                <c:pt idx="4">
                  <c:v>0.0946658681246472</c:v>
                </c:pt>
                <c:pt idx="5">
                  <c:v>0.0732773671294434</c:v>
                </c:pt>
                <c:pt idx="6">
                  <c:v>0.0774672095826982</c:v>
                </c:pt>
                <c:pt idx="7">
                  <c:v>0.0770374964267225</c:v>
                </c:pt>
                <c:pt idx="8">
                  <c:v>0.0716852822365773</c:v>
                </c:pt>
                <c:pt idx="9">
                  <c:v>0.0523187677883763</c:v>
                </c:pt>
                <c:pt idx="10">
                  <c:v>0.0488697512529661</c:v>
                </c:pt>
                <c:pt idx="11">
                  <c:v>0.0638261925173107</c:v>
                </c:pt>
                <c:pt idx="12">
                  <c:v>0.0525923653416332</c:v>
                </c:pt>
                <c:pt idx="13">
                  <c:v>0.0514957661986028</c:v>
                </c:pt>
                <c:pt idx="14">
                  <c:v>0.0516037048268074</c:v>
                </c:pt>
                <c:pt idx="15">
                  <c:v>0.0492083975636831</c:v>
                </c:pt>
                <c:pt idx="16">
                  <c:v>0.0485811864497355</c:v>
                </c:pt>
                <c:pt idx="17">
                  <c:v>0.0513709625634137</c:v>
                </c:pt>
                <c:pt idx="18">
                  <c:v>0.0791796983253494</c:v>
                </c:pt>
                <c:pt idx="19">
                  <c:v>0.0666205180786236</c:v>
                </c:pt>
                <c:pt idx="20">
                  <c:v>0.05863802108998</c:v>
                </c:pt>
                <c:pt idx="21">
                  <c:v>0.0592879659889531</c:v>
                </c:pt>
                <c:pt idx="22">
                  <c:v>0.0801781306903504</c:v>
                </c:pt>
                <c:pt idx="23">
                  <c:v>0.0454205799182438</c:v>
                </c:pt>
                <c:pt idx="24">
                  <c:v>0.0612057041788547</c:v>
                </c:pt>
                <c:pt idx="25">
                  <c:v>0.0590030420420891</c:v>
                </c:pt>
                <c:pt idx="26">
                  <c:v>0.079638578500537</c:v>
                </c:pt>
                <c:pt idx="27">
                  <c:v>0.0663309770504494</c:v>
                </c:pt>
                <c:pt idx="28">
                  <c:v>0.0895533824360383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'6'!$BL$2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'6'!$BL$4:$BL$32</c:f>
              <c:numCache>
                <c:formatCode>0.0000_);[Red]\(0.0000\)</c:formatCode>
                <c:ptCount val="29"/>
                <c:pt idx="0">
                  <c:v>0.046523890017524</c:v>
                </c:pt>
                <c:pt idx="1">
                  <c:v>0.042834119517902</c:v>
                </c:pt>
                <c:pt idx="2">
                  <c:v>0.0480050220638646</c:v>
                </c:pt>
                <c:pt idx="3">
                  <c:v>0.0467607549736594</c:v>
                </c:pt>
                <c:pt idx="4">
                  <c:v>0.046366955816148</c:v>
                </c:pt>
                <c:pt idx="5">
                  <c:v>0.0472122633854072</c:v>
                </c:pt>
                <c:pt idx="6">
                  <c:v>0.0493853461089532</c:v>
                </c:pt>
                <c:pt idx="7">
                  <c:v>0.0465132053897459</c:v>
                </c:pt>
                <c:pt idx="8">
                  <c:v>0.047467281480958</c:v>
                </c:pt>
                <c:pt idx="9">
                  <c:v>0.0460405156537905</c:v>
                </c:pt>
                <c:pt idx="10">
                  <c:v>0.0466977623083819</c:v>
                </c:pt>
                <c:pt idx="11">
                  <c:v>0.0525627467789765</c:v>
                </c:pt>
                <c:pt idx="12">
                  <c:v>0.04711399395187</c:v>
                </c:pt>
                <c:pt idx="13">
                  <c:v>0.0499031136357681</c:v>
                </c:pt>
                <c:pt idx="14">
                  <c:v>0.0489437200419059</c:v>
                </c:pt>
                <c:pt idx="15">
                  <c:v>0.0522211565982007</c:v>
                </c:pt>
                <c:pt idx="16">
                  <c:v>0.049552810178716</c:v>
                </c:pt>
                <c:pt idx="17">
                  <c:v>0.0503830594372132</c:v>
                </c:pt>
                <c:pt idx="18">
                  <c:v>0.0484975652242549</c:v>
                </c:pt>
                <c:pt idx="19">
                  <c:v>0.0458016061790682</c:v>
                </c:pt>
                <c:pt idx="20">
                  <c:v>0.0473046220557729</c:v>
                </c:pt>
                <c:pt idx="21">
                  <c:v>0.0462735344303947</c:v>
                </c:pt>
                <c:pt idx="22">
                  <c:v>0.0483000787291283</c:v>
                </c:pt>
                <c:pt idx="23">
                  <c:v>0.0459089732507043</c:v>
                </c:pt>
                <c:pt idx="24">
                  <c:v>0.0462657291430649</c:v>
                </c:pt>
                <c:pt idx="25">
                  <c:v>0.0464286232462595</c:v>
                </c:pt>
                <c:pt idx="26">
                  <c:v>0.0442436547225185</c:v>
                </c:pt>
                <c:pt idx="27">
                  <c:v>0.0445434298440839</c:v>
                </c:pt>
                <c:pt idx="28">
                  <c:v>0.0478895093240875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'6'!$BO$2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'6'!$BO$4:$BO$33</c:f>
              <c:numCache>
                <c:formatCode>0.0000_);[Red]\(0.0000\)</c:formatCode>
                <c:ptCount val="30"/>
                <c:pt idx="0">
                  <c:v>0.0914659677744026</c:v>
                </c:pt>
                <c:pt idx="1">
                  <c:v>0.0496169023436107</c:v>
                </c:pt>
                <c:pt idx="2">
                  <c:v>0.07635506483738</c:v>
                </c:pt>
                <c:pt idx="3">
                  <c:v>0.0595434449923052</c:v>
                </c:pt>
                <c:pt idx="4">
                  <c:v>0.0511755955256004</c:v>
                </c:pt>
                <c:pt idx="5">
                  <c:v>0.0570796264331338</c:v>
                </c:pt>
                <c:pt idx="6">
                  <c:v>0.0470729499029296</c:v>
                </c:pt>
                <c:pt idx="7">
                  <c:v>0.0567073495708265</c:v>
                </c:pt>
                <c:pt idx="8">
                  <c:v>0.0628912418021949</c:v>
                </c:pt>
                <c:pt idx="9">
                  <c:v>0.0868721747866676</c:v>
                </c:pt>
                <c:pt idx="10">
                  <c:v>0.089559792140579</c:v>
                </c:pt>
                <c:pt idx="11">
                  <c:v>0.10345349761268</c:v>
                </c:pt>
                <c:pt idx="12">
                  <c:v>0.0904785905246314</c:v>
                </c:pt>
                <c:pt idx="13">
                  <c:v>0.092240065829674</c:v>
                </c:pt>
                <c:pt idx="14">
                  <c:v>0.0924717110618112</c:v>
                </c:pt>
                <c:pt idx="15">
                  <c:v>0.0885710986026935</c:v>
                </c:pt>
                <c:pt idx="16">
                  <c:v>0.084960722110676</c:v>
                </c:pt>
                <c:pt idx="17">
                  <c:v>0.0862953138815738</c:v>
                </c:pt>
                <c:pt idx="18">
                  <c:v>0.069591036858157</c:v>
                </c:pt>
                <c:pt idx="19">
                  <c:v>0.0987774093986648</c:v>
                </c:pt>
                <c:pt idx="20">
                  <c:v>0.0848112742682276</c:v>
                </c:pt>
                <c:pt idx="21">
                  <c:v>0.0850835333699048</c:v>
                </c:pt>
                <c:pt idx="22">
                  <c:v>0.0705451629886547</c:v>
                </c:pt>
                <c:pt idx="23">
                  <c:v>0.0841208675820006</c:v>
                </c:pt>
                <c:pt idx="24">
                  <c:v>0.054227290032996</c:v>
                </c:pt>
                <c:pt idx="25">
                  <c:v>0.0806078280594024</c:v>
                </c:pt>
                <c:pt idx="26">
                  <c:v>0.0752496079519637</c:v>
                </c:pt>
                <c:pt idx="27">
                  <c:v>0.0836506245763795</c:v>
                </c:pt>
                <c:pt idx="28">
                  <c:v>0.0675950846208746</c:v>
                </c:pt>
                <c:pt idx="29">
                  <c:v>0.0661015124074868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'6'!$BG$2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'6'!$BG$4:$BG$33</c:f>
              <c:numCache>
                <c:formatCode>0.0000_);[Red]\(0.0000\)</c:formatCode>
                <c:ptCount val="30"/>
                <c:pt idx="0">
                  <c:v>0.277592543771174</c:v>
                </c:pt>
                <c:pt idx="1">
                  <c:v>0.279492629854373</c:v>
                </c:pt>
                <c:pt idx="2">
                  <c:v>0.305878153406666</c:v>
                </c:pt>
                <c:pt idx="3">
                  <c:v>0.308195885053524</c:v>
                </c:pt>
                <c:pt idx="4">
                  <c:v>0.282065647881617</c:v>
                </c:pt>
                <c:pt idx="5">
                  <c:v>0.265077187132841</c:v>
                </c:pt>
                <c:pt idx="6">
                  <c:v>0.26629353294051</c:v>
                </c:pt>
                <c:pt idx="7">
                  <c:v>0.269388981215335</c:v>
                </c:pt>
                <c:pt idx="8">
                  <c:v>0.268819808387143</c:v>
                </c:pt>
                <c:pt idx="9">
                  <c:v>0.27258078017761</c:v>
                </c:pt>
                <c:pt idx="10">
                  <c:v>0.272041615308091</c:v>
                </c:pt>
                <c:pt idx="11">
                  <c:v>0.319130962586497</c:v>
                </c:pt>
                <c:pt idx="12">
                  <c:v>0.278849103738449</c:v>
                </c:pt>
                <c:pt idx="13">
                  <c:v>0.280837735248102</c:v>
                </c:pt>
                <c:pt idx="14">
                  <c:v>0.27823440849916</c:v>
                </c:pt>
                <c:pt idx="15">
                  <c:v>0.277675957680902</c:v>
                </c:pt>
                <c:pt idx="16">
                  <c:v>0.271083020389432</c:v>
                </c:pt>
                <c:pt idx="17">
                  <c:v>0.279082633157064</c:v>
                </c:pt>
                <c:pt idx="18">
                  <c:v>0.30038798052178</c:v>
                </c:pt>
                <c:pt idx="19">
                  <c:v>0.294587603378902</c:v>
                </c:pt>
                <c:pt idx="20">
                  <c:v>0.281363949935899</c:v>
                </c:pt>
                <c:pt idx="21">
                  <c:v>0.274267094696797</c:v>
                </c:pt>
                <c:pt idx="22">
                  <c:v>0.291732475523977</c:v>
                </c:pt>
                <c:pt idx="23">
                  <c:v>0.260313646198187</c:v>
                </c:pt>
                <c:pt idx="24">
                  <c:v>0.251569902215334</c:v>
                </c:pt>
                <c:pt idx="25">
                  <c:v>0.282924422906828</c:v>
                </c:pt>
                <c:pt idx="26">
                  <c:v>0.291024928841369</c:v>
                </c:pt>
                <c:pt idx="27">
                  <c:v>0.28275394596689</c:v>
                </c:pt>
                <c:pt idx="28">
                  <c:v>0.292126006877038</c:v>
                </c:pt>
                <c:pt idx="29">
                  <c:v>0.264304243551359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291840"/>
        <c:axId val="220293760"/>
      </c:lineChart>
      <c:lineChart>
        <c:grouping val="standard"/>
        <c:varyColors val="0"/>
        <c:ser>
          <c:idx val="0"/>
          <c:order val="0"/>
          <c:tx>
            <c:strRef>
              <c:f>'6'!$BH$2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'6'!$BH$4:$BH$33</c:f>
              <c:numCache>
                <c:formatCode>0.0000_);[Red]\(0.0000\)</c:formatCode>
                <c:ptCount val="30"/>
                <c:pt idx="0">
                  <c:v>0.0424918195493431</c:v>
                </c:pt>
                <c:pt idx="1">
                  <c:v>0.0438364379146225</c:v>
                </c:pt>
                <c:pt idx="2">
                  <c:v>0.0421804127201027</c:v>
                </c:pt>
                <c:pt idx="3">
                  <c:v>0.0429051181771786</c:v>
                </c:pt>
                <c:pt idx="4">
                  <c:v>0.0390757520140643</c:v>
                </c:pt>
                <c:pt idx="5">
                  <c:v>0.036695731716307</c:v>
                </c:pt>
                <c:pt idx="6">
                  <c:v>0.0413171362309354</c:v>
                </c:pt>
                <c:pt idx="7">
                  <c:v>0.0393618000610462</c:v>
                </c:pt>
                <c:pt idx="8">
                  <c:v>0.0362572532912304</c:v>
                </c:pt>
                <c:pt idx="9">
                  <c:v>0.0356897706345176</c:v>
                </c:pt>
                <c:pt idx="10">
                  <c:v>0.0356336506247233</c:v>
                </c:pt>
                <c:pt idx="11">
                  <c:v>0.0440976415596046</c:v>
                </c:pt>
                <c:pt idx="12">
                  <c:v>0.0369811982293948</c:v>
                </c:pt>
                <c:pt idx="13">
                  <c:v>0.0361808191543002</c:v>
                </c:pt>
                <c:pt idx="14">
                  <c:v>0.0347074814732026</c:v>
                </c:pt>
                <c:pt idx="15">
                  <c:v>0.0367596772330837</c:v>
                </c:pt>
                <c:pt idx="16">
                  <c:v>0.0368323123187302</c:v>
                </c:pt>
                <c:pt idx="17">
                  <c:v>0.0370345123957157</c:v>
                </c:pt>
                <c:pt idx="18">
                  <c:v>0.0520685696187478</c:v>
                </c:pt>
                <c:pt idx="19">
                  <c:v>0.0316738925640111</c:v>
                </c:pt>
                <c:pt idx="20">
                  <c:v>0.0381117571696047</c:v>
                </c:pt>
                <c:pt idx="21">
                  <c:v>0.0318246233045062</c:v>
                </c:pt>
                <c:pt idx="22">
                  <c:v>0.0397915368602049</c:v>
                </c:pt>
                <c:pt idx="23">
                  <c:v>0.0338163543391296</c:v>
                </c:pt>
                <c:pt idx="24">
                  <c:v>0.0384969421244688</c:v>
                </c:pt>
                <c:pt idx="25">
                  <c:v>0.0452911219766984</c:v>
                </c:pt>
                <c:pt idx="26">
                  <c:v>0.0403344820297049</c:v>
                </c:pt>
                <c:pt idx="27">
                  <c:v>0.0374590878280219</c:v>
                </c:pt>
                <c:pt idx="28">
                  <c:v>0.0370051816449103</c:v>
                </c:pt>
                <c:pt idx="29">
                  <c:v>0.0359884489256507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295552"/>
        <c:axId val="220297088"/>
      </c:lineChart>
      <c:catAx>
        <c:axId val="22029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293760"/>
        <c:crosses val="autoZero"/>
        <c:auto val="1"/>
        <c:lblAlgn val="ctr"/>
        <c:lblOffset val="100"/>
        <c:noMultiLvlLbl val="0"/>
      </c:catAx>
      <c:valAx>
        <c:axId val="2202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291840"/>
        <c:crosses val="autoZero"/>
        <c:crossBetween val="between"/>
      </c:valAx>
      <c:catAx>
        <c:axId val="22029555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297088"/>
        <c:crosses val="autoZero"/>
        <c:auto val="1"/>
        <c:lblAlgn val="ctr"/>
        <c:lblOffset val="100"/>
        <c:noMultiLvlLbl val="0"/>
      </c:catAx>
      <c:valAx>
        <c:axId val="220297088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29555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'7'!$BJ$2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'7'!$BJ$4:$BJ$32</c:f>
              <c:numCache>
                <c:formatCode>0.0000_);[Red]\(0.0000\)</c:formatCode>
                <c:ptCount val="29"/>
                <c:pt idx="0">
                  <c:v>0.0378294804290868</c:v>
                </c:pt>
                <c:pt idx="1">
                  <c:v>0.0377634485640905</c:v>
                </c:pt>
                <c:pt idx="2">
                  <c:v>0.0384309894869755</c:v>
                </c:pt>
                <c:pt idx="3">
                  <c:v>0.0371780869978619</c:v>
                </c:pt>
                <c:pt idx="4">
                  <c:v>0.0364995993946393</c:v>
                </c:pt>
                <c:pt idx="5">
                  <c:v>0.0367513428375245</c:v>
                </c:pt>
                <c:pt idx="6">
                  <c:v>0.0375534395647119</c:v>
                </c:pt>
                <c:pt idx="7">
                  <c:v>0.037211885587328</c:v>
                </c:pt>
                <c:pt idx="8">
                  <c:v>0.0372477073481033</c:v>
                </c:pt>
                <c:pt idx="9">
                  <c:v>0.0372249609234001</c:v>
                </c:pt>
                <c:pt idx="10">
                  <c:v>0.0378930474926267</c:v>
                </c:pt>
                <c:pt idx="11">
                  <c:v>0.038163045943571</c:v>
                </c:pt>
                <c:pt idx="12">
                  <c:v>0.0390139751552837</c:v>
                </c:pt>
                <c:pt idx="13">
                  <c:v>0.0406547245425122</c:v>
                </c:pt>
                <c:pt idx="14">
                  <c:v>0.0397632564319376</c:v>
                </c:pt>
                <c:pt idx="15">
                  <c:v>0.0392335766423414</c:v>
                </c:pt>
                <c:pt idx="16">
                  <c:v>0.0395119061269649</c:v>
                </c:pt>
                <c:pt idx="17">
                  <c:v>0.0382268938584412</c:v>
                </c:pt>
                <c:pt idx="18">
                  <c:v>0.0385003477766812</c:v>
                </c:pt>
                <c:pt idx="19">
                  <c:v>0.0394934492603654</c:v>
                </c:pt>
                <c:pt idx="20">
                  <c:v>0.0399745571973831</c:v>
                </c:pt>
                <c:pt idx="21">
                  <c:v>0.0388399282348477</c:v>
                </c:pt>
                <c:pt idx="22">
                  <c:v>0.0407684395491395</c:v>
                </c:pt>
                <c:pt idx="23">
                  <c:v>0.0334329836726735</c:v>
                </c:pt>
                <c:pt idx="24">
                  <c:v>0.0440558995673887</c:v>
                </c:pt>
                <c:pt idx="25">
                  <c:v>0.0392183379538903</c:v>
                </c:pt>
                <c:pt idx="26">
                  <c:v>0.0406273805105754</c:v>
                </c:pt>
                <c:pt idx="27">
                  <c:v>0.03912978872115</c:v>
                </c:pt>
                <c:pt idx="28">
                  <c:v>0.0402804559227938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'7'!$BK$4:$BK$32</c:f>
              <c:numCache>
                <c:formatCode>0.0000_);[Red]\(0.0000\)</c:formatCode>
                <c:ptCount val="29"/>
                <c:pt idx="0">
                  <c:v>0.0552565444469762</c:v>
                </c:pt>
                <c:pt idx="1">
                  <c:v>0.0482615877564821</c:v>
                </c:pt>
                <c:pt idx="2">
                  <c:v>0.0498270852141843</c:v>
                </c:pt>
                <c:pt idx="3">
                  <c:v>0.054324145384991</c:v>
                </c:pt>
                <c:pt idx="4">
                  <c:v>0.0596980535292623</c:v>
                </c:pt>
                <c:pt idx="5">
                  <c:v>0.0666370501999102</c:v>
                </c:pt>
                <c:pt idx="6">
                  <c:v>0.0684998056743119</c:v>
                </c:pt>
                <c:pt idx="7">
                  <c:v>0.0737168968215918</c:v>
                </c:pt>
                <c:pt idx="8">
                  <c:v>0.0676313385453233</c:v>
                </c:pt>
                <c:pt idx="9">
                  <c:v>0.0581940603582996</c:v>
                </c:pt>
                <c:pt idx="10">
                  <c:v>0.0638980800855874</c:v>
                </c:pt>
                <c:pt idx="11">
                  <c:v>0.0665634522271683</c:v>
                </c:pt>
                <c:pt idx="12">
                  <c:v>0.0567740683229761</c:v>
                </c:pt>
                <c:pt idx="13">
                  <c:v>0.0482835208343436</c:v>
                </c:pt>
                <c:pt idx="14">
                  <c:v>0.0454161130571307</c:v>
                </c:pt>
                <c:pt idx="15">
                  <c:v>0.0456204379562044</c:v>
                </c:pt>
                <c:pt idx="16">
                  <c:v>0.0458662997362705</c:v>
                </c:pt>
                <c:pt idx="17">
                  <c:v>0.0592589714196842</c:v>
                </c:pt>
                <c:pt idx="18">
                  <c:v>0.0602486358337343</c:v>
                </c:pt>
                <c:pt idx="19">
                  <c:v>0.0636670214776772</c:v>
                </c:pt>
                <c:pt idx="20">
                  <c:v>0.0802426851942487</c:v>
                </c:pt>
                <c:pt idx="21">
                  <c:v>0.0739338735434937</c:v>
                </c:pt>
                <c:pt idx="22">
                  <c:v>0.0675009642994968</c:v>
                </c:pt>
                <c:pt idx="23">
                  <c:v>0.0636818736622395</c:v>
                </c:pt>
                <c:pt idx="24">
                  <c:v>0.0561964543218274</c:v>
                </c:pt>
                <c:pt idx="25">
                  <c:v>0.0487814302135687</c:v>
                </c:pt>
                <c:pt idx="26">
                  <c:v>0.0463894368810673</c:v>
                </c:pt>
                <c:pt idx="27">
                  <c:v>0.0544845159408465</c:v>
                </c:pt>
                <c:pt idx="28">
                  <c:v>0.049895790562421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'7'!$BL$2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'7'!$BL$4:$BL$32</c:f>
              <c:numCache>
                <c:formatCode>0.0000_);[Red]\(0.0000\)</c:formatCode>
                <c:ptCount val="29"/>
                <c:pt idx="0">
                  <c:v>0.0488807893184694</c:v>
                </c:pt>
                <c:pt idx="1">
                  <c:v>0.0477640456146563</c:v>
                </c:pt>
                <c:pt idx="2">
                  <c:v>0.0493337477368143</c:v>
                </c:pt>
                <c:pt idx="3">
                  <c:v>0.0475336272118781</c:v>
                </c:pt>
                <c:pt idx="4">
                  <c:v>0.0471300422599379</c:v>
                </c:pt>
                <c:pt idx="5">
                  <c:v>0.0464440046847719</c:v>
                </c:pt>
                <c:pt idx="6">
                  <c:v>0.046638165565516</c:v>
                </c:pt>
                <c:pt idx="7">
                  <c:v>0.0474615637070217</c:v>
                </c:pt>
                <c:pt idx="8">
                  <c:v>0.047442879278068</c:v>
                </c:pt>
                <c:pt idx="9">
                  <c:v>0.0471323794637629</c:v>
                </c:pt>
                <c:pt idx="10">
                  <c:v>0.0475520595985742</c:v>
                </c:pt>
                <c:pt idx="11">
                  <c:v>0.0473340104726426</c:v>
                </c:pt>
                <c:pt idx="12">
                  <c:v>0.04658385093167</c:v>
                </c:pt>
                <c:pt idx="13">
                  <c:v>0.0492491912510471</c:v>
                </c:pt>
                <c:pt idx="14">
                  <c:v>0.0502476144461962</c:v>
                </c:pt>
                <c:pt idx="15">
                  <c:v>0.0489819439108581</c:v>
                </c:pt>
                <c:pt idx="16">
                  <c:v>0.0496884913809648</c:v>
                </c:pt>
                <c:pt idx="17">
                  <c:v>0.0485729273931881</c:v>
                </c:pt>
                <c:pt idx="18">
                  <c:v>0.0480029781439288</c:v>
                </c:pt>
                <c:pt idx="19">
                  <c:v>0.0497398605294311</c:v>
                </c:pt>
                <c:pt idx="20">
                  <c:v>0.0508856052451387</c:v>
                </c:pt>
                <c:pt idx="21">
                  <c:v>0.0492892490290018</c:v>
                </c:pt>
                <c:pt idx="22">
                  <c:v>0.0557150816440313</c:v>
                </c:pt>
                <c:pt idx="23">
                  <c:v>0.0542475220085563</c:v>
                </c:pt>
                <c:pt idx="24">
                  <c:v>0.048774281109532</c:v>
                </c:pt>
                <c:pt idx="25">
                  <c:v>0.0482984457560156</c:v>
                </c:pt>
                <c:pt idx="26">
                  <c:v>0.0478543664667638</c:v>
                </c:pt>
                <c:pt idx="27">
                  <c:v>0.0495313781280441</c:v>
                </c:pt>
                <c:pt idx="28">
                  <c:v>0.0488562949257096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'7'!$BO$2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'7'!$BO$4:$BO$33</c:f>
              <c:numCache>
                <c:formatCode>0.0000_);[Red]\(0.0000\)</c:formatCode>
                <c:ptCount val="30"/>
                <c:pt idx="0">
                  <c:v>0.0930520208488057</c:v>
                </c:pt>
                <c:pt idx="1">
                  <c:v>0.0967719465837846</c:v>
                </c:pt>
                <c:pt idx="2">
                  <c:v>0.0807830252441499</c:v>
                </c:pt>
                <c:pt idx="3">
                  <c:v>0.101343956721813</c:v>
                </c:pt>
                <c:pt idx="4">
                  <c:v>0.0878399254298414</c:v>
                </c:pt>
                <c:pt idx="5">
                  <c:v>0.0755381446629169</c:v>
                </c:pt>
                <c:pt idx="6">
                  <c:v>0.0655441119315406</c:v>
                </c:pt>
                <c:pt idx="7">
                  <c:v>0.0701441518770816</c:v>
                </c:pt>
                <c:pt idx="8">
                  <c:v>0.0630566336754096</c:v>
                </c:pt>
                <c:pt idx="9">
                  <c:v>0.0634421065286645</c:v>
                </c:pt>
                <c:pt idx="10">
                  <c:v>0.0673713617721222</c:v>
                </c:pt>
                <c:pt idx="11">
                  <c:v>0.0760854773339732</c:v>
                </c:pt>
                <c:pt idx="12">
                  <c:v>0.0764829192546893</c:v>
                </c:pt>
                <c:pt idx="13">
                  <c:v>0.0773038481964702</c:v>
                </c:pt>
                <c:pt idx="14">
                  <c:v>0.078654910013397</c:v>
                </c:pt>
                <c:pt idx="15">
                  <c:v>0.0768056089126885</c:v>
                </c:pt>
                <c:pt idx="16">
                  <c:v>0.0715648052593481</c:v>
                </c:pt>
                <c:pt idx="17">
                  <c:v>0.0481707435544217</c:v>
                </c:pt>
                <c:pt idx="18">
                  <c:v>0.0542962665439837</c:v>
                </c:pt>
                <c:pt idx="19">
                  <c:v>0.0572804233857007</c:v>
                </c:pt>
                <c:pt idx="20">
                  <c:v>0.0391838731772288</c:v>
                </c:pt>
                <c:pt idx="21">
                  <c:v>0.0513278523689084</c:v>
                </c:pt>
                <c:pt idx="22">
                  <c:v>0.0596344233488726</c:v>
                </c:pt>
                <c:pt idx="23">
                  <c:v>0.0969733420602469</c:v>
                </c:pt>
                <c:pt idx="24">
                  <c:v>0.0870239206039376</c:v>
                </c:pt>
                <c:pt idx="25">
                  <c:v>0.0825903422427937</c:v>
                </c:pt>
                <c:pt idx="26">
                  <c:v>0.0760474246537869</c:v>
                </c:pt>
                <c:pt idx="27">
                  <c:v>0.0960974777521449</c:v>
                </c:pt>
                <c:pt idx="28">
                  <c:v>0.079319754055306</c:v>
                </c:pt>
                <c:pt idx="29">
                  <c:v>0.0696607042433102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'7'!$BG$2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'7'!$BG$4:$BG$33</c:f>
              <c:numCache>
                <c:formatCode>0.0000_);[Red]\(0.0000\)</c:formatCode>
                <c:ptCount val="30"/>
                <c:pt idx="0">
                  <c:v>0.290628171274097</c:v>
                </c:pt>
                <c:pt idx="1">
                  <c:v>0.273150635858756</c:v>
                </c:pt>
                <c:pt idx="2">
                  <c:v>0.274295637416752</c:v>
                </c:pt>
                <c:pt idx="3">
                  <c:v>0.295387540530971</c:v>
                </c:pt>
                <c:pt idx="4">
                  <c:v>0.290111593466775</c:v>
                </c:pt>
                <c:pt idx="5">
                  <c:v>0.27815920197076</c:v>
                </c:pt>
                <c:pt idx="6">
                  <c:v>0.266226195102971</c:v>
                </c:pt>
                <c:pt idx="7">
                  <c:v>0.279720279720324</c:v>
                </c:pt>
                <c:pt idx="8">
                  <c:v>0.268001796772941</c:v>
                </c:pt>
                <c:pt idx="9">
                  <c:v>0.258747144402904</c:v>
                </c:pt>
                <c:pt idx="10">
                  <c:v>0.26896633710449</c:v>
                </c:pt>
                <c:pt idx="11">
                  <c:v>0.277594248917778</c:v>
                </c:pt>
                <c:pt idx="12">
                  <c:v>0.267857142857164</c:v>
                </c:pt>
                <c:pt idx="13">
                  <c:v>0.264110858963716</c:v>
                </c:pt>
                <c:pt idx="14">
                  <c:v>0.259451624592469</c:v>
                </c:pt>
                <c:pt idx="15">
                  <c:v>0.254994237418252</c:v>
                </c:pt>
                <c:pt idx="16">
                  <c:v>0.255131292283002</c:v>
                </c:pt>
                <c:pt idx="17">
                  <c:v>0.244807554061711</c:v>
                </c:pt>
                <c:pt idx="18">
                  <c:v>0.24883176425648</c:v>
                </c:pt>
                <c:pt idx="19">
                  <c:v>0.265610855227169</c:v>
                </c:pt>
                <c:pt idx="20">
                  <c:v>0.265681573539322</c:v>
                </c:pt>
                <c:pt idx="21">
                  <c:v>0.26517615977608</c:v>
                </c:pt>
                <c:pt idx="22">
                  <c:v>0.27643252046457</c:v>
                </c:pt>
                <c:pt idx="23">
                  <c:v>0.30484748780916</c:v>
                </c:pt>
                <c:pt idx="24">
                  <c:v>0.28310289252694</c:v>
                </c:pt>
                <c:pt idx="25">
                  <c:v>0.265641451658086</c:v>
                </c:pt>
                <c:pt idx="26">
                  <c:v>0.255386057776802</c:v>
                </c:pt>
                <c:pt idx="27">
                  <c:v>0.292785479601311</c:v>
                </c:pt>
                <c:pt idx="28">
                  <c:v>0.268189874272995</c:v>
                </c:pt>
                <c:pt idx="29">
                  <c:v>0.255039119153006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860416"/>
        <c:axId val="221046272"/>
      </c:lineChart>
      <c:lineChart>
        <c:grouping val="standard"/>
        <c:varyColors val="0"/>
        <c:ser>
          <c:idx val="0"/>
          <c:order val="0"/>
          <c:tx>
            <c:strRef>
              <c:f>'7'!$BH$2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'7'!$BH$4:$BH$33</c:f>
              <c:numCache>
                <c:formatCode>0.0000_);[Red]\(0.0000\)</c:formatCode>
                <c:ptCount val="30"/>
                <c:pt idx="0">
                  <c:v>0.0444305122387912</c:v>
                </c:pt>
                <c:pt idx="1">
                  <c:v>0.0322407307898986</c:v>
                </c:pt>
                <c:pt idx="2">
                  <c:v>0.0455212357117112</c:v>
                </c:pt>
                <c:pt idx="3">
                  <c:v>0.0433053978960735</c:v>
                </c:pt>
                <c:pt idx="4">
                  <c:v>0.0454752541094753</c:v>
                </c:pt>
                <c:pt idx="5">
                  <c:v>0.0399054965469868</c:v>
                </c:pt>
                <c:pt idx="6">
                  <c:v>0.0365643218033459</c:v>
                </c:pt>
                <c:pt idx="7">
                  <c:v>0.0389871500340853</c:v>
                </c:pt>
                <c:pt idx="8">
                  <c:v>0.039823754750595</c:v>
                </c:pt>
                <c:pt idx="9">
                  <c:v>0.0406915955272356</c:v>
                </c:pt>
                <c:pt idx="10">
                  <c:v>0.0411364942244131</c:v>
                </c:pt>
                <c:pt idx="11">
                  <c:v>0.0393503407062579</c:v>
                </c:pt>
                <c:pt idx="12">
                  <c:v>0.0374534161490667</c:v>
                </c:pt>
                <c:pt idx="13">
                  <c:v>0.0368577084640963</c:v>
                </c:pt>
                <c:pt idx="14">
                  <c:v>0.0332716511656109</c:v>
                </c:pt>
                <c:pt idx="15">
                  <c:v>0.0346715328467146</c:v>
                </c:pt>
                <c:pt idx="16">
                  <c:v>0.0388487558766139</c:v>
                </c:pt>
                <c:pt idx="17">
                  <c:v>0.0408634323573377</c:v>
                </c:pt>
                <c:pt idx="18">
                  <c:v>0.0359101462621402</c:v>
                </c:pt>
                <c:pt idx="19">
                  <c:v>0.0431543029953318</c:v>
                </c:pt>
                <c:pt idx="20">
                  <c:v>0.0430257363734292</c:v>
                </c:pt>
                <c:pt idx="21">
                  <c:v>0.0397981112359716</c:v>
                </c:pt>
                <c:pt idx="22">
                  <c:v>0.0390134144773578</c:v>
                </c:pt>
                <c:pt idx="23">
                  <c:v>0.0433980176068485</c:v>
                </c:pt>
                <c:pt idx="24">
                  <c:v>0.0361099329883834</c:v>
                </c:pt>
                <c:pt idx="25">
                  <c:v>0.0368420544226825</c:v>
                </c:pt>
                <c:pt idx="26">
                  <c:v>0.0344668632927744</c:v>
                </c:pt>
                <c:pt idx="27">
                  <c:v>0.0422491648459311</c:v>
                </c:pt>
                <c:pt idx="28">
                  <c:v>0.0395049921777977</c:v>
                </c:pt>
                <c:pt idx="29">
                  <c:v>0.037593851436012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862720"/>
        <c:axId val="220872704"/>
      </c:lineChart>
      <c:catAx>
        <c:axId val="22086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046272"/>
        <c:crosses val="autoZero"/>
        <c:auto val="1"/>
        <c:lblAlgn val="ctr"/>
        <c:lblOffset val="100"/>
        <c:noMultiLvlLbl val="0"/>
      </c:catAx>
      <c:valAx>
        <c:axId val="2210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860416"/>
        <c:crosses val="autoZero"/>
        <c:crossBetween val="between"/>
      </c:valAx>
      <c:catAx>
        <c:axId val="22086272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0872704"/>
        <c:crosses val="autoZero"/>
        <c:auto val="1"/>
        <c:lblAlgn val="ctr"/>
        <c:lblOffset val="100"/>
        <c:noMultiLvlLbl val="0"/>
      </c:catAx>
      <c:valAx>
        <c:axId val="22087270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86272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'8'!$BJ$2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'8'!$BJ$4:$BJ$32</c:f>
              <c:numCache>
                <c:formatCode>0.0000_);[Red]\(0.0000\)</c:formatCode>
                <c:ptCount val="29"/>
                <c:pt idx="0">
                  <c:v>0.04088367492827</c:v>
                </c:pt>
                <c:pt idx="1">
                  <c:v>0.0412398432787839</c:v>
                </c:pt>
                <c:pt idx="2">
                  <c:v>0.0406683587551032</c:v>
                </c:pt>
                <c:pt idx="3">
                  <c:v>0.0413510320383641</c:v>
                </c:pt>
                <c:pt idx="4">
                  <c:v>0.0366739016540709</c:v>
                </c:pt>
                <c:pt idx="5">
                  <c:v>0.038</c:v>
                </c:pt>
                <c:pt idx="6">
                  <c:v>0.0377245359382381</c:v>
                </c:pt>
                <c:pt idx="7">
                  <c:v>0.038523925385245</c:v>
                </c:pt>
                <c:pt idx="8">
                  <c:v>0.0419596692676255</c:v>
                </c:pt>
                <c:pt idx="9">
                  <c:v>0.0402119277272189</c:v>
                </c:pt>
                <c:pt idx="10">
                  <c:v>0.0427610639063328</c:v>
                </c:pt>
                <c:pt idx="11">
                  <c:v>0.0387104304184952</c:v>
                </c:pt>
                <c:pt idx="12">
                  <c:v>0.0383872707346248</c:v>
                </c:pt>
                <c:pt idx="13">
                  <c:v>0.0403015306229087</c:v>
                </c:pt>
                <c:pt idx="14">
                  <c:v>0.0388523439773112</c:v>
                </c:pt>
                <c:pt idx="15">
                  <c:v>0.0394781843943853</c:v>
                </c:pt>
                <c:pt idx="16">
                  <c:v>0.0401191066042634</c:v>
                </c:pt>
                <c:pt idx="17">
                  <c:v>0.0406160503426555</c:v>
                </c:pt>
                <c:pt idx="18">
                  <c:v>0.0390973976695233</c:v>
                </c:pt>
                <c:pt idx="19">
                  <c:v>0.0434533893643624</c:v>
                </c:pt>
                <c:pt idx="20">
                  <c:v>0.0372551522113136</c:v>
                </c:pt>
                <c:pt idx="21">
                  <c:v>0.0380098940906217</c:v>
                </c:pt>
                <c:pt idx="22">
                  <c:v>0.0377251089619367</c:v>
                </c:pt>
                <c:pt idx="23">
                  <c:v>0.0385234790467116</c:v>
                </c:pt>
                <c:pt idx="24">
                  <c:v>0.0389842503628447</c:v>
                </c:pt>
                <c:pt idx="25">
                  <c:v>0.0401709357003514</c:v>
                </c:pt>
                <c:pt idx="26">
                  <c:v>0.0389784815424023</c:v>
                </c:pt>
                <c:pt idx="27">
                  <c:v>0.0399325628657696</c:v>
                </c:pt>
                <c:pt idx="28">
                  <c:v>0.0389902878737478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'8'!$BK$4:$BK$32</c:f>
              <c:numCache>
                <c:formatCode>0.0000_);[Red]\(0.0000\)</c:formatCode>
                <c:ptCount val="29"/>
                <c:pt idx="0">
                  <c:v>0.0484728600945937</c:v>
                </c:pt>
                <c:pt idx="1">
                  <c:v>0.0490366745288802</c:v>
                </c:pt>
                <c:pt idx="2">
                  <c:v>0.0475596558233807</c:v>
                </c:pt>
                <c:pt idx="3">
                  <c:v>0.0481518620374727</c:v>
                </c:pt>
                <c:pt idx="4">
                  <c:v>0.0545297079987539</c:v>
                </c:pt>
                <c:pt idx="5">
                  <c:v>0.0645714285714348</c:v>
                </c:pt>
                <c:pt idx="6">
                  <c:v>0.0593349489094861</c:v>
                </c:pt>
                <c:pt idx="7">
                  <c:v>0.0817570572691835</c:v>
                </c:pt>
                <c:pt idx="8">
                  <c:v>0.0843556609193273</c:v>
                </c:pt>
                <c:pt idx="9">
                  <c:v>0.0794728977041212</c:v>
                </c:pt>
                <c:pt idx="10">
                  <c:v>0.0809554122498673</c:v>
                </c:pt>
                <c:pt idx="11">
                  <c:v>0.0732709989495615</c:v>
                </c:pt>
                <c:pt idx="12">
                  <c:v>0.0672647040063111</c:v>
                </c:pt>
                <c:pt idx="13">
                  <c:v>0.0522040552110088</c:v>
                </c:pt>
                <c:pt idx="14">
                  <c:v>0.0536287861067192</c:v>
                </c:pt>
                <c:pt idx="15">
                  <c:v>0.0483705477109476</c:v>
                </c:pt>
                <c:pt idx="16">
                  <c:v>0.0442560888200496</c:v>
                </c:pt>
                <c:pt idx="17">
                  <c:v>0.0449143006167273</c:v>
                </c:pt>
                <c:pt idx="18">
                  <c:v>0.0465902650361623</c:v>
                </c:pt>
                <c:pt idx="19">
                  <c:v>0.048953818397843</c:v>
                </c:pt>
                <c:pt idx="20">
                  <c:v>0.0662448872925267</c:v>
                </c:pt>
                <c:pt idx="21">
                  <c:v>0.063925730970579</c:v>
                </c:pt>
                <c:pt idx="22">
                  <c:v>0.0669676490448739</c:v>
                </c:pt>
                <c:pt idx="23">
                  <c:v>0.064881648920757</c:v>
                </c:pt>
                <c:pt idx="24">
                  <c:v>0.0671728621636902</c:v>
                </c:pt>
                <c:pt idx="25">
                  <c:v>0.0617209689146059</c:v>
                </c:pt>
                <c:pt idx="26">
                  <c:v>0.0554749924573413</c:v>
                </c:pt>
                <c:pt idx="27">
                  <c:v>0.0611212696925137</c:v>
                </c:pt>
                <c:pt idx="28">
                  <c:v>0.0550771898636128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'8'!$BL$4:$BL$32</c:f>
              <c:numCache>
                <c:formatCode>0.0000_);[Red]\(0.0000\)</c:formatCode>
                <c:ptCount val="29"/>
                <c:pt idx="0">
                  <c:v>0.0489624849440359</c:v>
                </c:pt>
                <c:pt idx="1">
                  <c:v>0.0490366745288802</c:v>
                </c:pt>
                <c:pt idx="2">
                  <c:v>0.0495008662651455</c:v>
                </c:pt>
                <c:pt idx="3">
                  <c:v>0.0506339167816541</c:v>
                </c:pt>
                <c:pt idx="4">
                  <c:v>0.0438376083911831</c:v>
                </c:pt>
                <c:pt idx="5">
                  <c:v>0.0468571428571262</c:v>
                </c:pt>
                <c:pt idx="6">
                  <c:v>0.0487171159467541</c:v>
                </c:pt>
                <c:pt idx="7">
                  <c:v>0.0470920649870306</c:v>
                </c:pt>
                <c:pt idx="8">
                  <c:v>0.0538130940347564</c:v>
                </c:pt>
                <c:pt idx="9">
                  <c:v>0.0516234207308691</c:v>
                </c:pt>
                <c:pt idx="10">
                  <c:v>0.0512025684315509</c:v>
                </c:pt>
                <c:pt idx="11">
                  <c:v>0.0492796099129732</c:v>
                </c:pt>
                <c:pt idx="12">
                  <c:v>0.0463894510388338</c:v>
                </c:pt>
                <c:pt idx="13">
                  <c:v>0.0490718118983559</c:v>
                </c:pt>
                <c:pt idx="14">
                  <c:v>0.0467825580930807</c:v>
                </c:pt>
                <c:pt idx="15">
                  <c:v>0.0498363218840297</c:v>
                </c:pt>
                <c:pt idx="16">
                  <c:v>0.0490665332569936</c:v>
                </c:pt>
                <c:pt idx="17">
                  <c:v>0.0502267447757011</c:v>
                </c:pt>
                <c:pt idx="18">
                  <c:v>0.0480312010682139</c:v>
                </c:pt>
                <c:pt idx="19">
                  <c:v>0.0528041187212523</c:v>
                </c:pt>
                <c:pt idx="20">
                  <c:v>0.0474045982460475</c:v>
                </c:pt>
                <c:pt idx="21">
                  <c:v>0.0495280438150332</c:v>
                </c:pt>
                <c:pt idx="22">
                  <c:v>0.0479934818154848</c:v>
                </c:pt>
                <c:pt idx="23">
                  <c:v>0.0475026358170127</c:v>
                </c:pt>
                <c:pt idx="24">
                  <c:v>0.0491801312269668</c:v>
                </c:pt>
                <c:pt idx="25">
                  <c:v>0.0502136696254298</c:v>
                </c:pt>
                <c:pt idx="26">
                  <c:v>0.0476890286036989</c:v>
                </c:pt>
                <c:pt idx="27">
                  <c:v>0.0499157035821935</c:v>
                </c:pt>
                <c:pt idx="28">
                  <c:v>0.0468974091908333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'8'!$BO$4:$BO$33</c:f>
              <c:numCache>
                <c:formatCode>0.0000_);[Red]\(0.0000\)</c:formatCode>
                <c:ptCount val="30"/>
                <c:pt idx="0">
                  <c:v>0.081107335559487</c:v>
                </c:pt>
                <c:pt idx="1">
                  <c:v>0.0808771680339073</c:v>
                </c:pt>
                <c:pt idx="2">
                  <c:v>0.0770272303296012</c:v>
                </c:pt>
                <c:pt idx="3">
                  <c:v>0.0833156280093339</c:v>
                </c:pt>
                <c:pt idx="4">
                  <c:v>0.0885177542313814</c:v>
                </c:pt>
                <c:pt idx="5">
                  <c:v>0.0832114285716134</c:v>
                </c:pt>
                <c:pt idx="6">
                  <c:v>0.110100682039475</c:v>
                </c:pt>
                <c:pt idx="7">
                  <c:v>0.08483112262252</c:v>
                </c:pt>
                <c:pt idx="8">
                  <c:v>0.0937016863861721</c:v>
                </c:pt>
                <c:pt idx="9">
                  <c:v>0.08770547479948</c:v>
                </c:pt>
                <c:pt idx="10">
                  <c:v>0.0938197116049256</c:v>
                </c:pt>
                <c:pt idx="11">
                  <c:v>0.0821076111061782</c:v>
                </c:pt>
                <c:pt idx="12">
                  <c:v>0.0670466735864964</c:v>
                </c:pt>
                <c:pt idx="13">
                  <c:v>0.0844828666290345</c:v>
                </c:pt>
                <c:pt idx="14">
                  <c:v>0.098505810735985</c:v>
                </c:pt>
                <c:pt idx="15">
                  <c:v>0.07899545610001</c:v>
                </c:pt>
                <c:pt idx="16">
                  <c:v>0.0779445933010426</c:v>
                </c:pt>
                <c:pt idx="17">
                  <c:v>0.073688429979593</c:v>
                </c:pt>
                <c:pt idx="18">
                  <c:v>0.0762466498236749</c:v>
                </c:pt>
                <c:pt idx="19">
                  <c:v>0.0916679501001141</c:v>
                </c:pt>
                <c:pt idx="20">
                  <c:v>0.0890452835462995</c:v>
                </c:pt>
                <c:pt idx="21">
                  <c:v>0.0783095963464304</c:v>
                </c:pt>
                <c:pt idx="22">
                  <c:v>0.0685079049729128</c:v>
                </c:pt>
                <c:pt idx="23">
                  <c:v>0.0687768650578885</c:v>
                </c:pt>
                <c:pt idx="24">
                  <c:v>0.0770280806552481</c:v>
                </c:pt>
                <c:pt idx="25">
                  <c:v>0.0583943133020436</c:v>
                </c:pt>
                <c:pt idx="26">
                  <c:v>0.0501902694915665</c:v>
                </c:pt>
                <c:pt idx="27">
                  <c:v>0.0581792992447728</c:v>
                </c:pt>
                <c:pt idx="28">
                  <c:v>0.0809318406141299</c:v>
                </c:pt>
                <c:pt idx="29">
                  <c:v>0.0505808891212097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'8'!$BG$2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'8'!$BG$4:$BG$33</c:f>
              <c:numCache>
                <c:formatCode>0.0000_);[Red]\(0.0000\)</c:formatCode>
                <c:ptCount val="30"/>
                <c:pt idx="0">
                  <c:v>0.272721041138266</c:v>
                </c:pt>
                <c:pt idx="1">
                  <c:v>0.266759509437044</c:v>
                </c:pt>
                <c:pt idx="2">
                  <c:v>0.267401738354049</c:v>
                </c:pt>
                <c:pt idx="3">
                  <c:v>0.274018843759459</c:v>
                </c:pt>
                <c:pt idx="4">
                  <c:v>0.272113935013426</c:v>
                </c:pt>
                <c:pt idx="5">
                  <c:v>0.288571428571595</c:v>
                </c:pt>
                <c:pt idx="6">
                  <c:v>0.311664626377068</c:v>
                </c:pt>
                <c:pt idx="7">
                  <c:v>0.310676817622897</c:v>
                </c:pt>
                <c:pt idx="8">
                  <c:v>0.334513827783714</c:v>
                </c:pt>
                <c:pt idx="9">
                  <c:v>0.315853824208519</c:v>
                </c:pt>
                <c:pt idx="10">
                  <c:v>0.325897428800692</c:v>
                </c:pt>
                <c:pt idx="11">
                  <c:v>0.296974491317824</c:v>
                </c:pt>
                <c:pt idx="12">
                  <c:v>0.26847894788731</c:v>
                </c:pt>
                <c:pt idx="13">
                  <c:v>0.281379857587307</c:v>
                </c:pt>
                <c:pt idx="14">
                  <c:v>0.292105728581232</c:v>
                </c:pt>
                <c:pt idx="15">
                  <c:v>0.266770899496708</c:v>
                </c:pt>
                <c:pt idx="16">
                  <c:v>0.263131310701852</c:v>
                </c:pt>
                <c:pt idx="17">
                  <c:v>0.263207460603432</c:v>
                </c:pt>
                <c:pt idx="18">
                  <c:v>0.253604741640114</c:v>
                </c:pt>
                <c:pt idx="19">
                  <c:v>0.288772524256892</c:v>
                </c:pt>
                <c:pt idx="20">
                  <c:v>0.297190365926998</c:v>
                </c:pt>
                <c:pt idx="21">
                  <c:v>0.282770575734706</c:v>
                </c:pt>
                <c:pt idx="22">
                  <c:v>0.274009297341934</c:v>
                </c:pt>
                <c:pt idx="23">
                  <c:v>0.272850505729441</c:v>
                </c:pt>
                <c:pt idx="24">
                  <c:v>0.286084421893363</c:v>
                </c:pt>
                <c:pt idx="25">
                  <c:v>0.263098706475077</c:v>
                </c:pt>
                <c:pt idx="26">
                  <c:v>0.24282474768601</c:v>
                </c:pt>
                <c:pt idx="27">
                  <c:v>0.259765396193275</c:v>
                </c:pt>
                <c:pt idx="28">
                  <c:v>0.273204674471908</c:v>
                </c:pt>
                <c:pt idx="29">
                  <c:v>0.249272333756352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262592"/>
        <c:axId val="221264512"/>
      </c:lineChart>
      <c:lineChart>
        <c:grouping val="standard"/>
        <c:varyColors val="0"/>
        <c:ser>
          <c:idx val="0"/>
          <c:order val="0"/>
          <c:tx>
            <c:strRef>
              <c:f>'8'!$BH$2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'8'!$BH$4:$BH$33</c:f>
              <c:numCache>
                <c:formatCode>0.0000_);[Red]\(0.0000\)</c:formatCode>
                <c:ptCount val="30"/>
                <c:pt idx="0">
                  <c:v>0.0432671686953439</c:v>
                </c:pt>
                <c:pt idx="1">
                  <c:v>0.0367421994910035</c:v>
                </c:pt>
                <c:pt idx="2">
                  <c:v>0.042512508674775</c:v>
                </c:pt>
                <c:pt idx="3">
                  <c:v>0.0398439283976898</c:v>
                </c:pt>
                <c:pt idx="4">
                  <c:v>0.0365584269783118</c:v>
                </c:pt>
                <c:pt idx="5">
                  <c:v>0.0418057142857055</c:v>
                </c:pt>
                <c:pt idx="6">
                  <c:v>0.0403977315312248</c:v>
                </c:pt>
                <c:pt idx="7">
                  <c:v>0.0422782094550398</c:v>
                </c:pt>
                <c:pt idx="8">
                  <c:v>0.0427654112702073</c:v>
                </c:pt>
                <c:pt idx="9">
                  <c:v>0.0400489063985747</c:v>
                </c:pt>
                <c:pt idx="10">
                  <c:v>0.0419362873986389</c:v>
                </c:pt>
                <c:pt idx="11">
                  <c:v>0.0403781561644997</c:v>
                </c:pt>
                <c:pt idx="12">
                  <c:v>0.0378862646634114</c:v>
                </c:pt>
                <c:pt idx="13">
                  <c:v>0.0436258848587332</c:v>
                </c:pt>
                <c:pt idx="14">
                  <c:v>0.0406894151609817</c:v>
                </c:pt>
                <c:pt idx="15">
                  <c:v>0.0380710411882484</c:v>
                </c:pt>
                <c:pt idx="16">
                  <c:v>0.0399690207378213</c:v>
                </c:pt>
                <c:pt idx="17">
                  <c:v>0.0419393318877106</c:v>
                </c:pt>
                <c:pt idx="18">
                  <c:v>0.0331300012488089</c:v>
                </c:pt>
                <c:pt idx="19">
                  <c:v>0.0406723724450556</c:v>
                </c:pt>
                <c:pt idx="20">
                  <c:v>0.0451340395402854</c:v>
                </c:pt>
                <c:pt idx="21">
                  <c:v>0.0413409429909219</c:v>
                </c:pt>
                <c:pt idx="22">
                  <c:v>0.0414306522090942</c:v>
                </c:pt>
                <c:pt idx="23">
                  <c:v>0.0413713199939805</c:v>
                </c:pt>
                <c:pt idx="24">
                  <c:v>0.0413400986001611</c:v>
                </c:pt>
                <c:pt idx="25">
                  <c:v>0.0419493364995834</c:v>
                </c:pt>
                <c:pt idx="26">
                  <c:v>0.0407789856835575</c:v>
                </c:pt>
                <c:pt idx="27">
                  <c:v>0.0400629549077847</c:v>
                </c:pt>
                <c:pt idx="28">
                  <c:v>0.0404670109445451</c:v>
                </c:pt>
                <c:pt idx="29">
                  <c:v>0.0392666119362111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270400"/>
        <c:axId val="221271936"/>
      </c:lineChart>
      <c:catAx>
        <c:axId val="22126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64512"/>
        <c:crosses val="autoZero"/>
        <c:auto val="1"/>
        <c:lblAlgn val="ctr"/>
        <c:lblOffset val="100"/>
        <c:noMultiLvlLbl val="0"/>
      </c:catAx>
      <c:valAx>
        <c:axId val="2212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62592"/>
        <c:crosses val="autoZero"/>
        <c:crossBetween val="between"/>
      </c:valAx>
      <c:catAx>
        <c:axId val="22127040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1271936"/>
        <c:crosses val="autoZero"/>
        <c:auto val="1"/>
        <c:lblAlgn val="ctr"/>
        <c:lblOffset val="100"/>
        <c:noMultiLvlLbl val="0"/>
      </c:catAx>
      <c:valAx>
        <c:axId val="221271936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70400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'9'!$BJ$2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'9'!$BJ$4:$BJ$32</c:f>
              <c:numCache>
                <c:formatCode>0.0000_);[Red]\(0.0000\)</c:formatCode>
                <c:ptCount val="29"/>
                <c:pt idx="0">
                  <c:v>0.0407964410149378</c:v>
                </c:pt>
                <c:pt idx="1">
                  <c:v>0.0396942470162186</c:v>
                </c:pt>
                <c:pt idx="2">
                  <c:v>0.0411814966418956</c:v>
                </c:pt>
                <c:pt idx="3">
                  <c:v>0.0383489259343324</c:v>
                </c:pt>
                <c:pt idx="4">
                  <c:v>0.039844213612855</c:v>
                </c:pt>
                <c:pt idx="5">
                  <c:v>0.0393016904338543</c:v>
                </c:pt>
                <c:pt idx="6">
                  <c:v>0.0406389371507233</c:v>
                </c:pt>
                <c:pt idx="7">
                  <c:v>0.0407154636066006</c:v>
                </c:pt>
                <c:pt idx="8">
                  <c:v>0.0411116513500935</c:v>
                </c:pt>
                <c:pt idx="9">
                  <c:v>0.0395964357700621</c:v>
                </c:pt>
                <c:pt idx="10">
                  <c:v>0.0356459330143575</c:v>
                </c:pt>
                <c:pt idx="11">
                  <c:v>0.0366928142770383</c:v>
                </c:pt>
                <c:pt idx="12">
                  <c:v>0.0385383609776025</c:v>
                </c:pt>
                <c:pt idx="13">
                  <c:v>0.0395466485066655</c:v>
                </c:pt>
                <c:pt idx="14">
                  <c:v>0.0409394527041543</c:v>
                </c:pt>
                <c:pt idx="15">
                  <c:v>0.0401388795641777</c:v>
                </c:pt>
                <c:pt idx="16">
                  <c:v>0.040229941725749</c:v>
                </c:pt>
                <c:pt idx="17">
                  <c:v>0.0397632056481586</c:v>
                </c:pt>
                <c:pt idx="18">
                  <c:v>0.0393991750641643</c:v>
                </c:pt>
                <c:pt idx="19">
                  <c:v>0.0383693045563535</c:v>
                </c:pt>
                <c:pt idx="20">
                  <c:v>0.0395029494246261</c:v>
                </c:pt>
                <c:pt idx="21">
                  <c:v>0.0404763984741314</c:v>
                </c:pt>
                <c:pt idx="22">
                  <c:v>0.0397345846327166</c:v>
                </c:pt>
                <c:pt idx="23">
                  <c:v>0.0396422433994674</c:v>
                </c:pt>
                <c:pt idx="24">
                  <c:v>0.0403101382691634</c:v>
                </c:pt>
                <c:pt idx="25">
                  <c:v>0.0393841215111613</c:v>
                </c:pt>
                <c:pt idx="26">
                  <c:v>0.0409592227090175</c:v>
                </c:pt>
                <c:pt idx="27">
                  <c:v>0.039544102591473</c:v>
                </c:pt>
                <c:pt idx="28">
                  <c:v>0.03943356397326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'9'!$BK$2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'9'!$BK$4:$BK$32</c:f>
              <c:numCache>
                <c:formatCode>0.0000_);[Red]\(0.0000\)</c:formatCode>
                <c:ptCount val="29"/>
                <c:pt idx="0">
                  <c:v>0.0620066534123362</c:v>
                </c:pt>
                <c:pt idx="1">
                  <c:v>0.0868982164409221</c:v>
                </c:pt>
                <c:pt idx="2">
                  <c:v>0.0814688232722721</c:v>
                </c:pt>
                <c:pt idx="3">
                  <c:v>0.0660508492956246</c:v>
                </c:pt>
                <c:pt idx="4">
                  <c:v>0.0658252340037192</c:v>
                </c:pt>
                <c:pt idx="5">
                  <c:v>0.069175074427256</c:v>
                </c:pt>
                <c:pt idx="6">
                  <c:v>0.0846438276829929</c:v>
                </c:pt>
                <c:pt idx="7">
                  <c:v>0.0666429930000482</c:v>
                </c:pt>
                <c:pt idx="8">
                  <c:v>0.0832823850534561</c:v>
                </c:pt>
                <c:pt idx="9">
                  <c:v>0.0947230452357653</c:v>
                </c:pt>
                <c:pt idx="10">
                  <c:v>0.105861244019132</c:v>
                </c:pt>
                <c:pt idx="11">
                  <c:v>0.078667595693511</c:v>
                </c:pt>
                <c:pt idx="12">
                  <c:v>0.0792150421103241</c:v>
                </c:pt>
                <c:pt idx="13">
                  <c:v>0.0778285825469404</c:v>
                </c:pt>
                <c:pt idx="14">
                  <c:v>0.0538677009265289</c:v>
                </c:pt>
                <c:pt idx="15">
                  <c:v>0.0714539194153273</c:v>
                </c:pt>
                <c:pt idx="16">
                  <c:v>0.0813473086366191</c:v>
                </c:pt>
                <c:pt idx="17">
                  <c:v>0.0704036808234202</c:v>
                </c:pt>
                <c:pt idx="18">
                  <c:v>0.0649162580271541</c:v>
                </c:pt>
                <c:pt idx="19">
                  <c:v>0.0629799190950182</c:v>
                </c:pt>
                <c:pt idx="20">
                  <c:v>0.0609225413403021</c:v>
                </c:pt>
                <c:pt idx="21">
                  <c:v>0.0747405919066643</c:v>
                </c:pt>
                <c:pt idx="22">
                  <c:v>0.0626621200198125</c:v>
                </c:pt>
                <c:pt idx="23">
                  <c:v>0.0629784408686169</c:v>
                </c:pt>
                <c:pt idx="24">
                  <c:v>0.066612136143453</c:v>
                </c:pt>
                <c:pt idx="25">
                  <c:v>0.0698510834348917</c:v>
                </c:pt>
                <c:pt idx="26">
                  <c:v>0.0644136635639861</c:v>
                </c:pt>
                <c:pt idx="27">
                  <c:v>0.0616208715229168</c:v>
                </c:pt>
                <c:pt idx="28">
                  <c:v>0.0791603142957655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'9'!$BL$2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'9'!$BL$4:$BL$32</c:f>
              <c:numCache>
                <c:formatCode>0.0000_);[Red]\(0.0000\)</c:formatCode>
                <c:ptCount val="29"/>
                <c:pt idx="0">
                  <c:v>0.050195862286197</c:v>
                </c:pt>
                <c:pt idx="1">
                  <c:v>0.0472039694246782</c:v>
                </c:pt>
                <c:pt idx="2">
                  <c:v>0.0506696339864303</c:v>
                </c:pt>
                <c:pt idx="3">
                  <c:v>0.0502775121503844</c:v>
                </c:pt>
                <c:pt idx="4">
                  <c:v>0.0478728974572437</c:v>
                </c:pt>
                <c:pt idx="5">
                  <c:v>0.0481663481197264</c:v>
                </c:pt>
                <c:pt idx="6">
                  <c:v>0.0494993144344951</c:v>
                </c:pt>
                <c:pt idx="7">
                  <c:v>0.0476716300292495</c:v>
                </c:pt>
                <c:pt idx="8">
                  <c:v>0.0471773048279503</c:v>
                </c:pt>
                <c:pt idx="9">
                  <c:v>0.048462953376452</c:v>
                </c:pt>
                <c:pt idx="10">
                  <c:v>0.0490430622009395</c:v>
                </c:pt>
                <c:pt idx="11">
                  <c:v>0.0460767346205096</c:v>
                </c:pt>
                <c:pt idx="12">
                  <c:v>0.0456822942231054</c:v>
                </c:pt>
                <c:pt idx="13">
                  <c:v>0.0476700068100151</c:v>
                </c:pt>
                <c:pt idx="14">
                  <c:v>0.0489706372059313</c:v>
                </c:pt>
                <c:pt idx="15">
                  <c:v>0.0460374245897324</c:v>
                </c:pt>
                <c:pt idx="16">
                  <c:v>0.047329343206753</c:v>
                </c:pt>
                <c:pt idx="17">
                  <c:v>0.0485884557795617</c:v>
                </c:pt>
                <c:pt idx="18">
                  <c:v>0.0469394481119429</c:v>
                </c:pt>
                <c:pt idx="19">
                  <c:v>0.0455393261148727</c:v>
                </c:pt>
                <c:pt idx="20">
                  <c:v>0.0464171743545041</c:v>
                </c:pt>
                <c:pt idx="21">
                  <c:v>0.0475621948496726</c:v>
                </c:pt>
                <c:pt idx="22">
                  <c:v>0.0466322753636143</c:v>
                </c:pt>
                <c:pt idx="23">
                  <c:v>0.0478440868614066</c:v>
                </c:pt>
                <c:pt idx="24">
                  <c:v>0.0489795118701847</c:v>
                </c:pt>
                <c:pt idx="25">
                  <c:v>0.0465673889566005</c:v>
                </c:pt>
                <c:pt idx="26">
                  <c:v>0.049170735545033</c:v>
                </c:pt>
                <c:pt idx="27">
                  <c:v>0.0465795564267587</c:v>
                </c:pt>
                <c:pt idx="28">
                  <c:v>0.0478871037097988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'9'!$BO$2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'9'!$BO$4:$BO$33</c:f>
              <c:numCache>
                <c:formatCode>0.0000_);[Red]\(0.0000\)</c:formatCode>
                <c:ptCount val="30"/>
                <c:pt idx="0">
                  <c:v>0.0559339383083718</c:v>
                </c:pt>
                <c:pt idx="1">
                  <c:v>0.024588976800304</c:v>
                </c:pt>
                <c:pt idx="2">
                  <c:v>0.0412967452210565</c:v>
                </c:pt>
                <c:pt idx="3">
                  <c:v>0.0556641067855607</c:v>
                </c:pt>
                <c:pt idx="4">
                  <c:v>0.0614747844472749</c:v>
                </c:pt>
                <c:pt idx="5">
                  <c:v>0.0631676035192787</c:v>
                </c:pt>
                <c:pt idx="6">
                  <c:v>0.0339109903327179</c:v>
                </c:pt>
                <c:pt idx="7">
                  <c:v>0.0542386402883297</c:v>
                </c:pt>
                <c:pt idx="8">
                  <c:v>0.0279097084154475</c:v>
                </c:pt>
                <c:pt idx="9">
                  <c:v>0.0350497295986912</c:v>
                </c:pt>
                <c:pt idx="10">
                  <c:v>0.048181818181886</c:v>
                </c:pt>
                <c:pt idx="11">
                  <c:v>0.0702007147513712</c:v>
                </c:pt>
                <c:pt idx="12">
                  <c:v>0.0285699011998534</c:v>
                </c:pt>
                <c:pt idx="13">
                  <c:v>0.0280280182897231</c:v>
                </c:pt>
                <c:pt idx="14">
                  <c:v>0.0402930402930823</c:v>
                </c:pt>
                <c:pt idx="15">
                  <c:v>0.0295694541687349</c:v>
                </c:pt>
                <c:pt idx="16">
                  <c:v>0.028760464221956</c:v>
                </c:pt>
                <c:pt idx="17">
                  <c:v>0.0532370819161369</c:v>
                </c:pt>
                <c:pt idx="18">
                  <c:v>0.0615945430395439</c:v>
                </c:pt>
                <c:pt idx="19">
                  <c:v>0.0610575781797633</c:v>
                </c:pt>
                <c:pt idx="20">
                  <c:v>0.0572613867131015</c:v>
                </c:pt>
                <c:pt idx="21">
                  <c:v>0.0371916950584032</c:v>
                </c:pt>
                <c:pt idx="22">
                  <c:v>0.0560597670330183</c:v>
                </c:pt>
                <c:pt idx="23">
                  <c:v>0.0564169660990226</c:v>
                </c:pt>
                <c:pt idx="24">
                  <c:v>0.0593808010109282</c:v>
                </c:pt>
                <c:pt idx="25">
                  <c:v>0.0550030219262465</c:v>
                </c:pt>
                <c:pt idx="26">
                  <c:v>0.0592192670610418</c:v>
                </c:pt>
                <c:pt idx="27">
                  <c:v>0.0540613976779001</c:v>
                </c:pt>
                <c:pt idx="28">
                  <c:v>0.0352703178139325</c:v>
                </c:pt>
                <c:pt idx="29">
                  <c:v>0.0397629283932078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'9'!$BG$2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'9'!$BG$4:$BG$33</c:f>
              <c:numCache>
                <c:formatCode>0.0000_);[Red]\(0.0000\)</c:formatCode>
                <c:ptCount val="30"/>
                <c:pt idx="0">
                  <c:v>0.254424125509433</c:v>
                </c:pt>
                <c:pt idx="1">
                  <c:v>0.266058736757362</c:v>
                </c:pt>
                <c:pt idx="2">
                  <c:v>0.253348169931971</c:v>
                </c:pt>
                <c:pt idx="3">
                  <c:v>0.25730256218151</c:v>
                </c:pt>
                <c:pt idx="4">
                  <c:v>0.26080755593896</c:v>
                </c:pt>
                <c:pt idx="5">
                  <c:v>0.267476954452116</c:v>
                </c:pt>
                <c:pt idx="6">
                  <c:v>0.253436489904564</c:v>
                </c:pt>
                <c:pt idx="7">
                  <c:v>0.262193965160766</c:v>
                </c:pt>
                <c:pt idx="8">
                  <c:v>0.246958748742389</c:v>
                </c:pt>
                <c:pt idx="9">
                  <c:v>0.264343382053247</c:v>
                </c:pt>
                <c:pt idx="10">
                  <c:v>0.296052631578991</c:v>
                </c:pt>
                <c:pt idx="11">
                  <c:v>0.285450990087981</c:v>
                </c:pt>
                <c:pt idx="12">
                  <c:v>0.240075035598107</c:v>
                </c:pt>
                <c:pt idx="13">
                  <c:v>0.244187177741047</c:v>
                </c:pt>
                <c:pt idx="14">
                  <c:v>0.234569352216454</c:v>
                </c:pt>
                <c:pt idx="15">
                  <c:v>0.236900914034638</c:v>
                </c:pt>
                <c:pt idx="16">
                  <c:v>0.245520967885047</c:v>
                </c:pt>
                <c:pt idx="17">
                  <c:v>0.259303697680623</c:v>
                </c:pt>
                <c:pt idx="18">
                  <c:v>0.261662455432572</c:v>
                </c:pt>
                <c:pt idx="19">
                  <c:v>0.248528449967172</c:v>
                </c:pt>
                <c:pt idx="20">
                  <c:v>0.247074750991228</c:v>
                </c:pt>
                <c:pt idx="21">
                  <c:v>0.242664259437213</c:v>
                </c:pt>
                <c:pt idx="22">
                  <c:v>0.2521057386845</c:v>
                </c:pt>
                <c:pt idx="23">
                  <c:v>0.254354788314283</c:v>
                </c:pt>
                <c:pt idx="24">
                  <c:v>0.264979159217692</c:v>
                </c:pt>
                <c:pt idx="25">
                  <c:v>0.253643650486926</c:v>
                </c:pt>
                <c:pt idx="26">
                  <c:v>0.259129776322345</c:v>
                </c:pt>
                <c:pt idx="27">
                  <c:v>0.250850319506737</c:v>
                </c:pt>
                <c:pt idx="28">
                  <c:v>0.245787889449144</c:v>
                </c:pt>
                <c:pt idx="29">
                  <c:v>0.25393526121508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424256"/>
        <c:axId val="221430528"/>
      </c:lineChart>
      <c:lineChart>
        <c:grouping val="standard"/>
        <c:varyColors val="0"/>
        <c:ser>
          <c:idx val="0"/>
          <c:order val="0"/>
          <c:tx>
            <c:strRef>
              <c:f>'9'!$BH$2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'9'!$BH$4:$BH$33</c:f>
              <c:numCache>
                <c:formatCode>0.0000_);[Red]\(0.0000\)</c:formatCode>
                <c:ptCount val="30"/>
                <c:pt idx="0">
                  <c:v>0.0357866971122629</c:v>
                </c:pt>
                <c:pt idx="1">
                  <c:v>0.0566447633096482</c:v>
                </c:pt>
                <c:pt idx="2">
                  <c:v>0.0286372849024352</c:v>
                </c:pt>
                <c:pt idx="3">
                  <c:v>0.0372014156570038</c:v>
                </c:pt>
                <c:pt idx="4">
                  <c:v>0.0356772768300208</c:v>
                </c:pt>
                <c:pt idx="5">
                  <c:v>0.0371926192757572</c:v>
                </c:pt>
                <c:pt idx="6">
                  <c:v>0.0346851596105423</c:v>
                </c:pt>
                <c:pt idx="7">
                  <c:v>0.0430212138753634</c:v>
                </c:pt>
                <c:pt idx="8">
                  <c:v>0.0377148854024699</c:v>
                </c:pt>
                <c:pt idx="9">
                  <c:v>0.0353867674108706</c:v>
                </c:pt>
                <c:pt idx="10">
                  <c:v>0.0449043062200898</c:v>
                </c:pt>
                <c:pt idx="11">
                  <c:v>0.0423276617742938</c:v>
                </c:pt>
                <c:pt idx="12">
                  <c:v>0.0382331643736494</c:v>
                </c:pt>
                <c:pt idx="13">
                  <c:v>0.0411713201673269</c:v>
                </c:pt>
                <c:pt idx="14">
                  <c:v>0.0404693345869828</c:v>
                </c:pt>
                <c:pt idx="15">
                  <c:v>0.0400141948725774</c:v>
                </c:pt>
                <c:pt idx="16">
                  <c:v>0.0378555863415424</c:v>
                </c:pt>
                <c:pt idx="17">
                  <c:v>0.0372762699931607</c:v>
                </c:pt>
                <c:pt idx="18">
                  <c:v>0.0385662495380969</c:v>
                </c:pt>
                <c:pt idx="19">
                  <c:v>0.0309706174454326</c:v>
                </c:pt>
                <c:pt idx="20">
                  <c:v>0.0332617735228764</c:v>
                </c:pt>
                <c:pt idx="21">
                  <c:v>0.033083874474628</c:v>
                </c:pt>
                <c:pt idx="22">
                  <c:v>0.0373796547268628</c:v>
                </c:pt>
                <c:pt idx="23">
                  <c:v>0.0377675363224492</c:v>
                </c:pt>
                <c:pt idx="24">
                  <c:v>0.0397047515024479</c:v>
                </c:pt>
                <c:pt idx="25">
                  <c:v>0.0332273182137925</c:v>
                </c:pt>
                <c:pt idx="26">
                  <c:v>0.0356114135111314</c:v>
                </c:pt>
                <c:pt idx="27">
                  <c:v>0.0397478881508471</c:v>
                </c:pt>
                <c:pt idx="28">
                  <c:v>0.0345959892107402</c:v>
                </c:pt>
                <c:pt idx="29">
                  <c:v>0.0350842447386823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432064"/>
        <c:axId val="221057024"/>
      </c:lineChart>
      <c:catAx>
        <c:axId val="2214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430528"/>
        <c:crosses val="autoZero"/>
        <c:auto val="1"/>
        <c:lblAlgn val="ctr"/>
        <c:lblOffset val="100"/>
        <c:noMultiLvlLbl val="0"/>
      </c:catAx>
      <c:valAx>
        <c:axId val="2214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424256"/>
        <c:crosses val="autoZero"/>
        <c:crossBetween val="between"/>
      </c:valAx>
      <c:catAx>
        <c:axId val="22143206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1057024"/>
        <c:crosses val="autoZero"/>
        <c:auto val="1"/>
        <c:lblAlgn val="ctr"/>
        <c:lblOffset val="100"/>
        <c:noMultiLvlLbl val="0"/>
      </c:catAx>
      <c:valAx>
        <c:axId val="22105702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432064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'10'!$BJ$2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'10'!$BJ$4:$BJ$32</c:f>
              <c:numCache>
                <c:formatCode>0.0000_);[Red]\(0.0000\)</c:formatCode>
                <c:ptCount val="29"/>
                <c:pt idx="0">
                  <c:v>0.0407557057988046</c:v>
                </c:pt>
                <c:pt idx="1">
                  <c:v>0.0336637591598575</c:v>
                </c:pt>
                <c:pt idx="2">
                  <c:v>0.0348628918865051</c:v>
                </c:pt>
                <c:pt idx="3">
                  <c:v>0.03436030329207</c:v>
                </c:pt>
                <c:pt idx="4">
                  <c:v>0.0366104434855943</c:v>
                </c:pt>
                <c:pt idx="5">
                  <c:v>0.0358430643401876</c:v>
                </c:pt>
                <c:pt idx="6">
                  <c:v>0.0377111947002561</c:v>
                </c:pt>
                <c:pt idx="7">
                  <c:v>0.0360736017842829</c:v>
                </c:pt>
                <c:pt idx="8">
                  <c:v>0.037024097204027</c:v>
                </c:pt>
                <c:pt idx="9">
                  <c:v>0.0369486157586032</c:v>
                </c:pt>
                <c:pt idx="10">
                  <c:v>0.0360566480349907</c:v>
                </c:pt>
                <c:pt idx="11">
                  <c:v>0.0365658087951071</c:v>
                </c:pt>
                <c:pt idx="12">
                  <c:v>0.0375571521881239</c:v>
                </c:pt>
                <c:pt idx="13">
                  <c:v>0.0365948178598437</c:v>
                </c:pt>
                <c:pt idx="14">
                  <c:v>0.037581408963077</c:v>
                </c:pt>
                <c:pt idx="15">
                  <c:v>0.03783355830133</c:v>
                </c:pt>
                <c:pt idx="16">
                  <c:v>0.0381145802179684</c:v>
                </c:pt>
                <c:pt idx="17">
                  <c:v>0.0379895985698073</c:v>
                </c:pt>
                <c:pt idx="18">
                  <c:v>0.0371391153071796</c:v>
                </c:pt>
                <c:pt idx="19">
                  <c:v>0.0364216676747991</c:v>
                </c:pt>
                <c:pt idx="20">
                  <c:v>0.0359915807680361</c:v>
                </c:pt>
                <c:pt idx="21">
                  <c:v>0.0362609046599042</c:v>
                </c:pt>
                <c:pt idx="22">
                  <c:v>0.0375269147954436</c:v>
                </c:pt>
                <c:pt idx="23">
                  <c:v>0.0358348053460916</c:v>
                </c:pt>
                <c:pt idx="24">
                  <c:v>0.0358578201333272</c:v>
                </c:pt>
                <c:pt idx="25">
                  <c:v>0.0363234700596941</c:v>
                </c:pt>
                <c:pt idx="26">
                  <c:v>0.0376243077619193</c:v>
                </c:pt>
                <c:pt idx="27">
                  <c:v>0.0372629061113078</c:v>
                </c:pt>
                <c:pt idx="28">
                  <c:v>0.037939773042332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'10'!$BK$4:$BK$32</c:f>
              <c:numCache>
                <c:formatCode>0.0000_);[Red]\(0.0000\)</c:formatCode>
                <c:ptCount val="29"/>
                <c:pt idx="0">
                  <c:v>0.0690096613525903</c:v>
                </c:pt>
                <c:pt idx="1">
                  <c:v>0.076344596666079</c:v>
                </c:pt>
                <c:pt idx="2">
                  <c:v>0.0738348539033014</c:v>
                </c:pt>
                <c:pt idx="3">
                  <c:v>0.0838212240458044</c:v>
                </c:pt>
                <c:pt idx="4">
                  <c:v>0.0903374579514836</c:v>
                </c:pt>
                <c:pt idx="5">
                  <c:v>0.0714711777697827</c:v>
                </c:pt>
                <c:pt idx="6">
                  <c:v>0.0619712626284445</c:v>
                </c:pt>
                <c:pt idx="7">
                  <c:v>0.062062110596617</c:v>
                </c:pt>
                <c:pt idx="8">
                  <c:v>0.0747275356411552</c:v>
                </c:pt>
                <c:pt idx="9">
                  <c:v>0.0440671564093429</c:v>
                </c:pt>
                <c:pt idx="10">
                  <c:v>0.0584050122119589</c:v>
                </c:pt>
                <c:pt idx="11">
                  <c:v>0.0594134013447681</c:v>
                </c:pt>
                <c:pt idx="12">
                  <c:v>0.0623478415771098</c:v>
                </c:pt>
                <c:pt idx="13">
                  <c:v>0.0613183945372669</c:v>
                </c:pt>
                <c:pt idx="14">
                  <c:v>0.066904316373787</c:v>
                </c:pt>
                <c:pt idx="15">
                  <c:v>0.0830651022739084</c:v>
                </c:pt>
                <c:pt idx="16">
                  <c:v>0.0799849767348046</c:v>
                </c:pt>
                <c:pt idx="17">
                  <c:v>0.0792296440760531</c:v>
                </c:pt>
                <c:pt idx="18">
                  <c:v>0.0964313871133857</c:v>
                </c:pt>
                <c:pt idx="19">
                  <c:v>0.102958777879312</c:v>
                </c:pt>
                <c:pt idx="20">
                  <c:v>0.103650665462698</c:v>
                </c:pt>
                <c:pt idx="21">
                  <c:v>0.0956195088634351</c:v>
                </c:pt>
                <c:pt idx="22">
                  <c:v>0.0909121979561795</c:v>
                </c:pt>
                <c:pt idx="23">
                  <c:v>0.0861048326337396</c:v>
                </c:pt>
                <c:pt idx="24">
                  <c:v>0.0854330613914694</c:v>
                </c:pt>
                <c:pt idx="25">
                  <c:v>0.0823119570066062</c:v>
                </c:pt>
                <c:pt idx="26">
                  <c:v>0.0688549423093948</c:v>
                </c:pt>
                <c:pt idx="27">
                  <c:v>0.0741304498235695</c:v>
                </c:pt>
                <c:pt idx="28">
                  <c:v>0.0710154726177046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'10'!$BL$4:$BL$32</c:f>
              <c:numCache>
                <c:formatCode>0.0000_);[Red]\(0.0000\)</c:formatCode>
                <c:ptCount val="29"/>
                <c:pt idx="0">
                  <c:v>0.041005740803698</c:v>
                </c:pt>
                <c:pt idx="1">
                  <c:v>0.0432819760626452</c:v>
                </c:pt>
                <c:pt idx="2">
                  <c:v>0.0526474610441171</c:v>
                </c:pt>
                <c:pt idx="3">
                  <c:v>0.0383914003263269</c:v>
                </c:pt>
                <c:pt idx="4">
                  <c:v>0.0439800782132288</c:v>
                </c:pt>
                <c:pt idx="5">
                  <c:v>0.0419154275642066</c:v>
                </c:pt>
                <c:pt idx="6">
                  <c:v>0.0470789437022445</c:v>
                </c:pt>
                <c:pt idx="7">
                  <c:v>0.0533346262939708</c:v>
                </c:pt>
                <c:pt idx="8">
                  <c:v>0.0417309614619353</c:v>
                </c:pt>
                <c:pt idx="9">
                  <c:v>0.0474569376716218</c:v>
                </c:pt>
                <c:pt idx="10">
                  <c:v>0.0482686051338488</c:v>
                </c:pt>
                <c:pt idx="11">
                  <c:v>0.0473375067624799</c:v>
                </c:pt>
                <c:pt idx="12">
                  <c:v>0.0514617105080926</c:v>
                </c:pt>
                <c:pt idx="13">
                  <c:v>0.0480736213172315</c:v>
                </c:pt>
                <c:pt idx="14">
                  <c:v>0.0501782372803319</c:v>
                </c:pt>
                <c:pt idx="15">
                  <c:v>0.051915688921192</c:v>
                </c:pt>
                <c:pt idx="16">
                  <c:v>0.0528596367986433</c:v>
                </c:pt>
                <c:pt idx="17">
                  <c:v>0.046047998266448</c:v>
                </c:pt>
                <c:pt idx="18">
                  <c:v>0.0482156935566513</c:v>
                </c:pt>
                <c:pt idx="19">
                  <c:v>0.0514793889396533</c:v>
                </c:pt>
                <c:pt idx="20">
                  <c:v>0.0483279176390911</c:v>
                </c:pt>
                <c:pt idx="21">
                  <c:v>0.0509142839402508</c:v>
                </c:pt>
                <c:pt idx="22">
                  <c:v>0.0505827266823983</c:v>
                </c:pt>
                <c:pt idx="23">
                  <c:v>0.048117406471782</c:v>
                </c:pt>
                <c:pt idx="24">
                  <c:v>0.0469280196375888</c:v>
                </c:pt>
                <c:pt idx="25">
                  <c:v>0.047794039552223</c:v>
                </c:pt>
                <c:pt idx="26">
                  <c:v>0.046231175550565</c:v>
                </c:pt>
                <c:pt idx="27">
                  <c:v>0.0474434878871133</c:v>
                </c:pt>
                <c:pt idx="28">
                  <c:v>0.0437766612026908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'10'!$BO$2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'10'!$BO$4:$BO$33</c:f>
              <c:numCache>
                <c:formatCode>0.0000_);[Red]\(0.0000\)</c:formatCode>
                <c:ptCount val="30"/>
                <c:pt idx="0">
                  <c:v>0.067111395595305</c:v>
                </c:pt>
                <c:pt idx="1">
                  <c:v>0.0852318290844363</c:v>
                </c:pt>
                <c:pt idx="2">
                  <c:v>0.0929651435284928</c:v>
                </c:pt>
                <c:pt idx="3">
                  <c:v>0.086695460216902</c:v>
                </c:pt>
                <c:pt idx="4">
                  <c:v>0.0675866823567735</c:v>
                </c:pt>
                <c:pt idx="5">
                  <c:v>0.0682748577294863</c:v>
                </c:pt>
                <c:pt idx="6">
                  <c:v>0.0557702931863732</c:v>
                </c:pt>
                <c:pt idx="7">
                  <c:v>0.0507745642320167</c:v>
                </c:pt>
                <c:pt idx="8">
                  <c:v>0.0456769635387465</c:v>
                </c:pt>
                <c:pt idx="9">
                  <c:v>0.068115233192761</c:v>
                </c:pt>
                <c:pt idx="10">
                  <c:v>0.0526571867125955</c:v>
                </c:pt>
                <c:pt idx="11">
                  <c:v>0.0554621686374954</c:v>
                </c:pt>
                <c:pt idx="12">
                  <c:v>0.0513093046731157</c:v>
                </c:pt>
                <c:pt idx="13">
                  <c:v>0.0577197405986159</c:v>
                </c:pt>
                <c:pt idx="14">
                  <c:v>0.0622983723434732</c:v>
                </c:pt>
                <c:pt idx="15">
                  <c:v>0.083415533173915</c:v>
                </c:pt>
                <c:pt idx="16">
                  <c:v>0.0839132823750303</c:v>
                </c:pt>
                <c:pt idx="17">
                  <c:v>0.0878568719863787</c:v>
                </c:pt>
                <c:pt idx="18">
                  <c:v>0.0687373352360834</c:v>
                </c:pt>
                <c:pt idx="19">
                  <c:v>0.0619605925276057</c:v>
                </c:pt>
                <c:pt idx="20">
                  <c:v>0.0576475750196288</c:v>
                </c:pt>
                <c:pt idx="21">
                  <c:v>0.0575058209928714</c:v>
                </c:pt>
                <c:pt idx="22">
                  <c:v>0.0980676031304732</c:v>
                </c:pt>
                <c:pt idx="23">
                  <c:v>0.0966450771463579</c:v>
                </c:pt>
                <c:pt idx="24">
                  <c:v>0.0856448391210531</c:v>
                </c:pt>
                <c:pt idx="25">
                  <c:v>0.0622597021899701</c:v>
                </c:pt>
                <c:pt idx="26">
                  <c:v>0.0580919311844601</c:v>
                </c:pt>
                <c:pt idx="27">
                  <c:v>0.0607395253673281</c:v>
                </c:pt>
                <c:pt idx="28">
                  <c:v>0.052862750439007</c:v>
                </c:pt>
                <c:pt idx="29">
                  <c:v>0.0708428746870149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'10'!$BG$2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'10'!$BG$4:$BG$33</c:f>
              <c:numCache>
                <c:formatCode>0.0000_);[Red]\(0.0000\)</c:formatCode>
                <c:ptCount val="30"/>
                <c:pt idx="0">
                  <c:v>0.266537315224037</c:v>
                </c:pt>
                <c:pt idx="1">
                  <c:v>0.291552199866678</c:v>
                </c:pt>
                <c:pt idx="2">
                  <c:v>0.309464344185968</c:v>
                </c:pt>
                <c:pt idx="3">
                  <c:v>0.29817320920113</c:v>
                </c:pt>
                <c:pt idx="4">
                  <c:v>0.29359673834223</c:v>
                </c:pt>
                <c:pt idx="5">
                  <c:v>0.269226015508818</c:v>
                </c:pt>
                <c:pt idx="6">
                  <c:v>0.249806640052512</c:v>
                </c:pt>
                <c:pt idx="7">
                  <c:v>0.249218162864702</c:v>
                </c:pt>
                <c:pt idx="8">
                  <c:v>0.245048087654394</c:v>
                </c:pt>
                <c:pt idx="9">
                  <c:v>0.243095741950501</c:v>
                </c:pt>
                <c:pt idx="10">
                  <c:v>0.2447218280286</c:v>
                </c:pt>
                <c:pt idx="11">
                  <c:v>0.250212535744662</c:v>
                </c:pt>
                <c:pt idx="12">
                  <c:v>0.25631890426144</c:v>
                </c:pt>
                <c:pt idx="13">
                  <c:v>0.252141238337213</c:v>
                </c:pt>
                <c:pt idx="14">
                  <c:v>0.267094575523504</c:v>
                </c:pt>
                <c:pt idx="15">
                  <c:v>0.315387810196043</c:v>
                </c:pt>
                <c:pt idx="16">
                  <c:v>0.311593648497548</c:v>
                </c:pt>
                <c:pt idx="17">
                  <c:v>0.296603282951228</c:v>
                </c:pt>
                <c:pt idx="18">
                  <c:v>0.295158232178273</c:v>
                </c:pt>
                <c:pt idx="19">
                  <c:v>0.297936963488075</c:v>
                </c:pt>
                <c:pt idx="20">
                  <c:v>0.291239293140726</c:v>
                </c:pt>
                <c:pt idx="21">
                  <c:v>0.286237620688621</c:v>
                </c:pt>
                <c:pt idx="22">
                  <c:v>0.327420622714189</c:v>
                </c:pt>
                <c:pt idx="23">
                  <c:v>0.310863770758767</c:v>
                </c:pt>
                <c:pt idx="24">
                  <c:v>0.298414073592708</c:v>
                </c:pt>
                <c:pt idx="25">
                  <c:v>0.275612294751083</c:v>
                </c:pt>
                <c:pt idx="26">
                  <c:v>0.255746928577788</c:v>
                </c:pt>
                <c:pt idx="27">
                  <c:v>0.275765273343585</c:v>
                </c:pt>
                <c:pt idx="28">
                  <c:v>0.265092003949663</c:v>
                </c:pt>
                <c:pt idx="29">
                  <c:v>0.283693268049964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675136"/>
        <c:axId val="223677056"/>
      </c:lineChart>
      <c:lineChart>
        <c:grouping val="standard"/>
        <c:varyColors val="0"/>
        <c:ser>
          <c:idx val="0"/>
          <c:order val="0"/>
          <c:tx>
            <c:strRef>
              <c:f>'10'!$BH$2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'10'!$BH$4:$BH$33</c:f>
              <c:numCache>
                <c:formatCode>0.0000_);[Red]\(0.0000\)</c:formatCode>
                <c:ptCount val="30"/>
                <c:pt idx="0">
                  <c:v>0.0388934450823185</c:v>
                </c:pt>
                <c:pt idx="1">
                  <c:v>0.0415603152370555</c:v>
                </c:pt>
                <c:pt idx="2">
                  <c:v>0.0425956482379144</c:v>
                </c:pt>
                <c:pt idx="3">
                  <c:v>0.0422612534792204</c:v>
                </c:pt>
                <c:pt idx="4">
                  <c:v>0.0431480226794548</c:v>
                </c:pt>
                <c:pt idx="5">
                  <c:v>0.0410814180311577</c:v>
                </c:pt>
                <c:pt idx="6">
                  <c:v>0.0373018961284773</c:v>
                </c:pt>
                <c:pt idx="7">
                  <c:v>0.0371402943101637</c:v>
                </c:pt>
                <c:pt idx="8">
                  <c:v>0.0359701478052453</c:v>
                </c:pt>
                <c:pt idx="9">
                  <c:v>0.036822709597439</c:v>
                </c:pt>
                <c:pt idx="10">
                  <c:v>0.0397964995607555</c:v>
                </c:pt>
                <c:pt idx="11">
                  <c:v>0.0414444702063578</c:v>
                </c:pt>
                <c:pt idx="12">
                  <c:v>0.0436474476970813</c:v>
                </c:pt>
                <c:pt idx="13">
                  <c:v>0.0387022084432987</c:v>
                </c:pt>
                <c:pt idx="14">
                  <c:v>0.0397620715249003</c:v>
                </c:pt>
                <c:pt idx="15">
                  <c:v>0.0458934690063354</c:v>
                </c:pt>
                <c:pt idx="16">
                  <c:v>0.0429498459419748</c:v>
                </c:pt>
                <c:pt idx="17">
                  <c:v>0.0322606858442993</c:v>
                </c:pt>
                <c:pt idx="18">
                  <c:v>0.0320986206402319</c:v>
                </c:pt>
                <c:pt idx="19">
                  <c:v>0.0324011273986115</c:v>
                </c:pt>
                <c:pt idx="20">
                  <c:v>0.0330562956651164</c:v>
                </c:pt>
                <c:pt idx="21">
                  <c:v>0.0338915277389737</c:v>
                </c:pt>
                <c:pt idx="22">
                  <c:v>0.0368789090536228</c:v>
                </c:pt>
                <c:pt idx="23">
                  <c:v>0.0315244987242546</c:v>
                </c:pt>
                <c:pt idx="24">
                  <c:v>0.0324693764589832</c:v>
                </c:pt>
                <c:pt idx="25">
                  <c:v>0.0364721626271738</c:v>
                </c:pt>
                <c:pt idx="26">
                  <c:v>0.0352852070074695</c:v>
                </c:pt>
                <c:pt idx="27">
                  <c:v>0.0446245539817924</c:v>
                </c:pt>
                <c:pt idx="28">
                  <c:v>0.0479208517965475</c:v>
                </c:pt>
                <c:pt idx="29">
                  <c:v>0.0368962133115984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691136"/>
        <c:axId val="223692672"/>
      </c:lineChart>
      <c:catAx>
        <c:axId val="2236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677056"/>
        <c:crosses val="autoZero"/>
        <c:auto val="1"/>
        <c:lblAlgn val="ctr"/>
        <c:lblOffset val="100"/>
        <c:noMultiLvlLbl val="0"/>
      </c:catAx>
      <c:valAx>
        <c:axId val="2236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675136"/>
        <c:crosses val="autoZero"/>
        <c:crossBetween val="between"/>
      </c:valAx>
      <c:catAx>
        <c:axId val="223691136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3692672"/>
        <c:crosses val="autoZero"/>
        <c:auto val="1"/>
        <c:lblAlgn val="ctr"/>
        <c:lblOffset val="100"/>
        <c:noMultiLvlLbl val="0"/>
      </c:catAx>
      <c:valAx>
        <c:axId val="223692672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691136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'11'!$BJ$2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'11'!$BJ$4:$BJ$32</c:f>
              <c:numCache>
                <c:formatCode>0.0000_);[Red]\(0.0000\)</c:formatCode>
                <c:ptCount val="29"/>
                <c:pt idx="0">
                  <c:v>0.0354438864373905</c:v>
                </c:pt>
                <c:pt idx="1">
                  <c:v>0.0373285172020892</c:v>
                </c:pt>
                <c:pt idx="2">
                  <c:v>0.0379348462974367</c:v>
                </c:pt>
                <c:pt idx="3">
                  <c:v>0.036718835503982</c:v>
                </c:pt>
                <c:pt idx="4">
                  <c:v>0.0376498691991613</c:v>
                </c:pt>
                <c:pt idx="5">
                  <c:v>0.0384025079188864</c:v>
                </c:pt>
                <c:pt idx="6">
                  <c:v>0.0417930243643071</c:v>
                </c:pt>
                <c:pt idx="7">
                  <c:v>0.0387534505476161</c:v>
                </c:pt>
                <c:pt idx="8">
                  <c:v>0.0365464202155198</c:v>
                </c:pt>
                <c:pt idx="9">
                  <c:v>0.0360886953640731</c:v>
                </c:pt>
                <c:pt idx="10">
                  <c:v>0.036345116559022</c:v>
                </c:pt>
                <c:pt idx="11">
                  <c:v>0.035909924465345</c:v>
                </c:pt>
                <c:pt idx="12">
                  <c:v>0.037262265013383</c:v>
                </c:pt>
                <c:pt idx="13">
                  <c:v>0.0375875293354486</c:v>
                </c:pt>
                <c:pt idx="14">
                  <c:v>0.039055222428456</c:v>
                </c:pt>
                <c:pt idx="15">
                  <c:v>0.0387542902012511</c:v>
                </c:pt>
                <c:pt idx="16">
                  <c:v>0.0364357441487864</c:v>
                </c:pt>
                <c:pt idx="17">
                  <c:v>0.0376214002501696</c:v>
                </c:pt>
                <c:pt idx="18">
                  <c:v>0.0388043699982393</c:v>
                </c:pt>
                <c:pt idx="19">
                  <c:v>0.0364409061189968</c:v>
                </c:pt>
                <c:pt idx="20">
                  <c:v>0.0370495305560208</c:v>
                </c:pt>
                <c:pt idx="21">
                  <c:v>0.0368461055484004</c:v>
                </c:pt>
                <c:pt idx="22">
                  <c:v>0.0362952597516148</c:v>
                </c:pt>
                <c:pt idx="23">
                  <c:v>0.0378504808952124</c:v>
                </c:pt>
                <c:pt idx="24">
                  <c:v>0.0390650397694056</c:v>
                </c:pt>
                <c:pt idx="25">
                  <c:v>0.0347975647399898</c:v>
                </c:pt>
                <c:pt idx="26">
                  <c:v>0.0364785992217899</c:v>
                </c:pt>
                <c:pt idx="27">
                  <c:v>0.037704755597038</c:v>
                </c:pt>
                <c:pt idx="28">
                  <c:v>0.0376748654111728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'11'!$BK$2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'11'!$BK$4:$BK$32</c:f>
              <c:numCache>
                <c:formatCode>0.0000_);[Red]\(0.0000\)</c:formatCode>
                <c:ptCount val="29"/>
                <c:pt idx="0">
                  <c:v>0.0893714041974203</c:v>
                </c:pt>
                <c:pt idx="1">
                  <c:v>0.0960776181150803</c:v>
                </c:pt>
                <c:pt idx="2">
                  <c:v>0.0924208834953227</c:v>
                </c:pt>
                <c:pt idx="3">
                  <c:v>0.0777060304257355</c:v>
                </c:pt>
                <c:pt idx="4">
                  <c:v>0.107107386514867</c:v>
                </c:pt>
                <c:pt idx="5">
                  <c:v>0.114946282206187</c:v>
                </c:pt>
                <c:pt idx="6">
                  <c:v>0.11950732586815</c:v>
                </c:pt>
                <c:pt idx="7">
                  <c:v>0.0894310397252678</c:v>
                </c:pt>
                <c:pt idx="8">
                  <c:v>0.0785577256969162</c:v>
                </c:pt>
                <c:pt idx="9">
                  <c:v>0.0798684241664049</c:v>
                </c:pt>
                <c:pt idx="10">
                  <c:v>0.0763941940412571</c:v>
                </c:pt>
                <c:pt idx="11">
                  <c:v>0.0854998201555561</c:v>
                </c:pt>
                <c:pt idx="12">
                  <c:v>0.0815835305417409</c:v>
                </c:pt>
                <c:pt idx="13">
                  <c:v>0.0858598385835092</c:v>
                </c:pt>
                <c:pt idx="14">
                  <c:v>0.095913002076975</c:v>
                </c:pt>
                <c:pt idx="15">
                  <c:v>0.0899200851074539</c:v>
                </c:pt>
                <c:pt idx="16">
                  <c:v>0.077169538545697</c:v>
                </c:pt>
                <c:pt idx="17">
                  <c:v>0.0661634381806451</c:v>
                </c:pt>
                <c:pt idx="18">
                  <c:v>0.0640414419286436</c:v>
                </c:pt>
                <c:pt idx="19">
                  <c:v>0.0711511095727096</c:v>
                </c:pt>
                <c:pt idx="20">
                  <c:v>0.083769044808014</c:v>
                </c:pt>
                <c:pt idx="21">
                  <c:v>0.0671931969641883</c:v>
                </c:pt>
                <c:pt idx="22">
                  <c:v>0.0759795347210055</c:v>
                </c:pt>
                <c:pt idx="23">
                  <c:v>0.0650251851276708</c:v>
                </c:pt>
                <c:pt idx="24">
                  <c:v>0.0747708112091209</c:v>
                </c:pt>
                <c:pt idx="25">
                  <c:v>0.0797325542323748</c:v>
                </c:pt>
                <c:pt idx="26">
                  <c:v>0.0778210116731498</c:v>
                </c:pt>
                <c:pt idx="27">
                  <c:v>0.0740536002044287</c:v>
                </c:pt>
                <c:pt idx="28">
                  <c:v>0.0480317009226062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'11'!$BL$2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'11'!$BL$4:$BL$32</c:f>
              <c:numCache>
                <c:formatCode>0.0000_);[Red]\(0.0000\)</c:formatCode>
                <c:ptCount val="29"/>
                <c:pt idx="0">
                  <c:v>0.0426545338214982</c:v>
                </c:pt>
                <c:pt idx="1">
                  <c:v>0.0462012589842844</c:v>
                </c:pt>
                <c:pt idx="2">
                  <c:v>0.0459084127166215</c:v>
                </c:pt>
                <c:pt idx="3">
                  <c:v>0.0437780453102769</c:v>
                </c:pt>
                <c:pt idx="4">
                  <c:v>0.0467377686610562</c:v>
                </c:pt>
                <c:pt idx="5">
                  <c:v>0.0470234790843294</c:v>
                </c:pt>
                <c:pt idx="6">
                  <c:v>0.044210802633316</c:v>
                </c:pt>
                <c:pt idx="7">
                  <c:v>0.045311726794127</c:v>
                </c:pt>
                <c:pt idx="8">
                  <c:v>0.0455407105489363</c:v>
                </c:pt>
                <c:pt idx="9">
                  <c:v>0.0437797288023372</c:v>
                </c:pt>
                <c:pt idx="10">
                  <c:v>0.0451420237516663</c:v>
                </c:pt>
                <c:pt idx="11">
                  <c:v>0.0471723145685797</c:v>
                </c:pt>
                <c:pt idx="12">
                  <c:v>0.045131314767751</c:v>
                </c:pt>
                <c:pt idx="13">
                  <c:v>0.0483359091284816</c:v>
                </c:pt>
                <c:pt idx="14">
                  <c:v>0.0441613822512745</c:v>
                </c:pt>
                <c:pt idx="15">
                  <c:v>0.0455932825897261</c:v>
                </c:pt>
                <c:pt idx="16">
                  <c:v>0.0439573320829914</c:v>
                </c:pt>
                <c:pt idx="17">
                  <c:v>0.0473285908153346</c:v>
                </c:pt>
                <c:pt idx="18">
                  <c:v>0.0464893430296958</c:v>
                </c:pt>
                <c:pt idx="19">
                  <c:v>0.0461520710741825</c:v>
                </c:pt>
                <c:pt idx="20">
                  <c:v>0.0461010850621077</c:v>
                </c:pt>
                <c:pt idx="21">
                  <c:v>0.045162640582512</c:v>
                </c:pt>
                <c:pt idx="22">
                  <c:v>0.0448224593318015</c:v>
                </c:pt>
                <c:pt idx="23">
                  <c:v>0.046585207255639</c:v>
                </c:pt>
                <c:pt idx="24">
                  <c:v>0.0476799375826429</c:v>
                </c:pt>
                <c:pt idx="25">
                  <c:v>0.0478395325394332</c:v>
                </c:pt>
                <c:pt idx="26">
                  <c:v>0.0475572849113469</c:v>
                </c:pt>
                <c:pt idx="27">
                  <c:v>0.0479783888648645</c:v>
                </c:pt>
                <c:pt idx="28">
                  <c:v>0.046030380050819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'11'!$BO$2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'11'!$BO$4:$BO$33</c:f>
              <c:numCache>
                <c:formatCode>0.0000_);[Red]\(0.0000\)</c:formatCode>
                <c:ptCount val="30"/>
                <c:pt idx="0">
                  <c:v>0.063506507355309</c:v>
                </c:pt>
                <c:pt idx="1">
                  <c:v>0.0622687968248083</c:v>
                </c:pt>
                <c:pt idx="2">
                  <c:v>0.082461174168072</c:v>
                </c:pt>
                <c:pt idx="3">
                  <c:v>0.0699551275035486</c:v>
                </c:pt>
                <c:pt idx="4">
                  <c:v>0.0591492427832136</c:v>
                </c:pt>
                <c:pt idx="5">
                  <c:v>0.0545158867516791</c:v>
                </c:pt>
                <c:pt idx="6">
                  <c:v>0.0614060416825565</c:v>
                </c:pt>
                <c:pt idx="7">
                  <c:v>0.0676432536206018</c:v>
                </c:pt>
                <c:pt idx="8">
                  <c:v>0.0780567778808782</c:v>
                </c:pt>
                <c:pt idx="9">
                  <c:v>0.0795087204486212</c:v>
                </c:pt>
                <c:pt idx="10">
                  <c:v>0.0745885130911643</c:v>
                </c:pt>
                <c:pt idx="11">
                  <c:v>0.0708646095606205</c:v>
                </c:pt>
                <c:pt idx="12">
                  <c:v>0.0873603388320919</c:v>
                </c:pt>
                <c:pt idx="13">
                  <c:v>0.0879840745899734</c:v>
                </c:pt>
                <c:pt idx="14">
                  <c:v>0.0985571648391786</c:v>
                </c:pt>
                <c:pt idx="15">
                  <c:v>0.0826504894943914</c:v>
                </c:pt>
                <c:pt idx="16">
                  <c:v>0.0632165045129906</c:v>
                </c:pt>
                <c:pt idx="17">
                  <c:v>0.0612663778657763</c:v>
                </c:pt>
                <c:pt idx="18">
                  <c:v>0.0604551211805703</c:v>
                </c:pt>
                <c:pt idx="19">
                  <c:v>0.0655744009846487</c:v>
                </c:pt>
                <c:pt idx="20">
                  <c:v>0.0855478720412599</c:v>
                </c:pt>
                <c:pt idx="21">
                  <c:v>0.0688785345275391</c:v>
                </c:pt>
                <c:pt idx="22">
                  <c:v>0.060276368724701</c:v>
                </c:pt>
                <c:pt idx="23">
                  <c:v>0.0577656569971537</c:v>
                </c:pt>
                <c:pt idx="24">
                  <c:v>0.068210485251654</c:v>
                </c:pt>
                <c:pt idx="25">
                  <c:v>0.071428978227343</c:v>
                </c:pt>
                <c:pt idx="26">
                  <c:v>0.0733744055338125</c:v>
                </c:pt>
                <c:pt idx="27">
                  <c:v>0.0514516070152617</c:v>
                </c:pt>
                <c:pt idx="28">
                  <c:v>0.112400184121544</c:v>
                </c:pt>
                <c:pt idx="29">
                  <c:v>0.0770374879123292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'11'!$BG$2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'11'!$BG$4:$BG$33</c:f>
              <c:numCache>
                <c:formatCode>0.0000_);[Red]\(0.0000\)</c:formatCode>
                <c:ptCount val="30"/>
                <c:pt idx="0">
                  <c:v>0.281824598463384</c:v>
                </c:pt>
                <c:pt idx="1">
                  <c:v>0.295583054638292</c:v>
                </c:pt>
                <c:pt idx="2">
                  <c:v>0.312902076147577</c:v>
                </c:pt>
                <c:pt idx="3">
                  <c:v>0.281273941118497</c:v>
                </c:pt>
                <c:pt idx="4">
                  <c:v>0.309637717379338</c:v>
                </c:pt>
                <c:pt idx="5">
                  <c:v>0.315449172190713</c:v>
                </c:pt>
                <c:pt idx="6">
                  <c:v>0.326054669420712</c:v>
                </c:pt>
                <c:pt idx="7">
                  <c:v>0.293333810298991</c:v>
                </c:pt>
                <c:pt idx="8">
                  <c:v>0.289752770867616</c:v>
                </c:pt>
                <c:pt idx="9">
                  <c:v>0.297583832264408</c:v>
                </c:pt>
                <c:pt idx="10">
                  <c:v>0.289371947125958</c:v>
                </c:pt>
                <c:pt idx="11">
                  <c:v>0.30426142896733</c:v>
                </c:pt>
                <c:pt idx="12">
                  <c:v>0.304925677982308</c:v>
                </c:pt>
                <c:pt idx="13">
                  <c:v>0.319271399769796</c:v>
                </c:pt>
                <c:pt idx="14">
                  <c:v>0.336040518068145</c:v>
                </c:pt>
                <c:pt idx="15">
                  <c:v>0.31598677794792</c:v>
                </c:pt>
                <c:pt idx="16">
                  <c:v>0.270581799710901</c:v>
                </c:pt>
                <c:pt idx="17">
                  <c:v>0.265136697526917</c:v>
                </c:pt>
                <c:pt idx="18">
                  <c:v>0.258063291919805</c:v>
                </c:pt>
                <c:pt idx="19">
                  <c:v>0.271624168301289</c:v>
                </c:pt>
                <c:pt idx="20">
                  <c:v>0.312587845055247</c:v>
                </c:pt>
                <c:pt idx="21">
                  <c:v>0.269323551766468</c:v>
                </c:pt>
                <c:pt idx="22">
                  <c:v>0.265655063844507</c:v>
                </c:pt>
                <c:pt idx="23">
                  <c:v>0.257189165057354</c:v>
                </c:pt>
                <c:pt idx="24">
                  <c:v>0.27741054593523</c:v>
                </c:pt>
                <c:pt idx="25">
                  <c:v>0.281911531035938</c:v>
                </c:pt>
                <c:pt idx="26">
                  <c:v>0.285884133160248</c:v>
                </c:pt>
                <c:pt idx="27">
                  <c:v>0.260752113395879</c:v>
                </c:pt>
                <c:pt idx="28">
                  <c:v>0.292192847279212</c:v>
                </c:pt>
                <c:pt idx="29">
                  <c:v>0.252799198896591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890048"/>
        <c:axId val="223920896"/>
      </c:lineChart>
      <c:lineChart>
        <c:grouping val="standard"/>
        <c:varyColors val="0"/>
        <c:ser>
          <c:idx val="0"/>
          <c:order val="0"/>
          <c:tx>
            <c:strRef>
              <c:f>'11'!$BH$2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'11'!$BH$4:$BH$33</c:f>
              <c:numCache>
                <c:formatCode>0.0000_);[Red]\(0.0000\)</c:formatCode>
                <c:ptCount val="30"/>
                <c:pt idx="0">
                  <c:v>0.0386612569884832</c:v>
                </c:pt>
                <c:pt idx="1">
                  <c:v>0.0410435184358763</c:v>
                </c:pt>
                <c:pt idx="2">
                  <c:v>0.039655203658178</c:v>
                </c:pt>
                <c:pt idx="3">
                  <c:v>0.0411426069825972</c:v>
                </c:pt>
                <c:pt idx="4">
                  <c:v>0.0438556062602686</c:v>
                </c:pt>
                <c:pt idx="5">
                  <c:v>0.0443379159455333</c:v>
                </c:pt>
                <c:pt idx="6">
                  <c:v>0.0421992111134918</c:v>
                </c:pt>
                <c:pt idx="7">
                  <c:v>0.0385769732958833</c:v>
                </c:pt>
                <c:pt idx="8">
                  <c:v>0.0398481217303243</c:v>
                </c:pt>
                <c:pt idx="9">
                  <c:v>0.0441394325200542</c:v>
                </c:pt>
                <c:pt idx="10">
                  <c:v>0.0433594925573567</c:v>
                </c:pt>
                <c:pt idx="11">
                  <c:v>0.0507102381612232</c:v>
                </c:pt>
                <c:pt idx="12">
                  <c:v>0.0395396605893696</c:v>
                </c:pt>
                <c:pt idx="13">
                  <c:v>0.0441891969243044</c:v>
                </c:pt>
                <c:pt idx="14">
                  <c:v>0.0418208289919456</c:v>
                </c:pt>
                <c:pt idx="15">
                  <c:v>0.0436682328803542</c:v>
                </c:pt>
                <c:pt idx="16">
                  <c:v>0.0379439690540441</c:v>
                </c:pt>
                <c:pt idx="17">
                  <c:v>0.0410503083602561</c:v>
                </c:pt>
                <c:pt idx="18">
                  <c:v>0.0371914744237456</c:v>
                </c:pt>
                <c:pt idx="19">
                  <c:v>0.0405753624860617</c:v>
                </c:pt>
                <c:pt idx="20">
                  <c:v>0.046402428740087</c:v>
                </c:pt>
                <c:pt idx="21">
                  <c:v>0.0378264653073767</c:v>
                </c:pt>
                <c:pt idx="22">
                  <c:v>0.036758789574958</c:v>
                </c:pt>
                <c:pt idx="23">
                  <c:v>0.0405873618214813</c:v>
                </c:pt>
                <c:pt idx="24">
                  <c:v>0.0373463947465346</c:v>
                </c:pt>
                <c:pt idx="25">
                  <c:v>0.0372009317318504</c:v>
                </c:pt>
                <c:pt idx="26">
                  <c:v>0.0404063986165189</c:v>
                </c:pt>
                <c:pt idx="27">
                  <c:v>0.0394883000526687</c:v>
                </c:pt>
                <c:pt idx="28">
                  <c:v>0.0384894030059861</c:v>
                </c:pt>
                <c:pt idx="29">
                  <c:v>0.0392501435801192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922432"/>
        <c:axId val="223924224"/>
      </c:lineChart>
      <c:catAx>
        <c:axId val="22389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920896"/>
        <c:crosses val="autoZero"/>
        <c:auto val="1"/>
        <c:lblAlgn val="ctr"/>
        <c:lblOffset val="100"/>
        <c:noMultiLvlLbl val="0"/>
      </c:catAx>
      <c:valAx>
        <c:axId val="2239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890048"/>
        <c:crosses val="autoZero"/>
        <c:crossBetween val="between"/>
      </c:valAx>
      <c:catAx>
        <c:axId val="22392243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3924224"/>
        <c:crosses val="autoZero"/>
        <c:auto val="1"/>
        <c:lblAlgn val="ctr"/>
        <c:lblOffset val="100"/>
        <c:noMultiLvlLbl val="0"/>
      </c:catAx>
      <c:valAx>
        <c:axId val="223924224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92243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10961371262428"/>
          <c:y val="0.0920863329570157"/>
          <c:w val="0.871518426653726"/>
          <c:h val="0.749640304228249"/>
        </c:manualLayout>
      </c:layout>
      <c:lineChart>
        <c:grouping val="standard"/>
        <c:varyColors val="0"/>
        <c:ser>
          <c:idx val="1"/>
          <c:order val="1"/>
          <c:tx>
            <c:strRef>
              <c:f>'12'!$BJ$2</c:f>
              <c:strCache>
                <c:ptCount val="1"/>
                <c:pt idx="0">
                  <c:v>三次提
升单耗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'12'!$BJ$4:$BJ$32</c:f>
              <c:numCache>
                <c:formatCode>0.0000_);[Red]\(0.0000\)</c:formatCode>
                <c:ptCount val="29"/>
                <c:pt idx="0">
                  <c:v>0.0386355397305531</c:v>
                </c:pt>
                <c:pt idx="1">
                  <c:v>0.038314548831588</c:v>
                </c:pt>
                <c:pt idx="2">
                  <c:v>0.0383285888572635</c:v>
                </c:pt>
                <c:pt idx="3">
                  <c:v>0.0377271580702136</c:v>
                </c:pt>
                <c:pt idx="4">
                  <c:v>0.0384070919681672</c:v>
                </c:pt>
                <c:pt idx="5">
                  <c:v>0.0371884050125761</c:v>
                </c:pt>
                <c:pt idx="6">
                  <c:v>0.0382776181336136</c:v>
                </c:pt>
                <c:pt idx="7">
                  <c:v>0.0382565686354156</c:v>
                </c:pt>
                <c:pt idx="8">
                  <c:v>0.0375142717338118</c:v>
                </c:pt>
                <c:pt idx="9">
                  <c:v>0.0385349246137108</c:v>
                </c:pt>
                <c:pt idx="10">
                  <c:v>0.0382448333499407</c:v>
                </c:pt>
                <c:pt idx="11">
                  <c:v>0.0373455903476029</c:v>
                </c:pt>
                <c:pt idx="12">
                  <c:v>0.0394026310237304</c:v>
                </c:pt>
                <c:pt idx="13">
                  <c:v>0.0393984638005375</c:v>
                </c:pt>
                <c:pt idx="14">
                  <c:v>0.04042799950201</c:v>
                </c:pt>
                <c:pt idx="15">
                  <c:v>0.040247116040637</c:v>
                </c:pt>
                <c:pt idx="16">
                  <c:v>0.0402955867964402</c:v>
                </c:pt>
                <c:pt idx="17">
                  <c:v>0.0451976548528957</c:v>
                </c:pt>
                <c:pt idx="18">
                  <c:v>0.0403130746381276</c:v>
                </c:pt>
                <c:pt idx="19">
                  <c:v>0.041131900417502</c:v>
                </c:pt>
                <c:pt idx="20">
                  <c:v>0.0398488041259139</c:v>
                </c:pt>
                <c:pt idx="21">
                  <c:v>0.0410682473869232</c:v>
                </c:pt>
                <c:pt idx="22">
                  <c:v>0.0410010565656884</c:v>
                </c:pt>
                <c:pt idx="23">
                  <c:v>0.0402608535913227</c:v>
                </c:pt>
                <c:pt idx="24">
                  <c:v>0.0406419099375276</c:v>
                </c:pt>
                <c:pt idx="25">
                  <c:v>0.0409691794929496</c:v>
                </c:pt>
                <c:pt idx="26">
                  <c:v>0.0415067562927708</c:v>
                </c:pt>
                <c:pt idx="27">
                  <c:v>0.0416624642145012</c:v>
                </c:pt>
                <c:pt idx="28">
                  <c:v>0.0419802346271574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'12'!$BK$2</c:f>
              <c:strCache>
                <c:ptCount val="1"/>
                <c:pt idx="0">
                  <c:v>风机
单耗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'12'!$BK$4:$BK$32</c:f>
              <c:numCache>
                <c:formatCode>0.0000_);[Red]\(0.0000\)</c:formatCode>
                <c:ptCount val="29"/>
                <c:pt idx="0">
                  <c:v>0.0615784952003608</c:v>
                </c:pt>
                <c:pt idx="1">
                  <c:v>0.0515398753318461</c:v>
                </c:pt>
                <c:pt idx="2">
                  <c:v>0.0503253355022348</c:v>
                </c:pt>
                <c:pt idx="3">
                  <c:v>0.0526425461444838</c:v>
                </c:pt>
                <c:pt idx="4">
                  <c:v>0.0539555823721901</c:v>
                </c:pt>
                <c:pt idx="5">
                  <c:v>0.0519663301485883</c:v>
                </c:pt>
                <c:pt idx="6">
                  <c:v>0.0721172515560633</c:v>
                </c:pt>
                <c:pt idx="7">
                  <c:v>0.0522472105794849</c:v>
                </c:pt>
                <c:pt idx="8">
                  <c:v>0.0505627140760082</c:v>
                </c:pt>
                <c:pt idx="9">
                  <c:v>0.0523775674361093</c:v>
                </c:pt>
                <c:pt idx="10">
                  <c:v>0.0547936107329091</c:v>
                </c:pt>
                <c:pt idx="11">
                  <c:v>0.0557649086638421</c:v>
                </c:pt>
                <c:pt idx="12">
                  <c:v>0.0598737519173856</c:v>
                </c:pt>
                <c:pt idx="13">
                  <c:v>0.0738011569750609</c:v>
                </c:pt>
                <c:pt idx="14">
                  <c:v>0.072731085003633</c:v>
                </c:pt>
                <c:pt idx="15">
                  <c:v>0.0801186757885129</c:v>
                </c:pt>
                <c:pt idx="16">
                  <c:v>0.092692723621211</c:v>
                </c:pt>
                <c:pt idx="17">
                  <c:v>0.0943189792422859</c:v>
                </c:pt>
                <c:pt idx="18">
                  <c:v>0.095085419711739</c:v>
                </c:pt>
                <c:pt idx="19">
                  <c:v>0.0912324107004737</c:v>
                </c:pt>
                <c:pt idx="20">
                  <c:v>0.092652569263954</c:v>
                </c:pt>
                <c:pt idx="21">
                  <c:v>0.0945909728681559</c:v>
                </c:pt>
                <c:pt idx="22">
                  <c:v>0.0898869317016987</c:v>
                </c:pt>
                <c:pt idx="23">
                  <c:v>0.0910844406343805</c:v>
                </c:pt>
                <c:pt idx="24">
                  <c:v>0.0913475309072063</c:v>
                </c:pt>
                <c:pt idx="25">
                  <c:v>0.0831367262105272</c:v>
                </c:pt>
                <c:pt idx="26">
                  <c:v>0.0839291027978911</c:v>
                </c:pt>
                <c:pt idx="27">
                  <c:v>0.0892212920794909</c:v>
                </c:pt>
                <c:pt idx="28">
                  <c:v>0.0932038236676118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'12'!$BL$2</c:f>
              <c:strCache>
                <c:ptCount val="1"/>
                <c:pt idx="0">
                  <c:v>提标
总单耗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'12'!$BL$4:$BL$32</c:f>
              <c:numCache>
                <c:formatCode>0.0000_);[Red]\(0.0000\)</c:formatCode>
                <c:ptCount val="29"/>
                <c:pt idx="0">
                  <c:v>0.0456872706325059</c:v>
                </c:pt>
                <c:pt idx="1">
                  <c:v>0.0427878210302282</c:v>
                </c:pt>
                <c:pt idx="2">
                  <c:v>0.0447336315575215</c:v>
                </c:pt>
                <c:pt idx="3">
                  <c:v>0.0438687884537349</c:v>
                </c:pt>
                <c:pt idx="4">
                  <c:v>0.047573739295934</c:v>
                </c:pt>
                <c:pt idx="5">
                  <c:v>0.0454705388799858</c:v>
                </c:pt>
                <c:pt idx="6">
                  <c:v>0.0465988394670061</c:v>
                </c:pt>
                <c:pt idx="7">
                  <c:v>0.0441198667115521</c:v>
                </c:pt>
                <c:pt idx="8">
                  <c:v>0.0467569183928985</c:v>
                </c:pt>
                <c:pt idx="9">
                  <c:v>0.0470329176977153</c:v>
                </c:pt>
                <c:pt idx="10">
                  <c:v>0.0487054317625993</c:v>
                </c:pt>
                <c:pt idx="11">
                  <c:v>0.0484422438897913</c:v>
                </c:pt>
                <c:pt idx="12">
                  <c:v>0.0444776442815031</c:v>
                </c:pt>
                <c:pt idx="13">
                  <c:v>0.0442806941850118</c:v>
                </c:pt>
                <c:pt idx="14">
                  <c:v>0.0511083300025745</c:v>
                </c:pt>
                <c:pt idx="15">
                  <c:v>0.048822318058597</c:v>
                </c:pt>
                <c:pt idx="16">
                  <c:v>0.0476337607497905</c:v>
                </c:pt>
                <c:pt idx="17">
                  <c:v>0.0498004210399124</c:v>
                </c:pt>
                <c:pt idx="18">
                  <c:v>0.0424348154085644</c:v>
                </c:pt>
                <c:pt idx="19">
                  <c:v>0.0432967372815722</c:v>
                </c:pt>
                <c:pt idx="20">
                  <c:v>0.042636580546276</c:v>
                </c:pt>
                <c:pt idx="21">
                  <c:v>0.044142454005128</c:v>
                </c:pt>
                <c:pt idx="22">
                  <c:v>0.0457319477079062</c:v>
                </c:pt>
                <c:pt idx="23">
                  <c:v>0.0413324352458069</c:v>
                </c:pt>
                <c:pt idx="24">
                  <c:v>0.0479961603072092</c:v>
                </c:pt>
                <c:pt idx="25">
                  <c:v>0.0494326480170658</c:v>
                </c:pt>
                <c:pt idx="26">
                  <c:v>0.0518834453659912</c:v>
                </c:pt>
                <c:pt idx="27">
                  <c:v>0.0512052632803841</c:v>
                </c:pt>
                <c:pt idx="28">
                  <c:v>0.0539195674110135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'12'!$BO$2</c:f>
              <c:strCache>
                <c:ptCount val="1"/>
                <c:pt idx="0">
                  <c:v>其他
单耗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'12'!$BO$4:$BO$33</c:f>
              <c:numCache>
                <c:formatCode>0.0000_);[Red]\(0.0000\)</c:formatCode>
                <c:ptCount val="30"/>
                <c:pt idx="0">
                  <c:v>0.06143547417924</c:v>
                </c:pt>
                <c:pt idx="1">
                  <c:v>0.0769791798351937</c:v>
                </c:pt>
                <c:pt idx="2">
                  <c:v>0.0834770231802978</c:v>
                </c:pt>
                <c:pt idx="3">
                  <c:v>0.0925499830007991</c:v>
                </c:pt>
                <c:pt idx="4">
                  <c:v>0.102035227773756</c:v>
                </c:pt>
                <c:pt idx="5">
                  <c:v>0.0888082929602777</c:v>
                </c:pt>
                <c:pt idx="6">
                  <c:v>0.0736039764342023</c:v>
                </c:pt>
                <c:pt idx="7">
                  <c:v>0.0927051283540471</c:v>
                </c:pt>
                <c:pt idx="8">
                  <c:v>0.0837492524329436</c:v>
                </c:pt>
                <c:pt idx="9">
                  <c:v>0.0819933405665309</c:v>
                </c:pt>
                <c:pt idx="10">
                  <c:v>0.096031614252955</c:v>
                </c:pt>
                <c:pt idx="11">
                  <c:v>0.0971435974562153</c:v>
                </c:pt>
                <c:pt idx="12">
                  <c:v>0.100111194110535</c:v>
                </c:pt>
                <c:pt idx="13">
                  <c:v>0.0809632754090605</c:v>
                </c:pt>
                <c:pt idx="14">
                  <c:v>0.105804726865202</c:v>
                </c:pt>
                <c:pt idx="15">
                  <c:v>0.0898155392674832</c:v>
                </c:pt>
                <c:pt idx="16">
                  <c:v>0.0811782275092046</c:v>
                </c:pt>
                <c:pt idx="17">
                  <c:v>0.101155218857685</c:v>
                </c:pt>
                <c:pt idx="18">
                  <c:v>0.10874314363407</c:v>
                </c:pt>
                <c:pt idx="19">
                  <c:v>0.108854182774035</c:v>
                </c:pt>
                <c:pt idx="20">
                  <c:v>0.102695123851095</c:v>
                </c:pt>
                <c:pt idx="21">
                  <c:v>0.101972221784393</c:v>
                </c:pt>
                <c:pt idx="22">
                  <c:v>0.0932300947754092</c:v>
                </c:pt>
                <c:pt idx="23">
                  <c:v>0.090992590778187</c:v>
                </c:pt>
                <c:pt idx="24">
                  <c:v>0.0979400357649551</c:v>
                </c:pt>
                <c:pt idx="25">
                  <c:v>0.0920795416244598</c:v>
                </c:pt>
                <c:pt idx="26">
                  <c:v>0.0925356507939665</c:v>
                </c:pt>
                <c:pt idx="27">
                  <c:v>0.0995709619607413</c:v>
                </c:pt>
                <c:pt idx="28">
                  <c:v>0.0934040963465932</c:v>
                </c:pt>
                <c:pt idx="29">
                  <c:v>0.112171418535038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'12'!$BG$2</c:f>
              <c:strCache>
                <c:ptCount val="1"/>
                <c:pt idx="0">
                  <c:v>总单耗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'12'!$BG$4:$BG$33</c:f>
              <c:numCache>
                <c:formatCode>0.0000_);[Red]\(0.0000\)</c:formatCode>
                <c:ptCount val="30"/>
                <c:pt idx="0">
                  <c:v>0.260715403066013</c:v>
                </c:pt>
                <c:pt idx="1">
                  <c:v>0.260130502854071</c:v>
                </c:pt>
                <c:pt idx="2">
                  <c:v>0.268401789345388</c:v>
                </c:pt>
                <c:pt idx="3">
                  <c:v>0.276921727114162</c:v>
                </c:pt>
                <c:pt idx="4">
                  <c:v>0.290083776194565</c:v>
                </c:pt>
                <c:pt idx="5">
                  <c:v>0.272823233280151</c:v>
                </c:pt>
                <c:pt idx="6">
                  <c:v>0.282921525335264</c:v>
                </c:pt>
                <c:pt idx="7">
                  <c:v>0.278071265195281</c:v>
                </c:pt>
                <c:pt idx="8">
                  <c:v>0.266949382917406</c:v>
                </c:pt>
                <c:pt idx="9">
                  <c:v>0.270439276762067</c:v>
                </c:pt>
                <c:pt idx="10">
                  <c:v>0.290572178129047</c:v>
                </c:pt>
                <c:pt idx="11">
                  <c:v>0.290653463338789</c:v>
                </c:pt>
                <c:pt idx="12">
                  <c:v>0.292526045081935</c:v>
                </c:pt>
                <c:pt idx="13">
                  <c:v>0.290663018240388</c:v>
                </c:pt>
                <c:pt idx="14">
                  <c:v>0.323686090016098</c:v>
                </c:pt>
                <c:pt idx="15">
                  <c:v>0.309208014371205</c:v>
                </c:pt>
                <c:pt idx="16">
                  <c:v>0.315412740099996</c:v>
                </c:pt>
                <c:pt idx="17">
                  <c:v>0.348602947279387</c:v>
                </c:pt>
                <c:pt idx="18">
                  <c:v>0.344193502758343</c:v>
                </c:pt>
                <c:pt idx="19">
                  <c:v>0.337869182000849</c:v>
                </c:pt>
                <c:pt idx="20">
                  <c:v>0.338632841646184</c:v>
                </c:pt>
                <c:pt idx="21">
                  <c:v>0.338162728003726</c:v>
                </c:pt>
                <c:pt idx="22">
                  <c:v>0.324854525097297</c:v>
                </c:pt>
                <c:pt idx="23">
                  <c:v>0.319178249953941</c:v>
                </c:pt>
                <c:pt idx="24">
                  <c:v>0.333650727296756</c:v>
                </c:pt>
                <c:pt idx="25">
                  <c:v>0.320563232595501</c:v>
                </c:pt>
                <c:pt idx="26">
                  <c:v>0.321982558006544</c:v>
                </c:pt>
                <c:pt idx="27">
                  <c:v>0.338265072579627</c:v>
                </c:pt>
                <c:pt idx="28">
                  <c:v>0.335841877017214</c:v>
                </c:pt>
                <c:pt idx="29">
                  <c:v>0.327117850242779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39680"/>
        <c:axId val="224041600"/>
      </c:lineChart>
      <c:lineChart>
        <c:grouping val="standard"/>
        <c:varyColors val="0"/>
        <c:ser>
          <c:idx val="0"/>
          <c:order val="0"/>
          <c:tx>
            <c:strRef>
              <c:f>'12'!$BH$2</c:f>
              <c:strCache>
                <c:ptCount val="1"/>
                <c:pt idx="0">
                  <c:v>一次提
升单耗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'12'!$BH$4:$BH$33</c:f>
              <c:numCache>
                <c:formatCode>0.0000_);[Red]\(0.0000\)</c:formatCode>
                <c:ptCount val="30"/>
                <c:pt idx="0">
                  <c:v>0.0438041605212373</c:v>
                </c:pt>
                <c:pt idx="1">
                  <c:v>0.0410957571985666</c:v>
                </c:pt>
                <c:pt idx="2">
                  <c:v>0.0419804798698649</c:v>
                </c:pt>
                <c:pt idx="3">
                  <c:v>0.0394292670622182</c:v>
                </c:pt>
                <c:pt idx="4">
                  <c:v>0.037158571395412</c:v>
                </c:pt>
                <c:pt idx="5">
                  <c:v>0.0392562318997505</c:v>
                </c:pt>
                <c:pt idx="6">
                  <c:v>0.0414507772020764</c:v>
                </c:pt>
                <c:pt idx="7">
                  <c:v>0.0394338724471381</c:v>
                </c:pt>
                <c:pt idx="8">
                  <c:v>0.0380362094275031</c:v>
                </c:pt>
                <c:pt idx="9">
                  <c:v>0.0400036343618227</c:v>
                </c:pt>
                <c:pt idx="10">
                  <c:v>0.041793688218824</c:v>
                </c:pt>
                <c:pt idx="11">
                  <c:v>0.0413674231542649</c:v>
                </c:pt>
                <c:pt idx="12">
                  <c:v>0.0386704605717073</c:v>
                </c:pt>
                <c:pt idx="13">
                  <c:v>0.0410697761554107</c:v>
                </c:pt>
                <c:pt idx="14">
                  <c:v>0.0408761802420407</c:v>
                </c:pt>
                <c:pt idx="15">
                  <c:v>0.0380864155029644</c:v>
                </c:pt>
                <c:pt idx="16">
                  <c:v>0.0407642000103019</c:v>
                </c:pt>
                <c:pt idx="17">
                  <c:v>0.0432207290479855</c:v>
                </c:pt>
                <c:pt idx="18">
                  <c:v>0.0423719490153572</c:v>
                </c:pt>
                <c:pt idx="19">
                  <c:v>0.0396226998608226</c:v>
                </c:pt>
                <c:pt idx="20">
                  <c:v>0.0430563868777768</c:v>
                </c:pt>
                <c:pt idx="21">
                  <c:v>0.0405290788415739</c:v>
                </c:pt>
                <c:pt idx="22">
                  <c:v>0.0392033179316576</c:v>
                </c:pt>
                <c:pt idx="23">
                  <c:v>0.0402914702100318</c:v>
                </c:pt>
                <c:pt idx="24">
                  <c:v>0.0404901801404202</c:v>
                </c:pt>
                <c:pt idx="25">
                  <c:v>0.0403849754709261</c:v>
                </c:pt>
                <c:pt idx="26">
                  <c:v>0.0372340019685156</c:v>
                </c:pt>
                <c:pt idx="27">
                  <c:v>0.0410262776101109</c:v>
                </c:pt>
                <c:pt idx="28">
                  <c:v>0.0390069556241978</c:v>
                </c:pt>
                <c:pt idx="29">
                  <c:v>0.0417422867513597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43392"/>
        <c:axId val="224044928"/>
      </c:lineChart>
      <c:catAx>
        <c:axId val="2240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041600"/>
        <c:crosses val="autoZero"/>
        <c:auto val="1"/>
        <c:lblAlgn val="ctr"/>
        <c:lblOffset val="100"/>
        <c:noMultiLvlLbl val="0"/>
      </c:catAx>
      <c:valAx>
        <c:axId val="2240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039680"/>
        <c:crosses val="autoZero"/>
        <c:crossBetween val="between"/>
      </c:valAx>
      <c:catAx>
        <c:axId val="22404339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4044928"/>
        <c:crosses val="autoZero"/>
        <c:auto val="1"/>
        <c:lblAlgn val="ctr"/>
        <c:lblOffset val="100"/>
        <c:noMultiLvlLbl val="0"/>
      </c:catAx>
      <c:valAx>
        <c:axId val="224044928"/>
        <c:scaling>
          <c:orientation val="minMax"/>
        </c:scaling>
        <c:delete val="0"/>
        <c:axPos val="r"/>
        <c:numFmt formatCode="0.0000_);[Red]\(0.0000\)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043392"/>
        <c:crosses val="max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47559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19031585" y="6334125"/>
        <a:ext cx="8554085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19977735" y="6334125"/>
        <a:ext cx="8860790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280147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749260" y="6334125"/>
        <a:ext cx="8799830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298358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412075" y="6334125"/>
        <a:ext cx="8734425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012660" y="6334125"/>
        <a:ext cx="8910955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487005" y="6334125"/>
        <a:ext cx="8521065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36</xdr:col>
      <xdr:colOff>259565</xdr:colOff>
      <xdr:row>34</xdr:row>
      <xdr:rowOff>53340</xdr:rowOff>
    </xdr:from>
    <xdr:to>
      <xdr:col>56</xdr:col>
      <xdr:colOff>432329</xdr:colOff>
      <xdr:row>63</xdr:row>
      <xdr:rowOff>53340</xdr:rowOff>
    </xdr:to>
    <xdr:graphicFrame>
      <xdr:nvGraphicFramePr>
        <xdr:cNvPr id="2" name="图表 1"/>
        <xdr:cNvGraphicFramePr/>
      </xdr:nvGraphicFramePr>
      <xdr:xfrm>
        <a:off x="21622385" y="6206490"/>
        <a:ext cx="10888345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1238845" y="6334125"/>
        <a:ext cx="8868410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1145500" y="6334125"/>
        <a:ext cx="9182100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184110" y="6334125"/>
        <a:ext cx="8411210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174585" y="6334125"/>
        <a:ext cx="8843645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46205</xdr:colOff>
      <xdr:row>34</xdr:row>
      <xdr:rowOff>0</xdr:rowOff>
    </xdr:from>
    <xdr:to>
      <xdr:col>55</xdr:col>
      <xdr:colOff>272309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20304760" y="6334125"/>
        <a:ext cx="8962390" cy="5248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B4" activePane="bottomRight" state="frozen"/>
      <selection/>
      <selection pane="topRight"/>
      <selection pane="bottomLeft"/>
      <selection pane="bottomRight" activeCell="BF33" sqref="BF33:BF34"/>
    </sheetView>
  </sheetViews>
  <sheetFormatPr defaultColWidth="9" defaultRowHeight="14.25"/>
  <cols>
    <col min="1" max="1" width="7" style="1" customWidth="1"/>
    <col min="2" max="2" width="8.33333333333333" style="2" customWidth="1"/>
    <col min="3" max="6" width="7.44166666666667" style="3" customWidth="1"/>
    <col min="7" max="7" width="8.88333333333333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4" width="7.44166666666667" style="3" customWidth="1"/>
    <col min="15" max="15" width="8.44166666666667" style="3" customWidth="1"/>
    <col min="16" max="20" width="6.66666666666667" style="3" customWidth="1"/>
    <col min="21" max="24" width="7.44166666666667" style="3" customWidth="1"/>
    <col min="25" max="25" width="8.21666666666667" style="3" customWidth="1"/>
    <col min="26" max="26" width="9.21666666666667" style="3" customWidth="1"/>
    <col min="27" max="28" width="7.44166666666667" style="3" customWidth="1"/>
    <col min="29" max="29" width="10.8833333333333" style="3" customWidth="1"/>
    <col min="30" max="30" width="6.775" style="3" customWidth="1"/>
    <col min="31" max="31" width="6.10833333333333" style="1" customWidth="1"/>
    <col min="32" max="32" width="5.88333333333333" style="1" customWidth="1"/>
    <col min="33" max="34" width="5" style="1" customWidth="1"/>
    <col min="35" max="35" width="5.33333333333333" style="1" customWidth="1"/>
    <col min="36" max="36" width="5.88333333333333" style="1" customWidth="1"/>
    <col min="37" max="40" width="4" style="1" customWidth="1"/>
    <col min="41" max="41" width="6.66666666666667" style="1" customWidth="1"/>
    <col min="42" max="42" width="5.10833333333333" style="1" customWidth="1"/>
    <col min="43" max="43" width="5" style="1" customWidth="1"/>
    <col min="44" max="44" width="4.775" style="1" customWidth="1"/>
    <col min="45" max="45" width="5.33333333333333" style="1" customWidth="1"/>
    <col min="46" max="46" width="6.66666666666667" style="1" customWidth="1"/>
    <col min="47" max="51" width="5.44166666666667" style="1" customWidth="1"/>
    <col min="52" max="55" width="6.66666666666667" style="1" customWidth="1"/>
    <col min="56" max="56" width="8.10833333333333" style="1" customWidth="1"/>
    <col min="57" max="57" width="5.88333333333333" style="1" customWidth="1"/>
    <col min="58" max="58" width="6.66666666666667" style="1" customWidth="1"/>
    <col min="59" max="59" width="6" style="1" customWidth="1"/>
    <col min="60" max="60" width="5.88333333333333" style="1" customWidth="1"/>
    <col min="61" max="61" width="6.33333333333333" style="1" customWidth="1"/>
    <col min="62" max="62" width="6.66666666666667" style="1" customWidth="1"/>
    <col min="63" max="63" width="6.21666666666667" style="1" customWidth="1"/>
    <col min="64" max="64" width="7.10833333333333" style="1" customWidth="1"/>
    <col min="65" max="65" width="6.88333333333333" style="1" customWidth="1"/>
    <col min="66" max="66" width="6.66666666666667" style="1" customWidth="1"/>
    <col min="67" max="67" width="6.44166666666667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v>44197</v>
      </c>
      <c r="B4" s="7">
        <v>17434.05</v>
      </c>
      <c r="C4" s="8">
        <v>96972.2</v>
      </c>
      <c r="D4" s="8">
        <v>62397.7</v>
      </c>
      <c r="E4" s="8">
        <v>59476.8</v>
      </c>
      <c r="F4" s="8">
        <v>6515.5</v>
      </c>
      <c r="G4" s="8">
        <v>116901.7</v>
      </c>
      <c r="H4" s="8">
        <v>5709.7</v>
      </c>
      <c r="I4" s="8">
        <v>2566.3</v>
      </c>
      <c r="J4" s="8">
        <v>967</v>
      </c>
      <c r="K4" s="8">
        <v>56</v>
      </c>
      <c r="L4" s="8">
        <v>95098</v>
      </c>
      <c r="M4" s="8">
        <v>61529.1</v>
      </c>
      <c r="N4" s="8">
        <v>76765.9</v>
      </c>
      <c r="O4" s="8">
        <v>106505.7</v>
      </c>
      <c r="P4" s="8">
        <v>5981.2</v>
      </c>
      <c r="Q4" s="8">
        <v>7843.7</v>
      </c>
      <c r="R4" s="8">
        <v>4687.8</v>
      </c>
      <c r="S4" s="8">
        <v>5517.7</v>
      </c>
      <c r="T4" s="8">
        <v>7025.9</v>
      </c>
      <c r="U4" s="8">
        <v>18047</v>
      </c>
      <c r="V4" s="8">
        <v>52204.7</v>
      </c>
      <c r="W4" s="8">
        <v>54914.2</v>
      </c>
      <c r="X4" s="15">
        <v>3990.2</v>
      </c>
      <c r="Y4" s="15">
        <v>3760.9</v>
      </c>
      <c r="Z4" s="15">
        <v>62665.3</v>
      </c>
      <c r="AA4" s="8">
        <v>71513.4</v>
      </c>
      <c r="AB4" s="13">
        <v>5240</v>
      </c>
      <c r="AC4" s="7">
        <v>76753.4</v>
      </c>
      <c r="AD4" s="16">
        <v>177818</v>
      </c>
      <c r="AE4" s="17">
        <f t="shared" ref="AE4:AI4" si="0">IF(OR(C5=""),"",(C5-C4)*80)</f>
        <v>3695.99999999977</v>
      </c>
      <c r="AF4" s="17">
        <f t="shared" si="0"/>
        <v>2440</v>
      </c>
      <c r="AG4" s="17">
        <f t="shared" si="0"/>
        <v>0</v>
      </c>
      <c r="AH4" s="17">
        <f t="shared" si="0"/>
        <v>4.80000000003201</v>
      </c>
      <c r="AI4" s="17">
        <f t="shared" si="0"/>
        <v>1944.00000000023</v>
      </c>
      <c r="AJ4" s="17">
        <f t="shared" ref="AJ4:AJ34" si="1">IF(OR(AE4="",AF4="",AG4=""),"",AE4+AF4+AG4+AH4+AI4)</f>
        <v>8084.80000000003</v>
      </c>
      <c r="AK4" s="17">
        <f t="shared" ref="AK4:AN4" si="2">IF(OR(H5=""),"",(H5-H4)*80)</f>
        <v>0</v>
      </c>
      <c r="AL4" s="17">
        <f t="shared" si="2"/>
        <v>0</v>
      </c>
      <c r="AM4" s="17">
        <f t="shared" si="2"/>
        <v>0</v>
      </c>
      <c r="AN4" s="17">
        <f t="shared" si="2"/>
        <v>0</v>
      </c>
      <c r="AO4" s="17">
        <f t="shared" ref="AO4:AO34" si="3">IF(OR(AK4="",AL4=""),"",AK4+AL4+AM4+AN4)</f>
        <v>0</v>
      </c>
      <c r="AP4" s="17">
        <f t="shared" ref="AP4:AS4" si="4">IF(OR(L5=""),"",(L5-L4)*100)</f>
        <v>1550</v>
      </c>
      <c r="AQ4" s="17">
        <f t="shared" si="4"/>
        <v>0</v>
      </c>
      <c r="AR4" s="17">
        <f t="shared" si="4"/>
        <v>2880.00000000029</v>
      </c>
      <c r="AS4" s="17">
        <f t="shared" si="4"/>
        <v>2300</v>
      </c>
      <c r="AT4" s="17">
        <f t="shared" ref="AT4:AT34" si="5">IF(OR(AP4="",AQ4=""),"",AP4+AQ4+AR4+AS4)</f>
        <v>6730.00000000029</v>
      </c>
      <c r="AU4" s="17">
        <f t="shared" ref="AU4:AY4" si="6">IF(OR(P5=""),"",(P5-P4)*1000)</f>
        <v>2500</v>
      </c>
      <c r="AV4" s="17">
        <f t="shared" si="6"/>
        <v>4699.99999999982</v>
      </c>
      <c r="AW4" s="17">
        <f t="shared" si="6"/>
        <v>0</v>
      </c>
      <c r="AX4" s="17">
        <f t="shared" si="6"/>
        <v>1900.00000000055</v>
      </c>
      <c r="AY4" s="17">
        <f t="shared" si="6"/>
        <v>9100.00000000036</v>
      </c>
      <c r="AZ4" s="17">
        <f t="shared" ref="AZ4:AZ34" si="7">IF(OR(AU4="",AV4="",AW4=""),"",AU4+AV4+AW4+AX4+AY4)</f>
        <v>18200.0000000007</v>
      </c>
      <c r="BA4" s="17">
        <f t="shared" ref="BA4:BA34" si="8">IF(OR(U5=""),"",(U5-U4)*2000)</f>
        <v>5800.00000000291</v>
      </c>
      <c r="BB4" s="17">
        <f t="shared" ref="BB4:BB34" si="9">IF(OR(V5=""),"",(V5-V4)*80)</f>
        <v>648.000000000466</v>
      </c>
      <c r="BC4" s="17">
        <f>IF(OR(Z5=""),"",(Z5-Z4)*40)</f>
        <v>1100</v>
      </c>
      <c r="BD4" s="17">
        <f t="shared" ref="BD4:BD34" si="10">IF(OR(BE4="",BC4=""),"",BE4-BC4-BB4-BA4-AZ4-AT4-AO4-AJ4)</f>
        <v>12737.200000013</v>
      </c>
      <c r="BE4" s="17">
        <f t="shared" ref="BE4:BE34" si="11">IF(OR(B5=""),"",(B5-B4)*10000)</f>
        <v>53300.0000000175</v>
      </c>
      <c r="BF4" s="17">
        <f>IF(OR(AC5=""),"",AC5-AC4)</f>
        <v>43.6000000000058</v>
      </c>
      <c r="BG4" s="20">
        <f t="shared" ref="BG4:BG34" si="12">IF(OR($AD4=0),"",BE4/$AD4)</f>
        <v>0.299744682765622</v>
      </c>
      <c r="BH4" s="20">
        <f t="shared" ref="BH4:BH34" si="13">IF(OR($AD4=0),"",AJ4/$AD4)</f>
        <v>0.0454667131561486</v>
      </c>
      <c r="BI4" s="20">
        <f t="shared" ref="BI4:BI34" si="14">IF(OR($AD4=0),"",AO4/$AD4)</f>
        <v>0</v>
      </c>
      <c r="BJ4" s="20">
        <f t="shared" ref="BJ4:BJ34" si="15">IF(OR($AD4=0),"",AT4/$AD4)</f>
        <v>0.0378476869608267</v>
      </c>
      <c r="BK4" s="20">
        <f t="shared" ref="BK4:BO4" si="16">IF(OR($AD4=0),"",AZ4/$AD4)</f>
        <v>0.102351842895549</v>
      </c>
      <c r="BL4" s="20">
        <f t="shared" si="16"/>
        <v>0.0326176202634318</v>
      </c>
      <c r="BM4" s="20">
        <f t="shared" si="16"/>
        <v>0.00364417550529455</v>
      </c>
      <c r="BN4" s="20">
        <f t="shared" si="16"/>
        <v>0.00618610039478568</v>
      </c>
      <c r="BO4" s="20">
        <f t="shared" si="16"/>
        <v>0.0716305435895862</v>
      </c>
    </row>
    <row r="5" spans="1:67">
      <c r="A5" s="9">
        <f>A4+1</f>
        <v>44198</v>
      </c>
      <c r="B5" s="10">
        <v>17439.38</v>
      </c>
      <c r="C5" s="8">
        <v>97018.4</v>
      </c>
      <c r="D5" s="8">
        <v>62428.2</v>
      </c>
      <c r="E5" s="8">
        <v>59476.8</v>
      </c>
      <c r="F5" s="8">
        <v>6515.56</v>
      </c>
      <c r="G5" s="8">
        <v>116926</v>
      </c>
      <c r="H5" s="8">
        <v>5709.7</v>
      </c>
      <c r="I5" s="8">
        <v>2566.3</v>
      </c>
      <c r="J5" s="8">
        <v>967</v>
      </c>
      <c r="K5" s="8">
        <v>56</v>
      </c>
      <c r="L5" s="8">
        <v>95113.5</v>
      </c>
      <c r="M5" s="8">
        <v>61529.1</v>
      </c>
      <c r="N5" s="8">
        <v>76794.7</v>
      </c>
      <c r="O5" s="8">
        <v>106528.7</v>
      </c>
      <c r="P5" s="8">
        <v>5983.7</v>
      </c>
      <c r="Q5" s="8">
        <v>7848.4</v>
      </c>
      <c r="R5" s="8">
        <v>4687.8</v>
      </c>
      <c r="S5" s="8">
        <v>5519.6</v>
      </c>
      <c r="T5" s="8">
        <v>7035</v>
      </c>
      <c r="U5" s="8">
        <v>18049.9</v>
      </c>
      <c r="V5" s="8">
        <v>52212.8</v>
      </c>
      <c r="W5" s="8">
        <v>54931.3</v>
      </c>
      <c r="X5" s="8">
        <v>3990.2</v>
      </c>
      <c r="Y5" s="8">
        <v>3771.3</v>
      </c>
      <c r="Z5" s="15">
        <f t="shared" ref="Z5:Z35" si="17">IF(OR(W5=""),"",(W5+X5+Y5))</f>
        <v>62692.8</v>
      </c>
      <c r="AA5" s="8">
        <v>71556</v>
      </c>
      <c r="AB5" s="13">
        <v>5241</v>
      </c>
      <c r="AC5" s="7">
        <f t="shared" ref="AC5:AC35" si="18">IF(OR(AA5=""),"",(AA5+AB5))</f>
        <v>76797</v>
      </c>
      <c r="AD5" s="16">
        <v>147192</v>
      </c>
      <c r="AE5" s="17">
        <f t="shared" ref="AE5:AI5" si="19">IF(OR(C6=""),"",(C6-C5)*80)</f>
        <v>3872.0000000007</v>
      </c>
      <c r="AF5" s="17">
        <f t="shared" si="19"/>
        <v>1608.00000000047</v>
      </c>
      <c r="AG5" s="17">
        <f t="shared" si="19"/>
        <v>0</v>
      </c>
      <c r="AH5" s="17">
        <f t="shared" si="19"/>
        <v>228.799999999974</v>
      </c>
      <c r="AI5" s="17">
        <f t="shared" si="19"/>
        <v>1831.99999999953</v>
      </c>
      <c r="AJ5" s="17">
        <f t="shared" si="1"/>
        <v>7540.80000000067</v>
      </c>
      <c r="AK5" s="17">
        <f t="shared" ref="AK5:AN5" si="20">IF(OR(H6=""),"",(H6-H5)*80)</f>
        <v>0</v>
      </c>
      <c r="AL5" s="17">
        <f t="shared" si="20"/>
        <v>0</v>
      </c>
      <c r="AM5" s="17">
        <f t="shared" si="20"/>
        <v>0</v>
      </c>
      <c r="AN5" s="17">
        <f t="shared" si="20"/>
        <v>0</v>
      </c>
      <c r="AO5" s="17">
        <f t="shared" si="3"/>
        <v>0</v>
      </c>
      <c r="AP5" s="17">
        <f t="shared" ref="AP5:AS5" si="21">IF(OR(L6=""),"",(L6-L5)*100)</f>
        <v>1689.99999999942</v>
      </c>
      <c r="AQ5" s="17">
        <f t="shared" si="21"/>
        <v>0</v>
      </c>
      <c r="AR5" s="17">
        <f t="shared" si="21"/>
        <v>2850</v>
      </c>
      <c r="AS5" s="17">
        <f t="shared" si="21"/>
        <v>1430.00000000029</v>
      </c>
      <c r="AT5" s="17">
        <f t="shared" si="5"/>
        <v>5969.99999999971</v>
      </c>
      <c r="AU5" s="17">
        <f t="shared" ref="AU5:AY5" si="22">IF(OR(P6=""),"",(P6-P5)*1000)</f>
        <v>699.999999999818</v>
      </c>
      <c r="AV5" s="17">
        <f t="shared" si="22"/>
        <v>200.000000000728</v>
      </c>
      <c r="AW5" s="17">
        <f t="shared" si="22"/>
        <v>0</v>
      </c>
      <c r="AX5" s="17">
        <f t="shared" si="22"/>
        <v>5000</v>
      </c>
      <c r="AY5" s="17">
        <f t="shared" si="22"/>
        <v>9000</v>
      </c>
      <c r="AZ5" s="17">
        <f t="shared" si="7"/>
        <v>14900.0000000005</v>
      </c>
      <c r="BA5" s="17">
        <f t="shared" si="8"/>
        <v>6599.99999999854</v>
      </c>
      <c r="BB5" s="17">
        <f t="shared" si="9"/>
        <v>607.999999999884</v>
      </c>
      <c r="BC5" s="17">
        <f t="shared" ref="BC5:BC34" si="23">IF(OR(Z6=""),"",(Z6-Z5)*40)</f>
        <v>1140</v>
      </c>
      <c r="BD5" s="17">
        <f t="shared" si="10"/>
        <v>14641.1999999948</v>
      </c>
      <c r="BE5" s="17">
        <f t="shared" si="11"/>
        <v>51399.9999999942</v>
      </c>
      <c r="BF5" s="17">
        <f t="shared" ref="BF5:BF34" si="24">IF(OR(AC6=""),"",AC6-AC5)</f>
        <v>48</v>
      </c>
      <c r="BG5" s="20">
        <f t="shared" si="12"/>
        <v>0.349203761073932</v>
      </c>
      <c r="BH5" s="20">
        <f t="shared" si="13"/>
        <v>0.0512310451655027</v>
      </c>
      <c r="BI5" s="20">
        <f t="shared" si="14"/>
        <v>0</v>
      </c>
      <c r="BJ5" s="20">
        <f t="shared" si="15"/>
        <v>0.0405592695255157</v>
      </c>
      <c r="BK5" s="20">
        <f t="shared" ref="BK5:BO5" si="25">IF(OR($AD5=0),"",AZ5/$AD5)</f>
        <v>0.101228327626505</v>
      </c>
      <c r="BL5" s="20">
        <f t="shared" si="25"/>
        <v>0.0448393934452861</v>
      </c>
      <c r="BM5" s="20">
        <f t="shared" si="25"/>
        <v>0.0041306592749598</v>
      </c>
      <c r="BN5" s="20">
        <f t="shared" si="25"/>
        <v>0.00774498614055112</v>
      </c>
      <c r="BO5" s="20">
        <f t="shared" si="25"/>
        <v>0.0994700798956113</v>
      </c>
    </row>
    <row r="6" spans="1:67">
      <c r="A6" s="9">
        <f t="shared" ref="A6:A35" si="26">A5+1</f>
        <v>44199</v>
      </c>
      <c r="B6" s="10">
        <v>17444.52</v>
      </c>
      <c r="C6" s="8">
        <v>97066.8</v>
      </c>
      <c r="D6" s="8">
        <v>62448.3</v>
      </c>
      <c r="E6" s="8">
        <v>59476.8</v>
      </c>
      <c r="F6" s="8">
        <v>6518.42</v>
      </c>
      <c r="G6" s="8">
        <v>116948.9</v>
      </c>
      <c r="H6" s="8">
        <v>5709.7</v>
      </c>
      <c r="I6" s="8">
        <v>2566.3</v>
      </c>
      <c r="J6" s="8">
        <v>967</v>
      </c>
      <c r="K6" s="8">
        <v>56</v>
      </c>
      <c r="L6" s="8">
        <v>95130.4</v>
      </c>
      <c r="M6" s="8">
        <v>61529.1</v>
      </c>
      <c r="N6" s="8">
        <v>76823.2</v>
      </c>
      <c r="O6" s="8">
        <v>106543</v>
      </c>
      <c r="P6" s="8">
        <v>5984.4</v>
      </c>
      <c r="Q6" s="8">
        <v>7848.6</v>
      </c>
      <c r="R6" s="8">
        <v>4687.8</v>
      </c>
      <c r="S6" s="8">
        <v>5524.6</v>
      </c>
      <c r="T6" s="8">
        <v>7044</v>
      </c>
      <c r="U6" s="8">
        <v>18053.2</v>
      </c>
      <c r="V6" s="8">
        <v>52220.4</v>
      </c>
      <c r="W6" s="8">
        <v>54948.9</v>
      </c>
      <c r="X6" s="8">
        <v>3990.3</v>
      </c>
      <c r="Y6" s="8">
        <v>3782.1</v>
      </c>
      <c r="Z6" s="15">
        <f t="shared" si="17"/>
        <v>62721.3</v>
      </c>
      <c r="AA6" s="8">
        <v>71600</v>
      </c>
      <c r="AB6" s="13">
        <v>5245</v>
      </c>
      <c r="AC6" s="7">
        <f t="shared" si="18"/>
        <v>76845</v>
      </c>
      <c r="AD6" s="16">
        <v>142546</v>
      </c>
      <c r="AE6" s="17">
        <f t="shared" ref="AE6:AI6" si="27">IF(OR(C7=""),"",(C7-C6)*80)</f>
        <v>3791.99999999953</v>
      </c>
      <c r="AF6" s="17">
        <f t="shared" si="27"/>
        <v>791.999999999534</v>
      </c>
      <c r="AG6" s="17">
        <f t="shared" si="27"/>
        <v>0</v>
      </c>
      <c r="AH6" s="17">
        <f t="shared" si="27"/>
        <v>4.79999999995925</v>
      </c>
      <c r="AI6" s="17">
        <f t="shared" si="27"/>
        <v>2016.00000000093</v>
      </c>
      <c r="AJ6" s="17">
        <f t="shared" si="1"/>
        <v>6604.79999999996</v>
      </c>
      <c r="AK6" s="17">
        <f t="shared" ref="AK6:AN6" si="28">IF(OR(H7=""),"",(H7-H6)*80)</f>
        <v>0</v>
      </c>
      <c r="AL6" s="17">
        <f t="shared" si="28"/>
        <v>0</v>
      </c>
      <c r="AM6" s="17">
        <f t="shared" si="28"/>
        <v>0</v>
      </c>
      <c r="AN6" s="17">
        <f t="shared" si="28"/>
        <v>0</v>
      </c>
      <c r="AO6" s="17">
        <f t="shared" si="3"/>
        <v>0</v>
      </c>
      <c r="AP6" s="17">
        <f t="shared" ref="AP6:AS6" si="29">IF(OR(L7=""),"",(L7-L6)*100)</f>
        <v>2300</v>
      </c>
      <c r="AQ6" s="17">
        <f t="shared" si="29"/>
        <v>0</v>
      </c>
      <c r="AR6" s="17">
        <f t="shared" si="29"/>
        <v>2719.99999999971</v>
      </c>
      <c r="AS6" s="17">
        <f t="shared" si="29"/>
        <v>750</v>
      </c>
      <c r="AT6" s="17">
        <f t="shared" si="5"/>
        <v>5769.99999999971</v>
      </c>
      <c r="AU6" s="17">
        <f t="shared" ref="AU6:AY6" si="30">IF(OR(P7=""),"",(P7-P6)*1000)</f>
        <v>2900.00000000055</v>
      </c>
      <c r="AV6" s="17">
        <f t="shared" si="30"/>
        <v>0</v>
      </c>
      <c r="AW6" s="17">
        <f t="shared" si="30"/>
        <v>0</v>
      </c>
      <c r="AX6" s="17">
        <f t="shared" si="30"/>
        <v>5099.99999999945</v>
      </c>
      <c r="AY6" s="17">
        <f t="shared" si="30"/>
        <v>2800.00000000018</v>
      </c>
      <c r="AZ6" s="17">
        <f t="shared" si="7"/>
        <v>10800.0000000002</v>
      </c>
      <c r="BA6" s="17">
        <f t="shared" si="8"/>
        <v>7199.99999999709</v>
      </c>
      <c r="BB6" s="17">
        <f t="shared" si="9"/>
        <v>607.999999999884</v>
      </c>
      <c r="BC6" s="17">
        <f t="shared" si="23"/>
        <v>1100</v>
      </c>
      <c r="BD6" s="17">
        <f t="shared" si="10"/>
        <v>14617.1999999857</v>
      </c>
      <c r="BE6" s="17">
        <f t="shared" si="11"/>
        <v>46699.9999999825</v>
      </c>
      <c r="BF6" s="17">
        <f t="shared" si="24"/>
        <v>45.6999999999971</v>
      </c>
      <c r="BG6" s="20">
        <f t="shared" si="12"/>
        <v>0.327613542294996</v>
      </c>
      <c r="BH6" s="20">
        <f t="shared" si="13"/>
        <v>0.0463345165771046</v>
      </c>
      <c r="BI6" s="20">
        <f t="shared" si="14"/>
        <v>0</v>
      </c>
      <c r="BJ6" s="20">
        <f t="shared" si="15"/>
        <v>0.0404781614356047</v>
      </c>
      <c r="BK6" s="20">
        <f t="shared" ref="BK6:BO6" si="31">IF(OR($AD6=0),"",AZ6/$AD6)</f>
        <v>0.0757650162052964</v>
      </c>
      <c r="BL6" s="20">
        <f t="shared" si="31"/>
        <v>0.0505100108035097</v>
      </c>
      <c r="BM6" s="20">
        <f t="shared" si="31"/>
        <v>0.00426528980118617</v>
      </c>
      <c r="BN6" s="20">
        <f t="shared" si="31"/>
        <v>0.00771680720609487</v>
      </c>
      <c r="BO6" s="20">
        <f t="shared" si="31"/>
        <v>0.1025437402662</v>
      </c>
    </row>
    <row r="7" spans="1:67">
      <c r="A7" s="9">
        <f t="shared" si="26"/>
        <v>44200</v>
      </c>
      <c r="B7" s="10">
        <v>17449.19</v>
      </c>
      <c r="C7" s="8">
        <v>97114.2</v>
      </c>
      <c r="D7" s="8">
        <v>62458.2</v>
      </c>
      <c r="E7" s="8">
        <v>59476.8</v>
      </c>
      <c r="F7" s="8">
        <v>6518.48</v>
      </c>
      <c r="G7" s="8">
        <v>116974.1</v>
      </c>
      <c r="H7" s="8">
        <v>5709.7</v>
      </c>
      <c r="I7" s="8">
        <v>2566.3</v>
      </c>
      <c r="J7" s="8">
        <v>967</v>
      </c>
      <c r="K7" s="8">
        <v>56</v>
      </c>
      <c r="L7" s="8">
        <v>95153.4</v>
      </c>
      <c r="M7" s="8">
        <v>61529.1</v>
      </c>
      <c r="N7" s="8">
        <v>76850.4</v>
      </c>
      <c r="O7" s="8">
        <v>106550.5</v>
      </c>
      <c r="P7" s="8">
        <v>5987.3</v>
      </c>
      <c r="Q7" s="8">
        <v>7848.6</v>
      </c>
      <c r="R7" s="8">
        <v>4687.8</v>
      </c>
      <c r="S7" s="8">
        <v>5529.7</v>
      </c>
      <c r="T7" s="8">
        <v>7046.8</v>
      </c>
      <c r="U7" s="8">
        <v>18056.8</v>
      </c>
      <c r="V7" s="8">
        <v>52228</v>
      </c>
      <c r="W7" s="8">
        <v>54966.1</v>
      </c>
      <c r="X7" s="8">
        <v>3990.4</v>
      </c>
      <c r="Y7" s="8">
        <v>3792.3</v>
      </c>
      <c r="Z7" s="15">
        <f t="shared" si="17"/>
        <v>62748.8</v>
      </c>
      <c r="AA7" s="8">
        <v>71643.7</v>
      </c>
      <c r="AB7" s="13">
        <v>5247</v>
      </c>
      <c r="AC7" s="7">
        <f t="shared" si="18"/>
        <v>76890.7</v>
      </c>
      <c r="AD7" s="16">
        <v>169633</v>
      </c>
      <c r="AE7" s="17">
        <f t="shared" ref="AE7:AI7" si="32">IF(OR(C8=""),"",(C8-C7)*80)</f>
        <v>3768.00000000047</v>
      </c>
      <c r="AF7" s="17">
        <f t="shared" si="32"/>
        <v>3080</v>
      </c>
      <c r="AG7" s="17">
        <f t="shared" si="32"/>
        <v>0</v>
      </c>
      <c r="AH7" s="17">
        <f t="shared" si="32"/>
        <v>28.0000000000291</v>
      </c>
      <c r="AI7" s="17">
        <f t="shared" si="32"/>
        <v>1511.99999999953</v>
      </c>
      <c r="AJ7" s="17">
        <f t="shared" si="1"/>
        <v>8388.00000000003</v>
      </c>
      <c r="AK7" s="17">
        <f t="shared" ref="AK7:AN7" si="33">IF(OR(H8=""),"",(H8-H7)*80)</f>
        <v>0</v>
      </c>
      <c r="AL7" s="17">
        <f t="shared" si="33"/>
        <v>0</v>
      </c>
      <c r="AM7" s="17">
        <f t="shared" si="33"/>
        <v>0</v>
      </c>
      <c r="AN7" s="17">
        <f t="shared" si="33"/>
        <v>0</v>
      </c>
      <c r="AO7" s="17">
        <f t="shared" si="3"/>
        <v>0</v>
      </c>
      <c r="AP7" s="17">
        <f t="shared" ref="AP7:AS7" si="34">IF(OR(L8=""),"",(L8-L7)*100)</f>
        <v>1390.00000000087</v>
      </c>
      <c r="AQ7" s="17">
        <f t="shared" si="34"/>
        <v>0</v>
      </c>
      <c r="AR7" s="17">
        <f t="shared" si="34"/>
        <v>2920.00000000116</v>
      </c>
      <c r="AS7" s="17">
        <f t="shared" si="34"/>
        <v>2339.99999999942</v>
      </c>
      <c r="AT7" s="17">
        <f t="shared" si="5"/>
        <v>6650.00000000146</v>
      </c>
      <c r="AU7" s="17">
        <f t="shared" ref="AU7:AY7" si="35">IF(OR(P8=""),"",(P8-P7)*1000)</f>
        <v>0</v>
      </c>
      <c r="AV7" s="17">
        <f t="shared" si="35"/>
        <v>0</v>
      </c>
      <c r="AW7" s="17">
        <f t="shared" si="35"/>
        <v>0</v>
      </c>
      <c r="AX7" s="17">
        <f t="shared" si="35"/>
        <v>5300.00000000018</v>
      </c>
      <c r="AY7" s="17">
        <f t="shared" si="35"/>
        <v>8699.99999999982</v>
      </c>
      <c r="AZ7" s="17">
        <f t="shared" si="7"/>
        <v>14000</v>
      </c>
      <c r="BA7" s="17">
        <f t="shared" si="8"/>
        <v>6200.00000000437</v>
      </c>
      <c r="BB7" s="17">
        <f t="shared" si="9"/>
        <v>664.000000000233</v>
      </c>
      <c r="BC7" s="17">
        <f t="shared" si="23"/>
        <v>1403.99999999994</v>
      </c>
      <c r="BD7" s="17">
        <f t="shared" si="10"/>
        <v>15494.0000000187</v>
      </c>
      <c r="BE7" s="17">
        <f t="shared" si="11"/>
        <v>52800.0000000247</v>
      </c>
      <c r="BF7" s="17">
        <f t="shared" si="24"/>
        <v>59.6999999999971</v>
      </c>
      <c r="BG7" s="20">
        <f t="shared" si="12"/>
        <v>0.311260191118619</v>
      </c>
      <c r="BH7" s="20">
        <f t="shared" si="13"/>
        <v>0.0494479258163213</v>
      </c>
      <c r="BI7" s="20">
        <f t="shared" si="14"/>
        <v>0</v>
      </c>
      <c r="BJ7" s="20">
        <f t="shared" si="15"/>
        <v>0.0392022778586799</v>
      </c>
      <c r="BK7" s="20">
        <f t="shared" ref="BK7:BO7" si="36">IF(OR($AD7=0),"",AZ7/$AD7)</f>
        <v>0.0825311112814134</v>
      </c>
      <c r="BL7" s="20">
        <f t="shared" si="36"/>
        <v>0.0365494921389374</v>
      </c>
      <c r="BM7" s="20">
        <f t="shared" si="36"/>
        <v>0.00391433270649127</v>
      </c>
      <c r="BN7" s="20">
        <f t="shared" si="36"/>
        <v>0.00827669144564997</v>
      </c>
      <c r="BO7" s="20">
        <f t="shared" si="36"/>
        <v>0.091338359871126</v>
      </c>
    </row>
    <row r="8" spans="1:67">
      <c r="A8" s="9">
        <f t="shared" si="26"/>
        <v>44201</v>
      </c>
      <c r="B8" s="10">
        <v>17454.47</v>
      </c>
      <c r="C8" s="8">
        <v>97161.3</v>
      </c>
      <c r="D8" s="8">
        <v>62496.7</v>
      </c>
      <c r="E8" s="8">
        <v>59476.8</v>
      </c>
      <c r="F8" s="8">
        <v>6518.83</v>
      </c>
      <c r="G8" s="8">
        <v>116993</v>
      </c>
      <c r="H8" s="8">
        <v>5709.7</v>
      </c>
      <c r="I8" s="8">
        <v>2566.3</v>
      </c>
      <c r="J8" s="8">
        <v>967</v>
      </c>
      <c r="K8" s="8">
        <v>56</v>
      </c>
      <c r="L8" s="8">
        <v>95167.3</v>
      </c>
      <c r="M8" s="8">
        <v>61529.1</v>
      </c>
      <c r="N8" s="8">
        <v>76879.6</v>
      </c>
      <c r="O8" s="8">
        <v>106573.9</v>
      </c>
      <c r="P8" s="8">
        <v>5987.3</v>
      </c>
      <c r="Q8" s="8">
        <v>7848.6</v>
      </c>
      <c r="R8" s="8">
        <v>4687.8</v>
      </c>
      <c r="S8" s="8">
        <v>5535</v>
      </c>
      <c r="T8" s="8">
        <v>7055.5</v>
      </c>
      <c r="U8" s="8">
        <v>18059.9</v>
      </c>
      <c r="V8" s="8">
        <v>52236.3</v>
      </c>
      <c r="W8" s="8">
        <v>54983.7</v>
      </c>
      <c r="X8" s="8">
        <v>3997.9</v>
      </c>
      <c r="Y8" s="8">
        <v>3802.3</v>
      </c>
      <c r="Z8" s="15">
        <f t="shared" si="17"/>
        <v>62783.9</v>
      </c>
      <c r="AA8" s="8">
        <v>71685.4</v>
      </c>
      <c r="AB8" s="13">
        <v>5265</v>
      </c>
      <c r="AC8" s="7">
        <f t="shared" si="18"/>
        <v>76950.4</v>
      </c>
      <c r="AD8" s="16">
        <v>204505</v>
      </c>
      <c r="AE8" s="17">
        <f t="shared" ref="AE8:AI8" si="37">IF(OR(C9=""),"",(C9-C8)*80)</f>
        <v>3784.00000000023</v>
      </c>
      <c r="AF8" s="17">
        <f t="shared" si="37"/>
        <v>2824.00000000023</v>
      </c>
      <c r="AG8" s="17">
        <f t="shared" si="37"/>
        <v>607.999999999884</v>
      </c>
      <c r="AH8" s="17">
        <f t="shared" si="37"/>
        <v>2248.79999999997</v>
      </c>
      <c r="AI8" s="17">
        <f t="shared" si="37"/>
        <v>0</v>
      </c>
      <c r="AJ8" s="17">
        <f t="shared" si="1"/>
        <v>9464.80000000032</v>
      </c>
      <c r="AK8" s="17">
        <f t="shared" ref="AK8:AN8" si="38">IF(OR(H9=""),"",(H9-H8)*80)</f>
        <v>0</v>
      </c>
      <c r="AL8" s="17">
        <f t="shared" si="38"/>
        <v>0</v>
      </c>
      <c r="AM8" s="17">
        <f t="shared" si="38"/>
        <v>0</v>
      </c>
      <c r="AN8" s="17">
        <f t="shared" si="38"/>
        <v>0</v>
      </c>
      <c r="AO8" s="17">
        <f t="shared" si="3"/>
        <v>0</v>
      </c>
      <c r="AP8" s="17">
        <f t="shared" ref="AP8:AS8" si="39">IF(OR(L9=""),"",(L9-L8)*100)</f>
        <v>2739.99999999942</v>
      </c>
      <c r="AQ8" s="17">
        <f t="shared" si="39"/>
        <v>0</v>
      </c>
      <c r="AR8" s="17">
        <f t="shared" si="39"/>
        <v>2929.99999999884</v>
      </c>
      <c r="AS8" s="17">
        <f t="shared" si="39"/>
        <v>2320.00000000116</v>
      </c>
      <c r="AT8" s="17">
        <f t="shared" si="5"/>
        <v>7989.99999999942</v>
      </c>
      <c r="AU8" s="17">
        <f t="shared" ref="AU8:AY8" si="40">IF(OR(P9=""),"",(P9-P8)*1000)</f>
        <v>1300.00000000018</v>
      </c>
      <c r="AV8" s="17">
        <f t="shared" si="40"/>
        <v>0</v>
      </c>
      <c r="AW8" s="17">
        <f t="shared" si="40"/>
        <v>0</v>
      </c>
      <c r="AX8" s="17">
        <f t="shared" si="40"/>
        <v>3300.00000000018</v>
      </c>
      <c r="AY8" s="17">
        <f t="shared" si="40"/>
        <v>8600.00000000036</v>
      </c>
      <c r="AZ8" s="17">
        <f t="shared" si="7"/>
        <v>13200.0000000007</v>
      </c>
      <c r="BA8" s="17">
        <f t="shared" si="8"/>
        <v>8799.99999999563</v>
      </c>
      <c r="BB8" s="17">
        <f t="shared" si="9"/>
        <v>607.999999999884</v>
      </c>
      <c r="BC8" s="17">
        <f t="shared" si="23"/>
        <v>1471.99999999983</v>
      </c>
      <c r="BD8" s="17">
        <f t="shared" si="10"/>
        <v>12165.199999994</v>
      </c>
      <c r="BE8" s="17">
        <f t="shared" si="11"/>
        <v>53699.9999999898</v>
      </c>
      <c r="BF8" s="17">
        <f t="shared" si="24"/>
        <v>43.8000000000029</v>
      </c>
      <c r="BG8" s="20">
        <f t="shared" si="12"/>
        <v>0.262585266863841</v>
      </c>
      <c r="BH8" s="20">
        <f t="shared" si="13"/>
        <v>0.0462815090095612</v>
      </c>
      <c r="BI8" s="20">
        <f t="shared" si="14"/>
        <v>0</v>
      </c>
      <c r="BJ8" s="20">
        <f t="shared" si="15"/>
        <v>0.0390699493899876</v>
      </c>
      <c r="BK8" s="20">
        <f t="shared" ref="BK8:BO8" si="41">IF(OR($AD8=0),"",AZ8/$AD8)</f>
        <v>0.0645460991173846</v>
      </c>
      <c r="BL8" s="20">
        <f t="shared" si="41"/>
        <v>0.0430307327448993</v>
      </c>
      <c r="BM8" s="20">
        <f t="shared" si="41"/>
        <v>0.00297303244419395</v>
      </c>
      <c r="BN8" s="20">
        <f t="shared" si="41"/>
        <v>0.00719786802278588</v>
      </c>
      <c r="BO8" s="20">
        <f t="shared" si="41"/>
        <v>0.0594860761350285</v>
      </c>
    </row>
    <row r="9" spans="1:67">
      <c r="A9" s="9">
        <f t="shared" si="26"/>
        <v>44202</v>
      </c>
      <c r="B9" s="10">
        <v>17459.84</v>
      </c>
      <c r="C9" s="8">
        <v>97208.6</v>
      </c>
      <c r="D9" s="8">
        <v>62532</v>
      </c>
      <c r="E9" s="8">
        <v>59484.4</v>
      </c>
      <c r="F9" s="8">
        <v>6546.94</v>
      </c>
      <c r="G9" s="8">
        <v>116993</v>
      </c>
      <c r="H9" s="8">
        <v>5709.7</v>
      </c>
      <c r="I9" s="8">
        <v>2566.3</v>
      </c>
      <c r="J9" s="8">
        <v>967</v>
      </c>
      <c r="K9" s="8">
        <v>56</v>
      </c>
      <c r="L9" s="8">
        <v>95194.7</v>
      </c>
      <c r="M9" s="8">
        <v>61529.1</v>
      </c>
      <c r="N9" s="8">
        <v>76908.9</v>
      </c>
      <c r="O9" s="8">
        <v>106597.1</v>
      </c>
      <c r="P9" s="8">
        <v>5988.6</v>
      </c>
      <c r="Q9" s="8">
        <v>7848.6</v>
      </c>
      <c r="R9" s="8">
        <v>4687.8</v>
      </c>
      <c r="S9" s="8">
        <v>5538.3</v>
      </c>
      <c r="T9" s="8">
        <v>7064.1</v>
      </c>
      <c r="U9" s="8">
        <v>18064.3</v>
      </c>
      <c r="V9" s="8">
        <v>52243.9</v>
      </c>
      <c r="W9" s="8">
        <v>55000.7</v>
      </c>
      <c r="X9" s="8">
        <v>4007.8</v>
      </c>
      <c r="Y9" s="8">
        <v>3812.2</v>
      </c>
      <c r="Z9" s="15">
        <f t="shared" si="17"/>
        <v>62820.7</v>
      </c>
      <c r="AA9" s="8">
        <v>71724.2</v>
      </c>
      <c r="AB9" s="13">
        <v>5270</v>
      </c>
      <c r="AC9" s="7">
        <f t="shared" si="18"/>
        <v>76994.2</v>
      </c>
      <c r="AD9" s="16">
        <v>200113</v>
      </c>
      <c r="AE9" s="17">
        <f t="shared" ref="AE9:AI9" si="42">IF(OR(C10=""),"",(C10-C9)*80)</f>
        <v>3800</v>
      </c>
      <c r="AF9" s="17">
        <f t="shared" si="42"/>
        <v>95.9999999997672</v>
      </c>
      <c r="AG9" s="17">
        <f t="shared" si="42"/>
        <v>2432.00000000012</v>
      </c>
      <c r="AH9" s="17">
        <f t="shared" si="42"/>
        <v>2256.00000000006</v>
      </c>
      <c r="AI9" s="17">
        <f t="shared" si="42"/>
        <v>0</v>
      </c>
      <c r="AJ9" s="17">
        <f t="shared" si="1"/>
        <v>8583.99999999994</v>
      </c>
      <c r="AK9" s="17">
        <f t="shared" ref="AK9:AN9" si="43">IF(OR(H10=""),"",(H10-H9)*80)</f>
        <v>0</v>
      </c>
      <c r="AL9" s="17">
        <f t="shared" si="43"/>
        <v>0</v>
      </c>
      <c r="AM9" s="17">
        <f t="shared" si="43"/>
        <v>0</v>
      </c>
      <c r="AN9" s="17">
        <f t="shared" si="43"/>
        <v>0</v>
      </c>
      <c r="AO9" s="17">
        <f t="shared" si="3"/>
        <v>0</v>
      </c>
      <c r="AP9" s="17">
        <f t="shared" ref="AP9:AS9" si="44">IF(OR(L10=""),"",(L10-L9)*100)</f>
        <v>3069.99999999971</v>
      </c>
      <c r="AQ9" s="17">
        <f t="shared" si="44"/>
        <v>0</v>
      </c>
      <c r="AR9" s="17">
        <f t="shared" si="44"/>
        <v>2980.00000000029</v>
      </c>
      <c r="AS9" s="17">
        <f t="shared" si="44"/>
        <v>2339.99999999942</v>
      </c>
      <c r="AT9" s="17">
        <f t="shared" si="5"/>
        <v>8389.99999999942</v>
      </c>
      <c r="AU9" s="17">
        <f t="shared" ref="AU9:AY9" si="45">IF(OR(P10=""),"",(P10-P9)*1000)</f>
        <v>3899.99999999964</v>
      </c>
      <c r="AV9" s="17">
        <f t="shared" si="45"/>
        <v>0</v>
      </c>
      <c r="AW9" s="17">
        <f t="shared" si="45"/>
        <v>0</v>
      </c>
      <c r="AX9" s="17">
        <f t="shared" si="45"/>
        <v>300.000000000182</v>
      </c>
      <c r="AY9" s="17">
        <f t="shared" si="45"/>
        <v>9000</v>
      </c>
      <c r="AZ9" s="17">
        <f t="shared" si="7"/>
        <v>13199.9999999998</v>
      </c>
      <c r="BA9" s="17">
        <f t="shared" si="8"/>
        <v>10599.9999999985</v>
      </c>
      <c r="BB9" s="17">
        <f t="shared" si="9"/>
        <v>655.999999999767</v>
      </c>
      <c r="BC9" s="17">
        <f t="shared" si="23"/>
        <v>1520.00000000029</v>
      </c>
      <c r="BD9" s="17">
        <f t="shared" si="10"/>
        <v>9149.99999999349</v>
      </c>
      <c r="BE9" s="17">
        <f t="shared" si="11"/>
        <v>52099.9999999913</v>
      </c>
      <c r="BF9" s="17">
        <f t="shared" si="24"/>
        <v>47.8000000000029</v>
      </c>
      <c r="BG9" s="20">
        <f t="shared" si="12"/>
        <v>0.260352900611111</v>
      </c>
      <c r="BH9" s="20">
        <f t="shared" si="13"/>
        <v>0.0428957638933999</v>
      </c>
      <c r="BI9" s="20">
        <f t="shared" si="14"/>
        <v>0</v>
      </c>
      <c r="BJ9" s="20">
        <f t="shared" si="15"/>
        <v>0.0419263116339239</v>
      </c>
      <c r="BK9" s="20">
        <f t="shared" ref="BK9:BO9" si="46">IF(OR($AD9=0),"",AZ9/$AD9)</f>
        <v>0.0659627310569519</v>
      </c>
      <c r="BL9" s="20">
        <f t="shared" si="46"/>
        <v>0.0529700719093639</v>
      </c>
      <c r="BM9" s="20">
        <f t="shared" si="46"/>
        <v>0.00327814784646558</v>
      </c>
      <c r="BN9" s="20">
        <f t="shared" si="46"/>
        <v>0.00759570842474148</v>
      </c>
      <c r="BO9" s="20">
        <f t="shared" si="46"/>
        <v>0.0457241658462643</v>
      </c>
    </row>
    <row r="10" spans="1:67">
      <c r="A10" s="9">
        <f t="shared" si="26"/>
        <v>44203</v>
      </c>
      <c r="B10" s="10">
        <v>17465.05</v>
      </c>
      <c r="C10" s="8">
        <v>97256.1</v>
      </c>
      <c r="D10" s="8">
        <v>62533.2</v>
      </c>
      <c r="E10" s="8">
        <v>59514.8</v>
      </c>
      <c r="F10" s="8">
        <v>6575.14</v>
      </c>
      <c r="G10" s="8">
        <v>116993</v>
      </c>
      <c r="H10" s="8">
        <v>5709.7</v>
      </c>
      <c r="I10" s="8">
        <v>2566.3</v>
      </c>
      <c r="J10" s="8">
        <v>967</v>
      </c>
      <c r="K10" s="8">
        <v>56</v>
      </c>
      <c r="L10" s="8">
        <v>95225.4</v>
      </c>
      <c r="M10" s="8">
        <v>61529.1</v>
      </c>
      <c r="N10" s="8">
        <v>76938.7</v>
      </c>
      <c r="O10" s="8">
        <v>106620.5</v>
      </c>
      <c r="P10" s="8">
        <v>5992.5</v>
      </c>
      <c r="Q10" s="8">
        <v>7848.6</v>
      </c>
      <c r="R10" s="8">
        <v>4687.8</v>
      </c>
      <c r="S10" s="8">
        <v>5538.6</v>
      </c>
      <c r="T10" s="8">
        <v>7073.1</v>
      </c>
      <c r="U10" s="8">
        <v>18069.6</v>
      </c>
      <c r="V10" s="8">
        <v>52252.1</v>
      </c>
      <c r="W10" s="8">
        <v>55018.3</v>
      </c>
      <c r="X10" s="8">
        <v>4018</v>
      </c>
      <c r="Y10" s="8">
        <v>3822.4</v>
      </c>
      <c r="Z10" s="15">
        <f t="shared" si="17"/>
        <v>62858.7</v>
      </c>
      <c r="AA10" s="8">
        <v>71767</v>
      </c>
      <c r="AB10" s="13">
        <v>5275</v>
      </c>
      <c r="AC10" s="7">
        <f t="shared" si="18"/>
        <v>77042</v>
      </c>
      <c r="AD10" s="16">
        <v>205897</v>
      </c>
      <c r="AE10" s="17">
        <f t="shared" ref="AE10:AI10" si="47">IF(OR(C11=""),"",(C11-C10)*80)</f>
        <v>3663.99999999907</v>
      </c>
      <c r="AF10" s="17">
        <f t="shared" si="47"/>
        <v>8.00000000046566</v>
      </c>
      <c r="AG10" s="17">
        <f t="shared" si="47"/>
        <v>3375.99999999977</v>
      </c>
      <c r="AH10" s="17">
        <f t="shared" si="47"/>
        <v>735.999999999985</v>
      </c>
      <c r="AI10" s="17">
        <f t="shared" si="47"/>
        <v>1720</v>
      </c>
      <c r="AJ10" s="17">
        <f t="shared" si="1"/>
        <v>9503.99999999929</v>
      </c>
      <c r="AK10" s="17">
        <f t="shared" ref="AK10:AN10" si="48">IF(OR(H11=""),"",(H11-H10)*80)</f>
        <v>0</v>
      </c>
      <c r="AL10" s="17">
        <f t="shared" si="48"/>
        <v>0</v>
      </c>
      <c r="AM10" s="17">
        <f t="shared" si="48"/>
        <v>0</v>
      </c>
      <c r="AN10" s="17">
        <f t="shared" si="48"/>
        <v>0</v>
      </c>
      <c r="AO10" s="17">
        <f t="shared" si="3"/>
        <v>0</v>
      </c>
      <c r="AP10" s="17">
        <f t="shared" ref="AP10:AS10" si="49">IF(OR(L11=""),"",(L11-L10)*100)</f>
        <v>2990.00000000087</v>
      </c>
      <c r="AQ10" s="17">
        <f t="shared" si="49"/>
        <v>0</v>
      </c>
      <c r="AR10" s="17">
        <f t="shared" si="49"/>
        <v>2990.00000000087</v>
      </c>
      <c r="AS10" s="17">
        <f t="shared" si="49"/>
        <v>2339.99999999942</v>
      </c>
      <c r="AT10" s="17">
        <f t="shared" si="5"/>
        <v>8320.00000000116</v>
      </c>
      <c r="AU10" s="17">
        <f t="shared" ref="AU10:AY10" si="50">IF(OR(P11=""),"",(P11-P10)*1000)</f>
        <v>1000</v>
      </c>
      <c r="AV10" s="17">
        <f t="shared" si="50"/>
        <v>0</v>
      </c>
      <c r="AW10" s="17">
        <f t="shared" si="50"/>
        <v>0</v>
      </c>
      <c r="AX10" s="17">
        <f t="shared" si="50"/>
        <v>4099.99999999945</v>
      </c>
      <c r="AY10" s="17">
        <f t="shared" si="50"/>
        <v>9399.99999999964</v>
      </c>
      <c r="AZ10" s="17">
        <f t="shared" si="7"/>
        <v>14499.9999999991</v>
      </c>
      <c r="BA10" s="17">
        <f t="shared" si="8"/>
        <v>9200.00000000437</v>
      </c>
      <c r="BB10" s="17">
        <f t="shared" si="9"/>
        <v>640</v>
      </c>
      <c r="BC10" s="17">
        <f t="shared" si="23"/>
        <v>1447.99999999988</v>
      </c>
      <c r="BD10" s="17">
        <f t="shared" si="10"/>
        <v>11788.0000000049</v>
      </c>
      <c r="BE10" s="17">
        <f t="shared" si="11"/>
        <v>55400.0000000087</v>
      </c>
      <c r="BF10" s="17">
        <f t="shared" si="24"/>
        <v>54</v>
      </c>
      <c r="BG10" s="20">
        <f t="shared" si="12"/>
        <v>0.269066572121054</v>
      </c>
      <c r="BH10" s="20">
        <f t="shared" si="13"/>
        <v>0.0461590018310091</v>
      </c>
      <c r="BI10" s="20">
        <f t="shared" si="14"/>
        <v>0</v>
      </c>
      <c r="BJ10" s="20">
        <f t="shared" si="15"/>
        <v>0.0404085537914645</v>
      </c>
      <c r="BK10" s="20">
        <f t="shared" ref="BK10:BO10" si="51">IF(OR($AD10=0),"",AZ10/$AD10)</f>
        <v>0.0704235612952063</v>
      </c>
      <c r="BL10" s="20">
        <f t="shared" si="51"/>
        <v>0.0446825354424997</v>
      </c>
      <c r="BM10" s="20">
        <f t="shared" si="51"/>
        <v>0.00310835029165068</v>
      </c>
      <c r="BN10" s="20">
        <f t="shared" si="51"/>
        <v>0.0070326425348591</v>
      </c>
      <c r="BO10" s="20">
        <f t="shared" si="51"/>
        <v>0.0572519269343649</v>
      </c>
    </row>
    <row r="11" spans="1:67">
      <c r="A11" s="9">
        <f t="shared" si="26"/>
        <v>44204</v>
      </c>
      <c r="B11" s="10">
        <v>17470.59</v>
      </c>
      <c r="C11" s="8">
        <v>97301.9</v>
      </c>
      <c r="D11" s="8">
        <v>62533.3</v>
      </c>
      <c r="E11" s="8">
        <v>59557</v>
      </c>
      <c r="F11" s="8">
        <v>6584.34</v>
      </c>
      <c r="G11" s="8">
        <v>117014.5</v>
      </c>
      <c r="H11" s="8">
        <v>5709.7</v>
      </c>
      <c r="I11" s="8">
        <v>2566.3</v>
      </c>
      <c r="J11" s="8">
        <v>967</v>
      </c>
      <c r="K11" s="8">
        <v>56</v>
      </c>
      <c r="L11" s="8">
        <v>95255.3</v>
      </c>
      <c r="M11" s="8">
        <v>61529.1</v>
      </c>
      <c r="N11" s="8">
        <v>76968.6</v>
      </c>
      <c r="O11" s="8">
        <v>106643.9</v>
      </c>
      <c r="P11" s="8">
        <v>5993.5</v>
      </c>
      <c r="Q11" s="8">
        <v>7848.6</v>
      </c>
      <c r="R11" s="8">
        <v>4687.8</v>
      </c>
      <c r="S11" s="8">
        <v>5542.7</v>
      </c>
      <c r="T11" s="8">
        <v>7082.5</v>
      </c>
      <c r="U11" s="8">
        <v>18074.2</v>
      </c>
      <c r="V11" s="8">
        <v>52260.1</v>
      </c>
      <c r="W11" s="8">
        <v>55035.3</v>
      </c>
      <c r="X11" s="8">
        <v>4027.6</v>
      </c>
      <c r="Y11" s="8">
        <v>3832</v>
      </c>
      <c r="Z11" s="15">
        <f t="shared" si="17"/>
        <v>62894.9</v>
      </c>
      <c r="AA11" s="8">
        <v>71816</v>
      </c>
      <c r="AB11" s="13">
        <v>5280</v>
      </c>
      <c r="AC11" s="7">
        <f t="shared" si="18"/>
        <v>77096</v>
      </c>
      <c r="AD11" s="16">
        <v>180562</v>
      </c>
      <c r="AE11" s="17">
        <f t="shared" ref="AE11:AI11" si="52">IF(OR(C12=""),"",(C12-C11)*80)</f>
        <v>3768.00000000047</v>
      </c>
      <c r="AF11" s="17">
        <f t="shared" si="52"/>
        <v>2583.99999999965</v>
      </c>
      <c r="AG11" s="17">
        <f t="shared" si="52"/>
        <v>3335.99999999977</v>
      </c>
      <c r="AH11" s="17">
        <f t="shared" si="52"/>
        <v>4.00000000001455</v>
      </c>
      <c r="AI11" s="17">
        <f t="shared" si="52"/>
        <v>335.999999999767</v>
      </c>
      <c r="AJ11" s="17">
        <f t="shared" si="1"/>
        <v>10027.9999999997</v>
      </c>
      <c r="AK11" s="17">
        <f t="shared" ref="AK11:AN11" si="53">IF(OR(H12=""),"",(H12-H11)*80)</f>
        <v>0</v>
      </c>
      <c r="AL11" s="17">
        <f t="shared" si="53"/>
        <v>0</v>
      </c>
      <c r="AM11" s="17">
        <f t="shared" si="53"/>
        <v>0</v>
      </c>
      <c r="AN11" s="17">
        <f t="shared" si="53"/>
        <v>0</v>
      </c>
      <c r="AO11" s="17">
        <f t="shared" si="3"/>
        <v>0</v>
      </c>
      <c r="AP11" s="17">
        <f t="shared" ref="AP11:AS11" si="54">IF(OR(L12=""),"",(L12-L11)*100)</f>
        <v>2009.99999999913</v>
      </c>
      <c r="AQ11" s="17">
        <f t="shared" si="54"/>
        <v>0</v>
      </c>
      <c r="AR11" s="17">
        <f t="shared" si="54"/>
        <v>2989.99999999942</v>
      </c>
      <c r="AS11" s="17">
        <f t="shared" si="54"/>
        <v>2340.00000000087</v>
      </c>
      <c r="AT11" s="17">
        <f t="shared" si="5"/>
        <v>7339.99999999942</v>
      </c>
      <c r="AU11" s="17">
        <f t="shared" ref="AU11:AY11" si="55">IF(OR(P12=""),"",(P12-P11)*1000)</f>
        <v>0</v>
      </c>
      <c r="AV11" s="17">
        <f t="shared" si="55"/>
        <v>0</v>
      </c>
      <c r="AW11" s="17">
        <f t="shared" si="55"/>
        <v>0</v>
      </c>
      <c r="AX11" s="17">
        <f t="shared" si="55"/>
        <v>5500</v>
      </c>
      <c r="AY11" s="17">
        <f t="shared" si="55"/>
        <v>9600.00000000036</v>
      </c>
      <c r="AZ11" s="17">
        <f t="shared" si="7"/>
        <v>15100.0000000004</v>
      </c>
      <c r="BA11" s="17">
        <f t="shared" si="8"/>
        <v>8799.99999999563</v>
      </c>
      <c r="BB11" s="17">
        <f t="shared" si="9"/>
        <v>552.000000000116</v>
      </c>
      <c r="BC11" s="17">
        <f t="shared" si="23"/>
        <v>1467.99999999959</v>
      </c>
      <c r="BD11" s="17">
        <f t="shared" si="10"/>
        <v>12412.0000000023</v>
      </c>
      <c r="BE11" s="17">
        <f t="shared" si="11"/>
        <v>55699.9999999971</v>
      </c>
      <c r="BF11" s="17">
        <f t="shared" si="24"/>
        <v>45.3999999999942</v>
      </c>
      <c r="BG11" s="20">
        <f t="shared" si="12"/>
        <v>0.308481297282912</v>
      </c>
      <c r="BH11" s="20">
        <f t="shared" si="13"/>
        <v>0.0555377100386552</v>
      </c>
      <c r="BI11" s="20">
        <f t="shared" si="14"/>
        <v>0</v>
      </c>
      <c r="BJ11" s="20">
        <f t="shared" si="15"/>
        <v>0.0406508567694167</v>
      </c>
      <c r="BK11" s="20">
        <f t="shared" ref="BK11:BO11" si="56">IF(OR($AD11=0),"",AZ11/$AD11)</f>
        <v>0.0836277843621602</v>
      </c>
      <c r="BL11" s="20">
        <f t="shared" si="56"/>
        <v>0.0487367220123594</v>
      </c>
      <c r="BM11" s="20">
        <f t="shared" si="56"/>
        <v>0.0030571216535047</v>
      </c>
      <c r="BN11" s="20">
        <f t="shared" si="56"/>
        <v>0.00813017135388173</v>
      </c>
      <c r="BO11" s="20">
        <f t="shared" si="56"/>
        <v>0.0687409310929337</v>
      </c>
    </row>
    <row r="12" spans="1:67">
      <c r="A12" s="9">
        <f t="shared" si="26"/>
        <v>44205</v>
      </c>
      <c r="B12" s="10">
        <v>17476.16</v>
      </c>
      <c r="C12" s="8">
        <v>97349</v>
      </c>
      <c r="D12" s="8">
        <v>62565.6</v>
      </c>
      <c r="E12" s="8">
        <v>59598.7</v>
      </c>
      <c r="F12" s="8">
        <v>6584.39</v>
      </c>
      <c r="G12" s="8">
        <v>117018.7</v>
      </c>
      <c r="H12" s="8">
        <v>5709.7</v>
      </c>
      <c r="I12" s="8">
        <v>2566.3</v>
      </c>
      <c r="J12" s="8">
        <v>967</v>
      </c>
      <c r="K12" s="8">
        <v>56</v>
      </c>
      <c r="L12" s="8">
        <v>95275.4</v>
      </c>
      <c r="M12" s="8">
        <v>61529.1</v>
      </c>
      <c r="N12" s="8">
        <v>76998.5</v>
      </c>
      <c r="O12" s="8">
        <v>106667.3</v>
      </c>
      <c r="P12" s="8">
        <v>5993.5</v>
      </c>
      <c r="Q12" s="8">
        <v>7848.6</v>
      </c>
      <c r="R12" s="8">
        <v>4687.8</v>
      </c>
      <c r="S12" s="8">
        <v>5548.2</v>
      </c>
      <c r="T12" s="8">
        <v>7092.1</v>
      </c>
      <c r="U12" s="8">
        <v>18078.6</v>
      </c>
      <c r="V12" s="8">
        <v>52267</v>
      </c>
      <c r="W12" s="8">
        <v>55052.7</v>
      </c>
      <c r="X12" s="8">
        <v>4037.2</v>
      </c>
      <c r="Y12" s="8">
        <v>3841.7</v>
      </c>
      <c r="Z12" s="15">
        <f t="shared" si="17"/>
        <v>62931.6</v>
      </c>
      <c r="AA12" s="8">
        <v>71853.4</v>
      </c>
      <c r="AB12" s="13">
        <v>5288</v>
      </c>
      <c r="AC12" s="7">
        <f t="shared" si="18"/>
        <v>77141.4</v>
      </c>
      <c r="AD12" s="16">
        <v>193298</v>
      </c>
      <c r="AE12" s="17">
        <f t="shared" ref="AE12:AI12" si="57">IF(OR(C13=""),"",(C13-C12)*80)</f>
        <v>3760</v>
      </c>
      <c r="AF12" s="17">
        <f t="shared" si="57"/>
        <v>16.0000000003492</v>
      </c>
      <c r="AG12" s="17">
        <f t="shared" si="57"/>
        <v>2152.00000000012</v>
      </c>
      <c r="AH12" s="17">
        <f t="shared" si="57"/>
        <v>4.79999999995925</v>
      </c>
      <c r="AI12" s="17">
        <f t="shared" si="57"/>
        <v>2272.0000000007</v>
      </c>
      <c r="AJ12" s="17">
        <f t="shared" si="1"/>
        <v>8204.80000000112</v>
      </c>
      <c r="AK12" s="17">
        <f t="shared" ref="AK12:AN12" si="58">IF(OR(H13=""),"",(H13-H12)*80)</f>
        <v>0</v>
      </c>
      <c r="AL12" s="17">
        <f t="shared" si="58"/>
        <v>0</v>
      </c>
      <c r="AM12" s="17">
        <f t="shared" si="58"/>
        <v>0</v>
      </c>
      <c r="AN12" s="17">
        <f t="shared" si="58"/>
        <v>0</v>
      </c>
      <c r="AO12" s="17">
        <f t="shared" si="3"/>
        <v>0</v>
      </c>
      <c r="AP12" s="17">
        <f t="shared" ref="AP12:AS12" si="59">IF(OR(L13=""),"",(L13-L12)*100)</f>
        <v>2150</v>
      </c>
      <c r="AQ12" s="17">
        <f t="shared" si="59"/>
        <v>0</v>
      </c>
      <c r="AR12" s="17">
        <f t="shared" si="59"/>
        <v>3010.00000000058</v>
      </c>
      <c r="AS12" s="17">
        <f t="shared" si="59"/>
        <v>2339.99999999942</v>
      </c>
      <c r="AT12" s="17">
        <f t="shared" si="5"/>
        <v>7500</v>
      </c>
      <c r="AU12" s="17">
        <f t="shared" ref="AU12:AY12" si="60">IF(OR(P13=""),"",(P13-P12)*1000)</f>
        <v>1199.99999999982</v>
      </c>
      <c r="AV12" s="17">
        <f t="shared" si="60"/>
        <v>1799.99999999927</v>
      </c>
      <c r="AW12" s="17">
        <f t="shared" si="60"/>
        <v>0</v>
      </c>
      <c r="AX12" s="17">
        <f t="shared" si="60"/>
        <v>5500</v>
      </c>
      <c r="AY12" s="17">
        <f t="shared" si="60"/>
        <v>7199.99999999982</v>
      </c>
      <c r="AZ12" s="17">
        <f t="shared" si="7"/>
        <v>15699.9999999989</v>
      </c>
      <c r="BA12" s="17">
        <f t="shared" si="8"/>
        <v>8000</v>
      </c>
      <c r="BB12" s="17">
        <f t="shared" si="9"/>
        <v>615.999999999767</v>
      </c>
      <c r="BC12" s="17">
        <f t="shared" si="23"/>
        <v>1440.00000000029</v>
      </c>
      <c r="BD12" s="17">
        <f t="shared" si="10"/>
        <v>14039.1999999926</v>
      </c>
      <c r="BE12" s="17">
        <f t="shared" si="11"/>
        <v>55499.9999999927</v>
      </c>
      <c r="BF12" s="17">
        <f t="shared" si="24"/>
        <v>45.4000000000087</v>
      </c>
      <c r="BG12" s="20">
        <f t="shared" si="12"/>
        <v>0.287121439435445</v>
      </c>
      <c r="BH12" s="20">
        <f t="shared" si="13"/>
        <v>0.0424463781311815</v>
      </c>
      <c r="BI12" s="20">
        <f t="shared" si="14"/>
        <v>0</v>
      </c>
      <c r="BJ12" s="20">
        <f t="shared" si="15"/>
        <v>0.0388001945183085</v>
      </c>
      <c r="BK12" s="20">
        <f t="shared" ref="BK12:BO12" si="61">IF(OR($AD12=0),"",AZ12/$AD12)</f>
        <v>0.0812217405249868</v>
      </c>
      <c r="BL12" s="20">
        <f t="shared" si="61"/>
        <v>0.0413868741528624</v>
      </c>
      <c r="BM12" s="20">
        <f t="shared" si="61"/>
        <v>0.0031867893097692</v>
      </c>
      <c r="BN12" s="20">
        <f t="shared" si="61"/>
        <v>0.00744963734751674</v>
      </c>
      <c r="BO12" s="20">
        <f t="shared" si="61"/>
        <v>0.0726298254508202</v>
      </c>
    </row>
    <row r="13" spans="1:67">
      <c r="A13" s="9">
        <f t="shared" si="26"/>
        <v>44206</v>
      </c>
      <c r="B13" s="10">
        <v>17481.71</v>
      </c>
      <c r="C13" s="8">
        <v>97396</v>
      </c>
      <c r="D13" s="8">
        <v>62565.8</v>
      </c>
      <c r="E13" s="8">
        <v>59625.6</v>
      </c>
      <c r="F13" s="8">
        <v>6584.45</v>
      </c>
      <c r="G13" s="8">
        <v>117047.1</v>
      </c>
      <c r="H13" s="8">
        <v>5709.7</v>
      </c>
      <c r="I13" s="8">
        <v>2566.3</v>
      </c>
      <c r="J13" s="8">
        <v>967</v>
      </c>
      <c r="K13" s="8">
        <v>56</v>
      </c>
      <c r="L13" s="8">
        <v>95296.9</v>
      </c>
      <c r="M13" s="8">
        <v>61529.1</v>
      </c>
      <c r="N13" s="8">
        <v>77028.6</v>
      </c>
      <c r="O13" s="8">
        <v>106690.7</v>
      </c>
      <c r="P13" s="8">
        <v>5994.7</v>
      </c>
      <c r="Q13" s="8">
        <v>7850.4</v>
      </c>
      <c r="R13" s="8">
        <v>4687.8</v>
      </c>
      <c r="S13" s="8">
        <v>5553.7</v>
      </c>
      <c r="T13" s="8">
        <v>7099.3</v>
      </c>
      <c r="U13" s="8">
        <v>18082.6</v>
      </c>
      <c r="V13" s="8">
        <v>52274.7</v>
      </c>
      <c r="W13" s="8">
        <v>55069.9</v>
      </c>
      <c r="X13" s="8">
        <v>4046.5</v>
      </c>
      <c r="Y13" s="8">
        <v>3851.2</v>
      </c>
      <c r="Z13" s="15">
        <f t="shared" si="17"/>
        <v>62967.6</v>
      </c>
      <c r="AA13" s="8">
        <v>71896.8</v>
      </c>
      <c r="AB13" s="13">
        <v>5290</v>
      </c>
      <c r="AC13" s="7">
        <f t="shared" si="18"/>
        <v>77186.8</v>
      </c>
      <c r="AD13" s="16">
        <v>192158</v>
      </c>
      <c r="AE13" s="17">
        <f t="shared" ref="AE13:AI13" si="62">IF(OR(C14=""),"",(C14-C13)*80)</f>
        <v>3944.00000000023</v>
      </c>
      <c r="AF13" s="17">
        <f t="shared" si="62"/>
        <v>2623.99999999965</v>
      </c>
      <c r="AG13" s="17">
        <f t="shared" si="62"/>
        <v>2407.99999999988</v>
      </c>
      <c r="AH13" s="17">
        <f t="shared" si="62"/>
        <v>4.80000000003201</v>
      </c>
      <c r="AI13" s="17">
        <f t="shared" si="62"/>
        <v>2440</v>
      </c>
      <c r="AJ13" s="17">
        <f t="shared" si="1"/>
        <v>11420.7999999998</v>
      </c>
      <c r="AK13" s="17">
        <f t="shared" ref="AK13:AN13" si="63">IF(OR(H14=""),"",(H14-H13)*80)</f>
        <v>0</v>
      </c>
      <c r="AL13" s="17">
        <f t="shared" si="63"/>
        <v>0</v>
      </c>
      <c r="AM13" s="17">
        <f t="shared" si="63"/>
        <v>0</v>
      </c>
      <c r="AN13" s="17">
        <f t="shared" si="63"/>
        <v>0</v>
      </c>
      <c r="AO13" s="17">
        <f t="shared" si="3"/>
        <v>0</v>
      </c>
      <c r="AP13" s="17">
        <f t="shared" ref="AP13:AS13" si="64">IF(OR(L14=""),"",(L14-L13)*100)</f>
        <v>2440.00000000087</v>
      </c>
      <c r="AQ13" s="17">
        <f t="shared" si="64"/>
        <v>0</v>
      </c>
      <c r="AR13" s="17">
        <f t="shared" si="64"/>
        <v>2989.99999999942</v>
      </c>
      <c r="AS13" s="17">
        <f t="shared" si="64"/>
        <v>2360.00000000058</v>
      </c>
      <c r="AT13" s="17">
        <f t="shared" si="5"/>
        <v>7790.00000000087</v>
      </c>
      <c r="AU13" s="17">
        <f t="shared" ref="AU13:AY13" si="65">IF(OR(P14=""),"",(P14-P13)*1000)</f>
        <v>3400.00000000055</v>
      </c>
      <c r="AV13" s="17">
        <f t="shared" si="65"/>
        <v>6600.00000000036</v>
      </c>
      <c r="AW13" s="17">
        <f t="shared" si="65"/>
        <v>0</v>
      </c>
      <c r="AX13" s="17">
        <f t="shared" si="65"/>
        <v>5199.99999999982</v>
      </c>
      <c r="AY13" s="17">
        <f t="shared" si="65"/>
        <v>899.999999999636</v>
      </c>
      <c r="AZ13" s="17">
        <f t="shared" si="7"/>
        <v>16100.0000000004</v>
      </c>
      <c r="BA13" s="17">
        <f t="shared" si="8"/>
        <v>9600.00000000582</v>
      </c>
      <c r="BB13" s="17">
        <f t="shared" si="9"/>
        <v>624.000000000233</v>
      </c>
      <c r="BC13" s="17">
        <f t="shared" si="23"/>
        <v>1452.00000000041</v>
      </c>
      <c r="BD13" s="17">
        <f t="shared" si="10"/>
        <v>15513.1999999925</v>
      </c>
      <c r="BE13" s="17">
        <f t="shared" si="11"/>
        <v>62500</v>
      </c>
      <c r="BF13" s="17">
        <f t="shared" si="24"/>
        <v>127.199999999997</v>
      </c>
      <c r="BG13" s="20">
        <f t="shared" si="12"/>
        <v>0.325253177073034</v>
      </c>
      <c r="BH13" s="20">
        <f t="shared" si="13"/>
        <v>0.0594344237554502</v>
      </c>
      <c r="BI13" s="20">
        <f t="shared" si="14"/>
        <v>0</v>
      </c>
      <c r="BJ13" s="20">
        <f t="shared" si="15"/>
        <v>0.0405395559903875</v>
      </c>
      <c r="BK13" s="20">
        <f t="shared" ref="BK13:BO13" si="66">IF(OR($AD13=0),"",AZ13/$AD13)</f>
        <v>0.0837852184140154</v>
      </c>
      <c r="BL13" s="20">
        <f t="shared" si="66"/>
        <v>0.0499588879984483</v>
      </c>
      <c r="BM13" s="20">
        <f t="shared" si="66"/>
        <v>0.00324732771989838</v>
      </c>
      <c r="BN13" s="20">
        <f t="shared" si="66"/>
        <v>0.00755628180976284</v>
      </c>
      <c r="BO13" s="20">
        <f t="shared" si="66"/>
        <v>0.0807314813850711</v>
      </c>
    </row>
    <row r="14" spans="1:67">
      <c r="A14" s="9">
        <f t="shared" si="26"/>
        <v>44207</v>
      </c>
      <c r="B14" s="10">
        <v>17487.96</v>
      </c>
      <c r="C14" s="8">
        <v>97445.3</v>
      </c>
      <c r="D14" s="8">
        <v>62598.6</v>
      </c>
      <c r="E14" s="8">
        <v>59655.7</v>
      </c>
      <c r="F14" s="8">
        <v>6584.51</v>
      </c>
      <c r="G14" s="8">
        <v>117077.6</v>
      </c>
      <c r="H14" s="8">
        <v>5709.7</v>
      </c>
      <c r="I14" s="8">
        <v>2566.3</v>
      </c>
      <c r="J14" s="8">
        <v>967</v>
      </c>
      <c r="K14" s="8">
        <v>56</v>
      </c>
      <c r="L14" s="8">
        <v>95321.3</v>
      </c>
      <c r="M14" s="8">
        <v>61529.1</v>
      </c>
      <c r="N14" s="8">
        <v>77058.5</v>
      </c>
      <c r="O14" s="8">
        <v>106714.3</v>
      </c>
      <c r="P14" s="8">
        <v>5998.1</v>
      </c>
      <c r="Q14" s="8">
        <v>7857</v>
      </c>
      <c r="R14" s="8">
        <v>4687.8</v>
      </c>
      <c r="S14" s="8">
        <v>5558.9</v>
      </c>
      <c r="T14" s="8">
        <v>7100.2</v>
      </c>
      <c r="U14" s="8">
        <v>18087.4</v>
      </c>
      <c r="V14" s="8">
        <v>52282.5</v>
      </c>
      <c r="W14" s="8">
        <v>55087.3</v>
      </c>
      <c r="X14" s="8">
        <v>4055.8</v>
      </c>
      <c r="Y14" s="8">
        <v>3860.8</v>
      </c>
      <c r="Z14" s="15">
        <f t="shared" si="17"/>
        <v>63003.9</v>
      </c>
      <c r="AA14" s="8">
        <v>71929</v>
      </c>
      <c r="AB14" s="13">
        <v>5385</v>
      </c>
      <c r="AC14" s="7">
        <f t="shared" si="18"/>
        <v>77314</v>
      </c>
      <c r="AD14" s="16">
        <v>191858</v>
      </c>
      <c r="AE14" s="17">
        <f t="shared" ref="AE14:AI14" si="67">IF(OR(C15=""),"",(C15-C14)*80)</f>
        <v>927.999999999302</v>
      </c>
      <c r="AF14" s="17">
        <f t="shared" si="67"/>
        <v>24.0000000002328</v>
      </c>
      <c r="AG14" s="17">
        <f t="shared" si="67"/>
        <v>1992.00000000012</v>
      </c>
      <c r="AH14" s="17">
        <f t="shared" si="67"/>
        <v>2009.59999999999</v>
      </c>
      <c r="AI14" s="17">
        <f t="shared" si="67"/>
        <v>1975.99999999977</v>
      </c>
      <c r="AJ14" s="17">
        <f t="shared" si="1"/>
        <v>6929.59999999941</v>
      </c>
      <c r="AK14" s="17">
        <f t="shared" ref="AK14:AN14" si="68">IF(OR(H15=""),"",(H15-H14)*80)</f>
        <v>0</v>
      </c>
      <c r="AL14" s="17">
        <f t="shared" si="68"/>
        <v>0</v>
      </c>
      <c r="AM14" s="17">
        <f t="shared" si="68"/>
        <v>0</v>
      </c>
      <c r="AN14" s="17">
        <f t="shared" si="68"/>
        <v>0</v>
      </c>
      <c r="AO14" s="17">
        <f t="shared" si="3"/>
        <v>0</v>
      </c>
      <c r="AP14" s="17">
        <f t="shared" ref="AP14:AS14" si="69">IF(OR(L15=""),"",(L15-L14)*100)</f>
        <v>2539.99999999942</v>
      </c>
      <c r="AQ14" s="17">
        <f t="shared" si="69"/>
        <v>0</v>
      </c>
      <c r="AR14" s="17">
        <f t="shared" si="69"/>
        <v>3019.99999999971</v>
      </c>
      <c r="AS14" s="17">
        <f t="shared" si="69"/>
        <v>2330.00000000029</v>
      </c>
      <c r="AT14" s="17">
        <f t="shared" si="5"/>
        <v>7889.99999999942</v>
      </c>
      <c r="AU14" s="17">
        <f t="shared" ref="AU14:AY14" si="70">IF(OR(P15=""),"",(P15-P14)*1000)</f>
        <v>2500</v>
      </c>
      <c r="AV14" s="17">
        <f t="shared" si="70"/>
        <v>699.999999999818</v>
      </c>
      <c r="AW14" s="17">
        <f t="shared" si="70"/>
        <v>0</v>
      </c>
      <c r="AX14" s="17">
        <f t="shared" si="70"/>
        <v>5200.00000000073</v>
      </c>
      <c r="AY14" s="17">
        <f t="shared" si="70"/>
        <v>9300.00000000018</v>
      </c>
      <c r="AZ14" s="17">
        <f t="shared" si="7"/>
        <v>17700.0000000007</v>
      </c>
      <c r="BA14" s="17">
        <f t="shared" si="8"/>
        <v>9199.99999999709</v>
      </c>
      <c r="BB14" s="17">
        <f t="shared" si="9"/>
        <v>1064.00000000023</v>
      </c>
      <c r="BC14" s="17">
        <f t="shared" si="23"/>
        <v>1463.99999999965</v>
      </c>
      <c r="BD14" s="17">
        <f t="shared" si="10"/>
        <v>16752.4000000253</v>
      </c>
      <c r="BE14" s="17">
        <f t="shared" si="11"/>
        <v>61000.0000000218</v>
      </c>
      <c r="BF14" s="17">
        <f t="shared" si="24"/>
        <v>60.1999999999971</v>
      </c>
      <c r="BG14" s="20">
        <f t="shared" si="12"/>
        <v>0.317943479031481</v>
      </c>
      <c r="BH14" s="20">
        <f t="shared" si="13"/>
        <v>0.0361183792179602</v>
      </c>
      <c r="BI14" s="20">
        <f t="shared" si="14"/>
        <v>0</v>
      </c>
      <c r="BJ14" s="20">
        <f t="shared" si="15"/>
        <v>0.041124164746841</v>
      </c>
      <c r="BK14" s="20">
        <f t="shared" ref="BK14:BO14" si="71">IF(OR($AD14=0),"",AZ14/$AD14)</f>
        <v>0.0922557308009086</v>
      </c>
      <c r="BL14" s="20">
        <f t="shared" si="71"/>
        <v>0.047952131263732</v>
      </c>
      <c r="BM14" s="20">
        <f t="shared" si="71"/>
        <v>0.00554576822441719</v>
      </c>
      <c r="BN14" s="20">
        <f t="shared" si="71"/>
        <v>0.00763064349675099</v>
      </c>
      <c r="BO14" s="20">
        <f t="shared" si="71"/>
        <v>0.0873166612808707</v>
      </c>
    </row>
    <row r="15" spans="1:67">
      <c r="A15" s="9">
        <f t="shared" si="26"/>
        <v>44208</v>
      </c>
      <c r="B15" s="10">
        <v>17494.06</v>
      </c>
      <c r="C15" s="8">
        <v>97456.9</v>
      </c>
      <c r="D15" s="8">
        <v>62598.9</v>
      </c>
      <c r="E15" s="8">
        <v>59680.6</v>
      </c>
      <c r="F15" s="8">
        <v>6609.63</v>
      </c>
      <c r="G15" s="8">
        <v>117102.3</v>
      </c>
      <c r="H15" s="8">
        <v>5709.7</v>
      </c>
      <c r="I15" s="8">
        <v>2566.3</v>
      </c>
      <c r="J15" s="8">
        <v>967</v>
      </c>
      <c r="K15" s="8">
        <v>56</v>
      </c>
      <c r="L15" s="8">
        <v>95346.7</v>
      </c>
      <c r="M15" s="8">
        <v>61529.1</v>
      </c>
      <c r="N15" s="8">
        <v>77088.7</v>
      </c>
      <c r="O15" s="8">
        <v>106737.6</v>
      </c>
      <c r="P15" s="8">
        <v>6000.6</v>
      </c>
      <c r="Q15" s="8">
        <v>7857.7</v>
      </c>
      <c r="R15" s="8">
        <v>4687.8</v>
      </c>
      <c r="S15" s="8">
        <v>5564.1</v>
      </c>
      <c r="T15" s="8">
        <v>7109.5</v>
      </c>
      <c r="U15" s="8">
        <v>18092</v>
      </c>
      <c r="V15" s="8">
        <v>52295.8</v>
      </c>
      <c r="W15" s="8">
        <v>55104.8</v>
      </c>
      <c r="X15" s="8">
        <v>4065.2</v>
      </c>
      <c r="Y15" s="8">
        <v>3870.5</v>
      </c>
      <c r="Z15" s="15">
        <f t="shared" si="17"/>
        <v>63040.5</v>
      </c>
      <c r="AA15" s="8">
        <v>71964.2</v>
      </c>
      <c r="AB15" s="13">
        <v>5410</v>
      </c>
      <c r="AC15" s="7">
        <f t="shared" si="18"/>
        <v>77374.2</v>
      </c>
      <c r="AD15" s="16">
        <v>186826</v>
      </c>
      <c r="AE15" s="17">
        <f t="shared" ref="AE15:AI15" si="72">IF(OR(C16=""),"",(C16-C15)*80)</f>
        <v>0</v>
      </c>
      <c r="AF15" s="17">
        <f t="shared" si="72"/>
        <v>2607.99999999988</v>
      </c>
      <c r="AG15" s="17">
        <f t="shared" si="72"/>
        <v>2824.00000000023</v>
      </c>
      <c r="AH15" s="17">
        <f t="shared" si="72"/>
        <v>4.79999999995925</v>
      </c>
      <c r="AI15" s="17">
        <f t="shared" si="72"/>
        <v>2320</v>
      </c>
      <c r="AJ15" s="17">
        <f t="shared" si="1"/>
        <v>7756.80000000008</v>
      </c>
      <c r="AK15" s="17">
        <f t="shared" ref="AK15:AN15" si="73">IF(OR(H16=""),"",(H16-H15)*80)</f>
        <v>0</v>
      </c>
      <c r="AL15" s="17">
        <f t="shared" si="73"/>
        <v>0</v>
      </c>
      <c r="AM15" s="17">
        <f t="shared" si="73"/>
        <v>0</v>
      </c>
      <c r="AN15" s="17">
        <f t="shared" si="73"/>
        <v>0</v>
      </c>
      <c r="AO15" s="17">
        <f t="shared" si="3"/>
        <v>0</v>
      </c>
      <c r="AP15" s="17">
        <f t="shared" ref="AP15:AS15" si="74">IF(OR(L16=""),"",(L16-L15)*100)</f>
        <v>2510.00000000058</v>
      </c>
      <c r="AQ15" s="17">
        <f t="shared" si="74"/>
        <v>0</v>
      </c>
      <c r="AR15" s="17">
        <f t="shared" si="74"/>
        <v>2860.00000000058</v>
      </c>
      <c r="AS15" s="17">
        <f t="shared" si="74"/>
        <v>2319.99999999971</v>
      </c>
      <c r="AT15" s="17">
        <f t="shared" si="5"/>
        <v>7690.00000000087</v>
      </c>
      <c r="AU15" s="17">
        <f t="shared" ref="AU15:AY15" si="75">IF(OR(P16=""),"",(P16-P15)*1000)</f>
        <v>3599.99999999945</v>
      </c>
      <c r="AV15" s="17">
        <f t="shared" si="75"/>
        <v>0</v>
      </c>
      <c r="AW15" s="17">
        <f t="shared" si="75"/>
        <v>0</v>
      </c>
      <c r="AX15" s="17">
        <f t="shared" si="75"/>
        <v>5000</v>
      </c>
      <c r="AY15" s="17">
        <f t="shared" si="75"/>
        <v>8699.99999999982</v>
      </c>
      <c r="AZ15" s="17">
        <f t="shared" si="7"/>
        <v>17299.9999999993</v>
      </c>
      <c r="BA15" s="17">
        <f t="shared" si="8"/>
        <v>10000</v>
      </c>
      <c r="BB15" s="17">
        <f t="shared" si="9"/>
        <v>1111.99999999953</v>
      </c>
      <c r="BC15" s="17">
        <f t="shared" si="23"/>
        <v>1391.99999999983</v>
      </c>
      <c r="BD15" s="17">
        <f t="shared" si="10"/>
        <v>14949.2000000048</v>
      </c>
      <c r="BE15" s="17">
        <f t="shared" si="11"/>
        <v>60200.0000000044</v>
      </c>
      <c r="BF15" s="17">
        <f t="shared" si="24"/>
        <v>43.9000000000087</v>
      </c>
      <c r="BG15" s="20">
        <f t="shared" si="12"/>
        <v>0.322224957982317</v>
      </c>
      <c r="BH15" s="20">
        <f t="shared" si="13"/>
        <v>0.0415188464132405</v>
      </c>
      <c r="BI15" s="20">
        <f t="shared" si="14"/>
        <v>0</v>
      </c>
      <c r="BJ15" s="20">
        <f t="shared" si="15"/>
        <v>0.0411612944665136</v>
      </c>
      <c r="BK15" s="20">
        <f t="shared" ref="BK15:BO15" si="76">IF(OR($AD15=0),"",AZ15/$AD15)</f>
        <v>0.0925995311145091</v>
      </c>
      <c r="BL15" s="20">
        <f t="shared" si="76"/>
        <v>0.0535257405286202</v>
      </c>
      <c r="BM15" s="20">
        <f t="shared" si="76"/>
        <v>0.00595206234678008</v>
      </c>
      <c r="BN15" s="20">
        <f t="shared" si="76"/>
        <v>0.007450783081583</v>
      </c>
      <c r="BO15" s="20">
        <f t="shared" si="76"/>
        <v>0.0800167000310705</v>
      </c>
    </row>
    <row r="16" spans="1:67">
      <c r="A16" s="9">
        <f t="shared" si="26"/>
        <v>44209</v>
      </c>
      <c r="B16" s="10">
        <v>17500.08</v>
      </c>
      <c r="C16" s="8">
        <v>97456.9</v>
      </c>
      <c r="D16" s="8">
        <v>62631.5</v>
      </c>
      <c r="E16" s="8">
        <v>59715.9</v>
      </c>
      <c r="F16" s="8">
        <v>6609.69</v>
      </c>
      <c r="G16" s="8">
        <v>117131.3</v>
      </c>
      <c r="H16" s="8">
        <v>5709.7</v>
      </c>
      <c r="I16" s="8">
        <v>2566.3</v>
      </c>
      <c r="J16" s="8">
        <v>967</v>
      </c>
      <c r="K16" s="8">
        <v>56</v>
      </c>
      <c r="L16" s="8">
        <v>95371.8</v>
      </c>
      <c r="M16" s="8">
        <v>61529.1</v>
      </c>
      <c r="N16" s="8">
        <v>77117.3</v>
      </c>
      <c r="O16" s="8">
        <v>106760.8</v>
      </c>
      <c r="P16" s="8">
        <v>6004.2</v>
      </c>
      <c r="Q16" s="8">
        <v>7857.7</v>
      </c>
      <c r="R16" s="8">
        <v>4687.8</v>
      </c>
      <c r="S16" s="8">
        <v>5569.1</v>
      </c>
      <c r="T16" s="8">
        <v>7118.2</v>
      </c>
      <c r="U16" s="8">
        <v>18097</v>
      </c>
      <c r="V16" s="8">
        <v>52309.7</v>
      </c>
      <c r="W16" s="8">
        <v>55121.5</v>
      </c>
      <c r="X16" s="8">
        <v>4074.2</v>
      </c>
      <c r="Y16" s="8">
        <v>3879.6</v>
      </c>
      <c r="Z16" s="15">
        <f t="shared" si="17"/>
        <v>63075.3</v>
      </c>
      <c r="AA16" s="8">
        <v>71999.1</v>
      </c>
      <c r="AB16" s="13">
        <v>5419</v>
      </c>
      <c r="AC16" s="7">
        <f t="shared" si="18"/>
        <v>77418.1</v>
      </c>
      <c r="AD16" s="16">
        <v>176171</v>
      </c>
      <c r="AE16" s="17">
        <f t="shared" ref="AE16:AI16" si="77">IF(OR(C17=""),"",(C17-C16)*80)</f>
        <v>0</v>
      </c>
      <c r="AF16" s="17">
        <f t="shared" si="77"/>
        <v>3064.00000000023</v>
      </c>
      <c r="AG16" s="17">
        <f t="shared" si="77"/>
        <v>1855.99999999977</v>
      </c>
      <c r="AH16" s="17">
        <f t="shared" si="77"/>
        <v>4.80000000003201</v>
      </c>
      <c r="AI16" s="17">
        <f t="shared" si="77"/>
        <v>2367.9999999993</v>
      </c>
      <c r="AJ16" s="17">
        <f t="shared" si="1"/>
        <v>7292.79999999933</v>
      </c>
      <c r="AK16" s="17">
        <f t="shared" ref="AK16:AN16" si="78">IF(OR(H17=""),"",(H17-H16)*80)</f>
        <v>0</v>
      </c>
      <c r="AL16" s="17">
        <f t="shared" si="78"/>
        <v>0</v>
      </c>
      <c r="AM16" s="17">
        <f t="shared" si="78"/>
        <v>0</v>
      </c>
      <c r="AN16" s="17">
        <f t="shared" si="78"/>
        <v>0</v>
      </c>
      <c r="AO16" s="17">
        <f t="shared" si="3"/>
        <v>0</v>
      </c>
      <c r="AP16" s="17">
        <f t="shared" ref="AP16:AS16" si="79">IF(OR(L17=""),"",(L17-L16)*100)</f>
        <v>1689.99999999942</v>
      </c>
      <c r="AQ16" s="17">
        <f t="shared" si="79"/>
        <v>0</v>
      </c>
      <c r="AR16" s="17">
        <f t="shared" si="79"/>
        <v>2919.99999999971</v>
      </c>
      <c r="AS16" s="17">
        <f t="shared" si="79"/>
        <v>2359.99999999913</v>
      </c>
      <c r="AT16" s="17">
        <f t="shared" si="5"/>
        <v>6969.99999999825</v>
      </c>
      <c r="AU16" s="17">
        <f t="shared" ref="AU16:AY16" si="80">IF(OR(P17=""),"",(P17-P16)*1000)</f>
        <v>1100.00000000036</v>
      </c>
      <c r="AV16" s="17">
        <f t="shared" si="80"/>
        <v>0</v>
      </c>
      <c r="AW16" s="17">
        <f t="shared" si="80"/>
        <v>0</v>
      </c>
      <c r="AX16" s="17">
        <f t="shared" si="80"/>
        <v>5500</v>
      </c>
      <c r="AY16" s="17">
        <f t="shared" si="80"/>
        <v>9199.99999999982</v>
      </c>
      <c r="AZ16" s="17">
        <f t="shared" si="7"/>
        <v>15800.0000000002</v>
      </c>
      <c r="BA16" s="17">
        <f t="shared" si="8"/>
        <v>7800.00000000291</v>
      </c>
      <c r="BB16" s="17">
        <f t="shared" si="9"/>
        <v>1032.00000000012</v>
      </c>
      <c r="BC16" s="17">
        <f t="shared" si="23"/>
        <v>1456.00000000006</v>
      </c>
      <c r="BD16" s="17">
        <f t="shared" si="10"/>
        <v>15649.1999999846</v>
      </c>
      <c r="BE16" s="17">
        <f t="shared" si="11"/>
        <v>55999.9999999854</v>
      </c>
      <c r="BF16" s="17">
        <f t="shared" si="24"/>
        <v>43.8999999999942</v>
      </c>
      <c r="BG16" s="20">
        <f t="shared" si="12"/>
        <v>0.317872975688311</v>
      </c>
      <c r="BH16" s="20">
        <f t="shared" si="13"/>
        <v>0.0413961435196447</v>
      </c>
      <c r="BI16" s="20">
        <f t="shared" si="14"/>
        <v>0</v>
      </c>
      <c r="BJ16" s="20">
        <f t="shared" si="15"/>
        <v>0.0395638328669205</v>
      </c>
      <c r="BK16" s="20">
        <f t="shared" ref="BK16:BO16" si="81">IF(OR($AD16=0),"",AZ16/$AD16)</f>
        <v>0.0896855895692264</v>
      </c>
      <c r="BL16" s="20">
        <f t="shared" si="81"/>
        <v>0.0442751644708999</v>
      </c>
      <c r="BM16" s="20">
        <f t="shared" si="81"/>
        <v>0.00585794483768677</v>
      </c>
      <c r="BN16" s="20">
        <f t="shared" si="81"/>
        <v>0.00826469736789857</v>
      </c>
      <c r="BO16" s="20">
        <f t="shared" si="81"/>
        <v>0.0888296030560342</v>
      </c>
    </row>
    <row r="17" spans="1:67">
      <c r="A17" s="9">
        <f t="shared" si="26"/>
        <v>44210</v>
      </c>
      <c r="B17" s="10">
        <v>17505.68</v>
      </c>
      <c r="C17" s="8">
        <v>97456.9</v>
      </c>
      <c r="D17" s="8">
        <v>62669.8</v>
      </c>
      <c r="E17" s="8">
        <v>59739.1</v>
      </c>
      <c r="F17" s="8">
        <v>6609.75</v>
      </c>
      <c r="G17" s="8">
        <v>117160.9</v>
      </c>
      <c r="H17" s="8">
        <v>5709.7</v>
      </c>
      <c r="I17" s="8">
        <v>2566.3</v>
      </c>
      <c r="J17" s="8">
        <v>967</v>
      </c>
      <c r="K17" s="8">
        <v>56</v>
      </c>
      <c r="L17" s="8">
        <v>95388.7</v>
      </c>
      <c r="M17" s="8">
        <v>61529.1</v>
      </c>
      <c r="N17" s="8">
        <v>77146.5</v>
      </c>
      <c r="O17" s="8">
        <v>106784.4</v>
      </c>
      <c r="P17" s="8">
        <v>6005.3</v>
      </c>
      <c r="Q17" s="8">
        <v>7857.7</v>
      </c>
      <c r="R17" s="8">
        <v>4687.8</v>
      </c>
      <c r="S17" s="8">
        <v>5574.6</v>
      </c>
      <c r="T17" s="8">
        <v>7127.4</v>
      </c>
      <c r="U17" s="8">
        <v>18100.9</v>
      </c>
      <c r="V17" s="8">
        <v>52322.6</v>
      </c>
      <c r="W17" s="8">
        <v>55138.8</v>
      </c>
      <c r="X17" s="8">
        <v>4083.7</v>
      </c>
      <c r="Y17" s="8">
        <v>3889.2</v>
      </c>
      <c r="Z17" s="15">
        <f t="shared" si="17"/>
        <v>63111.7</v>
      </c>
      <c r="AA17" s="8">
        <v>72037</v>
      </c>
      <c r="AB17" s="13">
        <v>5425</v>
      </c>
      <c r="AC17" s="7">
        <f t="shared" si="18"/>
        <v>77462</v>
      </c>
      <c r="AD17" s="16">
        <v>172590</v>
      </c>
      <c r="AE17" s="17">
        <f t="shared" ref="AE17:AI17" si="82">IF(OR(C18=""),"",(C18-C17)*80)</f>
        <v>0</v>
      </c>
      <c r="AF17" s="17">
        <f t="shared" si="82"/>
        <v>2831.99999999953</v>
      </c>
      <c r="AG17" s="17">
        <f t="shared" si="82"/>
        <v>1800</v>
      </c>
      <c r="AH17" s="17">
        <f t="shared" si="82"/>
        <v>4.00000000001455</v>
      </c>
      <c r="AI17" s="17">
        <f t="shared" si="82"/>
        <v>2432.0000000007</v>
      </c>
      <c r="AJ17" s="17">
        <f t="shared" si="1"/>
        <v>7068.00000000025</v>
      </c>
      <c r="AK17" s="17">
        <f t="shared" ref="AK17:AN17" si="83">IF(OR(H18=""),"",(H18-H17)*80)</f>
        <v>0</v>
      </c>
      <c r="AL17" s="17">
        <f t="shared" si="83"/>
        <v>0</v>
      </c>
      <c r="AM17" s="17">
        <f t="shared" si="83"/>
        <v>0</v>
      </c>
      <c r="AN17" s="17">
        <f t="shared" si="83"/>
        <v>0</v>
      </c>
      <c r="AO17" s="17">
        <f t="shared" si="3"/>
        <v>0</v>
      </c>
      <c r="AP17" s="17">
        <f t="shared" ref="AP17:AS17" si="84">IF(OR(L18=""),"",(L18-L17)*100)</f>
        <v>2530.00000000029</v>
      </c>
      <c r="AQ17" s="17">
        <f t="shared" si="84"/>
        <v>0</v>
      </c>
      <c r="AR17" s="17">
        <f t="shared" si="84"/>
        <v>2880.00000000029</v>
      </c>
      <c r="AS17" s="17">
        <f t="shared" si="84"/>
        <v>2330.00000000029</v>
      </c>
      <c r="AT17" s="17">
        <f t="shared" si="5"/>
        <v>7740.00000000087</v>
      </c>
      <c r="AU17" s="17">
        <f t="shared" ref="AU17:AY17" si="85">IF(OR(P18=""),"",(P18-P17)*1000)</f>
        <v>3399.99999999964</v>
      </c>
      <c r="AV17" s="17">
        <f t="shared" si="85"/>
        <v>6600.00000000036</v>
      </c>
      <c r="AW17" s="17">
        <f t="shared" si="85"/>
        <v>0</v>
      </c>
      <c r="AX17" s="17">
        <f t="shared" si="85"/>
        <v>299.999999999272</v>
      </c>
      <c r="AY17" s="17">
        <f t="shared" si="85"/>
        <v>8800.00000000018</v>
      </c>
      <c r="AZ17" s="17">
        <f t="shared" si="7"/>
        <v>19099.9999999995</v>
      </c>
      <c r="BA17" s="17">
        <f t="shared" si="8"/>
        <v>6199.99999999709</v>
      </c>
      <c r="BB17" s="17">
        <f t="shared" si="9"/>
        <v>1056.00000000035</v>
      </c>
      <c r="BC17" s="17">
        <f t="shared" si="23"/>
        <v>1416.00000000035</v>
      </c>
      <c r="BD17" s="17">
        <f t="shared" si="10"/>
        <v>12219.9999999973</v>
      </c>
      <c r="BE17" s="17">
        <f t="shared" si="11"/>
        <v>54799.9999999956</v>
      </c>
      <c r="BF17" s="17">
        <f t="shared" si="24"/>
        <v>43.8000000000029</v>
      </c>
      <c r="BG17" s="20">
        <f t="shared" si="12"/>
        <v>0.317515499159833</v>
      </c>
      <c r="BH17" s="20">
        <f t="shared" si="13"/>
        <v>0.040952546497481</v>
      </c>
      <c r="BI17" s="20">
        <f t="shared" si="14"/>
        <v>0</v>
      </c>
      <c r="BJ17" s="20">
        <f t="shared" si="15"/>
        <v>0.0448461672171092</v>
      </c>
      <c r="BK17" s="20">
        <f t="shared" ref="BK17:BO17" si="86">IF(OR($AD17=0),"",AZ17/$AD17)</f>
        <v>0.110666898429802</v>
      </c>
      <c r="BL17" s="20">
        <f t="shared" si="86"/>
        <v>0.035923286401281</v>
      </c>
      <c r="BM17" s="20">
        <f t="shared" si="86"/>
        <v>0.00611854684512631</v>
      </c>
      <c r="BN17" s="20">
        <f t="shared" si="86"/>
        <v>0.00820441508778231</v>
      </c>
      <c r="BO17" s="20">
        <f t="shared" si="86"/>
        <v>0.0708036386812519</v>
      </c>
    </row>
    <row r="18" spans="1:67">
      <c r="A18" s="9">
        <f t="shared" si="26"/>
        <v>44211</v>
      </c>
      <c r="B18" s="10">
        <v>17511.16</v>
      </c>
      <c r="C18" s="8">
        <v>97456.9</v>
      </c>
      <c r="D18" s="8">
        <v>62705.2</v>
      </c>
      <c r="E18" s="8">
        <v>59761.6</v>
      </c>
      <c r="F18" s="8">
        <v>6609.8</v>
      </c>
      <c r="G18" s="8">
        <v>117191.3</v>
      </c>
      <c r="H18" s="8">
        <v>5709.7</v>
      </c>
      <c r="I18" s="8">
        <v>2566.3</v>
      </c>
      <c r="J18" s="8">
        <v>967</v>
      </c>
      <c r="K18" s="8">
        <v>56</v>
      </c>
      <c r="L18" s="8">
        <v>95414</v>
      </c>
      <c r="M18" s="8">
        <v>61529.1</v>
      </c>
      <c r="N18" s="8">
        <v>77175.3</v>
      </c>
      <c r="O18" s="8">
        <v>106807.7</v>
      </c>
      <c r="P18" s="8">
        <v>6008.7</v>
      </c>
      <c r="Q18" s="8">
        <v>7864.3</v>
      </c>
      <c r="R18" s="8">
        <v>4687.8</v>
      </c>
      <c r="S18" s="8">
        <v>5574.9</v>
      </c>
      <c r="T18" s="8">
        <v>7136.2</v>
      </c>
      <c r="U18" s="8">
        <v>18104</v>
      </c>
      <c r="V18" s="8">
        <v>52335.8</v>
      </c>
      <c r="W18" s="8">
        <v>55155.8</v>
      </c>
      <c r="X18" s="8">
        <v>4092.8</v>
      </c>
      <c r="Y18" s="8">
        <v>3898.5</v>
      </c>
      <c r="Z18" s="15">
        <f t="shared" si="17"/>
        <v>63147.1</v>
      </c>
      <c r="AA18" s="8">
        <v>72075.8</v>
      </c>
      <c r="AB18" s="13">
        <v>5430</v>
      </c>
      <c r="AC18" s="7">
        <f t="shared" si="18"/>
        <v>77505.8</v>
      </c>
      <c r="AD18" s="16">
        <v>161683</v>
      </c>
      <c r="AE18" s="17">
        <f t="shared" ref="AE18:AI18" si="87">IF(OR(C19=""),"",(C19-C18)*80)</f>
        <v>0</v>
      </c>
      <c r="AF18" s="17">
        <f t="shared" si="87"/>
        <v>2416.00000000035</v>
      </c>
      <c r="AG18" s="17">
        <f t="shared" si="87"/>
        <v>2760</v>
      </c>
      <c r="AH18" s="17">
        <f t="shared" si="87"/>
        <v>4.79999999995925</v>
      </c>
      <c r="AI18" s="17">
        <f t="shared" si="87"/>
        <v>1831.99999999953</v>
      </c>
      <c r="AJ18" s="17">
        <f t="shared" si="1"/>
        <v>7012.79999999984</v>
      </c>
      <c r="AK18" s="17">
        <f t="shared" ref="AK18:AN18" si="88">IF(OR(H19=""),"",(H19-H18)*80)</f>
        <v>0</v>
      </c>
      <c r="AL18" s="17">
        <f t="shared" si="88"/>
        <v>0</v>
      </c>
      <c r="AM18" s="17">
        <f t="shared" si="88"/>
        <v>0</v>
      </c>
      <c r="AN18" s="17">
        <f t="shared" si="88"/>
        <v>0</v>
      </c>
      <c r="AO18" s="17">
        <f t="shared" si="3"/>
        <v>0</v>
      </c>
      <c r="AP18" s="17">
        <f t="shared" ref="AP18:AS18" si="89">IF(OR(L19=""),"",(L19-L18)*100)</f>
        <v>560.000000000582</v>
      </c>
      <c r="AQ18" s="17">
        <f t="shared" si="89"/>
        <v>0</v>
      </c>
      <c r="AR18" s="17">
        <f t="shared" si="89"/>
        <v>2839.99999999942</v>
      </c>
      <c r="AS18" s="17">
        <f t="shared" si="89"/>
        <v>2330.00000000029</v>
      </c>
      <c r="AT18" s="17">
        <f t="shared" si="5"/>
        <v>5730.00000000029</v>
      </c>
      <c r="AU18" s="17">
        <f t="shared" ref="AU18:AY18" si="90">IF(OR(P19=""),"",(P19-P18)*1000)</f>
        <v>500</v>
      </c>
      <c r="AV18" s="17">
        <f t="shared" si="90"/>
        <v>1800.00000000018</v>
      </c>
      <c r="AW18" s="17">
        <f t="shared" si="90"/>
        <v>0</v>
      </c>
      <c r="AX18" s="17">
        <f t="shared" si="90"/>
        <v>4700.00000000073</v>
      </c>
      <c r="AY18" s="17">
        <f t="shared" si="90"/>
        <v>9000</v>
      </c>
      <c r="AZ18" s="17">
        <f t="shared" si="7"/>
        <v>16000.0000000009</v>
      </c>
      <c r="BA18" s="17">
        <f t="shared" si="8"/>
        <v>6599.99999999854</v>
      </c>
      <c r="BB18" s="17">
        <f t="shared" si="9"/>
        <v>735.999999999767</v>
      </c>
      <c r="BC18" s="17">
        <f t="shared" si="23"/>
        <v>1423.99999999965</v>
      </c>
      <c r="BD18" s="17">
        <f t="shared" si="10"/>
        <v>14197.2000000199</v>
      </c>
      <c r="BE18" s="17">
        <f t="shared" si="11"/>
        <v>51700.0000000189</v>
      </c>
      <c r="BF18" s="17">
        <f t="shared" si="24"/>
        <v>43.3000000000029</v>
      </c>
      <c r="BG18" s="20">
        <f t="shared" si="12"/>
        <v>0.319761508631204</v>
      </c>
      <c r="BH18" s="20">
        <f t="shared" si="13"/>
        <v>0.0433737622384533</v>
      </c>
      <c r="BI18" s="20">
        <f t="shared" si="14"/>
        <v>0</v>
      </c>
      <c r="BJ18" s="20">
        <f t="shared" si="15"/>
        <v>0.0354397184614356</v>
      </c>
      <c r="BK18" s="20">
        <f t="shared" ref="BK18:BO18" si="91">IF(OR($AD18=0),"",AZ18/$AD18)</f>
        <v>0.0989590742378661</v>
      </c>
      <c r="BL18" s="20">
        <f t="shared" si="91"/>
        <v>0.0408206181231085</v>
      </c>
      <c r="BM18" s="20">
        <f t="shared" si="91"/>
        <v>0.00455211741494014</v>
      </c>
      <c r="BN18" s="20">
        <f t="shared" si="91"/>
        <v>0.00880735760716742</v>
      </c>
      <c r="BO18" s="20">
        <f t="shared" si="91"/>
        <v>0.0878088605482327</v>
      </c>
    </row>
    <row r="19" spans="1:67">
      <c r="A19" s="9">
        <f t="shared" si="26"/>
        <v>44212</v>
      </c>
      <c r="B19" s="10">
        <v>17516.33</v>
      </c>
      <c r="C19" s="8">
        <v>97456.9</v>
      </c>
      <c r="D19" s="8">
        <v>62735.4</v>
      </c>
      <c r="E19" s="8">
        <v>59796.1</v>
      </c>
      <c r="F19" s="8">
        <v>6609.86</v>
      </c>
      <c r="G19" s="8">
        <v>117214.2</v>
      </c>
      <c r="H19" s="8">
        <v>5709.7</v>
      </c>
      <c r="I19" s="8">
        <v>2566.3</v>
      </c>
      <c r="J19" s="8">
        <v>967</v>
      </c>
      <c r="K19" s="8">
        <v>56</v>
      </c>
      <c r="L19" s="8">
        <v>95419.6</v>
      </c>
      <c r="M19" s="8">
        <v>61529.1</v>
      </c>
      <c r="N19" s="8">
        <v>77203.7</v>
      </c>
      <c r="O19" s="8">
        <v>106831</v>
      </c>
      <c r="P19" s="8">
        <v>6009.2</v>
      </c>
      <c r="Q19" s="8">
        <v>7866.1</v>
      </c>
      <c r="R19" s="8">
        <v>4687.8</v>
      </c>
      <c r="S19" s="8">
        <v>5579.6</v>
      </c>
      <c r="T19" s="8">
        <v>7145.2</v>
      </c>
      <c r="U19" s="8">
        <v>18107.3</v>
      </c>
      <c r="V19" s="8">
        <v>52345</v>
      </c>
      <c r="W19" s="8">
        <v>55173</v>
      </c>
      <c r="X19" s="8">
        <v>4102</v>
      </c>
      <c r="Y19" s="8">
        <v>3907.7</v>
      </c>
      <c r="Z19" s="15">
        <f t="shared" si="17"/>
        <v>63182.7</v>
      </c>
      <c r="AA19" s="8">
        <v>72113.1</v>
      </c>
      <c r="AB19" s="13">
        <v>5436</v>
      </c>
      <c r="AC19" s="7">
        <f t="shared" si="18"/>
        <v>77549.1</v>
      </c>
      <c r="AD19" s="16">
        <v>148645</v>
      </c>
      <c r="AE19" s="17">
        <f t="shared" ref="AE19:AI19" si="92">IF(OR(C20=""),"",(C20-C19)*80)</f>
        <v>0</v>
      </c>
      <c r="AF19" s="17">
        <f t="shared" si="92"/>
        <v>2872.00000000012</v>
      </c>
      <c r="AG19" s="17">
        <f t="shared" si="92"/>
        <v>1392.00000000012</v>
      </c>
      <c r="AH19" s="17">
        <f t="shared" si="92"/>
        <v>1963.2</v>
      </c>
      <c r="AI19" s="17">
        <f t="shared" si="92"/>
        <v>8.00000000046566</v>
      </c>
      <c r="AJ19" s="17">
        <f t="shared" si="1"/>
        <v>6235.2000000007</v>
      </c>
      <c r="AK19" s="17">
        <f t="shared" ref="AK19:AN19" si="93">IF(OR(H20=""),"",(H20-H19)*80)</f>
        <v>0</v>
      </c>
      <c r="AL19" s="17">
        <f t="shared" si="93"/>
        <v>0</v>
      </c>
      <c r="AM19" s="17">
        <f t="shared" si="93"/>
        <v>0</v>
      </c>
      <c r="AN19" s="17">
        <f t="shared" si="93"/>
        <v>0</v>
      </c>
      <c r="AO19" s="17">
        <f t="shared" si="3"/>
        <v>0</v>
      </c>
      <c r="AP19" s="17">
        <f t="shared" ref="AP19:AS19" si="94">IF(OR(L20=""),"",(L20-L19)*100)</f>
        <v>1509.99999999913</v>
      </c>
      <c r="AQ19" s="17">
        <f t="shared" si="94"/>
        <v>0</v>
      </c>
      <c r="AR19" s="17">
        <f t="shared" si="94"/>
        <v>2400</v>
      </c>
      <c r="AS19" s="17">
        <f t="shared" si="94"/>
        <v>2350</v>
      </c>
      <c r="AT19" s="17">
        <f t="shared" si="5"/>
        <v>6259.99999999913</v>
      </c>
      <c r="AU19" s="17">
        <f t="shared" ref="AU19:AY19" si="95">IF(OR(P20=""),"",(P20-P19)*1000)</f>
        <v>1199.99999999982</v>
      </c>
      <c r="AV19" s="17">
        <f t="shared" si="95"/>
        <v>0</v>
      </c>
      <c r="AW19" s="17">
        <f t="shared" si="95"/>
        <v>0</v>
      </c>
      <c r="AX19" s="17">
        <f t="shared" si="95"/>
        <v>5000</v>
      </c>
      <c r="AY19" s="17">
        <f t="shared" si="95"/>
        <v>100.000000000364</v>
      </c>
      <c r="AZ19" s="17">
        <f t="shared" si="7"/>
        <v>6300.00000000018</v>
      </c>
      <c r="BA19" s="17">
        <f t="shared" si="8"/>
        <v>7400.00000000146</v>
      </c>
      <c r="BB19" s="17">
        <f t="shared" si="9"/>
        <v>1032.00000000012</v>
      </c>
      <c r="BC19" s="17">
        <f t="shared" si="23"/>
        <v>1428.00000000017</v>
      </c>
      <c r="BD19" s="17">
        <f t="shared" si="10"/>
        <v>23544.7999999735</v>
      </c>
      <c r="BE19" s="17">
        <f t="shared" si="11"/>
        <v>52199.9999999753</v>
      </c>
      <c r="BF19" s="17">
        <f t="shared" si="24"/>
        <v>43</v>
      </c>
      <c r="BG19" s="20">
        <f t="shared" si="12"/>
        <v>0.351172256046118</v>
      </c>
      <c r="BH19" s="20">
        <f t="shared" si="13"/>
        <v>0.0419469205153264</v>
      </c>
      <c r="BI19" s="20">
        <f t="shared" si="14"/>
        <v>0</v>
      </c>
      <c r="BJ19" s="20">
        <f t="shared" si="15"/>
        <v>0.0421137609741271</v>
      </c>
      <c r="BK19" s="20">
        <f t="shared" ref="BK19:BO19" si="96">IF(OR($AD19=0),"",AZ19/$AD19)</f>
        <v>0.0423828584883459</v>
      </c>
      <c r="BL19" s="20">
        <f t="shared" si="96"/>
        <v>0.0497830401291766</v>
      </c>
      <c r="BM19" s="20">
        <f t="shared" si="96"/>
        <v>0.00694271586666296</v>
      </c>
      <c r="BN19" s="20">
        <f t="shared" si="96"/>
        <v>0.00960678125735931</v>
      </c>
      <c r="BO19" s="20">
        <f t="shared" si="96"/>
        <v>0.15839617881512</v>
      </c>
    </row>
    <row r="20" spans="1:67">
      <c r="A20" s="9">
        <f t="shared" si="26"/>
        <v>44213</v>
      </c>
      <c r="B20" s="10">
        <v>17521.55</v>
      </c>
      <c r="C20" s="8">
        <v>97456.9</v>
      </c>
      <c r="D20" s="8">
        <v>62771.3</v>
      </c>
      <c r="E20" s="8">
        <v>59813.5</v>
      </c>
      <c r="F20" s="8">
        <v>6634.4</v>
      </c>
      <c r="G20" s="8">
        <v>117214.3</v>
      </c>
      <c r="H20" s="8">
        <v>5709.7</v>
      </c>
      <c r="I20" s="8">
        <v>2566.3</v>
      </c>
      <c r="J20" s="8">
        <v>967</v>
      </c>
      <c r="K20" s="8">
        <v>56</v>
      </c>
      <c r="L20" s="8">
        <v>95434.7</v>
      </c>
      <c r="M20" s="8">
        <v>61529.1</v>
      </c>
      <c r="N20" s="8">
        <v>77227.7</v>
      </c>
      <c r="O20" s="8">
        <v>106854.5</v>
      </c>
      <c r="P20" s="8">
        <v>6010.4</v>
      </c>
      <c r="Q20" s="8">
        <v>7866.1</v>
      </c>
      <c r="R20" s="8">
        <v>4687.8</v>
      </c>
      <c r="S20" s="8">
        <v>5584.6</v>
      </c>
      <c r="T20" s="8">
        <v>7145.3</v>
      </c>
      <c r="U20" s="8">
        <v>18111</v>
      </c>
      <c r="V20" s="8">
        <v>52357.9</v>
      </c>
      <c r="W20" s="8">
        <v>55190.3</v>
      </c>
      <c r="X20" s="8">
        <v>4111.2</v>
      </c>
      <c r="Y20" s="8">
        <v>3916.9</v>
      </c>
      <c r="Z20" s="15">
        <f t="shared" si="17"/>
        <v>63218.4</v>
      </c>
      <c r="AA20" s="8">
        <v>72150.1</v>
      </c>
      <c r="AB20" s="13">
        <v>5442</v>
      </c>
      <c r="AC20" s="7">
        <f t="shared" si="18"/>
        <v>77592.1</v>
      </c>
      <c r="AD20" s="16">
        <v>159362</v>
      </c>
      <c r="AE20" s="17">
        <f t="shared" ref="AE20:AI20" si="97">IF(OR(C21=""),"",(C21-C20)*80)</f>
        <v>0</v>
      </c>
      <c r="AF20" s="17">
        <f t="shared" si="97"/>
        <v>2807.99999999988</v>
      </c>
      <c r="AG20" s="17">
        <f t="shared" si="97"/>
        <v>2400</v>
      </c>
      <c r="AH20" s="17">
        <f t="shared" si="97"/>
        <v>4.80000000003201</v>
      </c>
      <c r="AI20" s="17">
        <f t="shared" si="97"/>
        <v>1824.00000000023</v>
      </c>
      <c r="AJ20" s="17">
        <f t="shared" si="1"/>
        <v>7036.80000000015</v>
      </c>
      <c r="AK20" s="17">
        <f t="shared" ref="AK20:AN20" si="98">IF(OR(H21=""),"",(H21-H20)*80)</f>
        <v>0</v>
      </c>
      <c r="AL20" s="17">
        <f t="shared" si="98"/>
        <v>0</v>
      </c>
      <c r="AM20" s="17">
        <f t="shared" si="98"/>
        <v>0</v>
      </c>
      <c r="AN20" s="17">
        <f t="shared" si="98"/>
        <v>0</v>
      </c>
      <c r="AO20" s="17">
        <f t="shared" si="3"/>
        <v>0</v>
      </c>
      <c r="AP20" s="17">
        <f t="shared" ref="AP20:AS20" si="99">IF(OR(L21=""),"",(L21-L20)*100)</f>
        <v>1710.00000000058</v>
      </c>
      <c r="AQ20" s="17">
        <f t="shared" si="99"/>
        <v>0</v>
      </c>
      <c r="AR20" s="17">
        <f t="shared" si="99"/>
        <v>2480.00000000029</v>
      </c>
      <c r="AS20" s="17">
        <f t="shared" si="99"/>
        <v>2330.00000000029</v>
      </c>
      <c r="AT20" s="17">
        <f t="shared" si="5"/>
        <v>6520.00000000116</v>
      </c>
      <c r="AU20" s="17">
        <f t="shared" ref="AU20:AY20" si="100">IF(OR(P21=""),"",(P21-P20)*1000)</f>
        <v>1800.00000000018</v>
      </c>
      <c r="AV20" s="17">
        <f t="shared" si="100"/>
        <v>799.999999999272</v>
      </c>
      <c r="AW20" s="17">
        <f t="shared" si="100"/>
        <v>0</v>
      </c>
      <c r="AX20" s="17">
        <f t="shared" si="100"/>
        <v>5599.99999999945</v>
      </c>
      <c r="AY20" s="17">
        <f t="shared" si="100"/>
        <v>16099.9999999995</v>
      </c>
      <c r="AZ20" s="17">
        <f t="shared" si="7"/>
        <v>24299.9999999984</v>
      </c>
      <c r="BA20" s="17">
        <f t="shared" si="8"/>
        <v>7800.00000000291</v>
      </c>
      <c r="BB20" s="17">
        <f t="shared" si="9"/>
        <v>1015.99999999977</v>
      </c>
      <c r="BC20" s="17">
        <f t="shared" si="23"/>
        <v>1443.99999999994</v>
      </c>
      <c r="BD20" s="17">
        <f t="shared" si="10"/>
        <v>6583.20000000935</v>
      </c>
      <c r="BE20" s="17">
        <f t="shared" si="11"/>
        <v>54700.0000000116</v>
      </c>
      <c r="BF20" s="17">
        <f t="shared" si="24"/>
        <v>43.6999999999971</v>
      </c>
      <c r="BG20" s="20">
        <f t="shared" si="12"/>
        <v>0.343243684190783</v>
      </c>
      <c r="BH20" s="20">
        <f t="shared" si="13"/>
        <v>0.0441560723384505</v>
      </c>
      <c r="BI20" s="20">
        <f t="shared" si="14"/>
        <v>0</v>
      </c>
      <c r="BJ20" s="20">
        <f t="shared" si="15"/>
        <v>0.0409131411503443</v>
      </c>
      <c r="BK20" s="20">
        <f t="shared" ref="BK20:BO20" si="101">IF(OR($AD20=0),"",AZ20/$AD20)</f>
        <v>0.15248302606643</v>
      </c>
      <c r="BL20" s="20">
        <f t="shared" si="101"/>
        <v>0.0489451688608508</v>
      </c>
      <c r="BM20" s="20">
        <f t="shared" si="101"/>
        <v>0.00637542199520442</v>
      </c>
      <c r="BN20" s="20">
        <f t="shared" si="101"/>
        <v>0.00906113126090249</v>
      </c>
      <c r="BO20" s="20">
        <f t="shared" si="101"/>
        <v>0.0413097225186013</v>
      </c>
    </row>
    <row r="21" spans="1:67">
      <c r="A21" s="9">
        <f t="shared" si="26"/>
        <v>44214</v>
      </c>
      <c r="B21" s="10">
        <v>17527.02</v>
      </c>
      <c r="C21" s="8">
        <v>97456.9</v>
      </c>
      <c r="D21" s="8">
        <v>62806.4</v>
      </c>
      <c r="E21" s="8">
        <v>59843.5</v>
      </c>
      <c r="F21" s="8">
        <v>6634.46</v>
      </c>
      <c r="G21" s="8">
        <v>117237.1</v>
      </c>
      <c r="H21" s="8">
        <v>5709.7</v>
      </c>
      <c r="I21" s="8">
        <v>2566.3</v>
      </c>
      <c r="J21" s="8">
        <v>967</v>
      </c>
      <c r="K21" s="8">
        <v>56</v>
      </c>
      <c r="L21" s="8">
        <v>95451.8</v>
      </c>
      <c r="M21" s="8">
        <v>61529.1</v>
      </c>
      <c r="N21" s="8">
        <v>77252.5</v>
      </c>
      <c r="O21" s="8">
        <v>106877.8</v>
      </c>
      <c r="P21" s="8">
        <v>6012.2</v>
      </c>
      <c r="Q21" s="8">
        <v>7866.9</v>
      </c>
      <c r="R21" s="8">
        <v>4687.8</v>
      </c>
      <c r="S21" s="8">
        <v>5590.2</v>
      </c>
      <c r="T21" s="8">
        <v>7161.4</v>
      </c>
      <c r="U21" s="8">
        <v>18114.9</v>
      </c>
      <c r="V21" s="8">
        <v>52370.6</v>
      </c>
      <c r="W21" s="8">
        <v>55207.7</v>
      </c>
      <c r="X21" s="8">
        <v>4120.5</v>
      </c>
      <c r="Y21" s="8">
        <v>3926.3</v>
      </c>
      <c r="Z21" s="15">
        <f t="shared" si="17"/>
        <v>63254.5</v>
      </c>
      <c r="AA21" s="8">
        <v>72187.8</v>
      </c>
      <c r="AB21" s="13">
        <v>5448</v>
      </c>
      <c r="AC21" s="7">
        <f t="shared" si="18"/>
        <v>77635.8</v>
      </c>
      <c r="AD21" s="16">
        <v>146376</v>
      </c>
      <c r="AE21" s="17">
        <f t="shared" ref="AE21:AI21" si="102">IF(OR(C22=""),"",(C22-C21)*80)</f>
        <v>0</v>
      </c>
      <c r="AF21" s="17">
        <f t="shared" si="102"/>
        <v>1127.99999999988</v>
      </c>
      <c r="AG21" s="17">
        <f t="shared" si="102"/>
        <v>2855.99999999977</v>
      </c>
      <c r="AH21" s="17">
        <f t="shared" si="102"/>
        <v>4.80000000003201</v>
      </c>
      <c r="AI21" s="17">
        <f t="shared" si="102"/>
        <v>2367.9999999993</v>
      </c>
      <c r="AJ21" s="17">
        <f t="shared" si="1"/>
        <v>6356.79999999898</v>
      </c>
      <c r="AK21" s="17">
        <f t="shared" ref="AK21:AN21" si="103">IF(OR(H22=""),"",(H22-H21)*80)</f>
        <v>0</v>
      </c>
      <c r="AL21" s="17">
        <f t="shared" si="103"/>
        <v>0</v>
      </c>
      <c r="AM21" s="17">
        <f t="shared" si="103"/>
        <v>0</v>
      </c>
      <c r="AN21" s="17">
        <f t="shared" si="103"/>
        <v>0</v>
      </c>
      <c r="AO21" s="17">
        <f t="shared" si="3"/>
        <v>0</v>
      </c>
      <c r="AP21" s="17">
        <f t="shared" ref="AP21:AS21" si="104">IF(OR(L22=""),"",(L22-L21)*100)</f>
        <v>1289.99999999942</v>
      </c>
      <c r="AQ21" s="17">
        <f t="shared" si="104"/>
        <v>0</v>
      </c>
      <c r="AR21" s="17">
        <f t="shared" si="104"/>
        <v>2800</v>
      </c>
      <c r="AS21" s="17">
        <f t="shared" si="104"/>
        <v>2109.99999999913</v>
      </c>
      <c r="AT21" s="17">
        <f t="shared" si="5"/>
        <v>6199.99999999854</v>
      </c>
      <c r="AU21" s="17">
        <f t="shared" ref="AU21:AY21" si="105">IF(OR(P22=""),"",(P22-P21)*1000)</f>
        <v>1400.00000000055</v>
      </c>
      <c r="AV21" s="17">
        <f t="shared" si="105"/>
        <v>2800.00000000018</v>
      </c>
      <c r="AW21" s="17">
        <f t="shared" si="105"/>
        <v>0</v>
      </c>
      <c r="AX21" s="17">
        <f t="shared" si="105"/>
        <v>5199.99999999982</v>
      </c>
      <c r="AY21" s="17">
        <f t="shared" si="105"/>
        <v>5700.00000000073</v>
      </c>
      <c r="AZ21" s="17">
        <f t="shared" si="7"/>
        <v>15100.0000000013</v>
      </c>
      <c r="BA21" s="17">
        <f t="shared" si="8"/>
        <v>8599.99999999854</v>
      </c>
      <c r="BB21" s="17">
        <f t="shared" si="9"/>
        <v>1096.00000000035</v>
      </c>
      <c r="BC21" s="17">
        <f t="shared" si="23"/>
        <v>1420</v>
      </c>
      <c r="BD21" s="17">
        <f t="shared" si="10"/>
        <v>14927.1999999921</v>
      </c>
      <c r="BE21" s="17">
        <f t="shared" si="11"/>
        <v>53699.9999999898</v>
      </c>
      <c r="BF21" s="17">
        <f t="shared" si="24"/>
        <v>46.1999999999971</v>
      </c>
      <c r="BG21" s="20">
        <f t="shared" si="12"/>
        <v>0.366863420232755</v>
      </c>
      <c r="BH21" s="20">
        <f t="shared" si="13"/>
        <v>0.0434278843526192</v>
      </c>
      <c r="BI21" s="20">
        <f t="shared" si="14"/>
        <v>0</v>
      </c>
      <c r="BJ21" s="20">
        <f t="shared" si="15"/>
        <v>0.0423566704924205</v>
      </c>
      <c r="BK21" s="20">
        <f t="shared" ref="BK21:BO21" si="106">IF(OR($AD21=0),"",AZ21/$AD21)</f>
        <v>0.103158987812218</v>
      </c>
      <c r="BL21" s="20">
        <f t="shared" si="106"/>
        <v>0.0587528010056194</v>
      </c>
      <c r="BM21" s="20">
        <f t="shared" si="106"/>
        <v>0.00748756626769654</v>
      </c>
      <c r="BN21" s="20">
        <f t="shared" si="106"/>
        <v>0.00970104388697601</v>
      </c>
      <c r="BO21" s="20">
        <f t="shared" si="106"/>
        <v>0.101978466415205</v>
      </c>
    </row>
    <row r="22" spans="1:67">
      <c r="A22" s="9">
        <f t="shared" si="26"/>
        <v>44215</v>
      </c>
      <c r="B22" s="10">
        <v>17532.39</v>
      </c>
      <c r="C22" s="8">
        <v>97456.9</v>
      </c>
      <c r="D22" s="8">
        <v>62820.5</v>
      </c>
      <c r="E22" s="8">
        <v>59879.2</v>
      </c>
      <c r="F22" s="8">
        <v>6634.52</v>
      </c>
      <c r="G22" s="8">
        <v>117266.7</v>
      </c>
      <c r="H22" s="8">
        <v>5709.7</v>
      </c>
      <c r="I22" s="8">
        <v>2566.3</v>
      </c>
      <c r="J22" s="8">
        <v>967</v>
      </c>
      <c r="K22" s="8">
        <v>56</v>
      </c>
      <c r="L22" s="8">
        <v>95464.7</v>
      </c>
      <c r="M22" s="8">
        <v>61529.1</v>
      </c>
      <c r="N22" s="8">
        <v>77280.5</v>
      </c>
      <c r="O22" s="8">
        <v>106898.9</v>
      </c>
      <c r="P22" s="8">
        <v>6013.6</v>
      </c>
      <c r="Q22" s="8">
        <v>7869.7</v>
      </c>
      <c r="R22" s="8">
        <v>4687.8</v>
      </c>
      <c r="S22" s="8">
        <v>5595.4</v>
      </c>
      <c r="T22" s="8">
        <v>7167.1</v>
      </c>
      <c r="U22" s="8">
        <v>18119.2</v>
      </c>
      <c r="V22" s="8">
        <v>52384.3</v>
      </c>
      <c r="W22" s="8">
        <v>55225.2</v>
      </c>
      <c r="X22" s="8">
        <v>4129.4</v>
      </c>
      <c r="Y22" s="8">
        <v>3935.4</v>
      </c>
      <c r="Z22" s="15">
        <f t="shared" si="17"/>
        <v>63290</v>
      </c>
      <c r="AA22" s="8">
        <v>72223</v>
      </c>
      <c r="AB22" s="13">
        <v>5459</v>
      </c>
      <c r="AC22" s="7">
        <f t="shared" si="18"/>
        <v>77682</v>
      </c>
      <c r="AD22" s="16">
        <v>166052</v>
      </c>
      <c r="AE22" s="17">
        <f t="shared" ref="AE22:AI22" si="107">IF(OR(C23=""),"",(C23-C22)*80)</f>
        <v>0</v>
      </c>
      <c r="AF22" s="17">
        <f t="shared" si="107"/>
        <v>2615.99999999977</v>
      </c>
      <c r="AG22" s="17">
        <f t="shared" si="107"/>
        <v>2008.00000000047</v>
      </c>
      <c r="AH22" s="17">
        <f t="shared" si="107"/>
        <v>3.99999999994179</v>
      </c>
      <c r="AI22" s="17">
        <f t="shared" si="107"/>
        <v>1928.00000000047</v>
      </c>
      <c r="AJ22" s="17">
        <f t="shared" si="1"/>
        <v>6556.00000000064</v>
      </c>
      <c r="AK22" s="17">
        <f t="shared" ref="AK22:AN22" si="108">IF(OR(H23=""),"",(H23-H22)*80)</f>
        <v>0</v>
      </c>
      <c r="AL22" s="17">
        <f t="shared" si="108"/>
        <v>0</v>
      </c>
      <c r="AM22" s="17">
        <f t="shared" si="108"/>
        <v>0</v>
      </c>
      <c r="AN22" s="17">
        <f t="shared" si="108"/>
        <v>0</v>
      </c>
      <c r="AO22" s="17">
        <f t="shared" si="3"/>
        <v>0</v>
      </c>
      <c r="AP22" s="17">
        <f t="shared" ref="AP22:AS22" si="109">IF(OR(L23=""),"",(L23-L22)*100)</f>
        <v>1530.00000000029</v>
      </c>
      <c r="AQ22" s="17">
        <f t="shared" si="109"/>
        <v>0</v>
      </c>
      <c r="AR22" s="17">
        <f t="shared" si="109"/>
        <v>2619.99999999971</v>
      </c>
      <c r="AS22" s="17">
        <f t="shared" si="109"/>
        <v>2240.00000000087</v>
      </c>
      <c r="AT22" s="17">
        <f t="shared" si="5"/>
        <v>6390.00000000087</v>
      </c>
      <c r="AU22" s="17">
        <f t="shared" ref="AU22:AY22" si="110">IF(OR(P23=""),"",(P23-P22)*1000)</f>
        <v>799.999999999272</v>
      </c>
      <c r="AV22" s="17">
        <f t="shared" si="110"/>
        <v>800.000000000182</v>
      </c>
      <c r="AW22" s="17">
        <f t="shared" si="110"/>
        <v>2800.00000000018</v>
      </c>
      <c r="AX22" s="17">
        <f t="shared" si="110"/>
        <v>1700.00000000073</v>
      </c>
      <c r="AY22" s="17">
        <f t="shared" si="110"/>
        <v>9000</v>
      </c>
      <c r="AZ22" s="17">
        <f t="shared" si="7"/>
        <v>15100.0000000004</v>
      </c>
      <c r="BA22" s="17">
        <f t="shared" si="8"/>
        <v>7599.99999999854</v>
      </c>
      <c r="BB22" s="17">
        <f t="shared" si="9"/>
        <v>775.999999999767</v>
      </c>
      <c r="BC22" s="17">
        <f t="shared" si="23"/>
        <v>1371.99999999983</v>
      </c>
      <c r="BD22" s="17">
        <f t="shared" si="10"/>
        <v>13506.0000000102</v>
      </c>
      <c r="BE22" s="17">
        <f t="shared" si="11"/>
        <v>51300.0000000102</v>
      </c>
      <c r="BF22" s="17">
        <f t="shared" si="24"/>
        <v>50.3000000000029</v>
      </c>
      <c r="BG22" s="20">
        <f t="shared" si="12"/>
        <v>0.308939368390686</v>
      </c>
      <c r="BH22" s="20">
        <f t="shared" si="13"/>
        <v>0.0394816081709383</v>
      </c>
      <c r="BI22" s="20">
        <f t="shared" si="14"/>
        <v>0</v>
      </c>
      <c r="BJ22" s="20">
        <f t="shared" si="15"/>
        <v>0.038481921325855</v>
      </c>
      <c r="BK22" s="20">
        <f t="shared" ref="BK22:BO22" si="111">IF(OR($AD22=0),"",AZ22/$AD22)</f>
        <v>0.0909353696432465</v>
      </c>
      <c r="BL22" s="20">
        <f t="shared" si="111"/>
        <v>0.0457687953171208</v>
      </c>
      <c r="BM22" s="20">
        <f t="shared" si="111"/>
        <v>0.00467323489027393</v>
      </c>
      <c r="BN22" s="20">
        <f t="shared" si="111"/>
        <v>0.00826247199672287</v>
      </c>
      <c r="BO22" s="20">
        <f t="shared" si="111"/>
        <v>0.0813359670465286</v>
      </c>
    </row>
    <row r="23" spans="1:67">
      <c r="A23" s="9">
        <f t="shared" si="26"/>
        <v>44216</v>
      </c>
      <c r="B23" s="10">
        <v>17537.52</v>
      </c>
      <c r="C23" s="8">
        <v>97456.9</v>
      </c>
      <c r="D23" s="8">
        <v>62853.2</v>
      </c>
      <c r="E23" s="8">
        <v>59904.3</v>
      </c>
      <c r="F23" s="8">
        <v>6634.57</v>
      </c>
      <c r="G23" s="8">
        <v>117290.8</v>
      </c>
      <c r="H23" s="8">
        <v>5709.7</v>
      </c>
      <c r="I23" s="8">
        <v>2566.3</v>
      </c>
      <c r="J23" s="8">
        <v>967</v>
      </c>
      <c r="K23" s="8">
        <v>56</v>
      </c>
      <c r="L23" s="8">
        <v>95480</v>
      </c>
      <c r="M23" s="8">
        <v>61529.1</v>
      </c>
      <c r="N23" s="8">
        <v>77306.7</v>
      </c>
      <c r="O23" s="8">
        <v>106921.3</v>
      </c>
      <c r="P23" s="8">
        <v>6014.4</v>
      </c>
      <c r="Q23" s="8">
        <v>7870.5</v>
      </c>
      <c r="R23" s="8">
        <v>4690.6</v>
      </c>
      <c r="S23" s="8">
        <v>5597.1</v>
      </c>
      <c r="T23" s="8">
        <v>7176.1</v>
      </c>
      <c r="U23" s="8">
        <v>18123</v>
      </c>
      <c r="V23" s="8">
        <v>52394</v>
      </c>
      <c r="W23" s="8">
        <v>55242.1</v>
      </c>
      <c r="X23" s="8">
        <v>4138.2</v>
      </c>
      <c r="Y23" s="8">
        <v>3944</v>
      </c>
      <c r="Z23" s="15">
        <f t="shared" si="17"/>
        <v>63324.3</v>
      </c>
      <c r="AA23" s="8">
        <v>72260.3</v>
      </c>
      <c r="AB23" s="13">
        <v>5472</v>
      </c>
      <c r="AC23" s="7">
        <f t="shared" si="18"/>
        <v>77732.3</v>
      </c>
      <c r="AD23" s="16">
        <v>133380</v>
      </c>
      <c r="AE23" s="17">
        <f t="shared" ref="AE23:AI23" si="112">IF(OR(C24=""),"",(C24-C23)*80)</f>
        <v>0</v>
      </c>
      <c r="AF23" s="17">
        <f t="shared" si="112"/>
        <v>136.000000000349</v>
      </c>
      <c r="AG23" s="17">
        <f t="shared" si="112"/>
        <v>3120</v>
      </c>
      <c r="AH23" s="17">
        <f t="shared" si="112"/>
        <v>4.80000000003201</v>
      </c>
      <c r="AI23" s="17">
        <f t="shared" si="112"/>
        <v>2255.99999999977</v>
      </c>
      <c r="AJ23" s="17">
        <f t="shared" si="1"/>
        <v>5516.80000000015</v>
      </c>
      <c r="AK23" s="17">
        <f t="shared" ref="AK23:AN23" si="113">IF(OR(H24=""),"",(H24-H23)*80)</f>
        <v>0</v>
      </c>
      <c r="AL23" s="17">
        <f t="shared" si="113"/>
        <v>0</v>
      </c>
      <c r="AM23" s="17">
        <f t="shared" si="113"/>
        <v>0</v>
      </c>
      <c r="AN23" s="17">
        <f t="shared" si="113"/>
        <v>0</v>
      </c>
      <c r="AO23" s="17">
        <f t="shared" si="3"/>
        <v>0</v>
      </c>
      <c r="AP23" s="17">
        <f t="shared" ref="AP23:AS23" si="114">IF(OR(L24=""),"",(L24-L23)*100)</f>
        <v>2489.99999999942</v>
      </c>
      <c r="AQ23" s="17">
        <f t="shared" si="114"/>
        <v>0</v>
      </c>
      <c r="AR23" s="17">
        <f t="shared" si="114"/>
        <v>2240.00000000087</v>
      </c>
      <c r="AS23" s="17">
        <f t="shared" si="114"/>
        <v>880.000000000291</v>
      </c>
      <c r="AT23" s="17">
        <f t="shared" si="5"/>
        <v>5610.00000000058</v>
      </c>
      <c r="AU23" s="17">
        <f t="shared" ref="AU23:AY23" si="115">IF(OR(P24=""),"",(P24-P23)*1000)</f>
        <v>0</v>
      </c>
      <c r="AV23" s="17">
        <f t="shared" si="115"/>
        <v>0</v>
      </c>
      <c r="AW23" s="17">
        <f t="shared" si="115"/>
        <v>4699.99999999982</v>
      </c>
      <c r="AX23" s="17">
        <f t="shared" si="115"/>
        <v>0</v>
      </c>
      <c r="AY23" s="17">
        <f t="shared" si="115"/>
        <v>9000</v>
      </c>
      <c r="AZ23" s="17">
        <f t="shared" si="7"/>
        <v>13699.9999999998</v>
      </c>
      <c r="BA23" s="17">
        <f t="shared" si="8"/>
        <v>6199.99999999709</v>
      </c>
      <c r="BB23" s="17">
        <f t="shared" si="9"/>
        <v>920</v>
      </c>
      <c r="BC23" s="17">
        <f t="shared" si="23"/>
        <v>1412.00000000012</v>
      </c>
      <c r="BD23" s="17">
        <f t="shared" si="10"/>
        <v>15441.2000000124</v>
      </c>
      <c r="BE23" s="17">
        <f t="shared" si="11"/>
        <v>48800.0000000102</v>
      </c>
      <c r="BF23" s="17">
        <f t="shared" si="24"/>
        <v>43</v>
      </c>
      <c r="BG23" s="20">
        <f t="shared" si="12"/>
        <v>0.36587194481939</v>
      </c>
      <c r="BH23" s="20">
        <f t="shared" si="13"/>
        <v>0.0413615234667877</v>
      </c>
      <c r="BI23" s="20">
        <f t="shared" si="14"/>
        <v>0</v>
      </c>
      <c r="BJ23" s="20">
        <f t="shared" si="15"/>
        <v>0.0420602789023885</v>
      </c>
      <c r="BK23" s="20">
        <f t="shared" ref="BK23:BO23" si="116">IF(OR($AD23=0),"",AZ23/$AD23)</f>
        <v>0.10271405008247</v>
      </c>
      <c r="BL23" s="20">
        <f t="shared" si="116"/>
        <v>0.0464837306942352</v>
      </c>
      <c r="BM23" s="20">
        <f t="shared" si="116"/>
        <v>0.00689758584495427</v>
      </c>
      <c r="BN23" s="20">
        <f t="shared" si="116"/>
        <v>0.010586294796822</v>
      </c>
      <c r="BO23" s="20">
        <f t="shared" si="116"/>
        <v>0.115768481031732</v>
      </c>
    </row>
    <row r="24" spans="1:67">
      <c r="A24" s="9">
        <f t="shared" si="26"/>
        <v>44217</v>
      </c>
      <c r="B24" s="10">
        <v>17542.4</v>
      </c>
      <c r="C24" s="8">
        <v>97456.9</v>
      </c>
      <c r="D24" s="8">
        <v>62854.9</v>
      </c>
      <c r="E24" s="8">
        <v>59943.3</v>
      </c>
      <c r="F24" s="8">
        <v>6634.63</v>
      </c>
      <c r="G24" s="8">
        <v>117319</v>
      </c>
      <c r="H24" s="8">
        <v>5709.7</v>
      </c>
      <c r="I24" s="8">
        <v>2566.3</v>
      </c>
      <c r="J24" s="8">
        <v>967</v>
      </c>
      <c r="K24" s="8">
        <v>56</v>
      </c>
      <c r="L24" s="8">
        <v>95504.9</v>
      </c>
      <c r="M24" s="8">
        <v>61529.1</v>
      </c>
      <c r="N24" s="8">
        <v>77329.1</v>
      </c>
      <c r="O24" s="8">
        <v>106930.1</v>
      </c>
      <c r="P24" s="8">
        <v>6014.4</v>
      </c>
      <c r="Q24" s="8">
        <v>7870.5</v>
      </c>
      <c r="R24" s="8">
        <v>4695.3</v>
      </c>
      <c r="S24" s="8">
        <v>5597.1</v>
      </c>
      <c r="T24" s="8">
        <v>7185.1</v>
      </c>
      <c r="U24" s="8">
        <v>18126.1</v>
      </c>
      <c r="V24" s="8">
        <v>52405.5</v>
      </c>
      <c r="W24" s="8">
        <v>55259.4</v>
      </c>
      <c r="X24" s="8">
        <v>4147.2</v>
      </c>
      <c r="Y24" s="8">
        <v>3953</v>
      </c>
      <c r="Z24" s="15">
        <f t="shared" si="17"/>
        <v>63359.6</v>
      </c>
      <c r="AA24" s="8">
        <v>72297.3</v>
      </c>
      <c r="AB24" s="13">
        <v>5478</v>
      </c>
      <c r="AC24" s="7">
        <f t="shared" si="18"/>
        <v>77775.3</v>
      </c>
      <c r="AD24" s="16">
        <v>154195</v>
      </c>
      <c r="AE24" s="17">
        <f t="shared" ref="AE24:AI24" si="117">IF(OR(C25=""),"",(C25-C24)*80)</f>
        <v>240</v>
      </c>
      <c r="AF24" s="17">
        <f t="shared" si="117"/>
        <v>2735.99999999977</v>
      </c>
      <c r="AG24" s="17">
        <f t="shared" si="117"/>
        <v>2120</v>
      </c>
      <c r="AH24" s="17">
        <f t="shared" si="117"/>
        <v>21.5999999999622</v>
      </c>
      <c r="AI24" s="17">
        <f t="shared" si="117"/>
        <v>1735.99999999977</v>
      </c>
      <c r="AJ24" s="17">
        <f t="shared" si="1"/>
        <v>6853.5999999995</v>
      </c>
      <c r="AK24" s="17">
        <f t="shared" ref="AK24:AN24" si="118">IF(OR(H25=""),"",(H25-H24)*80)</f>
        <v>0</v>
      </c>
      <c r="AL24" s="17">
        <f t="shared" si="118"/>
        <v>0</v>
      </c>
      <c r="AM24" s="17">
        <f t="shared" si="118"/>
        <v>0</v>
      </c>
      <c r="AN24" s="17">
        <f t="shared" si="118"/>
        <v>0</v>
      </c>
      <c r="AO24" s="17">
        <f t="shared" si="3"/>
        <v>0</v>
      </c>
      <c r="AP24" s="17">
        <f t="shared" ref="AP24:AS24" si="119">IF(OR(L25=""),"",(L25-L24)*100)</f>
        <v>1170.00000000116</v>
      </c>
      <c r="AQ24" s="17">
        <f t="shared" si="119"/>
        <v>0</v>
      </c>
      <c r="AR24" s="17">
        <f t="shared" si="119"/>
        <v>2750</v>
      </c>
      <c r="AS24" s="17">
        <f t="shared" si="119"/>
        <v>2219.99999999971</v>
      </c>
      <c r="AT24" s="17">
        <f t="shared" si="5"/>
        <v>6140.00000000087</v>
      </c>
      <c r="AU24" s="17">
        <f t="shared" ref="AU24:AY24" si="120">IF(OR(P25=""),"",(P25-P24)*1000)</f>
        <v>0</v>
      </c>
      <c r="AV24" s="17">
        <f t="shared" si="120"/>
        <v>0</v>
      </c>
      <c r="AW24" s="17">
        <f t="shared" si="120"/>
        <v>5399.99999999964</v>
      </c>
      <c r="AX24" s="17">
        <f t="shared" si="120"/>
        <v>0</v>
      </c>
      <c r="AY24" s="17">
        <f t="shared" si="120"/>
        <v>9199.99999999982</v>
      </c>
      <c r="AZ24" s="17">
        <f t="shared" si="7"/>
        <v>14599.9999999995</v>
      </c>
      <c r="BA24" s="17">
        <f t="shared" si="8"/>
        <v>7400.00000000146</v>
      </c>
      <c r="BB24" s="17">
        <f t="shared" si="9"/>
        <v>1104.00000000023</v>
      </c>
      <c r="BC24" s="17">
        <f t="shared" si="23"/>
        <v>1396.00000000006</v>
      </c>
      <c r="BD24" s="17">
        <f t="shared" si="10"/>
        <v>13306.3999999795</v>
      </c>
      <c r="BE24" s="17">
        <f t="shared" si="11"/>
        <v>50799.9999999811</v>
      </c>
      <c r="BF24" s="17">
        <f t="shared" si="24"/>
        <v>41.6999999999971</v>
      </c>
      <c r="BG24" s="20">
        <f t="shared" si="12"/>
        <v>0.329452965400831</v>
      </c>
      <c r="BH24" s="20">
        <f t="shared" si="13"/>
        <v>0.0444476150329096</v>
      </c>
      <c r="BI24" s="20">
        <f t="shared" si="14"/>
        <v>0</v>
      </c>
      <c r="BJ24" s="20">
        <f t="shared" si="15"/>
        <v>0.0398197088102784</v>
      </c>
      <c r="BK24" s="20">
        <f t="shared" ref="BK24:BO24" si="121">IF(OR($AD24=0),"",AZ24/$AD24)</f>
        <v>0.094685301079798</v>
      </c>
      <c r="BL24" s="20">
        <f t="shared" si="121"/>
        <v>0.0479911799993609</v>
      </c>
      <c r="BM24" s="20">
        <f t="shared" si="121"/>
        <v>0.00715976523233719</v>
      </c>
      <c r="BN24" s="20">
        <f t="shared" si="121"/>
        <v>0.00905347125393209</v>
      </c>
      <c r="BO24" s="20">
        <f t="shared" si="121"/>
        <v>0.0862959239922145</v>
      </c>
    </row>
    <row r="25" spans="1:67">
      <c r="A25" s="9">
        <f t="shared" si="26"/>
        <v>44218</v>
      </c>
      <c r="B25" s="10">
        <v>17547.48</v>
      </c>
      <c r="C25" s="8">
        <v>97459.9</v>
      </c>
      <c r="D25" s="8">
        <v>62889.1</v>
      </c>
      <c r="E25" s="8">
        <v>59969.8</v>
      </c>
      <c r="F25" s="8">
        <v>6634.9</v>
      </c>
      <c r="G25" s="8">
        <v>117340.7</v>
      </c>
      <c r="H25" s="8">
        <v>5709.7</v>
      </c>
      <c r="I25" s="8">
        <v>2566.3</v>
      </c>
      <c r="J25" s="8">
        <v>967</v>
      </c>
      <c r="K25" s="8">
        <v>56</v>
      </c>
      <c r="L25" s="8">
        <v>95516.6</v>
      </c>
      <c r="M25" s="8">
        <v>61529.1</v>
      </c>
      <c r="N25" s="8">
        <v>77356.6</v>
      </c>
      <c r="O25" s="8">
        <v>106952.3</v>
      </c>
      <c r="P25" s="8">
        <v>6014.4</v>
      </c>
      <c r="Q25" s="8">
        <v>7870.5</v>
      </c>
      <c r="R25" s="8">
        <v>4700.7</v>
      </c>
      <c r="S25" s="8">
        <v>5597.1</v>
      </c>
      <c r="T25" s="8">
        <v>7194.3</v>
      </c>
      <c r="U25" s="8">
        <v>18129.8</v>
      </c>
      <c r="V25" s="8">
        <v>52419.3</v>
      </c>
      <c r="W25" s="8">
        <v>55276.5</v>
      </c>
      <c r="X25" s="8">
        <v>4156</v>
      </c>
      <c r="Y25" s="8">
        <v>3962</v>
      </c>
      <c r="Z25" s="15">
        <f t="shared" si="17"/>
        <v>63394.5</v>
      </c>
      <c r="AA25" s="8">
        <v>72333</v>
      </c>
      <c r="AB25" s="13">
        <v>5484</v>
      </c>
      <c r="AC25" s="7">
        <f t="shared" si="18"/>
        <v>77817</v>
      </c>
      <c r="AD25" s="16">
        <v>165321</v>
      </c>
      <c r="AE25" s="17">
        <f t="shared" ref="AE25:AI25" si="122">IF(OR(C26=""),"",(C26-C25)*80)</f>
        <v>0</v>
      </c>
      <c r="AF25" s="17">
        <f t="shared" si="122"/>
        <v>2736.00000000035</v>
      </c>
      <c r="AG25" s="17">
        <f t="shared" si="122"/>
        <v>2720</v>
      </c>
      <c r="AH25" s="17">
        <f t="shared" si="122"/>
        <v>36.0000000000582</v>
      </c>
      <c r="AI25" s="17">
        <f t="shared" si="122"/>
        <v>2288.00000000047</v>
      </c>
      <c r="AJ25" s="17">
        <f t="shared" si="1"/>
        <v>7780.00000000087</v>
      </c>
      <c r="AK25" s="17">
        <f t="shared" ref="AK25:AN25" si="123">IF(OR(H26=""),"",(H26-H25)*80)</f>
        <v>0</v>
      </c>
      <c r="AL25" s="17">
        <f t="shared" si="123"/>
        <v>0</v>
      </c>
      <c r="AM25" s="17">
        <f t="shared" si="123"/>
        <v>0</v>
      </c>
      <c r="AN25" s="17">
        <f t="shared" si="123"/>
        <v>0</v>
      </c>
      <c r="AO25" s="17">
        <f t="shared" si="3"/>
        <v>0</v>
      </c>
      <c r="AP25" s="17">
        <f t="shared" ref="AP25:AS25" si="124">IF(OR(L26=""),"",(L26-L25)*100)</f>
        <v>1539.99999999942</v>
      </c>
      <c r="AQ25" s="17">
        <f t="shared" si="124"/>
        <v>0</v>
      </c>
      <c r="AR25" s="17">
        <f t="shared" si="124"/>
        <v>2719.99999999971</v>
      </c>
      <c r="AS25" s="17">
        <f t="shared" si="124"/>
        <v>2400</v>
      </c>
      <c r="AT25" s="17">
        <f t="shared" si="5"/>
        <v>6659.99999999913</v>
      </c>
      <c r="AU25" s="17">
        <f t="shared" ref="AU25:AY25" si="125">IF(OR(P26=""),"",(P26-P25)*1000)</f>
        <v>3400.00000000055</v>
      </c>
      <c r="AV25" s="17">
        <f t="shared" si="125"/>
        <v>600.000000000364</v>
      </c>
      <c r="AW25" s="17">
        <f t="shared" si="125"/>
        <v>3800.00000000018</v>
      </c>
      <c r="AX25" s="17">
        <f t="shared" si="125"/>
        <v>2899.99999999964</v>
      </c>
      <c r="AY25" s="17">
        <f t="shared" si="125"/>
        <v>500</v>
      </c>
      <c r="AZ25" s="17">
        <f t="shared" si="7"/>
        <v>11200.0000000007</v>
      </c>
      <c r="BA25" s="17">
        <f t="shared" si="8"/>
        <v>8000</v>
      </c>
      <c r="BB25" s="17">
        <f t="shared" si="9"/>
        <v>1120</v>
      </c>
      <c r="BC25" s="17">
        <f t="shared" si="23"/>
        <v>1432.00000000012</v>
      </c>
      <c r="BD25" s="17">
        <f t="shared" si="10"/>
        <v>19307.9999999919</v>
      </c>
      <c r="BE25" s="17">
        <f t="shared" si="11"/>
        <v>55499.9999999927</v>
      </c>
      <c r="BF25" s="17">
        <f t="shared" si="24"/>
        <v>116</v>
      </c>
      <c r="BG25" s="20">
        <f t="shared" si="12"/>
        <v>0.335710526793285</v>
      </c>
      <c r="BH25" s="20">
        <f t="shared" si="13"/>
        <v>0.0470599621342774</v>
      </c>
      <c r="BI25" s="20">
        <f t="shared" si="14"/>
        <v>0</v>
      </c>
      <c r="BJ25" s="20">
        <f t="shared" si="15"/>
        <v>0.0402852632151942</v>
      </c>
      <c r="BK25" s="20">
        <f t="shared" ref="BK25:BO25" si="126">IF(OR($AD25=0),"",AZ25/$AD25)</f>
        <v>0.0677469891907303</v>
      </c>
      <c r="BL25" s="20">
        <f t="shared" si="126"/>
        <v>0.0483907065648042</v>
      </c>
      <c r="BM25" s="20">
        <f t="shared" si="126"/>
        <v>0.00677469891907259</v>
      </c>
      <c r="BN25" s="20">
        <f t="shared" si="126"/>
        <v>0.00866193647510066</v>
      </c>
      <c r="BO25" s="20">
        <f t="shared" si="126"/>
        <v>0.116790970294106</v>
      </c>
    </row>
    <row r="26" spans="1:67">
      <c r="A26" s="9">
        <f t="shared" si="26"/>
        <v>44219</v>
      </c>
      <c r="B26" s="10">
        <v>17553.03</v>
      </c>
      <c r="C26" s="8">
        <v>97459.9</v>
      </c>
      <c r="D26" s="8">
        <v>62923.3</v>
      </c>
      <c r="E26" s="8">
        <v>60003.8</v>
      </c>
      <c r="F26" s="8">
        <v>6635.35</v>
      </c>
      <c r="G26" s="8">
        <v>117369.3</v>
      </c>
      <c r="H26" s="8">
        <v>5709.7</v>
      </c>
      <c r="I26" s="8">
        <v>2566.3</v>
      </c>
      <c r="J26" s="8">
        <v>967</v>
      </c>
      <c r="K26" s="8">
        <v>56</v>
      </c>
      <c r="L26" s="8">
        <v>95532</v>
      </c>
      <c r="M26" s="8">
        <v>61529.1</v>
      </c>
      <c r="N26" s="8">
        <v>77383.8</v>
      </c>
      <c r="O26" s="8">
        <v>106976.3</v>
      </c>
      <c r="P26" s="8">
        <v>6017.8</v>
      </c>
      <c r="Q26" s="8">
        <v>7871.1</v>
      </c>
      <c r="R26" s="8">
        <v>4704.5</v>
      </c>
      <c r="S26" s="8">
        <v>5600</v>
      </c>
      <c r="T26" s="8">
        <v>7194.8</v>
      </c>
      <c r="U26" s="8">
        <v>18133.8</v>
      </c>
      <c r="V26" s="8">
        <v>52433.3</v>
      </c>
      <c r="W26" s="8">
        <v>55294.3</v>
      </c>
      <c r="X26" s="8">
        <v>4164.9</v>
      </c>
      <c r="Y26" s="8">
        <v>3971.1</v>
      </c>
      <c r="Z26" s="15">
        <f t="shared" si="17"/>
        <v>63430.3</v>
      </c>
      <c r="AA26" s="8">
        <v>72363</v>
      </c>
      <c r="AB26" s="13">
        <v>5570</v>
      </c>
      <c r="AC26" s="7">
        <f t="shared" si="18"/>
        <v>77933</v>
      </c>
      <c r="AD26" s="16">
        <v>201787</v>
      </c>
      <c r="AE26" s="17">
        <f t="shared" ref="AE26:AI26" si="127">IF(OR(C27=""),"",(C27-C26)*80)</f>
        <v>0</v>
      </c>
      <c r="AF26" s="17">
        <f t="shared" si="127"/>
        <v>0</v>
      </c>
      <c r="AG26" s="17">
        <f t="shared" si="127"/>
        <v>2887.99999999988</v>
      </c>
      <c r="AH26" s="17">
        <f t="shared" si="127"/>
        <v>2365.59999999998</v>
      </c>
      <c r="AI26" s="17">
        <f t="shared" si="127"/>
        <v>2495.99999999977</v>
      </c>
      <c r="AJ26" s="17">
        <f t="shared" si="1"/>
        <v>7749.59999999963</v>
      </c>
      <c r="AK26" s="17">
        <f t="shared" ref="AK26:AN26" si="128">IF(OR(H27=""),"",(H27-H26)*80)</f>
        <v>0</v>
      </c>
      <c r="AL26" s="17">
        <f t="shared" si="128"/>
        <v>0</v>
      </c>
      <c r="AM26" s="17">
        <f t="shared" si="128"/>
        <v>0</v>
      </c>
      <c r="AN26" s="17">
        <f t="shared" si="128"/>
        <v>0</v>
      </c>
      <c r="AO26" s="17">
        <f t="shared" si="3"/>
        <v>0</v>
      </c>
      <c r="AP26" s="17">
        <f t="shared" ref="AP26:AS26" si="129">IF(OR(L27=""),"",(L27-L26)*100)</f>
        <v>2619.99999999971</v>
      </c>
      <c r="AQ26" s="17">
        <f t="shared" si="129"/>
        <v>0</v>
      </c>
      <c r="AR26" s="17">
        <f t="shared" si="129"/>
        <v>2859.99999999913</v>
      </c>
      <c r="AS26" s="17">
        <f t="shared" si="129"/>
        <v>2259.99999999913</v>
      </c>
      <c r="AT26" s="17">
        <f t="shared" si="5"/>
        <v>7739.99999999796</v>
      </c>
      <c r="AU26" s="17">
        <f t="shared" ref="AU26:AY26" si="130">IF(OR(P27=""),"",(P27-P26)*1000)</f>
        <v>199.999999999818</v>
      </c>
      <c r="AV26" s="17">
        <f t="shared" si="130"/>
        <v>500</v>
      </c>
      <c r="AW26" s="17">
        <f t="shared" si="130"/>
        <v>100.000000000364</v>
      </c>
      <c r="AX26" s="17">
        <f t="shared" si="130"/>
        <v>5500</v>
      </c>
      <c r="AY26" s="17">
        <f t="shared" si="130"/>
        <v>9199.99999999982</v>
      </c>
      <c r="AZ26" s="17">
        <f t="shared" si="7"/>
        <v>15500</v>
      </c>
      <c r="BA26" s="17">
        <f t="shared" si="8"/>
        <v>9000</v>
      </c>
      <c r="BB26" s="17">
        <f t="shared" si="9"/>
        <v>1095.99999999977</v>
      </c>
      <c r="BC26" s="17">
        <f t="shared" si="23"/>
        <v>1380</v>
      </c>
      <c r="BD26" s="17">
        <f t="shared" si="10"/>
        <v>14134.4000000012</v>
      </c>
      <c r="BE26" s="17">
        <f t="shared" si="11"/>
        <v>56599.9999999985</v>
      </c>
      <c r="BF26" s="17">
        <f t="shared" si="24"/>
        <v>141.5</v>
      </c>
      <c r="BG26" s="20">
        <f t="shared" si="12"/>
        <v>0.280493788004175</v>
      </c>
      <c r="BH26" s="20">
        <f t="shared" si="13"/>
        <v>0.038404852641645</v>
      </c>
      <c r="BI26" s="20">
        <f t="shared" si="14"/>
        <v>0</v>
      </c>
      <c r="BJ26" s="20">
        <f t="shared" si="15"/>
        <v>0.0383572777235301</v>
      </c>
      <c r="BK26" s="20">
        <f t="shared" ref="BK26:BO26" si="131">IF(OR($AD26=0),"",AZ26/$AD26)</f>
        <v>0.0768136698598027</v>
      </c>
      <c r="BL26" s="20">
        <f t="shared" si="131"/>
        <v>0.0446014857250467</v>
      </c>
      <c r="BM26" s="20">
        <f t="shared" si="131"/>
        <v>0.00543146981718231</v>
      </c>
      <c r="BN26" s="20">
        <f t="shared" si="131"/>
        <v>0.0068388944778405</v>
      </c>
      <c r="BO26" s="20">
        <f t="shared" si="131"/>
        <v>0.0700461377591281</v>
      </c>
    </row>
    <row r="27" spans="1:67">
      <c r="A27" s="9">
        <f t="shared" si="26"/>
        <v>44220</v>
      </c>
      <c r="B27" s="10">
        <v>17558.69</v>
      </c>
      <c r="C27" s="8">
        <v>97459.9</v>
      </c>
      <c r="D27" s="8">
        <v>62923.3</v>
      </c>
      <c r="E27" s="8">
        <v>60039.9</v>
      </c>
      <c r="F27" s="8">
        <v>6664.92</v>
      </c>
      <c r="G27" s="8">
        <v>117400.5</v>
      </c>
      <c r="H27" s="8">
        <v>5709.7</v>
      </c>
      <c r="I27" s="8">
        <v>2566.3</v>
      </c>
      <c r="J27" s="8">
        <v>967</v>
      </c>
      <c r="K27" s="8">
        <v>56</v>
      </c>
      <c r="L27" s="8">
        <v>95558.2</v>
      </c>
      <c r="M27" s="8">
        <v>61529.1</v>
      </c>
      <c r="N27" s="8">
        <v>77412.4</v>
      </c>
      <c r="O27" s="8">
        <v>106998.9</v>
      </c>
      <c r="P27" s="8">
        <v>6018</v>
      </c>
      <c r="Q27" s="8">
        <v>7871.6</v>
      </c>
      <c r="R27" s="8">
        <v>4704.6</v>
      </c>
      <c r="S27" s="8">
        <v>5605.5</v>
      </c>
      <c r="T27" s="8">
        <v>7204</v>
      </c>
      <c r="U27" s="8">
        <v>18138.3</v>
      </c>
      <c r="V27" s="8">
        <v>52447</v>
      </c>
      <c r="W27" s="8">
        <v>55311.5</v>
      </c>
      <c r="X27" s="8">
        <v>4173.5</v>
      </c>
      <c r="Y27" s="8">
        <v>3979.8</v>
      </c>
      <c r="Z27" s="15">
        <f t="shared" si="17"/>
        <v>63464.8</v>
      </c>
      <c r="AA27" s="8">
        <v>72387.5</v>
      </c>
      <c r="AB27" s="13">
        <v>5687</v>
      </c>
      <c r="AC27" s="7">
        <f t="shared" si="18"/>
        <v>78074.5</v>
      </c>
      <c r="AD27" s="16">
        <v>201207</v>
      </c>
      <c r="AE27" s="17">
        <f t="shared" ref="AE27:AI27" si="132">IF(OR(C28=""),"",(C28-C27)*80)</f>
        <v>0</v>
      </c>
      <c r="AF27" s="17">
        <f t="shared" si="132"/>
        <v>0</v>
      </c>
      <c r="AG27" s="17">
        <f t="shared" si="132"/>
        <v>2320</v>
      </c>
      <c r="AH27" s="17">
        <f t="shared" si="132"/>
        <v>2443.2</v>
      </c>
      <c r="AI27" s="17">
        <f t="shared" si="132"/>
        <v>1951.99999999953</v>
      </c>
      <c r="AJ27" s="17">
        <f t="shared" si="1"/>
        <v>6715.19999999953</v>
      </c>
      <c r="AK27" s="17">
        <f t="shared" ref="AK27:AN27" si="133">IF(OR(H28=""),"",(H28-H27)*80)</f>
        <v>0</v>
      </c>
      <c r="AL27" s="17">
        <f t="shared" si="133"/>
        <v>0</v>
      </c>
      <c r="AM27" s="17">
        <f t="shared" si="133"/>
        <v>0</v>
      </c>
      <c r="AN27" s="17">
        <f t="shared" si="133"/>
        <v>0</v>
      </c>
      <c r="AO27" s="17">
        <f t="shared" si="3"/>
        <v>0</v>
      </c>
      <c r="AP27" s="17">
        <f t="shared" ref="AP27:AS27" si="134">IF(OR(L28=""),"",(L28-L27)*100)</f>
        <v>2680.00000000029</v>
      </c>
      <c r="AQ27" s="17">
        <f t="shared" si="134"/>
        <v>0</v>
      </c>
      <c r="AR27" s="17">
        <f t="shared" si="134"/>
        <v>2930.00000000029</v>
      </c>
      <c r="AS27" s="17">
        <f t="shared" si="134"/>
        <v>2270.00000000116</v>
      </c>
      <c r="AT27" s="17">
        <f t="shared" si="5"/>
        <v>7880.00000000175</v>
      </c>
      <c r="AU27" s="17">
        <f t="shared" ref="AU27:AY27" si="135">IF(OR(P28=""),"",(P28-P27)*1000)</f>
        <v>300.000000000182</v>
      </c>
      <c r="AV27" s="17">
        <f t="shared" si="135"/>
        <v>500</v>
      </c>
      <c r="AW27" s="17">
        <f t="shared" si="135"/>
        <v>0</v>
      </c>
      <c r="AX27" s="17">
        <f t="shared" si="135"/>
        <v>5399.99999999964</v>
      </c>
      <c r="AY27" s="17">
        <f t="shared" si="135"/>
        <v>7600.00000000036</v>
      </c>
      <c r="AZ27" s="17">
        <f t="shared" si="7"/>
        <v>13800.0000000002</v>
      </c>
      <c r="BA27" s="17">
        <f t="shared" si="8"/>
        <v>9000</v>
      </c>
      <c r="BB27" s="17">
        <f t="shared" si="9"/>
        <v>1095.99999999977</v>
      </c>
      <c r="BC27" s="17">
        <f t="shared" si="23"/>
        <v>1371.99999999983</v>
      </c>
      <c r="BD27" s="17">
        <f t="shared" si="10"/>
        <v>13136.8000000281</v>
      </c>
      <c r="BE27" s="17">
        <f t="shared" si="11"/>
        <v>53000.0000000291</v>
      </c>
      <c r="BF27" s="17">
        <f t="shared" si="24"/>
        <v>142.899999999994</v>
      </c>
      <c r="BG27" s="20">
        <f t="shared" si="12"/>
        <v>0.26341031872663</v>
      </c>
      <c r="BH27" s="20">
        <f t="shared" si="13"/>
        <v>0.0333745843832448</v>
      </c>
      <c r="BI27" s="20">
        <f t="shared" si="14"/>
        <v>0</v>
      </c>
      <c r="BJ27" s="20">
        <f t="shared" si="15"/>
        <v>0.039163647388022</v>
      </c>
      <c r="BK27" s="20">
        <f t="shared" ref="BK27:BO27" si="136">IF(OR($AD27=0),"",AZ27/$AD27)</f>
        <v>0.0685860829891613</v>
      </c>
      <c r="BL27" s="20">
        <f t="shared" si="136"/>
        <v>0.0447300541233655</v>
      </c>
      <c r="BM27" s="20">
        <f t="shared" si="136"/>
        <v>0.00544712659102202</v>
      </c>
      <c r="BN27" s="20">
        <f t="shared" si="136"/>
        <v>0.00681884825080552</v>
      </c>
      <c r="BO27" s="20">
        <f t="shared" si="136"/>
        <v>0.0652899750010092</v>
      </c>
    </row>
    <row r="28" spans="1:67">
      <c r="A28" s="9">
        <f t="shared" si="26"/>
        <v>44221</v>
      </c>
      <c r="B28" s="10">
        <v>17563.99</v>
      </c>
      <c r="C28" s="8">
        <v>97459.9</v>
      </c>
      <c r="D28" s="8">
        <v>62923.3</v>
      </c>
      <c r="E28" s="8">
        <v>60068.9</v>
      </c>
      <c r="F28" s="8">
        <v>6695.46</v>
      </c>
      <c r="G28" s="8">
        <v>117424.9</v>
      </c>
      <c r="H28" s="8">
        <v>5709.7</v>
      </c>
      <c r="I28" s="8">
        <v>2566.3</v>
      </c>
      <c r="J28" s="8">
        <v>967</v>
      </c>
      <c r="K28" s="8">
        <v>56</v>
      </c>
      <c r="L28" s="8">
        <v>95585</v>
      </c>
      <c r="M28" s="8">
        <v>61529.1</v>
      </c>
      <c r="N28" s="8">
        <v>77441.7</v>
      </c>
      <c r="O28" s="8">
        <v>107021.6</v>
      </c>
      <c r="P28" s="8">
        <v>6018.3</v>
      </c>
      <c r="Q28" s="8">
        <v>7872.1</v>
      </c>
      <c r="R28" s="8">
        <v>4704.6</v>
      </c>
      <c r="S28" s="8">
        <v>5610.9</v>
      </c>
      <c r="T28" s="8">
        <v>7211.6</v>
      </c>
      <c r="U28" s="8">
        <v>18142.8</v>
      </c>
      <c r="V28" s="8">
        <v>52460.7</v>
      </c>
      <c r="W28" s="8">
        <v>55328.6</v>
      </c>
      <c r="X28" s="8">
        <v>4182.1</v>
      </c>
      <c r="Y28" s="8">
        <v>3988.4</v>
      </c>
      <c r="Z28" s="15">
        <f t="shared" si="17"/>
        <v>63499.1</v>
      </c>
      <c r="AA28" s="8">
        <v>72412.4</v>
      </c>
      <c r="AB28" s="13">
        <v>5805</v>
      </c>
      <c r="AC28" s="7">
        <f t="shared" si="18"/>
        <v>78217.4</v>
      </c>
      <c r="AD28" s="16">
        <v>200630</v>
      </c>
      <c r="AE28" s="17">
        <f t="shared" ref="AE28:AI28" si="137">IF(OR(C29=""),"",(C29-C28)*80)</f>
        <v>0</v>
      </c>
      <c r="AF28" s="17">
        <f t="shared" si="137"/>
        <v>0</v>
      </c>
      <c r="AG28" s="17">
        <f t="shared" si="137"/>
        <v>2575.99999999977</v>
      </c>
      <c r="AH28" s="17">
        <f t="shared" si="137"/>
        <v>2553.60000000001</v>
      </c>
      <c r="AI28" s="17">
        <f t="shared" si="137"/>
        <v>2512.0000000007</v>
      </c>
      <c r="AJ28" s="17">
        <f t="shared" si="1"/>
        <v>7641.60000000047</v>
      </c>
      <c r="AK28" s="17">
        <f t="shared" ref="AK28:AN28" si="138">IF(OR(H29=""),"",(H29-H28)*80)</f>
        <v>0</v>
      </c>
      <c r="AL28" s="17">
        <f t="shared" si="138"/>
        <v>0</v>
      </c>
      <c r="AM28" s="17">
        <f t="shared" si="138"/>
        <v>0</v>
      </c>
      <c r="AN28" s="17">
        <f t="shared" si="138"/>
        <v>0</v>
      </c>
      <c r="AO28" s="17">
        <f t="shared" si="3"/>
        <v>0</v>
      </c>
      <c r="AP28" s="17">
        <f t="shared" ref="AP28:AS28" si="139">IF(OR(L29=""),"",(L29-L28)*100)</f>
        <v>2539.99999999942</v>
      </c>
      <c r="AQ28" s="17">
        <f t="shared" si="139"/>
        <v>0</v>
      </c>
      <c r="AR28" s="17">
        <f t="shared" si="139"/>
        <v>2930.00000000029</v>
      </c>
      <c r="AS28" s="17">
        <f t="shared" si="139"/>
        <v>2300</v>
      </c>
      <c r="AT28" s="17">
        <f t="shared" si="5"/>
        <v>7769.99999999971</v>
      </c>
      <c r="AU28" s="17">
        <f t="shared" ref="AU28:AY28" si="140">IF(OR(P29=""),"",(P29-P28)*1000)</f>
        <v>1500</v>
      </c>
      <c r="AV28" s="17">
        <f t="shared" si="140"/>
        <v>199.999999999818</v>
      </c>
      <c r="AW28" s="17">
        <f t="shared" si="140"/>
        <v>4799.99999999927</v>
      </c>
      <c r="AX28" s="17">
        <f t="shared" si="140"/>
        <v>5200.00000000073</v>
      </c>
      <c r="AY28" s="17">
        <f t="shared" si="140"/>
        <v>0</v>
      </c>
      <c r="AZ28" s="17">
        <f t="shared" si="7"/>
        <v>11699.9999999998</v>
      </c>
      <c r="BA28" s="17">
        <f t="shared" si="8"/>
        <v>8800.00000000291</v>
      </c>
      <c r="BB28" s="17">
        <f t="shared" si="9"/>
        <v>1064.00000000023</v>
      </c>
      <c r="BC28" s="17">
        <f t="shared" si="23"/>
        <v>1371.99999999983</v>
      </c>
      <c r="BD28" s="17">
        <f t="shared" si="10"/>
        <v>19352.399999965</v>
      </c>
      <c r="BE28" s="17">
        <f t="shared" si="11"/>
        <v>57699.999999968</v>
      </c>
      <c r="BF28" s="17">
        <f t="shared" si="24"/>
        <v>58.6000000000058</v>
      </c>
      <c r="BG28" s="20">
        <f t="shared" si="12"/>
        <v>0.287594078652086</v>
      </c>
      <c r="BH28" s="20">
        <f t="shared" si="13"/>
        <v>0.0380880227284079</v>
      </c>
      <c r="BI28" s="20">
        <f t="shared" si="14"/>
        <v>0</v>
      </c>
      <c r="BJ28" s="20">
        <f t="shared" si="15"/>
        <v>0.0387280067786458</v>
      </c>
      <c r="BK28" s="20">
        <f t="shared" ref="BK28:BO28" si="141">IF(OR($AD28=0),"",AZ28/$AD28)</f>
        <v>0.058316303643522</v>
      </c>
      <c r="BL28" s="20">
        <f t="shared" si="141"/>
        <v>0.0438618352190745</v>
      </c>
      <c r="BM28" s="20">
        <f t="shared" si="141"/>
        <v>0.00530329462194205</v>
      </c>
      <c r="BN28" s="20">
        <f t="shared" si="141"/>
        <v>0.00683845885460711</v>
      </c>
      <c r="BO28" s="20">
        <f t="shared" si="141"/>
        <v>0.0964581568058866</v>
      </c>
    </row>
    <row r="29" spans="1:67">
      <c r="A29" s="9">
        <f t="shared" si="26"/>
        <v>44222</v>
      </c>
      <c r="B29" s="10">
        <v>17569.76</v>
      </c>
      <c r="C29" s="8">
        <v>97459.9</v>
      </c>
      <c r="D29" s="8">
        <v>62923.3</v>
      </c>
      <c r="E29" s="8">
        <v>60101.1</v>
      </c>
      <c r="F29" s="8">
        <v>6727.38</v>
      </c>
      <c r="G29" s="8">
        <v>117456.3</v>
      </c>
      <c r="H29" s="8">
        <v>5709.7</v>
      </c>
      <c r="I29" s="8">
        <v>2566.3</v>
      </c>
      <c r="J29" s="8">
        <v>967</v>
      </c>
      <c r="K29" s="8">
        <v>56</v>
      </c>
      <c r="L29" s="8">
        <v>95610.4</v>
      </c>
      <c r="M29" s="8">
        <v>61529.1</v>
      </c>
      <c r="N29" s="8">
        <v>77471</v>
      </c>
      <c r="O29" s="8">
        <v>107044.6</v>
      </c>
      <c r="P29" s="8">
        <v>6019.8</v>
      </c>
      <c r="Q29" s="8">
        <v>7872.3</v>
      </c>
      <c r="R29" s="8">
        <v>4709.4</v>
      </c>
      <c r="S29" s="8">
        <v>5616.1</v>
      </c>
      <c r="T29" s="8">
        <v>7211.6</v>
      </c>
      <c r="U29" s="8">
        <v>18147.2</v>
      </c>
      <c r="V29" s="8">
        <v>52474</v>
      </c>
      <c r="W29" s="8">
        <v>55345.7</v>
      </c>
      <c r="X29" s="8">
        <v>4190.5</v>
      </c>
      <c r="Y29" s="8">
        <v>3997.2</v>
      </c>
      <c r="Z29" s="15">
        <f t="shared" si="17"/>
        <v>63533.4</v>
      </c>
      <c r="AA29" s="8">
        <v>72435</v>
      </c>
      <c r="AB29" s="13">
        <v>5841</v>
      </c>
      <c r="AC29" s="7">
        <f t="shared" si="18"/>
        <v>78276</v>
      </c>
      <c r="AD29" s="16">
        <v>200687</v>
      </c>
      <c r="AE29" s="17">
        <f t="shared" ref="AE29:AI29" si="142">IF(OR(C30=""),"",(C30-C29)*80)</f>
        <v>0</v>
      </c>
      <c r="AF29" s="17">
        <f t="shared" si="142"/>
        <v>151.999999999534</v>
      </c>
      <c r="AG29" s="17">
        <f t="shared" si="142"/>
        <v>2136.00000000035</v>
      </c>
      <c r="AH29" s="17">
        <f t="shared" si="142"/>
        <v>2370.40000000001</v>
      </c>
      <c r="AI29" s="17">
        <f t="shared" si="142"/>
        <v>2240</v>
      </c>
      <c r="AJ29" s="17">
        <f t="shared" si="1"/>
        <v>6898.39999999989</v>
      </c>
      <c r="AK29" s="17">
        <f t="shared" ref="AK29:AN29" si="143">IF(OR(H30=""),"",(H30-H29)*80)</f>
        <v>0</v>
      </c>
      <c r="AL29" s="17">
        <f t="shared" si="143"/>
        <v>0</v>
      </c>
      <c r="AM29" s="17">
        <f t="shared" si="143"/>
        <v>0</v>
      </c>
      <c r="AN29" s="17">
        <f t="shared" si="143"/>
        <v>0</v>
      </c>
      <c r="AO29" s="17">
        <f t="shared" si="3"/>
        <v>0</v>
      </c>
      <c r="AP29" s="17">
        <f t="shared" ref="AP29:AS29" si="144">IF(OR(L30=""),"",(L30-L29)*100)</f>
        <v>2850</v>
      </c>
      <c r="AQ29" s="17">
        <f t="shared" si="144"/>
        <v>0</v>
      </c>
      <c r="AR29" s="17">
        <f t="shared" si="144"/>
        <v>2980.00000000029</v>
      </c>
      <c r="AS29" s="17">
        <f t="shared" si="144"/>
        <v>2350</v>
      </c>
      <c r="AT29" s="17">
        <f t="shared" si="5"/>
        <v>8180.00000000029</v>
      </c>
      <c r="AU29" s="17">
        <f t="shared" ref="AU29:AY29" si="145">IF(OR(P30=""),"",(P30-P29)*1000)</f>
        <v>800.000000000182</v>
      </c>
      <c r="AV29" s="17">
        <f t="shared" si="145"/>
        <v>0</v>
      </c>
      <c r="AW29" s="17">
        <f t="shared" si="145"/>
        <v>4800.00000000018</v>
      </c>
      <c r="AX29" s="17">
        <f t="shared" si="145"/>
        <v>5500</v>
      </c>
      <c r="AY29" s="17">
        <f t="shared" si="145"/>
        <v>0</v>
      </c>
      <c r="AZ29" s="17">
        <f t="shared" si="7"/>
        <v>11100.0000000004</v>
      </c>
      <c r="BA29" s="17">
        <f t="shared" si="8"/>
        <v>9799.99999999563</v>
      </c>
      <c r="BB29" s="17">
        <f t="shared" si="9"/>
        <v>1080</v>
      </c>
      <c r="BC29" s="17">
        <f t="shared" si="23"/>
        <v>1416.00000000035</v>
      </c>
      <c r="BD29" s="17">
        <f t="shared" si="10"/>
        <v>18825.6000000355</v>
      </c>
      <c r="BE29" s="17">
        <f t="shared" si="11"/>
        <v>57300.000000032</v>
      </c>
      <c r="BF29" s="17">
        <f t="shared" si="24"/>
        <v>45</v>
      </c>
      <c r="BG29" s="20">
        <f t="shared" si="12"/>
        <v>0.285519241405931</v>
      </c>
      <c r="BH29" s="20">
        <f t="shared" si="13"/>
        <v>0.0343739255656813</v>
      </c>
      <c r="BI29" s="20">
        <f t="shared" si="14"/>
        <v>0</v>
      </c>
      <c r="BJ29" s="20">
        <f t="shared" si="15"/>
        <v>0.0407599894362878</v>
      </c>
      <c r="BK29" s="20">
        <f t="shared" ref="BK29:BO29" si="146">IF(OR($AD29=0),"",AZ29/$AD29)</f>
        <v>0.0553100101152559</v>
      </c>
      <c r="BL29" s="20">
        <f t="shared" si="146"/>
        <v>0.0488322611828152</v>
      </c>
      <c r="BM29" s="20">
        <f t="shared" si="146"/>
        <v>0.0053815144977004</v>
      </c>
      <c r="BN29" s="20">
        <f t="shared" si="146"/>
        <v>0.00705576345254226</v>
      </c>
      <c r="BO29" s="20">
        <f t="shared" si="146"/>
        <v>0.0938057771556478</v>
      </c>
    </row>
    <row r="30" spans="1:67">
      <c r="A30" s="9">
        <f t="shared" si="26"/>
        <v>44223</v>
      </c>
      <c r="B30" s="10">
        <v>17575.49</v>
      </c>
      <c r="C30" s="8">
        <v>97459.9</v>
      </c>
      <c r="D30" s="8">
        <v>62925.2</v>
      </c>
      <c r="E30" s="8">
        <v>60127.8</v>
      </c>
      <c r="F30" s="8">
        <v>6757.01</v>
      </c>
      <c r="G30" s="8">
        <v>117484.3</v>
      </c>
      <c r="H30" s="8">
        <v>5709.7</v>
      </c>
      <c r="I30" s="8">
        <v>2566.3</v>
      </c>
      <c r="J30" s="8">
        <v>967</v>
      </c>
      <c r="K30" s="8">
        <v>56</v>
      </c>
      <c r="L30" s="8">
        <v>95638.9</v>
      </c>
      <c r="M30" s="8">
        <v>61529.1</v>
      </c>
      <c r="N30" s="8">
        <v>77500.8</v>
      </c>
      <c r="O30" s="8">
        <v>107068.1</v>
      </c>
      <c r="P30" s="8">
        <v>6020.6</v>
      </c>
      <c r="Q30" s="8">
        <v>7872.3</v>
      </c>
      <c r="R30" s="8">
        <v>4714.2</v>
      </c>
      <c r="S30" s="8">
        <v>5621.6</v>
      </c>
      <c r="T30" s="8">
        <v>7211.6</v>
      </c>
      <c r="U30" s="8">
        <v>18152.1</v>
      </c>
      <c r="V30" s="8">
        <v>52487.5</v>
      </c>
      <c r="W30" s="8">
        <v>55363.4</v>
      </c>
      <c r="X30" s="8">
        <v>4199.3</v>
      </c>
      <c r="Y30" s="8">
        <v>4006.1</v>
      </c>
      <c r="Z30" s="15">
        <f t="shared" si="17"/>
        <v>63568.8</v>
      </c>
      <c r="AA30" s="8">
        <v>72474</v>
      </c>
      <c r="AB30" s="13">
        <v>5847</v>
      </c>
      <c r="AC30" s="7">
        <f t="shared" si="18"/>
        <v>78321</v>
      </c>
      <c r="AD30" s="16">
        <v>204400</v>
      </c>
      <c r="AE30" s="17">
        <f t="shared" ref="AE30:AI30" si="147">IF(OR(C31=""),"",(C31-C30)*80)</f>
        <v>0</v>
      </c>
      <c r="AF30" s="17">
        <f t="shared" si="147"/>
        <v>0</v>
      </c>
      <c r="AG30" s="17">
        <f t="shared" si="147"/>
        <v>2303.99999999965</v>
      </c>
      <c r="AH30" s="17">
        <f t="shared" si="147"/>
        <v>2183.2</v>
      </c>
      <c r="AI30" s="17">
        <f t="shared" si="147"/>
        <v>2304.00000000023</v>
      </c>
      <c r="AJ30" s="17">
        <f t="shared" si="1"/>
        <v>6791.19999999988</v>
      </c>
      <c r="AK30" s="17">
        <f t="shared" ref="AK30:AN30" si="148">IF(OR(H31=""),"",(H31-H30)*80)</f>
        <v>0</v>
      </c>
      <c r="AL30" s="17">
        <f t="shared" si="148"/>
        <v>0</v>
      </c>
      <c r="AM30" s="17">
        <f t="shared" si="148"/>
        <v>0</v>
      </c>
      <c r="AN30" s="17">
        <f t="shared" si="148"/>
        <v>0</v>
      </c>
      <c r="AO30" s="17">
        <f t="shared" si="3"/>
        <v>0</v>
      </c>
      <c r="AP30" s="17">
        <f t="shared" ref="AP30:AS30" si="149">IF(OR(L31=""),"",(L31-L30)*100)</f>
        <v>2920.00000000116</v>
      </c>
      <c r="AQ30" s="17">
        <f t="shared" si="149"/>
        <v>9.99999999985448</v>
      </c>
      <c r="AR30" s="17">
        <f t="shared" si="149"/>
        <v>2889.99999999942</v>
      </c>
      <c r="AS30" s="17">
        <f t="shared" si="149"/>
        <v>2229.99999999884</v>
      </c>
      <c r="AT30" s="17">
        <f t="shared" si="5"/>
        <v>8049.99999999927</v>
      </c>
      <c r="AU30" s="17">
        <f t="shared" ref="AU30:AY30" si="150">IF(OR(P31=""),"",(P31-P30)*1000)</f>
        <v>1899.99999999964</v>
      </c>
      <c r="AV30" s="17">
        <f t="shared" si="150"/>
        <v>0</v>
      </c>
      <c r="AW30" s="17">
        <f t="shared" si="150"/>
        <v>2300.00000000018</v>
      </c>
      <c r="AX30" s="17">
        <f t="shared" si="150"/>
        <v>4799.99999999927</v>
      </c>
      <c r="AY30" s="17">
        <f t="shared" si="150"/>
        <v>0</v>
      </c>
      <c r="AZ30" s="17">
        <f t="shared" si="7"/>
        <v>8999.99999999909</v>
      </c>
      <c r="BA30" s="17">
        <f t="shared" si="8"/>
        <v>9400.00000000146</v>
      </c>
      <c r="BB30" s="17">
        <f t="shared" si="9"/>
        <v>984.000000000233</v>
      </c>
      <c r="BC30" s="17">
        <f t="shared" si="23"/>
        <v>1351.99999999983</v>
      </c>
      <c r="BD30" s="17">
        <f t="shared" si="10"/>
        <v>15622.7999999901</v>
      </c>
      <c r="BE30" s="17">
        <f t="shared" si="11"/>
        <v>51199.9999999898</v>
      </c>
      <c r="BF30" s="17">
        <f t="shared" si="24"/>
        <v>44.3000000000029</v>
      </c>
      <c r="BG30" s="20">
        <f t="shared" si="12"/>
        <v>0.250489236790557</v>
      </c>
      <c r="BH30" s="20">
        <f t="shared" si="13"/>
        <v>0.0332250489236785</v>
      </c>
      <c r="BI30" s="20">
        <f t="shared" si="14"/>
        <v>0</v>
      </c>
      <c r="BJ30" s="20">
        <f t="shared" si="15"/>
        <v>0.0393835616438321</v>
      </c>
      <c r="BK30" s="20">
        <f t="shared" ref="BK30:BO30" si="151">IF(OR($AD30=0),"",AZ30/$AD30)</f>
        <v>0.0440313111545944</v>
      </c>
      <c r="BL30" s="20">
        <f t="shared" si="151"/>
        <v>0.0459882583170326</v>
      </c>
      <c r="BM30" s="20">
        <f t="shared" si="151"/>
        <v>0.00481409001957061</v>
      </c>
      <c r="BN30" s="20">
        <f t="shared" si="151"/>
        <v>0.0066144814090011</v>
      </c>
      <c r="BO30" s="20">
        <f t="shared" si="151"/>
        <v>0.0764324853228476</v>
      </c>
    </row>
    <row r="31" spans="1:67">
      <c r="A31" s="9">
        <f t="shared" si="26"/>
        <v>44224</v>
      </c>
      <c r="B31" s="10">
        <v>17580.61</v>
      </c>
      <c r="C31" s="8">
        <v>97459.9</v>
      </c>
      <c r="D31" s="8">
        <v>62925.2</v>
      </c>
      <c r="E31" s="8">
        <v>60156.6</v>
      </c>
      <c r="F31" s="8">
        <v>6784.3</v>
      </c>
      <c r="G31" s="8">
        <v>117513.1</v>
      </c>
      <c r="H31" s="8">
        <v>5709.7</v>
      </c>
      <c r="I31" s="8">
        <v>2566.3</v>
      </c>
      <c r="J31" s="8">
        <v>967</v>
      </c>
      <c r="K31" s="8">
        <v>56</v>
      </c>
      <c r="L31" s="8">
        <v>95668.1</v>
      </c>
      <c r="M31" s="8">
        <v>61529.2</v>
      </c>
      <c r="N31" s="8">
        <v>77529.7</v>
      </c>
      <c r="O31" s="8">
        <v>107090.4</v>
      </c>
      <c r="P31" s="8">
        <v>6022.5</v>
      </c>
      <c r="Q31" s="8">
        <v>7872.3</v>
      </c>
      <c r="R31" s="8">
        <v>4716.5</v>
      </c>
      <c r="S31" s="8">
        <v>5626.4</v>
      </c>
      <c r="T31" s="8">
        <v>7211.6</v>
      </c>
      <c r="U31" s="8">
        <v>18156.8</v>
      </c>
      <c r="V31" s="8">
        <v>52499.8</v>
      </c>
      <c r="W31" s="8">
        <v>55380.3</v>
      </c>
      <c r="X31" s="8">
        <v>4207.7</v>
      </c>
      <c r="Y31" s="8">
        <v>4014.6</v>
      </c>
      <c r="Z31" s="15">
        <f t="shared" si="17"/>
        <v>63602.6</v>
      </c>
      <c r="AA31" s="8">
        <v>72514.3</v>
      </c>
      <c r="AB31" s="13">
        <v>5851</v>
      </c>
      <c r="AC31" s="7">
        <f t="shared" si="18"/>
        <v>78365.3</v>
      </c>
      <c r="AD31" s="16">
        <v>207894</v>
      </c>
      <c r="AE31" s="17">
        <f t="shared" ref="AE31:AI31" si="152">IF(OR(C32=""),"",(C32-C31)*80)</f>
        <v>0</v>
      </c>
      <c r="AF31" s="17">
        <f t="shared" si="152"/>
        <v>0</v>
      </c>
      <c r="AG31" s="17">
        <f t="shared" si="152"/>
        <v>2440</v>
      </c>
      <c r="AH31" s="17">
        <f t="shared" si="152"/>
        <v>2344.00000000001</v>
      </c>
      <c r="AI31" s="17">
        <f t="shared" si="152"/>
        <v>2000</v>
      </c>
      <c r="AJ31" s="17">
        <f t="shared" si="1"/>
        <v>6784.00000000001</v>
      </c>
      <c r="AK31" s="17">
        <f t="shared" ref="AK31:AN31" si="153">IF(OR(H32=""),"",(H32-H31)*80)</f>
        <v>0</v>
      </c>
      <c r="AL31" s="17">
        <f t="shared" si="153"/>
        <v>0</v>
      </c>
      <c r="AM31" s="17">
        <f t="shared" si="153"/>
        <v>0</v>
      </c>
      <c r="AN31" s="17">
        <f t="shared" si="153"/>
        <v>0</v>
      </c>
      <c r="AO31" s="17">
        <f t="shared" si="3"/>
        <v>0</v>
      </c>
      <c r="AP31" s="17">
        <f t="shared" ref="AP31:AS31" si="154">IF(OR(L32=""),"",(L32-L31)*100)</f>
        <v>3039.99999999942</v>
      </c>
      <c r="AQ31" s="17">
        <f t="shared" si="154"/>
        <v>0</v>
      </c>
      <c r="AR31" s="17">
        <f t="shared" si="154"/>
        <v>2940.00000000087</v>
      </c>
      <c r="AS31" s="17">
        <f t="shared" si="154"/>
        <v>2280.00000000029</v>
      </c>
      <c r="AT31" s="17">
        <f t="shared" si="5"/>
        <v>8260.00000000058</v>
      </c>
      <c r="AU31" s="17">
        <f t="shared" ref="AU31:AY31" si="155">IF(OR(P32=""),"",(P32-P31)*1000)</f>
        <v>0</v>
      </c>
      <c r="AV31" s="17">
        <f t="shared" si="155"/>
        <v>0</v>
      </c>
      <c r="AW31" s="17">
        <f t="shared" si="155"/>
        <v>4500</v>
      </c>
      <c r="AX31" s="17">
        <f t="shared" si="155"/>
        <v>5400.00000000055</v>
      </c>
      <c r="AY31" s="17">
        <f t="shared" si="155"/>
        <v>0</v>
      </c>
      <c r="AZ31" s="17">
        <f t="shared" si="7"/>
        <v>9900.00000000055</v>
      </c>
      <c r="BA31" s="17">
        <f t="shared" si="8"/>
        <v>9400.00000000146</v>
      </c>
      <c r="BB31" s="17">
        <f t="shared" si="9"/>
        <v>1087.99999999988</v>
      </c>
      <c r="BC31" s="17">
        <f t="shared" si="23"/>
        <v>1392.00000000012</v>
      </c>
      <c r="BD31" s="17">
        <f t="shared" si="10"/>
        <v>16976.0000000076</v>
      </c>
      <c r="BE31" s="17">
        <f t="shared" si="11"/>
        <v>53800.0000000102</v>
      </c>
      <c r="BF31" s="17">
        <f t="shared" si="24"/>
        <v>46.8999999999942</v>
      </c>
      <c r="BG31" s="20">
        <f t="shared" si="12"/>
        <v>0.258785727341867</v>
      </c>
      <c r="BH31" s="20">
        <f t="shared" si="13"/>
        <v>0.0326320143919498</v>
      </c>
      <c r="BI31" s="20">
        <f t="shared" si="14"/>
        <v>0</v>
      </c>
      <c r="BJ31" s="20">
        <f t="shared" si="15"/>
        <v>0.0397317863911444</v>
      </c>
      <c r="BK31" s="20">
        <f t="shared" ref="BK31:BO31" si="156">IF(OR($AD31=0),"",AZ31/$AD31)</f>
        <v>0.0476204219458019</v>
      </c>
      <c r="BL31" s="20">
        <f t="shared" si="156"/>
        <v>0.0452153501303619</v>
      </c>
      <c r="BM31" s="20">
        <f t="shared" si="156"/>
        <v>0.00523343627040647</v>
      </c>
      <c r="BN31" s="20">
        <f t="shared" si="156"/>
        <v>0.00669571993419779</v>
      </c>
      <c r="BO31" s="20">
        <f t="shared" si="156"/>
        <v>0.0816569982780051</v>
      </c>
    </row>
    <row r="32" spans="1:67">
      <c r="A32" s="9">
        <f t="shared" si="26"/>
        <v>44225</v>
      </c>
      <c r="B32" s="10">
        <v>17585.99</v>
      </c>
      <c r="C32" s="8">
        <v>97459.9</v>
      </c>
      <c r="D32" s="8">
        <v>62925.2</v>
      </c>
      <c r="E32" s="8">
        <v>60187.1</v>
      </c>
      <c r="F32" s="8">
        <v>6813.6</v>
      </c>
      <c r="G32" s="8">
        <v>117538.1</v>
      </c>
      <c r="H32" s="8">
        <v>5709.7</v>
      </c>
      <c r="I32" s="8">
        <v>2566.3</v>
      </c>
      <c r="J32" s="8">
        <v>967</v>
      </c>
      <c r="K32" s="8">
        <v>56</v>
      </c>
      <c r="L32" s="8">
        <v>95698.5</v>
      </c>
      <c r="M32" s="8">
        <v>61529.2</v>
      </c>
      <c r="N32" s="8">
        <v>77559.1</v>
      </c>
      <c r="O32" s="8">
        <v>107113.2</v>
      </c>
      <c r="P32" s="8">
        <v>6022.5</v>
      </c>
      <c r="Q32" s="8">
        <v>7872.3</v>
      </c>
      <c r="R32" s="8">
        <v>4721</v>
      </c>
      <c r="S32" s="8">
        <v>5631.8</v>
      </c>
      <c r="T32" s="8">
        <v>7211.6</v>
      </c>
      <c r="U32" s="8">
        <v>18161.5</v>
      </c>
      <c r="V32" s="8">
        <v>52513.4</v>
      </c>
      <c r="W32" s="8">
        <v>55397.6</v>
      </c>
      <c r="X32" s="8">
        <v>4216.4</v>
      </c>
      <c r="Y32" s="8">
        <v>4023.4</v>
      </c>
      <c r="Z32" s="15">
        <f t="shared" si="17"/>
        <v>63637.4</v>
      </c>
      <c r="AA32" s="8">
        <v>72555.2</v>
      </c>
      <c r="AB32" s="13">
        <v>5857</v>
      </c>
      <c r="AC32" s="7">
        <f t="shared" si="18"/>
        <v>78412.2</v>
      </c>
      <c r="AD32" s="16">
        <v>201029</v>
      </c>
      <c r="AE32" s="17">
        <f t="shared" ref="AE32:AI32" si="157">IF(OR(C33=""),"",(C33-C32)*80)</f>
        <v>0</v>
      </c>
      <c r="AF32" s="17">
        <f t="shared" si="157"/>
        <v>2488.00000000047</v>
      </c>
      <c r="AG32" s="17">
        <f t="shared" si="157"/>
        <v>3200</v>
      </c>
      <c r="AH32" s="17">
        <f t="shared" si="157"/>
        <v>366.399999999994</v>
      </c>
      <c r="AI32" s="17">
        <f t="shared" si="157"/>
        <v>2160</v>
      </c>
      <c r="AJ32" s="17">
        <f t="shared" si="1"/>
        <v>8214.40000000046</v>
      </c>
      <c r="AK32" s="17">
        <f t="shared" ref="AK32:AN32" si="158">IF(OR(H33=""),"",(H33-H32)*80)</f>
        <v>0</v>
      </c>
      <c r="AL32" s="17">
        <f t="shared" si="158"/>
        <v>0</v>
      </c>
      <c r="AM32" s="17">
        <f t="shared" si="158"/>
        <v>0</v>
      </c>
      <c r="AN32" s="17">
        <f t="shared" si="158"/>
        <v>0</v>
      </c>
      <c r="AO32" s="17">
        <f t="shared" si="3"/>
        <v>0</v>
      </c>
      <c r="AP32" s="17">
        <f t="shared" ref="AP32:AS32" si="159">IF(OR(L33=""),"",(L33-L32)*100)</f>
        <v>2600</v>
      </c>
      <c r="AQ32" s="17">
        <f t="shared" si="159"/>
        <v>0</v>
      </c>
      <c r="AR32" s="17">
        <f t="shared" si="159"/>
        <v>2969.99999999971</v>
      </c>
      <c r="AS32" s="17">
        <f t="shared" si="159"/>
        <v>2300</v>
      </c>
      <c r="AT32" s="17">
        <f t="shared" si="5"/>
        <v>7869.99999999971</v>
      </c>
      <c r="AU32" s="17">
        <f t="shared" ref="AU32:AY32" si="160">IF(OR(P33=""),"",(P33-P32)*1000)</f>
        <v>0</v>
      </c>
      <c r="AV32" s="17">
        <f t="shared" si="160"/>
        <v>0</v>
      </c>
      <c r="AW32" s="17">
        <f t="shared" si="160"/>
        <v>4899.99999999964</v>
      </c>
      <c r="AX32" s="17">
        <f t="shared" si="160"/>
        <v>5099.99999999945</v>
      </c>
      <c r="AY32" s="17">
        <f t="shared" si="160"/>
        <v>0</v>
      </c>
      <c r="AZ32" s="17">
        <f t="shared" si="7"/>
        <v>9999.99999999909</v>
      </c>
      <c r="BA32" s="17">
        <f t="shared" si="8"/>
        <v>8599.99999999854</v>
      </c>
      <c r="BB32" s="17">
        <f t="shared" si="9"/>
        <v>1015.99999999977</v>
      </c>
      <c r="BC32" s="17">
        <f t="shared" si="23"/>
        <v>1371.99999999983</v>
      </c>
      <c r="BD32" s="17">
        <f t="shared" si="10"/>
        <v>17327.5999999895</v>
      </c>
      <c r="BE32" s="17">
        <f t="shared" si="11"/>
        <v>54399.9999999869</v>
      </c>
      <c r="BF32" s="17">
        <f t="shared" si="24"/>
        <v>45.8000000000029</v>
      </c>
      <c r="BG32" s="20">
        <f t="shared" si="12"/>
        <v>0.270607723263743</v>
      </c>
      <c r="BH32" s="20">
        <f t="shared" si="13"/>
        <v>0.0408617662128372</v>
      </c>
      <c r="BI32" s="20">
        <f t="shared" si="14"/>
        <v>0</v>
      </c>
      <c r="BJ32" s="20">
        <f t="shared" si="15"/>
        <v>0.0391485805530531</v>
      </c>
      <c r="BK32" s="20">
        <f t="shared" ref="BK32:BO32" si="161">IF(OR($AD32=0),"",AZ32/$AD32)</f>
        <v>0.0497440667764307</v>
      </c>
      <c r="BL32" s="20">
        <f t="shared" si="161"/>
        <v>0.0427798974277271</v>
      </c>
      <c r="BM32" s="20">
        <f t="shared" si="161"/>
        <v>0.00505399718448466</v>
      </c>
      <c r="BN32" s="20">
        <f t="shared" si="161"/>
        <v>0.00682488596172605</v>
      </c>
      <c r="BO32" s="20">
        <f t="shared" si="161"/>
        <v>0.0861945291474837</v>
      </c>
    </row>
    <row r="33" spans="1:67">
      <c r="A33" s="9">
        <f t="shared" si="26"/>
        <v>44226</v>
      </c>
      <c r="B33" s="10">
        <v>17591.43</v>
      </c>
      <c r="C33" s="8">
        <v>97459.9</v>
      </c>
      <c r="D33" s="8">
        <v>62956.3</v>
      </c>
      <c r="E33" s="8">
        <v>60227.1</v>
      </c>
      <c r="F33" s="8">
        <v>6818.18</v>
      </c>
      <c r="G33" s="8">
        <v>117565.1</v>
      </c>
      <c r="H33" s="8">
        <v>5709.7</v>
      </c>
      <c r="I33" s="8">
        <v>2566.3</v>
      </c>
      <c r="J33" s="8">
        <v>967</v>
      </c>
      <c r="K33" s="8">
        <v>56</v>
      </c>
      <c r="L33" s="8">
        <v>95724.5</v>
      </c>
      <c r="M33" s="8">
        <v>61529.2</v>
      </c>
      <c r="N33" s="8">
        <v>77588.8</v>
      </c>
      <c r="O33" s="8">
        <v>107136.2</v>
      </c>
      <c r="P33" s="8">
        <v>6022.5</v>
      </c>
      <c r="Q33" s="8">
        <v>7872.3</v>
      </c>
      <c r="R33" s="8">
        <v>4725.9</v>
      </c>
      <c r="S33" s="8">
        <v>5636.9</v>
      </c>
      <c r="T33" s="8">
        <v>7211.6</v>
      </c>
      <c r="U33" s="8">
        <v>18165.8</v>
      </c>
      <c r="V33" s="8">
        <v>52526.1</v>
      </c>
      <c r="W33" s="8">
        <v>55414.6</v>
      </c>
      <c r="X33" s="8">
        <v>4225</v>
      </c>
      <c r="Y33" s="8">
        <v>4032.1</v>
      </c>
      <c r="Z33" s="15">
        <f t="shared" si="17"/>
        <v>63671.7</v>
      </c>
      <c r="AA33" s="8">
        <v>72596</v>
      </c>
      <c r="AB33" s="13">
        <v>5862</v>
      </c>
      <c r="AC33" s="7">
        <f t="shared" si="18"/>
        <v>78458</v>
      </c>
      <c r="AD33" s="16">
        <v>206972</v>
      </c>
      <c r="AE33" s="17">
        <f t="shared" ref="AE33:AI33" si="162">IF(OR(C34=""),"",(C34-C33)*80)</f>
        <v>3360</v>
      </c>
      <c r="AF33" s="17">
        <f t="shared" si="162"/>
        <v>23.9999999996508</v>
      </c>
      <c r="AG33" s="17">
        <f t="shared" si="162"/>
        <v>3344.00000000023</v>
      </c>
      <c r="AH33" s="17">
        <f t="shared" si="162"/>
        <v>2393.60000000001</v>
      </c>
      <c r="AI33" s="17">
        <f t="shared" si="162"/>
        <v>71.9999999995343</v>
      </c>
      <c r="AJ33" s="17">
        <f t="shared" si="1"/>
        <v>9193.59999999942</v>
      </c>
      <c r="AK33" s="17">
        <f t="shared" ref="AK33:AN33" si="163">IF(OR(H34=""),"",(H34-H33)*80)</f>
        <v>0</v>
      </c>
      <c r="AL33" s="17">
        <f t="shared" si="163"/>
        <v>0</v>
      </c>
      <c r="AM33" s="17">
        <f t="shared" si="163"/>
        <v>0</v>
      </c>
      <c r="AN33" s="17">
        <f t="shared" si="163"/>
        <v>0</v>
      </c>
      <c r="AO33" s="17">
        <f t="shared" si="3"/>
        <v>0</v>
      </c>
      <c r="AP33" s="17">
        <f t="shared" ref="AP33:AS33" si="164">IF(OR(L34=""),"",(L34-L33)*100)</f>
        <v>3000</v>
      </c>
      <c r="AQ33" s="17">
        <f t="shared" si="164"/>
        <v>0</v>
      </c>
      <c r="AR33" s="17">
        <f t="shared" si="164"/>
        <v>3019.99999999971</v>
      </c>
      <c r="AS33" s="17">
        <f t="shared" si="164"/>
        <v>2310.00000000058</v>
      </c>
      <c r="AT33" s="17">
        <f t="shared" si="5"/>
        <v>8330.00000000029</v>
      </c>
      <c r="AU33" s="17">
        <f t="shared" ref="AU33:AY33" si="165">IF(OR(P34=""),"",(P34-P33)*1000)</f>
        <v>0</v>
      </c>
      <c r="AV33" s="17">
        <f t="shared" si="165"/>
        <v>0</v>
      </c>
      <c r="AW33" s="17">
        <f t="shared" si="165"/>
        <v>5000</v>
      </c>
      <c r="AX33" s="17">
        <f t="shared" si="165"/>
        <v>5600.00000000036</v>
      </c>
      <c r="AY33" s="17">
        <f t="shared" si="165"/>
        <v>0</v>
      </c>
      <c r="AZ33" s="17">
        <f t="shared" si="7"/>
        <v>10600.0000000004</v>
      </c>
      <c r="BA33" s="17">
        <f t="shared" si="8"/>
        <v>9800.00000000291</v>
      </c>
      <c r="BB33" s="17">
        <f t="shared" si="9"/>
        <v>824.000000000233</v>
      </c>
      <c r="BC33" s="17">
        <f t="shared" si="23"/>
        <v>1412.00000000012</v>
      </c>
      <c r="BD33" s="17">
        <f t="shared" si="10"/>
        <v>16540.3999999792</v>
      </c>
      <c r="BE33" s="17">
        <f t="shared" si="11"/>
        <v>56699.9999999825</v>
      </c>
      <c r="BF33" s="17">
        <f t="shared" si="24"/>
        <v>142</v>
      </c>
      <c r="BG33" s="20">
        <f t="shared" si="12"/>
        <v>0.273950099530287</v>
      </c>
      <c r="BH33" s="20">
        <f t="shared" si="13"/>
        <v>0.0444195350095637</v>
      </c>
      <c r="BI33" s="20">
        <f t="shared" si="14"/>
        <v>0</v>
      </c>
      <c r="BJ33" s="20">
        <f t="shared" si="15"/>
        <v>0.0402469899310066</v>
      </c>
      <c r="BK33" s="20">
        <f t="shared" ref="BK33:BO33" si="166">IF(OR($AD33=0),"",AZ33/$AD33)</f>
        <v>0.0512146570550623</v>
      </c>
      <c r="BL33" s="20">
        <f t="shared" si="166"/>
        <v>0.0473493999188437</v>
      </c>
      <c r="BM33" s="20">
        <f t="shared" si="166"/>
        <v>0.00398121485031904</v>
      </c>
      <c r="BN33" s="20">
        <f t="shared" si="166"/>
        <v>0.00682217884544826</v>
      </c>
      <c r="BO33" s="20">
        <f t="shared" si="166"/>
        <v>0.0799161239200433</v>
      </c>
    </row>
    <row r="34" spans="1:67">
      <c r="A34" s="9">
        <f t="shared" si="26"/>
        <v>44227</v>
      </c>
      <c r="B34" s="7">
        <v>17597.1</v>
      </c>
      <c r="C34" s="8">
        <v>97501.9</v>
      </c>
      <c r="D34" s="8">
        <v>62956.6</v>
      </c>
      <c r="E34" s="8">
        <v>60268.9</v>
      </c>
      <c r="F34" s="8">
        <v>6848.1</v>
      </c>
      <c r="G34" s="8">
        <v>117566</v>
      </c>
      <c r="H34" s="8">
        <v>5709.7</v>
      </c>
      <c r="I34" s="8">
        <v>2566.3</v>
      </c>
      <c r="J34" s="8">
        <v>967</v>
      </c>
      <c r="K34" s="8">
        <v>56</v>
      </c>
      <c r="L34" s="8">
        <v>95754.5</v>
      </c>
      <c r="M34" s="8">
        <v>61529.2</v>
      </c>
      <c r="N34" s="8">
        <v>77619</v>
      </c>
      <c r="O34" s="8">
        <v>107159.3</v>
      </c>
      <c r="P34" s="8">
        <v>6022.5</v>
      </c>
      <c r="Q34" s="8">
        <v>7872.3</v>
      </c>
      <c r="R34" s="8">
        <v>4730.9</v>
      </c>
      <c r="S34" s="8">
        <v>5642.5</v>
      </c>
      <c r="T34" s="8">
        <v>7211.6</v>
      </c>
      <c r="U34" s="8">
        <v>18170.7</v>
      </c>
      <c r="V34" s="8">
        <v>52536.4</v>
      </c>
      <c r="W34" s="8">
        <v>55432.2</v>
      </c>
      <c r="X34" s="8">
        <v>4233.9</v>
      </c>
      <c r="Y34" s="8">
        <v>4040.9</v>
      </c>
      <c r="Z34" s="15">
        <f t="shared" si="17"/>
        <v>63707</v>
      </c>
      <c r="AA34" s="8">
        <v>72625</v>
      </c>
      <c r="AB34" s="13">
        <v>5975</v>
      </c>
      <c r="AC34" s="7">
        <f t="shared" si="18"/>
        <v>78600</v>
      </c>
      <c r="AD34" s="16">
        <v>181016</v>
      </c>
      <c r="AE34" s="17">
        <f t="shared" ref="AE34:AI34" si="167">IF(OR(C35=""),"",(C35-C34)*80)</f>
        <v>0</v>
      </c>
      <c r="AF34" s="17">
        <f t="shared" si="167"/>
        <v>1224.00000000023</v>
      </c>
      <c r="AG34" s="17">
        <f t="shared" si="167"/>
        <v>2992.00000000012</v>
      </c>
      <c r="AH34" s="17">
        <f t="shared" si="167"/>
        <v>2403.2</v>
      </c>
      <c r="AI34" s="17">
        <f t="shared" si="167"/>
        <v>960</v>
      </c>
      <c r="AJ34" s="17">
        <f t="shared" si="1"/>
        <v>7579.20000000035</v>
      </c>
      <c r="AK34" s="17">
        <f t="shared" ref="AK34:AN34" si="168">IF(OR(H35=""),"",(H35-H34)*80)</f>
        <v>0</v>
      </c>
      <c r="AL34" s="17">
        <f t="shared" si="168"/>
        <v>0</v>
      </c>
      <c r="AM34" s="17">
        <f t="shared" si="168"/>
        <v>0</v>
      </c>
      <c r="AN34" s="17">
        <f t="shared" si="168"/>
        <v>0</v>
      </c>
      <c r="AO34" s="17">
        <f t="shared" si="3"/>
        <v>0</v>
      </c>
      <c r="AP34" s="17">
        <f t="shared" ref="AP34:AS34" si="169">IF(OR(L35=""),"",(L35-L34)*100)</f>
        <v>1880.00000000029</v>
      </c>
      <c r="AQ34" s="17">
        <f t="shared" si="169"/>
        <v>0</v>
      </c>
      <c r="AR34" s="17">
        <f t="shared" si="169"/>
        <v>2900</v>
      </c>
      <c r="AS34" s="17">
        <f t="shared" si="169"/>
        <v>2289.99999999942</v>
      </c>
      <c r="AT34" s="17">
        <f t="shared" si="5"/>
        <v>7069.99999999971</v>
      </c>
      <c r="AU34" s="17">
        <f t="shared" ref="AU34:AY34" si="170">IF(OR(P35=""),"",(P35-P34)*1000)</f>
        <v>699.999999999818</v>
      </c>
      <c r="AV34" s="17">
        <f t="shared" si="170"/>
        <v>1300.00000000018</v>
      </c>
      <c r="AW34" s="17">
        <f t="shared" si="170"/>
        <v>4300.00000000018</v>
      </c>
      <c r="AX34" s="17">
        <f t="shared" si="170"/>
        <v>4500</v>
      </c>
      <c r="AY34" s="17">
        <f t="shared" si="170"/>
        <v>899.999999999636</v>
      </c>
      <c r="AZ34" s="17">
        <f t="shared" si="7"/>
        <v>11699.9999999998</v>
      </c>
      <c r="BA34" s="17">
        <f t="shared" si="8"/>
        <v>8000</v>
      </c>
      <c r="BB34" s="17">
        <f t="shared" si="9"/>
        <v>592.000000000116</v>
      </c>
      <c r="BC34" s="17">
        <f t="shared" si="23"/>
        <v>1344.00000000023</v>
      </c>
      <c r="BD34" s="17">
        <f t="shared" si="10"/>
        <v>16714.8000000289</v>
      </c>
      <c r="BE34" s="17">
        <f t="shared" si="11"/>
        <v>53000.0000000291</v>
      </c>
      <c r="BF34" s="17">
        <f t="shared" si="24"/>
        <v>152.300000000003</v>
      </c>
      <c r="BG34" s="20">
        <f t="shared" si="12"/>
        <v>0.292791797410334</v>
      </c>
      <c r="BH34" s="20">
        <f t="shared" si="13"/>
        <v>0.041870331904364</v>
      </c>
      <c r="BI34" s="20">
        <f t="shared" si="14"/>
        <v>0</v>
      </c>
      <c r="BJ34" s="20">
        <f t="shared" si="15"/>
        <v>0.0390573208998084</v>
      </c>
      <c r="BK34" s="20">
        <f t="shared" ref="BK34:BO34" si="171">IF(OR($AD34=0),"",AZ34/$AD34)</f>
        <v>0.0646351703716788</v>
      </c>
      <c r="BL34" s="20">
        <f t="shared" si="171"/>
        <v>0.0441949882883281</v>
      </c>
      <c r="BM34" s="20">
        <f t="shared" si="171"/>
        <v>0.00327042913333692</v>
      </c>
      <c r="BN34" s="20">
        <f t="shared" si="171"/>
        <v>0.00742475803244041</v>
      </c>
      <c r="BO34" s="20">
        <f t="shared" si="171"/>
        <v>0.0923387987803779</v>
      </c>
    </row>
    <row r="35" spans="1:67">
      <c r="A35" s="9">
        <f t="shared" si="26"/>
        <v>44228</v>
      </c>
      <c r="B35" s="10">
        <v>17602.4</v>
      </c>
      <c r="C35" s="11">
        <v>97501.9</v>
      </c>
      <c r="D35" s="11">
        <v>62971.9</v>
      </c>
      <c r="E35" s="11">
        <v>60306.3</v>
      </c>
      <c r="F35" s="11">
        <v>6878.14</v>
      </c>
      <c r="G35" s="11">
        <v>117578</v>
      </c>
      <c r="H35" s="8">
        <v>5709.7</v>
      </c>
      <c r="I35" s="8">
        <v>2566.3</v>
      </c>
      <c r="J35" s="8">
        <v>967</v>
      </c>
      <c r="K35" s="8">
        <v>56</v>
      </c>
      <c r="L35" s="11">
        <v>95773.3</v>
      </c>
      <c r="M35" s="11">
        <v>61529.2</v>
      </c>
      <c r="N35" s="11">
        <v>77648</v>
      </c>
      <c r="O35" s="11">
        <v>107182.2</v>
      </c>
      <c r="P35" s="11">
        <v>6023.2</v>
      </c>
      <c r="Q35" s="11">
        <v>7873.6</v>
      </c>
      <c r="R35" s="11">
        <v>4735.2</v>
      </c>
      <c r="S35" s="11">
        <v>5647</v>
      </c>
      <c r="T35" s="11">
        <v>7212.5</v>
      </c>
      <c r="U35" s="11">
        <v>18174.7</v>
      </c>
      <c r="V35" s="11">
        <v>52543.8</v>
      </c>
      <c r="W35" s="11">
        <v>55449</v>
      </c>
      <c r="X35" s="11">
        <v>4242.3</v>
      </c>
      <c r="Y35" s="11">
        <v>4049.3</v>
      </c>
      <c r="Z35" s="15">
        <f t="shared" si="17"/>
        <v>63740.6</v>
      </c>
      <c r="AA35" s="11">
        <v>72651.3</v>
      </c>
      <c r="AB35" s="3">
        <v>6101</v>
      </c>
      <c r="AC35" s="3">
        <f t="shared" si="18"/>
        <v>78752.3</v>
      </c>
      <c r="BE35" s="21" t="s">
        <v>44</v>
      </c>
      <c r="BF35" s="21" t="s">
        <v>19</v>
      </c>
      <c r="BG35" s="22">
        <f>SUM(BE4:BE34)</f>
        <v>1683500.00000002</v>
      </c>
      <c r="BH35" s="22">
        <f>SUM(AJ4:AJ34)</f>
        <v>237787.2</v>
      </c>
      <c r="BI35" s="22">
        <f>SUM(AO4:AO34)</f>
        <v>0</v>
      </c>
      <c r="BJ35" s="22">
        <f>SUM(AT4:AT34)</f>
        <v>223400.000000001</v>
      </c>
      <c r="BK35" s="22">
        <f>SUM(AZ4:AZ34)</f>
        <v>435200.000000001</v>
      </c>
      <c r="BL35" s="22">
        <f>SUM(BA4:BA34)</f>
        <v>255400.000000001</v>
      </c>
      <c r="BM35" s="22">
        <f>SUM(BB4:BB34)</f>
        <v>27128.0000000005</v>
      </c>
      <c r="BN35" s="22">
        <f>SUM(BC4:BC34)</f>
        <v>43012.0000000001</v>
      </c>
      <c r="BO35" s="22">
        <f>SUM(BD4:BD34)</f>
        <v>461572.800000018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5581803</v>
      </c>
      <c r="BF36" s="21" t="s">
        <v>21</v>
      </c>
      <c r="BG36" s="23">
        <f>IF(OR(BG35=0),"",ROUND(BG35/$BE$36,3))</f>
        <v>0.302</v>
      </c>
      <c r="BH36" s="23">
        <f t="shared" ref="BH36:BO36" si="172">IF(OR(BH35=0),"",ROUND(BH35/$BE$36,4))</f>
        <v>0.0426</v>
      </c>
      <c r="BI36" s="23" t="str">
        <f t="shared" si="172"/>
        <v/>
      </c>
      <c r="BJ36" s="23">
        <f t="shared" si="172"/>
        <v>0.04</v>
      </c>
      <c r="BK36" s="23">
        <f t="shared" si="172"/>
        <v>0.078</v>
      </c>
      <c r="BL36" s="23">
        <f t="shared" si="172"/>
        <v>0.0458</v>
      </c>
      <c r="BM36" s="23">
        <f t="shared" si="172"/>
        <v>0.0049</v>
      </c>
      <c r="BN36" s="23">
        <f t="shared" si="172"/>
        <v>0.0077</v>
      </c>
      <c r="BO36" s="23">
        <f t="shared" si="172"/>
        <v>0.0827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AM7" activePane="bottomRight" state="frozen"/>
      <selection/>
      <selection pane="topRight"/>
      <selection pane="bottomLeft"/>
      <selection pane="bottomRight" activeCell="BF8" sqref="BF8:BF10"/>
    </sheetView>
  </sheetViews>
  <sheetFormatPr defaultColWidth="9" defaultRowHeight="14.25"/>
  <cols>
    <col min="1" max="1" width="7.66666666666667" style="1" customWidth="1"/>
    <col min="2" max="2" width="8.88333333333333" style="2" customWidth="1"/>
    <col min="3" max="3" width="8.21666666666667" style="3" customWidth="1"/>
    <col min="4" max="4" width="7.88333333333333" style="3" customWidth="1"/>
    <col min="5" max="5" width="8.33333333333333" style="3" customWidth="1"/>
    <col min="6" max="6" width="7.44166666666667" style="3" customWidth="1"/>
    <col min="7" max="7" width="9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3" width="8.21666666666667" style="3" customWidth="1"/>
    <col min="14" max="14" width="7.775" style="3" customWidth="1"/>
    <col min="15" max="15" width="9" style="3" customWidth="1"/>
    <col min="16" max="16" width="7" style="3" customWidth="1"/>
    <col min="17" max="18" width="7.88333333333333" style="3" customWidth="1"/>
    <col min="19" max="19" width="8" style="3" customWidth="1"/>
    <col min="20" max="20" width="7.33333333333333" style="3" customWidth="1"/>
    <col min="21" max="22" width="8.10833333333333" style="3" customWidth="1"/>
    <col min="23" max="23" width="8" style="3" customWidth="1"/>
    <col min="24" max="24" width="7.44166666666667" style="3" customWidth="1"/>
    <col min="25" max="25" width="8.21666666666667" style="3" customWidth="1"/>
    <col min="26" max="27" width="9" style="3" customWidth="1"/>
    <col min="28" max="28" width="7.44166666666667" style="3" customWidth="1"/>
    <col min="29" max="29" width="9.44166666666667" style="3" customWidth="1"/>
    <col min="30" max="30" width="7.21666666666667" style="3" customWidth="1"/>
    <col min="31" max="31" width="4" style="1" customWidth="1"/>
    <col min="32" max="32" width="5.44166666666667" style="1" customWidth="1"/>
    <col min="33" max="33" width="5.775" style="1" customWidth="1"/>
    <col min="34" max="34" width="6.21666666666667" style="1" customWidth="1"/>
    <col min="35" max="35" width="5.44166666666667" style="1" customWidth="1"/>
    <col min="36" max="36" width="6.66666666666667" style="1" customWidth="1"/>
    <col min="37" max="40" width="4" style="1" customWidth="1"/>
    <col min="41" max="41" width="6.66666666666667" style="1" customWidth="1"/>
    <col min="42" max="42" width="5.44166666666667" style="1" customWidth="1"/>
    <col min="43" max="43" width="4" style="1" customWidth="1"/>
    <col min="44" max="44" width="6" style="1" customWidth="1"/>
    <col min="45" max="45" width="5.44166666666667" style="1" customWidth="1"/>
    <col min="46" max="46" width="6.66666666666667" style="1" customWidth="1"/>
    <col min="47" max="48" width="5.44166666666667" style="1" customWidth="1"/>
    <col min="49" max="49" width="7" style="1" customWidth="1"/>
    <col min="50" max="51" width="5.44166666666667" style="1" customWidth="1"/>
    <col min="52" max="52" width="7.66666666666667" style="1" customWidth="1"/>
    <col min="53" max="55" width="6.66666666666667" style="1" customWidth="1"/>
    <col min="56" max="56" width="8.10833333333333" style="1" customWidth="1"/>
    <col min="57" max="57" width="7.10833333333333" style="1" customWidth="1"/>
    <col min="58" max="58" width="6.66666666666667" style="1" customWidth="1"/>
    <col min="59" max="59" width="7.33333333333333" style="1" customWidth="1"/>
    <col min="60" max="60" width="7" style="1" customWidth="1"/>
    <col min="61" max="61" width="6.66666666666667" style="1" customWidth="1"/>
    <col min="62" max="63" width="6.88333333333333" style="1" customWidth="1"/>
    <col min="64" max="64" width="7.33333333333333" style="1" customWidth="1"/>
    <col min="65" max="65" width="7" style="1" customWidth="1"/>
    <col min="66" max="66" width="6.66666666666667" style="1" customWidth="1"/>
    <col min="67" max="67" width="7.333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'1'!A35</f>
        <v>44228</v>
      </c>
      <c r="B4" s="10">
        <v>17602.4</v>
      </c>
      <c r="C4" s="11">
        <v>97501.9</v>
      </c>
      <c r="D4" s="11">
        <v>62971.9</v>
      </c>
      <c r="E4" s="11">
        <v>60306.3</v>
      </c>
      <c r="F4" s="11">
        <v>6878.14</v>
      </c>
      <c r="G4" s="11">
        <v>117578</v>
      </c>
      <c r="H4" s="8">
        <v>5709.7</v>
      </c>
      <c r="I4" s="8">
        <v>2566.3</v>
      </c>
      <c r="J4" s="8">
        <v>967</v>
      </c>
      <c r="K4" s="8">
        <v>56</v>
      </c>
      <c r="L4" s="11">
        <v>95773.3</v>
      </c>
      <c r="M4" s="11">
        <v>61529.2</v>
      </c>
      <c r="N4" s="11">
        <v>77648</v>
      </c>
      <c r="O4" s="11">
        <v>107182.2</v>
      </c>
      <c r="P4" s="11">
        <v>6023.2</v>
      </c>
      <c r="Q4" s="11">
        <v>7873.6</v>
      </c>
      <c r="R4" s="11">
        <v>4735.2</v>
      </c>
      <c r="S4" s="11">
        <v>5647</v>
      </c>
      <c r="T4" s="11">
        <v>7212.5</v>
      </c>
      <c r="U4" s="11">
        <v>18174.7</v>
      </c>
      <c r="V4" s="11">
        <v>52543.8</v>
      </c>
      <c r="W4" s="11">
        <v>55449</v>
      </c>
      <c r="X4" s="11">
        <v>4242.3</v>
      </c>
      <c r="Y4" s="11">
        <v>4049.3</v>
      </c>
      <c r="Z4" s="15">
        <f t="shared" ref="Z4" si="0">IF(OR(W4=""),"",(W4+X4+Y4))</f>
        <v>63740.6</v>
      </c>
      <c r="AA4" s="11">
        <v>72651.3</v>
      </c>
      <c r="AB4" s="13">
        <v>6101</v>
      </c>
      <c r="AC4" s="7">
        <f t="shared" ref="AC4:AC34" si="1">IF(OR(AA4=""),"",(AA4+AB4))</f>
        <v>78752.3</v>
      </c>
      <c r="AD4" s="16">
        <v>93646</v>
      </c>
      <c r="AE4" s="17">
        <f t="shared" ref="AE4:AI4" si="2">IF(OR(C5=""),"",(C5-C4)*80)</f>
        <v>0</v>
      </c>
      <c r="AF4" s="17">
        <f t="shared" si="2"/>
        <v>2575.99999999977</v>
      </c>
      <c r="AG4" s="17">
        <f t="shared" si="2"/>
        <v>2487.99999999988</v>
      </c>
      <c r="AH4" s="17">
        <f t="shared" si="2"/>
        <v>4.79999999995925</v>
      </c>
      <c r="AI4" s="17">
        <f t="shared" si="2"/>
        <v>48.0000000004657</v>
      </c>
      <c r="AJ4" s="17">
        <f t="shared" ref="AJ4:AJ34" si="3">IF(OR(AE4="",AF4="",AG4=""),"",AE4+AF4+AG4+AH4+AI4)</f>
        <v>5116.80000000008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:AO34" si="5">IF(OR(AK4="",AL4=""),"",AK4+AL4+AM4+AN4)</f>
        <v>0</v>
      </c>
      <c r="AP4" s="17">
        <f t="shared" ref="AP4:AS4" si="6">IF(OR(L5=""),"",(L5-L4)*100)</f>
        <v>1280.00000000029</v>
      </c>
      <c r="AQ4" s="17">
        <f t="shared" si="6"/>
        <v>0</v>
      </c>
      <c r="AR4" s="17">
        <f t="shared" si="6"/>
        <v>2669.99999999971</v>
      </c>
      <c r="AS4" s="17">
        <f t="shared" si="6"/>
        <v>100</v>
      </c>
      <c r="AT4" s="17">
        <f t="shared" ref="AT4:AT34" si="7">IF(OR(AP4="",AQ4=""),"",AP4+AQ4+AR4+AS4)</f>
        <v>4050</v>
      </c>
      <c r="AU4" s="17">
        <f t="shared" ref="AU4:AY4" si="8">IF(OR(P5=""),"",(P5-P4)*1000)</f>
        <v>0</v>
      </c>
      <c r="AV4" s="17">
        <f t="shared" si="8"/>
        <v>0</v>
      </c>
      <c r="AW4" s="17">
        <f t="shared" si="8"/>
        <v>0</v>
      </c>
      <c r="AX4" s="17">
        <f t="shared" si="8"/>
        <v>5000</v>
      </c>
      <c r="AY4" s="17">
        <f t="shared" si="8"/>
        <v>8899.99999999964</v>
      </c>
      <c r="AZ4" s="17">
        <f t="shared" ref="AZ4:AZ34" si="9">IF(OR(AU4="",AV4="",AW4=""),"",AU4+AV4+AW4+AX4+AY4)</f>
        <v>13899.9999999996</v>
      </c>
      <c r="BA4" s="17">
        <f t="shared" ref="BA4:BA34" si="10">IF(OR(U5=""),"",(U5-U4)*2000)</f>
        <v>4799.99999999563</v>
      </c>
      <c r="BB4" s="17">
        <f t="shared" ref="BB4:BB34" si="11">IF(OR(V5=""),"",(V5-V4)*80)</f>
        <v>600</v>
      </c>
      <c r="BC4" s="17">
        <f>IF(OR(Z5=""),"",(Z5-Z4)*40)</f>
        <v>1375.99999999977</v>
      </c>
      <c r="BD4" s="17">
        <f t="shared" ref="BD4:BD34" si="12">IF(OR(BE4="",BC4=""),"",BE4-BC4-BB4-BA4-AZ4-AT4-AO4-AJ4)</f>
        <v>12357.1999999801</v>
      </c>
      <c r="BE4" s="17">
        <f t="shared" ref="BE4:BE34" si="13">IF(OR(B5=""),"",(B5-B4)*10000)</f>
        <v>42199.9999999753</v>
      </c>
      <c r="BF4" s="17">
        <f t="shared" ref="BF4:BF34" si="14">IF(OR(AC5=""),"",AC5-AC4)</f>
        <v>164.099999999991</v>
      </c>
      <c r="BG4" s="20">
        <f t="shared" ref="BG4:BG34" si="15">IF(OR($AD4=0),"",BE4/$AD4)</f>
        <v>0.450633235802653</v>
      </c>
      <c r="BH4" s="20">
        <f t="shared" ref="BH4:BH34" si="16">IF(OR($AD4=0),"",AJ4/$AD4)</f>
        <v>0.0546398137667394</v>
      </c>
      <c r="BI4" s="20">
        <f t="shared" ref="BI4:BI34" si="17">IF(OR($AD4=0),"",AO4/$AD4)</f>
        <v>0</v>
      </c>
      <c r="BJ4" s="20">
        <f t="shared" ref="BJ4:BJ34" si="18">IF(OR($AD4=0),"",AT4/$AD4)</f>
        <v>0.043247976421844</v>
      </c>
      <c r="BK4" s="20">
        <f t="shared" ref="BK4:BO4" si="19">IF(OR($AD4=0),"",AZ4/$AD4)</f>
        <v>0.148431326484843</v>
      </c>
      <c r="BL4" s="20">
        <f t="shared" si="19"/>
        <v>0.051256860944361</v>
      </c>
      <c r="BM4" s="20">
        <f t="shared" si="19"/>
        <v>0.00640710761805096</v>
      </c>
      <c r="BN4" s="20">
        <f t="shared" si="19"/>
        <v>0.0146936334707277</v>
      </c>
      <c r="BO4" s="20">
        <f t="shared" si="19"/>
        <v>0.131956517096087</v>
      </c>
    </row>
    <row r="5" spans="1:67">
      <c r="A5" s="9">
        <f t="shared" ref="A5:A32" si="20">A4+1</f>
        <v>44229</v>
      </c>
      <c r="B5" s="10">
        <v>17606.62</v>
      </c>
      <c r="C5" s="11">
        <v>97501.9</v>
      </c>
      <c r="D5" s="8">
        <v>63004.1</v>
      </c>
      <c r="E5" s="8">
        <v>60337.4</v>
      </c>
      <c r="F5" s="8">
        <v>6878.2</v>
      </c>
      <c r="G5" s="8">
        <v>117578.6</v>
      </c>
      <c r="H5" s="8">
        <v>5709.7</v>
      </c>
      <c r="I5" s="8">
        <v>2566.3</v>
      </c>
      <c r="J5" s="8">
        <v>967</v>
      </c>
      <c r="K5" s="8">
        <v>56</v>
      </c>
      <c r="L5" s="8">
        <v>95786.1</v>
      </c>
      <c r="M5" s="11">
        <v>61529.2</v>
      </c>
      <c r="N5" s="8">
        <v>77674.7</v>
      </c>
      <c r="O5" s="8">
        <v>107183.2</v>
      </c>
      <c r="P5" s="11">
        <v>6023.2</v>
      </c>
      <c r="Q5" s="11">
        <v>7873.6</v>
      </c>
      <c r="R5" s="11">
        <v>4735.2</v>
      </c>
      <c r="S5" s="8">
        <v>5652</v>
      </c>
      <c r="T5" s="8">
        <v>7221.4</v>
      </c>
      <c r="U5" s="8">
        <v>18177.1</v>
      </c>
      <c r="V5" s="8">
        <v>52551.3</v>
      </c>
      <c r="W5" s="8">
        <v>55466.4</v>
      </c>
      <c r="X5" s="8">
        <v>4250.7</v>
      </c>
      <c r="Y5" s="8">
        <v>4057.9</v>
      </c>
      <c r="Z5" s="15">
        <f t="shared" ref="Z5:Z35" si="21">IF(OR(W5=""),"",(W5+X5+Y5))</f>
        <v>63775</v>
      </c>
      <c r="AA5" s="8">
        <v>72679.4</v>
      </c>
      <c r="AB5" s="13">
        <v>6237</v>
      </c>
      <c r="AC5" s="7">
        <f t="shared" si="1"/>
        <v>78916.4</v>
      </c>
      <c r="AD5" s="16">
        <v>98092</v>
      </c>
      <c r="AE5" s="17">
        <f t="shared" ref="AE5:AI5" si="22">IF(OR(C6=""),"",(C6-C5)*80)</f>
        <v>0</v>
      </c>
      <c r="AF5" s="17">
        <f t="shared" si="22"/>
        <v>7.99999999988358</v>
      </c>
      <c r="AG5" s="17">
        <f t="shared" si="22"/>
        <v>1760</v>
      </c>
      <c r="AH5" s="17">
        <f t="shared" si="22"/>
        <v>0</v>
      </c>
      <c r="AI5" s="17">
        <f t="shared" si="22"/>
        <v>1911.99999999953</v>
      </c>
      <c r="AJ5" s="17">
        <f t="shared" si="3"/>
        <v>3679.99999999942</v>
      </c>
      <c r="AK5" s="17">
        <f t="shared" ref="AK5:AN5" si="23">IF(OR(H6=""),"",(H6-H5)*80)</f>
        <v>0</v>
      </c>
      <c r="AL5" s="17">
        <f t="shared" si="23"/>
        <v>0</v>
      </c>
      <c r="AM5" s="17">
        <f t="shared" si="23"/>
        <v>0</v>
      </c>
      <c r="AN5" s="17">
        <f t="shared" si="23"/>
        <v>0</v>
      </c>
      <c r="AO5" s="17">
        <f t="shared" si="5"/>
        <v>0</v>
      </c>
      <c r="AP5" s="17">
        <f t="shared" ref="AP5:AS5" si="24">IF(OR(L6=""),"",(L6-L5)*100)</f>
        <v>1700</v>
      </c>
      <c r="AQ5" s="17">
        <f t="shared" si="24"/>
        <v>0</v>
      </c>
      <c r="AR5" s="17">
        <f t="shared" si="24"/>
        <v>1950</v>
      </c>
      <c r="AS5" s="17">
        <f t="shared" si="24"/>
        <v>730.000000000291</v>
      </c>
      <c r="AT5" s="17">
        <f t="shared" si="7"/>
        <v>4380.00000000029</v>
      </c>
      <c r="AU5" s="17">
        <f t="shared" ref="AU5:AY5" si="25">IF(OR(P6=""),"",(P6-P5)*1000)</f>
        <v>0</v>
      </c>
      <c r="AV5" s="17">
        <f t="shared" si="25"/>
        <v>7099.99999999945</v>
      </c>
      <c r="AW5" s="17">
        <f t="shared" si="25"/>
        <v>0</v>
      </c>
      <c r="AX5" s="17">
        <f t="shared" si="25"/>
        <v>500</v>
      </c>
      <c r="AY5" s="17">
        <f t="shared" si="25"/>
        <v>8800.00000000018</v>
      </c>
      <c r="AZ5" s="17">
        <f t="shared" si="9"/>
        <v>16399.9999999996</v>
      </c>
      <c r="BA5" s="17">
        <f t="shared" si="10"/>
        <v>5000</v>
      </c>
      <c r="BB5" s="17">
        <f t="shared" si="11"/>
        <v>600</v>
      </c>
      <c r="BC5" s="17">
        <f t="shared" ref="BC5:BC34" si="26">IF(OR(Z6=""),"",(Z6-Z5)*40)</f>
        <v>1376.00000000006</v>
      </c>
      <c r="BD5" s="17">
        <f t="shared" si="12"/>
        <v>8764.00000000496</v>
      </c>
      <c r="BE5" s="17">
        <f t="shared" si="13"/>
        <v>40200.0000000044</v>
      </c>
      <c r="BF5" s="17">
        <f t="shared" si="14"/>
        <v>153.600000000006</v>
      </c>
      <c r="BG5" s="20">
        <f t="shared" si="15"/>
        <v>0.409819353260249</v>
      </c>
      <c r="BH5" s="20">
        <f t="shared" si="16"/>
        <v>0.0375158014924705</v>
      </c>
      <c r="BI5" s="20">
        <f t="shared" si="17"/>
        <v>0</v>
      </c>
      <c r="BJ5" s="20">
        <f t="shared" si="18"/>
        <v>0.0446519593850701</v>
      </c>
      <c r="BK5" s="20">
        <f t="shared" ref="BK5:BO5" si="27">IF(OR($AD5=0),"",AZ5/$AD5)</f>
        <v>0.16718998491212</v>
      </c>
      <c r="BL5" s="20">
        <f t="shared" si="27"/>
        <v>0.0509725563756473</v>
      </c>
      <c r="BM5" s="20">
        <f t="shared" si="27"/>
        <v>0.00611670676507768</v>
      </c>
      <c r="BN5" s="20">
        <f t="shared" si="27"/>
        <v>0.0140276475145787</v>
      </c>
      <c r="BO5" s="20">
        <f t="shared" si="27"/>
        <v>0.0893446968152853</v>
      </c>
    </row>
    <row r="6" spans="1:67">
      <c r="A6" s="9">
        <f t="shared" si="20"/>
        <v>44230</v>
      </c>
      <c r="B6" s="10">
        <v>17610.64</v>
      </c>
      <c r="C6" s="8">
        <v>97501.9</v>
      </c>
      <c r="D6" s="8">
        <v>63004.2</v>
      </c>
      <c r="E6" s="8">
        <v>60359.4</v>
      </c>
      <c r="F6" s="8">
        <v>6878.2</v>
      </c>
      <c r="G6" s="8">
        <v>117602.5</v>
      </c>
      <c r="H6" s="8">
        <v>5709.7</v>
      </c>
      <c r="I6" s="8">
        <v>2566.3</v>
      </c>
      <c r="J6" s="8">
        <v>967</v>
      </c>
      <c r="K6" s="8">
        <v>56</v>
      </c>
      <c r="L6" s="8">
        <v>95803.1</v>
      </c>
      <c r="M6" s="8">
        <v>61529.2</v>
      </c>
      <c r="N6" s="8">
        <v>77694.2</v>
      </c>
      <c r="O6" s="8">
        <v>107190.5</v>
      </c>
      <c r="P6" s="8">
        <v>6023.2</v>
      </c>
      <c r="Q6" s="8">
        <v>7880.7</v>
      </c>
      <c r="R6" s="8">
        <v>4735.2</v>
      </c>
      <c r="S6" s="8">
        <v>5652.5</v>
      </c>
      <c r="T6" s="8">
        <v>7230.2</v>
      </c>
      <c r="U6" s="8">
        <v>18179.6</v>
      </c>
      <c r="V6" s="8">
        <v>52558.8</v>
      </c>
      <c r="W6" s="8">
        <v>55483.6</v>
      </c>
      <c r="X6" s="8">
        <v>4259.3</v>
      </c>
      <c r="Y6" s="8">
        <v>4066.5</v>
      </c>
      <c r="Z6" s="15">
        <f t="shared" si="21"/>
        <v>63809.4</v>
      </c>
      <c r="AA6" s="8">
        <v>72705</v>
      </c>
      <c r="AB6" s="13">
        <v>6365</v>
      </c>
      <c r="AC6" s="7">
        <f t="shared" si="1"/>
        <v>79070</v>
      </c>
      <c r="AD6" s="16">
        <v>94563</v>
      </c>
      <c r="AE6" s="17">
        <f t="shared" ref="AE6:AI6" si="28">IF(OR(C7=""),"",(C7-C6)*80)</f>
        <v>0</v>
      </c>
      <c r="AF6" s="17">
        <f t="shared" si="28"/>
        <v>0</v>
      </c>
      <c r="AG6" s="17">
        <f t="shared" si="28"/>
        <v>1712.00000000012</v>
      </c>
      <c r="AH6" s="17">
        <f t="shared" si="28"/>
        <v>8.80000000004657</v>
      </c>
      <c r="AI6" s="17">
        <f t="shared" si="28"/>
        <v>1655.99999999977</v>
      </c>
      <c r="AJ6" s="17">
        <f t="shared" si="3"/>
        <v>3376.79999999993</v>
      </c>
      <c r="AK6" s="17">
        <f t="shared" ref="AK6:AN6" si="29">IF(OR(H7=""),"",(H7-H6)*80)</f>
        <v>0</v>
      </c>
      <c r="AL6" s="17">
        <f t="shared" si="29"/>
        <v>0</v>
      </c>
      <c r="AM6" s="17">
        <f t="shared" si="29"/>
        <v>0</v>
      </c>
      <c r="AN6" s="17">
        <f t="shared" si="29"/>
        <v>0</v>
      </c>
      <c r="AO6" s="17">
        <f t="shared" si="5"/>
        <v>0</v>
      </c>
      <c r="AP6" s="17">
        <f t="shared" ref="AP6:AS6" si="30">IF(OR(L7=""),"",(L7-L6)*100)</f>
        <v>1139.99999999942</v>
      </c>
      <c r="AQ6" s="17">
        <f t="shared" si="30"/>
        <v>0</v>
      </c>
      <c r="AR6" s="17">
        <f t="shared" si="30"/>
        <v>2760.00000000058</v>
      </c>
      <c r="AS6" s="17">
        <f t="shared" si="30"/>
        <v>19.999999999709</v>
      </c>
      <c r="AT6" s="17">
        <f t="shared" si="7"/>
        <v>3919.99999999971</v>
      </c>
      <c r="AU6" s="17">
        <f t="shared" ref="AU6:AY6" si="31">IF(OR(P7=""),"",(P7-P6)*1000)</f>
        <v>0</v>
      </c>
      <c r="AV6" s="17">
        <f t="shared" si="31"/>
        <v>400.000000000546</v>
      </c>
      <c r="AW6" s="17">
        <f t="shared" si="31"/>
        <v>0</v>
      </c>
      <c r="AX6" s="17">
        <f t="shared" si="31"/>
        <v>4399.99999999964</v>
      </c>
      <c r="AY6" s="17">
        <f t="shared" si="31"/>
        <v>8400.00000000055</v>
      </c>
      <c r="AZ6" s="17">
        <f t="shared" si="9"/>
        <v>13200.0000000007</v>
      </c>
      <c r="BA6" s="17">
        <f t="shared" si="10"/>
        <v>4000</v>
      </c>
      <c r="BB6" s="17">
        <f t="shared" si="11"/>
        <v>591.999999999534</v>
      </c>
      <c r="BC6" s="17">
        <f t="shared" si="26"/>
        <v>1380</v>
      </c>
      <c r="BD6" s="17">
        <f t="shared" si="12"/>
        <v>13931.2000000088</v>
      </c>
      <c r="BE6" s="17">
        <f t="shared" si="13"/>
        <v>40400.0000000087</v>
      </c>
      <c r="BF6" s="17">
        <f t="shared" si="14"/>
        <v>89</v>
      </c>
      <c r="BG6" s="20">
        <f t="shared" si="15"/>
        <v>0.42722840857427</v>
      </c>
      <c r="BH6" s="20">
        <f t="shared" si="16"/>
        <v>0.0357095269820113</v>
      </c>
      <c r="BI6" s="20">
        <f t="shared" si="17"/>
        <v>0</v>
      </c>
      <c r="BJ6" s="20">
        <f t="shared" si="18"/>
        <v>0.0414538455844221</v>
      </c>
      <c r="BK6" s="20">
        <f t="shared" ref="BK6:BO6" si="32">IF(OR($AD6=0),"",AZ6/$AD6)</f>
        <v>0.139589480029195</v>
      </c>
      <c r="BL6" s="20">
        <f t="shared" si="32"/>
        <v>0.0422998424330869</v>
      </c>
      <c r="BM6" s="20">
        <f t="shared" si="32"/>
        <v>0.00626037668009194</v>
      </c>
      <c r="BN6" s="20">
        <f t="shared" si="32"/>
        <v>0.014593445639415</v>
      </c>
      <c r="BO6" s="20">
        <f t="shared" si="32"/>
        <v>0.147321891226049</v>
      </c>
    </row>
    <row r="7" spans="1:67">
      <c r="A7" s="9">
        <f t="shared" si="20"/>
        <v>44231</v>
      </c>
      <c r="B7" s="10">
        <v>17614.68</v>
      </c>
      <c r="C7" s="8">
        <v>97501.9</v>
      </c>
      <c r="D7" s="8">
        <v>63004.2</v>
      </c>
      <c r="E7" s="8">
        <v>60380.8</v>
      </c>
      <c r="F7" s="8">
        <v>6878.31</v>
      </c>
      <c r="G7" s="8">
        <v>117623.2</v>
      </c>
      <c r="H7" s="8">
        <v>5709.7</v>
      </c>
      <c r="I7" s="8">
        <v>2566.3</v>
      </c>
      <c r="J7" s="8">
        <v>967</v>
      </c>
      <c r="K7" s="8">
        <v>56</v>
      </c>
      <c r="L7" s="8">
        <v>95814.5</v>
      </c>
      <c r="M7" s="8">
        <v>61529.2</v>
      </c>
      <c r="N7" s="8">
        <v>77721.8</v>
      </c>
      <c r="O7" s="8">
        <v>107190.7</v>
      </c>
      <c r="P7" s="8">
        <v>6023.2</v>
      </c>
      <c r="Q7" s="8">
        <v>7881.1</v>
      </c>
      <c r="R7" s="8">
        <v>4735.2</v>
      </c>
      <c r="S7" s="8">
        <v>5656.9</v>
      </c>
      <c r="T7" s="8">
        <v>7238.6</v>
      </c>
      <c r="U7" s="8">
        <v>18181.6</v>
      </c>
      <c r="V7" s="8">
        <v>52566.2</v>
      </c>
      <c r="W7" s="8">
        <v>55500.9</v>
      </c>
      <c r="X7" s="8">
        <v>4268</v>
      </c>
      <c r="Y7" s="8">
        <v>4075</v>
      </c>
      <c r="Z7" s="15">
        <f t="shared" si="21"/>
        <v>63843.9</v>
      </c>
      <c r="AA7" s="8">
        <v>72743</v>
      </c>
      <c r="AB7" s="13">
        <v>6416</v>
      </c>
      <c r="AC7" s="7">
        <f t="shared" si="1"/>
        <v>79159</v>
      </c>
      <c r="AD7" s="16">
        <v>90804</v>
      </c>
      <c r="AE7" s="17">
        <f t="shared" ref="AE7:AI7" si="33">IF(OR(C8=""),"",(C8-C7)*80)</f>
        <v>0</v>
      </c>
      <c r="AF7" s="17">
        <f t="shared" si="33"/>
        <v>0</v>
      </c>
      <c r="AG7" s="17">
        <f t="shared" si="33"/>
        <v>1703.99999999965</v>
      </c>
      <c r="AH7" s="17">
        <f t="shared" si="33"/>
        <v>4.79999999995925</v>
      </c>
      <c r="AI7" s="17">
        <f t="shared" si="33"/>
        <v>1615.99999999977</v>
      </c>
      <c r="AJ7" s="17">
        <f t="shared" si="3"/>
        <v>3324.79999999938</v>
      </c>
      <c r="AK7" s="17">
        <f t="shared" ref="AK7:AN7" si="34">IF(OR(H8=""),"",(H8-H7)*80)</f>
        <v>0</v>
      </c>
      <c r="AL7" s="17">
        <f t="shared" si="34"/>
        <v>0</v>
      </c>
      <c r="AM7" s="17">
        <f t="shared" si="34"/>
        <v>0</v>
      </c>
      <c r="AN7" s="17">
        <f t="shared" si="34"/>
        <v>0</v>
      </c>
      <c r="AO7" s="17">
        <f t="shared" si="5"/>
        <v>0</v>
      </c>
      <c r="AP7" s="17">
        <f t="shared" ref="AP7:AS7" si="35">IF(OR(L8=""),"",(L8-L7)*100)</f>
        <v>1200</v>
      </c>
      <c r="AQ7" s="17">
        <f t="shared" si="35"/>
        <v>0</v>
      </c>
      <c r="AR7" s="17">
        <f t="shared" si="35"/>
        <v>2889.99999999942</v>
      </c>
      <c r="AS7" s="17">
        <f t="shared" si="35"/>
        <v>0</v>
      </c>
      <c r="AT7" s="17">
        <f t="shared" si="7"/>
        <v>4089.99999999942</v>
      </c>
      <c r="AU7" s="17">
        <f t="shared" ref="AU7:AY7" si="36">IF(OR(P8=""),"",(P8-P7)*1000)</f>
        <v>0</v>
      </c>
      <c r="AV7" s="17">
        <f t="shared" si="36"/>
        <v>7299.99999999927</v>
      </c>
      <c r="AW7" s="17">
        <f t="shared" si="36"/>
        <v>0</v>
      </c>
      <c r="AX7" s="17">
        <f t="shared" si="36"/>
        <v>200.000000000728</v>
      </c>
      <c r="AY7" s="17">
        <f t="shared" si="36"/>
        <v>8199.99999999982</v>
      </c>
      <c r="AZ7" s="17">
        <f t="shared" si="9"/>
        <v>15699.9999999998</v>
      </c>
      <c r="BA7" s="17">
        <f t="shared" si="10"/>
        <v>4600.00000000582</v>
      </c>
      <c r="BB7" s="17">
        <f t="shared" si="11"/>
        <v>600</v>
      </c>
      <c r="BC7" s="17">
        <f t="shared" si="26"/>
        <v>1376.00000000006</v>
      </c>
      <c r="BD7" s="17">
        <f t="shared" si="12"/>
        <v>9609.19999999842</v>
      </c>
      <c r="BE7" s="17">
        <f t="shared" si="13"/>
        <v>39300.0000000029</v>
      </c>
      <c r="BF7" s="17">
        <f t="shared" si="14"/>
        <v>48.1000000000058</v>
      </c>
      <c r="BG7" s="20">
        <f t="shared" si="15"/>
        <v>0.432800317166677</v>
      </c>
      <c r="BH7" s="20">
        <f t="shared" si="16"/>
        <v>0.0366151270869056</v>
      </c>
      <c r="BI7" s="20">
        <f t="shared" si="17"/>
        <v>0</v>
      </c>
      <c r="BJ7" s="20">
        <f t="shared" si="18"/>
        <v>0.0450420686313314</v>
      </c>
      <c r="BK7" s="20">
        <f t="shared" ref="BK7:BO7" si="37">IF(OR($AD7=0),"",AZ7/$AD7)</f>
        <v>0.172899872252322</v>
      </c>
      <c r="BL7" s="20">
        <f t="shared" si="37"/>
        <v>0.0506585612969233</v>
      </c>
      <c r="BM7" s="20">
        <f t="shared" si="37"/>
        <v>0.00660763843002511</v>
      </c>
      <c r="BN7" s="20">
        <f t="shared" si="37"/>
        <v>0.0151535174661916</v>
      </c>
      <c r="BO7" s="20">
        <f t="shared" si="37"/>
        <v>0.105823532002978</v>
      </c>
    </row>
    <row r="8" spans="1:67">
      <c r="A8" s="9">
        <f t="shared" si="20"/>
        <v>44232</v>
      </c>
      <c r="B8" s="10">
        <v>17618.61</v>
      </c>
      <c r="C8" s="8">
        <v>97501.9</v>
      </c>
      <c r="D8" s="8">
        <v>63004.2</v>
      </c>
      <c r="E8" s="8">
        <v>60402.1</v>
      </c>
      <c r="F8" s="8">
        <v>6878.37</v>
      </c>
      <c r="G8" s="8">
        <v>117643.4</v>
      </c>
      <c r="H8" s="8">
        <v>5709.7</v>
      </c>
      <c r="I8" s="8">
        <v>2566.3</v>
      </c>
      <c r="J8" s="8">
        <v>967</v>
      </c>
      <c r="K8" s="8">
        <v>56</v>
      </c>
      <c r="L8" s="8">
        <v>95826.5</v>
      </c>
      <c r="M8" s="8">
        <v>61529.2</v>
      </c>
      <c r="N8" s="8">
        <v>77750.7</v>
      </c>
      <c r="O8" s="8">
        <v>107190.7</v>
      </c>
      <c r="P8" s="8">
        <v>6023.2</v>
      </c>
      <c r="Q8" s="8">
        <v>7888.4</v>
      </c>
      <c r="R8" s="8">
        <v>4735.2</v>
      </c>
      <c r="S8" s="8">
        <v>5657.1</v>
      </c>
      <c r="T8" s="8">
        <v>7246.8</v>
      </c>
      <c r="U8" s="8">
        <v>18183.9</v>
      </c>
      <c r="V8" s="8">
        <v>52573.7</v>
      </c>
      <c r="W8" s="8">
        <v>55518.3</v>
      </c>
      <c r="X8" s="8">
        <v>4276.5</v>
      </c>
      <c r="Y8" s="8">
        <v>4083.5</v>
      </c>
      <c r="Z8" s="15">
        <f t="shared" si="21"/>
        <v>63878.3</v>
      </c>
      <c r="AA8" s="8">
        <v>72786.1</v>
      </c>
      <c r="AB8" s="13">
        <v>6421</v>
      </c>
      <c r="AC8" s="7">
        <f t="shared" si="1"/>
        <v>79207.1</v>
      </c>
      <c r="AD8" s="16">
        <v>92754</v>
      </c>
      <c r="AE8" s="17">
        <f t="shared" ref="AE8:AI8" si="38">IF(OR(C9=""),"",(C9-C8)*80)</f>
        <v>0</v>
      </c>
      <c r="AF8" s="17">
        <f t="shared" si="38"/>
        <v>0</v>
      </c>
      <c r="AG8" s="17">
        <f t="shared" si="38"/>
        <v>1712.00000000012</v>
      </c>
      <c r="AH8" s="17">
        <f t="shared" si="38"/>
        <v>4.00000000001455</v>
      </c>
      <c r="AI8" s="17">
        <f t="shared" si="38"/>
        <v>1464.00000000023</v>
      </c>
      <c r="AJ8" s="17">
        <f t="shared" si="3"/>
        <v>3180.00000000036</v>
      </c>
      <c r="AK8" s="17">
        <f t="shared" ref="AK8:AN8" si="39">IF(OR(H9=""),"",(H9-H8)*80)</f>
        <v>0</v>
      </c>
      <c r="AL8" s="17">
        <f t="shared" si="39"/>
        <v>0</v>
      </c>
      <c r="AM8" s="17">
        <f t="shared" si="39"/>
        <v>0</v>
      </c>
      <c r="AN8" s="17">
        <f t="shared" si="39"/>
        <v>0</v>
      </c>
      <c r="AO8" s="17">
        <f t="shared" si="5"/>
        <v>0</v>
      </c>
      <c r="AP8" s="17">
        <f t="shared" ref="AP8:AS8" si="40">IF(OR(L9=""),"",(L9-L8)*100)</f>
        <v>1689.99999999942</v>
      </c>
      <c r="AQ8" s="17">
        <f t="shared" si="40"/>
        <v>0</v>
      </c>
      <c r="AR8" s="17">
        <f t="shared" si="40"/>
        <v>2800</v>
      </c>
      <c r="AS8" s="17">
        <f t="shared" si="40"/>
        <v>0</v>
      </c>
      <c r="AT8" s="17">
        <f t="shared" si="7"/>
        <v>4489.99999999942</v>
      </c>
      <c r="AU8" s="17">
        <f t="shared" ref="AU8:AY8" si="41">IF(OR(P9=""),"",(P9-P8)*1000)</f>
        <v>2600.00000000036</v>
      </c>
      <c r="AV8" s="17">
        <f t="shared" si="41"/>
        <v>8500</v>
      </c>
      <c r="AW8" s="17">
        <f t="shared" si="41"/>
        <v>0</v>
      </c>
      <c r="AX8" s="17">
        <f t="shared" si="41"/>
        <v>0</v>
      </c>
      <c r="AY8" s="17">
        <f t="shared" si="41"/>
        <v>2899.99999999964</v>
      </c>
      <c r="AZ8" s="17">
        <f t="shared" si="9"/>
        <v>14000</v>
      </c>
      <c r="BA8" s="17">
        <f t="shared" si="10"/>
        <v>3399.99999999418</v>
      </c>
      <c r="BB8" s="17">
        <f t="shared" si="11"/>
        <v>632.000000000116</v>
      </c>
      <c r="BC8" s="17">
        <f t="shared" si="26"/>
        <v>1383.99999999965</v>
      </c>
      <c r="BD8" s="17">
        <f t="shared" si="12"/>
        <v>10114.0000000179</v>
      </c>
      <c r="BE8" s="17">
        <f t="shared" si="13"/>
        <v>37200.0000000116</v>
      </c>
      <c r="BF8" s="17">
        <f t="shared" si="14"/>
        <v>133.299999999988</v>
      </c>
      <c r="BG8" s="20">
        <f t="shared" si="15"/>
        <v>0.401060870690338</v>
      </c>
      <c r="BH8" s="20">
        <f t="shared" si="16"/>
        <v>0.0342842357202963</v>
      </c>
      <c r="BI8" s="20">
        <f t="shared" si="17"/>
        <v>0</v>
      </c>
      <c r="BJ8" s="20">
        <f t="shared" si="18"/>
        <v>0.0484076158440544</v>
      </c>
      <c r="BK8" s="20">
        <f t="shared" ref="BK8:BO8" si="42">IF(OR($AD8=0),"",AZ8/$AD8)</f>
        <v>0.150936886818897</v>
      </c>
      <c r="BL8" s="20">
        <f t="shared" si="42"/>
        <v>0.0366561010845266</v>
      </c>
      <c r="BM8" s="20">
        <f t="shared" si="42"/>
        <v>0.00681372231925433</v>
      </c>
      <c r="BN8" s="20">
        <f t="shared" si="42"/>
        <v>0.0149211893826644</v>
      </c>
      <c r="BO8" s="20">
        <f t="shared" si="42"/>
        <v>0.109041119520645</v>
      </c>
    </row>
    <row r="9" spans="1:67">
      <c r="A9" s="9">
        <f t="shared" si="20"/>
        <v>44233</v>
      </c>
      <c r="B9" s="10">
        <v>17622.33</v>
      </c>
      <c r="C9" s="8">
        <v>97501.9</v>
      </c>
      <c r="D9" s="8">
        <v>63004.2</v>
      </c>
      <c r="E9" s="8">
        <v>60423.5</v>
      </c>
      <c r="F9" s="8">
        <v>6878.42</v>
      </c>
      <c r="G9" s="8">
        <v>117661.7</v>
      </c>
      <c r="H9" s="8">
        <v>5709.7</v>
      </c>
      <c r="I9" s="8">
        <v>2566.3</v>
      </c>
      <c r="J9" s="8">
        <v>967</v>
      </c>
      <c r="K9" s="8">
        <v>56</v>
      </c>
      <c r="L9" s="8">
        <v>95843.4</v>
      </c>
      <c r="M9" s="8">
        <v>61529.2</v>
      </c>
      <c r="N9" s="8">
        <v>77778.7</v>
      </c>
      <c r="O9" s="8">
        <v>107190.7</v>
      </c>
      <c r="P9" s="8">
        <v>6025.8</v>
      </c>
      <c r="Q9" s="8">
        <v>7896.9</v>
      </c>
      <c r="R9" s="8">
        <v>4735.2</v>
      </c>
      <c r="S9" s="8">
        <v>5657.1</v>
      </c>
      <c r="T9" s="8">
        <v>7249.7</v>
      </c>
      <c r="U9" s="8">
        <v>18185.6</v>
      </c>
      <c r="V9" s="8">
        <v>52581.6</v>
      </c>
      <c r="W9" s="8">
        <v>55535.7</v>
      </c>
      <c r="X9" s="8">
        <v>4285.1</v>
      </c>
      <c r="Y9" s="8">
        <v>4092.1</v>
      </c>
      <c r="Z9" s="15">
        <f t="shared" si="21"/>
        <v>63912.9</v>
      </c>
      <c r="AA9" s="8">
        <v>72817.4</v>
      </c>
      <c r="AB9" s="13">
        <v>6523</v>
      </c>
      <c r="AC9" s="7">
        <f t="shared" si="1"/>
        <v>79340.4</v>
      </c>
      <c r="AD9" s="16">
        <v>119131</v>
      </c>
      <c r="AE9" s="17">
        <f t="shared" ref="AE9:AI9" si="43">IF(OR(C10=""),"",(C10-C9)*80)</f>
        <v>0</v>
      </c>
      <c r="AF9" s="17">
        <f t="shared" si="43"/>
        <v>0</v>
      </c>
      <c r="AG9" s="17">
        <f t="shared" si="43"/>
        <v>2720</v>
      </c>
      <c r="AH9" s="17">
        <f t="shared" si="43"/>
        <v>4.79999999995925</v>
      </c>
      <c r="AI9" s="17">
        <f t="shared" si="43"/>
        <v>2208.00000000047</v>
      </c>
      <c r="AJ9" s="17">
        <f t="shared" si="3"/>
        <v>4932.80000000042</v>
      </c>
      <c r="AK9" s="17">
        <f t="shared" ref="AK9:AN9" si="44">IF(OR(H10=""),"",(H10-H9)*80)</f>
        <v>0</v>
      </c>
      <c r="AL9" s="17">
        <f t="shared" si="44"/>
        <v>0</v>
      </c>
      <c r="AM9" s="17">
        <f t="shared" si="44"/>
        <v>0</v>
      </c>
      <c r="AN9" s="17">
        <f t="shared" si="44"/>
        <v>0</v>
      </c>
      <c r="AO9" s="17">
        <f t="shared" si="5"/>
        <v>0</v>
      </c>
      <c r="AP9" s="17">
        <f t="shared" ref="AP9:AS9" si="45">IF(OR(L10=""),"",(L10-L9)*100)</f>
        <v>1400</v>
      </c>
      <c r="AQ9" s="17">
        <f t="shared" si="45"/>
        <v>0</v>
      </c>
      <c r="AR9" s="17">
        <f t="shared" si="45"/>
        <v>2969.99999999971</v>
      </c>
      <c r="AS9" s="17">
        <f t="shared" si="45"/>
        <v>0</v>
      </c>
      <c r="AT9" s="17">
        <f t="shared" si="7"/>
        <v>4369.99999999971</v>
      </c>
      <c r="AU9" s="17">
        <f t="shared" ref="AU9:AY9" si="46">IF(OR(P10=""),"",(P10-P9)*1000)</f>
        <v>3899.99999999964</v>
      </c>
      <c r="AV9" s="17">
        <f t="shared" si="46"/>
        <v>3700.00000000073</v>
      </c>
      <c r="AW9" s="17">
        <f t="shared" si="46"/>
        <v>0</v>
      </c>
      <c r="AX9" s="17">
        <f t="shared" si="46"/>
        <v>2399.99999999964</v>
      </c>
      <c r="AY9" s="17">
        <f t="shared" si="46"/>
        <v>500</v>
      </c>
      <c r="AZ9" s="17">
        <f t="shared" si="9"/>
        <v>10500</v>
      </c>
      <c r="BA9" s="17">
        <f t="shared" si="10"/>
        <v>5400.00000000146</v>
      </c>
      <c r="BB9" s="17">
        <f t="shared" si="11"/>
        <v>567.999999999884</v>
      </c>
      <c r="BC9" s="17">
        <f t="shared" si="26"/>
        <v>1416.00000000035</v>
      </c>
      <c r="BD9" s="17">
        <f t="shared" si="12"/>
        <v>16013.1999999953</v>
      </c>
      <c r="BE9" s="17">
        <f t="shared" si="13"/>
        <v>43199.9999999971</v>
      </c>
      <c r="BF9" s="17">
        <f t="shared" si="14"/>
        <v>93.6000000000058</v>
      </c>
      <c r="BG9" s="20">
        <f t="shared" si="15"/>
        <v>0.362626016737852</v>
      </c>
      <c r="BH9" s="20">
        <f t="shared" si="16"/>
        <v>0.0414065188741841</v>
      </c>
      <c r="BI9" s="20">
        <f t="shared" si="17"/>
        <v>0</v>
      </c>
      <c r="BJ9" s="20">
        <f t="shared" si="18"/>
        <v>0.0366823077116763</v>
      </c>
      <c r="BK9" s="20">
        <f t="shared" ref="BK9:BO9" si="47">IF(OR($AD9=0),"",AZ9/$AD9)</f>
        <v>0.0881382679571228</v>
      </c>
      <c r="BL9" s="20">
        <f t="shared" si="47"/>
        <v>0.0453282520922468</v>
      </c>
      <c r="BM9" s="20">
        <f t="shared" si="47"/>
        <v>0.00476786059044148</v>
      </c>
      <c r="BN9" s="20">
        <f t="shared" si="47"/>
        <v>0.0118860749930778</v>
      </c>
      <c r="BO9" s="20">
        <f t="shared" si="47"/>
        <v>0.134416734519103</v>
      </c>
    </row>
    <row r="10" spans="1:67">
      <c r="A10" s="9">
        <f t="shared" si="20"/>
        <v>44234</v>
      </c>
      <c r="B10" s="10">
        <v>17626.65</v>
      </c>
      <c r="C10" s="8">
        <v>97501.9</v>
      </c>
      <c r="D10" s="8">
        <v>63004.2</v>
      </c>
      <c r="E10" s="8">
        <v>60457.5</v>
      </c>
      <c r="F10" s="8">
        <v>6878.48</v>
      </c>
      <c r="G10" s="8">
        <v>117689.3</v>
      </c>
      <c r="H10" s="8">
        <v>5709.7</v>
      </c>
      <c r="I10" s="8">
        <v>2566.3</v>
      </c>
      <c r="J10" s="8">
        <v>967</v>
      </c>
      <c r="K10" s="8">
        <v>56</v>
      </c>
      <c r="L10" s="8">
        <v>95857.4</v>
      </c>
      <c r="M10" s="8">
        <v>61529.2</v>
      </c>
      <c r="N10" s="8">
        <v>77808.4</v>
      </c>
      <c r="O10" s="8">
        <v>107190.7</v>
      </c>
      <c r="P10" s="8">
        <v>6029.7</v>
      </c>
      <c r="Q10" s="8">
        <v>7900.6</v>
      </c>
      <c r="R10" s="8">
        <v>4735.2</v>
      </c>
      <c r="S10" s="8">
        <v>5659.5</v>
      </c>
      <c r="T10" s="8">
        <v>7250.2</v>
      </c>
      <c r="U10" s="8">
        <v>18188.3</v>
      </c>
      <c r="V10" s="8">
        <v>52588.7</v>
      </c>
      <c r="W10" s="8">
        <v>55553.4</v>
      </c>
      <c r="X10" s="8">
        <v>4294</v>
      </c>
      <c r="Y10" s="8">
        <v>4100.9</v>
      </c>
      <c r="Z10" s="15">
        <f t="shared" si="21"/>
        <v>63948.3</v>
      </c>
      <c r="AA10" s="8">
        <v>72853</v>
      </c>
      <c r="AB10" s="13">
        <v>6581</v>
      </c>
      <c r="AC10" s="7">
        <f t="shared" si="1"/>
        <v>79434</v>
      </c>
      <c r="AD10" s="16">
        <v>164591</v>
      </c>
      <c r="AE10" s="17">
        <f t="shared" ref="AE10:AI10" si="48">IF(OR(C11=""),"",(C11-C10)*80)</f>
        <v>0</v>
      </c>
      <c r="AF10" s="17">
        <f t="shared" si="48"/>
        <v>1568.00000000047</v>
      </c>
      <c r="AG10" s="17">
        <f t="shared" si="48"/>
        <v>2464.00000000023</v>
      </c>
      <c r="AH10" s="17">
        <f t="shared" si="48"/>
        <v>412.000000000044</v>
      </c>
      <c r="AI10" s="17">
        <f t="shared" si="48"/>
        <v>2231.99999999953</v>
      </c>
      <c r="AJ10" s="17">
        <f t="shared" si="3"/>
        <v>6676.00000000028</v>
      </c>
      <c r="AK10" s="17">
        <f t="shared" ref="AK10:AN10" si="49">IF(OR(H11=""),"",(H11-H10)*80)</f>
        <v>0</v>
      </c>
      <c r="AL10" s="17">
        <f t="shared" si="49"/>
        <v>0</v>
      </c>
      <c r="AM10" s="17">
        <f t="shared" si="49"/>
        <v>0</v>
      </c>
      <c r="AN10" s="17">
        <f t="shared" si="49"/>
        <v>0</v>
      </c>
      <c r="AO10" s="17">
        <f t="shared" si="5"/>
        <v>0</v>
      </c>
      <c r="AP10" s="17">
        <f t="shared" ref="AP10:AS10" si="50">IF(OR(L11=""),"",(L11-L10)*100)</f>
        <v>1940.00000000087</v>
      </c>
      <c r="AQ10" s="17">
        <f t="shared" si="50"/>
        <v>0</v>
      </c>
      <c r="AR10" s="17">
        <f t="shared" si="50"/>
        <v>2910.00000000058</v>
      </c>
      <c r="AS10" s="17">
        <f t="shared" si="50"/>
        <v>1450</v>
      </c>
      <c r="AT10" s="17">
        <f t="shared" si="7"/>
        <v>6300.00000000146</v>
      </c>
      <c r="AU10" s="17">
        <f t="shared" ref="AU10:AY10" si="51">IF(OR(P11=""),"",(P11-P10)*1000)</f>
        <v>3600.00000000036</v>
      </c>
      <c r="AV10" s="17">
        <f t="shared" si="51"/>
        <v>4699.99999999982</v>
      </c>
      <c r="AW10" s="17">
        <f t="shared" si="51"/>
        <v>0</v>
      </c>
      <c r="AX10" s="17">
        <f t="shared" si="51"/>
        <v>300.000000000182</v>
      </c>
      <c r="AY10" s="17">
        <f t="shared" si="51"/>
        <v>9400.00000000055</v>
      </c>
      <c r="AZ10" s="17">
        <f t="shared" si="9"/>
        <v>18000.0000000009</v>
      </c>
      <c r="BA10" s="17">
        <f t="shared" si="10"/>
        <v>6000</v>
      </c>
      <c r="BB10" s="17">
        <f t="shared" si="11"/>
        <v>576.000000000349</v>
      </c>
      <c r="BC10" s="17">
        <f t="shared" si="26"/>
        <v>1395.99999999977</v>
      </c>
      <c r="BD10" s="17">
        <f t="shared" si="12"/>
        <v>13551.9999999972</v>
      </c>
      <c r="BE10" s="17">
        <f t="shared" si="13"/>
        <v>52500</v>
      </c>
      <c r="BF10" s="17">
        <f t="shared" si="14"/>
        <v>81</v>
      </c>
      <c r="BG10" s="20">
        <f t="shared" si="15"/>
        <v>0.318972483307107</v>
      </c>
      <c r="BH10" s="20">
        <f t="shared" si="16"/>
        <v>0.0405611485439682</v>
      </c>
      <c r="BI10" s="20">
        <f t="shared" si="17"/>
        <v>0</v>
      </c>
      <c r="BJ10" s="20">
        <f t="shared" si="18"/>
        <v>0.0382766979968616</v>
      </c>
      <c r="BK10" s="20">
        <f t="shared" ref="BK10:BO10" si="52">IF(OR($AD10=0),"",AZ10/$AD10)</f>
        <v>0.109361994276728</v>
      </c>
      <c r="BL10" s="20">
        <f t="shared" si="52"/>
        <v>0.0364539980922408</v>
      </c>
      <c r="BM10" s="20">
        <f t="shared" si="52"/>
        <v>0.00349958381685724</v>
      </c>
      <c r="BN10" s="20">
        <f t="shared" si="52"/>
        <v>0.00848163022279327</v>
      </c>
      <c r="BO10" s="20">
        <f t="shared" si="52"/>
        <v>0.0823374303576577</v>
      </c>
    </row>
    <row r="11" spans="1:67">
      <c r="A11" s="9">
        <f t="shared" si="20"/>
        <v>44235</v>
      </c>
      <c r="B11" s="10">
        <v>17631.9</v>
      </c>
      <c r="C11" s="8">
        <v>97501.9</v>
      </c>
      <c r="D11" s="8">
        <v>63023.8</v>
      </c>
      <c r="E11" s="8">
        <v>60488.3</v>
      </c>
      <c r="F11" s="8">
        <v>6883.63</v>
      </c>
      <c r="G11" s="8">
        <v>117717.2</v>
      </c>
      <c r="H11" s="8">
        <v>5709.7</v>
      </c>
      <c r="I11" s="8">
        <v>2566.3</v>
      </c>
      <c r="J11" s="8">
        <v>967</v>
      </c>
      <c r="K11" s="8">
        <v>56</v>
      </c>
      <c r="L11" s="8">
        <v>95876.8</v>
      </c>
      <c r="M11" s="8">
        <v>61529.2</v>
      </c>
      <c r="N11" s="8">
        <v>77837.5</v>
      </c>
      <c r="O11" s="8">
        <v>107205.2</v>
      </c>
      <c r="P11" s="8">
        <v>6033.3</v>
      </c>
      <c r="Q11" s="8">
        <v>7905.3</v>
      </c>
      <c r="R11" s="8">
        <v>4735.2</v>
      </c>
      <c r="S11" s="8">
        <v>5659.8</v>
      </c>
      <c r="T11" s="8">
        <v>7259.6</v>
      </c>
      <c r="U11" s="8">
        <v>18191.3</v>
      </c>
      <c r="V11" s="8">
        <v>52595.9</v>
      </c>
      <c r="W11" s="8">
        <v>55571.1</v>
      </c>
      <c r="X11" s="8">
        <v>4302.6</v>
      </c>
      <c r="Y11" s="8">
        <v>4109.5</v>
      </c>
      <c r="Z11" s="15">
        <f t="shared" si="21"/>
        <v>63983.2</v>
      </c>
      <c r="AA11" s="8">
        <v>72891</v>
      </c>
      <c r="AB11" s="13">
        <v>6624</v>
      </c>
      <c r="AC11" s="7">
        <f t="shared" si="1"/>
        <v>79515</v>
      </c>
      <c r="AD11" s="16">
        <v>207284</v>
      </c>
      <c r="AE11" s="17">
        <f t="shared" ref="AE11:AI11" si="53">IF(OR(C12=""),"",(C12-C11)*80)</f>
        <v>0</v>
      </c>
      <c r="AF11" s="17">
        <f t="shared" si="53"/>
        <v>2960</v>
      </c>
      <c r="AG11" s="17">
        <f t="shared" si="53"/>
        <v>2447.99999999988</v>
      </c>
      <c r="AH11" s="17">
        <f t="shared" si="53"/>
        <v>4.79999999995925</v>
      </c>
      <c r="AI11" s="17">
        <f t="shared" si="53"/>
        <v>2424.00000000023</v>
      </c>
      <c r="AJ11" s="17">
        <f t="shared" si="3"/>
        <v>7836.80000000008</v>
      </c>
      <c r="AK11" s="17">
        <f t="shared" ref="AK11:AN11" si="54">IF(OR(H12=""),"",(H12-H11)*80)</f>
        <v>0</v>
      </c>
      <c r="AL11" s="17">
        <f t="shared" si="54"/>
        <v>0</v>
      </c>
      <c r="AM11" s="17">
        <f t="shared" si="54"/>
        <v>0</v>
      </c>
      <c r="AN11" s="17">
        <f t="shared" si="54"/>
        <v>0</v>
      </c>
      <c r="AO11" s="17">
        <f t="shared" si="5"/>
        <v>0</v>
      </c>
      <c r="AP11" s="17">
        <f t="shared" ref="AP11:AS11" si="55">IF(OR(L12=""),"",(L12-L11)*100)</f>
        <v>3000</v>
      </c>
      <c r="AQ11" s="17">
        <f t="shared" si="55"/>
        <v>0</v>
      </c>
      <c r="AR11" s="17">
        <f t="shared" si="55"/>
        <v>2900</v>
      </c>
      <c r="AS11" s="17">
        <f t="shared" si="55"/>
        <v>2290.00000000087</v>
      </c>
      <c r="AT11" s="17">
        <f t="shared" si="7"/>
        <v>8190.00000000087</v>
      </c>
      <c r="AU11" s="17">
        <f t="shared" ref="AU11:AY11" si="56">IF(OR(P12=""),"",(P12-P11)*1000)</f>
        <v>0</v>
      </c>
      <c r="AV11" s="17">
        <f t="shared" si="56"/>
        <v>99.9999999994543</v>
      </c>
      <c r="AW11" s="17">
        <f t="shared" si="56"/>
        <v>0</v>
      </c>
      <c r="AX11" s="17">
        <f t="shared" si="56"/>
        <v>5199.99999999982</v>
      </c>
      <c r="AY11" s="17">
        <f t="shared" si="56"/>
        <v>8699.99999999982</v>
      </c>
      <c r="AZ11" s="17">
        <f t="shared" si="9"/>
        <v>13999.9999999991</v>
      </c>
      <c r="BA11" s="17">
        <f t="shared" si="10"/>
        <v>9200.00000000437</v>
      </c>
      <c r="BB11" s="17">
        <f t="shared" si="11"/>
        <v>552.000000000116</v>
      </c>
      <c r="BC11" s="17">
        <f t="shared" si="26"/>
        <v>1352.00000000012</v>
      </c>
      <c r="BD11" s="17">
        <f t="shared" si="12"/>
        <v>12069.1999999925</v>
      </c>
      <c r="BE11" s="17">
        <f t="shared" si="13"/>
        <v>53199.9999999971</v>
      </c>
      <c r="BF11" s="17">
        <f t="shared" si="14"/>
        <v>52.5</v>
      </c>
      <c r="BG11" s="20">
        <f t="shared" si="15"/>
        <v>0.256652708361461</v>
      </c>
      <c r="BH11" s="20">
        <f t="shared" si="16"/>
        <v>0.0378070666332186</v>
      </c>
      <c r="BI11" s="20">
        <f t="shared" si="17"/>
        <v>0</v>
      </c>
      <c r="BJ11" s="20">
        <f t="shared" si="18"/>
        <v>0.0395110090503892</v>
      </c>
      <c r="BK11" s="20">
        <f t="shared" ref="BK11:BO11" si="57">IF(OR($AD11=0),"",AZ11/$AD11)</f>
        <v>0.0675401864109101</v>
      </c>
      <c r="BL11" s="20">
        <f t="shared" si="57"/>
        <v>0.0443835510700506</v>
      </c>
      <c r="BM11" s="20">
        <f t="shared" si="57"/>
        <v>0.00266301306420233</v>
      </c>
      <c r="BN11" s="20">
        <f t="shared" si="57"/>
        <v>0.00652245228768316</v>
      </c>
      <c r="BO11" s="20">
        <f t="shared" si="57"/>
        <v>0.0582254298450071</v>
      </c>
    </row>
    <row r="12" spans="1:67">
      <c r="A12" s="9">
        <f t="shared" si="20"/>
        <v>44236</v>
      </c>
      <c r="B12" s="10">
        <v>17637.22</v>
      </c>
      <c r="C12" s="8">
        <v>97501.9</v>
      </c>
      <c r="D12" s="8">
        <v>63060.8</v>
      </c>
      <c r="E12" s="8">
        <v>60518.9</v>
      </c>
      <c r="F12" s="8">
        <v>6883.69</v>
      </c>
      <c r="G12" s="8">
        <v>117747.5</v>
      </c>
      <c r="H12" s="8">
        <v>5709.7</v>
      </c>
      <c r="I12" s="8">
        <v>2566.3</v>
      </c>
      <c r="J12" s="8">
        <v>967</v>
      </c>
      <c r="K12" s="8">
        <v>56</v>
      </c>
      <c r="L12" s="8">
        <v>95906.8</v>
      </c>
      <c r="M12" s="8">
        <v>61529.2</v>
      </c>
      <c r="N12" s="8">
        <v>77866.5</v>
      </c>
      <c r="O12" s="8">
        <v>107228.1</v>
      </c>
      <c r="P12" s="8">
        <v>6033.3</v>
      </c>
      <c r="Q12" s="8">
        <v>7905.4</v>
      </c>
      <c r="R12" s="8">
        <v>4735.2</v>
      </c>
      <c r="S12" s="8">
        <v>5665</v>
      </c>
      <c r="T12" s="8">
        <v>7268.3</v>
      </c>
      <c r="U12" s="8">
        <v>18195.9</v>
      </c>
      <c r="V12" s="8">
        <v>52602.8</v>
      </c>
      <c r="W12" s="8">
        <v>55588.1</v>
      </c>
      <c r="X12" s="8">
        <v>4310.9</v>
      </c>
      <c r="Y12" s="8">
        <v>4118</v>
      </c>
      <c r="Z12" s="15">
        <f t="shared" si="21"/>
        <v>64017</v>
      </c>
      <c r="AA12" s="8">
        <v>72932.5</v>
      </c>
      <c r="AB12" s="13">
        <v>6635</v>
      </c>
      <c r="AC12" s="7">
        <f t="shared" si="1"/>
        <v>79567.5</v>
      </c>
      <c r="AD12" s="16">
        <v>206183</v>
      </c>
      <c r="AE12" s="17">
        <f t="shared" ref="AE12:AI12" si="58">IF(OR(C13=""),"",(C13-C12)*80)</f>
        <v>0</v>
      </c>
      <c r="AF12" s="17">
        <f t="shared" si="58"/>
        <v>2560</v>
      </c>
      <c r="AG12" s="17">
        <f t="shared" si="58"/>
        <v>3192.00000000012</v>
      </c>
      <c r="AH12" s="17">
        <f t="shared" si="58"/>
        <v>374.400000000023</v>
      </c>
      <c r="AI12" s="17">
        <f t="shared" si="58"/>
        <v>2608.00000000047</v>
      </c>
      <c r="AJ12" s="17">
        <f t="shared" si="3"/>
        <v>8734.40000000061</v>
      </c>
      <c r="AK12" s="17">
        <f t="shared" ref="AK12:AN12" si="59">IF(OR(H13=""),"",(H13-H12)*80)</f>
        <v>0</v>
      </c>
      <c r="AL12" s="17">
        <f t="shared" si="59"/>
        <v>0</v>
      </c>
      <c r="AM12" s="17">
        <f t="shared" si="59"/>
        <v>0</v>
      </c>
      <c r="AN12" s="17">
        <f t="shared" si="59"/>
        <v>0</v>
      </c>
      <c r="AO12" s="17">
        <f t="shared" si="5"/>
        <v>0</v>
      </c>
      <c r="AP12" s="17">
        <f t="shared" ref="AP12:AS12" si="60">IF(OR(L13=""),"",(L13-L12)*100)</f>
        <v>3000</v>
      </c>
      <c r="AQ12" s="17">
        <f t="shared" si="60"/>
        <v>0</v>
      </c>
      <c r="AR12" s="17">
        <f t="shared" si="60"/>
        <v>2969.99999999971</v>
      </c>
      <c r="AS12" s="17">
        <f t="shared" si="60"/>
        <v>2300</v>
      </c>
      <c r="AT12" s="17">
        <f t="shared" si="7"/>
        <v>8269.99999999971</v>
      </c>
      <c r="AU12" s="17">
        <f t="shared" ref="AU12:AY12" si="61">IF(OR(P13=""),"",(P13-P12)*1000)</f>
        <v>3300.00000000018</v>
      </c>
      <c r="AV12" s="17">
        <f t="shared" si="61"/>
        <v>0</v>
      </c>
      <c r="AW12" s="17">
        <f t="shared" si="61"/>
        <v>0</v>
      </c>
      <c r="AX12" s="17">
        <f t="shared" si="61"/>
        <v>899.999999999636</v>
      </c>
      <c r="AY12" s="17">
        <f t="shared" si="61"/>
        <v>9599.99999999945</v>
      </c>
      <c r="AZ12" s="17">
        <f t="shared" si="9"/>
        <v>13799.9999999993</v>
      </c>
      <c r="BA12" s="17">
        <f t="shared" si="10"/>
        <v>9399.99999999418</v>
      </c>
      <c r="BB12" s="17">
        <f t="shared" si="11"/>
        <v>600</v>
      </c>
      <c r="BC12" s="17">
        <f t="shared" si="26"/>
        <v>1380</v>
      </c>
      <c r="BD12" s="17">
        <f t="shared" si="12"/>
        <v>11015.6000000033</v>
      </c>
      <c r="BE12" s="17">
        <f t="shared" si="13"/>
        <v>53199.9999999971</v>
      </c>
      <c r="BF12" s="17">
        <f t="shared" si="14"/>
        <v>44.8000000000029</v>
      </c>
      <c r="BG12" s="20">
        <f t="shared" si="15"/>
        <v>0.25802321238898</v>
      </c>
      <c r="BH12" s="20">
        <f t="shared" si="16"/>
        <v>0.0423623674114772</v>
      </c>
      <c r="BI12" s="20">
        <f t="shared" si="17"/>
        <v>0</v>
      </c>
      <c r="BJ12" s="20">
        <f t="shared" si="18"/>
        <v>0.0401099993694907</v>
      </c>
      <c r="BK12" s="20">
        <f t="shared" ref="BK12:BO12" si="62">IF(OR($AD12=0),"",AZ12/$AD12)</f>
        <v>0.0669308332888709</v>
      </c>
      <c r="BL12" s="20">
        <f t="shared" si="62"/>
        <v>0.0455905676025384</v>
      </c>
      <c r="BM12" s="20">
        <f t="shared" si="62"/>
        <v>0.00291003622995106</v>
      </c>
      <c r="BN12" s="20">
        <f t="shared" si="62"/>
        <v>0.00669308332888744</v>
      </c>
      <c r="BO12" s="20">
        <f t="shared" si="62"/>
        <v>0.0534263251577643</v>
      </c>
    </row>
    <row r="13" spans="1:67">
      <c r="A13" s="9">
        <f t="shared" si="20"/>
        <v>44237</v>
      </c>
      <c r="B13" s="10">
        <v>17642.54</v>
      </c>
      <c r="C13" s="8">
        <v>97501.9</v>
      </c>
      <c r="D13" s="8">
        <v>63092.8</v>
      </c>
      <c r="E13" s="8">
        <v>60558.8</v>
      </c>
      <c r="F13" s="8">
        <v>6888.37</v>
      </c>
      <c r="G13" s="8">
        <v>117780.1</v>
      </c>
      <c r="H13" s="8">
        <v>5709.7</v>
      </c>
      <c r="I13" s="8">
        <v>2566.3</v>
      </c>
      <c r="J13" s="8">
        <v>967</v>
      </c>
      <c r="K13" s="8">
        <v>56</v>
      </c>
      <c r="L13" s="8">
        <v>95936.8</v>
      </c>
      <c r="M13" s="8">
        <v>61529.2</v>
      </c>
      <c r="N13" s="8">
        <v>77896.2</v>
      </c>
      <c r="O13" s="8">
        <v>107251.1</v>
      </c>
      <c r="P13" s="8">
        <v>6036.6</v>
      </c>
      <c r="Q13" s="8">
        <v>7905.4</v>
      </c>
      <c r="R13" s="8">
        <v>4735.2</v>
      </c>
      <c r="S13" s="8">
        <v>5665.9</v>
      </c>
      <c r="T13" s="8">
        <v>7277.9</v>
      </c>
      <c r="U13" s="8">
        <v>18200.6</v>
      </c>
      <c r="V13" s="8">
        <v>52610.3</v>
      </c>
      <c r="W13" s="8">
        <v>55605.4</v>
      </c>
      <c r="X13" s="8">
        <v>4319.5</v>
      </c>
      <c r="Y13" s="8">
        <v>4126.6</v>
      </c>
      <c r="Z13" s="15">
        <f t="shared" si="21"/>
        <v>64051.5</v>
      </c>
      <c r="AA13" s="8">
        <v>72972.3</v>
      </c>
      <c r="AB13" s="13">
        <v>6640</v>
      </c>
      <c r="AC13" s="7">
        <f t="shared" si="1"/>
        <v>79612.3</v>
      </c>
      <c r="AD13" s="16">
        <v>205243</v>
      </c>
      <c r="AE13" s="17">
        <f t="shared" ref="AE13:AI13" si="63">IF(OR(C14=""),"",(C14-C13)*80)</f>
        <v>0</v>
      </c>
      <c r="AF13" s="17">
        <f t="shared" si="63"/>
        <v>0</v>
      </c>
      <c r="AG13" s="17">
        <f t="shared" si="63"/>
        <v>2711.99999999953</v>
      </c>
      <c r="AH13" s="17">
        <f t="shared" si="63"/>
        <v>2424.80000000003</v>
      </c>
      <c r="AI13" s="17">
        <f t="shared" si="63"/>
        <v>2255.99999999977</v>
      </c>
      <c r="AJ13" s="17">
        <f t="shared" si="3"/>
        <v>7392.79999999933</v>
      </c>
      <c r="AK13" s="17">
        <f t="shared" ref="AK13:AN13" si="64">IF(OR(H14=""),"",(H14-H13)*80)</f>
        <v>0</v>
      </c>
      <c r="AL13" s="17">
        <f t="shared" si="64"/>
        <v>0</v>
      </c>
      <c r="AM13" s="17">
        <f t="shared" si="64"/>
        <v>0</v>
      </c>
      <c r="AN13" s="17">
        <f t="shared" si="64"/>
        <v>0</v>
      </c>
      <c r="AO13" s="17">
        <f t="shared" si="5"/>
        <v>0</v>
      </c>
      <c r="AP13" s="17">
        <f t="shared" ref="AP13:AS13" si="65">IF(OR(L14=""),"",(L14-L13)*100)</f>
        <v>2869.99999999971</v>
      </c>
      <c r="AQ13" s="17">
        <f t="shared" si="65"/>
        <v>0</v>
      </c>
      <c r="AR13" s="17">
        <f t="shared" si="65"/>
        <v>2940.00000000087</v>
      </c>
      <c r="AS13" s="17">
        <f t="shared" si="65"/>
        <v>2150</v>
      </c>
      <c r="AT13" s="17">
        <f t="shared" si="7"/>
        <v>7960.00000000058</v>
      </c>
      <c r="AU13" s="17">
        <f t="shared" ref="AU13:AY13" si="66">IF(OR(P14=""),"",(P14-P13)*1000)</f>
        <v>500</v>
      </c>
      <c r="AV13" s="17">
        <f t="shared" si="66"/>
        <v>0</v>
      </c>
      <c r="AW13" s="17">
        <f t="shared" si="66"/>
        <v>0</v>
      </c>
      <c r="AX13" s="17">
        <f t="shared" si="66"/>
        <v>5500</v>
      </c>
      <c r="AY13" s="17">
        <f t="shared" si="66"/>
        <v>9700.00000000073</v>
      </c>
      <c r="AZ13" s="17">
        <f t="shared" si="9"/>
        <v>15700.0000000007</v>
      </c>
      <c r="BA13" s="17">
        <f t="shared" si="10"/>
        <v>9600.00000000582</v>
      </c>
      <c r="BB13" s="17">
        <f t="shared" si="11"/>
        <v>607.999999999884</v>
      </c>
      <c r="BC13" s="17">
        <f t="shared" si="26"/>
        <v>1444.00000000023</v>
      </c>
      <c r="BD13" s="17">
        <f t="shared" si="12"/>
        <v>13195.1999999949</v>
      </c>
      <c r="BE13" s="17">
        <f t="shared" si="13"/>
        <v>55900.0000000015</v>
      </c>
      <c r="BF13" s="17">
        <f t="shared" si="14"/>
        <v>56.6999999999971</v>
      </c>
      <c r="BG13" s="20">
        <f t="shared" si="15"/>
        <v>0.272360080489963</v>
      </c>
      <c r="BH13" s="20">
        <f t="shared" si="16"/>
        <v>0.0360197424516273</v>
      </c>
      <c r="BI13" s="20">
        <f t="shared" si="17"/>
        <v>0</v>
      </c>
      <c r="BJ13" s="20">
        <f t="shared" si="18"/>
        <v>0.0387832958980359</v>
      </c>
      <c r="BK13" s="20">
        <f t="shared" ref="BK13:BO13" si="67">IF(OR($AD13=0),"",AZ13/$AD13)</f>
        <v>0.0764946916581843</v>
      </c>
      <c r="BL13" s="20">
        <f t="shared" si="67"/>
        <v>0.0467738241986612</v>
      </c>
      <c r="BM13" s="20">
        <f t="shared" si="67"/>
        <v>0.00296234219924618</v>
      </c>
      <c r="BN13" s="20">
        <f t="shared" si="67"/>
        <v>0.00703556272321216</v>
      </c>
      <c r="BO13" s="20">
        <f t="shared" si="67"/>
        <v>0.0642906213609959</v>
      </c>
    </row>
    <row r="14" spans="1:67">
      <c r="A14" s="9">
        <f t="shared" si="20"/>
        <v>44238</v>
      </c>
      <c r="B14" s="10">
        <v>17648.13</v>
      </c>
      <c r="C14" s="8">
        <v>97501.9</v>
      </c>
      <c r="D14" s="8">
        <v>63092.8</v>
      </c>
      <c r="E14" s="8">
        <v>60592.7</v>
      </c>
      <c r="F14" s="8">
        <v>6918.68</v>
      </c>
      <c r="G14" s="8">
        <v>117808.3</v>
      </c>
      <c r="H14" s="8">
        <v>5709.7</v>
      </c>
      <c r="I14" s="8">
        <v>2566.3</v>
      </c>
      <c r="J14" s="8">
        <v>967</v>
      </c>
      <c r="K14" s="8">
        <v>56</v>
      </c>
      <c r="L14" s="8">
        <v>95965.5</v>
      </c>
      <c r="M14" s="8">
        <v>61529.2</v>
      </c>
      <c r="N14" s="8">
        <v>77925.6</v>
      </c>
      <c r="O14" s="8">
        <v>107272.6</v>
      </c>
      <c r="P14" s="8">
        <v>6037.1</v>
      </c>
      <c r="Q14" s="8">
        <v>7905.4</v>
      </c>
      <c r="R14" s="8">
        <v>4735.2</v>
      </c>
      <c r="S14" s="8">
        <v>5671.4</v>
      </c>
      <c r="T14" s="8">
        <v>7287.6</v>
      </c>
      <c r="U14" s="8">
        <v>18205.4</v>
      </c>
      <c r="V14" s="8">
        <v>52617.9</v>
      </c>
      <c r="W14" s="8">
        <v>55622.9</v>
      </c>
      <c r="X14" s="8">
        <v>4327.8</v>
      </c>
      <c r="Y14" s="8">
        <v>4136.9</v>
      </c>
      <c r="Z14" s="15">
        <f t="shared" si="21"/>
        <v>64087.6</v>
      </c>
      <c r="AA14" s="8">
        <v>73012</v>
      </c>
      <c r="AB14" s="13">
        <v>6657</v>
      </c>
      <c r="AC14" s="7">
        <f t="shared" si="1"/>
        <v>79669</v>
      </c>
      <c r="AD14" s="16">
        <v>204284</v>
      </c>
      <c r="AE14" s="17">
        <f t="shared" ref="AE14:AI14" si="68">IF(OR(C15=""),"",(C15-C14)*80)</f>
        <v>0</v>
      </c>
      <c r="AF14" s="17">
        <f t="shared" si="68"/>
        <v>1151.99999999953</v>
      </c>
      <c r="AG14" s="17">
        <f t="shared" si="68"/>
        <v>3256.00000000035</v>
      </c>
      <c r="AH14" s="17">
        <f t="shared" si="68"/>
        <v>1526.39999999999</v>
      </c>
      <c r="AI14" s="17">
        <f t="shared" si="68"/>
        <v>2367.9999999993</v>
      </c>
      <c r="AJ14" s="17">
        <f t="shared" si="3"/>
        <v>8302.39999999918</v>
      </c>
      <c r="AK14" s="17">
        <f t="shared" ref="AK14:AN14" si="69">IF(OR(H15=""),"",(H15-H14)*80)</f>
        <v>0</v>
      </c>
      <c r="AL14" s="17">
        <f t="shared" si="69"/>
        <v>0</v>
      </c>
      <c r="AM14" s="17">
        <f t="shared" si="69"/>
        <v>0</v>
      </c>
      <c r="AN14" s="17">
        <f t="shared" si="69"/>
        <v>0</v>
      </c>
      <c r="AO14" s="17">
        <f t="shared" si="5"/>
        <v>0</v>
      </c>
      <c r="AP14" s="17">
        <f t="shared" ref="AP14:AS14" si="70">IF(OR(L15=""),"",(L15-L14)*100)</f>
        <v>3150</v>
      </c>
      <c r="AQ14" s="17">
        <f t="shared" si="70"/>
        <v>0</v>
      </c>
      <c r="AR14" s="17">
        <f t="shared" si="70"/>
        <v>2950</v>
      </c>
      <c r="AS14" s="17">
        <f t="shared" si="70"/>
        <v>2150</v>
      </c>
      <c r="AT14" s="17">
        <f t="shared" si="7"/>
        <v>8250</v>
      </c>
      <c r="AU14" s="17">
        <f t="shared" ref="AU14:AY14" si="71">IF(OR(P15=""),"",(P15-P14)*1000)</f>
        <v>0</v>
      </c>
      <c r="AV14" s="17">
        <f t="shared" si="71"/>
        <v>7200.00000000073</v>
      </c>
      <c r="AW14" s="17">
        <f t="shared" si="71"/>
        <v>0</v>
      </c>
      <c r="AX14" s="17">
        <f t="shared" si="71"/>
        <v>5300.00000000018</v>
      </c>
      <c r="AY14" s="17">
        <f t="shared" si="71"/>
        <v>8599.99999999945</v>
      </c>
      <c r="AZ14" s="17">
        <f t="shared" si="9"/>
        <v>21100.0000000004</v>
      </c>
      <c r="BA14" s="17">
        <f t="shared" si="10"/>
        <v>10399.9999999942</v>
      </c>
      <c r="BB14" s="17">
        <f t="shared" si="11"/>
        <v>615.999999999767</v>
      </c>
      <c r="BC14" s="17">
        <f t="shared" si="26"/>
        <v>1643.99999999965</v>
      </c>
      <c r="BD14" s="17">
        <f t="shared" si="12"/>
        <v>11087.600000001</v>
      </c>
      <c r="BE14" s="17">
        <f t="shared" si="13"/>
        <v>61399.9999999942</v>
      </c>
      <c r="BF14" s="17">
        <f t="shared" si="14"/>
        <v>50</v>
      </c>
      <c r="BG14" s="20">
        <f t="shared" si="15"/>
        <v>0.300561962757701</v>
      </c>
      <c r="BH14" s="20">
        <f t="shared" si="16"/>
        <v>0.040641459928331</v>
      </c>
      <c r="BI14" s="20">
        <f t="shared" si="17"/>
        <v>0</v>
      </c>
      <c r="BJ14" s="20">
        <f t="shared" si="18"/>
        <v>0.0403849542793366</v>
      </c>
      <c r="BK14" s="20">
        <f t="shared" ref="BK14:BO14" si="72">IF(OR($AD14=0),"",AZ14/$AD14)</f>
        <v>0.103287580035638</v>
      </c>
      <c r="BL14" s="20">
        <f t="shared" si="72"/>
        <v>0.0509095181218019</v>
      </c>
      <c r="BM14" s="20">
        <f t="shared" si="72"/>
        <v>0.00301540991952266</v>
      </c>
      <c r="BN14" s="20">
        <f t="shared" si="72"/>
        <v>0.0080476199800261</v>
      </c>
      <c r="BO14" s="20">
        <f t="shared" si="72"/>
        <v>0.0542754204930442</v>
      </c>
    </row>
    <row r="15" spans="1:67">
      <c r="A15" s="9">
        <f t="shared" si="20"/>
        <v>44239</v>
      </c>
      <c r="B15" s="10">
        <v>17654.27</v>
      </c>
      <c r="C15" s="8">
        <v>97501.9</v>
      </c>
      <c r="D15" s="8">
        <v>63107.2</v>
      </c>
      <c r="E15" s="8">
        <v>60633.4</v>
      </c>
      <c r="F15" s="8">
        <v>6937.76</v>
      </c>
      <c r="G15" s="8">
        <v>117837.9</v>
      </c>
      <c r="H15" s="8">
        <v>5709.7</v>
      </c>
      <c r="I15" s="8">
        <v>2566.3</v>
      </c>
      <c r="J15" s="8">
        <v>967</v>
      </c>
      <c r="K15" s="8">
        <v>56</v>
      </c>
      <c r="L15" s="8">
        <v>95997</v>
      </c>
      <c r="M15" s="8">
        <v>61529.2</v>
      </c>
      <c r="N15" s="8">
        <v>77955.1</v>
      </c>
      <c r="O15" s="8">
        <v>107294.1</v>
      </c>
      <c r="P15" s="8">
        <v>6037.1</v>
      </c>
      <c r="Q15" s="8">
        <v>7912.6</v>
      </c>
      <c r="R15" s="8">
        <v>4735.2</v>
      </c>
      <c r="S15" s="8">
        <v>5676.7</v>
      </c>
      <c r="T15" s="8">
        <v>7296.2</v>
      </c>
      <c r="U15" s="8">
        <v>18210.6</v>
      </c>
      <c r="V15" s="8">
        <v>52625.6</v>
      </c>
      <c r="W15" s="8">
        <v>55639.7</v>
      </c>
      <c r="X15" s="8">
        <v>4340.6</v>
      </c>
      <c r="Y15" s="8">
        <v>4148.4</v>
      </c>
      <c r="Z15" s="15">
        <f t="shared" si="21"/>
        <v>64128.7</v>
      </c>
      <c r="AA15" s="8">
        <v>73053</v>
      </c>
      <c r="AB15" s="13">
        <v>6666</v>
      </c>
      <c r="AC15" s="7">
        <f t="shared" si="1"/>
        <v>79719</v>
      </c>
      <c r="AD15" s="16">
        <v>203830</v>
      </c>
      <c r="AE15" s="17">
        <f t="shared" ref="AE15:AI15" si="73">IF(OR(C16=""),"",(C16-C15)*80)</f>
        <v>0</v>
      </c>
      <c r="AF15" s="17">
        <f t="shared" si="73"/>
        <v>40</v>
      </c>
      <c r="AG15" s="17">
        <f t="shared" si="73"/>
        <v>1800</v>
      </c>
      <c r="AH15" s="17">
        <f t="shared" si="73"/>
        <v>2215.99999999999</v>
      </c>
      <c r="AI15" s="17">
        <f t="shared" si="73"/>
        <v>2440</v>
      </c>
      <c r="AJ15" s="17">
        <f t="shared" si="3"/>
        <v>6495.99999999999</v>
      </c>
      <c r="AK15" s="17">
        <f t="shared" ref="AK15:AN15" si="74">IF(OR(H16=""),"",(H16-H15)*80)</f>
        <v>0</v>
      </c>
      <c r="AL15" s="17">
        <f t="shared" si="74"/>
        <v>0</v>
      </c>
      <c r="AM15" s="17">
        <f t="shared" si="74"/>
        <v>0</v>
      </c>
      <c r="AN15" s="17">
        <f t="shared" si="74"/>
        <v>0</v>
      </c>
      <c r="AO15" s="17">
        <f t="shared" si="5"/>
        <v>0</v>
      </c>
      <c r="AP15" s="17">
        <f t="shared" ref="AP15:AS15" si="75">IF(OR(L16=""),"",(L16-L15)*100)</f>
        <v>3189.99999999942</v>
      </c>
      <c r="AQ15" s="17">
        <f t="shared" si="75"/>
        <v>0</v>
      </c>
      <c r="AR15" s="17">
        <f t="shared" si="75"/>
        <v>2939.99999999942</v>
      </c>
      <c r="AS15" s="17">
        <f t="shared" si="75"/>
        <v>2019.99999999971</v>
      </c>
      <c r="AT15" s="17">
        <f t="shared" si="7"/>
        <v>8149.99999999854</v>
      </c>
      <c r="AU15" s="17">
        <f t="shared" ref="AU15:AY15" si="76">IF(OR(P16=""),"",(P16-P15)*1000)</f>
        <v>0</v>
      </c>
      <c r="AV15" s="17">
        <f t="shared" si="76"/>
        <v>6699.99999999982</v>
      </c>
      <c r="AW15" s="17">
        <f t="shared" si="76"/>
        <v>0</v>
      </c>
      <c r="AX15" s="17">
        <f t="shared" si="76"/>
        <v>4800.00000000018</v>
      </c>
      <c r="AY15" s="17">
        <f t="shared" si="76"/>
        <v>8800.00000000018</v>
      </c>
      <c r="AZ15" s="17">
        <f t="shared" si="9"/>
        <v>20300.0000000002</v>
      </c>
      <c r="BA15" s="17">
        <f t="shared" si="10"/>
        <v>10200.0000000044</v>
      </c>
      <c r="BB15" s="17">
        <f t="shared" si="11"/>
        <v>616.000000000349</v>
      </c>
      <c r="BC15" s="17">
        <f t="shared" si="26"/>
        <v>1651.99999999983</v>
      </c>
      <c r="BD15" s="17">
        <f t="shared" si="12"/>
        <v>11186.0000000026</v>
      </c>
      <c r="BE15" s="17">
        <f t="shared" si="13"/>
        <v>58600.0000000058</v>
      </c>
      <c r="BF15" s="17">
        <f t="shared" si="14"/>
        <v>54.1999999999971</v>
      </c>
      <c r="BG15" s="20">
        <f t="shared" si="15"/>
        <v>0.287494480694725</v>
      </c>
      <c r="BH15" s="20">
        <f t="shared" si="16"/>
        <v>0.0318696953343472</v>
      </c>
      <c r="BI15" s="20">
        <f t="shared" si="17"/>
        <v>0</v>
      </c>
      <c r="BJ15" s="20">
        <f t="shared" si="18"/>
        <v>0.0399843006426853</v>
      </c>
      <c r="BK15" s="20">
        <f t="shared" ref="BK15:BO15" si="77">IF(OR($AD15=0),"",AZ15/$AD15)</f>
        <v>0.0995927979198361</v>
      </c>
      <c r="BL15" s="20">
        <f t="shared" si="77"/>
        <v>0.0500417014178696</v>
      </c>
      <c r="BM15" s="20">
        <f t="shared" si="77"/>
        <v>0.00302212628170706</v>
      </c>
      <c r="BN15" s="20">
        <f t="shared" si="77"/>
        <v>0.00810479321002711</v>
      </c>
      <c r="BO15" s="20">
        <f t="shared" si="77"/>
        <v>0.0548790658882528</v>
      </c>
    </row>
    <row r="16" spans="1:67">
      <c r="A16" s="9">
        <f t="shared" si="20"/>
        <v>44240</v>
      </c>
      <c r="B16" s="10">
        <v>17660.13</v>
      </c>
      <c r="C16" s="8">
        <v>97501.9</v>
      </c>
      <c r="D16" s="8">
        <v>63107.7</v>
      </c>
      <c r="E16" s="8">
        <v>60655.9</v>
      </c>
      <c r="F16" s="8">
        <v>6965.46</v>
      </c>
      <c r="G16" s="8">
        <v>117868.4</v>
      </c>
      <c r="H16" s="8">
        <v>5709.7</v>
      </c>
      <c r="I16" s="8">
        <v>2566.3</v>
      </c>
      <c r="J16" s="8">
        <v>967</v>
      </c>
      <c r="K16" s="8">
        <v>56</v>
      </c>
      <c r="L16" s="8">
        <v>96028.9</v>
      </c>
      <c r="M16" s="8">
        <v>61529.2</v>
      </c>
      <c r="N16" s="8">
        <v>77984.5</v>
      </c>
      <c r="O16" s="8">
        <v>107314.3</v>
      </c>
      <c r="P16" s="8">
        <v>6037.1</v>
      </c>
      <c r="Q16" s="8">
        <v>7919.3</v>
      </c>
      <c r="R16" s="8">
        <v>4735.2</v>
      </c>
      <c r="S16" s="8">
        <v>5681.5</v>
      </c>
      <c r="T16" s="8">
        <v>7305</v>
      </c>
      <c r="U16" s="8">
        <v>18215.7</v>
      </c>
      <c r="V16" s="8">
        <v>52633.3</v>
      </c>
      <c r="W16" s="8">
        <v>55656.7</v>
      </c>
      <c r="X16" s="8">
        <v>4353.7</v>
      </c>
      <c r="Y16" s="8">
        <v>4159.6</v>
      </c>
      <c r="Z16" s="15">
        <f t="shared" si="21"/>
        <v>64170</v>
      </c>
      <c r="AA16" s="8">
        <v>73093.2</v>
      </c>
      <c r="AB16" s="13">
        <v>6680</v>
      </c>
      <c r="AC16" s="7">
        <f t="shared" si="1"/>
        <v>79773.2</v>
      </c>
      <c r="AD16" s="16">
        <v>205119</v>
      </c>
      <c r="AE16" s="17">
        <f t="shared" ref="AE16:AI16" si="78">IF(OR(C17=""),"",(C17-C16)*80)</f>
        <v>0</v>
      </c>
      <c r="AF16" s="17">
        <f t="shared" si="78"/>
        <v>0</v>
      </c>
      <c r="AG16" s="17">
        <f t="shared" si="78"/>
        <v>1960</v>
      </c>
      <c r="AH16" s="17">
        <f t="shared" si="78"/>
        <v>2443.2</v>
      </c>
      <c r="AI16" s="17">
        <f t="shared" si="78"/>
        <v>2616.00000000093</v>
      </c>
      <c r="AJ16" s="17">
        <f t="shared" si="3"/>
        <v>7019.20000000093</v>
      </c>
      <c r="AK16" s="17">
        <f t="shared" ref="AK16:AN16" si="79">IF(OR(H17=""),"",(H17-H16)*80)</f>
        <v>0</v>
      </c>
      <c r="AL16" s="17">
        <f t="shared" si="79"/>
        <v>0</v>
      </c>
      <c r="AM16" s="17">
        <f t="shared" si="79"/>
        <v>0</v>
      </c>
      <c r="AN16" s="17">
        <f t="shared" si="79"/>
        <v>0</v>
      </c>
      <c r="AO16" s="17">
        <f t="shared" si="5"/>
        <v>0</v>
      </c>
      <c r="AP16" s="17">
        <f t="shared" ref="AP16:AS16" si="80">IF(OR(L17=""),"",(L17-L16)*100)</f>
        <v>3150</v>
      </c>
      <c r="AQ16" s="17">
        <f t="shared" si="80"/>
        <v>0</v>
      </c>
      <c r="AR16" s="17">
        <f t="shared" si="80"/>
        <v>2939.99999999942</v>
      </c>
      <c r="AS16" s="17">
        <f t="shared" si="80"/>
        <v>2050</v>
      </c>
      <c r="AT16" s="17">
        <f t="shared" si="7"/>
        <v>8139.99999999942</v>
      </c>
      <c r="AU16" s="17">
        <f t="shared" ref="AU16:AY16" si="81">IF(OR(P17=""),"",(P17-P16)*1000)</f>
        <v>0</v>
      </c>
      <c r="AV16" s="17">
        <f t="shared" si="81"/>
        <v>6599.99999999945</v>
      </c>
      <c r="AW16" s="17">
        <f t="shared" si="81"/>
        <v>0</v>
      </c>
      <c r="AX16" s="17">
        <f t="shared" si="81"/>
        <v>5399.99999999964</v>
      </c>
      <c r="AY16" s="17">
        <f t="shared" si="81"/>
        <v>9000</v>
      </c>
      <c r="AZ16" s="17">
        <f t="shared" si="9"/>
        <v>20999.9999999991</v>
      </c>
      <c r="BA16" s="17">
        <f t="shared" si="10"/>
        <v>10199.9999999971</v>
      </c>
      <c r="BB16" s="17">
        <f t="shared" si="11"/>
        <v>663.999999999651</v>
      </c>
      <c r="BC16" s="17">
        <f t="shared" si="26"/>
        <v>1680.00000000029</v>
      </c>
      <c r="BD16" s="17">
        <f t="shared" si="12"/>
        <v>11796.7999999963</v>
      </c>
      <c r="BE16" s="17">
        <f t="shared" si="13"/>
        <v>60499.9999999927</v>
      </c>
      <c r="BF16" s="17">
        <f t="shared" si="14"/>
        <v>57.1000000000058</v>
      </c>
      <c r="BG16" s="20">
        <f t="shared" si="15"/>
        <v>0.294950735914239</v>
      </c>
      <c r="BH16" s="20">
        <f t="shared" si="16"/>
        <v>0.0342201356285909</v>
      </c>
      <c r="BI16" s="20">
        <f t="shared" si="17"/>
        <v>0</v>
      </c>
      <c r="BJ16" s="20">
        <f t="shared" si="18"/>
        <v>0.0396842808320995</v>
      </c>
      <c r="BK16" s="20">
        <f t="shared" ref="BK16:BO16" si="82">IF(OR($AD16=0),"",AZ16/$AD16)</f>
        <v>0.102379594284289</v>
      </c>
      <c r="BL16" s="20">
        <f t="shared" si="82"/>
        <v>0.0497272315094998</v>
      </c>
      <c r="BM16" s="20">
        <f t="shared" si="82"/>
        <v>0.00323714526689215</v>
      </c>
      <c r="BN16" s="20">
        <f t="shared" si="82"/>
        <v>0.0081903675427449</v>
      </c>
      <c r="BO16" s="20">
        <f t="shared" si="82"/>
        <v>0.0575119808501224</v>
      </c>
    </row>
    <row r="17" spans="1:67">
      <c r="A17" s="9">
        <f t="shared" si="20"/>
        <v>44241</v>
      </c>
      <c r="B17" s="10">
        <v>17666.18</v>
      </c>
      <c r="C17" s="8">
        <v>97501.9</v>
      </c>
      <c r="D17" s="8">
        <v>63107.7</v>
      </c>
      <c r="E17" s="8">
        <v>60680.4</v>
      </c>
      <c r="F17" s="8">
        <v>6996</v>
      </c>
      <c r="G17" s="8">
        <v>117901.1</v>
      </c>
      <c r="H17" s="8">
        <v>5709.7</v>
      </c>
      <c r="I17" s="8">
        <v>2566.3</v>
      </c>
      <c r="J17" s="8">
        <v>967</v>
      </c>
      <c r="K17" s="8">
        <v>56</v>
      </c>
      <c r="L17" s="8">
        <v>96060.4</v>
      </c>
      <c r="M17" s="8">
        <v>61529.2</v>
      </c>
      <c r="N17" s="8">
        <v>78013.9</v>
      </c>
      <c r="O17" s="8">
        <v>107334.8</v>
      </c>
      <c r="P17" s="8">
        <v>6037.1</v>
      </c>
      <c r="Q17" s="8">
        <v>7925.9</v>
      </c>
      <c r="R17" s="8">
        <v>4735.2</v>
      </c>
      <c r="S17" s="8">
        <v>5686.9</v>
      </c>
      <c r="T17" s="8">
        <v>7314</v>
      </c>
      <c r="U17" s="8">
        <v>18220.8</v>
      </c>
      <c r="V17" s="8">
        <v>52641.6</v>
      </c>
      <c r="W17" s="8">
        <v>55673.9</v>
      </c>
      <c r="X17" s="8">
        <v>4367.2</v>
      </c>
      <c r="Y17" s="8">
        <v>4170.9</v>
      </c>
      <c r="Z17" s="15">
        <f t="shared" si="21"/>
        <v>64212</v>
      </c>
      <c r="AA17" s="8">
        <v>73133.3</v>
      </c>
      <c r="AB17" s="13">
        <v>6697</v>
      </c>
      <c r="AC17" s="7">
        <f t="shared" si="1"/>
        <v>79830.3</v>
      </c>
      <c r="AD17" s="16">
        <v>202120</v>
      </c>
      <c r="AE17" s="17">
        <f t="shared" ref="AE17:AI18" si="83">IF(OR(C18=""),"",(C18-C17)*80)</f>
        <v>0</v>
      </c>
      <c r="AF17" s="17">
        <f t="shared" si="83"/>
        <v>0</v>
      </c>
      <c r="AG17" s="17">
        <f t="shared" si="83"/>
        <v>2320</v>
      </c>
      <c r="AH17" s="17">
        <f t="shared" si="83"/>
        <v>2518.39999999997</v>
      </c>
      <c r="AI17" s="17">
        <f t="shared" si="83"/>
        <v>2320</v>
      </c>
      <c r="AJ17" s="17">
        <f t="shared" si="3"/>
        <v>7158.39999999997</v>
      </c>
      <c r="AK17" s="17">
        <f t="shared" ref="AK17:AN17" si="84">IF(OR(H18=""),"",(H18-H17)*80)</f>
        <v>0</v>
      </c>
      <c r="AL17" s="17">
        <f t="shared" si="84"/>
        <v>0</v>
      </c>
      <c r="AM17" s="17">
        <f t="shared" si="84"/>
        <v>0</v>
      </c>
      <c r="AN17" s="17">
        <f t="shared" si="84"/>
        <v>0</v>
      </c>
      <c r="AO17" s="17">
        <f t="shared" si="5"/>
        <v>0</v>
      </c>
      <c r="AP17" s="17">
        <f t="shared" ref="AP17:AS17" si="85">IF(OR(L18=""),"",(L18-L17)*100)</f>
        <v>2990.00000000087</v>
      </c>
      <c r="AQ17" s="17">
        <f t="shared" si="85"/>
        <v>0</v>
      </c>
      <c r="AR17" s="17">
        <f t="shared" si="85"/>
        <v>2930.00000000029</v>
      </c>
      <c r="AS17" s="17">
        <f t="shared" si="85"/>
        <v>2139.99999999942</v>
      </c>
      <c r="AT17" s="17">
        <f t="shared" si="7"/>
        <v>8060.00000000058</v>
      </c>
      <c r="AU17" s="17">
        <f t="shared" ref="AU17:AY17" si="86">IF(OR(P18=""),"",(P18-P17)*1000)</f>
        <v>0</v>
      </c>
      <c r="AV17" s="17">
        <f t="shared" si="86"/>
        <v>7800.00000000018</v>
      </c>
      <c r="AW17" s="17">
        <f t="shared" si="86"/>
        <v>3900.00000000055</v>
      </c>
      <c r="AX17" s="17">
        <f t="shared" si="86"/>
        <v>5000</v>
      </c>
      <c r="AY17" s="17">
        <f t="shared" si="86"/>
        <v>899.999999999636</v>
      </c>
      <c r="AZ17" s="17">
        <f t="shared" si="9"/>
        <v>17600.0000000004</v>
      </c>
      <c r="BA17" s="17">
        <f t="shared" si="10"/>
        <v>10000</v>
      </c>
      <c r="BB17" s="17">
        <f t="shared" si="11"/>
        <v>1016.00000000035</v>
      </c>
      <c r="BC17" s="17">
        <f t="shared" si="26"/>
        <v>1684.00000000023</v>
      </c>
      <c r="BD17" s="17">
        <f t="shared" si="12"/>
        <v>15981.6000000131</v>
      </c>
      <c r="BE17" s="17">
        <f t="shared" si="13"/>
        <v>61500.0000000146</v>
      </c>
      <c r="BF17" s="17">
        <f t="shared" si="14"/>
        <v>74.6999999999971</v>
      </c>
      <c r="BG17" s="20">
        <f t="shared" si="15"/>
        <v>0.30427468830405</v>
      </c>
      <c r="BH17" s="20">
        <f t="shared" si="16"/>
        <v>0.0354165842074014</v>
      </c>
      <c r="BI17" s="20">
        <f t="shared" si="17"/>
        <v>0</v>
      </c>
      <c r="BJ17" s="20">
        <f t="shared" si="18"/>
        <v>0.0398773006134998</v>
      </c>
      <c r="BK17" s="20">
        <f t="shared" ref="BK17:BO17" si="87">IF(OR($AD17=0),"",AZ17/$AD17)</f>
        <v>0.0870769839699207</v>
      </c>
      <c r="BL17" s="20">
        <f t="shared" si="87"/>
        <v>0.0494755590738175</v>
      </c>
      <c r="BM17" s="20">
        <f t="shared" si="87"/>
        <v>0.00502671680190159</v>
      </c>
      <c r="BN17" s="20">
        <f t="shared" si="87"/>
        <v>0.00833168414803202</v>
      </c>
      <c r="BO17" s="20">
        <f t="shared" si="87"/>
        <v>0.0790698594894768</v>
      </c>
    </row>
    <row r="18" spans="1:67">
      <c r="A18" s="9">
        <f t="shared" si="20"/>
        <v>44242</v>
      </c>
      <c r="B18" s="10">
        <v>17672.33</v>
      </c>
      <c r="C18" s="8">
        <v>97501.9</v>
      </c>
      <c r="D18" s="8">
        <v>63107.7</v>
      </c>
      <c r="E18" s="8">
        <v>60709.4</v>
      </c>
      <c r="F18" s="8">
        <v>7027.48</v>
      </c>
      <c r="G18" s="8">
        <v>117930.1</v>
      </c>
      <c r="H18" s="8">
        <v>5709.7</v>
      </c>
      <c r="I18" s="8">
        <v>2566.3</v>
      </c>
      <c r="J18" s="8">
        <v>967</v>
      </c>
      <c r="K18" s="8">
        <v>56</v>
      </c>
      <c r="L18" s="8">
        <v>96090.3</v>
      </c>
      <c r="M18" s="8">
        <v>61529.2</v>
      </c>
      <c r="N18" s="8">
        <v>78043.2</v>
      </c>
      <c r="O18" s="8">
        <v>107356.2</v>
      </c>
      <c r="P18" s="8">
        <v>6037.1</v>
      </c>
      <c r="Q18" s="8">
        <v>7933.7</v>
      </c>
      <c r="R18" s="8">
        <v>4739.1</v>
      </c>
      <c r="S18" s="8">
        <v>5691.9</v>
      </c>
      <c r="T18" s="8">
        <v>7314.9</v>
      </c>
      <c r="U18" s="8">
        <v>18225.8</v>
      </c>
      <c r="V18" s="8">
        <v>52654.3</v>
      </c>
      <c r="W18" s="8">
        <v>55691</v>
      </c>
      <c r="X18" s="8">
        <v>4380.8</v>
      </c>
      <c r="Y18" s="8">
        <v>4182.3</v>
      </c>
      <c r="Z18" s="15">
        <f t="shared" si="21"/>
        <v>64254.1</v>
      </c>
      <c r="AA18" s="8">
        <v>73167</v>
      </c>
      <c r="AB18" s="13">
        <v>6738</v>
      </c>
      <c r="AC18" s="7">
        <f t="shared" si="1"/>
        <v>79905</v>
      </c>
      <c r="AD18" s="16">
        <v>196389</v>
      </c>
      <c r="AE18" s="17">
        <f t="shared" ref="AE18:AI18" si="88">IF(OR(C19=""),"",(C19-C18)*80)</f>
        <v>0</v>
      </c>
      <c r="AF18" s="17">
        <f t="shared" si="88"/>
        <v>8.00000000046566</v>
      </c>
      <c r="AG18" s="17">
        <f t="shared" si="88"/>
        <v>2767.99999999988</v>
      </c>
      <c r="AH18" s="17">
        <f t="shared" si="83"/>
        <v>2537.60000000002</v>
      </c>
      <c r="AI18" s="17">
        <f t="shared" si="88"/>
        <v>2727.9999999993</v>
      </c>
      <c r="AJ18" s="17">
        <f t="shared" si="3"/>
        <v>8041.59999999967</v>
      </c>
      <c r="AK18" s="17">
        <f t="shared" ref="AK18:AN18" si="89">IF(OR(H19=""),"",(H19-H18)*80)</f>
        <v>0</v>
      </c>
      <c r="AL18" s="17">
        <f t="shared" si="89"/>
        <v>0</v>
      </c>
      <c r="AM18" s="17">
        <f t="shared" si="89"/>
        <v>0</v>
      </c>
      <c r="AN18" s="17">
        <f t="shared" si="89"/>
        <v>0</v>
      </c>
      <c r="AO18" s="17">
        <f t="shared" si="5"/>
        <v>0</v>
      </c>
      <c r="AP18" s="17">
        <f t="shared" ref="AP18:AS18" si="90">IF(OR(L19=""),"",(L19-L18)*100)</f>
        <v>2989.99999999942</v>
      </c>
      <c r="AQ18" s="17">
        <f t="shared" si="90"/>
        <v>0</v>
      </c>
      <c r="AR18" s="17">
        <f t="shared" si="90"/>
        <v>2990.00000000087</v>
      </c>
      <c r="AS18" s="17">
        <f t="shared" si="90"/>
        <v>1930.00000000029</v>
      </c>
      <c r="AT18" s="17">
        <f t="shared" si="7"/>
        <v>7910.00000000058</v>
      </c>
      <c r="AU18" s="17">
        <f t="shared" ref="AU18:AY18" si="91">IF(OR(P19=""),"",(P19-P18)*1000)</f>
        <v>0</v>
      </c>
      <c r="AV18" s="17">
        <f t="shared" si="91"/>
        <v>7300.00000000018</v>
      </c>
      <c r="AW18" s="17">
        <f t="shared" si="91"/>
        <v>0</v>
      </c>
      <c r="AX18" s="17">
        <f t="shared" si="91"/>
        <v>5300.00000000018</v>
      </c>
      <c r="AY18" s="17">
        <f t="shared" si="91"/>
        <v>9100.00000000036</v>
      </c>
      <c r="AZ18" s="17">
        <f t="shared" si="9"/>
        <v>21700.0000000007</v>
      </c>
      <c r="BA18" s="17">
        <f t="shared" si="10"/>
        <v>10200.0000000044</v>
      </c>
      <c r="BB18" s="17">
        <f t="shared" si="11"/>
        <v>1080</v>
      </c>
      <c r="BC18" s="17">
        <f t="shared" si="26"/>
        <v>1695.99999999977</v>
      </c>
      <c r="BD18" s="17">
        <f t="shared" si="12"/>
        <v>12572.399999992</v>
      </c>
      <c r="BE18" s="17">
        <f t="shared" si="13"/>
        <v>63199.9999999971</v>
      </c>
      <c r="BF18" s="17">
        <f t="shared" si="14"/>
        <v>99</v>
      </c>
      <c r="BG18" s="20">
        <f t="shared" si="15"/>
        <v>0.321810284690065</v>
      </c>
      <c r="BH18" s="20">
        <f t="shared" si="16"/>
        <v>0.0409473035658803</v>
      </c>
      <c r="BI18" s="20">
        <f t="shared" si="17"/>
        <v>0</v>
      </c>
      <c r="BJ18" s="20">
        <f t="shared" si="18"/>
        <v>0.0402772049351063</v>
      </c>
      <c r="BK18" s="20">
        <f t="shared" ref="BK18:BO18" si="92">IF(OR($AD18=0),"",AZ18/$AD18)</f>
        <v>0.11049498699011</v>
      </c>
      <c r="BL18" s="20">
        <f t="shared" si="92"/>
        <v>0.0519377358202566</v>
      </c>
      <c r="BM18" s="20">
        <f t="shared" si="92"/>
        <v>0.00549928967508363</v>
      </c>
      <c r="BN18" s="20">
        <f t="shared" si="92"/>
        <v>0.00863592156383386</v>
      </c>
      <c r="BO18" s="20">
        <f t="shared" si="92"/>
        <v>0.0640178421397939</v>
      </c>
    </row>
    <row r="19" spans="1:67">
      <c r="A19" s="9">
        <f t="shared" si="20"/>
        <v>44243</v>
      </c>
      <c r="B19" s="10">
        <v>17678.65</v>
      </c>
      <c r="C19" s="8">
        <v>97501.9</v>
      </c>
      <c r="D19" s="8">
        <v>63107.8</v>
      </c>
      <c r="E19" s="8">
        <v>60744</v>
      </c>
      <c r="F19" s="8">
        <v>7059.2</v>
      </c>
      <c r="G19" s="8">
        <v>117964.2</v>
      </c>
      <c r="H19" s="8">
        <v>5709.7</v>
      </c>
      <c r="I19" s="8">
        <v>2566.3</v>
      </c>
      <c r="J19" s="8">
        <v>967</v>
      </c>
      <c r="K19" s="8">
        <v>56</v>
      </c>
      <c r="L19" s="8">
        <v>96120.2</v>
      </c>
      <c r="M19" s="8">
        <v>61529.2</v>
      </c>
      <c r="N19" s="8">
        <v>78073.1</v>
      </c>
      <c r="O19" s="8">
        <v>107375.5</v>
      </c>
      <c r="P19" s="8">
        <v>6037.1</v>
      </c>
      <c r="Q19" s="8">
        <v>7941</v>
      </c>
      <c r="R19" s="8">
        <v>4739.1</v>
      </c>
      <c r="S19" s="8">
        <v>5697.2</v>
      </c>
      <c r="T19" s="8">
        <v>7324</v>
      </c>
      <c r="U19" s="8">
        <v>18230.9</v>
      </c>
      <c r="V19" s="8">
        <v>52667.8</v>
      </c>
      <c r="W19" s="8">
        <v>55708.6</v>
      </c>
      <c r="X19" s="8">
        <v>4394.3</v>
      </c>
      <c r="Y19" s="8">
        <v>4193.6</v>
      </c>
      <c r="Z19" s="15">
        <f t="shared" si="21"/>
        <v>64296.5</v>
      </c>
      <c r="AA19" s="8">
        <v>73199</v>
      </c>
      <c r="AB19" s="13">
        <v>6805</v>
      </c>
      <c r="AC19" s="7">
        <f t="shared" si="1"/>
        <v>80004</v>
      </c>
      <c r="AD19" s="16">
        <v>202447</v>
      </c>
      <c r="AE19" s="17">
        <f t="shared" ref="AE19:AI19" si="93">IF(OR(C20=""),"",(C20-C19)*80)</f>
        <v>0</v>
      </c>
      <c r="AF19" s="17">
        <f t="shared" si="93"/>
        <v>0</v>
      </c>
      <c r="AG19" s="17">
        <f t="shared" si="93"/>
        <v>3280</v>
      </c>
      <c r="AH19" s="17">
        <f t="shared" si="93"/>
        <v>2545.60000000005</v>
      </c>
      <c r="AI19" s="17">
        <f t="shared" si="93"/>
        <v>2704.00000000023</v>
      </c>
      <c r="AJ19" s="17">
        <f t="shared" si="3"/>
        <v>8529.60000000028</v>
      </c>
      <c r="AK19" s="17">
        <f t="shared" ref="AK19:AN19" si="94">IF(OR(H20=""),"",(H20-H19)*80)</f>
        <v>0</v>
      </c>
      <c r="AL19" s="17">
        <f t="shared" si="94"/>
        <v>0</v>
      </c>
      <c r="AM19" s="17">
        <f t="shared" si="94"/>
        <v>0</v>
      </c>
      <c r="AN19" s="17">
        <f t="shared" si="94"/>
        <v>0</v>
      </c>
      <c r="AO19" s="17">
        <f t="shared" si="5"/>
        <v>0</v>
      </c>
      <c r="AP19" s="17">
        <f t="shared" ref="AP19:AS19" si="95">IF(OR(L20=""),"",(L20-L19)*100)</f>
        <v>3080.00000000029</v>
      </c>
      <c r="AQ19" s="17">
        <f t="shared" si="95"/>
        <v>0</v>
      </c>
      <c r="AR19" s="17">
        <f t="shared" si="95"/>
        <v>2959.99999999913</v>
      </c>
      <c r="AS19" s="17">
        <f t="shared" si="95"/>
        <v>2010.00000000058</v>
      </c>
      <c r="AT19" s="17">
        <f t="shared" si="7"/>
        <v>8050</v>
      </c>
      <c r="AU19" s="17">
        <f t="shared" ref="AU19:AY19" si="96">IF(OR(P20=""),"",(P20-P19)*1000)</f>
        <v>0</v>
      </c>
      <c r="AV19" s="17">
        <f t="shared" si="96"/>
        <v>7000</v>
      </c>
      <c r="AW19" s="17">
        <f t="shared" si="96"/>
        <v>0</v>
      </c>
      <c r="AX19" s="17">
        <f t="shared" si="96"/>
        <v>5199.99999999982</v>
      </c>
      <c r="AY19" s="17">
        <f t="shared" si="96"/>
        <v>9199.99999999982</v>
      </c>
      <c r="AZ19" s="17">
        <f t="shared" si="9"/>
        <v>21399.9999999996</v>
      </c>
      <c r="BA19" s="17">
        <f t="shared" si="10"/>
        <v>10199.9999999971</v>
      </c>
      <c r="BB19" s="17">
        <f t="shared" si="11"/>
        <v>1071.99999999953</v>
      </c>
      <c r="BC19" s="17">
        <f t="shared" si="26"/>
        <v>1667.99999999988</v>
      </c>
      <c r="BD19" s="17">
        <f t="shared" si="12"/>
        <v>12780.3999999934</v>
      </c>
      <c r="BE19" s="17">
        <f t="shared" si="13"/>
        <v>63699.9999999898</v>
      </c>
      <c r="BF19" s="17">
        <f t="shared" si="14"/>
        <v>94.6000000000058</v>
      </c>
      <c r="BG19" s="20">
        <f t="shared" si="15"/>
        <v>0.31465025414054</v>
      </c>
      <c r="BH19" s="20">
        <f t="shared" si="16"/>
        <v>0.0421325087553793</v>
      </c>
      <c r="BI19" s="20">
        <f t="shared" si="17"/>
        <v>0</v>
      </c>
      <c r="BJ19" s="20">
        <f t="shared" si="18"/>
        <v>0.0397634936551295</v>
      </c>
      <c r="BK19" s="20">
        <f t="shared" ref="BK19:BO19" si="97">IF(OR($AD19=0),"",AZ19/$AD19)</f>
        <v>0.105706678785063</v>
      </c>
      <c r="BL19" s="20">
        <f t="shared" si="97"/>
        <v>0.0503835571779137</v>
      </c>
      <c r="BM19" s="20">
        <f t="shared" si="97"/>
        <v>0.00529521306810935</v>
      </c>
      <c r="BN19" s="20">
        <f t="shared" si="97"/>
        <v>0.00823919346791942</v>
      </c>
      <c r="BO19" s="20">
        <f t="shared" si="97"/>
        <v>0.0631296092310253</v>
      </c>
    </row>
    <row r="20" spans="1:67">
      <c r="A20" s="9">
        <f t="shared" si="20"/>
        <v>44244</v>
      </c>
      <c r="B20" s="10">
        <v>17685.02</v>
      </c>
      <c r="C20" s="8">
        <v>97501.9</v>
      </c>
      <c r="D20" s="8">
        <v>63107.8</v>
      </c>
      <c r="E20" s="8">
        <v>60785</v>
      </c>
      <c r="F20" s="8">
        <v>7091.02</v>
      </c>
      <c r="G20" s="8">
        <v>117998</v>
      </c>
      <c r="H20" s="8">
        <v>5709.7</v>
      </c>
      <c r="I20" s="8">
        <v>2566.3</v>
      </c>
      <c r="J20" s="8">
        <v>967</v>
      </c>
      <c r="K20" s="8">
        <v>56</v>
      </c>
      <c r="L20" s="8">
        <v>96151</v>
      </c>
      <c r="M20" s="8">
        <v>61529.2</v>
      </c>
      <c r="N20" s="8">
        <v>78102.7</v>
      </c>
      <c r="O20" s="8">
        <v>107395.6</v>
      </c>
      <c r="P20" s="8">
        <v>6037.1</v>
      </c>
      <c r="Q20" s="8">
        <v>7948</v>
      </c>
      <c r="R20" s="8">
        <v>4739.1</v>
      </c>
      <c r="S20" s="8">
        <v>5702.4</v>
      </c>
      <c r="T20" s="8">
        <v>7333.2</v>
      </c>
      <c r="U20" s="8">
        <v>18236</v>
      </c>
      <c r="V20" s="8">
        <v>52681.2</v>
      </c>
      <c r="W20" s="8">
        <v>55726</v>
      </c>
      <c r="X20" s="8">
        <v>4407.6</v>
      </c>
      <c r="Y20" s="8">
        <v>4204.6</v>
      </c>
      <c r="Z20" s="15">
        <f t="shared" si="21"/>
        <v>64338.2</v>
      </c>
      <c r="AA20" s="8">
        <v>73204.6</v>
      </c>
      <c r="AB20" s="13">
        <v>6894</v>
      </c>
      <c r="AC20" s="7">
        <f t="shared" si="1"/>
        <v>80098.6</v>
      </c>
      <c r="AD20" s="16">
        <v>196197</v>
      </c>
      <c r="AE20" s="17">
        <f t="shared" ref="AE20:AI20" si="98">IF(OR(C21=""),"",(C21-C20)*80)</f>
        <v>0</v>
      </c>
      <c r="AF20" s="17">
        <f t="shared" si="98"/>
        <v>200</v>
      </c>
      <c r="AG20" s="17">
        <f t="shared" si="98"/>
        <v>3175.99999999977</v>
      </c>
      <c r="AH20" s="17">
        <f t="shared" si="98"/>
        <v>2291.99999999997</v>
      </c>
      <c r="AI20" s="17">
        <f t="shared" si="98"/>
        <v>2511.99999999953</v>
      </c>
      <c r="AJ20" s="17">
        <f t="shared" si="3"/>
        <v>8179.99999999927</v>
      </c>
      <c r="AK20" s="17">
        <f t="shared" ref="AK20:AN20" si="99">IF(OR(H21=""),"",(H21-H20)*80)</f>
        <v>0</v>
      </c>
      <c r="AL20" s="17">
        <f t="shared" si="99"/>
        <v>0</v>
      </c>
      <c r="AM20" s="17">
        <f t="shared" si="99"/>
        <v>0</v>
      </c>
      <c r="AN20" s="17">
        <f t="shared" si="99"/>
        <v>0</v>
      </c>
      <c r="AO20" s="17">
        <f t="shared" si="5"/>
        <v>0</v>
      </c>
      <c r="AP20" s="17">
        <f t="shared" ref="AP20:AS20" si="100">IF(OR(L21=""),"",(L21-L20)*100)</f>
        <v>3050</v>
      </c>
      <c r="AQ20" s="17">
        <f t="shared" si="100"/>
        <v>0</v>
      </c>
      <c r="AR20" s="17">
        <f t="shared" si="100"/>
        <v>2930.00000000029</v>
      </c>
      <c r="AS20" s="17">
        <f t="shared" si="100"/>
        <v>1989.99999999942</v>
      </c>
      <c r="AT20" s="17">
        <f t="shared" si="7"/>
        <v>7969.99999999971</v>
      </c>
      <c r="AU20" s="17">
        <f t="shared" ref="AU20:AY20" si="101">IF(OR(P21=""),"",(P21-P20)*1000)</f>
        <v>0</v>
      </c>
      <c r="AV20" s="17">
        <f t="shared" si="101"/>
        <v>7399.99999999964</v>
      </c>
      <c r="AW20" s="17">
        <f t="shared" si="101"/>
        <v>0</v>
      </c>
      <c r="AX20" s="17">
        <f t="shared" si="101"/>
        <v>5100.00000000036</v>
      </c>
      <c r="AY20" s="17">
        <f t="shared" si="101"/>
        <v>8800.00000000018</v>
      </c>
      <c r="AZ20" s="17">
        <f t="shared" si="9"/>
        <v>21300.0000000002</v>
      </c>
      <c r="BA20" s="17">
        <f t="shared" si="10"/>
        <v>10000</v>
      </c>
      <c r="BB20" s="17">
        <f t="shared" si="11"/>
        <v>1064.00000000023</v>
      </c>
      <c r="BC20" s="17">
        <f t="shared" si="26"/>
        <v>1647.99999999988</v>
      </c>
      <c r="BD20" s="17">
        <f t="shared" si="12"/>
        <v>12338.0000000007</v>
      </c>
      <c r="BE20" s="17">
        <f t="shared" si="13"/>
        <v>62500</v>
      </c>
      <c r="BF20" s="17">
        <f t="shared" si="14"/>
        <v>222.699999999997</v>
      </c>
      <c r="BG20" s="20">
        <f t="shared" si="15"/>
        <v>0.318557368359353</v>
      </c>
      <c r="BH20" s="20">
        <f t="shared" si="16"/>
        <v>0.0416927883708684</v>
      </c>
      <c r="BI20" s="20">
        <f t="shared" si="17"/>
        <v>0</v>
      </c>
      <c r="BJ20" s="20">
        <f t="shared" si="18"/>
        <v>0.0406224356131832</v>
      </c>
      <c r="BK20" s="20">
        <f t="shared" ref="BK20:BO20" si="102">IF(OR($AD20=0),"",AZ20/$AD20)</f>
        <v>0.108564351136868</v>
      </c>
      <c r="BL20" s="20">
        <f t="shared" si="102"/>
        <v>0.0509691789374965</v>
      </c>
      <c r="BM20" s="20">
        <f t="shared" si="102"/>
        <v>0.00542312063895081</v>
      </c>
      <c r="BN20" s="20">
        <f t="shared" si="102"/>
        <v>0.00839972068889883</v>
      </c>
      <c r="BO20" s="20">
        <f t="shared" si="102"/>
        <v>0.0628857729730869</v>
      </c>
    </row>
    <row r="21" spans="1:67">
      <c r="A21" s="9">
        <f t="shared" si="20"/>
        <v>44245</v>
      </c>
      <c r="B21" s="10">
        <v>17691.27</v>
      </c>
      <c r="C21" s="8">
        <v>97501.9</v>
      </c>
      <c r="D21" s="8">
        <v>63110.3</v>
      </c>
      <c r="E21" s="8">
        <v>60824.7</v>
      </c>
      <c r="F21" s="8">
        <v>7119.67</v>
      </c>
      <c r="G21" s="8">
        <v>118029.4</v>
      </c>
      <c r="H21" s="8">
        <v>5709.7</v>
      </c>
      <c r="I21" s="8">
        <v>2566.3</v>
      </c>
      <c r="J21" s="8">
        <v>967</v>
      </c>
      <c r="K21" s="8">
        <v>56</v>
      </c>
      <c r="L21" s="8">
        <v>96181.5</v>
      </c>
      <c r="M21" s="8">
        <v>61529.2</v>
      </c>
      <c r="N21" s="8">
        <v>78132</v>
      </c>
      <c r="O21" s="8">
        <v>107415.5</v>
      </c>
      <c r="P21" s="8">
        <v>6037.1</v>
      </c>
      <c r="Q21" s="8">
        <v>7955.4</v>
      </c>
      <c r="R21" s="8">
        <v>4739.1</v>
      </c>
      <c r="S21" s="8">
        <v>5707.5</v>
      </c>
      <c r="T21" s="8">
        <v>7342</v>
      </c>
      <c r="U21" s="8">
        <v>18241</v>
      </c>
      <c r="V21" s="8">
        <v>52694.5</v>
      </c>
      <c r="W21" s="8">
        <v>55743.2</v>
      </c>
      <c r="X21" s="8">
        <v>4420.7</v>
      </c>
      <c r="Y21" s="8">
        <v>4215.5</v>
      </c>
      <c r="Z21" s="15">
        <f t="shared" si="21"/>
        <v>64379.4</v>
      </c>
      <c r="AA21" s="8">
        <v>73325.3</v>
      </c>
      <c r="AB21" s="13">
        <v>6996</v>
      </c>
      <c r="AC21" s="7">
        <f t="shared" si="1"/>
        <v>80321.3</v>
      </c>
      <c r="AD21" s="16">
        <v>194837</v>
      </c>
      <c r="AE21" s="17">
        <f t="shared" ref="AE21:AI21" si="103">IF(OR(C22=""),"",(C22-C21)*80)</f>
        <v>0</v>
      </c>
      <c r="AF21" s="17">
        <f t="shared" si="103"/>
        <v>607.999999999884</v>
      </c>
      <c r="AG21" s="17">
        <f t="shared" si="103"/>
        <v>2656.00000000035</v>
      </c>
      <c r="AH21" s="17">
        <f t="shared" si="103"/>
        <v>1869.59999999999</v>
      </c>
      <c r="AI21" s="17">
        <f t="shared" si="103"/>
        <v>2248.00000000047</v>
      </c>
      <c r="AJ21" s="17">
        <f t="shared" si="3"/>
        <v>7381.60000000069</v>
      </c>
      <c r="AK21" s="17">
        <f t="shared" ref="AK21:AN21" si="104">IF(OR(H22=""),"",(H22-H21)*80)</f>
        <v>0</v>
      </c>
      <c r="AL21" s="17">
        <f t="shared" si="104"/>
        <v>0</v>
      </c>
      <c r="AM21" s="17">
        <f t="shared" si="104"/>
        <v>0</v>
      </c>
      <c r="AN21" s="17">
        <f t="shared" si="104"/>
        <v>0</v>
      </c>
      <c r="AO21" s="17">
        <f t="shared" si="5"/>
        <v>0</v>
      </c>
      <c r="AP21" s="17">
        <f t="shared" ref="AP21:AS21" si="105">IF(OR(L22=""),"",(L22-L21)*100)</f>
        <v>2780.00000000029</v>
      </c>
      <c r="AQ21" s="17">
        <f t="shared" si="105"/>
        <v>0</v>
      </c>
      <c r="AR21" s="17">
        <f t="shared" si="105"/>
        <v>3069.99999999971</v>
      </c>
      <c r="AS21" s="17">
        <f t="shared" si="105"/>
        <v>2060.00000000058</v>
      </c>
      <c r="AT21" s="17">
        <f t="shared" si="7"/>
        <v>7910.00000000058</v>
      </c>
      <c r="AU21" s="17">
        <f t="shared" ref="AU21:AY21" si="106">IF(OR(P22=""),"",(P22-P21)*1000)</f>
        <v>3500</v>
      </c>
      <c r="AV21" s="17">
        <f t="shared" si="106"/>
        <v>1600.00000000036</v>
      </c>
      <c r="AW21" s="17">
        <f t="shared" si="106"/>
        <v>0</v>
      </c>
      <c r="AX21" s="17">
        <f t="shared" si="106"/>
        <v>4399.99999999964</v>
      </c>
      <c r="AY21" s="17">
        <f t="shared" si="106"/>
        <v>8800.00000000018</v>
      </c>
      <c r="AZ21" s="17">
        <f t="shared" si="9"/>
        <v>18300.0000000002</v>
      </c>
      <c r="BA21" s="17">
        <f t="shared" si="10"/>
        <v>9400.00000000146</v>
      </c>
      <c r="BB21" s="17">
        <f t="shared" si="11"/>
        <v>1104.00000000023</v>
      </c>
      <c r="BC21" s="17">
        <f t="shared" si="26"/>
        <v>1680</v>
      </c>
      <c r="BD21" s="17">
        <f t="shared" si="12"/>
        <v>15024.3999999779</v>
      </c>
      <c r="BE21" s="17">
        <f t="shared" si="13"/>
        <v>60799.9999999811</v>
      </c>
      <c r="BF21" s="17">
        <f t="shared" si="14"/>
        <v>123.5</v>
      </c>
      <c r="BG21" s="20">
        <f t="shared" si="15"/>
        <v>0.312055718369617</v>
      </c>
      <c r="BH21" s="20">
        <f t="shared" si="16"/>
        <v>0.0378860278078634</v>
      </c>
      <c r="BI21" s="20">
        <f t="shared" si="17"/>
        <v>0</v>
      </c>
      <c r="BJ21" s="20">
        <f t="shared" si="18"/>
        <v>0.0405980383602734</v>
      </c>
      <c r="BK21" s="20">
        <f t="shared" ref="BK21:BO21" si="107">IF(OR($AD21=0),"",AZ21/$AD21)</f>
        <v>0.0939246652329906</v>
      </c>
      <c r="BL21" s="20">
        <f t="shared" si="107"/>
        <v>0.048245456458483</v>
      </c>
      <c r="BM21" s="20">
        <f t="shared" si="107"/>
        <v>0.00566627488618811</v>
      </c>
      <c r="BN21" s="20">
        <f t="shared" si="107"/>
        <v>0.00862259221811052</v>
      </c>
      <c r="BO21" s="20">
        <f t="shared" si="107"/>
        <v>0.0771126634057081</v>
      </c>
    </row>
    <row r="22" spans="1:67">
      <c r="A22" s="9">
        <f t="shared" si="20"/>
        <v>44246</v>
      </c>
      <c r="B22" s="10">
        <v>17697.35</v>
      </c>
      <c r="C22" s="8">
        <v>97501.9</v>
      </c>
      <c r="D22" s="8">
        <v>63117.9</v>
      </c>
      <c r="E22" s="8">
        <v>60857.9</v>
      </c>
      <c r="F22" s="8">
        <v>7143.04</v>
      </c>
      <c r="G22" s="8">
        <v>118057.5</v>
      </c>
      <c r="H22" s="8">
        <v>5709.7</v>
      </c>
      <c r="I22" s="8">
        <v>2566.3</v>
      </c>
      <c r="J22" s="8">
        <v>967</v>
      </c>
      <c r="K22" s="8">
        <v>56</v>
      </c>
      <c r="L22" s="8">
        <v>96209.3</v>
      </c>
      <c r="M22" s="8">
        <v>61529.2</v>
      </c>
      <c r="N22" s="8">
        <v>78162.7</v>
      </c>
      <c r="O22" s="8">
        <v>107436.1</v>
      </c>
      <c r="P22" s="8">
        <v>6040.6</v>
      </c>
      <c r="Q22" s="8">
        <v>7957</v>
      </c>
      <c r="R22" s="8">
        <v>4739.1</v>
      </c>
      <c r="S22" s="8">
        <v>5711.9</v>
      </c>
      <c r="T22" s="8">
        <v>7350.8</v>
      </c>
      <c r="U22" s="8">
        <v>18245.7</v>
      </c>
      <c r="V22" s="8">
        <v>52708.3</v>
      </c>
      <c r="W22" s="8">
        <v>55760.7</v>
      </c>
      <c r="X22" s="8">
        <v>4434.1</v>
      </c>
      <c r="Y22" s="8">
        <v>4226.6</v>
      </c>
      <c r="Z22" s="15">
        <f t="shared" si="21"/>
        <v>64421.4</v>
      </c>
      <c r="AA22" s="8">
        <v>73327.8</v>
      </c>
      <c r="AB22" s="13">
        <v>7117</v>
      </c>
      <c r="AC22" s="7">
        <f t="shared" si="1"/>
        <v>80444.8</v>
      </c>
      <c r="AD22" s="16">
        <v>193107</v>
      </c>
      <c r="AE22" s="17">
        <f t="shared" ref="AE22:AI22" si="108">IF(OR(C23=""),"",(C23-C22)*80)</f>
        <v>0</v>
      </c>
      <c r="AF22" s="17">
        <f t="shared" si="108"/>
        <v>2920</v>
      </c>
      <c r="AG22" s="17">
        <f t="shared" si="108"/>
        <v>3007.99999999988</v>
      </c>
      <c r="AH22" s="17">
        <f t="shared" si="108"/>
        <v>96.8000000000029</v>
      </c>
      <c r="AI22" s="17">
        <f t="shared" si="108"/>
        <v>2464.00000000023</v>
      </c>
      <c r="AJ22" s="17">
        <f t="shared" si="3"/>
        <v>8488.80000000012</v>
      </c>
      <c r="AK22" s="17">
        <f t="shared" ref="AK22:AN22" si="109">IF(OR(H23=""),"",(H23-H22)*80)</f>
        <v>0</v>
      </c>
      <c r="AL22" s="17">
        <f t="shared" si="109"/>
        <v>0</v>
      </c>
      <c r="AM22" s="17">
        <f t="shared" si="109"/>
        <v>0</v>
      </c>
      <c r="AN22" s="17">
        <f t="shared" si="109"/>
        <v>0</v>
      </c>
      <c r="AO22" s="17">
        <f t="shared" si="5"/>
        <v>0</v>
      </c>
      <c r="AP22" s="17">
        <f t="shared" ref="AP22:AS22" si="110">IF(OR(L23=""),"",(L23-L22)*100)</f>
        <v>2759.99999999913</v>
      </c>
      <c r="AQ22" s="17">
        <f t="shared" si="110"/>
        <v>0</v>
      </c>
      <c r="AR22" s="17">
        <f t="shared" si="110"/>
        <v>2950</v>
      </c>
      <c r="AS22" s="17">
        <f t="shared" si="110"/>
        <v>1969.99999999971</v>
      </c>
      <c r="AT22" s="17">
        <f t="shared" si="7"/>
        <v>7679.99999999884</v>
      </c>
      <c r="AU22" s="17">
        <f t="shared" ref="AU22:AY22" si="111">IF(OR(P23=""),"",(P23-P22)*1000)</f>
        <v>2399.99999999964</v>
      </c>
      <c r="AV22" s="17">
        <f t="shared" si="111"/>
        <v>2199.99999999982</v>
      </c>
      <c r="AW22" s="17">
        <f t="shared" si="111"/>
        <v>0</v>
      </c>
      <c r="AX22" s="17">
        <f t="shared" si="111"/>
        <v>4900.00000000055</v>
      </c>
      <c r="AY22" s="17">
        <f t="shared" si="111"/>
        <v>9399.99999999964</v>
      </c>
      <c r="AZ22" s="17">
        <f t="shared" si="9"/>
        <v>18899.9999999996</v>
      </c>
      <c r="BA22" s="17">
        <f t="shared" si="10"/>
        <v>9799.99999999563</v>
      </c>
      <c r="BB22" s="17">
        <f t="shared" si="11"/>
        <v>1023.99999999965</v>
      </c>
      <c r="BC22" s="17">
        <f t="shared" si="26"/>
        <v>1716.00000000035</v>
      </c>
      <c r="BD22" s="17">
        <f t="shared" si="12"/>
        <v>14291.2000000291</v>
      </c>
      <c r="BE22" s="17">
        <f t="shared" si="13"/>
        <v>61900.0000000233</v>
      </c>
      <c r="BF22" s="17">
        <f t="shared" si="14"/>
        <v>125.5</v>
      </c>
      <c r="BG22" s="20">
        <f t="shared" si="15"/>
        <v>0.320547675641086</v>
      </c>
      <c r="BH22" s="20">
        <f t="shared" si="16"/>
        <v>0.0439590486103565</v>
      </c>
      <c r="BI22" s="20">
        <f t="shared" si="17"/>
        <v>0</v>
      </c>
      <c r="BJ22" s="20">
        <f t="shared" si="18"/>
        <v>0.0397706970746728</v>
      </c>
      <c r="BK22" s="20">
        <f t="shared" ref="BK22:BO22" si="112">IF(OR($AD22=0),"",AZ22/$AD22)</f>
        <v>0.0978731998322155</v>
      </c>
      <c r="BL22" s="20">
        <f t="shared" si="112"/>
        <v>0.0507490665796457</v>
      </c>
      <c r="BM22" s="20">
        <f t="shared" si="112"/>
        <v>0.00530275960995537</v>
      </c>
      <c r="BN22" s="20">
        <f t="shared" si="112"/>
        <v>0.00888626512762535</v>
      </c>
      <c r="BO22" s="20">
        <f t="shared" si="112"/>
        <v>0.0740066388066153</v>
      </c>
    </row>
    <row r="23" spans="1:67">
      <c r="A23" s="9">
        <f t="shared" si="20"/>
        <v>44247</v>
      </c>
      <c r="B23" s="10">
        <v>17703.54</v>
      </c>
      <c r="C23" s="8">
        <v>97501.9</v>
      </c>
      <c r="D23" s="8">
        <v>63154.4</v>
      </c>
      <c r="E23" s="8">
        <v>60895.5</v>
      </c>
      <c r="F23" s="8">
        <v>7144.25</v>
      </c>
      <c r="G23" s="8">
        <v>118088.3</v>
      </c>
      <c r="H23" s="8">
        <v>5709.7</v>
      </c>
      <c r="I23" s="8">
        <v>2566.3</v>
      </c>
      <c r="J23" s="8">
        <v>967</v>
      </c>
      <c r="K23" s="8">
        <v>56</v>
      </c>
      <c r="L23" s="8">
        <v>96236.9</v>
      </c>
      <c r="M23" s="8">
        <v>61529.2</v>
      </c>
      <c r="N23" s="8">
        <v>78192.2</v>
      </c>
      <c r="O23" s="8">
        <v>107455.8</v>
      </c>
      <c r="P23" s="8">
        <v>6043</v>
      </c>
      <c r="Q23" s="8">
        <v>7959.2</v>
      </c>
      <c r="R23" s="8">
        <v>4739.1</v>
      </c>
      <c r="S23" s="8">
        <v>5716.8</v>
      </c>
      <c r="T23" s="8">
        <v>7360.2</v>
      </c>
      <c r="U23" s="8">
        <v>18250.6</v>
      </c>
      <c r="V23" s="8">
        <v>52721.1</v>
      </c>
      <c r="W23" s="8">
        <v>55778.7</v>
      </c>
      <c r="X23" s="8">
        <v>4447.8</v>
      </c>
      <c r="Y23" s="8">
        <v>4237.8</v>
      </c>
      <c r="Z23" s="15">
        <f t="shared" si="21"/>
        <v>64464.3</v>
      </c>
      <c r="AA23" s="8">
        <v>73330.3</v>
      </c>
      <c r="AB23" s="13">
        <v>7240</v>
      </c>
      <c r="AC23" s="7">
        <f t="shared" si="1"/>
        <v>80570.3</v>
      </c>
      <c r="AD23" s="16">
        <v>194626</v>
      </c>
      <c r="AE23" s="17">
        <f t="shared" ref="AE23:AI23" si="113">IF(OR(C24=""),"",(C24-C23)*80)</f>
        <v>0</v>
      </c>
      <c r="AF23" s="17">
        <f t="shared" si="113"/>
        <v>2975.99999999977</v>
      </c>
      <c r="AG23" s="17">
        <f t="shared" si="113"/>
        <v>2344.00000000023</v>
      </c>
      <c r="AH23" s="17">
        <f t="shared" si="113"/>
        <v>4.80000000003201</v>
      </c>
      <c r="AI23" s="17">
        <f t="shared" si="113"/>
        <v>2271.99999999953</v>
      </c>
      <c r="AJ23" s="17">
        <f t="shared" si="3"/>
        <v>7596.79999999957</v>
      </c>
      <c r="AK23" s="17">
        <f t="shared" ref="AK23:AN23" si="114">IF(OR(H24=""),"",(H24-H23)*80)</f>
        <v>0</v>
      </c>
      <c r="AL23" s="17">
        <f t="shared" si="114"/>
        <v>0</v>
      </c>
      <c r="AM23" s="17">
        <f t="shared" si="114"/>
        <v>0</v>
      </c>
      <c r="AN23" s="17">
        <f t="shared" si="114"/>
        <v>0</v>
      </c>
      <c r="AO23" s="17">
        <f t="shared" si="5"/>
        <v>0</v>
      </c>
      <c r="AP23" s="17">
        <f t="shared" ref="AP23:AS23" si="115">IF(OR(L24=""),"",(L24-L23)*100)</f>
        <v>2690.00000000087</v>
      </c>
      <c r="AQ23" s="17">
        <f t="shared" si="115"/>
        <v>0</v>
      </c>
      <c r="AR23" s="17">
        <f t="shared" si="115"/>
        <v>2910.00000000058</v>
      </c>
      <c r="AS23" s="17">
        <f t="shared" si="115"/>
        <v>1950</v>
      </c>
      <c r="AT23" s="17">
        <f t="shared" si="7"/>
        <v>7550.00000000146</v>
      </c>
      <c r="AU23" s="17">
        <f t="shared" ref="AU23:AY23" si="116">IF(OR(P24=""),"",(P24-P23)*1000)</f>
        <v>4000</v>
      </c>
      <c r="AV23" s="17">
        <f t="shared" si="116"/>
        <v>0</v>
      </c>
      <c r="AW23" s="17">
        <f t="shared" si="116"/>
        <v>0</v>
      </c>
      <c r="AX23" s="17">
        <f t="shared" si="116"/>
        <v>5000</v>
      </c>
      <c r="AY23" s="17">
        <f t="shared" si="116"/>
        <v>8900.00000000055</v>
      </c>
      <c r="AZ23" s="17">
        <f t="shared" si="9"/>
        <v>17900.0000000005</v>
      </c>
      <c r="BA23" s="17">
        <f t="shared" si="10"/>
        <v>9400.00000000146</v>
      </c>
      <c r="BB23" s="17">
        <f t="shared" si="11"/>
        <v>1080</v>
      </c>
      <c r="BC23" s="17">
        <f t="shared" si="26"/>
        <v>1663.99999999994</v>
      </c>
      <c r="BD23" s="17">
        <f t="shared" si="12"/>
        <v>15609.1999999781</v>
      </c>
      <c r="BE23" s="17">
        <f t="shared" si="13"/>
        <v>60799.9999999811</v>
      </c>
      <c r="BF23" s="17">
        <f t="shared" si="14"/>
        <v>116.5</v>
      </c>
      <c r="BG23" s="20">
        <f t="shared" si="15"/>
        <v>0.31239402751935</v>
      </c>
      <c r="BH23" s="20">
        <f t="shared" si="16"/>
        <v>0.0390328116490066</v>
      </c>
      <c r="BI23" s="20">
        <f t="shared" si="17"/>
        <v>0</v>
      </c>
      <c r="BJ23" s="20">
        <f t="shared" si="18"/>
        <v>0.038792350456781</v>
      </c>
      <c r="BK23" s="20">
        <f t="shared" ref="BK23:BO23" si="117">IF(OR($AD23=0),"",AZ23/$AD23)</f>
        <v>0.0919712679703665</v>
      </c>
      <c r="BL23" s="20">
        <f t="shared" si="117"/>
        <v>0.0482977608336063</v>
      </c>
      <c r="BM23" s="20">
        <f t="shared" si="117"/>
        <v>0.00554910443620071</v>
      </c>
      <c r="BN23" s="20">
        <f t="shared" si="117"/>
        <v>0.00854973127947932</v>
      </c>
      <c r="BO23" s="20">
        <f t="shared" si="117"/>
        <v>0.08020100089391</v>
      </c>
    </row>
    <row r="24" spans="1:67">
      <c r="A24" s="9">
        <f t="shared" si="20"/>
        <v>44248</v>
      </c>
      <c r="B24" s="10">
        <v>17709.62</v>
      </c>
      <c r="C24" s="8">
        <v>97501.9</v>
      </c>
      <c r="D24" s="8">
        <v>63191.6</v>
      </c>
      <c r="E24" s="8">
        <v>60924.8</v>
      </c>
      <c r="F24" s="8">
        <v>7144.31</v>
      </c>
      <c r="G24" s="8">
        <v>118116.7</v>
      </c>
      <c r="H24" s="8">
        <v>5709.7</v>
      </c>
      <c r="I24" s="8">
        <v>2566.3</v>
      </c>
      <c r="J24" s="8">
        <v>967</v>
      </c>
      <c r="K24" s="8">
        <v>56</v>
      </c>
      <c r="L24" s="8">
        <v>96263.8</v>
      </c>
      <c r="M24" s="8">
        <v>61529.2</v>
      </c>
      <c r="N24" s="8">
        <v>78221.3</v>
      </c>
      <c r="O24" s="8">
        <v>107475.3</v>
      </c>
      <c r="P24" s="8">
        <v>6047</v>
      </c>
      <c r="Q24" s="8">
        <v>7959.2</v>
      </c>
      <c r="R24" s="8">
        <v>4739.1</v>
      </c>
      <c r="S24" s="8">
        <v>5721.8</v>
      </c>
      <c r="T24" s="8">
        <v>7369.1</v>
      </c>
      <c r="U24" s="8">
        <v>18255.3</v>
      </c>
      <c r="V24" s="8">
        <v>52734.6</v>
      </c>
      <c r="W24" s="8">
        <v>55796</v>
      </c>
      <c r="X24" s="8">
        <v>4461.1</v>
      </c>
      <c r="Y24" s="8">
        <v>4248.8</v>
      </c>
      <c r="Z24" s="15">
        <f t="shared" si="21"/>
        <v>64505.9</v>
      </c>
      <c r="AA24" s="8">
        <v>73332.8</v>
      </c>
      <c r="AB24" s="13">
        <v>7354</v>
      </c>
      <c r="AC24" s="7">
        <f t="shared" si="1"/>
        <v>80686.8</v>
      </c>
      <c r="AD24" s="16">
        <v>201590</v>
      </c>
      <c r="AE24" s="17">
        <f t="shared" ref="AE24:AI24" si="118">IF(OR(C25=""),"",(C25-C24)*80)</f>
        <v>0</v>
      </c>
      <c r="AF24" s="17">
        <f t="shared" si="118"/>
        <v>3032.00000000012</v>
      </c>
      <c r="AG24" s="17">
        <f t="shared" si="118"/>
        <v>2791.99999999953</v>
      </c>
      <c r="AH24" s="17">
        <f t="shared" si="118"/>
        <v>3.99999999994179</v>
      </c>
      <c r="AI24" s="17">
        <f t="shared" si="118"/>
        <v>2615.99999999977</v>
      </c>
      <c r="AJ24" s="17">
        <f t="shared" si="3"/>
        <v>8443.99999999936</v>
      </c>
      <c r="AK24" s="17">
        <f t="shared" ref="AK24:AN24" si="119">IF(OR(H25=""),"",(H25-H24)*80)</f>
        <v>0</v>
      </c>
      <c r="AL24" s="17">
        <f t="shared" si="119"/>
        <v>0</v>
      </c>
      <c r="AM24" s="17">
        <f t="shared" si="119"/>
        <v>0</v>
      </c>
      <c r="AN24" s="17">
        <f t="shared" si="119"/>
        <v>0</v>
      </c>
      <c r="AO24" s="17">
        <f t="shared" si="5"/>
        <v>0</v>
      </c>
      <c r="AP24" s="17">
        <f t="shared" ref="AP24:AS24" si="120">IF(OR(L25=""),"",(L25-L24)*100)</f>
        <v>3239.99999999942</v>
      </c>
      <c r="AQ24" s="17">
        <f t="shared" si="120"/>
        <v>0</v>
      </c>
      <c r="AR24" s="17">
        <f t="shared" si="120"/>
        <v>3000</v>
      </c>
      <c r="AS24" s="17">
        <f t="shared" si="120"/>
        <v>2009.99999999913</v>
      </c>
      <c r="AT24" s="17">
        <f t="shared" si="7"/>
        <v>8249.99999999854</v>
      </c>
      <c r="AU24" s="17">
        <f t="shared" ref="AU24:AY24" si="121">IF(OR(P25=""),"",(P25-P24)*1000)</f>
        <v>3699.99999999982</v>
      </c>
      <c r="AV24" s="17">
        <f t="shared" si="121"/>
        <v>0</v>
      </c>
      <c r="AW24" s="17">
        <f t="shared" si="121"/>
        <v>0</v>
      </c>
      <c r="AX24" s="17">
        <f t="shared" si="121"/>
        <v>5500</v>
      </c>
      <c r="AY24" s="17">
        <f t="shared" si="121"/>
        <v>9799.99999999927</v>
      </c>
      <c r="AZ24" s="17">
        <f t="shared" si="9"/>
        <v>18999.9999999991</v>
      </c>
      <c r="BA24" s="17">
        <f t="shared" si="10"/>
        <v>10599.9999999985</v>
      </c>
      <c r="BB24" s="17">
        <f t="shared" si="11"/>
        <v>720</v>
      </c>
      <c r="BC24" s="17">
        <f t="shared" si="26"/>
        <v>1687.99999999988</v>
      </c>
      <c r="BD24" s="17">
        <f t="shared" si="12"/>
        <v>15498.0000000235</v>
      </c>
      <c r="BE24" s="17">
        <f t="shared" si="13"/>
        <v>64200.0000000189</v>
      </c>
      <c r="BF24" s="17">
        <f t="shared" si="14"/>
        <v>139.800000000003</v>
      </c>
      <c r="BG24" s="20">
        <f t="shared" si="15"/>
        <v>0.318468177985113</v>
      </c>
      <c r="BH24" s="20">
        <f t="shared" si="16"/>
        <v>0.0418869983630109</v>
      </c>
      <c r="BI24" s="20">
        <f t="shared" si="17"/>
        <v>0</v>
      </c>
      <c r="BJ24" s="20">
        <f t="shared" si="18"/>
        <v>0.0409246490401237</v>
      </c>
      <c r="BK24" s="20">
        <f t="shared" ref="BK24:BO24" si="122">IF(OR($AD24=0),"",AZ24/$AD24)</f>
        <v>0.0942507068802971</v>
      </c>
      <c r="BL24" s="20">
        <f t="shared" si="122"/>
        <v>0.052581973312161</v>
      </c>
      <c r="BM24" s="20">
        <f t="shared" si="122"/>
        <v>0.00357160573441143</v>
      </c>
      <c r="BN24" s="20">
        <f t="shared" si="122"/>
        <v>0.00837343122178622</v>
      </c>
      <c r="BO24" s="20">
        <f t="shared" si="122"/>
        <v>0.0768788134333226</v>
      </c>
    </row>
    <row r="25" spans="1:67">
      <c r="A25" s="9">
        <f t="shared" si="20"/>
        <v>44249</v>
      </c>
      <c r="B25" s="10">
        <v>17716.04</v>
      </c>
      <c r="C25" s="8">
        <v>97501.9</v>
      </c>
      <c r="D25" s="8">
        <v>63229.5</v>
      </c>
      <c r="E25" s="8">
        <v>60959.7</v>
      </c>
      <c r="F25" s="8">
        <v>7144.36</v>
      </c>
      <c r="G25" s="8">
        <v>118149.4</v>
      </c>
      <c r="H25" s="8">
        <v>5709.7</v>
      </c>
      <c r="I25" s="8">
        <v>2566.3</v>
      </c>
      <c r="J25" s="8">
        <v>967</v>
      </c>
      <c r="K25" s="8">
        <v>56</v>
      </c>
      <c r="L25" s="8">
        <v>96296.2</v>
      </c>
      <c r="M25" s="8">
        <v>61529.2</v>
      </c>
      <c r="N25" s="8">
        <v>78251.3</v>
      </c>
      <c r="O25" s="8">
        <v>107495.4</v>
      </c>
      <c r="P25" s="8">
        <v>6050.7</v>
      </c>
      <c r="Q25" s="8">
        <v>7959.2</v>
      </c>
      <c r="R25" s="8">
        <v>4739.1</v>
      </c>
      <c r="S25" s="8">
        <v>5727.3</v>
      </c>
      <c r="T25" s="8">
        <v>7378.9</v>
      </c>
      <c r="U25" s="8">
        <v>18260.6</v>
      </c>
      <c r="V25" s="8">
        <v>52743.6</v>
      </c>
      <c r="W25" s="8">
        <v>55813.6</v>
      </c>
      <c r="X25" s="8">
        <v>4474.6</v>
      </c>
      <c r="Y25" s="8">
        <v>4259.9</v>
      </c>
      <c r="Z25" s="15">
        <f t="shared" si="21"/>
        <v>64548.1</v>
      </c>
      <c r="AA25" s="8">
        <v>73354.6</v>
      </c>
      <c r="AB25" s="13">
        <v>7472</v>
      </c>
      <c r="AC25" s="7">
        <f t="shared" si="1"/>
        <v>80826.6</v>
      </c>
      <c r="AD25" s="16">
        <v>198394</v>
      </c>
      <c r="AE25" s="17">
        <f t="shared" ref="AE25:AI25" si="123">IF(OR(C26=""),"",(C26-C25)*80)</f>
        <v>0</v>
      </c>
      <c r="AF25" s="17">
        <f t="shared" si="123"/>
        <v>3040</v>
      </c>
      <c r="AG25" s="17">
        <f t="shared" si="123"/>
        <v>3032.00000000012</v>
      </c>
      <c r="AH25" s="17">
        <f t="shared" si="123"/>
        <v>4.80000000003201</v>
      </c>
      <c r="AI25" s="17">
        <f t="shared" si="123"/>
        <v>2608.00000000047</v>
      </c>
      <c r="AJ25" s="17">
        <f t="shared" si="3"/>
        <v>8684.80000000061</v>
      </c>
      <c r="AK25" s="17">
        <f t="shared" ref="AK25:AN25" si="124">IF(OR(H26=""),"",(H26-H25)*80)</f>
        <v>0</v>
      </c>
      <c r="AL25" s="17">
        <f t="shared" si="124"/>
        <v>0</v>
      </c>
      <c r="AM25" s="17">
        <f t="shared" si="124"/>
        <v>0</v>
      </c>
      <c r="AN25" s="17">
        <f t="shared" si="124"/>
        <v>0</v>
      </c>
      <c r="AO25" s="17">
        <f t="shared" si="5"/>
        <v>0</v>
      </c>
      <c r="AP25" s="17">
        <f t="shared" ref="AP25:AS25" si="125">IF(OR(L26=""),"",(L26-L25)*100)</f>
        <v>2910.00000000058</v>
      </c>
      <c r="AQ25" s="17">
        <f t="shared" si="125"/>
        <v>0</v>
      </c>
      <c r="AR25" s="17">
        <f t="shared" si="125"/>
        <v>3000</v>
      </c>
      <c r="AS25" s="17">
        <f t="shared" si="125"/>
        <v>2010.00000000058</v>
      </c>
      <c r="AT25" s="17">
        <f t="shared" si="7"/>
        <v>7920.00000000116</v>
      </c>
      <c r="AU25" s="17">
        <f t="shared" ref="AU25:AY25" si="126">IF(OR(P26=""),"",(P26-P25)*1000)</f>
        <v>4199.99999999982</v>
      </c>
      <c r="AV25" s="17">
        <f t="shared" si="126"/>
        <v>0</v>
      </c>
      <c r="AW25" s="17">
        <f t="shared" si="126"/>
        <v>0</v>
      </c>
      <c r="AX25" s="17">
        <f t="shared" si="126"/>
        <v>5599.99999999945</v>
      </c>
      <c r="AY25" s="17">
        <f t="shared" si="126"/>
        <v>9600.00000000036</v>
      </c>
      <c r="AZ25" s="17">
        <f t="shared" si="9"/>
        <v>19399.9999999996</v>
      </c>
      <c r="BA25" s="17">
        <f t="shared" si="10"/>
        <v>10200.0000000044</v>
      </c>
      <c r="BB25" s="17">
        <f t="shared" si="11"/>
        <v>607.999999999884</v>
      </c>
      <c r="BC25" s="17">
        <f t="shared" si="26"/>
        <v>1732.00000000012</v>
      </c>
      <c r="BD25" s="17">
        <f t="shared" si="12"/>
        <v>15855.1999999811</v>
      </c>
      <c r="BE25" s="17">
        <f t="shared" si="13"/>
        <v>64399.9999999869</v>
      </c>
      <c r="BF25" s="17">
        <f t="shared" si="14"/>
        <v>44.3999999999942</v>
      </c>
      <c r="BG25" s="20">
        <f t="shared" si="15"/>
        <v>0.324606590925063</v>
      </c>
      <c r="BH25" s="20">
        <f t="shared" si="16"/>
        <v>0.0437755174047633</v>
      </c>
      <c r="BI25" s="20">
        <f t="shared" si="17"/>
        <v>0</v>
      </c>
      <c r="BJ25" s="20">
        <f t="shared" si="18"/>
        <v>0.0399205621137795</v>
      </c>
      <c r="BK25" s="20">
        <f t="shared" ref="BK25:BO25" si="127">IF(OR($AD25=0),"",AZ25/$AD25)</f>
        <v>0.097785215278686</v>
      </c>
      <c r="BL25" s="20">
        <f t="shared" si="127"/>
        <v>0.0514128451465486</v>
      </c>
      <c r="BM25" s="20">
        <f t="shared" si="127"/>
        <v>0.00306460880873355</v>
      </c>
      <c r="BN25" s="20">
        <f t="shared" si="127"/>
        <v>0.00873010272488138</v>
      </c>
      <c r="BO25" s="20">
        <f t="shared" si="127"/>
        <v>0.0799177394476704</v>
      </c>
    </row>
    <row r="26" spans="1:67">
      <c r="A26" s="9">
        <f t="shared" si="20"/>
        <v>44250</v>
      </c>
      <c r="B26" s="10">
        <v>17722.48</v>
      </c>
      <c r="C26" s="8">
        <v>97501.9</v>
      </c>
      <c r="D26" s="8">
        <v>63267.5</v>
      </c>
      <c r="E26" s="8">
        <v>60997.6</v>
      </c>
      <c r="F26" s="8">
        <v>7144.42</v>
      </c>
      <c r="G26" s="8">
        <v>118182</v>
      </c>
      <c r="H26" s="8">
        <v>5709.7</v>
      </c>
      <c r="I26" s="8">
        <v>2566.3</v>
      </c>
      <c r="J26" s="8">
        <v>967</v>
      </c>
      <c r="K26" s="8">
        <v>56</v>
      </c>
      <c r="L26" s="8">
        <v>96325.3</v>
      </c>
      <c r="M26" s="8">
        <v>61529.2</v>
      </c>
      <c r="N26" s="8">
        <v>78281.3</v>
      </c>
      <c r="O26" s="8">
        <v>107515.5</v>
      </c>
      <c r="P26" s="8">
        <v>6054.9</v>
      </c>
      <c r="Q26" s="8">
        <v>7959.2</v>
      </c>
      <c r="R26" s="8">
        <v>4739.1</v>
      </c>
      <c r="S26" s="8">
        <v>5732.9</v>
      </c>
      <c r="T26" s="8">
        <v>7388.5</v>
      </c>
      <c r="U26" s="8">
        <v>18265.7</v>
      </c>
      <c r="V26" s="8">
        <v>52751.2</v>
      </c>
      <c r="W26" s="8">
        <v>55831.1</v>
      </c>
      <c r="X26" s="8">
        <v>4487.9</v>
      </c>
      <c r="Y26" s="8">
        <v>4272.4</v>
      </c>
      <c r="Z26" s="15">
        <f t="shared" si="21"/>
        <v>64591.4</v>
      </c>
      <c r="AA26" s="8">
        <v>73391</v>
      </c>
      <c r="AB26" s="13">
        <v>7480</v>
      </c>
      <c r="AC26" s="7">
        <f t="shared" si="1"/>
        <v>80871</v>
      </c>
      <c r="AD26" s="16">
        <v>197766</v>
      </c>
      <c r="AE26" s="17">
        <f t="shared" ref="AE26:AI26" si="128">IF(OR(C27=""),"",(C27-C26)*80)</f>
        <v>0</v>
      </c>
      <c r="AF26" s="17">
        <f t="shared" si="128"/>
        <v>3080</v>
      </c>
      <c r="AG26" s="17">
        <f t="shared" si="128"/>
        <v>3616.00000000035</v>
      </c>
      <c r="AH26" s="17">
        <f t="shared" si="128"/>
        <v>4.00000000001455</v>
      </c>
      <c r="AI26" s="17">
        <f t="shared" si="128"/>
        <v>2768.00000000047</v>
      </c>
      <c r="AJ26" s="17">
        <f t="shared" si="3"/>
        <v>9468.00000000083</v>
      </c>
      <c r="AK26" s="17">
        <f t="shared" ref="AK26:AN26" si="129">IF(OR(H27=""),"",(H27-H26)*80)</f>
        <v>0</v>
      </c>
      <c r="AL26" s="17">
        <f t="shared" si="129"/>
        <v>0</v>
      </c>
      <c r="AM26" s="17">
        <f t="shared" si="129"/>
        <v>0</v>
      </c>
      <c r="AN26" s="17">
        <f t="shared" si="129"/>
        <v>0</v>
      </c>
      <c r="AO26" s="17">
        <f t="shared" si="5"/>
        <v>0</v>
      </c>
      <c r="AP26" s="17">
        <f t="shared" ref="AP26:AS26" si="130">IF(OR(L27=""),"",(L27-L26)*100)</f>
        <v>2789.99999999942</v>
      </c>
      <c r="AQ26" s="17">
        <f t="shared" si="130"/>
        <v>0</v>
      </c>
      <c r="AR26" s="17">
        <f t="shared" si="130"/>
        <v>3000</v>
      </c>
      <c r="AS26" s="17">
        <f t="shared" si="130"/>
        <v>2010.00000000058</v>
      </c>
      <c r="AT26" s="17">
        <f t="shared" si="7"/>
        <v>7800</v>
      </c>
      <c r="AU26" s="17">
        <f t="shared" ref="AU26:AY26" si="131">IF(OR(P27=""),"",(P27-P26)*1000)</f>
        <v>4100.00000000036</v>
      </c>
      <c r="AV26" s="17">
        <f t="shared" si="131"/>
        <v>0</v>
      </c>
      <c r="AW26" s="17">
        <f t="shared" si="131"/>
        <v>0</v>
      </c>
      <c r="AX26" s="17">
        <f t="shared" si="131"/>
        <v>5300.00000000018</v>
      </c>
      <c r="AY26" s="17">
        <f t="shared" si="131"/>
        <v>9500</v>
      </c>
      <c r="AZ26" s="17">
        <f t="shared" si="9"/>
        <v>18900.0000000005</v>
      </c>
      <c r="BA26" s="17">
        <f t="shared" si="10"/>
        <v>9799.99999999563</v>
      </c>
      <c r="BB26" s="17">
        <f t="shared" si="11"/>
        <v>568.000000000466</v>
      </c>
      <c r="BC26" s="17">
        <f t="shared" si="26"/>
        <v>1767.99999999988</v>
      </c>
      <c r="BD26" s="17">
        <f t="shared" si="12"/>
        <v>15696.0000000172</v>
      </c>
      <c r="BE26" s="17">
        <f t="shared" si="13"/>
        <v>64000.0000000146</v>
      </c>
      <c r="BF26" s="17">
        <f t="shared" si="14"/>
        <v>53</v>
      </c>
      <c r="BG26" s="20">
        <f t="shared" si="15"/>
        <v>0.323614777059831</v>
      </c>
      <c r="BH26" s="20">
        <f t="shared" si="16"/>
        <v>0.0478747610812821</v>
      </c>
      <c r="BI26" s="20">
        <f t="shared" si="17"/>
        <v>0</v>
      </c>
      <c r="BJ26" s="20">
        <f t="shared" si="18"/>
        <v>0.0394405509541579</v>
      </c>
      <c r="BK26" s="20">
        <f t="shared" ref="BK26:BO26" si="132">IF(OR($AD26=0),"",AZ26/$AD26)</f>
        <v>0.0955674888504624</v>
      </c>
      <c r="BL26" s="20">
        <f t="shared" si="132"/>
        <v>0.0495535127372533</v>
      </c>
      <c r="BM26" s="20">
        <f t="shared" si="132"/>
        <v>0.0028720811464077</v>
      </c>
      <c r="BN26" s="20">
        <f t="shared" si="132"/>
        <v>0.00893985821627521</v>
      </c>
      <c r="BO26" s="20">
        <f t="shared" si="132"/>
        <v>0.0793665240739925</v>
      </c>
    </row>
    <row r="27" spans="1:67">
      <c r="A27" s="9">
        <f t="shared" si="20"/>
        <v>44251</v>
      </c>
      <c r="B27" s="10">
        <v>17728.88</v>
      </c>
      <c r="C27" s="8">
        <v>97501.9</v>
      </c>
      <c r="D27" s="8">
        <v>63306</v>
      </c>
      <c r="E27" s="8">
        <v>61042.8</v>
      </c>
      <c r="F27" s="8">
        <v>7144.47</v>
      </c>
      <c r="G27" s="8">
        <v>118216.6</v>
      </c>
      <c r="H27" s="8">
        <v>5709.7</v>
      </c>
      <c r="I27" s="8">
        <v>2566.3</v>
      </c>
      <c r="J27" s="8">
        <v>967</v>
      </c>
      <c r="K27" s="8">
        <v>56</v>
      </c>
      <c r="L27" s="8">
        <v>96353.2</v>
      </c>
      <c r="M27" s="8">
        <v>61529.2</v>
      </c>
      <c r="N27" s="8">
        <v>78311.3</v>
      </c>
      <c r="O27" s="8">
        <v>107535.6</v>
      </c>
      <c r="P27" s="8">
        <v>6059</v>
      </c>
      <c r="Q27" s="8">
        <v>7959.2</v>
      </c>
      <c r="R27" s="8">
        <v>4739.1</v>
      </c>
      <c r="S27" s="8">
        <v>5738.2</v>
      </c>
      <c r="T27" s="8">
        <v>7398</v>
      </c>
      <c r="U27" s="8">
        <v>18270.6</v>
      </c>
      <c r="V27" s="8">
        <v>52758.3</v>
      </c>
      <c r="W27" s="8">
        <v>55849</v>
      </c>
      <c r="X27" s="8">
        <v>4501.5</v>
      </c>
      <c r="Y27" s="8">
        <v>4285.1</v>
      </c>
      <c r="Z27" s="15">
        <f t="shared" si="21"/>
        <v>64635.6</v>
      </c>
      <c r="AA27" s="8">
        <v>73436</v>
      </c>
      <c r="AB27" s="13">
        <v>7488</v>
      </c>
      <c r="AC27" s="7">
        <f t="shared" si="1"/>
        <v>80924</v>
      </c>
      <c r="AD27" s="16">
        <v>193149</v>
      </c>
      <c r="AE27" s="17">
        <f t="shared" ref="AE27:AI27" si="133">IF(OR(C28=""),"",(C28-C27)*80)</f>
        <v>0</v>
      </c>
      <c r="AF27" s="17">
        <f t="shared" si="133"/>
        <v>327.999999999884</v>
      </c>
      <c r="AG27" s="17">
        <f t="shared" si="133"/>
        <v>2535.99999999977</v>
      </c>
      <c r="AH27" s="17">
        <f t="shared" si="133"/>
        <v>2070.40000000001</v>
      </c>
      <c r="AI27" s="17">
        <f t="shared" si="133"/>
        <v>2151.99999999953</v>
      </c>
      <c r="AJ27" s="17">
        <f t="shared" si="3"/>
        <v>7086.39999999919</v>
      </c>
      <c r="AK27" s="17">
        <f t="shared" ref="AK27:AN27" si="134">IF(OR(H28=""),"",(H28-H27)*80)</f>
        <v>0</v>
      </c>
      <c r="AL27" s="17">
        <f t="shared" si="134"/>
        <v>0</v>
      </c>
      <c r="AM27" s="17">
        <f t="shared" si="134"/>
        <v>0</v>
      </c>
      <c r="AN27" s="17">
        <f t="shared" si="134"/>
        <v>0</v>
      </c>
      <c r="AO27" s="17">
        <f t="shared" si="5"/>
        <v>0</v>
      </c>
      <c r="AP27" s="17">
        <f t="shared" ref="AP27:AS27" si="135">IF(OR(L28=""),"",(L28-L27)*100)</f>
        <v>2650</v>
      </c>
      <c r="AQ27" s="17">
        <f t="shared" si="135"/>
        <v>10.0000000005821</v>
      </c>
      <c r="AR27" s="17">
        <f t="shared" si="135"/>
        <v>2980.00000000029</v>
      </c>
      <c r="AS27" s="17">
        <f t="shared" si="135"/>
        <v>1979.99999999884</v>
      </c>
      <c r="AT27" s="17">
        <f t="shared" si="7"/>
        <v>7619.99999999971</v>
      </c>
      <c r="AU27" s="17">
        <f t="shared" ref="AU27:AY27" si="136">IF(OR(P28=""),"",(P28-P27)*1000)</f>
        <v>4000</v>
      </c>
      <c r="AV27" s="17">
        <f t="shared" si="136"/>
        <v>100.000000000364</v>
      </c>
      <c r="AW27" s="17">
        <f t="shared" si="136"/>
        <v>0</v>
      </c>
      <c r="AX27" s="17">
        <f t="shared" si="136"/>
        <v>5000</v>
      </c>
      <c r="AY27" s="17">
        <f t="shared" si="136"/>
        <v>9500</v>
      </c>
      <c r="AZ27" s="17">
        <f t="shared" si="9"/>
        <v>18600.0000000004</v>
      </c>
      <c r="BA27" s="17">
        <f t="shared" si="10"/>
        <v>10200.0000000044</v>
      </c>
      <c r="BB27" s="17">
        <f t="shared" si="11"/>
        <v>583.999999999651</v>
      </c>
      <c r="BC27" s="17">
        <f t="shared" si="26"/>
        <v>1720</v>
      </c>
      <c r="BD27" s="17">
        <f t="shared" si="12"/>
        <v>14689.5999999894</v>
      </c>
      <c r="BE27" s="17">
        <f t="shared" si="13"/>
        <v>60499.9999999927</v>
      </c>
      <c r="BF27" s="17">
        <f t="shared" si="14"/>
        <v>51.1999999999971</v>
      </c>
      <c r="BG27" s="20">
        <f t="shared" si="15"/>
        <v>0.31322968278372</v>
      </c>
      <c r="BH27" s="20">
        <f t="shared" si="16"/>
        <v>0.0366887739517119</v>
      </c>
      <c r="BI27" s="20">
        <f t="shared" si="17"/>
        <v>0</v>
      </c>
      <c r="BJ27" s="20">
        <f t="shared" si="18"/>
        <v>0.039451407980366</v>
      </c>
      <c r="BK27" s="20">
        <f t="shared" ref="BK27:BO27" si="137">IF(OR($AD27=0),"",AZ27/$AD27)</f>
        <v>0.0962987123930249</v>
      </c>
      <c r="BL27" s="20">
        <f t="shared" si="137"/>
        <v>0.0528089713123255</v>
      </c>
      <c r="BM27" s="20">
        <f t="shared" si="137"/>
        <v>0.00302357247513397</v>
      </c>
      <c r="BN27" s="20">
        <f t="shared" si="137"/>
        <v>0.0089050422212903</v>
      </c>
      <c r="BO27" s="20">
        <f t="shared" si="137"/>
        <v>0.0760532024498674</v>
      </c>
    </row>
    <row r="28" spans="1:67">
      <c r="A28" s="9">
        <f t="shared" si="20"/>
        <v>44252</v>
      </c>
      <c r="B28" s="10">
        <v>17734.93</v>
      </c>
      <c r="C28" s="8">
        <v>97501.9</v>
      </c>
      <c r="D28" s="8">
        <v>63310.1</v>
      </c>
      <c r="E28" s="8">
        <v>61074.5</v>
      </c>
      <c r="F28" s="8">
        <v>7170.35</v>
      </c>
      <c r="G28" s="8">
        <v>118243.5</v>
      </c>
      <c r="H28" s="8">
        <v>5709.7</v>
      </c>
      <c r="I28" s="8">
        <v>2566.3</v>
      </c>
      <c r="J28" s="8">
        <v>967</v>
      </c>
      <c r="K28" s="8">
        <v>56</v>
      </c>
      <c r="L28" s="8">
        <v>96379.7</v>
      </c>
      <c r="M28" s="8">
        <v>61529.3</v>
      </c>
      <c r="N28" s="8">
        <v>78341.1</v>
      </c>
      <c r="O28" s="8">
        <v>107555.4</v>
      </c>
      <c r="P28" s="8">
        <v>6063</v>
      </c>
      <c r="Q28" s="8">
        <v>7959.3</v>
      </c>
      <c r="R28" s="8">
        <v>4739.1</v>
      </c>
      <c r="S28" s="8">
        <v>5743.2</v>
      </c>
      <c r="T28" s="8">
        <v>7407.5</v>
      </c>
      <c r="U28" s="8">
        <v>18275.7</v>
      </c>
      <c r="V28" s="8">
        <v>52765.6</v>
      </c>
      <c r="W28" s="8">
        <v>55866.3</v>
      </c>
      <c r="X28" s="8">
        <v>4514.7</v>
      </c>
      <c r="Y28" s="8">
        <v>4297.6</v>
      </c>
      <c r="Z28" s="15">
        <f t="shared" si="21"/>
        <v>64678.6</v>
      </c>
      <c r="AA28" s="8">
        <v>73478.2</v>
      </c>
      <c r="AB28" s="13">
        <v>7497</v>
      </c>
      <c r="AC28" s="7">
        <f t="shared" si="1"/>
        <v>80975.2</v>
      </c>
      <c r="AD28" s="16">
        <v>197411</v>
      </c>
      <c r="AE28" s="17">
        <f t="shared" ref="AE28:AI28" si="138">IF(OR(C29=""),"",(C29-C28)*80)</f>
        <v>0</v>
      </c>
      <c r="AF28" s="17">
        <f t="shared" si="138"/>
        <v>0</v>
      </c>
      <c r="AG28" s="17">
        <f t="shared" si="138"/>
        <v>2952.00000000012</v>
      </c>
      <c r="AH28" s="17">
        <f t="shared" si="138"/>
        <v>2445.59999999998</v>
      </c>
      <c r="AI28" s="17">
        <f t="shared" si="138"/>
        <v>2551.99999999953</v>
      </c>
      <c r="AJ28" s="17">
        <f t="shared" si="3"/>
        <v>7949.59999999963</v>
      </c>
      <c r="AK28" s="17">
        <f t="shared" ref="AK28:AN28" si="139">IF(OR(H29=""),"",(H29-H28)*80)</f>
        <v>0</v>
      </c>
      <c r="AL28" s="17">
        <f t="shared" si="139"/>
        <v>0</v>
      </c>
      <c r="AM28" s="17">
        <f t="shared" si="139"/>
        <v>0</v>
      </c>
      <c r="AN28" s="17">
        <f t="shared" si="139"/>
        <v>0</v>
      </c>
      <c r="AO28" s="17">
        <f t="shared" si="5"/>
        <v>0</v>
      </c>
      <c r="AP28" s="17">
        <f t="shared" ref="AP28:AS28" si="140">IF(OR(L29=""),"",(L29-L28)*100)</f>
        <v>2990.00000000087</v>
      </c>
      <c r="AQ28" s="17">
        <f t="shared" si="140"/>
        <v>0</v>
      </c>
      <c r="AR28" s="17">
        <f t="shared" si="140"/>
        <v>3009.99999999913</v>
      </c>
      <c r="AS28" s="17">
        <f t="shared" si="140"/>
        <v>2020.00000000116</v>
      </c>
      <c r="AT28" s="17">
        <f t="shared" si="7"/>
        <v>8020.00000000116</v>
      </c>
      <c r="AU28" s="17">
        <f t="shared" ref="AU28:AY28" si="141">IF(OR(P29=""),"",(P29-P28)*1000)</f>
        <v>4100.00000000036</v>
      </c>
      <c r="AV28" s="17">
        <f t="shared" si="141"/>
        <v>0</v>
      </c>
      <c r="AW28" s="17">
        <f t="shared" si="141"/>
        <v>0</v>
      </c>
      <c r="AX28" s="17">
        <f t="shared" si="141"/>
        <v>5400.00000000055</v>
      </c>
      <c r="AY28" s="17">
        <f t="shared" si="141"/>
        <v>8000</v>
      </c>
      <c r="AZ28" s="17">
        <f t="shared" si="9"/>
        <v>17500.0000000009</v>
      </c>
      <c r="BA28" s="17">
        <f t="shared" si="10"/>
        <v>10400.0000000015</v>
      </c>
      <c r="BB28" s="17">
        <f t="shared" si="11"/>
        <v>920</v>
      </c>
      <c r="BC28" s="17">
        <f t="shared" si="26"/>
        <v>1716.00000000006</v>
      </c>
      <c r="BD28" s="17">
        <f t="shared" si="12"/>
        <v>15494.4000000041</v>
      </c>
      <c r="BE28" s="17">
        <f t="shared" si="13"/>
        <v>62000.0000000073</v>
      </c>
      <c r="BF28" s="17">
        <f t="shared" si="14"/>
        <v>50.1000000000058</v>
      </c>
      <c r="BG28" s="20">
        <f t="shared" si="15"/>
        <v>0.314065578919145</v>
      </c>
      <c r="BH28" s="20">
        <f t="shared" si="16"/>
        <v>0.040269285906052</v>
      </c>
      <c r="BI28" s="20">
        <f t="shared" si="17"/>
        <v>0</v>
      </c>
      <c r="BJ28" s="20">
        <f t="shared" si="18"/>
        <v>0.0406259023053486</v>
      </c>
      <c r="BK28" s="20">
        <f t="shared" ref="BK28:BO28" si="142">IF(OR($AD28=0),"",AZ28/$AD28)</f>
        <v>0.0886475424368496</v>
      </c>
      <c r="BL28" s="20">
        <f t="shared" si="142"/>
        <v>0.0526819680767609</v>
      </c>
      <c r="BM28" s="20">
        <f t="shared" si="142"/>
        <v>0.00466032794525128</v>
      </c>
      <c r="BN28" s="20">
        <f t="shared" si="142"/>
        <v>0.00869252473266463</v>
      </c>
      <c r="BO28" s="20">
        <f t="shared" si="142"/>
        <v>0.0784880275162178</v>
      </c>
    </row>
    <row r="29" spans="1:67">
      <c r="A29" s="9">
        <f t="shared" si="20"/>
        <v>44253</v>
      </c>
      <c r="B29" s="10">
        <v>17741.13</v>
      </c>
      <c r="C29" s="8">
        <v>97501.9</v>
      </c>
      <c r="D29" s="8">
        <v>63310.1</v>
      </c>
      <c r="E29" s="8">
        <v>61111.4</v>
      </c>
      <c r="F29" s="8">
        <v>7200.92</v>
      </c>
      <c r="G29" s="8">
        <v>118275.4</v>
      </c>
      <c r="H29" s="8">
        <v>5709.7</v>
      </c>
      <c r="I29" s="8">
        <v>2566.3</v>
      </c>
      <c r="J29" s="8">
        <v>967</v>
      </c>
      <c r="K29" s="8">
        <v>56</v>
      </c>
      <c r="L29" s="8">
        <v>96409.6</v>
      </c>
      <c r="M29" s="8">
        <v>61529.3</v>
      </c>
      <c r="N29" s="8">
        <v>78371.2</v>
      </c>
      <c r="O29" s="8">
        <v>107575.6</v>
      </c>
      <c r="P29" s="8">
        <v>6067.1</v>
      </c>
      <c r="Q29" s="8">
        <v>7959.3</v>
      </c>
      <c r="R29" s="8">
        <v>4739.1</v>
      </c>
      <c r="S29" s="8">
        <v>5748.6</v>
      </c>
      <c r="T29" s="8">
        <v>7415.5</v>
      </c>
      <c r="U29" s="8">
        <v>18280.9</v>
      </c>
      <c r="V29" s="8">
        <v>52777.1</v>
      </c>
      <c r="W29" s="8">
        <v>55883.5</v>
      </c>
      <c r="X29" s="8">
        <v>4527.8</v>
      </c>
      <c r="Y29" s="8">
        <v>4310.2</v>
      </c>
      <c r="Z29" s="15">
        <f t="shared" si="21"/>
        <v>64721.5</v>
      </c>
      <c r="AA29" s="8">
        <v>73518.3</v>
      </c>
      <c r="AB29" s="13">
        <v>7507</v>
      </c>
      <c r="AC29" s="7">
        <f t="shared" si="1"/>
        <v>81025.3</v>
      </c>
      <c r="AD29" s="16">
        <v>189565</v>
      </c>
      <c r="AE29" s="17">
        <f t="shared" ref="AE29:AI29" si="143">IF(OR(C30=""),"",(C30-C29)*80)</f>
        <v>0</v>
      </c>
      <c r="AF29" s="17">
        <f t="shared" si="143"/>
        <v>2912.00000000012</v>
      </c>
      <c r="AG29" s="17">
        <f t="shared" si="143"/>
        <v>3280</v>
      </c>
      <c r="AH29" s="17">
        <f t="shared" si="143"/>
        <v>30.4000000000087</v>
      </c>
      <c r="AI29" s="17">
        <f t="shared" si="143"/>
        <v>2592.0000000007</v>
      </c>
      <c r="AJ29" s="17">
        <f t="shared" si="3"/>
        <v>8814.40000000082</v>
      </c>
      <c r="AK29" s="17">
        <f t="shared" ref="AK29:AN29" si="144">IF(OR(H30=""),"",(H30-H29)*80)</f>
        <v>0</v>
      </c>
      <c r="AL29" s="17">
        <f t="shared" si="144"/>
        <v>0</v>
      </c>
      <c r="AM29" s="17">
        <f t="shared" si="144"/>
        <v>0</v>
      </c>
      <c r="AN29" s="17">
        <f t="shared" si="144"/>
        <v>0</v>
      </c>
      <c r="AO29" s="17">
        <f t="shared" si="5"/>
        <v>0</v>
      </c>
      <c r="AP29" s="17">
        <f t="shared" ref="AP29:AS29" si="145">IF(OR(L30=""),"",(L30-L29)*100)</f>
        <v>2500</v>
      </c>
      <c r="AQ29" s="17">
        <f t="shared" si="145"/>
        <v>0</v>
      </c>
      <c r="AR29" s="17">
        <f t="shared" si="145"/>
        <v>2969.99999999971</v>
      </c>
      <c r="AS29" s="17">
        <f t="shared" si="145"/>
        <v>1989.99999999942</v>
      </c>
      <c r="AT29" s="17">
        <f t="shared" si="7"/>
        <v>7459.99999999913</v>
      </c>
      <c r="AU29" s="17">
        <f t="shared" ref="AU29:AY29" si="146">IF(OR(P30=""),"",(P30-P29)*1000)</f>
        <v>4000</v>
      </c>
      <c r="AV29" s="17">
        <f t="shared" si="146"/>
        <v>4000</v>
      </c>
      <c r="AW29" s="17">
        <f t="shared" si="146"/>
        <v>0</v>
      </c>
      <c r="AX29" s="17">
        <f t="shared" si="146"/>
        <v>2500</v>
      </c>
      <c r="AY29" s="17">
        <f t="shared" si="146"/>
        <v>9300.00000000018</v>
      </c>
      <c r="AZ29" s="17">
        <f t="shared" si="9"/>
        <v>19800.0000000002</v>
      </c>
      <c r="BA29" s="17">
        <f t="shared" si="10"/>
        <v>9599.99999999854</v>
      </c>
      <c r="BB29" s="17">
        <f t="shared" si="11"/>
        <v>1072.00000000012</v>
      </c>
      <c r="BC29" s="17">
        <f t="shared" si="26"/>
        <v>1731.99999999983</v>
      </c>
      <c r="BD29" s="17">
        <f t="shared" si="12"/>
        <v>12821.5999999752</v>
      </c>
      <c r="BE29" s="17">
        <f t="shared" si="13"/>
        <v>61299.9999999738</v>
      </c>
      <c r="BF29" s="17">
        <f t="shared" si="14"/>
        <v>49.6999999999971</v>
      </c>
      <c r="BG29" s="20">
        <f t="shared" si="15"/>
        <v>0.323371930472259</v>
      </c>
      <c r="BH29" s="20">
        <f t="shared" si="16"/>
        <v>0.0464980349748151</v>
      </c>
      <c r="BI29" s="20">
        <f t="shared" si="17"/>
        <v>0</v>
      </c>
      <c r="BJ29" s="20">
        <f t="shared" si="18"/>
        <v>0.0393532561390506</v>
      </c>
      <c r="BK29" s="20">
        <f t="shared" ref="BK29:BO29" si="147">IF(OR($AD29=0),"",AZ29/$AD29)</f>
        <v>0.104449661066126</v>
      </c>
      <c r="BL29" s="20">
        <f t="shared" si="147"/>
        <v>0.0506422599108408</v>
      </c>
      <c r="BM29" s="20">
        <f t="shared" si="147"/>
        <v>0.00565505235671203</v>
      </c>
      <c r="BN29" s="20">
        <f t="shared" si="147"/>
        <v>0.00913670772558133</v>
      </c>
      <c r="BO29" s="20">
        <f t="shared" si="147"/>
        <v>0.0676369582991332</v>
      </c>
    </row>
    <row r="30" spans="1:67">
      <c r="A30" s="9">
        <f t="shared" si="20"/>
        <v>44254</v>
      </c>
      <c r="B30" s="10">
        <v>17747.26</v>
      </c>
      <c r="C30" s="8">
        <v>97501.9</v>
      </c>
      <c r="D30" s="8">
        <v>63346.5</v>
      </c>
      <c r="E30" s="8">
        <v>61152.4</v>
      </c>
      <c r="F30" s="8">
        <v>7201.3</v>
      </c>
      <c r="G30" s="8">
        <v>118307.8</v>
      </c>
      <c r="H30" s="8">
        <v>5709.7</v>
      </c>
      <c r="I30" s="8">
        <v>2566.3</v>
      </c>
      <c r="J30" s="8">
        <v>967</v>
      </c>
      <c r="K30" s="8">
        <v>56</v>
      </c>
      <c r="L30" s="8">
        <v>96434.6</v>
      </c>
      <c r="M30" s="8">
        <v>61529.3</v>
      </c>
      <c r="N30" s="8">
        <v>78400.9</v>
      </c>
      <c r="O30" s="8">
        <v>107595.5</v>
      </c>
      <c r="P30" s="8">
        <v>6071.1</v>
      </c>
      <c r="Q30" s="8">
        <v>7963.3</v>
      </c>
      <c r="R30" s="8">
        <v>4739.1</v>
      </c>
      <c r="S30" s="8">
        <v>5751.1</v>
      </c>
      <c r="T30" s="8">
        <v>7424.8</v>
      </c>
      <c r="U30" s="8">
        <v>18285.7</v>
      </c>
      <c r="V30" s="8">
        <v>52790.5</v>
      </c>
      <c r="W30" s="8">
        <v>55900.7</v>
      </c>
      <c r="X30" s="8">
        <v>4541.1</v>
      </c>
      <c r="Y30" s="8">
        <v>4323</v>
      </c>
      <c r="Z30" s="15">
        <f t="shared" si="21"/>
        <v>64764.8</v>
      </c>
      <c r="AA30" s="8">
        <v>73559</v>
      </c>
      <c r="AB30" s="13">
        <v>7516</v>
      </c>
      <c r="AC30" s="7">
        <f t="shared" si="1"/>
        <v>81075</v>
      </c>
      <c r="AD30" s="16">
        <v>184822</v>
      </c>
      <c r="AE30" s="17">
        <f t="shared" ref="AE30:AI30" si="148">IF(OR(C31=""),"",(C31-C30)*80)</f>
        <v>0</v>
      </c>
      <c r="AF30" s="17">
        <f t="shared" si="148"/>
        <v>3087.99999999988</v>
      </c>
      <c r="AG30" s="17">
        <f t="shared" si="148"/>
        <v>2920</v>
      </c>
      <c r="AH30" s="17">
        <f t="shared" si="148"/>
        <v>10.4000000000087</v>
      </c>
      <c r="AI30" s="17">
        <f t="shared" si="148"/>
        <v>2535.99999999977</v>
      </c>
      <c r="AJ30" s="17">
        <f t="shared" si="3"/>
        <v>8554.39999999966</v>
      </c>
      <c r="AK30" s="17">
        <f t="shared" ref="AK30:AN30" si="149">IF(OR(H31=""),"",(H31-H30)*80)</f>
        <v>0</v>
      </c>
      <c r="AL30" s="17">
        <f t="shared" si="149"/>
        <v>0</v>
      </c>
      <c r="AM30" s="17">
        <f t="shared" si="149"/>
        <v>0</v>
      </c>
      <c r="AN30" s="17">
        <f t="shared" si="149"/>
        <v>0</v>
      </c>
      <c r="AO30" s="17">
        <f t="shared" si="5"/>
        <v>0</v>
      </c>
      <c r="AP30" s="17">
        <f t="shared" ref="AP30:AS30" si="150">IF(OR(L31=""),"",(L31-L30)*100)</f>
        <v>2419.99999999971</v>
      </c>
      <c r="AQ30" s="17">
        <f t="shared" si="150"/>
        <v>0</v>
      </c>
      <c r="AR30" s="17">
        <f t="shared" si="150"/>
        <v>3060.00000000058</v>
      </c>
      <c r="AS30" s="17">
        <f t="shared" si="150"/>
        <v>2060.00000000058</v>
      </c>
      <c r="AT30" s="17">
        <f t="shared" si="7"/>
        <v>7540.00000000087</v>
      </c>
      <c r="AU30" s="17">
        <f t="shared" ref="AU30:AY30" si="151">IF(OR(P31=""),"",(P31-P30)*1000)</f>
        <v>3899.99999999964</v>
      </c>
      <c r="AV30" s="17">
        <f t="shared" si="151"/>
        <v>300.000000000182</v>
      </c>
      <c r="AW30" s="17">
        <f t="shared" si="151"/>
        <v>0</v>
      </c>
      <c r="AX30" s="17">
        <f t="shared" si="151"/>
        <v>5000</v>
      </c>
      <c r="AY30" s="17">
        <f t="shared" si="151"/>
        <v>9599.99999999945</v>
      </c>
      <c r="AZ30" s="17">
        <f t="shared" si="9"/>
        <v>18799.9999999993</v>
      </c>
      <c r="BA30" s="17">
        <f t="shared" si="10"/>
        <v>10400.0000000015</v>
      </c>
      <c r="BB30" s="17">
        <f t="shared" si="11"/>
        <v>1047.99999999988</v>
      </c>
      <c r="BC30" s="17">
        <f t="shared" si="26"/>
        <v>1744.00000000023</v>
      </c>
      <c r="BD30" s="17">
        <f t="shared" si="12"/>
        <v>14813.6000000074</v>
      </c>
      <c r="BE30" s="17">
        <f t="shared" si="13"/>
        <v>62900.0000000087</v>
      </c>
      <c r="BF30" s="17">
        <f t="shared" si="14"/>
        <v>54</v>
      </c>
      <c r="BG30" s="20">
        <f t="shared" si="15"/>
        <v>0.34032745019537</v>
      </c>
      <c r="BH30" s="20">
        <f t="shared" si="16"/>
        <v>0.0462845332265621</v>
      </c>
      <c r="BI30" s="20">
        <f t="shared" si="17"/>
        <v>0</v>
      </c>
      <c r="BJ30" s="20">
        <f t="shared" si="18"/>
        <v>0.0407960091331166</v>
      </c>
      <c r="BK30" s="20">
        <f t="shared" ref="BK30:BO30" si="152">IF(OR($AD30=0),"",AZ30/$AD30)</f>
        <v>0.101719492268233</v>
      </c>
      <c r="BL30" s="20">
        <f t="shared" si="152"/>
        <v>0.0562703574249897</v>
      </c>
      <c r="BM30" s="20">
        <f t="shared" si="152"/>
        <v>0.00567032063282447</v>
      </c>
      <c r="BN30" s="20">
        <f t="shared" si="152"/>
        <v>0.00943610609126745</v>
      </c>
      <c r="BO30" s="20">
        <f t="shared" si="152"/>
        <v>0.0801506314183774</v>
      </c>
    </row>
    <row r="31" spans="1:67">
      <c r="A31" s="9">
        <f t="shared" si="20"/>
        <v>44255</v>
      </c>
      <c r="B31" s="10">
        <v>17753.55</v>
      </c>
      <c r="C31" s="8">
        <v>97501.9</v>
      </c>
      <c r="D31" s="8">
        <v>63385.1</v>
      </c>
      <c r="E31" s="8">
        <v>61188.9</v>
      </c>
      <c r="F31" s="8">
        <v>7201.43</v>
      </c>
      <c r="G31" s="8">
        <v>118339.5</v>
      </c>
      <c r="H31" s="8">
        <v>5709.7</v>
      </c>
      <c r="I31" s="8">
        <v>2566.3</v>
      </c>
      <c r="J31" s="8">
        <v>967</v>
      </c>
      <c r="K31" s="8">
        <v>56</v>
      </c>
      <c r="L31" s="8">
        <v>96458.8</v>
      </c>
      <c r="M31" s="8">
        <v>61529.3</v>
      </c>
      <c r="N31" s="8">
        <v>78431.5</v>
      </c>
      <c r="O31" s="8">
        <v>107616.1</v>
      </c>
      <c r="P31" s="8">
        <v>6075</v>
      </c>
      <c r="Q31" s="8">
        <v>7963.6</v>
      </c>
      <c r="R31" s="8">
        <v>4739.1</v>
      </c>
      <c r="S31" s="8">
        <v>5756.1</v>
      </c>
      <c r="T31" s="8">
        <v>7434.4</v>
      </c>
      <c r="U31" s="8">
        <v>18290.9</v>
      </c>
      <c r="V31" s="8">
        <v>52803.6</v>
      </c>
      <c r="W31" s="8">
        <v>55918.2</v>
      </c>
      <c r="X31" s="8">
        <v>4554.3</v>
      </c>
      <c r="Y31" s="8">
        <v>4335.9</v>
      </c>
      <c r="Z31" s="15">
        <f t="shared" si="21"/>
        <v>64808.4</v>
      </c>
      <c r="AA31" s="8">
        <v>73601</v>
      </c>
      <c r="AB31" s="13">
        <v>7528</v>
      </c>
      <c r="AC31" s="7">
        <f t="shared" si="1"/>
        <v>81129</v>
      </c>
      <c r="AD31" s="16">
        <v>181386</v>
      </c>
      <c r="AE31" s="17">
        <f t="shared" ref="AE31:AI31" si="153">IF(OR(C32=""),"",(C32-C31)*80)</f>
        <v>0</v>
      </c>
      <c r="AF31" s="17">
        <f t="shared" si="153"/>
        <v>3032.00000000012</v>
      </c>
      <c r="AG31" s="17">
        <f t="shared" si="153"/>
        <v>2992.00000000012</v>
      </c>
      <c r="AH31" s="17">
        <f t="shared" si="153"/>
        <v>4.79999999995925</v>
      </c>
      <c r="AI31" s="17">
        <f t="shared" si="153"/>
        <v>2368.00000000047</v>
      </c>
      <c r="AJ31" s="17">
        <f t="shared" si="3"/>
        <v>8396.80000000066</v>
      </c>
      <c r="AK31" s="17">
        <f t="shared" ref="AK31:AN31" si="154">IF(OR(H32=""),"",(H32-H31)*80)</f>
        <v>0</v>
      </c>
      <c r="AL31" s="17">
        <f t="shared" si="154"/>
        <v>0</v>
      </c>
      <c r="AM31" s="17">
        <f t="shared" si="154"/>
        <v>0</v>
      </c>
      <c r="AN31" s="17">
        <f t="shared" si="154"/>
        <v>0</v>
      </c>
      <c r="AO31" s="17">
        <f t="shared" si="5"/>
        <v>0</v>
      </c>
      <c r="AP31" s="17">
        <f t="shared" ref="AP31:AS31" si="155">IF(OR(L32=""),"",(L32-L31)*100)</f>
        <v>2239.99999999942</v>
      </c>
      <c r="AQ31" s="17">
        <f t="shared" si="155"/>
        <v>0</v>
      </c>
      <c r="AR31" s="17">
        <f t="shared" si="155"/>
        <v>2950</v>
      </c>
      <c r="AS31" s="17">
        <f t="shared" si="155"/>
        <v>2069.99999999971</v>
      </c>
      <c r="AT31" s="17">
        <f t="shared" si="7"/>
        <v>7259.99999999913</v>
      </c>
      <c r="AU31" s="17">
        <f t="shared" ref="AU31:AY31" si="156">IF(OR(P32=""),"",(P32-P31)*1000)</f>
        <v>4100.00000000036</v>
      </c>
      <c r="AV31" s="17">
        <f t="shared" si="156"/>
        <v>0</v>
      </c>
      <c r="AW31" s="17">
        <f t="shared" si="156"/>
        <v>0</v>
      </c>
      <c r="AX31" s="17">
        <f t="shared" si="156"/>
        <v>5299.99999999927</v>
      </c>
      <c r="AY31" s="17">
        <f t="shared" si="156"/>
        <v>9200.00000000073</v>
      </c>
      <c r="AZ31" s="17">
        <f t="shared" si="9"/>
        <v>18600.0000000004</v>
      </c>
      <c r="BA31" s="17">
        <f t="shared" si="10"/>
        <v>10199.9999999971</v>
      </c>
      <c r="BB31" s="17">
        <f t="shared" si="11"/>
        <v>976.000000000349</v>
      </c>
      <c r="BC31" s="17">
        <f t="shared" si="26"/>
        <v>1683.99999999994</v>
      </c>
      <c r="BD31" s="17">
        <f t="shared" si="12"/>
        <v>14883.2000000097</v>
      </c>
      <c r="BE31" s="17">
        <f t="shared" si="13"/>
        <v>62000.0000000073</v>
      </c>
      <c r="BF31" s="17">
        <f t="shared" si="14"/>
        <v>50.5</v>
      </c>
      <c r="BG31" s="20">
        <f t="shared" si="15"/>
        <v>0.341812488284693</v>
      </c>
      <c r="BH31" s="20">
        <f t="shared" si="16"/>
        <v>0.0462924371230451</v>
      </c>
      <c r="BI31" s="20">
        <f t="shared" si="17"/>
        <v>0</v>
      </c>
      <c r="BJ31" s="20">
        <f t="shared" si="18"/>
        <v>0.0400251397571981</v>
      </c>
      <c r="BK31" s="20">
        <f t="shared" ref="BK31:BO31" si="157">IF(OR($AD31=0),"",AZ31/$AD31)</f>
        <v>0.102543746485398</v>
      </c>
      <c r="BL31" s="20">
        <f t="shared" si="157"/>
        <v>0.0562336674274591</v>
      </c>
      <c r="BM31" s="20">
        <f t="shared" si="157"/>
        <v>0.00538079013816033</v>
      </c>
      <c r="BN31" s="20">
        <f t="shared" si="157"/>
        <v>0.00928406823018282</v>
      </c>
      <c r="BO31" s="20">
        <f t="shared" si="157"/>
        <v>0.0820526391232496</v>
      </c>
    </row>
    <row r="32" spans="1:67">
      <c r="A32" s="9">
        <f t="shared" si="20"/>
        <v>44256</v>
      </c>
      <c r="B32" s="10">
        <v>17759.75</v>
      </c>
      <c r="C32" s="8">
        <v>97501.9</v>
      </c>
      <c r="D32" s="8">
        <v>63423</v>
      </c>
      <c r="E32" s="8">
        <v>61226.3</v>
      </c>
      <c r="F32" s="8">
        <v>7201.49</v>
      </c>
      <c r="G32" s="8">
        <v>118369.1</v>
      </c>
      <c r="H32" s="8">
        <v>5709.7</v>
      </c>
      <c r="I32" s="8">
        <v>2566.3</v>
      </c>
      <c r="J32" s="8">
        <v>967</v>
      </c>
      <c r="K32" s="8">
        <v>56</v>
      </c>
      <c r="L32" s="8">
        <v>96481.2</v>
      </c>
      <c r="M32" s="8">
        <v>61529.3</v>
      </c>
      <c r="N32" s="8">
        <v>78461</v>
      </c>
      <c r="O32" s="8">
        <v>107636.8</v>
      </c>
      <c r="P32" s="8">
        <v>6079.1</v>
      </c>
      <c r="Q32" s="8">
        <v>7963.6</v>
      </c>
      <c r="R32" s="8">
        <v>4739.1</v>
      </c>
      <c r="S32" s="8">
        <v>5761.4</v>
      </c>
      <c r="T32" s="8">
        <v>7443.6</v>
      </c>
      <c r="U32" s="8">
        <v>18296</v>
      </c>
      <c r="V32" s="8">
        <v>52815.8</v>
      </c>
      <c r="W32" s="8">
        <v>55935.1</v>
      </c>
      <c r="X32" s="8">
        <v>4567</v>
      </c>
      <c r="Y32" s="8">
        <v>4348.4</v>
      </c>
      <c r="Z32" s="15">
        <f t="shared" si="21"/>
        <v>64850.5</v>
      </c>
      <c r="AA32" s="8">
        <v>73640.5</v>
      </c>
      <c r="AB32" s="13">
        <v>7539</v>
      </c>
      <c r="AC32" s="7">
        <f t="shared" si="1"/>
        <v>81179.5</v>
      </c>
      <c r="AD32" s="16"/>
      <c r="AE32" s="17" t="str">
        <f t="shared" ref="AE32:AI32" si="158">IF(OR(C33=""),"",(C33-C32)*80)</f>
        <v/>
      </c>
      <c r="AF32" s="17" t="str">
        <f t="shared" si="158"/>
        <v/>
      </c>
      <c r="AG32" s="17" t="str">
        <f t="shared" si="158"/>
        <v/>
      </c>
      <c r="AH32" s="17" t="str">
        <f t="shared" si="158"/>
        <v/>
      </c>
      <c r="AI32" s="17" t="str">
        <f t="shared" si="158"/>
        <v/>
      </c>
      <c r="AJ32" s="17" t="str">
        <f t="shared" si="3"/>
        <v/>
      </c>
      <c r="AK32" s="17" t="str">
        <f t="shared" ref="AK32:AN32" si="159">IF(OR(H33=""),"",(H33-H32)*80)</f>
        <v/>
      </c>
      <c r="AL32" s="17" t="str">
        <f t="shared" si="159"/>
        <v/>
      </c>
      <c r="AM32" s="17" t="str">
        <f t="shared" si="159"/>
        <v/>
      </c>
      <c r="AN32" s="17" t="str">
        <f t="shared" si="159"/>
        <v/>
      </c>
      <c r="AO32" s="17" t="str">
        <f t="shared" si="5"/>
        <v/>
      </c>
      <c r="AP32" s="17" t="str">
        <f t="shared" ref="AP32:AS32" si="160">IF(OR(L33=""),"",(L33-L32)*100)</f>
        <v/>
      </c>
      <c r="AQ32" s="17" t="str">
        <f t="shared" si="160"/>
        <v/>
      </c>
      <c r="AR32" s="17" t="str">
        <f t="shared" si="160"/>
        <v/>
      </c>
      <c r="AS32" s="17" t="str">
        <f t="shared" si="160"/>
        <v/>
      </c>
      <c r="AT32" s="17" t="str">
        <f t="shared" si="7"/>
        <v/>
      </c>
      <c r="AU32" s="17" t="str">
        <f t="shared" ref="AU32:AY32" si="161">IF(OR(P33=""),"",(P33-P32)*1000)</f>
        <v/>
      </c>
      <c r="AV32" s="17" t="str">
        <f t="shared" si="161"/>
        <v/>
      </c>
      <c r="AW32" s="17" t="str">
        <f t="shared" si="161"/>
        <v/>
      </c>
      <c r="AX32" s="17" t="str">
        <f t="shared" si="161"/>
        <v/>
      </c>
      <c r="AY32" s="17" t="str">
        <f t="shared" si="161"/>
        <v/>
      </c>
      <c r="AZ32" s="17" t="str">
        <f t="shared" si="9"/>
        <v/>
      </c>
      <c r="BA32" s="17" t="str">
        <f t="shared" si="10"/>
        <v/>
      </c>
      <c r="BB32" s="17" t="str">
        <f t="shared" si="11"/>
        <v/>
      </c>
      <c r="BC32" s="17" t="str">
        <f t="shared" si="26"/>
        <v/>
      </c>
      <c r="BD32" s="17" t="str">
        <f t="shared" si="12"/>
        <v/>
      </c>
      <c r="BE32" s="17" t="str">
        <f t="shared" si="13"/>
        <v/>
      </c>
      <c r="BF32" s="17" t="str">
        <f t="shared" si="14"/>
        <v/>
      </c>
      <c r="BG32" s="20" t="str">
        <f t="shared" si="15"/>
        <v/>
      </c>
      <c r="BH32" s="20" t="str">
        <f t="shared" si="16"/>
        <v/>
      </c>
      <c r="BI32" s="20" t="str">
        <f t="shared" si="17"/>
        <v/>
      </c>
      <c r="BJ32" s="20" t="str">
        <f t="shared" si="18"/>
        <v/>
      </c>
      <c r="BK32" s="20" t="str">
        <f t="shared" ref="BK32:BO32" si="162">IF(OR($AD32=0),"",AZ32/$AD32)</f>
        <v/>
      </c>
      <c r="BL32" s="20" t="str">
        <f t="shared" si="162"/>
        <v/>
      </c>
      <c r="BM32" s="20" t="str">
        <f t="shared" si="162"/>
        <v/>
      </c>
      <c r="BN32" s="20" t="str">
        <f t="shared" si="162"/>
        <v/>
      </c>
      <c r="BO32" s="20" t="str">
        <f t="shared" si="162"/>
        <v/>
      </c>
    </row>
    <row r="33" spans="1:67">
      <c r="A33" s="9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5" t="str">
        <f t="shared" si="21"/>
        <v/>
      </c>
      <c r="AA33" s="8"/>
      <c r="AB33" s="13"/>
      <c r="AC33" s="7" t="str">
        <f t="shared" si="1"/>
        <v/>
      </c>
      <c r="AD33" s="16"/>
      <c r="AE33" s="17" t="str">
        <f t="shared" ref="AE33:AI33" si="163">IF(OR(C34=""),"",(C34-C33)*80)</f>
        <v/>
      </c>
      <c r="AF33" s="17" t="str">
        <f t="shared" si="163"/>
        <v/>
      </c>
      <c r="AG33" s="17" t="str">
        <f t="shared" si="163"/>
        <v/>
      </c>
      <c r="AH33" s="17" t="str">
        <f t="shared" si="163"/>
        <v/>
      </c>
      <c r="AI33" s="17" t="str">
        <f t="shared" si="163"/>
        <v/>
      </c>
      <c r="AJ33" s="17" t="str">
        <f t="shared" si="3"/>
        <v/>
      </c>
      <c r="AK33" s="17" t="str">
        <f t="shared" ref="AK33:AN33" si="164">IF(OR(H34=""),"",(H34-H33)*80)</f>
        <v/>
      </c>
      <c r="AL33" s="17" t="str">
        <f t="shared" si="164"/>
        <v/>
      </c>
      <c r="AM33" s="17" t="str">
        <f t="shared" si="164"/>
        <v/>
      </c>
      <c r="AN33" s="17" t="str">
        <f t="shared" si="164"/>
        <v/>
      </c>
      <c r="AO33" s="17" t="str">
        <f t="shared" si="5"/>
        <v/>
      </c>
      <c r="AP33" s="17" t="str">
        <f t="shared" ref="AP33:AS33" si="165">IF(OR(L34=""),"",(L34-L33)*100)</f>
        <v/>
      </c>
      <c r="AQ33" s="17" t="str">
        <f t="shared" si="165"/>
        <v/>
      </c>
      <c r="AR33" s="17" t="str">
        <f t="shared" si="165"/>
        <v/>
      </c>
      <c r="AS33" s="17" t="str">
        <f t="shared" si="165"/>
        <v/>
      </c>
      <c r="AT33" s="17" t="str">
        <f t="shared" si="7"/>
        <v/>
      </c>
      <c r="AU33" s="17" t="str">
        <f t="shared" ref="AU33:AY33" si="166">IF(OR(P34=""),"",(P34-P33)*1000)</f>
        <v/>
      </c>
      <c r="AV33" s="17" t="str">
        <f t="shared" si="166"/>
        <v/>
      </c>
      <c r="AW33" s="17" t="str">
        <f t="shared" si="166"/>
        <v/>
      </c>
      <c r="AX33" s="17" t="str">
        <f t="shared" si="166"/>
        <v/>
      </c>
      <c r="AY33" s="17" t="str">
        <f t="shared" si="166"/>
        <v/>
      </c>
      <c r="AZ33" s="17" t="str">
        <f t="shared" si="9"/>
        <v/>
      </c>
      <c r="BA33" s="17" t="str">
        <f t="shared" si="10"/>
        <v/>
      </c>
      <c r="BB33" s="17" t="str">
        <f t="shared" si="11"/>
        <v/>
      </c>
      <c r="BC33" s="17" t="str">
        <f t="shared" si="26"/>
        <v/>
      </c>
      <c r="BD33" s="17" t="str">
        <f t="shared" si="12"/>
        <v/>
      </c>
      <c r="BE33" s="17" t="str">
        <f t="shared" si="13"/>
        <v/>
      </c>
      <c r="BF33" s="17" t="str">
        <f t="shared" si="14"/>
        <v/>
      </c>
      <c r="BG33" s="20" t="str">
        <f t="shared" si="15"/>
        <v/>
      </c>
      <c r="BH33" s="20" t="str">
        <f t="shared" si="16"/>
        <v/>
      </c>
      <c r="BI33" s="20" t="str">
        <f t="shared" si="17"/>
        <v/>
      </c>
      <c r="BJ33" s="20" t="str">
        <f t="shared" si="18"/>
        <v/>
      </c>
      <c r="BK33" s="20" t="str">
        <f t="shared" ref="BK33:BO33" si="167">IF(OR($AD33=0),"",AZ33/$AD33)</f>
        <v/>
      </c>
      <c r="BL33" s="20" t="str">
        <f t="shared" si="167"/>
        <v/>
      </c>
      <c r="BM33" s="20" t="str">
        <f t="shared" si="167"/>
        <v/>
      </c>
      <c r="BN33" s="20" t="str">
        <f t="shared" si="167"/>
        <v/>
      </c>
      <c r="BO33" s="20" t="str">
        <f t="shared" si="167"/>
        <v/>
      </c>
    </row>
    <row r="34" spans="1:67">
      <c r="A34" s="9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5" t="str">
        <f t="shared" si="21"/>
        <v/>
      </c>
      <c r="AA34" s="8"/>
      <c r="AB34" s="13"/>
      <c r="AC34" s="7" t="str">
        <f t="shared" si="1"/>
        <v/>
      </c>
      <c r="AD34" s="16"/>
      <c r="AE34" s="17" t="str">
        <f t="shared" ref="AE34:AI34" si="168">IF(OR(C35=""),"",(C35-C34)*80)</f>
        <v/>
      </c>
      <c r="AF34" s="17" t="str">
        <f t="shared" si="168"/>
        <v/>
      </c>
      <c r="AG34" s="17" t="str">
        <f t="shared" si="168"/>
        <v/>
      </c>
      <c r="AH34" s="17" t="str">
        <f t="shared" si="168"/>
        <v/>
      </c>
      <c r="AI34" s="17" t="str">
        <f t="shared" si="168"/>
        <v/>
      </c>
      <c r="AJ34" s="17" t="str">
        <f t="shared" si="3"/>
        <v/>
      </c>
      <c r="AK34" s="17" t="str">
        <f t="shared" ref="AK34:AN34" si="169">IF(OR(H35=""),"",(H35-H34)*80)</f>
        <v/>
      </c>
      <c r="AL34" s="17" t="str">
        <f t="shared" si="169"/>
        <v/>
      </c>
      <c r="AM34" s="17" t="str">
        <f t="shared" si="169"/>
        <v/>
      </c>
      <c r="AN34" s="17" t="str">
        <f t="shared" si="169"/>
        <v/>
      </c>
      <c r="AO34" s="17" t="str">
        <f t="shared" si="5"/>
        <v/>
      </c>
      <c r="AP34" s="17" t="str">
        <f t="shared" ref="AP34:AS34" si="170">IF(OR(L35=""),"",(L35-L34)*100)</f>
        <v/>
      </c>
      <c r="AQ34" s="17" t="str">
        <f t="shared" si="170"/>
        <v/>
      </c>
      <c r="AR34" s="17" t="str">
        <f t="shared" si="170"/>
        <v/>
      </c>
      <c r="AS34" s="17" t="str">
        <f t="shared" si="170"/>
        <v/>
      </c>
      <c r="AT34" s="17" t="str">
        <f t="shared" si="7"/>
        <v/>
      </c>
      <c r="AU34" s="17" t="str">
        <f t="shared" ref="AU34:AY34" si="171">IF(OR(P35=""),"",(P35-P34)*1000)</f>
        <v/>
      </c>
      <c r="AV34" s="17" t="str">
        <f t="shared" si="171"/>
        <v/>
      </c>
      <c r="AW34" s="17" t="str">
        <f t="shared" si="171"/>
        <v/>
      </c>
      <c r="AX34" s="17" t="str">
        <f t="shared" si="171"/>
        <v/>
      </c>
      <c r="AY34" s="17" t="str">
        <f t="shared" si="171"/>
        <v/>
      </c>
      <c r="AZ34" s="17" t="str">
        <f t="shared" si="9"/>
        <v/>
      </c>
      <c r="BA34" s="17" t="str">
        <f t="shared" si="10"/>
        <v/>
      </c>
      <c r="BB34" s="17" t="str">
        <f t="shared" si="11"/>
        <v/>
      </c>
      <c r="BC34" s="17" t="str">
        <f t="shared" si="26"/>
        <v/>
      </c>
      <c r="BD34" s="17" t="str">
        <f t="shared" si="12"/>
        <v/>
      </c>
      <c r="BE34" s="17" t="str">
        <f t="shared" si="13"/>
        <v/>
      </c>
      <c r="BF34" s="17" t="str">
        <f t="shared" si="14"/>
        <v/>
      </c>
      <c r="BG34" s="20" t="str">
        <f t="shared" si="15"/>
        <v/>
      </c>
      <c r="BH34" s="20" t="str">
        <f t="shared" si="16"/>
        <v/>
      </c>
      <c r="BI34" s="20" t="str">
        <f t="shared" si="17"/>
        <v/>
      </c>
      <c r="BJ34" s="20" t="str">
        <f t="shared" si="18"/>
        <v/>
      </c>
      <c r="BK34" s="20" t="str">
        <f t="shared" ref="BK34:BO34" si="172">IF(OR($AD34=0),"",AZ34/$AD34)</f>
        <v/>
      </c>
      <c r="BL34" s="20" t="str">
        <f t="shared" si="172"/>
        <v/>
      </c>
      <c r="BM34" s="20" t="str">
        <f t="shared" si="172"/>
        <v/>
      </c>
      <c r="BN34" s="20" t="str">
        <f t="shared" si="172"/>
        <v/>
      </c>
      <c r="BO34" s="20" t="str">
        <f t="shared" si="172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5" t="str">
        <f t="shared" si="21"/>
        <v/>
      </c>
      <c r="AA35" s="11"/>
      <c r="BE35" s="21" t="s">
        <v>44</v>
      </c>
      <c r="BF35" s="21" t="s">
        <v>19</v>
      </c>
      <c r="BG35" s="22">
        <f>SUM(BE4:BE34)</f>
        <v>1573499.99999999</v>
      </c>
      <c r="BH35" s="22">
        <f>SUM(AJ4:AJ34)</f>
        <v>198844</v>
      </c>
      <c r="BI35" s="22">
        <f>SUM(AO4:AO34)</f>
        <v>0</v>
      </c>
      <c r="BJ35" s="22">
        <f>SUM(AT4:AT34)</f>
        <v>197560.000000001</v>
      </c>
      <c r="BK35" s="22">
        <f t="shared" ref="BK35:BO35" si="173">SUM(AZ4:AZ34)</f>
        <v>495300.000000001</v>
      </c>
      <c r="BL35" s="22">
        <f t="shared" si="173"/>
        <v>242599.999999999</v>
      </c>
      <c r="BM35" s="22">
        <f t="shared" si="173"/>
        <v>21760</v>
      </c>
      <c r="BN35" s="22">
        <f t="shared" si="173"/>
        <v>44395.9999999998</v>
      </c>
      <c r="BO35" s="22">
        <f t="shared" si="173"/>
        <v>373039.999999985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4909330</v>
      </c>
      <c r="BF36" s="21" t="s">
        <v>21</v>
      </c>
      <c r="BG36" s="23">
        <f>IF(OR(BG35=0),"",ROUND(BG35/$BE$36,3))</f>
        <v>0.321</v>
      </c>
      <c r="BH36" s="23">
        <f t="shared" ref="BH36:BO36" si="174">IF(OR(BH35=0),"",ROUND(BH35/$BE$36,4))</f>
        <v>0.0405</v>
      </c>
      <c r="BI36" s="23" t="str">
        <f t="shared" si="174"/>
        <v/>
      </c>
      <c r="BJ36" s="23">
        <f t="shared" si="174"/>
        <v>0.0402</v>
      </c>
      <c r="BK36" s="23">
        <f t="shared" si="174"/>
        <v>0.1009</v>
      </c>
      <c r="BL36" s="23">
        <f t="shared" si="174"/>
        <v>0.0494</v>
      </c>
      <c r="BM36" s="23">
        <f t="shared" si="174"/>
        <v>0.0044</v>
      </c>
      <c r="BN36" s="23">
        <f t="shared" si="174"/>
        <v>0.009</v>
      </c>
      <c r="BO36" s="23">
        <f t="shared" si="174"/>
        <v>0.076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workbookViewId="0">
      <pane xSplit="1" ySplit="3" topLeftCell="BH18" activePane="bottomRight" state="frozen"/>
      <selection/>
      <selection pane="topRight"/>
      <selection pane="bottomLeft"/>
      <selection pane="bottomRight" activeCell="AA34" sqref="AA34"/>
    </sheetView>
  </sheetViews>
  <sheetFormatPr defaultColWidth="9" defaultRowHeight="14.25"/>
  <cols>
    <col min="1" max="1" width="7.88333333333333" style="1" customWidth="1"/>
    <col min="2" max="2" width="10.2166666666667" style="2" customWidth="1"/>
    <col min="3" max="3" width="7.775" style="3" customWidth="1"/>
    <col min="4" max="4" width="8.66666666666667" style="3" customWidth="1"/>
    <col min="5" max="5" width="8.775" style="3" customWidth="1"/>
    <col min="6" max="6" width="7.44166666666667" style="3" customWidth="1"/>
    <col min="7" max="7" width="10.1083333333333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9.33333333333333" style="3" customWidth="1"/>
    <col min="13" max="13" width="8.775" style="3" customWidth="1"/>
    <col min="14" max="14" width="9" style="3" customWidth="1"/>
    <col min="15" max="15" width="10.1083333333333" style="3" customWidth="1"/>
    <col min="16" max="20" width="6.66666666666667" style="3" customWidth="1"/>
    <col min="21" max="21" width="10" style="3" customWidth="1"/>
    <col min="22" max="22" width="8.44166666666667" style="3" customWidth="1"/>
    <col min="23" max="23" width="9.44166666666667" style="3" customWidth="1"/>
    <col min="24" max="24" width="7.44166666666667" style="3" customWidth="1"/>
    <col min="25" max="25" width="8.21666666666667" style="3" customWidth="1"/>
    <col min="26" max="26" width="11.3333333333333" style="3" customWidth="1"/>
    <col min="27" max="27" width="8.88333333333333" style="3" customWidth="1"/>
    <col min="28" max="28" width="7.44166666666667" style="3" customWidth="1"/>
    <col min="29" max="29" width="9.775" style="3" customWidth="1"/>
    <col min="30" max="30" width="8.21666666666667" style="3" customWidth="1"/>
    <col min="31" max="31" width="4.66666666666667" style="1" customWidth="1"/>
    <col min="32" max="32" width="5.33333333333333" style="1" customWidth="1"/>
    <col min="33" max="33" width="5.21666666666667" style="1" customWidth="1"/>
    <col min="34" max="34" width="5.775" style="1" customWidth="1"/>
    <col min="35" max="35" width="6.10833333333333" style="1" customWidth="1"/>
    <col min="36" max="36" width="6.66666666666667" style="1" customWidth="1"/>
    <col min="37" max="40" width="4" style="1" customWidth="1"/>
    <col min="41" max="41" width="6.66666666666667" style="1" customWidth="1"/>
    <col min="42" max="42" width="6.775" style="1" customWidth="1"/>
    <col min="43" max="43" width="4.88333333333333" style="1" customWidth="1"/>
    <col min="44" max="45" width="5.88333333333333" style="1" customWidth="1"/>
    <col min="46" max="46" width="6.66666666666667" style="1" customWidth="1"/>
    <col min="47" max="51" width="5.44166666666667" style="1" customWidth="1"/>
    <col min="52" max="53" width="6.66666666666667" style="1" customWidth="1"/>
    <col min="54" max="54" width="5.775" style="1" customWidth="1"/>
    <col min="55" max="55" width="6.66666666666667" style="1" customWidth="1"/>
    <col min="56" max="56" width="7.88333333333333" style="1" customWidth="1"/>
    <col min="57" max="57" width="7.21666666666667" style="1" customWidth="1"/>
    <col min="58" max="58" width="6" style="1" customWidth="1"/>
    <col min="59" max="59" width="7.21666666666667" style="1" customWidth="1"/>
    <col min="60" max="60" width="7.44166666666667" style="1" customWidth="1"/>
    <col min="61" max="61" width="7.21666666666667" style="1" customWidth="1"/>
    <col min="62" max="62" width="7.44166666666667" style="1" customWidth="1"/>
    <col min="63" max="63" width="7.33333333333333" style="1" customWidth="1"/>
    <col min="64" max="64" width="7.66666666666667" style="1" customWidth="1"/>
    <col min="65" max="65" width="7.44166666666667" style="1" customWidth="1"/>
    <col min="66" max="66" width="7.33333333333333" style="1" customWidth="1"/>
    <col min="67" max="67" width="7.775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'2'!A32</f>
        <v>44256</v>
      </c>
      <c r="B4" s="10">
        <v>17759.75</v>
      </c>
      <c r="C4" s="8">
        <v>97501.9</v>
      </c>
      <c r="D4" s="8">
        <v>63423</v>
      </c>
      <c r="E4" s="8">
        <v>61226.3</v>
      </c>
      <c r="F4" s="8">
        <v>7201.49</v>
      </c>
      <c r="G4" s="8">
        <v>118369.1</v>
      </c>
      <c r="H4" s="8">
        <v>5709.7</v>
      </c>
      <c r="I4" s="8">
        <v>2566.3</v>
      </c>
      <c r="J4" s="8">
        <v>967</v>
      </c>
      <c r="K4" s="8">
        <v>56</v>
      </c>
      <c r="L4" s="8">
        <v>96481.2</v>
      </c>
      <c r="M4" s="8">
        <v>61529.3</v>
      </c>
      <c r="N4" s="8">
        <v>78461</v>
      </c>
      <c r="O4" s="8">
        <v>107636.8</v>
      </c>
      <c r="P4" s="8">
        <v>6079.1</v>
      </c>
      <c r="Q4" s="8">
        <v>7963.6</v>
      </c>
      <c r="R4" s="8">
        <v>4739.1</v>
      </c>
      <c r="S4" s="8">
        <v>5761.4</v>
      </c>
      <c r="T4" s="8">
        <v>7443.6</v>
      </c>
      <c r="U4" s="8">
        <v>18296</v>
      </c>
      <c r="V4" s="8">
        <v>52815.8</v>
      </c>
      <c r="W4" s="8">
        <v>55935.1</v>
      </c>
      <c r="X4" s="8">
        <v>4567</v>
      </c>
      <c r="Y4" s="8">
        <v>4348.4</v>
      </c>
      <c r="Z4" s="15">
        <f t="shared" ref="Z4" si="0">IF(OR(W4=""),"",(W4+X4+Y4))</f>
        <v>64850.5</v>
      </c>
      <c r="AA4" s="8">
        <v>73640.5</v>
      </c>
      <c r="AB4" s="13">
        <v>7539</v>
      </c>
      <c r="AC4" s="7">
        <f t="shared" ref="AC4" si="1">IF(OR(AA4=""),"",(AA4+AB4))</f>
        <v>81179.5</v>
      </c>
      <c r="AD4" s="16">
        <v>183639</v>
      </c>
      <c r="AE4" s="17">
        <f t="shared" ref="AE4:AI4" si="2">IF(OR(C5=""),"",(C5-C4)*80)</f>
        <v>0</v>
      </c>
      <c r="AF4" s="17">
        <f t="shared" si="2"/>
        <v>3007.99999999988</v>
      </c>
      <c r="AG4" s="17">
        <f t="shared" si="2"/>
        <v>2903.99999999965</v>
      </c>
      <c r="AH4" s="17">
        <f t="shared" si="2"/>
        <v>4.00000000001455</v>
      </c>
      <c r="AI4" s="17">
        <f t="shared" si="2"/>
        <v>2600</v>
      </c>
      <c r="AJ4" s="17">
        <f t="shared" ref="AJ4:AJ34" si="3">IF(OR(AE4="",AF4="",AG4=""),"",AE4+AF4+AG4+AH4+AI4)</f>
        <v>8515.99999999955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:AO34" si="5">IF(OR(AK4="",AL4=""),"",AK4+AL4+AM4+AN4)</f>
        <v>0</v>
      </c>
      <c r="AP4" s="17">
        <f t="shared" ref="AP4:AS4" si="6">IF(OR(L5=""),"",(L5-L4)*100)</f>
        <v>2319.99999999971</v>
      </c>
      <c r="AQ4" s="17">
        <f t="shared" si="6"/>
        <v>0</v>
      </c>
      <c r="AR4" s="17">
        <f t="shared" si="6"/>
        <v>3030.00000000029</v>
      </c>
      <c r="AS4" s="17">
        <f t="shared" si="6"/>
        <v>1989.99999999942</v>
      </c>
      <c r="AT4" s="17">
        <f t="shared" ref="AT4:AT34" si="7">IF(OR(AP4="",AQ4=""),"",AP4+AQ4+AR4+AS4)</f>
        <v>7339.99999999942</v>
      </c>
      <c r="AU4" s="17">
        <f t="shared" ref="AU4:AY4" si="8">IF(OR(P5=""),"",(P5-P4)*1000)</f>
        <v>3500</v>
      </c>
      <c r="AV4" s="17">
        <f t="shared" si="8"/>
        <v>3199.99999999982</v>
      </c>
      <c r="AW4" s="17">
        <f t="shared" si="8"/>
        <v>0</v>
      </c>
      <c r="AX4" s="17">
        <f t="shared" si="8"/>
        <v>4800.00000000018</v>
      </c>
      <c r="AY4" s="17">
        <f t="shared" si="8"/>
        <v>5799.99999999927</v>
      </c>
      <c r="AZ4" s="17">
        <f t="shared" ref="AZ4:AZ34" si="9">IF(OR(AU4="",AV4="",AW4=""),"",AU4+AV4+AW4+AX4+AY4)</f>
        <v>17299.9999999993</v>
      </c>
      <c r="BA4" s="17">
        <f t="shared" ref="BA4:BA34" si="10">IF(OR(U5=""),"",(U5-U4)*2000)</f>
        <v>9800.00000000291</v>
      </c>
      <c r="BB4" s="17">
        <f t="shared" ref="BB4:BB34" si="11">IF(OR(V5=""),"",(V5-V4)*80)</f>
        <v>1055.99999999977</v>
      </c>
      <c r="BC4" s="17">
        <f t="shared" ref="BC4:BC34" si="12">IF(OR(Z5=""),"",(Z5-Z4)*40)</f>
        <v>1680</v>
      </c>
      <c r="BD4" s="17">
        <f t="shared" ref="BD4:BD34" si="13">IF(OR(BE4="",BC4=""),"",BE4-BC4-BB4-BA4-AZ4-AT4-AO4-AJ4)</f>
        <v>13707.999999986</v>
      </c>
      <c r="BE4" s="17">
        <f t="shared" ref="BE4:BE34" si="14">IF(OR(B5=""),"",(B5-B4)*10000)</f>
        <v>59399.9999999869</v>
      </c>
      <c r="BF4" s="17">
        <f t="shared" ref="BF4:BF34" si="15">IF(OR(AC5=""),"",AC5-AC4)</f>
        <v>48.8000000000029</v>
      </c>
      <c r="BG4" s="20">
        <f t="shared" ref="BG4:BG34" si="16">IF(OR($AD4=0),"",BE4/$AD4)</f>
        <v>0.323460702791819</v>
      </c>
      <c r="BH4" s="20">
        <f t="shared" ref="BH4:BH34" si="17">IF(OR($AD4=0),"",AJ4/$AD4)</f>
        <v>0.0463735916662558</v>
      </c>
      <c r="BI4" s="20">
        <f t="shared" ref="BI4:BI34" si="18">IF(OR($AD4=0),"",AO4/$AD4)</f>
        <v>0</v>
      </c>
      <c r="BJ4" s="20">
        <f t="shared" ref="BJ4:BJ34" si="19">IF(OR($AD4=0),"",AT4/$AD4)</f>
        <v>0.0399697232069409</v>
      </c>
      <c r="BK4" s="20">
        <f t="shared" ref="BK4:BO4" si="20">IF(OR($AD4=0),"",AZ4/$AD4)</f>
        <v>0.0942065683215399</v>
      </c>
      <c r="BL4" s="20">
        <f t="shared" si="20"/>
        <v>0.0533655704943008</v>
      </c>
      <c r="BM4" s="20">
        <f t="shared" si="20"/>
        <v>0.00575041249407679</v>
      </c>
      <c r="BN4" s="20">
        <f t="shared" si="20"/>
        <v>0.009148383513306</v>
      </c>
      <c r="BO4" s="20">
        <f t="shared" si="20"/>
        <v>0.0746464530953991</v>
      </c>
    </row>
    <row r="5" spans="1:67">
      <c r="A5" s="9">
        <f t="shared" ref="A5:A35" si="21">A4+1</f>
        <v>44257</v>
      </c>
      <c r="B5" s="10">
        <v>17765.69</v>
      </c>
      <c r="C5" s="8">
        <v>97501.9</v>
      </c>
      <c r="D5" s="8">
        <v>63460.6</v>
      </c>
      <c r="E5" s="8">
        <v>61262.6</v>
      </c>
      <c r="F5" s="8">
        <v>7201.54</v>
      </c>
      <c r="G5" s="8">
        <v>118401.6</v>
      </c>
      <c r="H5" s="8">
        <v>5709.7</v>
      </c>
      <c r="I5" s="8">
        <v>2566.3</v>
      </c>
      <c r="J5" s="8">
        <v>967</v>
      </c>
      <c r="K5" s="8">
        <v>56</v>
      </c>
      <c r="L5" s="8">
        <v>96504.4</v>
      </c>
      <c r="M5" s="8">
        <v>61529.3</v>
      </c>
      <c r="N5" s="8">
        <v>78491.3</v>
      </c>
      <c r="O5" s="8">
        <v>107656.7</v>
      </c>
      <c r="P5" s="8">
        <v>6082.6</v>
      </c>
      <c r="Q5" s="8">
        <v>7966.8</v>
      </c>
      <c r="R5" s="8">
        <v>4739.1</v>
      </c>
      <c r="S5" s="8">
        <v>5766.2</v>
      </c>
      <c r="T5" s="8">
        <v>7449.4</v>
      </c>
      <c r="U5" s="8">
        <v>18300.9</v>
      </c>
      <c r="V5" s="8">
        <v>52829</v>
      </c>
      <c r="W5" s="8">
        <v>55952.3</v>
      </c>
      <c r="X5" s="8">
        <v>4579.5</v>
      </c>
      <c r="Y5" s="8">
        <v>4360.7</v>
      </c>
      <c r="Z5" s="15">
        <f t="shared" ref="Z5:Z35" si="22">IF(OR(W5=""),"",(W5+X5+Y5))</f>
        <v>64892.5</v>
      </c>
      <c r="AA5" s="8">
        <v>73680.3</v>
      </c>
      <c r="AB5" s="13">
        <v>7548</v>
      </c>
      <c r="AC5" s="7">
        <f t="shared" ref="AC5:AC35" si="23">IF(OR(AA5=""),"",(AA5+AB5))</f>
        <v>81228.3</v>
      </c>
      <c r="AD5" s="16">
        <v>176336</v>
      </c>
      <c r="AE5" s="17">
        <f t="shared" ref="AE5:AI5" si="24">IF(OR(C6=""),"",(C6-C5)*80)</f>
        <v>0</v>
      </c>
      <c r="AF5" s="17">
        <f t="shared" si="24"/>
        <v>3056.00000000035</v>
      </c>
      <c r="AG5" s="17">
        <f t="shared" si="24"/>
        <v>3032.00000000012</v>
      </c>
      <c r="AH5" s="17">
        <f t="shared" si="24"/>
        <v>4.80000000003201</v>
      </c>
      <c r="AI5" s="17">
        <f t="shared" si="24"/>
        <v>2440</v>
      </c>
      <c r="AJ5" s="17">
        <f t="shared" si="3"/>
        <v>8532.8000000005</v>
      </c>
      <c r="AK5" s="17">
        <f t="shared" ref="AK5:AN5" si="25">IF(OR(H6=""),"",(H6-H5)*80)</f>
        <v>0</v>
      </c>
      <c r="AL5" s="17">
        <f t="shared" si="25"/>
        <v>0</v>
      </c>
      <c r="AM5" s="17">
        <f t="shared" si="25"/>
        <v>0</v>
      </c>
      <c r="AN5" s="17">
        <f t="shared" si="25"/>
        <v>0</v>
      </c>
      <c r="AO5" s="17">
        <f t="shared" si="5"/>
        <v>0</v>
      </c>
      <c r="AP5" s="17">
        <f t="shared" ref="AP5:AS5" si="26">IF(OR(L6=""),"",(L6-L5)*100)</f>
        <v>2090.00000000087</v>
      </c>
      <c r="AQ5" s="17">
        <f t="shared" si="26"/>
        <v>0</v>
      </c>
      <c r="AR5" s="17">
        <f t="shared" si="26"/>
        <v>2969.99999999971</v>
      </c>
      <c r="AS5" s="17">
        <f t="shared" si="26"/>
        <v>2030.00000000029</v>
      </c>
      <c r="AT5" s="17">
        <f t="shared" si="7"/>
        <v>7090.00000000087</v>
      </c>
      <c r="AU5" s="17">
        <f t="shared" ref="AU5:AY5" si="27">IF(OR(P6=""),"",(P6-P5)*1000)</f>
        <v>3599.99999999945</v>
      </c>
      <c r="AV5" s="17">
        <f t="shared" si="27"/>
        <v>7000</v>
      </c>
      <c r="AW5" s="17">
        <f t="shared" si="27"/>
        <v>299.999999999272</v>
      </c>
      <c r="AX5" s="17">
        <f t="shared" si="27"/>
        <v>0</v>
      </c>
      <c r="AY5" s="17">
        <f t="shared" si="27"/>
        <v>9300.00000000018</v>
      </c>
      <c r="AZ5" s="17">
        <f t="shared" si="9"/>
        <v>20199.9999999989</v>
      </c>
      <c r="BA5" s="17">
        <f t="shared" si="10"/>
        <v>10000</v>
      </c>
      <c r="BB5" s="17">
        <f t="shared" si="11"/>
        <v>1007.99999999988</v>
      </c>
      <c r="BC5" s="17">
        <f t="shared" si="12"/>
        <v>1696.00000000006</v>
      </c>
      <c r="BD5" s="17">
        <f t="shared" si="13"/>
        <v>10973.2000000071</v>
      </c>
      <c r="BE5" s="17">
        <f t="shared" si="14"/>
        <v>59500.0000000073</v>
      </c>
      <c r="BF5" s="17">
        <f t="shared" si="15"/>
        <v>47.6999999999971</v>
      </c>
      <c r="BG5" s="20">
        <f t="shared" si="16"/>
        <v>0.337424008710685</v>
      </c>
      <c r="BH5" s="20">
        <f t="shared" si="17"/>
        <v>0.0483894383449806</v>
      </c>
      <c r="BI5" s="20">
        <f t="shared" si="18"/>
        <v>0</v>
      </c>
      <c r="BJ5" s="20">
        <f t="shared" si="19"/>
        <v>0.0402073314581303</v>
      </c>
      <c r="BK5" s="20">
        <f t="shared" ref="BK5:BO5" si="28">IF(OR($AD5=0),"",AZ5/$AD5)</f>
        <v>0.114554033209321</v>
      </c>
      <c r="BL5" s="20">
        <f t="shared" si="28"/>
        <v>0.0567099174303602</v>
      </c>
      <c r="BM5" s="20">
        <f t="shared" si="28"/>
        <v>0.00571635967697965</v>
      </c>
      <c r="BN5" s="20">
        <f t="shared" si="28"/>
        <v>0.00961800199618942</v>
      </c>
      <c r="BO5" s="20">
        <f t="shared" si="28"/>
        <v>0.0622289265947229</v>
      </c>
    </row>
    <row r="6" spans="1:67">
      <c r="A6" s="9">
        <f t="shared" si="21"/>
        <v>44258</v>
      </c>
      <c r="B6" s="10">
        <v>17771.64</v>
      </c>
      <c r="C6" s="8">
        <v>97501.9</v>
      </c>
      <c r="D6" s="8">
        <v>63498.8</v>
      </c>
      <c r="E6" s="8">
        <v>61300.5</v>
      </c>
      <c r="F6" s="8">
        <v>7201.6</v>
      </c>
      <c r="G6" s="8">
        <v>118432.1</v>
      </c>
      <c r="H6" s="8">
        <v>5709.7</v>
      </c>
      <c r="I6" s="8">
        <v>2566.3</v>
      </c>
      <c r="J6" s="8">
        <v>967</v>
      </c>
      <c r="K6" s="8">
        <v>56</v>
      </c>
      <c r="L6" s="8">
        <v>96525.3</v>
      </c>
      <c r="M6" s="8">
        <v>61529.3</v>
      </c>
      <c r="N6" s="8">
        <v>78521</v>
      </c>
      <c r="O6" s="8">
        <v>107677</v>
      </c>
      <c r="P6" s="8">
        <v>6086.2</v>
      </c>
      <c r="Q6" s="8">
        <v>7973.8</v>
      </c>
      <c r="R6" s="8">
        <v>4739.4</v>
      </c>
      <c r="S6" s="8">
        <v>5766.2</v>
      </c>
      <c r="T6" s="8">
        <v>7458.7</v>
      </c>
      <c r="U6" s="8">
        <v>18305.9</v>
      </c>
      <c r="V6" s="8">
        <v>52841.6</v>
      </c>
      <c r="W6" s="8">
        <v>55969.3</v>
      </c>
      <c r="X6" s="8">
        <v>4592.2</v>
      </c>
      <c r="Y6" s="8">
        <v>4373.4</v>
      </c>
      <c r="Z6" s="15">
        <f t="shared" si="22"/>
        <v>64934.9</v>
      </c>
      <c r="AA6" s="8">
        <v>73719</v>
      </c>
      <c r="AB6" s="13">
        <v>7557</v>
      </c>
      <c r="AC6" s="7">
        <f t="shared" si="23"/>
        <v>81276</v>
      </c>
      <c r="AD6" s="16">
        <v>181576</v>
      </c>
      <c r="AE6" s="17">
        <f t="shared" ref="AE6:AI6" si="29">IF(OR(C7=""),"",(C7-C6)*80)</f>
        <v>0</v>
      </c>
      <c r="AF6" s="17">
        <f t="shared" si="29"/>
        <v>3087.99999999988</v>
      </c>
      <c r="AG6" s="17">
        <f t="shared" si="29"/>
        <v>3175.99999999977</v>
      </c>
      <c r="AH6" s="17">
        <f t="shared" si="29"/>
        <v>3.99999999994179</v>
      </c>
      <c r="AI6" s="17">
        <f t="shared" si="29"/>
        <v>2615.99999999977</v>
      </c>
      <c r="AJ6" s="17">
        <f t="shared" si="3"/>
        <v>8883.99999999936</v>
      </c>
      <c r="AK6" s="17">
        <f t="shared" ref="AK6:AN6" si="30">IF(OR(H7=""),"",(H7-H6)*80)</f>
        <v>0</v>
      </c>
      <c r="AL6" s="17">
        <f t="shared" si="30"/>
        <v>0</v>
      </c>
      <c r="AM6" s="17">
        <f t="shared" si="30"/>
        <v>0</v>
      </c>
      <c r="AN6" s="17">
        <f t="shared" si="30"/>
        <v>0</v>
      </c>
      <c r="AO6" s="17">
        <f t="shared" si="5"/>
        <v>0</v>
      </c>
      <c r="AP6" s="17">
        <f t="shared" ref="AP6:AS6" si="31">IF(OR(L7=""),"",(L7-L6)*100)</f>
        <v>2359.99999999913</v>
      </c>
      <c r="AQ6" s="17">
        <f t="shared" si="31"/>
        <v>0</v>
      </c>
      <c r="AR6" s="17">
        <f t="shared" si="31"/>
        <v>3030.00000000029</v>
      </c>
      <c r="AS6" s="17">
        <f t="shared" si="31"/>
        <v>2060.00000000058</v>
      </c>
      <c r="AT6" s="17">
        <f t="shared" si="7"/>
        <v>7450</v>
      </c>
      <c r="AU6" s="17">
        <f t="shared" ref="AU6:AY6" si="32">IF(OR(P7=""),"",(P7-P6)*1000)</f>
        <v>3400.00000000055</v>
      </c>
      <c r="AV6" s="17">
        <f t="shared" si="32"/>
        <v>6199.99999999982</v>
      </c>
      <c r="AW6" s="17">
        <f t="shared" si="32"/>
        <v>0</v>
      </c>
      <c r="AX6" s="17">
        <f t="shared" si="32"/>
        <v>800.000000000182</v>
      </c>
      <c r="AY6" s="17">
        <f t="shared" si="32"/>
        <v>9500</v>
      </c>
      <c r="AZ6" s="17">
        <f t="shared" si="9"/>
        <v>19900.0000000005</v>
      </c>
      <c r="BA6" s="17">
        <f t="shared" si="10"/>
        <v>10399.9999999942</v>
      </c>
      <c r="BB6" s="17">
        <f t="shared" si="11"/>
        <v>920</v>
      </c>
      <c r="BC6" s="17">
        <f t="shared" si="12"/>
        <v>1720</v>
      </c>
      <c r="BD6" s="17">
        <f t="shared" si="13"/>
        <v>10426.0000000176</v>
      </c>
      <c r="BE6" s="17">
        <f t="shared" si="14"/>
        <v>59700.0000000116</v>
      </c>
      <c r="BF6" s="17">
        <f t="shared" si="15"/>
        <v>52</v>
      </c>
      <c r="BG6" s="20">
        <f t="shared" si="16"/>
        <v>0.328787945543528</v>
      </c>
      <c r="BH6" s="20">
        <f t="shared" si="17"/>
        <v>0.0489271709917575</v>
      </c>
      <c r="BI6" s="20">
        <f t="shared" si="18"/>
        <v>0</v>
      </c>
      <c r="BJ6" s="20">
        <f t="shared" si="19"/>
        <v>0.0410296514957924</v>
      </c>
      <c r="BK6" s="20">
        <f t="shared" ref="BK6:BO6" si="33">IF(OR($AD6=0),"",AZ6/$AD6)</f>
        <v>0.109595981847824</v>
      </c>
      <c r="BL6" s="20">
        <f t="shared" si="33"/>
        <v>0.0572762920209399</v>
      </c>
      <c r="BM6" s="20">
        <f t="shared" si="33"/>
        <v>0.00506674890954752</v>
      </c>
      <c r="BN6" s="20">
        <f t="shared" si="33"/>
        <v>0.00947261752654536</v>
      </c>
      <c r="BO6" s="20">
        <f t="shared" si="33"/>
        <v>0.0574194827511211</v>
      </c>
    </row>
    <row r="7" spans="1:67">
      <c r="A7" s="9">
        <f t="shared" si="21"/>
        <v>44259</v>
      </c>
      <c r="B7" s="10">
        <v>17777.61</v>
      </c>
      <c r="C7" s="8">
        <v>97501.9</v>
      </c>
      <c r="D7" s="8">
        <v>63537.4</v>
      </c>
      <c r="E7" s="8">
        <v>61340.2</v>
      </c>
      <c r="F7" s="8">
        <v>7201.65</v>
      </c>
      <c r="G7" s="8">
        <v>118464.8</v>
      </c>
      <c r="H7" s="8">
        <v>5709.7</v>
      </c>
      <c r="I7" s="8">
        <v>2566.3</v>
      </c>
      <c r="J7" s="8">
        <v>967</v>
      </c>
      <c r="K7" s="8">
        <v>56</v>
      </c>
      <c r="L7" s="8">
        <v>96548.9</v>
      </c>
      <c r="M7" s="8">
        <v>61529.3</v>
      </c>
      <c r="N7" s="8">
        <v>78551.3</v>
      </c>
      <c r="O7" s="8">
        <v>107697.6</v>
      </c>
      <c r="P7" s="8">
        <v>6089.6</v>
      </c>
      <c r="Q7" s="8">
        <v>7980</v>
      </c>
      <c r="R7" s="8">
        <v>4739.4</v>
      </c>
      <c r="S7" s="8">
        <v>5767</v>
      </c>
      <c r="T7" s="8">
        <v>7468.2</v>
      </c>
      <c r="U7" s="8">
        <v>18311.1</v>
      </c>
      <c r="V7" s="8">
        <v>52853.1</v>
      </c>
      <c r="W7" s="8">
        <v>55986.7</v>
      </c>
      <c r="X7" s="8">
        <v>4604.9</v>
      </c>
      <c r="Y7" s="8">
        <v>4386.3</v>
      </c>
      <c r="Z7" s="15">
        <f t="shared" si="22"/>
        <v>64977.9</v>
      </c>
      <c r="AA7" s="8">
        <v>73759</v>
      </c>
      <c r="AB7" s="13">
        <v>7569</v>
      </c>
      <c r="AC7" s="7">
        <f t="shared" si="23"/>
        <v>81328</v>
      </c>
      <c r="AD7" s="16">
        <v>182355</v>
      </c>
      <c r="AE7" s="17">
        <f t="shared" ref="AE7:AI7" si="34">IF(OR(C8=""),"",(C8-C7)*80)</f>
        <v>0</v>
      </c>
      <c r="AF7" s="17">
        <f t="shared" si="34"/>
        <v>2903.99999999965</v>
      </c>
      <c r="AG7" s="17">
        <f t="shared" si="34"/>
        <v>2280</v>
      </c>
      <c r="AH7" s="17">
        <f t="shared" si="34"/>
        <v>4.80000000003201</v>
      </c>
      <c r="AI7" s="17">
        <f t="shared" si="34"/>
        <v>2311.99999999953</v>
      </c>
      <c r="AJ7" s="17">
        <f t="shared" si="3"/>
        <v>7500.79999999922</v>
      </c>
      <c r="AK7" s="17">
        <f t="shared" ref="AK7:AN7" si="35">IF(OR(H8=""),"",(H8-H7)*80)</f>
        <v>0</v>
      </c>
      <c r="AL7" s="17">
        <f t="shared" si="35"/>
        <v>0</v>
      </c>
      <c r="AM7" s="17">
        <f t="shared" si="35"/>
        <v>0</v>
      </c>
      <c r="AN7" s="17">
        <f t="shared" si="35"/>
        <v>0</v>
      </c>
      <c r="AO7" s="17">
        <f t="shared" si="5"/>
        <v>0</v>
      </c>
      <c r="AP7" s="17">
        <f t="shared" ref="AP7:AS7" si="36">IF(OR(L8=""),"",(L8-L7)*100)</f>
        <v>2110.00000000058</v>
      </c>
      <c r="AQ7" s="17">
        <f t="shared" si="36"/>
        <v>0</v>
      </c>
      <c r="AR7" s="17">
        <f t="shared" si="36"/>
        <v>2909.99999999913</v>
      </c>
      <c r="AS7" s="17">
        <f t="shared" si="36"/>
        <v>1979.99999999884</v>
      </c>
      <c r="AT7" s="17">
        <f t="shared" si="7"/>
        <v>6999.99999999854</v>
      </c>
      <c r="AU7" s="17">
        <f t="shared" ref="AU7:AY7" si="37">IF(OR(P8=""),"",(P8-P7)*1000)</f>
        <v>99.9999999994543</v>
      </c>
      <c r="AV7" s="17">
        <f t="shared" si="37"/>
        <v>6100.00000000036</v>
      </c>
      <c r="AW7" s="17">
        <f t="shared" si="37"/>
        <v>0</v>
      </c>
      <c r="AX7" s="17">
        <f t="shared" si="37"/>
        <v>4100.00000000036</v>
      </c>
      <c r="AY7" s="17">
        <f t="shared" si="37"/>
        <v>8300.00000000018</v>
      </c>
      <c r="AZ7" s="17">
        <f t="shared" si="9"/>
        <v>18600.0000000004</v>
      </c>
      <c r="BA7" s="17">
        <f t="shared" si="10"/>
        <v>9000</v>
      </c>
      <c r="BB7" s="17">
        <f t="shared" si="11"/>
        <v>1040</v>
      </c>
      <c r="BC7" s="17">
        <f t="shared" si="12"/>
        <v>1615.99999999977</v>
      </c>
      <c r="BD7" s="17">
        <f t="shared" si="13"/>
        <v>11043.1999999832</v>
      </c>
      <c r="BE7" s="17">
        <f t="shared" si="14"/>
        <v>55799.9999999811</v>
      </c>
      <c r="BF7" s="17">
        <f t="shared" si="15"/>
        <v>49</v>
      </c>
      <c r="BG7" s="20">
        <f t="shared" si="16"/>
        <v>0.305996545200192</v>
      </c>
      <c r="BH7" s="20">
        <f t="shared" si="17"/>
        <v>0.0411329549505043</v>
      </c>
      <c r="BI7" s="20">
        <f t="shared" si="18"/>
        <v>0</v>
      </c>
      <c r="BJ7" s="20">
        <f t="shared" si="19"/>
        <v>0.0383866633763733</v>
      </c>
      <c r="BK7" s="20">
        <f t="shared" ref="BK7:BO7" si="38">IF(OR($AD7=0),"",AZ7/$AD7)</f>
        <v>0.101998848400101</v>
      </c>
      <c r="BL7" s="20">
        <f t="shared" si="38"/>
        <v>0.0493542814839187</v>
      </c>
      <c r="BM7" s="20">
        <f t="shared" si="38"/>
        <v>0.0057031614159195</v>
      </c>
      <c r="BN7" s="20">
        <f t="shared" si="38"/>
        <v>0.00886183543088902</v>
      </c>
      <c r="BO7" s="20">
        <f t="shared" si="38"/>
        <v>0.0605588001424869</v>
      </c>
    </row>
    <row r="8" spans="1:67">
      <c r="A8" s="9">
        <f t="shared" si="21"/>
        <v>44260</v>
      </c>
      <c r="B8" s="10">
        <v>17783.19</v>
      </c>
      <c r="C8" s="8">
        <v>97501.9</v>
      </c>
      <c r="D8" s="8">
        <v>63573.7</v>
      </c>
      <c r="E8" s="8">
        <v>61368.7</v>
      </c>
      <c r="F8" s="8">
        <v>7201.71</v>
      </c>
      <c r="G8" s="8">
        <v>118493.7</v>
      </c>
      <c r="H8" s="8">
        <v>5709.7</v>
      </c>
      <c r="I8" s="8">
        <v>2566.3</v>
      </c>
      <c r="J8" s="8">
        <v>967</v>
      </c>
      <c r="K8" s="8">
        <v>56</v>
      </c>
      <c r="L8" s="8">
        <v>96570</v>
      </c>
      <c r="M8" s="8">
        <v>61529.3</v>
      </c>
      <c r="N8" s="8">
        <v>78580.4</v>
      </c>
      <c r="O8" s="8">
        <v>107717.4</v>
      </c>
      <c r="P8" s="8">
        <v>6089.7</v>
      </c>
      <c r="Q8" s="8">
        <v>7986.1</v>
      </c>
      <c r="R8" s="8">
        <v>4739.4</v>
      </c>
      <c r="S8" s="8">
        <v>5771.1</v>
      </c>
      <c r="T8" s="8">
        <v>7476.5</v>
      </c>
      <c r="U8" s="8">
        <v>18315.6</v>
      </c>
      <c r="V8" s="8">
        <v>52866.1</v>
      </c>
      <c r="W8" s="8">
        <v>56003.2</v>
      </c>
      <c r="X8" s="8">
        <v>4616.6</v>
      </c>
      <c r="Y8" s="8">
        <v>4398.5</v>
      </c>
      <c r="Z8" s="15">
        <f t="shared" si="22"/>
        <v>65018.3</v>
      </c>
      <c r="AA8" s="3">
        <v>73799</v>
      </c>
      <c r="AB8" s="8">
        <v>7578</v>
      </c>
      <c r="AC8" s="7">
        <f t="shared" si="23"/>
        <v>81377</v>
      </c>
      <c r="AD8" s="16">
        <v>188792</v>
      </c>
      <c r="AE8" s="17">
        <f t="shared" ref="AE8:AI8" si="39">IF(OR(C9=""),"",(C9-C8)*80)</f>
        <v>0</v>
      </c>
      <c r="AF8" s="17">
        <f t="shared" si="39"/>
        <v>2872.00000000012</v>
      </c>
      <c r="AG8" s="17">
        <f t="shared" si="39"/>
        <v>3392.00000000012</v>
      </c>
      <c r="AH8" s="17">
        <f t="shared" si="39"/>
        <v>152.799999999988</v>
      </c>
      <c r="AI8" s="17">
        <f t="shared" si="39"/>
        <v>2568.00000000047</v>
      </c>
      <c r="AJ8" s="17">
        <f t="shared" si="3"/>
        <v>8984.80000000069</v>
      </c>
      <c r="AK8" s="17">
        <f t="shared" ref="AK8:AN8" si="40">IF(OR(H9=""),"",(H9-H8)*80)</f>
        <v>0</v>
      </c>
      <c r="AL8" s="17">
        <f t="shared" si="40"/>
        <v>0</v>
      </c>
      <c r="AM8" s="17">
        <f t="shared" si="40"/>
        <v>0</v>
      </c>
      <c r="AN8" s="17">
        <f t="shared" si="40"/>
        <v>0</v>
      </c>
      <c r="AO8" s="17">
        <f t="shared" si="5"/>
        <v>0</v>
      </c>
      <c r="AP8" s="17">
        <f t="shared" ref="AP8:AS8" si="41">IF(OR(L9=""),"",(L9-L8)*100)</f>
        <v>2830.00000000029</v>
      </c>
      <c r="AQ8" s="17">
        <f t="shared" si="41"/>
        <v>0</v>
      </c>
      <c r="AR8" s="17">
        <f t="shared" si="41"/>
        <v>2980.00000000029</v>
      </c>
      <c r="AS8" s="17">
        <f t="shared" si="41"/>
        <v>2040.00000000087</v>
      </c>
      <c r="AT8" s="17">
        <f t="shared" si="7"/>
        <v>7850.00000000146</v>
      </c>
      <c r="AU8" s="17">
        <f t="shared" ref="AU8:AY8" si="42">IF(OR(P9=""),"",(P9-P8)*1000)</f>
        <v>0</v>
      </c>
      <c r="AV8" s="17">
        <f t="shared" si="42"/>
        <v>7000</v>
      </c>
      <c r="AW8" s="17">
        <f t="shared" si="42"/>
        <v>0</v>
      </c>
      <c r="AX8" s="17">
        <f t="shared" si="42"/>
        <v>5099.99999999945</v>
      </c>
      <c r="AY8" s="17">
        <f t="shared" si="42"/>
        <v>8899.99999999964</v>
      </c>
      <c r="AZ8" s="17">
        <f t="shared" si="9"/>
        <v>20999.9999999991</v>
      </c>
      <c r="BA8" s="17">
        <f t="shared" si="10"/>
        <v>9400.00000000146</v>
      </c>
      <c r="BB8" s="17">
        <f t="shared" si="11"/>
        <v>1064.00000000023</v>
      </c>
      <c r="BC8" s="17">
        <f t="shared" si="12"/>
        <v>1688.00000000017</v>
      </c>
      <c r="BD8" s="17">
        <f t="shared" si="13"/>
        <v>10513.200000026</v>
      </c>
      <c r="BE8" s="17">
        <f t="shared" si="14"/>
        <v>60500.0000000291</v>
      </c>
      <c r="BF8" s="17">
        <f t="shared" si="15"/>
        <v>50.1999999999971</v>
      </c>
      <c r="BG8" s="20">
        <f t="shared" si="16"/>
        <v>0.320458494004137</v>
      </c>
      <c r="BH8" s="20">
        <f t="shared" si="17"/>
        <v>0.0475909996186315</v>
      </c>
      <c r="BI8" s="20">
        <f t="shared" si="18"/>
        <v>0</v>
      </c>
      <c r="BJ8" s="20">
        <f t="shared" si="19"/>
        <v>0.041580151701351</v>
      </c>
      <c r="BK8" s="20">
        <f t="shared" ref="BK8:BO8" si="43">IF(OR($AD8=0),"",AZ8/$AD8)</f>
        <v>0.111233526844353</v>
      </c>
      <c r="BL8" s="20">
        <f t="shared" si="43"/>
        <v>0.0497902453493869</v>
      </c>
      <c r="BM8" s="20">
        <f t="shared" si="43"/>
        <v>0.00563583202678203</v>
      </c>
      <c r="BN8" s="20">
        <f t="shared" si="43"/>
        <v>0.00894105682444264</v>
      </c>
      <c r="BO8" s="20">
        <f t="shared" si="43"/>
        <v>0.0556866816391903</v>
      </c>
    </row>
    <row r="9" spans="1:67">
      <c r="A9" s="9">
        <f t="shared" si="21"/>
        <v>44261</v>
      </c>
      <c r="B9" s="10">
        <v>17789.24</v>
      </c>
      <c r="C9" s="8">
        <v>97501.9</v>
      </c>
      <c r="D9" s="8">
        <v>63609.6</v>
      </c>
      <c r="E9" s="8">
        <v>61411.1</v>
      </c>
      <c r="F9" s="8">
        <v>7203.62</v>
      </c>
      <c r="G9" s="8">
        <v>118525.8</v>
      </c>
      <c r="H9" s="8">
        <v>5709.7</v>
      </c>
      <c r="I9" s="8">
        <v>2566.3</v>
      </c>
      <c r="J9" s="8">
        <v>967</v>
      </c>
      <c r="K9" s="8">
        <v>56</v>
      </c>
      <c r="L9" s="8">
        <v>96598.3</v>
      </c>
      <c r="M9" s="8">
        <v>61529.3</v>
      </c>
      <c r="N9" s="8">
        <v>78610.2</v>
      </c>
      <c r="O9" s="8">
        <v>107737.8</v>
      </c>
      <c r="P9" s="8">
        <v>6089.7</v>
      </c>
      <c r="Q9" s="8">
        <v>7993.1</v>
      </c>
      <c r="R9" s="8">
        <v>4739.4</v>
      </c>
      <c r="S9" s="8">
        <v>5776.2</v>
      </c>
      <c r="T9" s="8">
        <v>7485.4</v>
      </c>
      <c r="U9" s="8">
        <v>18320.3</v>
      </c>
      <c r="V9" s="8">
        <v>52879.4</v>
      </c>
      <c r="W9" s="8">
        <v>56020.4</v>
      </c>
      <c r="X9" s="8">
        <v>4628.9</v>
      </c>
      <c r="Y9" s="8">
        <v>4411.2</v>
      </c>
      <c r="Z9" s="15">
        <f t="shared" si="22"/>
        <v>65060.5</v>
      </c>
      <c r="AA9" s="8">
        <v>73838.2</v>
      </c>
      <c r="AB9" s="13">
        <v>7589</v>
      </c>
      <c r="AC9" s="7">
        <f t="shared" si="23"/>
        <v>81427.2</v>
      </c>
      <c r="AD9" s="16">
        <v>194659</v>
      </c>
      <c r="AE9" s="17">
        <f t="shared" ref="AE9:AI9" si="44">IF(OR(C10=""),"",(C10-C9)*80)</f>
        <v>0</v>
      </c>
      <c r="AF9" s="17">
        <f t="shared" si="44"/>
        <v>3024.00000000023</v>
      </c>
      <c r="AG9" s="17">
        <f t="shared" si="44"/>
        <v>3072.00000000012</v>
      </c>
      <c r="AH9" s="17">
        <f t="shared" si="44"/>
        <v>12.7999999999884</v>
      </c>
      <c r="AI9" s="17">
        <f t="shared" si="44"/>
        <v>2631.99999999953</v>
      </c>
      <c r="AJ9" s="17">
        <f t="shared" si="3"/>
        <v>8740.79999999987</v>
      </c>
      <c r="AK9" s="17">
        <f t="shared" ref="AK9:AN9" si="45">IF(OR(H10=""),"",(H10-H9)*80)</f>
        <v>0</v>
      </c>
      <c r="AL9" s="17">
        <f t="shared" si="45"/>
        <v>0</v>
      </c>
      <c r="AM9" s="17">
        <f t="shared" si="45"/>
        <v>0</v>
      </c>
      <c r="AN9" s="17">
        <f t="shared" si="45"/>
        <v>0</v>
      </c>
      <c r="AO9" s="17">
        <f t="shared" si="5"/>
        <v>0</v>
      </c>
      <c r="AP9" s="17">
        <f t="shared" ref="AP9:AS9" si="46">IF(OR(L10=""),"",(L10-L9)*100)</f>
        <v>2489.99999999942</v>
      </c>
      <c r="AQ9" s="17">
        <f t="shared" si="46"/>
        <v>0</v>
      </c>
      <c r="AR9" s="17">
        <f t="shared" si="46"/>
        <v>3080.00000000029</v>
      </c>
      <c r="AS9" s="17">
        <f t="shared" si="46"/>
        <v>2109.99999999913</v>
      </c>
      <c r="AT9" s="17">
        <f t="shared" si="7"/>
        <v>7679.99999999884</v>
      </c>
      <c r="AU9" s="17">
        <f t="shared" ref="AU9:AY9" si="47">IF(OR(P10=""),"",(P10-P9)*1000)</f>
        <v>199.999999999818</v>
      </c>
      <c r="AV9" s="17">
        <f t="shared" si="47"/>
        <v>7399.99999999964</v>
      </c>
      <c r="AW9" s="17">
        <f t="shared" si="47"/>
        <v>0</v>
      </c>
      <c r="AX9" s="17">
        <f t="shared" si="47"/>
        <v>5000</v>
      </c>
      <c r="AY9" s="17">
        <f t="shared" si="47"/>
        <v>8900.00000000055</v>
      </c>
      <c r="AZ9" s="17">
        <f t="shared" si="9"/>
        <v>21500</v>
      </c>
      <c r="BA9" s="17">
        <f t="shared" si="10"/>
        <v>9400.00000000146</v>
      </c>
      <c r="BB9" s="17">
        <f t="shared" si="11"/>
        <v>1047.99999999988</v>
      </c>
      <c r="BC9" s="17">
        <f t="shared" si="12"/>
        <v>1707.99999999988</v>
      </c>
      <c r="BD9" s="17">
        <f t="shared" si="13"/>
        <v>10223.1999999884</v>
      </c>
      <c r="BE9" s="17">
        <f t="shared" si="14"/>
        <v>60299.9999999884</v>
      </c>
      <c r="BF9" s="17">
        <f t="shared" si="15"/>
        <v>47.8000000000029</v>
      </c>
      <c r="BG9" s="20">
        <f t="shared" si="16"/>
        <v>0.309772473915865</v>
      </c>
      <c r="BH9" s="20">
        <f t="shared" si="17"/>
        <v>0.0449031383085286</v>
      </c>
      <c r="BI9" s="20">
        <f t="shared" si="18"/>
        <v>0</v>
      </c>
      <c r="BJ9" s="20">
        <f t="shared" si="19"/>
        <v>0.0394536086181417</v>
      </c>
      <c r="BK9" s="20">
        <f t="shared" ref="BK9:BO9" si="48">IF(OR($AD9=0),"",AZ9/$AD9)</f>
        <v>0.110449555376325</v>
      </c>
      <c r="BL9" s="20">
        <f t="shared" si="48"/>
        <v>0.0482895730482611</v>
      </c>
      <c r="BM9" s="20">
        <f t="shared" si="48"/>
        <v>0.00538377367601746</v>
      </c>
      <c r="BN9" s="20">
        <f t="shared" si="48"/>
        <v>0.00877431816663953</v>
      </c>
      <c r="BO9" s="20">
        <f t="shared" si="48"/>
        <v>0.0525185067219519</v>
      </c>
    </row>
    <row r="10" spans="1:67">
      <c r="A10" s="9">
        <f t="shared" si="21"/>
        <v>44262</v>
      </c>
      <c r="B10" s="10">
        <v>17795.27</v>
      </c>
      <c r="C10" s="8">
        <v>97501.9</v>
      </c>
      <c r="D10" s="8">
        <v>63647.4</v>
      </c>
      <c r="E10" s="8">
        <v>61449.5</v>
      </c>
      <c r="F10" s="8">
        <v>7203.78</v>
      </c>
      <c r="G10" s="8">
        <v>118558.7</v>
      </c>
      <c r="H10" s="8">
        <v>5709.7</v>
      </c>
      <c r="I10" s="8">
        <v>2566.3</v>
      </c>
      <c r="J10" s="8">
        <v>967</v>
      </c>
      <c r="K10" s="8">
        <v>56</v>
      </c>
      <c r="L10" s="8">
        <v>96623.2</v>
      </c>
      <c r="M10" s="8">
        <v>61529.3</v>
      </c>
      <c r="N10" s="8">
        <v>78641</v>
      </c>
      <c r="O10" s="8">
        <v>107758.9</v>
      </c>
      <c r="P10" s="8">
        <v>6089.9</v>
      </c>
      <c r="Q10" s="8">
        <v>8000.5</v>
      </c>
      <c r="R10" s="8">
        <v>4739.4</v>
      </c>
      <c r="S10" s="8">
        <v>5781.2</v>
      </c>
      <c r="T10" s="8">
        <v>7494.3</v>
      </c>
      <c r="U10" s="8">
        <v>18325</v>
      </c>
      <c r="V10" s="8">
        <v>52892.5</v>
      </c>
      <c r="W10" s="8">
        <v>56038</v>
      </c>
      <c r="X10" s="8">
        <v>4641.2</v>
      </c>
      <c r="Y10" s="8">
        <v>4424</v>
      </c>
      <c r="Z10" s="15">
        <f t="shared" si="22"/>
        <v>65103.2</v>
      </c>
      <c r="AA10" s="8">
        <v>73878</v>
      </c>
      <c r="AB10" s="13">
        <v>7597</v>
      </c>
      <c r="AC10" s="7">
        <f t="shared" si="23"/>
        <v>81475</v>
      </c>
      <c r="AD10" s="16">
        <v>174501</v>
      </c>
      <c r="AE10" s="17">
        <f t="shared" ref="AE10:AI10" si="49">IF(OR(C11=""),"",(C11-C10)*80)</f>
        <v>0</v>
      </c>
      <c r="AF10" s="17">
        <f t="shared" si="49"/>
        <v>3047.99999999988</v>
      </c>
      <c r="AG10" s="17">
        <f t="shared" si="49"/>
        <v>2455.99999999977</v>
      </c>
      <c r="AH10" s="17">
        <f t="shared" si="49"/>
        <v>4.80000000003201</v>
      </c>
      <c r="AI10" s="17">
        <f t="shared" si="49"/>
        <v>2592.0000000007</v>
      </c>
      <c r="AJ10" s="17">
        <f t="shared" si="3"/>
        <v>8100.80000000038</v>
      </c>
      <c r="AK10" s="17">
        <f t="shared" ref="AK10:AN10" si="50">IF(OR(H11=""),"",(H11-H10)*80)</f>
        <v>0</v>
      </c>
      <c r="AL10" s="17">
        <f t="shared" si="50"/>
        <v>0</v>
      </c>
      <c r="AM10" s="17">
        <f t="shared" si="50"/>
        <v>0</v>
      </c>
      <c r="AN10" s="17">
        <f t="shared" si="50"/>
        <v>0</v>
      </c>
      <c r="AO10" s="17">
        <f t="shared" si="5"/>
        <v>0</v>
      </c>
      <c r="AP10" s="17">
        <f t="shared" ref="AP10:AS10" si="51">IF(OR(L11=""),"",(L11-L10)*100)</f>
        <v>2130.00000000029</v>
      </c>
      <c r="AQ10" s="17">
        <f t="shared" si="51"/>
        <v>0</v>
      </c>
      <c r="AR10" s="17">
        <f t="shared" si="51"/>
        <v>2960.00000000058</v>
      </c>
      <c r="AS10" s="17">
        <f t="shared" si="51"/>
        <v>2050</v>
      </c>
      <c r="AT10" s="17">
        <f t="shared" si="7"/>
        <v>7140.00000000087</v>
      </c>
      <c r="AU10" s="17">
        <f t="shared" ref="AU10:AY10" si="52">IF(OR(P11=""),"",(P11-P10)*1000)</f>
        <v>3100.00000000036</v>
      </c>
      <c r="AV10" s="17">
        <f t="shared" si="52"/>
        <v>1300.00000000018</v>
      </c>
      <c r="AW10" s="17">
        <f t="shared" si="52"/>
        <v>100.000000000364</v>
      </c>
      <c r="AX10" s="17">
        <f t="shared" si="52"/>
        <v>4699.99999999982</v>
      </c>
      <c r="AY10" s="17">
        <f t="shared" si="52"/>
        <v>8399.99999999964</v>
      </c>
      <c r="AZ10" s="17">
        <f t="shared" si="9"/>
        <v>17600.0000000004</v>
      </c>
      <c r="BA10" s="17">
        <f t="shared" si="10"/>
        <v>10000</v>
      </c>
      <c r="BB10" s="17">
        <f t="shared" si="11"/>
        <v>1032.00000000012</v>
      </c>
      <c r="BC10" s="17">
        <f t="shared" si="12"/>
        <v>1688.00000000017</v>
      </c>
      <c r="BD10" s="17">
        <f t="shared" si="13"/>
        <v>15239.1999999792</v>
      </c>
      <c r="BE10" s="17">
        <f t="shared" si="14"/>
        <v>60799.9999999811</v>
      </c>
      <c r="BF10" s="17">
        <f t="shared" si="15"/>
        <v>47.1999999999971</v>
      </c>
      <c r="BG10" s="20">
        <f t="shared" si="16"/>
        <v>0.348422072079708</v>
      </c>
      <c r="BH10" s="20">
        <f t="shared" si="17"/>
        <v>0.0464226566036893</v>
      </c>
      <c r="BI10" s="20">
        <f t="shared" si="18"/>
        <v>0</v>
      </c>
      <c r="BJ10" s="20">
        <f t="shared" si="19"/>
        <v>0.0409166709646413</v>
      </c>
      <c r="BK10" s="20">
        <f t="shared" ref="BK10:BO10" si="53">IF(OR($AD10=0),"",AZ10/$AD10)</f>
        <v>0.100859020865212</v>
      </c>
      <c r="BL10" s="20">
        <f t="shared" si="53"/>
        <v>0.0573062618552329</v>
      </c>
      <c r="BM10" s="20">
        <f t="shared" si="53"/>
        <v>0.0059140062234607</v>
      </c>
      <c r="BN10" s="20">
        <f t="shared" si="53"/>
        <v>0.00967329700116432</v>
      </c>
      <c r="BO10" s="20">
        <f t="shared" si="53"/>
        <v>0.0873301585663072</v>
      </c>
    </row>
    <row r="11" spans="1:67">
      <c r="A11" s="9">
        <f t="shared" si="21"/>
        <v>44263</v>
      </c>
      <c r="B11" s="10">
        <v>17801.35</v>
      </c>
      <c r="C11" s="8">
        <v>97501.9</v>
      </c>
      <c r="D11" s="8">
        <v>63685.5</v>
      </c>
      <c r="E11" s="8">
        <v>61480.2</v>
      </c>
      <c r="F11" s="8">
        <v>7203.84</v>
      </c>
      <c r="G11" s="8">
        <v>118591.1</v>
      </c>
      <c r="H11" s="8">
        <v>5709.7</v>
      </c>
      <c r="I11" s="8">
        <v>2566.3</v>
      </c>
      <c r="J11" s="8">
        <v>967</v>
      </c>
      <c r="K11" s="8">
        <v>56</v>
      </c>
      <c r="L11" s="8">
        <v>96644.5</v>
      </c>
      <c r="M11" s="8">
        <v>61529.3</v>
      </c>
      <c r="N11" s="8">
        <v>78670.6</v>
      </c>
      <c r="O11" s="8">
        <v>107779.4</v>
      </c>
      <c r="P11" s="8">
        <v>6093</v>
      </c>
      <c r="Q11" s="8">
        <v>8001.8</v>
      </c>
      <c r="R11" s="8">
        <v>4739.5</v>
      </c>
      <c r="S11" s="8">
        <v>5785.9</v>
      </c>
      <c r="T11" s="8">
        <v>7502.7</v>
      </c>
      <c r="U11" s="8">
        <v>18330</v>
      </c>
      <c r="V11" s="8">
        <v>52905.4</v>
      </c>
      <c r="W11" s="8">
        <v>56055.4</v>
      </c>
      <c r="X11" s="8">
        <v>4653.2</v>
      </c>
      <c r="Y11" s="8">
        <v>4436.8</v>
      </c>
      <c r="Z11" s="15">
        <f t="shared" si="22"/>
        <v>65145.4</v>
      </c>
      <c r="AA11" s="8">
        <v>73914.2</v>
      </c>
      <c r="AB11" s="13">
        <v>7608</v>
      </c>
      <c r="AC11" s="7">
        <f t="shared" si="23"/>
        <v>81522.2</v>
      </c>
      <c r="AD11" s="16">
        <v>182875</v>
      </c>
      <c r="AE11" s="17">
        <f t="shared" ref="AE11:AI11" si="54">IF(OR(C12=""),"",(C12-C11)*80)</f>
        <v>0</v>
      </c>
      <c r="AF11" s="17">
        <f t="shared" si="54"/>
        <v>2935.99999999977</v>
      </c>
      <c r="AG11" s="17">
        <f t="shared" si="54"/>
        <v>2928.00000000047</v>
      </c>
      <c r="AH11" s="17">
        <f t="shared" si="54"/>
        <v>4.00000000001455</v>
      </c>
      <c r="AI11" s="17">
        <f t="shared" si="54"/>
        <v>2360</v>
      </c>
      <c r="AJ11" s="17">
        <f t="shared" si="3"/>
        <v>8228.00000000025</v>
      </c>
      <c r="AK11" s="17">
        <f t="shared" ref="AK11:AN11" si="55">IF(OR(H12=""),"",(H12-H11)*80)</f>
        <v>0</v>
      </c>
      <c r="AL11" s="17">
        <f t="shared" si="55"/>
        <v>0</v>
      </c>
      <c r="AM11" s="17">
        <f t="shared" si="55"/>
        <v>0</v>
      </c>
      <c r="AN11" s="17">
        <f t="shared" si="55"/>
        <v>0</v>
      </c>
      <c r="AO11" s="17">
        <f t="shared" si="5"/>
        <v>0</v>
      </c>
      <c r="AP11" s="17">
        <f t="shared" ref="AP11:AS11" si="56">IF(OR(L12=""),"",(L12-L11)*100)</f>
        <v>2169.99999999971</v>
      </c>
      <c r="AQ11" s="17">
        <f t="shared" si="56"/>
        <v>0</v>
      </c>
      <c r="AR11" s="17">
        <f t="shared" si="56"/>
        <v>2989.99999999942</v>
      </c>
      <c r="AS11" s="17">
        <f t="shared" si="56"/>
        <v>2030.00000000029</v>
      </c>
      <c r="AT11" s="17">
        <f t="shared" si="7"/>
        <v>7189.99999999942</v>
      </c>
      <c r="AU11" s="17">
        <f t="shared" ref="AU11:AY11" si="57">IF(OR(P12=""),"",(P12-P11)*1000)</f>
        <v>3600.00000000036</v>
      </c>
      <c r="AV11" s="17">
        <f t="shared" si="57"/>
        <v>5699.99999999982</v>
      </c>
      <c r="AW11" s="17">
        <f t="shared" si="57"/>
        <v>0</v>
      </c>
      <c r="AX11" s="17">
        <f t="shared" si="57"/>
        <v>800.000000000182</v>
      </c>
      <c r="AY11" s="17">
        <f t="shared" si="57"/>
        <v>8500</v>
      </c>
      <c r="AZ11" s="17">
        <f t="shared" si="9"/>
        <v>18600.0000000004</v>
      </c>
      <c r="BA11" s="17">
        <f t="shared" si="10"/>
        <v>8800.00000000291</v>
      </c>
      <c r="BB11" s="17">
        <f t="shared" si="11"/>
        <v>1055.99999999977</v>
      </c>
      <c r="BC11" s="17">
        <f t="shared" si="12"/>
        <v>1631.99999999983</v>
      </c>
      <c r="BD11" s="17">
        <f t="shared" si="13"/>
        <v>11294.0000000004</v>
      </c>
      <c r="BE11" s="17">
        <f t="shared" si="14"/>
        <v>56800.0000000029</v>
      </c>
      <c r="BF11" s="17">
        <f t="shared" si="15"/>
        <v>47.1000000000058</v>
      </c>
      <c r="BG11" s="20">
        <f t="shared" si="16"/>
        <v>0.310594668489421</v>
      </c>
      <c r="BH11" s="20">
        <f t="shared" si="17"/>
        <v>0.0449924812030089</v>
      </c>
      <c r="BI11" s="20">
        <f t="shared" si="18"/>
        <v>0</v>
      </c>
      <c r="BJ11" s="20">
        <f t="shared" si="19"/>
        <v>0.0393164730006803</v>
      </c>
      <c r="BK11" s="20">
        <f t="shared" ref="BK11:BO11" si="58">IF(OR($AD11=0),"",AZ11/$AD11)</f>
        <v>0.101708817498293</v>
      </c>
      <c r="BL11" s="20">
        <f t="shared" si="58"/>
        <v>0.0481203007518956</v>
      </c>
      <c r="BM11" s="20">
        <f t="shared" si="58"/>
        <v>0.00577443609022429</v>
      </c>
      <c r="BN11" s="20">
        <f t="shared" si="58"/>
        <v>0.00892412850307492</v>
      </c>
      <c r="BO11" s="20">
        <f t="shared" si="58"/>
        <v>0.061758031442244</v>
      </c>
    </row>
    <row r="12" spans="1:67">
      <c r="A12" s="9">
        <f t="shared" si="21"/>
        <v>44264</v>
      </c>
      <c r="B12" s="10">
        <v>17807.03</v>
      </c>
      <c r="C12" s="8">
        <v>97501.9</v>
      </c>
      <c r="D12" s="8">
        <v>63722.2</v>
      </c>
      <c r="E12" s="8">
        <v>61516.8</v>
      </c>
      <c r="F12" s="8">
        <v>7203.89</v>
      </c>
      <c r="G12" s="8">
        <v>118620.6</v>
      </c>
      <c r="H12" s="8">
        <v>5709.7</v>
      </c>
      <c r="I12" s="8">
        <v>2566.3</v>
      </c>
      <c r="J12" s="8">
        <v>967</v>
      </c>
      <c r="K12" s="8">
        <v>56</v>
      </c>
      <c r="L12" s="8">
        <v>96666.2</v>
      </c>
      <c r="M12" s="8">
        <v>61529.3</v>
      </c>
      <c r="N12" s="8">
        <v>78700.5</v>
      </c>
      <c r="O12" s="8">
        <v>107799.7</v>
      </c>
      <c r="P12" s="8">
        <v>6096.6</v>
      </c>
      <c r="Q12" s="8">
        <v>8007.5</v>
      </c>
      <c r="R12" s="8">
        <v>4739.5</v>
      </c>
      <c r="S12" s="8">
        <v>5786.7</v>
      </c>
      <c r="T12" s="8">
        <v>7511.2</v>
      </c>
      <c r="U12" s="8">
        <v>18334.4</v>
      </c>
      <c r="V12" s="8">
        <v>52918.6</v>
      </c>
      <c r="W12" s="8">
        <v>56072.4</v>
      </c>
      <c r="X12" s="8">
        <v>4664.6</v>
      </c>
      <c r="Y12" s="8">
        <v>4449.2</v>
      </c>
      <c r="Z12" s="15">
        <f t="shared" si="22"/>
        <v>65186.2</v>
      </c>
      <c r="AA12" s="8">
        <v>73952.3</v>
      </c>
      <c r="AB12" s="13">
        <v>7617</v>
      </c>
      <c r="AC12" s="7">
        <f t="shared" si="23"/>
        <v>81569.3</v>
      </c>
      <c r="AD12" s="16">
        <v>175131</v>
      </c>
      <c r="AE12" s="17">
        <f t="shared" ref="AE12:AI12" si="59">IF(OR(C13=""),"",(C13-C12)*80)</f>
        <v>0</v>
      </c>
      <c r="AF12" s="17">
        <f t="shared" si="59"/>
        <v>3048.00000000047</v>
      </c>
      <c r="AG12" s="17">
        <f t="shared" si="59"/>
        <v>2231.99999999953</v>
      </c>
      <c r="AH12" s="17">
        <f t="shared" si="59"/>
        <v>4.79999999995925</v>
      </c>
      <c r="AI12" s="17">
        <f t="shared" si="59"/>
        <v>2447.9999999993</v>
      </c>
      <c r="AJ12" s="17">
        <f t="shared" si="3"/>
        <v>7732.79999999926</v>
      </c>
      <c r="AK12" s="17">
        <f t="shared" ref="AK12:AN12" si="60">IF(OR(H13=""),"",(H13-H12)*80)</f>
        <v>0</v>
      </c>
      <c r="AL12" s="17">
        <f t="shared" si="60"/>
        <v>0</v>
      </c>
      <c r="AM12" s="17">
        <f t="shared" si="60"/>
        <v>0</v>
      </c>
      <c r="AN12" s="17">
        <f t="shared" si="60"/>
        <v>0</v>
      </c>
      <c r="AO12" s="17">
        <f t="shared" si="5"/>
        <v>0</v>
      </c>
      <c r="AP12" s="17">
        <f t="shared" ref="AP12:AS12" si="61">IF(OR(L13=""),"",(L13-L12)*100)</f>
        <v>1960.00000000058</v>
      </c>
      <c r="AQ12" s="17">
        <f t="shared" si="61"/>
        <v>0</v>
      </c>
      <c r="AR12" s="17">
        <f t="shared" si="61"/>
        <v>3010.00000000058</v>
      </c>
      <c r="AS12" s="17">
        <f t="shared" si="61"/>
        <v>2050</v>
      </c>
      <c r="AT12" s="17">
        <f t="shared" si="7"/>
        <v>7020.00000000116</v>
      </c>
      <c r="AU12" s="17">
        <f t="shared" ref="AU12:AY12" si="62">IF(OR(P13=""),"",(P13-P12)*1000)</f>
        <v>3699.99999999982</v>
      </c>
      <c r="AV12" s="17">
        <f t="shared" si="62"/>
        <v>5899.99999999964</v>
      </c>
      <c r="AW12" s="17">
        <f t="shared" si="62"/>
        <v>0</v>
      </c>
      <c r="AX12" s="17">
        <f t="shared" si="62"/>
        <v>0</v>
      </c>
      <c r="AY12" s="17">
        <f t="shared" si="62"/>
        <v>8900.00000000055</v>
      </c>
      <c r="AZ12" s="17">
        <f t="shared" si="9"/>
        <v>18500</v>
      </c>
      <c r="BA12" s="17">
        <f t="shared" si="10"/>
        <v>9399.99999999418</v>
      </c>
      <c r="BB12" s="17">
        <f t="shared" si="11"/>
        <v>1087.99999999988</v>
      </c>
      <c r="BC12" s="17">
        <f t="shared" si="12"/>
        <v>1620</v>
      </c>
      <c r="BD12" s="17">
        <f t="shared" si="13"/>
        <v>10539.200000007</v>
      </c>
      <c r="BE12" s="17">
        <f t="shared" si="14"/>
        <v>55900.0000000015</v>
      </c>
      <c r="BF12" s="17">
        <f t="shared" si="15"/>
        <v>55</v>
      </c>
      <c r="BG12" s="20">
        <f t="shared" si="16"/>
        <v>0.319189635187382</v>
      </c>
      <c r="BH12" s="20">
        <f t="shared" si="17"/>
        <v>0.0441543758672038</v>
      </c>
      <c r="BI12" s="20">
        <f t="shared" si="18"/>
        <v>0</v>
      </c>
      <c r="BJ12" s="20">
        <f t="shared" si="19"/>
        <v>0.0400842797677234</v>
      </c>
      <c r="BK12" s="20">
        <f t="shared" ref="BK12:BO12" si="63">IF(OR($AD12=0),"",AZ12/$AD12)</f>
        <v>0.105635210214068</v>
      </c>
      <c r="BL12" s="20">
        <f t="shared" si="63"/>
        <v>0.0536741068114393</v>
      </c>
      <c r="BM12" s="20">
        <f t="shared" si="63"/>
        <v>0.00621249236285914</v>
      </c>
      <c r="BN12" s="20">
        <f t="shared" si="63"/>
        <v>0.00925021840793463</v>
      </c>
      <c r="BO12" s="20">
        <f t="shared" si="63"/>
        <v>0.0601789517561538</v>
      </c>
    </row>
    <row r="13" spans="1:67">
      <c r="A13" s="9">
        <f t="shared" si="21"/>
        <v>44265</v>
      </c>
      <c r="B13" s="10">
        <v>17812.62</v>
      </c>
      <c r="C13" s="8">
        <v>97501.9</v>
      </c>
      <c r="D13" s="8">
        <v>63760.3</v>
      </c>
      <c r="E13" s="8">
        <v>61544.7</v>
      </c>
      <c r="F13" s="8">
        <v>7203.95</v>
      </c>
      <c r="G13" s="8">
        <v>118651.2</v>
      </c>
      <c r="H13" s="8">
        <v>5709.7</v>
      </c>
      <c r="I13" s="8">
        <v>2566.3</v>
      </c>
      <c r="J13" s="8">
        <v>967</v>
      </c>
      <c r="K13" s="8">
        <v>56</v>
      </c>
      <c r="L13" s="8">
        <v>96685.8</v>
      </c>
      <c r="M13" s="8">
        <v>61529.3</v>
      </c>
      <c r="N13" s="8">
        <v>78730.6</v>
      </c>
      <c r="O13" s="8">
        <v>107820.2</v>
      </c>
      <c r="P13" s="8">
        <v>6100.3</v>
      </c>
      <c r="Q13" s="8">
        <v>8013.4</v>
      </c>
      <c r="R13" s="8">
        <v>4739.5</v>
      </c>
      <c r="S13" s="8">
        <v>5786.7</v>
      </c>
      <c r="T13" s="8">
        <v>7520.1</v>
      </c>
      <c r="U13" s="8">
        <v>18339.1</v>
      </c>
      <c r="V13" s="8">
        <v>52932.2</v>
      </c>
      <c r="W13" s="8">
        <v>56089.3</v>
      </c>
      <c r="X13" s="8">
        <v>4675.7</v>
      </c>
      <c r="Y13" s="8">
        <v>4461.7</v>
      </c>
      <c r="Z13" s="15">
        <f t="shared" si="22"/>
        <v>65226.7</v>
      </c>
      <c r="AA13" s="8">
        <v>73989.3</v>
      </c>
      <c r="AB13" s="13">
        <v>7635</v>
      </c>
      <c r="AC13" s="7">
        <f t="shared" si="23"/>
        <v>81624.3</v>
      </c>
      <c r="AD13" s="16">
        <v>176880</v>
      </c>
      <c r="AE13" s="17">
        <f t="shared" ref="AE13:AI13" si="64">IF(OR(C14=""),"",(C14-C13)*80)</f>
        <v>0</v>
      </c>
      <c r="AF13" s="17">
        <f t="shared" si="64"/>
        <v>3087.99999999988</v>
      </c>
      <c r="AG13" s="17">
        <f t="shared" si="64"/>
        <v>2480</v>
      </c>
      <c r="AH13" s="17">
        <f t="shared" si="64"/>
        <v>169.599999999991</v>
      </c>
      <c r="AI13" s="17">
        <f t="shared" si="64"/>
        <v>2255.99999999977</v>
      </c>
      <c r="AJ13" s="17">
        <f t="shared" si="3"/>
        <v>7993.59999999964</v>
      </c>
      <c r="AK13" s="17">
        <f t="shared" ref="AK13:AN13" si="65">IF(OR(H14=""),"",(H14-H13)*80)</f>
        <v>0</v>
      </c>
      <c r="AL13" s="17">
        <f t="shared" si="65"/>
        <v>0</v>
      </c>
      <c r="AM13" s="17">
        <f t="shared" si="65"/>
        <v>0</v>
      </c>
      <c r="AN13" s="17">
        <f t="shared" si="65"/>
        <v>0</v>
      </c>
      <c r="AO13" s="17">
        <f t="shared" si="5"/>
        <v>0</v>
      </c>
      <c r="AP13" s="17">
        <f t="shared" ref="AP13:AS13" si="66">IF(OR(L14=""),"",(L14-L13)*100)</f>
        <v>1969.99999999971</v>
      </c>
      <c r="AQ13" s="17">
        <f t="shared" si="66"/>
        <v>0</v>
      </c>
      <c r="AR13" s="17">
        <f t="shared" si="66"/>
        <v>3000</v>
      </c>
      <c r="AS13" s="17">
        <f t="shared" si="66"/>
        <v>2080.00000000029</v>
      </c>
      <c r="AT13" s="17">
        <f t="shared" si="7"/>
        <v>7050</v>
      </c>
      <c r="AU13" s="17">
        <f t="shared" ref="AU13:AY13" si="67">IF(OR(P14=""),"",(P14-P13)*1000)</f>
        <v>2800.00000000018</v>
      </c>
      <c r="AV13" s="17">
        <f t="shared" si="67"/>
        <v>5400.00000000055</v>
      </c>
      <c r="AW13" s="17">
        <f t="shared" si="67"/>
        <v>0</v>
      </c>
      <c r="AX13" s="17">
        <f t="shared" si="67"/>
        <v>1400.00000000055</v>
      </c>
      <c r="AY13" s="17">
        <f t="shared" si="67"/>
        <v>9099.99999999945</v>
      </c>
      <c r="AZ13" s="17">
        <f t="shared" si="9"/>
        <v>18700.0000000007</v>
      </c>
      <c r="BA13" s="17">
        <f t="shared" si="10"/>
        <v>9800.00000000291</v>
      </c>
      <c r="BB13" s="17">
        <f t="shared" si="11"/>
        <v>1032.00000000012</v>
      </c>
      <c r="BC13" s="17">
        <f t="shared" si="12"/>
        <v>1628.00000000017</v>
      </c>
      <c r="BD13" s="17">
        <f t="shared" si="13"/>
        <v>10496.4000000153</v>
      </c>
      <c r="BE13" s="17">
        <f t="shared" si="14"/>
        <v>56700.0000000189</v>
      </c>
      <c r="BF13" s="17">
        <f t="shared" si="15"/>
        <v>44.6999999999971</v>
      </c>
      <c r="BG13" s="20">
        <f t="shared" si="16"/>
        <v>0.320556309362386</v>
      </c>
      <c r="BH13" s="20">
        <f t="shared" si="17"/>
        <v>0.0451922207146068</v>
      </c>
      <c r="BI13" s="20">
        <f t="shared" si="18"/>
        <v>0</v>
      </c>
      <c r="BJ13" s="20">
        <f t="shared" si="19"/>
        <v>0.0398575305291723</v>
      </c>
      <c r="BK13" s="20">
        <f t="shared" ref="BK13:BO13" si="68">IF(OR($AD13=0),"",AZ13/$AD13)</f>
        <v>0.10572139303483</v>
      </c>
      <c r="BL13" s="20">
        <f t="shared" si="68"/>
        <v>0.0554047942107808</v>
      </c>
      <c r="BM13" s="20">
        <f t="shared" si="68"/>
        <v>0.00583446404341993</v>
      </c>
      <c r="BN13" s="20">
        <f t="shared" si="68"/>
        <v>0.00920398009950348</v>
      </c>
      <c r="BO13" s="20">
        <f t="shared" si="68"/>
        <v>0.0593419267300732</v>
      </c>
    </row>
    <row r="14" spans="1:67">
      <c r="A14" s="9">
        <f t="shared" si="21"/>
        <v>44266</v>
      </c>
      <c r="B14" s="10">
        <v>17818.29</v>
      </c>
      <c r="C14" s="8">
        <v>97501.9</v>
      </c>
      <c r="D14" s="8">
        <v>63798.9</v>
      </c>
      <c r="E14" s="8">
        <v>61575.7</v>
      </c>
      <c r="F14" s="8">
        <v>7206.07</v>
      </c>
      <c r="G14" s="8">
        <v>118679.4</v>
      </c>
      <c r="H14" s="8">
        <v>5709.7</v>
      </c>
      <c r="I14" s="8">
        <v>2566.3</v>
      </c>
      <c r="J14" s="8">
        <v>967</v>
      </c>
      <c r="K14" s="8">
        <v>56</v>
      </c>
      <c r="L14" s="8">
        <v>96705.5</v>
      </c>
      <c r="M14" s="8">
        <v>61529.3</v>
      </c>
      <c r="N14" s="8">
        <v>78760.6</v>
      </c>
      <c r="O14" s="8">
        <v>107841</v>
      </c>
      <c r="P14" s="8">
        <v>6103.1</v>
      </c>
      <c r="Q14" s="8">
        <v>8018.8</v>
      </c>
      <c r="R14" s="8">
        <v>4739.5</v>
      </c>
      <c r="S14" s="8">
        <v>5788.1</v>
      </c>
      <c r="T14" s="8">
        <v>7529.2</v>
      </c>
      <c r="U14" s="8">
        <v>18344</v>
      </c>
      <c r="V14" s="8">
        <v>52945.1</v>
      </c>
      <c r="W14" s="8">
        <v>56106.4</v>
      </c>
      <c r="X14" s="8">
        <v>4686.6</v>
      </c>
      <c r="Y14" s="8">
        <v>4474.4</v>
      </c>
      <c r="Z14" s="15">
        <f t="shared" si="22"/>
        <v>65267.4</v>
      </c>
      <c r="AA14" s="8">
        <v>74025</v>
      </c>
      <c r="AB14" s="13">
        <v>7644</v>
      </c>
      <c r="AC14" s="7">
        <f t="shared" si="23"/>
        <v>81669</v>
      </c>
      <c r="AD14" s="16">
        <v>187392</v>
      </c>
      <c r="AE14" s="17">
        <f t="shared" ref="AE14:AI14" si="69">IF(OR(C15=""),"",(C15-C14)*80)</f>
        <v>0</v>
      </c>
      <c r="AF14" s="17">
        <f t="shared" si="69"/>
        <v>2992.00000000012</v>
      </c>
      <c r="AG14" s="17">
        <f t="shared" si="69"/>
        <v>496.000000000349</v>
      </c>
      <c r="AH14" s="17">
        <f t="shared" si="69"/>
        <v>2452.79999999999</v>
      </c>
      <c r="AI14" s="17">
        <f t="shared" si="69"/>
        <v>1456.00000000093</v>
      </c>
      <c r="AJ14" s="17">
        <f t="shared" si="3"/>
        <v>7396.80000000139</v>
      </c>
      <c r="AK14" s="17">
        <f t="shared" ref="AK14:AN14" si="70">IF(OR(H15=""),"",(H15-H14)*80)</f>
        <v>0</v>
      </c>
      <c r="AL14" s="17">
        <f t="shared" si="70"/>
        <v>0</v>
      </c>
      <c r="AM14" s="17">
        <f t="shared" si="70"/>
        <v>0</v>
      </c>
      <c r="AN14" s="17">
        <f t="shared" si="70"/>
        <v>0</v>
      </c>
      <c r="AO14" s="17">
        <f t="shared" si="5"/>
        <v>0</v>
      </c>
      <c r="AP14" s="17">
        <f t="shared" ref="AP14:AS14" si="71">IF(OR(L15=""),"",(L15-L14)*100)</f>
        <v>2389.99999999942</v>
      </c>
      <c r="AQ14" s="17">
        <f t="shared" si="71"/>
        <v>0</v>
      </c>
      <c r="AR14" s="17">
        <f t="shared" si="71"/>
        <v>3039.99999999942</v>
      </c>
      <c r="AS14" s="17">
        <f t="shared" si="71"/>
        <v>2150</v>
      </c>
      <c r="AT14" s="17">
        <f t="shared" si="7"/>
        <v>7579.99999999884</v>
      </c>
      <c r="AU14" s="17">
        <f t="shared" ref="AU14:AY14" si="72">IF(OR(P15=""),"",(P15-P14)*1000)</f>
        <v>3399.99999999964</v>
      </c>
      <c r="AV14" s="17">
        <f t="shared" si="72"/>
        <v>6699.99999999982</v>
      </c>
      <c r="AW14" s="17">
        <f t="shared" si="72"/>
        <v>0</v>
      </c>
      <c r="AX14" s="17">
        <f t="shared" si="72"/>
        <v>599.999999999454</v>
      </c>
      <c r="AY14" s="17">
        <f t="shared" si="72"/>
        <v>9400.00000000055</v>
      </c>
      <c r="AZ14" s="17">
        <f t="shared" si="9"/>
        <v>20099.9999999995</v>
      </c>
      <c r="BA14" s="17">
        <f t="shared" si="10"/>
        <v>9199.99999999709</v>
      </c>
      <c r="BB14" s="17">
        <f t="shared" si="11"/>
        <v>1120</v>
      </c>
      <c r="BC14" s="17">
        <f t="shared" si="12"/>
        <v>1599.99999999971</v>
      </c>
      <c r="BD14" s="17">
        <f t="shared" si="13"/>
        <v>10703.2000000079</v>
      </c>
      <c r="BE14" s="17">
        <f t="shared" si="14"/>
        <v>57700.0000000044</v>
      </c>
      <c r="BF14" s="17">
        <f t="shared" si="15"/>
        <v>47</v>
      </c>
      <c r="BG14" s="20">
        <f t="shared" si="16"/>
        <v>0.307910689890734</v>
      </c>
      <c r="BH14" s="20">
        <f t="shared" si="17"/>
        <v>0.0394723360655812</v>
      </c>
      <c r="BI14" s="20">
        <f t="shared" si="18"/>
        <v>0</v>
      </c>
      <c r="BJ14" s="20">
        <f t="shared" si="19"/>
        <v>0.0404499658469883</v>
      </c>
      <c r="BK14" s="20">
        <f t="shared" ref="BK14:BO14" si="73">IF(OR($AD14=0),"",AZ14/$AD14)</f>
        <v>0.107261782786882</v>
      </c>
      <c r="BL14" s="20">
        <f t="shared" si="73"/>
        <v>0.0490949453551757</v>
      </c>
      <c r="BM14" s="20">
        <f t="shared" si="73"/>
        <v>0.00597677595628415</v>
      </c>
      <c r="BN14" s="20">
        <f t="shared" si="73"/>
        <v>0.00853825136611867</v>
      </c>
      <c r="BO14" s="20">
        <f t="shared" si="73"/>
        <v>0.0571166325137033</v>
      </c>
    </row>
    <row r="15" spans="1:67">
      <c r="A15" s="9">
        <f t="shared" si="21"/>
        <v>44267</v>
      </c>
      <c r="B15" s="10">
        <v>17824.06</v>
      </c>
      <c r="C15" s="8">
        <v>97501.9</v>
      </c>
      <c r="D15" s="8">
        <v>63836.3</v>
      </c>
      <c r="E15" s="8">
        <v>61581.9</v>
      </c>
      <c r="F15" s="8">
        <v>7236.73</v>
      </c>
      <c r="G15" s="8">
        <v>118697.6</v>
      </c>
      <c r="H15" s="8">
        <v>5709.7</v>
      </c>
      <c r="I15" s="8">
        <v>2566.3</v>
      </c>
      <c r="J15" s="8">
        <v>967</v>
      </c>
      <c r="K15" s="8">
        <v>56</v>
      </c>
      <c r="L15" s="8">
        <v>96729.4</v>
      </c>
      <c r="M15" s="8">
        <v>61529.3</v>
      </c>
      <c r="N15" s="8">
        <v>78791</v>
      </c>
      <c r="O15" s="8">
        <v>107862.5</v>
      </c>
      <c r="P15" s="8">
        <v>6106.5</v>
      </c>
      <c r="Q15" s="8">
        <v>8025.5</v>
      </c>
      <c r="R15" s="8">
        <v>4739.5</v>
      </c>
      <c r="S15" s="8">
        <v>5788.7</v>
      </c>
      <c r="T15" s="8">
        <v>7538.6</v>
      </c>
      <c r="U15" s="8">
        <v>18348.6</v>
      </c>
      <c r="V15" s="8">
        <v>52959.1</v>
      </c>
      <c r="W15" s="8">
        <v>56123.5</v>
      </c>
      <c r="X15" s="8">
        <v>4696.7</v>
      </c>
      <c r="Y15" s="8">
        <v>4487.2</v>
      </c>
      <c r="Z15" s="15">
        <f t="shared" si="22"/>
        <v>65307.4</v>
      </c>
      <c r="AA15" s="8">
        <v>74063</v>
      </c>
      <c r="AB15" s="13">
        <v>7653</v>
      </c>
      <c r="AC15" s="7">
        <f t="shared" si="23"/>
        <v>81716</v>
      </c>
      <c r="AD15" s="16">
        <v>180193</v>
      </c>
      <c r="AE15" s="17">
        <f t="shared" ref="AE15:AI15" si="74">IF(OR(C16=""),"",(C16-C15)*80)</f>
        <v>0</v>
      </c>
      <c r="AF15" s="17">
        <f t="shared" si="74"/>
        <v>2960</v>
      </c>
      <c r="AG15" s="17">
        <f t="shared" si="74"/>
        <v>2032.00000000012</v>
      </c>
      <c r="AH15" s="17">
        <f t="shared" si="74"/>
        <v>5.60000000004948</v>
      </c>
      <c r="AI15" s="17">
        <f t="shared" si="74"/>
        <v>2551.99999999953</v>
      </c>
      <c r="AJ15" s="17">
        <f t="shared" si="3"/>
        <v>7549.5999999997</v>
      </c>
      <c r="AK15" s="17">
        <f t="shared" ref="AK15:AN15" si="75">IF(OR(H16=""),"",(H16-H15)*80)</f>
        <v>0</v>
      </c>
      <c r="AL15" s="17">
        <f t="shared" si="75"/>
        <v>0</v>
      </c>
      <c r="AM15" s="17">
        <f t="shared" si="75"/>
        <v>0</v>
      </c>
      <c r="AN15" s="17">
        <f t="shared" si="75"/>
        <v>0</v>
      </c>
      <c r="AO15" s="17">
        <f t="shared" si="5"/>
        <v>0</v>
      </c>
      <c r="AP15" s="17">
        <f t="shared" ref="AP15:AS15" si="76">IF(OR(L16=""),"",(L16-L15)*100)</f>
        <v>2030.00000000029</v>
      </c>
      <c r="AQ15" s="17">
        <f t="shared" si="76"/>
        <v>0</v>
      </c>
      <c r="AR15" s="17">
        <f t="shared" si="76"/>
        <v>2980.00000000029</v>
      </c>
      <c r="AS15" s="17">
        <f t="shared" si="76"/>
        <v>2219.99999999971</v>
      </c>
      <c r="AT15" s="17">
        <f t="shared" si="7"/>
        <v>7230.00000000029</v>
      </c>
      <c r="AU15" s="17">
        <f t="shared" ref="AU15:AY15" si="77">IF(OR(P16=""),"",(P16-P15)*1000)</f>
        <v>3100.00000000036</v>
      </c>
      <c r="AV15" s="17">
        <f t="shared" si="77"/>
        <v>6199.99999999982</v>
      </c>
      <c r="AW15" s="17">
        <f t="shared" si="77"/>
        <v>0</v>
      </c>
      <c r="AX15" s="17">
        <f t="shared" si="77"/>
        <v>1100.00000000036</v>
      </c>
      <c r="AY15" s="17">
        <f t="shared" si="77"/>
        <v>9399.99999999964</v>
      </c>
      <c r="AZ15" s="17">
        <f t="shared" si="9"/>
        <v>19800.0000000002</v>
      </c>
      <c r="BA15" s="17">
        <f t="shared" si="10"/>
        <v>8600.00000000582</v>
      </c>
      <c r="BB15" s="17">
        <f t="shared" si="11"/>
        <v>1127.99999999988</v>
      </c>
      <c r="BC15" s="17">
        <f t="shared" si="12"/>
        <v>1532.00000000012</v>
      </c>
      <c r="BD15" s="17">
        <f t="shared" si="13"/>
        <v>10760.3999999926</v>
      </c>
      <c r="BE15" s="17">
        <f t="shared" si="14"/>
        <v>56599.9999999985</v>
      </c>
      <c r="BF15" s="17">
        <f t="shared" si="15"/>
        <v>45.1999999999971</v>
      </c>
      <c r="BG15" s="20">
        <f t="shared" si="16"/>
        <v>0.314107651240606</v>
      </c>
      <c r="BH15" s="20">
        <f t="shared" si="17"/>
        <v>0.041897299007174</v>
      </c>
      <c r="BI15" s="20">
        <f t="shared" si="18"/>
        <v>0</v>
      </c>
      <c r="BJ15" s="20">
        <f t="shared" si="19"/>
        <v>0.0401236452026454</v>
      </c>
      <c r="BK15" s="20">
        <f t="shared" ref="BK15:BO15" si="78">IF(OR($AD15=0),"",AZ15/$AD15)</f>
        <v>0.10988218188276</v>
      </c>
      <c r="BL15" s="20">
        <f t="shared" si="78"/>
        <v>0.0477266042521398</v>
      </c>
      <c r="BM15" s="20">
        <f t="shared" si="78"/>
        <v>0.00625995460422926</v>
      </c>
      <c r="BN15" s="20">
        <f t="shared" si="78"/>
        <v>0.00850199508305049</v>
      </c>
      <c r="BO15" s="20">
        <f t="shared" si="78"/>
        <v>0.0597159712086072</v>
      </c>
    </row>
    <row r="16" spans="1:67">
      <c r="A16" s="9">
        <f t="shared" si="21"/>
        <v>44268</v>
      </c>
      <c r="B16" s="10">
        <v>17829.72</v>
      </c>
      <c r="C16" s="8">
        <v>97501.9</v>
      </c>
      <c r="D16" s="8">
        <v>63873.3</v>
      </c>
      <c r="E16" s="8">
        <v>61607.3</v>
      </c>
      <c r="F16" s="8">
        <v>7236.8</v>
      </c>
      <c r="G16" s="8">
        <v>118729.5</v>
      </c>
      <c r="H16" s="8">
        <v>5709.7</v>
      </c>
      <c r="I16" s="8">
        <v>2566.3</v>
      </c>
      <c r="J16" s="8">
        <v>967</v>
      </c>
      <c r="K16" s="8">
        <v>56</v>
      </c>
      <c r="L16" s="8">
        <v>96749.7</v>
      </c>
      <c r="M16" s="8">
        <v>61529.3</v>
      </c>
      <c r="N16" s="8">
        <v>78820.8</v>
      </c>
      <c r="O16" s="8">
        <v>107884.7</v>
      </c>
      <c r="P16" s="8">
        <v>6109.6</v>
      </c>
      <c r="Q16" s="8">
        <v>8031.7</v>
      </c>
      <c r="R16" s="8">
        <v>4739.5</v>
      </c>
      <c r="S16" s="8">
        <v>5789.8</v>
      </c>
      <c r="T16" s="8">
        <v>7548</v>
      </c>
      <c r="U16" s="8">
        <v>18352.9</v>
      </c>
      <c r="V16" s="8">
        <v>52973.2</v>
      </c>
      <c r="W16" s="8">
        <v>56140.1</v>
      </c>
      <c r="X16" s="8">
        <v>4705.9</v>
      </c>
      <c r="Y16" s="8">
        <v>4499.7</v>
      </c>
      <c r="Z16" s="15">
        <f t="shared" si="22"/>
        <v>65345.7</v>
      </c>
      <c r="AA16" s="8">
        <v>74100.2</v>
      </c>
      <c r="AB16" s="13">
        <v>7661</v>
      </c>
      <c r="AC16" s="7">
        <f t="shared" si="23"/>
        <v>81761.2</v>
      </c>
      <c r="AD16" s="16">
        <v>181476</v>
      </c>
      <c r="AE16" s="17">
        <f t="shared" ref="AE16:AI16" si="79">IF(OR(C17=""),"",(C17-C16)*80)</f>
        <v>0</v>
      </c>
      <c r="AF16" s="17">
        <f t="shared" si="79"/>
        <v>2983.99999999965</v>
      </c>
      <c r="AG16" s="17">
        <f t="shared" si="79"/>
        <v>2575.99999999977</v>
      </c>
      <c r="AH16" s="17">
        <f t="shared" si="79"/>
        <v>14.3999999999505</v>
      </c>
      <c r="AI16" s="17">
        <f t="shared" si="79"/>
        <v>2231.99999999953</v>
      </c>
      <c r="AJ16" s="17">
        <f t="shared" si="3"/>
        <v>7806.3999999989</v>
      </c>
      <c r="AK16" s="17">
        <f t="shared" ref="AK16:AN16" si="80">IF(OR(H17=""),"",(H17-H16)*80)</f>
        <v>0</v>
      </c>
      <c r="AL16" s="17">
        <f t="shared" si="80"/>
        <v>0</v>
      </c>
      <c r="AM16" s="17">
        <f t="shared" si="80"/>
        <v>0</v>
      </c>
      <c r="AN16" s="17">
        <f t="shared" si="80"/>
        <v>0</v>
      </c>
      <c r="AO16" s="17">
        <f t="shared" si="5"/>
        <v>0</v>
      </c>
      <c r="AP16" s="17">
        <f t="shared" ref="AP16:AS16" si="81">IF(OR(L17=""),"",(L17-L16)*100)</f>
        <v>2050</v>
      </c>
      <c r="AQ16" s="17">
        <f t="shared" si="81"/>
        <v>0</v>
      </c>
      <c r="AR16" s="17">
        <f t="shared" si="81"/>
        <v>2989.99999999942</v>
      </c>
      <c r="AS16" s="17">
        <f t="shared" si="81"/>
        <v>2300</v>
      </c>
      <c r="AT16" s="17">
        <f t="shared" si="7"/>
        <v>7339.99999999942</v>
      </c>
      <c r="AU16" s="17">
        <f t="shared" ref="AU16:AY16" si="82">IF(OR(P17=""),"",(P17-P16)*1000)</f>
        <v>3799.99999999927</v>
      </c>
      <c r="AV16" s="17">
        <f t="shared" si="82"/>
        <v>6900.00000000055</v>
      </c>
      <c r="AW16" s="17">
        <f t="shared" si="82"/>
        <v>0</v>
      </c>
      <c r="AX16" s="17">
        <f t="shared" si="82"/>
        <v>99.9999999994543</v>
      </c>
      <c r="AY16" s="17">
        <f t="shared" si="82"/>
        <v>9300.00000000018</v>
      </c>
      <c r="AZ16" s="17">
        <f t="shared" si="9"/>
        <v>20099.9999999995</v>
      </c>
      <c r="BA16" s="17">
        <f t="shared" si="10"/>
        <v>8799.99999999563</v>
      </c>
      <c r="BB16" s="17">
        <f t="shared" si="11"/>
        <v>1120</v>
      </c>
      <c r="BC16" s="17">
        <f t="shared" si="12"/>
        <v>1520</v>
      </c>
      <c r="BD16" s="17">
        <f t="shared" si="13"/>
        <v>10613.6000000022</v>
      </c>
      <c r="BE16" s="17">
        <f t="shared" si="14"/>
        <v>57299.9999999956</v>
      </c>
      <c r="BF16" s="17">
        <f t="shared" si="15"/>
        <v>46.8000000000029</v>
      </c>
      <c r="BG16" s="20">
        <f t="shared" si="16"/>
        <v>0.315744230642044</v>
      </c>
      <c r="BH16" s="20">
        <f t="shared" si="17"/>
        <v>0.0430161564063507</v>
      </c>
      <c r="BI16" s="20">
        <f t="shared" si="18"/>
        <v>0</v>
      </c>
      <c r="BJ16" s="20">
        <f t="shared" si="19"/>
        <v>0.0404461195970785</v>
      </c>
      <c r="BK16" s="20">
        <f t="shared" ref="BK16:BO16" si="83">IF(OR($AD16=0),"",AZ16/$AD16)</f>
        <v>0.110758447398</v>
      </c>
      <c r="BL16" s="20">
        <f t="shared" si="83"/>
        <v>0.0484912605523355</v>
      </c>
      <c r="BM16" s="20">
        <f t="shared" si="83"/>
        <v>0.00617161497939121</v>
      </c>
      <c r="BN16" s="20">
        <f t="shared" si="83"/>
        <v>0.00837576318631665</v>
      </c>
      <c r="BO16" s="20">
        <f t="shared" si="83"/>
        <v>0.0584848685225717</v>
      </c>
    </row>
    <row r="17" spans="1:67">
      <c r="A17" s="9">
        <f t="shared" si="21"/>
        <v>44269</v>
      </c>
      <c r="B17" s="10">
        <v>17835.45</v>
      </c>
      <c r="C17" s="8">
        <v>97501.9</v>
      </c>
      <c r="D17" s="8">
        <v>63910.6</v>
      </c>
      <c r="E17" s="8">
        <v>61639.5</v>
      </c>
      <c r="F17" s="8">
        <v>7236.98</v>
      </c>
      <c r="G17" s="8">
        <v>118757.4</v>
      </c>
      <c r="H17" s="8">
        <v>5709.7</v>
      </c>
      <c r="I17" s="8">
        <v>2566.3</v>
      </c>
      <c r="J17" s="8">
        <v>967</v>
      </c>
      <c r="K17" s="8">
        <v>56</v>
      </c>
      <c r="L17" s="8">
        <v>96770.2</v>
      </c>
      <c r="M17" s="8">
        <v>61529.3</v>
      </c>
      <c r="N17" s="8">
        <v>78850.7</v>
      </c>
      <c r="O17" s="8">
        <v>107907.7</v>
      </c>
      <c r="P17" s="8">
        <v>6113.4</v>
      </c>
      <c r="Q17" s="8">
        <v>8038.6</v>
      </c>
      <c r="R17" s="8">
        <v>4739.5</v>
      </c>
      <c r="S17" s="8">
        <v>5789.9</v>
      </c>
      <c r="T17" s="8">
        <v>7557.3</v>
      </c>
      <c r="U17" s="8">
        <v>18357.3</v>
      </c>
      <c r="V17" s="8">
        <v>52987.2</v>
      </c>
      <c r="W17" s="8">
        <v>56157</v>
      </c>
      <c r="X17" s="8">
        <v>4714.7</v>
      </c>
      <c r="Y17" s="8">
        <v>4512</v>
      </c>
      <c r="Z17" s="15">
        <f t="shared" si="22"/>
        <v>65383.7</v>
      </c>
      <c r="AA17" s="8">
        <v>74138</v>
      </c>
      <c r="AB17" s="13">
        <v>7670</v>
      </c>
      <c r="AC17" s="7">
        <f t="shared" si="23"/>
        <v>81808</v>
      </c>
      <c r="AD17" s="16">
        <v>179785</v>
      </c>
      <c r="AE17" s="17">
        <f t="shared" ref="AE17:AI17" si="84">IF(OR(C18=""),"",(C18-C17)*80)</f>
        <v>0</v>
      </c>
      <c r="AF17" s="17">
        <f t="shared" si="84"/>
        <v>1016.00000000035</v>
      </c>
      <c r="AG17" s="17">
        <f t="shared" si="84"/>
        <v>2807.99999999988</v>
      </c>
      <c r="AH17" s="17">
        <f t="shared" si="84"/>
        <v>1568.80000000005</v>
      </c>
      <c r="AI17" s="17">
        <f t="shared" si="84"/>
        <v>1800</v>
      </c>
      <c r="AJ17" s="17">
        <f t="shared" si="3"/>
        <v>7192.80000000028</v>
      </c>
      <c r="AK17" s="17">
        <f t="shared" ref="AK17:AN17" si="85">IF(OR(H18=""),"",(H18-H17)*80)</f>
        <v>0</v>
      </c>
      <c r="AL17" s="17">
        <f t="shared" si="85"/>
        <v>0</v>
      </c>
      <c r="AM17" s="17">
        <f t="shared" si="85"/>
        <v>0</v>
      </c>
      <c r="AN17" s="17">
        <f t="shared" si="85"/>
        <v>0</v>
      </c>
      <c r="AO17" s="17">
        <f t="shared" si="5"/>
        <v>0</v>
      </c>
      <c r="AP17" s="17">
        <f t="shared" ref="AP17:AS17" si="86">IF(OR(L18=""),"",(L18-L17)*100)</f>
        <v>1990.00000000087</v>
      </c>
      <c r="AQ17" s="17">
        <f t="shared" si="86"/>
        <v>0</v>
      </c>
      <c r="AR17" s="17">
        <f t="shared" si="86"/>
        <v>2990.00000000087</v>
      </c>
      <c r="AS17" s="17">
        <f t="shared" si="86"/>
        <v>2150</v>
      </c>
      <c r="AT17" s="17">
        <f t="shared" si="7"/>
        <v>7130.00000000175</v>
      </c>
      <c r="AU17" s="17">
        <f t="shared" ref="AU17:AY17" si="87">IF(OR(P18=""),"",(P18-P17)*1000)</f>
        <v>3800.00000000018</v>
      </c>
      <c r="AV17" s="17">
        <f t="shared" si="87"/>
        <v>7399.99999999964</v>
      </c>
      <c r="AW17" s="17">
        <f t="shared" si="87"/>
        <v>0</v>
      </c>
      <c r="AX17" s="17">
        <f t="shared" si="87"/>
        <v>0</v>
      </c>
      <c r="AY17" s="17">
        <f t="shared" si="87"/>
        <v>9500</v>
      </c>
      <c r="AZ17" s="17">
        <f t="shared" si="9"/>
        <v>20699.9999999998</v>
      </c>
      <c r="BA17" s="17">
        <f t="shared" si="10"/>
        <v>8800.00000000291</v>
      </c>
      <c r="BB17" s="17">
        <f t="shared" si="11"/>
        <v>1112.00000000012</v>
      </c>
      <c r="BC17" s="17">
        <f t="shared" si="12"/>
        <v>1547.99999999988</v>
      </c>
      <c r="BD17" s="17">
        <f t="shared" si="13"/>
        <v>11217.1999999996</v>
      </c>
      <c r="BE17" s="17">
        <f t="shared" si="14"/>
        <v>57700.0000000044</v>
      </c>
      <c r="BF17" s="17">
        <f t="shared" si="15"/>
        <v>45</v>
      </c>
      <c r="BG17" s="20">
        <f t="shared" si="16"/>
        <v>0.320938899240784</v>
      </c>
      <c r="BH17" s="20">
        <f t="shared" si="17"/>
        <v>0.0400077870790126</v>
      </c>
      <c r="BI17" s="20">
        <f t="shared" si="18"/>
        <v>0</v>
      </c>
      <c r="BJ17" s="20">
        <f t="shared" si="19"/>
        <v>0.0396584809633826</v>
      </c>
      <c r="BK17" s="20">
        <f t="shared" ref="BK17:BO17" si="88">IF(OR($AD17=0),"",AZ17/$AD17)</f>
        <v>0.115137525377533</v>
      </c>
      <c r="BL17" s="20">
        <f t="shared" si="88"/>
        <v>0.0489473537837023</v>
      </c>
      <c r="BM17" s="20">
        <f t="shared" si="88"/>
        <v>0.00618516561448461</v>
      </c>
      <c r="BN17" s="20">
        <f t="shared" si="88"/>
        <v>0.00861028450649322</v>
      </c>
      <c r="BO17" s="20">
        <f t="shared" si="88"/>
        <v>0.0623923019161755</v>
      </c>
    </row>
    <row r="18" spans="1:67">
      <c r="A18" s="9">
        <f t="shared" si="21"/>
        <v>44270</v>
      </c>
      <c r="B18" s="10">
        <v>17841.22</v>
      </c>
      <c r="C18" s="8">
        <v>97501.9</v>
      </c>
      <c r="D18" s="8">
        <v>63923.3</v>
      </c>
      <c r="E18" s="8">
        <v>61674.6</v>
      </c>
      <c r="F18" s="8">
        <v>7256.59</v>
      </c>
      <c r="G18" s="8">
        <v>118779.9</v>
      </c>
      <c r="H18" s="8">
        <v>5709.7</v>
      </c>
      <c r="I18" s="8">
        <v>2566.3</v>
      </c>
      <c r="J18" s="8">
        <v>967</v>
      </c>
      <c r="K18" s="8">
        <v>56</v>
      </c>
      <c r="L18" s="8">
        <v>96790.1</v>
      </c>
      <c r="M18" s="8">
        <v>61529.3</v>
      </c>
      <c r="N18" s="8">
        <v>78880.6</v>
      </c>
      <c r="O18" s="8">
        <v>107929.2</v>
      </c>
      <c r="P18" s="8">
        <v>6117.2</v>
      </c>
      <c r="Q18" s="8">
        <v>8046</v>
      </c>
      <c r="R18" s="8">
        <v>4739.5</v>
      </c>
      <c r="S18" s="8">
        <v>5789.9</v>
      </c>
      <c r="T18" s="8">
        <v>7566.8</v>
      </c>
      <c r="U18" s="8">
        <v>18361.7</v>
      </c>
      <c r="V18" s="8">
        <v>53001.1</v>
      </c>
      <c r="W18" s="8">
        <v>56174</v>
      </c>
      <c r="X18" s="8">
        <v>4723.7</v>
      </c>
      <c r="Y18" s="8">
        <v>4524.7</v>
      </c>
      <c r="Z18" s="15">
        <f t="shared" si="22"/>
        <v>65422.4</v>
      </c>
      <c r="AA18" s="8">
        <v>74176</v>
      </c>
      <c r="AB18" s="13">
        <v>7677</v>
      </c>
      <c r="AC18" s="7">
        <f t="shared" si="23"/>
        <v>81853</v>
      </c>
      <c r="AD18" s="16">
        <v>168557</v>
      </c>
      <c r="AE18" s="17">
        <f t="shared" ref="AE18:AI18" si="89">IF(OR(C19=""),"",(C19-C18)*80)</f>
        <v>0</v>
      </c>
      <c r="AF18" s="17">
        <f t="shared" si="89"/>
        <v>2943.99999999965</v>
      </c>
      <c r="AG18" s="17">
        <f t="shared" si="89"/>
        <v>2336.00000000035</v>
      </c>
      <c r="AH18" s="17">
        <f t="shared" si="89"/>
        <v>4.00000000001455</v>
      </c>
      <c r="AI18" s="17">
        <f t="shared" si="89"/>
        <v>1944.00000000023</v>
      </c>
      <c r="AJ18" s="17">
        <f t="shared" si="3"/>
        <v>7228.00000000025</v>
      </c>
      <c r="AK18" s="17">
        <f t="shared" ref="AK18:AN18" si="90">IF(OR(H19=""),"",(H19-H18)*80)</f>
        <v>0</v>
      </c>
      <c r="AL18" s="17">
        <f t="shared" si="90"/>
        <v>0</v>
      </c>
      <c r="AM18" s="17">
        <f t="shared" si="90"/>
        <v>0</v>
      </c>
      <c r="AN18" s="17">
        <f t="shared" si="90"/>
        <v>0</v>
      </c>
      <c r="AO18" s="17">
        <f t="shared" si="5"/>
        <v>0</v>
      </c>
      <c r="AP18" s="17">
        <f t="shared" ref="AP18:AS18" si="91">IF(OR(L19=""),"",(L19-L18)*100)</f>
        <v>1619.99999999971</v>
      </c>
      <c r="AQ18" s="17">
        <f t="shared" si="91"/>
        <v>0</v>
      </c>
      <c r="AR18" s="17">
        <f t="shared" si="91"/>
        <v>3009.99999999913</v>
      </c>
      <c r="AS18" s="17">
        <f t="shared" si="91"/>
        <v>2210.00000000058</v>
      </c>
      <c r="AT18" s="17">
        <f t="shared" si="7"/>
        <v>6839.99999999942</v>
      </c>
      <c r="AU18" s="17">
        <f t="shared" ref="AU18:AY18" si="92">IF(OR(P19=""),"",(P19-P18)*1000)</f>
        <v>3699.99999999982</v>
      </c>
      <c r="AV18" s="17">
        <f t="shared" si="92"/>
        <v>6899.99999999964</v>
      </c>
      <c r="AW18" s="17">
        <f t="shared" si="92"/>
        <v>0</v>
      </c>
      <c r="AX18" s="17">
        <f t="shared" si="92"/>
        <v>0</v>
      </c>
      <c r="AY18" s="17">
        <f t="shared" si="92"/>
        <v>9000</v>
      </c>
      <c r="AZ18" s="17">
        <f t="shared" si="9"/>
        <v>19599.9999999995</v>
      </c>
      <c r="BA18" s="17">
        <f t="shared" si="10"/>
        <v>10000</v>
      </c>
      <c r="BB18" s="17">
        <f t="shared" si="11"/>
        <v>647.999999999884</v>
      </c>
      <c r="BC18" s="17">
        <f t="shared" si="12"/>
        <v>1536.00000000006</v>
      </c>
      <c r="BD18" s="17">
        <f t="shared" si="13"/>
        <v>9047.99999998057</v>
      </c>
      <c r="BE18" s="17">
        <f t="shared" si="14"/>
        <v>54899.9999999796</v>
      </c>
      <c r="BF18" s="17">
        <f t="shared" si="15"/>
        <v>50</v>
      </c>
      <c r="BG18" s="20">
        <f t="shared" si="16"/>
        <v>0.325705844313672</v>
      </c>
      <c r="BH18" s="20">
        <f t="shared" si="17"/>
        <v>0.042881636479056</v>
      </c>
      <c r="BI18" s="20">
        <f t="shared" si="18"/>
        <v>0</v>
      </c>
      <c r="BJ18" s="20">
        <f t="shared" si="19"/>
        <v>0.0405797445374527</v>
      </c>
      <c r="BK18" s="20">
        <f t="shared" ref="BK18:BO18" si="93">IF(OR($AD18=0),"",AZ18/$AD18)</f>
        <v>0.116281139317854</v>
      </c>
      <c r="BL18" s="20">
        <f t="shared" si="93"/>
        <v>0.0593271118968658</v>
      </c>
      <c r="BM18" s="20">
        <f t="shared" si="93"/>
        <v>0.00384439685091621</v>
      </c>
      <c r="BN18" s="20">
        <f t="shared" si="93"/>
        <v>0.00911264438735892</v>
      </c>
      <c r="BO18" s="20">
        <f t="shared" si="93"/>
        <v>0.0536791708441688</v>
      </c>
    </row>
    <row r="19" spans="1:67">
      <c r="A19" s="9">
        <f t="shared" si="21"/>
        <v>44271</v>
      </c>
      <c r="B19" s="10">
        <v>17846.71</v>
      </c>
      <c r="C19" s="8">
        <v>97501.9</v>
      </c>
      <c r="D19" s="8">
        <v>63960.1</v>
      </c>
      <c r="E19" s="8">
        <v>61703.8</v>
      </c>
      <c r="F19" s="8">
        <v>7256.64</v>
      </c>
      <c r="G19" s="8">
        <v>118804.2</v>
      </c>
      <c r="H19" s="8">
        <v>5709.7</v>
      </c>
      <c r="I19" s="8">
        <v>2566.3</v>
      </c>
      <c r="J19" s="8">
        <v>967</v>
      </c>
      <c r="K19" s="8">
        <v>56</v>
      </c>
      <c r="L19" s="8">
        <v>96806.3</v>
      </c>
      <c r="M19" s="8">
        <v>61529.3</v>
      </c>
      <c r="N19" s="8">
        <v>78910.7</v>
      </c>
      <c r="O19" s="8">
        <v>107951.3</v>
      </c>
      <c r="P19" s="8">
        <v>6120.9</v>
      </c>
      <c r="Q19" s="8">
        <v>8052.9</v>
      </c>
      <c r="R19" s="8">
        <v>4739.5</v>
      </c>
      <c r="S19" s="8">
        <v>5789.9</v>
      </c>
      <c r="T19" s="8">
        <v>7575.8</v>
      </c>
      <c r="U19" s="8">
        <v>18366.7</v>
      </c>
      <c r="V19" s="8">
        <v>53009.2</v>
      </c>
      <c r="W19" s="8">
        <v>56191.1</v>
      </c>
      <c r="X19" s="8">
        <v>4732.5</v>
      </c>
      <c r="Y19" s="8">
        <v>4537.2</v>
      </c>
      <c r="Z19" s="15">
        <f t="shared" si="22"/>
        <v>65460.8</v>
      </c>
      <c r="AA19" s="8">
        <v>74217</v>
      </c>
      <c r="AB19" s="13">
        <v>7686</v>
      </c>
      <c r="AC19" s="7">
        <f t="shared" si="23"/>
        <v>81903</v>
      </c>
      <c r="AD19" s="16">
        <v>180856</v>
      </c>
      <c r="AE19" s="17">
        <f t="shared" ref="AE19:AI19" si="94">IF(OR(C20=""),"",(C20-C19)*80)</f>
        <v>0</v>
      </c>
      <c r="AF19" s="17">
        <f t="shared" si="94"/>
        <v>2856.00000000035</v>
      </c>
      <c r="AG19" s="17">
        <f t="shared" si="94"/>
        <v>2527.99999999988</v>
      </c>
      <c r="AH19" s="17">
        <f t="shared" si="94"/>
        <v>4.79999999995925</v>
      </c>
      <c r="AI19" s="17">
        <f t="shared" si="94"/>
        <v>2248.00000000047</v>
      </c>
      <c r="AJ19" s="17">
        <f t="shared" si="3"/>
        <v>7636.80000000066</v>
      </c>
      <c r="AK19" s="17">
        <f t="shared" ref="AK19:AN19" si="95">IF(OR(H20=""),"",(H20-H19)*80)</f>
        <v>0</v>
      </c>
      <c r="AL19" s="17">
        <f t="shared" si="95"/>
        <v>0</v>
      </c>
      <c r="AM19" s="17">
        <f t="shared" si="95"/>
        <v>0</v>
      </c>
      <c r="AN19" s="17">
        <f t="shared" si="95"/>
        <v>0</v>
      </c>
      <c r="AO19" s="17">
        <f t="shared" si="5"/>
        <v>0</v>
      </c>
      <c r="AP19" s="17">
        <f t="shared" ref="AP19:AS19" si="96">IF(OR(L20=""),"",(L20-L19)*100)</f>
        <v>2169.99999999971</v>
      </c>
      <c r="AQ19" s="17">
        <f t="shared" si="96"/>
        <v>0</v>
      </c>
      <c r="AR19" s="17">
        <f t="shared" si="96"/>
        <v>2910.00000000058</v>
      </c>
      <c r="AS19" s="17">
        <f t="shared" si="96"/>
        <v>2139.99999999942</v>
      </c>
      <c r="AT19" s="17">
        <f t="shared" si="7"/>
        <v>7219.99999999971</v>
      </c>
      <c r="AU19" s="17">
        <f t="shared" ref="AU19:AY19" si="97">IF(OR(P20=""),"",(P20-P19)*1000)</f>
        <v>3700.00000000073</v>
      </c>
      <c r="AV19" s="17">
        <f t="shared" si="97"/>
        <v>6800.00000000018</v>
      </c>
      <c r="AW19" s="17">
        <f t="shared" si="97"/>
        <v>0</v>
      </c>
      <c r="AX19" s="17">
        <f t="shared" si="97"/>
        <v>0</v>
      </c>
      <c r="AY19" s="17">
        <f t="shared" si="97"/>
        <v>8599.99999999945</v>
      </c>
      <c r="AZ19" s="17">
        <f t="shared" si="9"/>
        <v>19100.0000000004</v>
      </c>
      <c r="BA19" s="17">
        <f t="shared" si="10"/>
        <v>8000</v>
      </c>
      <c r="BB19" s="17">
        <f t="shared" si="11"/>
        <v>912.000000000116</v>
      </c>
      <c r="BC19" s="17">
        <f t="shared" si="12"/>
        <v>1468.00000000017</v>
      </c>
      <c r="BD19" s="17">
        <f t="shared" si="13"/>
        <v>11763.2000000048</v>
      </c>
      <c r="BE19" s="17">
        <f t="shared" si="14"/>
        <v>56100.0000000058</v>
      </c>
      <c r="BF19" s="17">
        <f t="shared" si="15"/>
        <v>43</v>
      </c>
      <c r="BG19" s="20">
        <f t="shared" si="16"/>
        <v>0.310191533595821</v>
      </c>
      <c r="BH19" s="20">
        <f t="shared" si="17"/>
        <v>0.0422258592471395</v>
      </c>
      <c r="BI19" s="20">
        <f t="shared" si="18"/>
        <v>0</v>
      </c>
      <c r="BJ19" s="20">
        <f t="shared" si="19"/>
        <v>0.039921263325517</v>
      </c>
      <c r="BK19" s="20">
        <f t="shared" ref="BK19:BO19" si="98">IF(OR($AD19=0),"",AZ19/$AD19)</f>
        <v>0.105608882204629</v>
      </c>
      <c r="BL19" s="20">
        <f t="shared" si="98"/>
        <v>0.0442340867872783</v>
      </c>
      <c r="BM19" s="20">
        <f t="shared" si="98"/>
        <v>0.00504268589375037</v>
      </c>
      <c r="BN19" s="20">
        <f t="shared" si="98"/>
        <v>0.00811695492546653</v>
      </c>
      <c r="BO19" s="20">
        <f t="shared" si="98"/>
        <v>0.0650418012120405</v>
      </c>
    </row>
    <row r="20" spans="1:67">
      <c r="A20" s="9">
        <f t="shared" si="21"/>
        <v>44272</v>
      </c>
      <c r="B20" s="10">
        <v>17852.32</v>
      </c>
      <c r="C20" s="8">
        <v>97501.9</v>
      </c>
      <c r="D20" s="8">
        <v>63995.8</v>
      </c>
      <c r="E20" s="8">
        <v>61735.4</v>
      </c>
      <c r="F20" s="8">
        <v>7256.7</v>
      </c>
      <c r="G20" s="8">
        <v>118832.3</v>
      </c>
      <c r="H20" s="8">
        <v>5709.7</v>
      </c>
      <c r="I20" s="8">
        <v>2566.3</v>
      </c>
      <c r="J20" s="8">
        <v>967</v>
      </c>
      <c r="K20" s="8">
        <v>56</v>
      </c>
      <c r="L20" s="8">
        <v>96828</v>
      </c>
      <c r="M20" s="8">
        <v>61529.3</v>
      </c>
      <c r="N20" s="8">
        <v>78939.8</v>
      </c>
      <c r="O20" s="8">
        <v>107972.7</v>
      </c>
      <c r="P20" s="8">
        <v>6124.6</v>
      </c>
      <c r="Q20" s="8">
        <v>8059.7</v>
      </c>
      <c r="R20" s="8">
        <v>4739.5</v>
      </c>
      <c r="S20" s="8">
        <v>5789.9</v>
      </c>
      <c r="T20" s="8">
        <v>7584.4</v>
      </c>
      <c r="U20" s="8">
        <v>18370.7</v>
      </c>
      <c r="V20" s="8">
        <v>53020.6</v>
      </c>
      <c r="W20" s="8">
        <v>56207.6</v>
      </c>
      <c r="X20" s="8">
        <v>4740.8</v>
      </c>
      <c r="Y20" s="8">
        <v>4549.1</v>
      </c>
      <c r="Z20" s="15">
        <f t="shared" si="22"/>
        <v>65497.5</v>
      </c>
      <c r="AA20" s="8">
        <v>74253</v>
      </c>
      <c r="AB20" s="13">
        <v>7693</v>
      </c>
      <c r="AC20" s="7">
        <f t="shared" si="23"/>
        <v>81946</v>
      </c>
      <c r="AD20" s="16">
        <v>193533</v>
      </c>
      <c r="AE20" s="17">
        <f t="shared" ref="AE20:AI20" si="99">IF(OR(C21=""),"",(C21-C20)*80)</f>
        <v>0</v>
      </c>
      <c r="AF20" s="17">
        <f t="shared" si="99"/>
        <v>1343.99999999965</v>
      </c>
      <c r="AG20" s="17">
        <f t="shared" si="99"/>
        <v>3207.99999999988</v>
      </c>
      <c r="AH20" s="17">
        <f t="shared" si="99"/>
        <v>1415.99999999999</v>
      </c>
      <c r="AI20" s="17">
        <f t="shared" si="99"/>
        <v>2255.99999999977</v>
      </c>
      <c r="AJ20" s="17">
        <f t="shared" si="3"/>
        <v>8223.99999999929</v>
      </c>
      <c r="AK20" s="17">
        <f t="shared" ref="AK20:AN23" si="100">IF(OR(H21=""),"",(H21-H20)*80)</f>
        <v>0</v>
      </c>
      <c r="AL20" s="17">
        <f t="shared" si="100"/>
        <v>0</v>
      </c>
      <c r="AM20" s="17">
        <f t="shared" si="100"/>
        <v>0</v>
      </c>
      <c r="AN20" s="17">
        <f t="shared" si="100"/>
        <v>0</v>
      </c>
      <c r="AO20" s="17">
        <f t="shared" si="5"/>
        <v>0</v>
      </c>
      <c r="AP20" s="17">
        <f t="shared" ref="AP20:AS20" si="101">IF(OR(L21=""),"",(L21-L20)*100)</f>
        <v>2710.00000000058</v>
      </c>
      <c r="AQ20" s="17">
        <f t="shared" si="101"/>
        <v>0</v>
      </c>
      <c r="AR20" s="17">
        <f t="shared" si="101"/>
        <v>3100</v>
      </c>
      <c r="AS20" s="17">
        <f t="shared" si="101"/>
        <v>2260.00000000058</v>
      </c>
      <c r="AT20" s="17">
        <f t="shared" si="7"/>
        <v>8070.00000000116</v>
      </c>
      <c r="AU20" s="17">
        <f t="shared" ref="AU20:AY20" si="102">IF(OR(P21=""),"",(P21-P20)*1000)</f>
        <v>3099.99999999945</v>
      </c>
      <c r="AV20" s="17">
        <f t="shared" si="102"/>
        <v>6100.00000000036</v>
      </c>
      <c r="AW20" s="17">
        <f t="shared" si="102"/>
        <v>0</v>
      </c>
      <c r="AX20" s="17">
        <f t="shared" si="102"/>
        <v>500</v>
      </c>
      <c r="AY20" s="17">
        <f t="shared" si="102"/>
        <v>8900.00000000055</v>
      </c>
      <c r="AZ20" s="17">
        <f t="shared" si="9"/>
        <v>18600.0000000004</v>
      </c>
      <c r="BA20" s="17">
        <f t="shared" si="10"/>
        <v>9799.99999999563</v>
      </c>
      <c r="BB20" s="17">
        <f t="shared" si="11"/>
        <v>847.999999999884</v>
      </c>
      <c r="BC20" s="17">
        <f t="shared" si="12"/>
        <v>1572.00000000012</v>
      </c>
      <c r="BD20" s="17">
        <f t="shared" si="13"/>
        <v>10286.0000000196</v>
      </c>
      <c r="BE20" s="17">
        <f t="shared" si="14"/>
        <v>57400.000000016</v>
      </c>
      <c r="BF20" s="17">
        <f t="shared" si="15"/>
        <v>50</v>
      </c>
      <c r="BG20" s="20">
        <f t="shared" si="16"/>
        <v>0.296590245591274</v>
      </c>
      <c r="BH20" s="20">
        <f t="shared" si="17"/>
        <v>0.042494044943236</v>
      </c>
      <c r="BI20" s="20">
        <f t="shared" si="18"/>
        <v>0</v>
      </c>
      <c r="BJ20" s="20">
        <f t="shared" si="19"/>
        <v>0.0416983150160498</v>
      </c>
      <c r="BK20" s="20">
        <f t="shared" ref="BK20:BO20" si="103">IF(OR($AD20=0),"",AZ20/$AD20)</f>
        <v>0.0961076405574262</v>
      </c>
      <c r="BL20" s="20">
        <f t="shared" si="103"/>
        <v>0.0506373590033515</v>
      </c>
      <c r="BM20" s="20">
        <f t="shared" si="103"/>
        <v>0.00438168167702606</v>
      </c>
      <c r="BN20" s="20">
        <f t="shared" si="103"/>
        <v>0.00812264575033775</v>
      </c>
      <c r="BO20" s="20">
        <f t="shared" si="103"/>
        <v>0.0531485586438466</v>
      </c>
    </row>
    <row r="21" spans="1:67">
      <c r="A21" s="9">
        <f t="shared" si="21"/>
        <v>44273</v>
      </c>
      <c r="B21" s="10">
        <v>17858.06</v>
      </c>
      <c r="C21" s="8">
        <v>97501.9</v>
      </c>
      <c r="D21" s="8">
        <v>64012.6</v>
      </c>
      <c r="E21" s="8">
        <v>61775.5</v>
      </c>
      <c r="F21" s="8">
        <v>7274.4</v>
      </c>
      <c r="G21" s="8">
        <v>118860.5</v>
      </c>
      <c r="H21" s="8">
        <v>5709.7</v>
      </c>
      <c r="I21" s="8">
        <v>2566.3</v>
      </c>
      <c r="J21" s="8">
        <v>967</v>
      </c>
      <c r="K21" s="8">
        <v>56</v>
      </c>
      <c r="L21" s="8">
        <v>96855.1</v>
      </c>
      <c r="M21" s="8">
        <v>61529.3</v>
      </c>
      <c r="N21" s="8">
        <v>78970.8</v>
      </c>
      <c r="O21" s="8">
        <v>107995.3</v>
      </c>
      <c r="P21" s="8">
        <v>6127.7</v>
      </c>
      <c r="Q21" s="8">
        <v>8065.8</v>
      </c>
      <c r="R21" s="8">
        <v>4739.5</v>
      </c>
      <c r="S21" s="8">
        <v>5790.4</v>
      </c>
      <c r="T21" s="8">
        <v>7593.3</v>
      </c>
      <c r="U21" s="8">
        <v>18375.6</v>
      </c>
      <c r="V21" s="8">
        <v>53031.2</v>
      </c>
      <c r="W21" s="8">
        <v>56225.1</v>
      </c>
      <c r="X21" s="8">
        <v>4749.9</v>
      </c>
      <c r="Y21" s="8">
        <v>4561.8</v>
      </c>
      <c r="Z21" s="15">
        <f t="shared" si="22"/>
        <v>65536.8</v>
      </c>
      <c r="AA21" s="8">
        <v>74295</v>
      </c>
      <c r="AB21" s="13">
        <v>7701</v>
      </c>
      <c r="AC21" s="7">
        <f t="shared" si="23"/>
        <v>81996</v>
      </c>
      <c r="AD21" s="16">
        <v>201101</v>
      </c>
      <c r="AE21" s="17">
        <f t="shared" ref="AE21:AI21" si="104">IF(OR(C22=""),"",(C22-C21)*80)</f>
        <v>0</v>
      </c>
      <c r="AF21" s="17">
        <f t="shared" si="104"/>
        <v>2872.00000000012</v>
      </c>
      <c r="AG21" s="17">
        <f t="shared" si="104"/>
        <v>2775.99999999977</v>
      </c>
      <c r="AH21" s="17">
        <f t="shared" si="104"/>
        <v>16.0000000000582</v>
      </c>
      <c r="AI21" s="17">
        <f t="shared" si="104"/>
        <v>2000</v>
      </c>
      <c r="AJ21" s="17">
        <f t="shared" si="3"/>
        <v>7663.99999999994</v>
      </c>
      <c r="AK21" s="17">
        <f t="shared" si="100"/>
        <v>0</v>
      </c>
      <c r="AL21" s="17">
        <f t="shared" si="100"/>
        <v>0</v>
      </c>
      <c r="AM21" s="17">
        <f t="shared" si="100"/>
        <v>0</v>
      </c>
      <c r="AN21" s="17">
        <f t="shared" si="100"/>
        <v>0</v>
      </c>
      <c r="AO21" s="17">
        <f t="shared" si="5"/>
        <v>0</v>
      </c>
      <c r="AP21" s="17">
        <f t="shared" ref="AP21:AS21" si="105">IF(OR(L22=""),"",(L22-L21)*100)</f>
        <v>3019.99999999971</v>
      </c>
      <c r="AQ21" s="17">
        <f t="shared" si="105"/>
        <v>0</v>
      </c>
      <c r="AR21" s="17">
        <f t="shared" si="105"/>
        <v>2950</v>
      </c>
      <c r="AS21" s="17">
        <f t="shared" si="105"/>
        <v>2139.99999999942</v>
      </c>
      <c r="AT21" s="17">
        <f t="shared" si="7"/>
        <v>8109.99999999913</v>
      </c>
      <c r="AU21" s="17">
        <f t="shared" ref="AU21:AY21" si="106">IF(OR(P22=""),"",(P22-P21)*1000)</f>
        <v>3900.00000000055</v>
      </c>
      <c r="AV21" s="17">
        <f t="shared" si="106"/>
        <v>0</v>
      </c>
      <c r="AW21" s="17">
        <f t="shared" si="106"/>
        <v>0</v>
      </c>
      <c r="AX21" s="17">
        <f t="shared" si="106"/>
        <v>0</v>
      </c>
      <c r="AY21" s="17">
        <f t="shared" si="106"/>
        <v>9399.99999999964</v>
      </c>
      <c r="AZ21" s="17">
        <f t="shared" si="9"/>
        <v>13300.0000000002</v>
      </c>
      <c r="BA21" s="17">
        <f t="shared" si="10"/>
        <v>9400.00000000146</v>
      </c>
      <c r="BB21" s="17">
        <f t="shared" si="11"/>
        <v>1152.00000000012</v>
      </c>
      <c r="BC21" s="17">
        <f t="shared" si="12"/>
        <v>1471.99999999953</v>
      </c>
      <c r="BD21" s="17">
        <f t="shared" si="13"/>
        <v>10001.9999999691</v>
      </c>
      <c r="BE21" s="17">
        <f t="shared" si="14"/>
        <v>51099.9999999694</v>
      </c>
      <c r="BF21" s="17">
        <f t="shared" si="15"/>
        <v>46</v>
      </c>
      <c r="BG21" s="20">
        <f t="shared" si="16"/>
        <v>0.25410117304225</v>
      </c>
      <c r="BH21" s="20">
        <f t="shared" si="17"/>
        <v>0.0381102033306644</v>
      </c>
      <c r="BI21" s="20">
        <f t="shared" si="18"/>
        <v>0</v>
      </c>
      <c r="BJ21" s="20">
        <f t="shared" si="19"/>
        <v>0.0403279943908739</v>
      </c>
      <c r="BK21" s="20">
        <f t="shared" ref="BK21:BO21" si="107">IF(OR($AD21=0),"",AZ21/$AD21)</f>
        <v>0.066135921750763</v>
      </c>
      <c r="BL21" s="20">
        <f t="shared" si="107"/>
        <v>0.0467426815381398</v>
      </c>
      <c r="BM21" s="20">
        <f t="shared" si="107"/>
        <v>0.00572846480126959</v>
      </c>
      <c r="BN21" s="20">
        <f t="shared" si="107"/>
        <v>0.00731970502384142</v>
      </c>
      <c r="BO21" s="20">
        <f t="shared" si="107"/>
        <v>0.0497362022066976</v>
      </c>
    </row>
    <row r="22" spans="1:67">
      <c r="A22" s="9">
        <f t="shared" si="21"/>
        <v>44274</v>
      </c>
      <c r="B22" s="10">
        <v>17863.17</v>
      </c>
      <c r="C22" s="8">
        <v>97501.9</v>
      </c>
      <c r="D22" s="8">
        <v>64048.5</v>
      </c>
      <c r="E22" s="8">
        <v>61810.2</v>
      </c>
      <c r="F22" s="8">
        <v>7274.6</v>
      </c>
      <c r="G22" s="8">
        <v>118885.5</v>
      </c>
      <c r="H22" s="8">
        <v>5709.7</v>
      </c>
      <c r="I22" s="8">
        <v>2566.3</v>
      </c>
      <c r="J22" s="8">
        <v>967</v>
      </c>
      <c r="K22" s="8">
        <v>56</v>
      </c>
      <c r="L22" s="8">
        <v>96885.3</v>
      </c>
      <c r="M22" s="8">
        <v>61529.3</v>
      </c>
      <c r="N22" s="8">
        <v>79000.3</v>
      </c>
      <c r="O22" s="8">
        <v>108016.7</v>
      </c>
      <c r="P22" s="8">
        <v>6131.6</v>
      </c>
      <c r="Q22" s="8">
        <v>8065.8</v>
      </c>
      <c r="R22" s="8">
        <v>4739.5</v>
      </c>
      <c r="S22" s="8">
        <v>5790.4</v>
      </c>
      <c r="T22" s="8">
        <v>7602.7</v>
      </c>
      <c r="U22" s="8">
        <v>18380.3</v>
      </c>
      <c r="V22" s="8">
        <v>53045.6</v>
      </c>
      <c r="W22" s="8">
        <v>56241.6</v>
      </c>
      <c r="X22" s="8">
        <v>4758.2</v>
      </c>
      <c r="Y22" s="8">
        <v>4573.8</v>
      </c>
      <c r="Z22" s="15">
        <f t="shared" si="22"/>
        <v>65573.6</v>
      </c>
      <c r="AA22" s="8">
        <v>74335</v>
      </c>
      <c r="AB22" s="13">
        <v>7707</v>
      </c>
      <c r="AC22" s="7">
        <f t="shared" si="23"/>
        <v>82042</v>
      </c>
      <c r="AD22" s="16">
        <v>200936</v>
      </c>
      <c r="AE22" s="17">
        <f t="shared" ref="AE22:AI22" si="108">IF(OR(C23=""),"",(C23-C22)*80)</f>
        <v>0</v>
      </c>
      <c r="AF22" s="17">
        <f t="shared" si="108"/>
        <v>3127.99999999988</v>
      </c>
      <c r="AG22" s="17">
        <f t="shared" si="108"/>
        <v>3528.00000000047</v>
      </c>
      <c r="AH22" s="17">
        <f t="shared" si="108"/>
        <v>0</v>
      </c>
      <c r="AI22" s="17">
        <f t="shared" si="108"/>
        <v>2368.00000000047</v>
      </c>
      <c r="AJ22" s="17">
        <f t="shared" si="3"/>
        <v>9024.00000000081</v>
      </c>
      <c r="AK22" s="17">
        <f t="shared" si="100"/>
        <v>0</v>
      </c>
      <c r="AL22" s="17">
        <f t="shared" si="100"/>
        <v>0</v>
      </c>
      <c r="AM22" s="17">
        <f t="shared" si="100"/>
        <v>0</v>
      </c>
      <c r="AN22" s="17">
        <f t="shared" si="100"/>
        <v>0</v>
      </c>
      <c r="AO22" s="17">
        <f t="shared" si="5"/>
        <v>0</v>
      </c>
      <c r="AP22" s="17">
        <f t="shared" ref="AP22:AS22" si="109">IF(OR(L23=""),"",(L23-L22)*100)</f>
        <v>3159.99999999913</v>
      </c>
      <c r="AQ22" s="17">
        <f t="shared" si="109"/>
        <v>0</v>
      </c>
      <c r="AR22" s="17">
        <f t="shared" si="109"/>
        <v>3169.99999999971</v>
      </c>
      <c r="AS22" s="17">
        <f t="shared" si="109"/>
        <v>2300</v>
      </c>
      <c r="AT22" s="17">
        <f t="shared" si="7"/>
        <v>8629.99999999884</v>
      </c>
      <c r="AU22" s="17">
        <f t="shared" ref="AU22:AY22" si="110">IF(OR(P23=""),"",(P23-P22)*1000)</f>
        <v>2000</v>
      </c>
      <c r="AV22" s="17">
        <f t="shared" si="110"/>
        <v>1300.00000000018</v>
      </c>
      <c r="AW22" s="17">
        <f t="shared" si="110"/>
        <v>0</v>
      </c>
      <c r="AX22" s="17">
        <f t="shared" si="110"/>
        <v>2900.00000000055</v>
      </c>
      <c r="AY22" s="17">
        <f t="shared" si="110"/>
        <v>10100.0000000004</v>
      </c>
      <c r="AZ22" s="17">
        <f t="shared" si="9"/>
        <v>16300.0000000011</v>
      </c>
      <c r="BA22" s="17">
        <f t="shared" si="10"/>
        <v>9599.99999999854</v>
      </c>
      <c r="BB22" s="17">
        <f t="shared" si="11"/>
        <v>1120</v>
      </c>
      <c r="BC22" s="17">
        <f t="shared" si="12"/>
        <v>1584.00000000081</v>
      </c>
      <c r="BD22" s="17">
        <f t="shared" si="13"/>
        <v>11342.0000000203</v>
      </c>
      <c r="BE22" s="17">
        <f t="shared" si="14"/>
        <v>57600.0000000204</v>
      </c>
      <c r="BF22" s="17">
        <f t="shared" si="15"/>
        <v>53.1999999999971</v>
      </c>
      <c r="BG22" s="20">
        <f t="shared" si="16"/>
        <v>0.286658438507885</v>
      </c>
      <c r="BH22" s="20">
        <f t="shared" si="17"/>
        <v>0.0449098220328902</v>
      </c>
      <c r="BI22" s="20">
        <f t="shared" si="18"/>
        <v>0</v>
      </c>
      <c r="BJ22" s="20">
        <f t="shared" si="19"/>
        <v>0.042948998686143</v>
      </c>
      <c r="BK22" s="20">
        <f t="shared" ref="BK22:BO22" si="111">IF(OR($AD22=0),"",AZ22/$AD22)</f>
        <v>0.0811203567305067</v>
      </c>
      <c r="BL22" s="20">
        <f t="shared" si="111"/>
        <v>0.0477764064179567</v>
      </c>
      <c r="BM22" s="20">
        <f t="shared" si="111"/>
        <v>0.00557391408209579</v>
      </c>
      <c r="BN22" s="20">
        <f t="shared" si="111"/>
        <v>0.0078831070589681</v>
      </c>
      <c r="BO22" s="20">
        <f t="shared" si="111"/>
        <v>0.0564458334993245</v>
      </c>
    </row>
    <row r="23" spans="1:67">
      <c r="A23" s="9">
        <f t="shared" si="21"/>
        <v>44275</v>
      </c>
      <c r="B23" s="10">
        <v>17868.93</v>
      </c>
      <c r="C23" s="8">
        <v>97501.9</v>
      </c>
      <c r="D23" s="8">
        <v>64087.6</v>
      </c>
      <c r="E23" s="8">
        <v>61854.3</v>
      </c>
      <c r="F23" s="8">
        <v>7274.6</v>
      </c>
      <c r="G23" s="8">
        <v>118915.1</v>
      </c>
      <c r="H23" s="8">
        <v>5709.7</v>
      </c>
      <c r="I23" s="8">
        <v>2566.3</v>
      </c>
      <c r="J23" s="8">
        <v>967</v>
      </c>
      <c r="K23" s="8">
        <v>56</v>
      </c>
      <c r="L23" s="8">
        <v>96916.9</v>
      </c>
      <c r="M23" s="8">
        <v>61529.3</v>
      </c>
      <c r="N23" s="8">
        <v>79032</v>
      </c>
      <c r="O23" s="8">
        <v>108039.7</v>
      </c>
      <c r="P23" s="8">
        <v>6133.6</v>
      </c>
      <c r="Q23" s="8">
        <v>8067.1</v>
      </c>
      <c r="R23" s="8">
        <v>4739.5</v>
      </c>
      <c r="S23" s="8">
        <v>5793.3</v>
      </c>
      <c r="T23" s="8">
        <v>7612.8</v>
      </c>
      <c r="U23" s="8">
        <v>18385.1</v>
      </c>
      <c r="V23" s="8">
        <v>53059.6</v>
      </c>
      <c r="W23" s="8">
        <v>56259.4</v>
      </c>
      <c r="X23" s="8">
        <v>4767.3</v>
      </c>
      <c r="Y23" s="8">
        <v>4586.5</v>
      </c>
      <c r="Z23" s="15">
        <f t="shared" si="22"/>
        <v>65613.2</v>
      </c>
      <c r="AA23" s="8">
        <v>74379.2</v>
      </c>
      <c r="AB23" s="13">
        <v>7716</v>
      </c>
      <c r="AC23" s="7">
        <f t="shared" si="23"/>
        <v>82095.2</v>
      </c>
      <c r="AD23" s="16">
        <v>196707</v>
      </c>
      <c r="AE23" s="17">
        <f t="shared" ref="AE23:AI23" si="112">IF(OR(C24=""),"",(C24-C23)*80)</f>
        <v>0</v>
      </c>
      <c r="AF23" s="17">
        <f t="shared" si="112"/>
        <v>2424.00000000023</v>
      </c>
      <c r="AG23" s="17">
        <f t="shared" si="112"/>
        <v>2815.99999999977</v>
      </c>
      <c r="AH23" s="17">
        <f t="shared" si="112"/>
        <v>0</v>
      </c>
      <c r="AI23" s="17">
        <f t="shared" si="112"/>
        <v>2415.99999999977</v>
      </c>
      <c r="AJ23" s="17">
        <f t="shared" si="3"/>
        <v>7655.99999999977</v>
      </c>
      <c r="AK23" s="17">
        <f t="shared" si="100"/>
        <v>0</v>
      </c>
      <c r="AL23" s="17">
        <f t="shared" si="100"/>
        <v>0</v>
      </c>
      <c r="AM23" s="17">
        <f t="shared" si="100"/>
        <v>0</v>
      </c>
      <c r="AN23" s="17">
        <f t="shared" si="100"/>
        <v>0</v>
      </c>
      <c r="AO23" s="17">
        <f t="shared" si="5"/>
        <v>0</v>
      </c>
      <c r="AP23" s="17">
        <f t="shared" ref="AP23:AS23" si="113">IF(OR(L24=""),"",(L24-L23)*100)</f>
        <v>2890.00000000087</v>
      </c>
      <c r="AQ23" s="17">
        <f t="shared" si="113"/>
        <v>0</v>
      </c>
      <c r="AR23" s="17">
        <f t="shared" si="113"/>
        <v>2919.99999999971</v>
      </c>
      <c r="AS23" s="17">
        <f t="shared" si="113"/>
        <v>2140.00000000087</v>
      </c>
      <c r="AT23" s="17">
        <f t="shared" si="7"/>
        <v>7950.00000000146</v>
      </c>
      <c r="AU23" s="17">
        <f t="shared" ref="AU23:AY23" si="114">IF(OR(P24=""),"",(P24-P23)*1000)</f>
        <v>3599.99999999945</v>
      </c>
      <c r="AV23" s="17">
        <f t="shared" si="114"/>
        <v>3799.99999999927</v>
      </c>
      <c r="AW23" s="17">
        <f t="shared" si="114"/>
        <v>0</v>
      </c>
      <c r="AX23" s="17">
        <f t="shared" si="114"/>
        <v>0</v>
      </c>
      <c r="AY23" s="17">
        <f t="shared" si="114"/>
        <v>9300.00000000018</v>
      </c>
      <c r="AZ23" s="17">
        <f t="shared" si="9"/>
        <v>16699.9999999989</v>
      </c>
      <c r="BA23" s="17">
        <f t="shared" si="10"/>
        <v>9200.00000000437</v>
      </c>
      <c r="BB23" s="17">
        <f t="shared" si="11"/>
        <v>1136.00000000035</v>
      </c>
      <c r="BC23" s="17">
        <f t="shared" si="12"/>
        <v>1463.99999999965</v>
      </c>
      <c r="BD23" s="17">
        <f t="shared" si="13"/>
        <v>10594.0000000071</v>
      </c>
      <c r="BE23" s="17">
        <f t="shared" si="14"/>
        <v>54700.0000000116</v>
      </c>
      <c r="BF23" s="17">
        <f t="shared" si="15"/>
        <v>45.8000000000029</v>
      </c>
      <c r="BG23" s="20">
        <f t="shared" si="16"/>
        <v>0.278078563548891</v>
      </c>
      <c r="BH23" s="20">
        <f t="shared" si="17"/>
        <v>0.0389208314904897</v>
      </c>
      <c r="BI23" s="20">
        <f t="shared" si="18"/>
        <v>0</v>
      </c>
      <c r="BJ23" s="20">
        <f t="shared" si="19"/>
        <v>0.0404154402232836</v>
      </c>
      <c r="BK23" s="20">
        <f t="shared" ref="BK23:BO23" si="115">IF(OR($AD23=0),"",AZ23/$AD23)</f>
        <v>0.0848978429847383</v>
      </c>
      <c r="BL23" s="20">
        <f t="shared" si="115"/>
        <v>0.0467700691892224</v>
      </c>
      <c r="BM23" s="20">
        <f t="shared" si="115"/>
        <v>0.00577508680423345</v>
      </c>
      <c r="BN23" s="20">
        <f t="shared" si="115"/>
        <v>0.00744254144488834</v>
      </c>
      <c r="BO23" s="20">
        <f t="shared" si="115"/>
        <v>0.0538567514120349</v>
      </c>
    </row>
    <row r="24" spans="1:67">
      <c r="A24" s="9">
        <f t="shared" si="21"/>
        <v>44276</v>
      </c>
      <c r="B24" s="10">
        <v>17874.4</v>
      </c>
      <c r="C24" s="8">
        <v>97501.9</v>
      </c>
      <c r="D24" s="8">
        <v>64117.9</v>
      </c>
      <c r="E24" s="8">
        <v>61889.5</v>
      </c>
      <c r="F24" s="8">
        <v>7274.6</v>
      </c>
      <c r="G24" s="8">
        <v>118945.3</v>
      </c>
      <c r="H24" s="8">
        <v>5709.7</v>
      </c>
      <c r="I24" s="8">
        <v>2566.3</v>
      </c>
      <c r="J24" s="8">
        <v>967</v>
      </c>
      <c r="K24" s="8">
        <v>56</v>
      </c>
      <c r="L24" s="8">
        <v>96945.8</v>
      </c>
      <c r="M24" s="8">
        <v>61529.3</v>
      </c>
      <c r="N24" s="8">
        <v>79061.2</v>
      </c>
      <c r="O24" s="8">
        <v>108061.1</v>
      </c>
      <c r="P24" s="8">
        <v>6137.2</v>
      </c>
      <c r="Q24" s="8">
        <v>8070.9</v>
      </c>
      <c r="R24" s="8">
        <v>4739.5</v>
      </c>
      <c r="S24" s="8">
        <v>5793.3</v>
      </c>
      <c r="T24" s="8">
        <v>7622.1</v>
      </c>
      <c r="U24" s="8">
        <v>18389.7</v>
      </c>
      <c r="V24" s="8">
        <v>53073.8</v>
      </c>
      <c r="W24" s="8">
        <v>56275.8</v>
      </c>
      <c r="X24" s="8">
        <v>4775.7</v>
      </c>
      <c r="Y24" s="8">
        <v>4598.3</v>
      </c>
      <c r="Z24" s="15">
        <f t="shared" si="22"/>
        <v>65649.8</v>
      </c>
      <c r="AA24" s="8">
        <v>74420</v>
      </c>
      <c r="AB24" s="13">
        <v>7721</v>
      </c>
      <c r="AC24" s="7">
        <f t="shared" si="23"/>
        <v>82141</v>
      </c>
      <c r="AD24" s="16">
        <v>205392</v>
      </c>
      <c r="AE24" s="17">
        <f t="shared" ref="AE24:AI24" si="116">IF(OR(C25=""),"",(C25-C24)*80)</f>
        <v>0</v>
      </c>
      <c r="AF24" s="17">
        <f t="shared" si="116"/>
        <v>3023.99999999965</v>
      </c>
      <c r="AG24" s="17">
        <f t="shared" si="116"/>
        <v>2655.99999999977</v>
      </c>
      <c r="AH24" s="17">
        <f t="shared" si="116"/>
        <v>367.999999999956</v>
      </c>
      <c r="AI24" s="17">
        <f t="shared" si="116"/>
        <v>2015.99999999977</v>
      </c>
      <c r="AJ24" s="17">
        <f t="shared" si="3"/>
        <v>8063.99999999914</v>
      </c>
      <c r="AK24" s="17">
        <f t="shared" ref="AK24:AN24" si="117">IF(OR(H25=""),"",(H25-H24)*80)</f>
        <v>0</v>
      </c>
      <c r="AL24" s="17">
        <f t="shared" si="117"/>
        <v>0</v>
      </c>
      <c r="AM24" s="17">
        <f t="shared" si="117"/>
        <v>0</v>
      </c>
      <c r="AN24" s="17">
        <f t="shared" si="117"/>
        <v>0</v>
      </c>
      <c r="AO24" s="17">
        <f t="shared" si="5"/>
        <v>0</v>
      </c>
      <c r="AP24" s="17">
        <f t="shared" ref="AP24:AS24" si="118">IF(OR(L25=""),"",(L25-L24)*100)</f>
        <v>3250</v>
      </c>
      <c r="AQ24" s="17">
        <f t="shared" si="118"/>
        <v>0</v>
      </c>
      <c r="AR24" s="17">
        <f t="shared" si="118"/>
        <v>3069.99999999971</v>
      </c>
      <c r="AS24" s="17">
        <f t="shared" si="118"/>
        <v>2300</v>
      </c>
      <c r="AT24" s="17">
        <f t="shared" si="7"/>
        <v>8619.99999999971</v>
      </c>
      <c r="AU24" s="17">
        <f t="shared" ref="AU24:AY24" si="119">IF(OR(P25=""),"",(P25-P24)*1000)</f>
        <v>3400.00000000055</v>
      </c>
      <c r="AV24" s="17">
        <f t="shared" si="119"/>
        <v>400.000000000546</v>
      </c>
      <c r="AW24" s="17">
        <f t="shared" si="119"/>
        <v>0</v>
      </c>
      <c r="AX24" s="17">
        <f t="shared" si="119"/>
        <v>0</v>
      </c>
      <c r="AY24" s="17">
        <f t="shared" si="119"/>
        <v>8199.99999999982</v>
      </c>
      <c r="AZ24" s="17">
        <f t="shared" si="9"/>
        <v>12000.0000000009</v>
      </c>
      <c r="BA24" s="17">
        <f t="shared" si="10"/>
        <v>10599.9999999985</v>
      </c>
      <c r="BB24" s="17">
        <f t="shared" si="11"/>
        <v>1160</v>
      </c>
      <c r="BC24" s="17">
        <f t="shared" si="12"/>
        <v>1535.99999999977</v>
      </c>
      <c r="BD24" s="17">
        <f t="shared" si="13"/>
        <v>8719.99999999902</v>
      </c>
      <c r="BE24" s="17">
        <f t="shared" si="14"/>
        <v>50699.9999999971</v>
      </c>
      <c r="BF24" s="17">
        <f t="shared" si="15"/>
        <v>49</v>
      </c>
      <c r="BG24" s="20">
        <f t="shared" si="16"/>
        <v>0.246845057256354</v>
      </c>
      <c r="BH24" s="20">
        <f t="shared" si="17"/>
        <v>0.0392615096985235</v>
      </c>
      <c r="BI24" s="20">
        <f t="shared" si="18"/>
        <v>0</v>
      </c>
      <c r="BJ24" s="20">
        <f t="shared" si="19"/>
        <v>0.0419685284723831</v>
      </c>
      <c r="BK24" s="20">
        <f t="shared" ref="BK24:BO24" si="120">IF(OR($AD24=0),"",AZ24/$AD24)</f>
        <v>0.0584248656228135</v>
      </c>
      <c r="BL24" s="20">
        <f t="shared" si="120"/>
        <v>0.0516086313001409</v>
      </c>
      <c r="BM24" s="20">
        <f t="shared" si="120"/>
        <v>0.00564773701020488</v>
      </c>
      <c r="BN24" s="20">
        <f t="shared" si="120"/>
        <v>0.00747838279971843</v>
      </c>
      <c r="BO24" s="20">
        <f t="shared" si="120"/>
        <v>0.0424554023525698</v>
      </c>
    </row>
    <row r="25" spans="1:67">
      <c r="A25" s="9">
        <f t="shared" si="21"/>
        <v>44277</v>
      </c>
      <c r="B25" s="10">
        <v>17879.47</v>
      </c>
      <c r="C25" s="8">
        <v>97501.9</v>
      </c>
      <c r="D25" s="8">
        <v>64155.7</v>
      </c>
      <c r="E25" s="8">
        <v>61922.7</v>
      </c>
      <c r="F25" s="8">
        <v>7279.2</v>
      </c>
      <c r="G25" s="8">
        <v>118970.5</v>
      </c>
      <c r="H25" s="8">
        <v>5709.7</v>
      </c>
      <c r="I25" s="8">
        <v>2566.3</v>
      </c>
      <c r="J25" s="8">
        <v>967</v>
      </c>
      <c r="K25" s="8">
        <v>56</v>
      </c>
      <c r="L25" s="8">
        <v>96978.3</v>
      </c>
      <c r="M25" s="8">
        <v>61529.3</v>
      </c>
      <c r="N25" s="8">
        <v>79091.9</v>
      </c>
      <c r="O25" s="8">
        <v>108084.1</v>
      </c>
      <c r="P25" s="8">
        <v>6140.6</v>
      </c>
      <c r="Q25" s="8">
        <v>8071.3</v>
      </c>
      <c r="R25" s="8">
        <v>4739.5</v>
      </c>
      <c r="S25" s="8">
        <v>5793.3</v>
      </c>
      <c r="T25" s="8">
        <v>7630.3</v>
      </c>
      <c r="U25" s="8">
        <v>18395</v>
      </c>
      <c r="V25" s="8">
        <v>53088.3</v>
      </c>
      <c r="W25" s="8">
        <v>56292.9</v>
      </c>
      <c r="X25" s="8">
        <v>4784.6</v>
      </c>
      <c r="Y25" s="8">
        <v>4610.7</v>
      </c>
      <c r="Z25" s="15">
        <f t="shared" si="22"/>
        <v>65688.2</v>
      </c>
      <c r="AA25" s="8">
        <v>74462</v>
      </c>
      <c r="AB25" s="13">
        <v>7728</v>
      </c>
      <c r="AC25" s="7">
        <f t="shared" si="23"/>
        <v>82190</v>
      </c>
      <c r="AD25" s="16">
        <v>190185</v>
      </c>
      <c r="AE25" s="17">
        <f t="shared" ref="AE25:AI25" si="121">IF(OR(C26=""),"",(C26-C25)*80)</f>
        <v>0</v>
      </c>
      <c r="AF25" s="17">
        <f t="shared" si="121"/>
        <v>2984.00000000023</v>
      </c>
      <c r="AG25" s="17">
        <f t="shared" si="121"/>
        <v>2296.00000000035</v>
      </c>
      <c r="AH25" s="17">
        <f t="shared" si="121"/>
        <v>0</v>
      </c>
      <c r="AI25" s="17">
        <f t="shared" si="121"/>
        <v>1760</v>
      </c>
      <c r="AJ25" s="17">
        <f t="shared" si="3"/>
        <v>7040.00000000058</v>
      </c>
      <c r="AK25" s="17">
        <f t="shared" ref="AK25:AN25" si="122">IF(OR(H26=""),"",(H26-H25)*80)</f>
        <v>0</v>
      </c>
      <c r="AL25" s="17">
        <f t="shared" si="122"/>
        <v>0</v>
      </c>
      <c r="AM25" s="17">
        <f t="shared" si="122"/>
        <v>0</v>
      </c>
      <c r="AN25" s="17">
        <f t="shared" si="122"/>
        <v>0</v>
      </c>
      <c r="AO25" s="17">
        <f t="shared" si="5"/>
        <v>0</v>
      </c>
      <c r="AP25" s="17">
        <f t="shared" ref="AP25:AS25" si="123">IF(OR(L26=""),"",(L26-L25)*100)</f>
        <v>2709.99999999913</v>
      </c>
      <c r="AQ25" s="17">
        <f t="shared" si="123"/>
        <v>0</v>
      </c>
      <c r="AR25" s="17">
        <f t="shared" si="123"/>
        <v>2980.00000000029</v>
      </c>
      <c r="AS25" s="17">
        <f t="shared" si="123"/>
        <v>2179.99999999884</v>
      </c>
      <c r="AT25" s="17">
        <f t="shared" si="7"/>
        <v>7869.99999999825</v>
      </c>
      <c r="AU25" s="17">
        <f t="shared" ref="AU25:AY25" si="124">IF(OR(P26=""),"",(P26-P25)*1000)</f>
        <v>2899.99999999964</v>
      </c>
      <c r="AV25" s="17">
        <f t="shared" si="124"/>
        <v>6099.99999999945</v>
      </c>
      <c r="AW25" s="17">
        <f t="shared" si="124"/>
        <v>0</v>
      </c>
      <c r="AX25" s="17">
        <f t="shared" si="124"/>
        <v>0</v>
      </c>
      <c r="AY25" s="17">
        <f t="shared" si="124"/>
        <v>0</v>
      </c>
      <c r="AZ25" s="17">
        <f t="shared" si="9"/>
        <v>8999.99999999909</v>
      </c>
      <c r="BA25" s="17">
        <f t="shared" si="10"/>
        <v>9800.00000000291</v>
      </c>
      <c r="BB25" s="17">
        <f t="shared" si="11"/>
        <v>1007.99999999988</v>
      </c>
      <c r="BC25" s="17">
        <f t="shared" si="12"/>
        <v>1500</v>
      </c>
      <c r="BD25" s="17">
        <f t="shared" si="13"/>
        <v>8181.99999998618</v>
      </c>
      <c r="BE25" s="17">
        <f t="shared" si="14"/>
        <v>44399.9999999869</v>
      </c>
      <c r="BF25" s="17">
        <f t="shared" si="15"/>
        <v>50</v>
      </c>
      <c r="BG25" s="20">
        <f t="shared" si="16"/>
        <v>0.233456897231574</v>
      </c>
      <c r="BH25" s="20">
        <f t="shared" si="17"/>
        <v>0.0370165891106059</v>
      </c>
      <c r="BI25" s="20">
        <f t="shared" si="18"/>
        <v>0</v>
      </c>
      <c r="BJ25" s="20">
        <f t="shared" si="19"/>
        <v>0.0413807608381221</v>
      </c>
      <c r="BK25" s="20">
        <f t="shared" ref="BK25:BO25" si="125">IF(OR($AD25=0),"",AZ25/$AD25)</f>
        <v>0.0473223440334363</v>
      </c>
      <c r="BL25" s="20">
        <f t="shared" si="125"/>
        <v>0.0515287746142067</v>
      </c>
      <c r="BM25" s="20">
        <f t="shared" si="125"/>
        <v>0.00530010253174479</v>
      </c>
      <c r="BN25" s="20">
        <f t="shared" si="125"/>
        <v>0.00788705733890685</v>
      </c>
      <c r="BO25" s="20">
        <f t="shared" si="125"/>
        <v>0.0430212687645513</v>
      </c>
    </row>
    <row r="26" spans="1:67">
      <c r="A26" s="9">
        <f t="shared" si="21"/>
        <v>44278</v>
      </c>
      <c r="B26" s="10">
        <v>17883.91</v>
      </c>
      <c r="C26" s="8">
        <v>97501.9</v>
      </c>
      <c r="D26" s="8">
        <v>64193</v>
      </c>
      <c r="E26" s="8">
        <v>61951.4</v>
      </c>
      <c r="F26" s="8">
        <v>7279.2</v>
      </c>
      <c r="G26" s="8">
        <v>118992.5</v>
      </c>
      <c r="H26" s="8">
        <v>5709.7</v>
      </c>
      <c r="I26" s="8">
        <v>2566.3</v>
      </c>
      <c r="J26" s="8">
        <v>967</v>
      </c>
      <c r="K26" s="8">
        <v>56</v>
      </c>
      <c r="L26" s="8">
        <v>97005.4</v>
      </c>
      <c r="M26" s="8">
        <v>61529.3</v>
      </c>
      <c r="N26" s="8">
        <v>79121.7</v>
      </c>
      <c r="O26" s="8">
        <v>108105.9</v>
      </c>
      <c r="P26" s="8">
        <v>6143.5</v>
      </c>
      <c r="Q26" s="8">
        <v>8077.4</v>
      </c>
      <c r="R26" s="8">
        <v>4739.5</v>
      </c>
      <c r="S26" s="8">
        <v>5793.3</v>
      </c>
      <c r="T26" s="8">
        <v>7630.3</v>
      </c>
      <c r="U26" s="8">
        <v>18399.9</v>
      </c>
      <c r="V26" s="8">
        <v>53100.9</v>
      </c>
      <c r="W26" s="8">
        <v>56309.5</v>
      </c>
      <c r="X26" s="8">
        <v>4793.1</v>
      </c>
      <c r="Y26" s="8">
        <v>4623.1</v>
      </c>
      <c r="Z26" s="15">
        <f t="shared" si="22"/>
        <v>65725.7</v>
      </c>
      <c r="AA26" s="8">
        <v>74505</v>
      </c>
      <c r="AB26" s="13">
        <v>7735</v>
      </c>
      <c r="AC26" s="7">
        <f t="shared" si="23"/>
        <v>82240</v>
      </c>
      <c r="AD26" s="16">
        <v>201107</v>
      </c>
      <c r="AE26" s="17">
        <f t="shared" ref="AE26:AI26" si="126">IF(OR(C27=""),"",(C27-C26)*80)</f>
        <v>0</v>
      </c>
      <c r="AF26" s="17">
        <f t="shared" si="126"/>
        <v>3032.00000000012</v>
      </c>
      <c r="AG26" s="17">
        <f t="shared" si="126"/>
        <v>3063.99999999965</v>
      </c>
      <c r="AH26" s="17">
        <f t="shared" si="126"/>
        <v>8.0000000000291</v>
      </c>
      <c r="AI26" s="17">
        <f t="shared" si="126"/>
        <v>2144.00000000023</v>
      </c>
      <c r="AJ26" s="17">
        <f t="shared" si="3"/>
        <v>8248.00000000003</v>
      </c>
      <c r="AK26" s="17">
        <f t="shared" ref="AK26:AN26" si="127">IF(OR(H27=""),"",(H27-H26)*80)</f>
        <v>0</v>
      </c>
      <c r="AL26" s="17">
        <f t="shared" si="127"/>
        <v>0</v>
      </c>
      <c r="AM26" s="17">
        <f t="shared" si="127"/>
        <v>0</v>
      </c>
      <c r="AN26" s="17">
        <f t="shared" si="127"/>
        <v>0</v>
      </c>
      <c r="AO26" s="17">
        <f t="shared" si="5"/>
        <v>0</v>
      </c>
      <c r="AP26" s="17">
        <f t="shared" ref="AP26:AS26" si="128">IF(OR(L27=""),"",(L27-L26)*100)</f>
        <v>3020.00000000116</v>
      </c>
      <c r="AQ26" s="17">
        <f t="shared" si="128"/>
        <v>0</v>
      </c>
      <c r="AR26" s="17">
        <f t="shared" si="128"/>
        <v>3010.00000000058</v>
      </c>
      <c r="AS26" s="17">
        <f t="shared" si="128"/>
        <v>2180.00000000029</v>
      </c>
      <c r="AT26" s="17">
        <f t="shared" si="7"/>
        <v>8210.00000000204</v>
      </c>
      <c r="AU26" s="17">
        <f t="shared" ref="AU26:AY26" si="129">IF(OR(P27=""),"",(P27-P26)*1000)</f>
        <v>4000</v>
      </c>
      <c r="AV26" s="17">
        <f t="shared" si="129"/>
        <v>7600.00000000036</v>
      </c>
      <c r="AW26" s="17">
        <f t="shared" si="129"/>
        <v>0</v>
      </c>
      <c r="AX26" s="17">
        <f t="shared" si="129"/>
        <v>0</v>
      </c>
      <c r="AY26" s="17">
        <f t="shared" si="129"/>
        <v>0</v>
      </c>
      <c r="AZ26" s="17">
        <f t="shared" si="9"/>
        <v>11600.0000000004</v>
      </c>
      <c r="BA26" s="17">
        <f t="shared" si="10"/>
        <v>10199.9999999971</v>
      </c>
      <c r="BB26" s="17">
        <f t="shared" si="11"/>
        <v>1087.99999999988</v>
      </c>
      <c r="BC26" s="17">
        <f t="shared" si="12"/>
        <v>1532.00000000012</v>
      </c>
      <c r="BD26" s="17">
        <f t="shared" si="13"/>
        <v>8721.99999999175</v>
      </c>
      <c r="BE26" s="17">
        <f t="shared" si="14"/>
        <v>49599.9999999913</v>
      </c>
      <c r="BF26" s="17">
        <f t="shared" si="15"/>
        <v>52</v>
      </c>
      <c r="BG26" s="20">
        <f t="shared" si="16"/>
        <v>0.246634875961509</v>
      </c>
      <c r="BH26" s="20">
        <f t="shared" si="17"/>
        <v>0.0410129930832842</v>
      </c>
      <c r="BI26" s="20">
        <f t="shared" si="18"/>
        <v>0</v>
      </c>
      <c r="BJ26" s="20">
        <f t="shared" si="19"/>
        <v>0.0408240389444526</v>
      </c>
      <c r="BK26" s="20">
        <f t="shared" ref="BK26:BO26" si="130">IF(OR($AD26=0),"",AZ26/$AD26)</f>
        <v>0.0576807371200424</v>
      </c>
      <c r="BL26" s="20">
        <f t="shared" si="130"/>
        <v>0.0507192688469178</v>
      </c>
      <c r="BM26" s="20">
        <f t="shared" si="130"/>
        <v>0.00541005534367219</v>
      </c>
      <c r="BN26" s="20">
        <f t="shared" si="130"/>
        <v>0.00761783528171628</v>
      </c>
      <c r="BO26" s="20">
        <f t="shared" si="130"/>
        <v>0.043369947341424</v>
      </c>
    </row>
    <row r="27" spans="1:67">
      <c r="A27" s="9">
        <f t="shared" si="21"/>
        <v>44279</v>
      </c>
      <c r="B27" s="10">
        <v>17888.87</v>
      </c>
      <c r="C27" s="8">
        <v>97501.9</v>
      </c>
      <c r="D27" s="8">
        <v>64230.9</v>
      </c>
      <c r="E27" s="8">
        <v>61989.7</v>
      </c>
      <c r="F27" s="8">
        <v>7279.3</v>
      </c>
      <c r="G27" s="8">
        <v>119019.3</v>
      </c>
      <c r="H27" s="8">
        <v>5709.7</v>
      </c>
      <c r="I27" s="8">
        <v>2566.3</v>
      </c>
      <c r="J27" s="8">
        <v>967</v>
      </c>
      <c r="K27" s="8">
        <v>56</v>
      </c>
      <c r="L27" s="8">
        <v>97035.6</v>
      </c>
      <c r="M27" s="8">
        <v>61529.3</v>
      </c>
      <c r="N27" s="8">
        <v>79151.8</v>
      </c>
      <c r="O27" s="8">
        <v>108127.7</v>
      </c>
      <c r="P27" s="8">
        <v>6147.5</v>
      </c>
      <c r="Q27" s="8">
        <v>8085</v>
      </c>
      <c r="R27" s="8">
        <v>4739.5</v>
      </c>
      <c r="S27" s="8">
        <v>5793.3</v>
      </c>
      <c r="T27" s="8">
        <v>7630.3</v>
      </c>
      <c r="U27" s="8">
        <v>18405</v>
      </c>
      <c r="V27" s="8">
        <v>53114.5</v>
      </c>
      <c r="W27" s="8">
        <v>56326.2</v>
      </c>
      <c r="X27" s="8">
        <v>4802</v>
      </c>
      <c r="Y27" s="8">
        <v>4635.8</v>
      </c>
      <c r="Z27" s="15">
        <f t="shared" si="22"/>
        <v>65764</v>
      </c>
      <c r="AA27" s="8">
        <v>74548</v>
      </c>
      <c r="AB27" s="13">
        <v>7744</v>
      </c>
      <c r="AC27" s="7">
        <f t="shared" si="23"/>
        <v>82292</v>
      </c>
      <c r="AD27" s="16">
        <v>202383</v>
      </c>
      <c r="AE27" s="17">
        <f t="shared" ref="AE27:AI27" si="131">IF(OR(C28=""),"",(C28-C27)*80)</f>
        <v>0</v>
      </c>
      <c r="AF27" s="17">
        <f t="shared" si="131"/>
        <v>2975.99999999977</v>
      </c>
      <c r="AG27" s="17">
        <f t="shared" si="131"/>
        <v>3296.00000000035</v>
      </c>
      <c r="AH27" s="17">
        <f t="shared" si="131"/>
        <v>0</v>
      </c>
      <c r="AI27" s="17">
        <f t="shared" si="131"/>
        <v>2320</v>
      </c>
      <c r="AJ27" s="17">
        <f t="shared" si="3"/>
        <v>8592.00000000012</v>
      </c>
      <c r="AK27" s="17">
        <f t="shared" ref="AK27:AN27" si="132">IF(OR(H28=""),"",(H28-H27)*80)</f>
        <v>0</v>
      </c>
      <c r="AL27" s="17">
        <f t="shared" si="132"/>
        <v>0</v>
      </c>
      <c r="AM27" s="17">
        <f t="shared" si="132"/>
        <v>0</v>
      </c>
      <c r="AN27" s="17">
        <f t="shared" si="132"/>
        <v>0</v>
      </c>
      <c r="AO27" s="17">
        <f t="shared" si="5"/>
        <v>0</v>
      </c>
      <c r="AP27" s="17">
        <f t="shared" ref="AP27:AS27" si="133">IF(OR(L28=""),"",(L28-L27)*100)</f>
        <v>3079.99999999884</v>
      </c>
      <c r="AQ27" s="17">
        <f t="shared" si="133"/>
        <v>0</v>
      </c>
      <c r="AR27" s="17">
        <f t="shared" si="133"/>
        <v>2950</v>
      </c>
      <c r="AS27" s="17">
        <f t="shared" si="133"/>
        <v>2160.00000000058</v>
      </c>
      <c r="AT27" s="17">
        <f t="shared" si="7"/>
        <v>8189.99999999942</v>
      </c>
      <c r="AU27" s="17">
        <f t="shared" ref="AU27:AY27" si="134">IF(OR(P28=""),"",(P28-P27)*1000)</f>
        <v>4300.00000000018</v>
      </c>
      <c r="AV27" s="17">
        <f t="shared" si="134"/>
        <v>6699.99999999982</v>
      </c>
      <c r="AW27" s="17">
        <f t="shared" si="134"/>
        <v>699.999999999818</v>
      </c>
      <c r="AX27" s="17">
        <f t="shared" si="134"/>
        <v>0</v>
      </c>
      <c r="AY27" s="17">
        <f t="shared" si="134"/>
        <v>0</v>
      </c>
      <c r="AZ27" s="17">
        <f t="shared" si="9"/>
        <v>11699.9999999998</v>
      </c>
      <c r="BA27" s="17">
        <f t="shared" si="10"/>
        <v>10000</v>
      </c>
      <c r="BB27" s="17">
        <f t="shared" si="11"/>
        <v>1087.99999999988</v>
      </c>
      <c r="BC27" s="17">
        <f t="shared" si="12"/>
        <v>1460</v>
      </c>
      <c r="BD27" s="17">
        <f t="shared" si="13"/>
        <v>9469.99999999349</v>
      </c>
      <c r="BE27" s="17">
        <f t="shared" si="14"/>
        <v>50499.9999999927</v>
      </c>
      <c r="BF27" s="17">
        <f t="shared" si="15"/>
        <v>58</v>
      </c>
      <c r="BG27" s="20">
        <f t="shared" si="16"/>
        <v>0.249526887139694</v>
      </c>
      <c r="BH27" s="20">
        <f t="shared" si="17"/>
        <v>0.0424541586991008</v>
      </c>
      <c r="BI27" s="20">
        <f t="shared" si="18"/>
        <v>0</v>
      </c>
      <c r="BJ27" s="20">
        <f t="shared" si="19"/>
        <v>0.0404678258549355</v>
      </c>
      <c r="BK27" s="20">
        <f t="shared" ref="BK27:BO27" si="135">IF(OR($AD27=0),"",AZ27/$AD27)</f>
        <v>0.0578111797927683</v>
      </c>
      <c r="BL27" s="20">
        <f t="shared" si="135"/>
        <v>0.0494112647801446</v>
      </c>
      <c r="BM27" s="20">
        <f t="shared" si="135"/>
        <v>0.00537594560807915</v>
      </c>
      <c r="BN27" s="20">
        <f t="shared" si="135"/>
        <v>0.00721404465790111</v>
      </c>
      <c r="BO27" s="20">
        <f t="shared" si="135"/>
        <v>0.0467924677467647</v>
      </c>
    </row>
    <row r="28" spans="1:67">
      <c r="A28" s="9">
        <f t="shared" si="21"/>
        <v>44280</v>
      </c>
      <c r="B28" s="10">
        <v>17893.92</v>
      </c>
      <c r="C28" s="8">
        <v>97501.9</v>
      </c>
      <c r="D28" s="8">
        <v>64268.1</v>
      </c>
      <c r="E28" s="8">
        <v>62030.9</v>
      </c>
      <c r="F28" s="8">
        <v>7279.3</v>
      </c>
      <c r="G28" s="8">
        <v>119048.3</v>
      </c>
      <c r="H28" s="8">
        <v>5709.7</v>
      </c>
      <c r="I28" s="8">
        <v>2566.3</v>
      </c>
      <c r="J28" s="8">
        <v>967</v>
      </c>
      <c r="K28" s="8">
        <v>56</v>
      </c>
      <c r="L28" s="8">
        <v>97066.4</v>
      </c>
      <c r="M28" s="8">
        <v>61529.3</v>
      </c>
      <c r="N28" s="8">
        <v>79181.3</v>
      </c>
      <c r="O28" s="8">
        <v>108149.3</v>
      </c>
      <c r="P28" s="8">
        <v>6151.8</v>
      </c>
      <c r="Q28" s="8">
        <v>8091.7</v>
      </c>
      <c r="R28" s="8">
        <v>4740.2</v>
      </c>
      <c r="S28" s="8">
        <v>5793.3</v>
      </c>
      <c r="T28" s="8">
        <v>7630.3</v>
      </c>
      <c r="U28" s="8">
        <v>18410</v>
      </c>
      <c r="V28" s="8">
        <v>53128.1</v>
      </c>
      <c r="W28" s="8">
        <v>56342.7</v>
      </c>
      <c r="X28" s="8">
        <v>4809.9</v>
      </c>
      <c r="Y28" s="8">
        <v>4647.9</v>
      </c>
      <c r="Z28" s="15">
        <f t="shared" si="22"/>
        <v>65800.5</v>
      </c>
      <c r="AA28" s="8">
        <v>74589</v>
      </c>
      <c r="AB28" s="13">
        <v>7761</v>
      </c>
      <c r="AC28" s="7">
        <f t="shared" si="23"/>
        <v>82350</v>
      </c>
      <c r="AD28" s="16">
        <v>206879</v>
      </c>
      <c r="AE28" s="17">
        <f t="shared" ref="AE28:AI28" si="136">IF(OR(C29=""),"",(C29-C28)*80)</f>
        <v>0</v>
      </c>
      <c r="AF28" s="17">
        <f t="shared" si="136"/>
        <v>3000</v>
      </c>
      <c r="AG28" s="17">
        <f t="shared" si="136"/>
        <v>3023.99999999965</v>
      </c>
      <c r="AH28" s="17">
        <f t="shared" si="136"/>
        <v>11.9999999999709</v>
      </c>
      <c r="AI28" s="17">
        <f t="shared" si="136"/>
        <v>2095.99999999977</v>
      </c>
      <c r="AJ28" s="17">
        <f t="shared" si="3"/>
        <v>8131.99999999939</v>
      </c>
      <c r="AK28" s="17">
        <f t="shared" ref="AK28:AN28" si="137">IF(OR(H29=""),"",(H29-H28)*80)</f>
        <v>0</v>
      </c>
      <c r="AL28" s="17">
        <f t="shared" si="137"/>
        <v>0</v>
      </c>
      <c r="AM28" s="17">
        <f t="shared" si="137"/>
        <v>0</v>
      </c>
      <c r="AN28" s="17">
        <f t="shared" si="137"/>
        <v>0</v>
      </c>
      <c r="AO28" s="17">
        <f t="shared" si="5"/>
        <v>0</v>
      </c>
      <c r="AP28" s="17">
        <f t="shared" ref="AP28:AS28" si="138">IF(OR(L29=""),"",(L29-L28)*100)</f>
        <v>3160.00000000058</v>
      </c>
      <c r="AQ28" s="17">
        <f t="shared" si="138"/>
        <v>0</v>
      </c>
      <c r="AR28" s="17">
        <f t="shared" si="138"/>
        <v>2950</v>
      </c>
      <c r="AS28" s="17">
        <f t="shared" si="138"/>
        <v>2169.99999999971</v>
      </c>
      <c r="AT28" s="17">
        <f t="shared" si="7"/>
        <v>8280.00000000029</v>
      </c>
      <c r="AU28" s="17">
        <f t="shared" ref="AU28:AY28" si="139">IF(OR(P29=""),"",(P29-P28)*1000)</f>
        <v>3500</v>
      </c>
      <c r="AV28" s="17">
        <f t="shared" si="139"/>
        <v>1600.00000000036</v>
      </c>
      <c r="AW28" s="17">
        <f t="shared" si="139"/>
        <v>3000</v>
      </c>
      <c r="AX28" s="17">
        <f t="shared" si="139"/>
        <v>0</v>
      </c>
      <c r="AY28" s="17">
        <f t="shared" si="139"/>
        <v>0</v>
      </c>
      <c r="AZ28" s="17">
        <f t="shared" si="9"/>
        <v>8100.00000000036</v>
      </c>
      <c r="BA28" s="17">
        <f t="shared" si="10"/>
        <v>10000</v>
      </c>
      <c r="BB28" s="17">
        <f t="shared" si="11"/>
        <v>1120</v>
      </c>
      <c r="BC28" s="17">
        <f t="shared" si="12"/>
        <v>1480</v>
      </c>
      <c r="BD28" s="17">
        <f t="shared" si="13"/>
        <v>12588.0000000116</v>
      </c>
      <c r="BE28" s="17">
        <f t="shared" si="14"/>
        <v>49700.0000000116</v>
      </c>
      <c r="BF28" s="17">
        <f t="shared" si="15"/>
        <v>50</v>
      </c>
      <c r="BG28" s="20">
        <f t="shared" si="16"/>
        <v>0.240237046776191</v>
      </c>
      <c r="BH28" s="20">
        <f t="shared" si="17"/>
        <v>0.0393080012954403</v>
      </c>
      <c r="BI28" s="20">
        <f t="shared" si="18"/>
        <v>0</v>
      </c>
      <c r="BJ28" s="20">
        <f t="shared" si="19"/>
        <v>0.0400233953180376</v>
      </c>
      <c r="BK28" s="20">
        <f t="shared" ref="BK28:BO28" si="140">IF(OR($AD28=0),"",AZ28/$AD28)</f>
        <v>0.0391533215067763</v>
      </c>
      <c r="BL28" s="20">
        <f t="shared" si="140"/>
        <v>0.0483374339589809</v>
      </c>
      <c r="BM28" s="20">
        <f t="shared" si="140"/>
        <v>0.00541379260340586</v>
      </c>
      <c r="BN28" s="20">
        <f t="shared" si="140"/>
        <v>0.00715394022592917</v>
      </c>
      <c r="BO28" s="20">
        <f t="shared" si="140"/>
        <v>0.0608471618676212</v>
      </c>
    </row>
    <row r="29" spans="1:67">
      <c r="A29" s="9">
        <f t="shared" si="21"/>
        <v>44281</v>
      </c>
      <c r="B29" s="10">
        <v>17898.89</v>
      </c>
      <c r="C29" s="8">
        <v>97501.9</v>
      </c>
      <c r="D29" s="8">
        <v>64305.6</v>
      </c>
      <c r="E29" s="8">
        <v>62068.7</v>
      </c>
      <c r="F29" s="8">
        <v>7279.45</v>
      </c>
      <c r="G29" s="8">
        <v>119074.5</v>
      </c>
      <c r="H29" s="8">
        <v>5709.7</v>
      </c>
      <c r="I29" s="8">
        <v>2566.3</v>
      </c>
      <c r="J29" s="8">
        <v>967</v>
      </c>
      <c r="K29" s="8">
        <v>56</v>
      </c>
      <c r="L29" s="8">
        <v>97098</v>
      </c>
      <c r="M29" s="8">
        <v>61529.3</v>
      </c>
      <c r="N29" s="8">
        <v>79210.8</v>
      </c>
      <c r="O29" s="8">
        <v>108171</v>
      </c>
      <c r="P29" s="8">
        <v>6155.3</v>
      </c>
      <c r="Q29" s="8">
        <v>8093.3</v>
      </c>
      <c r="R29" s="8">
        <v>4743.2</v>
      </c>
      <c r="S29" s="8">
        <v>5793.3</v>
      </c>
      <c r="T29" s="8">
        <v>7630.3</v>
      </c>
      <c r="U29" s="8">
        <v>18415</v>
      </c>
      <c r="V29" s="8">
        <v>53142.1</v>
      </c>
      <c r="W29" s="8">
        <v>56359.1</v>
      </c>
      <c r="X29" s="8">
        <v>4818.4</v>
      </c>
      <c r="Y29" s="8">
        <v>4660</v>
      </c>
      <c r="Z29" s="15">
        <f t="shared" si="22"/>
        <v>65837.5</v>
      </c>
      <c r="AA29" s="8">
        <v>74632</v>
      </c>
      <c r="AB29" s="13">
        <v>7768</v>
      </c>
      <c r="AC29" s="7">
        <f t="shared" si="23"/>
        <v>82400</v>
      </c>
      <c r="AD29" s="16">
        <v>201457</v>
      </c>
      <c r="AE29" s="17">
        <f t="shared" ref="AE29:AI29" si="141">IF(OR(C30=""),"",(C30-C29)*80)</f>
        <v>0</v>
      </c>
      <c r="AF29" s="17">
        <f t="shared" si="141"/>
        <v>3024.00000000023</v>
      </c>
      <c r="AG29" s="17">
        <f t="shared" si="141"/>
        <v>2800</v>
      </c>
      <c r="AH29" s="17">
        <f t="shared" si="141"/>
        <v>4.00000000001455</v>
      </c>
      <c r="AI29" s="17">
        <f t="shared" si="141"/>
        <v>2120</v>
      </c>
      <c r="AJ29" s="17">
        <f t="shared" si="3"/>
        <v>7948.00000000025</v>
      </c>
      <c r="AK29" s="17">
        <f t="shared" ref="AK29:AN29" si="142">IF(OR(H30=""),"",(H30-H29)*80)</f>
        <v>0</v>
      </c>
      <c r="AL29" s="17">
        <f t="shared" si="142"/>
        <v>0</v>
      </c>
      <c r="AM29" s="17">
        <f t="shared" si="142"/>
        <v>0</v>
      </c>
      <c r="AN29" s="17">
        <f t="shared" si="142"/>
        <v>0</v>
      </c>
      <c r="AO29" s="17">
        <f t="shared" si="5"/>
        <v>0</v>
      </c>
      <c r="AP29" s="17">
        <f t="shared" ref="AP29:AS29" si="143">IF(OR(L30=""),"",(L30-L29)*100)</f>
        <v>3200</v>
      </c>
      <c r="AQ29" s="17">
        <f t="shared" si="143"/>
        <v>0</v>
      </c>
      <c r="AR29" s="17">
        <f t="shared" si="143"/>
        <v>3009.99999999913</v>
      </c>
      <c r="AS29" s="17">
        <f t="shared" si="143"/>
        <v>2319.99999999971</v>
      </c>
      <c r="AT29" s="17">
        <f t="shared" si="7"/>
        <v>8529.99999999884</v>
      </c>
      <c r="AU29" s="17">
        <f t="shared" ref="AU29:AY29" si="144">IF(OR(P30=""),"",(P30-P29)*1000)</f>
        <v>3899.99999999964</v>
      </c>
      <c r="AV29" s="17">
        <f t="shared" si="144"/>
        <v>6699.99999999982</v>
      </c>
      <c r="AW29" s="17">
        <f t="shared" si="144"/>
        <v>0</v>
      </c>
      <c r="AX29" s="17">
        <f t="shared" si="144"/>
        <v>0</v>
      </c>
      <c r="AY29" s="17">
        <f t="shared" si="144"/>
        <v>0</v>
      </c>
      <c r="AZ29" s="17">
        <f t="shared" si="9"/>
        <v>10599.9999999995</v>
      </c>
      <c r="BA29" s="17">
        <f t="shared" si="10"/>
        <v>9599.99999999854</v>
      </c>
      <c r="BB29" s="17">
        <f t="shared" si="11"/>
        <v>1087.99999999988</v>
      </c>
      <c r="BC29" s="17">
        <f t="shared" si="12"/>
        <v>1500</v>
      </c>
      <c r="BD29" s="17">
        <f t="shared" si="13"/>
        <v>9134.00000000449</v>
      </c>
      <c r="BE29" s="17">
        <f t="shared" si="14"/>
        <v>48400.0000000015</v>
      </c>
      <c r="BF29" s="17">
        <f t="shared" si="15"/>
        <v>53</v>
      </c>
      <c r="BG29" s="20">
        <f t="shared" si="16"/>
        <v>0.240249780350156</v>
      </c>
      <c r="BH29" s="20">
        <f t="shared" si="17"/>
        <v>0.0394525878971703</v>
      </c>
      <c r="BI29" s="20">
        <f t="shared" si="18"/>
        <v>0</v>
      </c>
      <c r="BJ29" s="20">
        <f t="shared" si="19"/>
        <v>0.0423415418674895</v>
      </c>
      <c r="BK29" s="20">
        <f t="shared" ref="BK29:BO29" si="145">IF(OR($AD29=0),"",AZ29/$AD29)</f>
        <v>0.0526166874320548</v>
      </c>
      <c r="BL29" s="20">
        <f t="shared" si="145"/>
        <v>0.0476528489950637</v>
      </c>
      <c r="BM29" s="20">
        <f t="shared" si="145"/>
        <v>0.00540065621944079</v>
      </c>
      <c r="BN29" s="20">
        <f t="shared" si="145"/>
        <v>0.00744575765547983</v>
      </c>
      <c r="BO29" s="20">
        <f t="shared" si="145"/>
        <v>0.0453397002834575</v>
      </c>
    </row>
    <row r="30" spans="1:67">
      <c r="A30" s="9">
        <f t="shared" si="21"/>
        <v>44282</v>
      </c>
      <c r="B30" s="10">
        <v>17903.73</v>
      </c>
      <c r="C30" s="8">
        <v>97501.9</v>
      </c>
      <c r="D30" s="8">
        <v>64343.4</v>
      </c>
      <c r="E30" s="8">
        <v>62103.7</v>
      </c>
      <c r="F30" s="8">
        <v>7279.5</v>
      </c>
      <c r="G30" s="8">
        <v>119101</v>
      </c>
      <c r="H30" s="8">
        <v>5709.7</v>
      </c>
      <c r="I30" s="8">
        <v>2566.3</v>
      </c>
      <c r="J30" s="8">
        <v>967</v>
      </c>
      <c r="K30" s="8">
        <v>56</v>
      </c>
      <c r="L30" s="8">
        <v>97130</v>
      </c>
      <c r="M30" s="8">
        <v>61529.3</v>
      </c>
      <c r="N30" s="8">
        <v>79240.9</v>
      </c>
      <c r="O30" s="8">
        <v>108194.2</v>
      </c>
      <c r="P30" s="8">
        <v>6159.2</v>
      </c>
      <c r="Q30" s="8">
        <v>8100</v>
      </c>
      <c r="R30" s="8">
        <v>4743.2</v>
      </c>
      <c r="S30" s="8">
        <v>5793.3</v>
      </c>
      <c r="T30" s="8">
        <v>7630.3</v>
      </c>
      <c r="U30" s="8">
        <v>18419.8</v>
      </c>
      <c r="V30" s="8">
        <v>53155.7</v>
      </c>
      <c r="W30" s="8">
        <v>56375.7</v>
      </c>
      <c r="X30" s="8">
        <v>4826.9</v>
      </c>
      <c r="Y30" s="8">
        <v>4672.4</v>
      </c>
      <c r="Z30" s="15">
        <f t="shared" si="22"/>
        <v>65875</v>
      </c>
      <c r="AA30" s="8">
        <v>74677</v>
      </c>
      <c r="AB30" s="13">
        <v>7776</v>
      </c>
      <c r="AC30" s="7">
        <f t="shared" si="23"/>
        <v>82453</v>
      </c>
      <c r="AD30" s="16">
        <v>204709</v>
      </c>
      <c r="AE30" s="17">
        <f t="shared" ref="AE30:AI30" si="146">IF(OR(C31=""),"",(C31-C30)*80)</f>
        <v>0</v>
      </c>
      <c r="AF30" s="17">
        <f t="shared" si="146"/>
        <v>3112.00000000012</v>
      </c>
      <c r="AG30" s="17">
        <f t="shared" si="146"/>
        <v>3264.00000000023</v>
      </c>
      <c r="AH30" s="17">
        <f t="shared" si="146"/>
        <v>0</v>
      </c>
      <c r="AI30" s="17">
        <f t="shared" si="146"/>
        <v>2391.99999999953</v>
      </c>
      <c r="AJ30" s="17">
        <f t="shared" si="3"/>
        <v>8767.99999999988</v>
      </c>
      <c r="AK30" s="17">
        <f t="shared" ref="AK30:AN30" si="147">IF(OR(H31=""),"",(H31-H30)*80)</f>
        <v>0</v>
      </c>
      <c r="AL30" s="17">
        <f t="shared" si="147"/>
        <v>0</v>
      </c>
      <c r="AM30" s="17">
        <f t="shared" si="147"/>
        <v>0</v>
      </c>
      <c r="AN30" s="17">
        <f t="shared" si="147"/>
        <v>0</v>
      </c>
      <c r="AO30" s="17">
        <f t="shared" si="5"/>
        <v>0</v>
      </c>
      <c r="AP30" s="17">
        <f t="shared" ref="AP30:AS30" si="148">IF(OR(L31=""),"",(L31-L30)*100)</f>
        <v>3269.99999999971</v>
      </c>
      <c r="AQ30" s="17">
        <f t="shared" si="148"/>
        <v>0</v>
      </c>
      <c r="AR30" s="17">
        <f t="shared" si="148"/>
        <v>3070.00000000116</v>
      </c>
      <c r="AS30" s="17">
        <f t="shared" si="148"/>
        <v>2300</v>
      </c>
      <c r="AT30" s="17">
        <f t="shared" si="7"/>
        <v>8640.00000000087</v>
      </c>
      <c r="AU30" s="17">
        <f t="shared" ref="AU30:AY30" si="149">IF(OR(P31=""),"",(P31-P30)*1000)</f>
        <v>3000</v>
      </c>
      <c r="AV30" s="17">
        <f t="shared" si="149"/>
        <v>5399.99999999964</v>
      </c>
      <c r="AW30" s="17">
        <f t="shared" si="149"/>
        <v>0</v>
      </c>
      <c r="AX30" s="17">
        <f t="shared" si="149"/>
        <v>0</v>
      </c>
      <c r="AY30" s="17">
        <f t="shared" si="149"/>
        <v>0</v>
      </c>
      <c r="AZ30" s="17">
        <f t="shared" si="9"/>
        <v>8399.99999999964</v>
      </c>
      <c r="BA30" s="17">
        <f t="shared" si="10"/>
        <v>9800.00000000291</v>
      </c>
      <c r="BB30" s="17">
        <f t="shared" si="11"/>
        <v>1088.00000000047</v>
      </c>
      <c r="BC30" s="17">
        <f t="shared" si="12"/>
        <v>1491.99999999953</v>
      </c>
      <c r="BD30" s="17">
        <f t="shared" si="13"/>
        <v>14311.9999999967</v>
      </c>
      <c r="BE30" s="17">
        <f t="shared" si="14"/>
        <v>52500</v>
      </c>
      <c r="BF30" s="17">
        <f t="shared" si="15"/>
        <v>48</v>
      </c>
      <c r="BG30" s="20">
        <f t="shared" si="16"/>
        <v>0.256461611360517</v>
      </c>
      <c r="BH30" s="20">
        <f t="shared" si="17"/>
        <v>0.0428315315887425</v>
      </c>
      <c r="BI30" s="20">
        <f t="shared" si="18"/>
        <v>0</v>
      </c>
      <c r="BJ30" s="20">
        <f t="shared" si="19"/>
        <v>0.042206253755335</v>
      </c>
      <c r="BK30" s="20">
        <f t="shared" ref="BK30:BO30" si="150">IF(OR($AD30=0),"",AZ30/$AD30)</f>
        <v>0.0410338578176809</v>
      </c>
      <c r="BL30" s="20">
        <f t="shared" si="150"/>
        <v>0.047872834120644</v>
      </c>
      <c r="BM30" s="20">
        <f t="shared" si="150"/>
        <v>0.00531486158400689</v>
      </c>
      <c r="BN30" s="20">
        <f t="shared" si="150"/>
        <v>0.00728839474570993</v>
      </c>
      <c r="BO30" s="20">
        <f t="shared" si="150"/>
        <v>0.0699138777483975</v>
      </c>
    </row>
    <row r="31" spans="1:67">
      <c r="A31" s="9">
        <f t="shared" si="21"/>
        <v>44283</v>
      </c>
      <c r="B31" s="10">
        <v>17908.98</v>
      </c>
      <c r="C31" s="8">
        <v>97501.9</v>
      </c>
      <c r="D31" s="8">
        <v>64382.3</v>
      </c>
      <c r="E31" s="8">
        <v>62144.5</v>
      </c>
      <c r="F31" s="8">
        <v>7279.5</v>
      </c>
      <c r="G31" s="8">
        <v>119130.9</v>
      </c>
      <c r="H31" s="8">
        <v>5709.7</v>
      </c>
      <c r="I31" s="8">
        <v>2566.3</v>
      </c>
      <c r="J31" s="8">
        <v>967</v>
      </c>
      <c r="K31" s="8">
        <v>56</v>
      </c>
      <c r="L31" s="8">
        <v>97162.7</v>
      </c>
      <c r="M31" s="8">
        <v>61529.3</v>
      </c>
      <c r="N31" s="8">
        <v>79271.6</v>
      </c>
      <c r="O31" s="8">
        <v>108217.2</v>
      </c>
      <c r="P31" s="8">
        <v>6162.2</v>
      </c>
      <c r="Q31" s="8">
        <v>8105.4</v>
      </c>
      <c r="R31" s="8">
        <v>4743.2</v>
      </c>
      <c r="S31" s="8">
        <v>5793.3</v>
      </c>
      <c r="T31" s="8">
        <v>7630.3</v>
      </c>
      <c r="U31" s="8">
        <v>18424.7</v>
      </c>
      <c r="V31" s="8">
        <v>53169.3</v>
      </c>
      <c r="W31" s="8">
        <v>56391.7</v>
      </c>
      <c r="X31" s="8">
        <v>4835.7</v>
      </c>
      <c r="Y31" s="8">
        <v>4684.9</v>
      </c>
      <c r="Z31" s="15">
        <f t="shared" si="22"/>
        <v>65912.3</v>
      </c>
      <c r="AA31" s="8">
        <v>74717</v>
      </c>
      <c r="AB31" s="13">
        <v>7784</v>
      </c>
      <c r="AC31" s="7">
        <f t="shared" si="23"/>
        <v>82501</v>
      </c>
      <c r="AD31" s="16">
        <v>203134</v>
      </c>
      <c r="AE31" s="17">
        <f t="shared" ref="AE31:AI31" si="151">IF(OR(C32=""),"",(C32-C31)*80)</f>
        <v>0</v>
      </c>
      <c r="AF31" s="17">
        <f t="shared" si="151"/>
        <v>440</v>
      </c>
      <c r="AG31" s="17">
        <f t="shared" si="151"/>
        <v>2640</v>
      </c>
      <c r="AH31" s="17">
        <f t="shared" si="151"/>
        <v>2007.20000000001</v>
      </c>
      <c r="AI31" s="17">
        <f t="shared" si="151"/>
        <v>2240</v>
      </c>
      <c r="AJ31" s="17">
        <f t="shared" si="3"/>
        <v>7327.20000000001</v>
      </c>
      <c r="AK31" s="17">
        <f t="shared" ref="AK31:AN31" si="152">IF(OR(H32=""),"",(H32-H31)*80)</f>
        <v>0</v>
      </c>
      <c r="AL31" s="17">
        <f t="shared" si="152"/>
        <v>0</v>
      </c>
      <c r="AM31" s="17">
        <f t="shared" si="152"/>
        <v>0</v>
      </c>
      <c r="AN31" s="17">
        <f t="shared" si="152"/>
        <v>0</v>
      </c>
      <c r="AO31" s="17">
        <f t="shared" si="5"/>
        <v>0</v>
      </c>
      <c r="AP31" s="17">
        <f t="shared" ref="AP31:AS31" si="153">IF(OR(L32=""),"",(L32-L31)*100)</f>
        <v>3110.00000000058</v>
      </c>
      <c r="AQ31" s="17">
        <f t="shared" si="153"/>
        <v>0</v>
      </c>
      <c r="AR31" s="17">
        <f t="shared" si="153"/>
        <v>2909.99999999913</v>
      </c>
      <c r="AS31" s="17">
        <f t="shared" si="153"/>
        <v>2219.99999999971</v>
      </c>
      <c r="AT31" s="17">
        <f t="shared" si="7"/>
        <v>8239.99999999942</v>
      </c>
      <c r="AU31" s="17">
        <f t="shared" ref="AU31:AY31" si="154">IF(OR(P32=""),"",(P32-P31)*1000)</f>
        <v>2699.99999999982</v>
      </c>
      <c r="AV31" s="17">
        <f t="shared" si="154"/>
        <v>3300.00000000018</v>
      </c>
      <c r="AW31" s="17">
        <f t="shared" si="154"/>
        <v>0</v>
      </c>
      <c r="AX31" s="17">
        <f t="shared" si="154"/>
        <v>6699.99999999982</v>
      </c>
      <c r="AY31" s="17">
        <f t="shared" si="154"/>
        <v>4399.99999999964</v>
      </c>
      <c r="AZ31" s="17">
        <f t="shared" si="9"/>
        <v>17099.9999999995</v>
      </c>
      <c r="BA31" s="17">
        <f t="shared" si="10"/>
        <v>10400.0000000015</v>
      </c>
      <c r="BB31" s="17">
        <f t="shared" si="11"/>
        <v>1120</v>
      </c>
      <c r="BC31" s="17">
        <f t="shared" si="12"/>
        <v>1528.00000000047</v>
      </c>
      <c r="BD31" s="17">
        <f t="shared" si="13"/>
        <v>9084.79999999483</v>
      </c>
      <c r="BE31" s="17">
        <f t="shared" si="14"/>
        <v>54799.9999999956</v>
      </c>
      <c r="BF31" s="17">
        <f t="shared" si="15"/>
        <v>50.1000000000058</v>
      </c>
      <c r="BG31" s="20">
        <f t="shared" si="16"/>
        <v>0.269772662380476</v>
      </c>
      <c r="BH31" s="20">
        <f t="shared" si="17"/>
        <v>0.0360707710181457</v>
      </c>
      <c r="BI31" s="20">
        <f t="shared" si="18"/>
        <v>0</v>
      </c>
      <c r="BJ31" s="20">
        <f t="shared" si="19"/>
        <v>0.040564356533123</v>
      </c>
      <c r="BK31" s="20">
        <f t="shared" ref="BK31:BO31" si="155">IF(OR($AD31=0),"",AZ31/$AD31)</f>
        <v>0.0841808855238387</v>
      </c>
      <c r="BL31" s="20">
        <f t="shared" si="155"/>
        <v>0.0511977315466709</v>
      </c>
      <c r="BM31" s="20">
        <f t="shared" si="155"/>
        <v>0.00551360185887148</v>
      </c>
      <c r="BN31" s="20">
        <f t="shared" si="155"/>
        <v>0.00752212825031982</v>
      </c>
      <c r="BO31" s="20">
        <f t="shared" si="155"/>
        <v>0.0447231876495064</v>
      </c>
    </row>
    <row r="32" spans="1:67">
      <c r="A32" s="9">
        <f t="shared" si="21"/>
        <v>44284</v>
      </c>
      <c r="B32" s="10">
        <v>17914.46</v>
      </c>
      <c r="C32" s="8">
        <v>97501.9</v>
      </c>
      <c r="D32" s="8">
        <v>64387.8</v>
      </c>
      <c r="E32" s="8">
        <v>62177.5</v>
      </c>
      <c r="F32" s="8">
        <v>7304.59</v>
      </c>
      <c r="G32" s="8">
        <v>119158.9</v>
      </c>
      <c r="H32" s="8">
        <v>5709.7</v>
      </c>
      <c r="I32" s="8">
        <v>2566.3</v>
      </c>
      <c r="J32" s="8">
        <v>967</v>
      </c>
      <c r="K32" s="8">
        <v>56</v>
      </c>
      <c r="L32" s="8">
        <v>97193.8</v>
      </c>
      <c r="M32" s="8">
        <v>61529.3</v>
      </c>
      <c r="N32" s="8">
        <v>79300.7</v>
      </c>
      <c r="O32" s="8">
        <v>108239.4</v>
      </c>
      <c r="P32" s="8">
        <v>6164.9</v>
      </c>
      <c r="Q32" s="8">
        <v>8108.7</v>
      </c>
      <c r="R32" s="8">
        <v>4743.2</v>
      </c>
      <c r="S32" s="8">
        <v>5800</v>
      </c>
      <c r="T32" s="8">
        <v>7634.7</v>
      </c>
      <c r="U32" s="8">
        <v>18429.9</v>
      </c>
      <c r="V32" s="8">
        <v>53183.3</v>
      </c>
      <c r="W32" s="8">
        <v>56408.9</v>
      </c>
      <c r="X32" s="8">
        <v>4844.3</v>
      </c>
      <c r="Y32" s="8">
        <v>4697.3</v>
      </c>
      <c r="Z32" s="15">
        <f t="shared" si="22"/>
        <v>65950.5</v>
      </c>
      <c r="AA32" s="8">
        <v>74760.1</v>
      </c>
      <c r="AB32" s="13">
        <v>7791</v>
      </c>
      <c r="AC32" s="7">
        <f t="shared" si="23"/>
        <v>82551.1</v>
      </c>
      <c r="AD32" s="16">
        <v>203247</v>
      </c>
      <c r="AE32" s="17">
        <f t="shared" ref="AE32:AI32" si="156">IF(OR(C33=""),"",(C33-C32)*80)</f>
        <v>0</v>
      </c>
      <c r="AF32" s="17">
        <f t="shared" si="156"/>
        <v>2935.99999999977</v>
      </c>
      <c r="AG32" s="17">
        <f t="shared" si="156"/>
        <v>3624.00000000023</v>
      </c>
      <c r="AH32" s="17">
        <f t="shared" si="156"/>
        <v>4.00000000001455</v>
      </c>
      <c r="AI32" s="17">
        <f t="shared" si="156"/>
        <v>2624.00000000023</v>
      </c>
      <c r="AJ32" s="17">
        <f t="shared" si="3"/>
        <v>9188.00000000025</v>
      </c>
      <c r="AK32" s="17">
        <f t="shared" ref="AK32:AN32" si="157">IF(OR(H33=""),"",(H33-H32)*80)</f>
        <v>0</v>
      </c>
      <c r="AL32" s="17">
        <f t="shared" si="157"/>
        <v>0</v>
      </c>
      <c r="AM32" s="17">
        <f t="shared" si="157"/>
        <v>0</v>
      </c>
      <c r="AN32" s="17">
        <f t="shared" si="157"/>
        <v>0</v>
      </c>
      <c r="AO32" s="17">
        <f t="shared" si="5"/>
        <v>0</v>
      </c>
      <c r="AP32" s="17">
        <f t="shared" ref="AP32:AS32" si="158">IF(OR(L33=""),"",(L33-L32)*100)</f>
        <v>3069.99999999971</v>
      </c>
      <c r="AQ32" s="17">
        <f t="shared" si="158"/>
        <v>0</v>
      </c>
      <c r="AR32" s="17">
        <f t="shared" si="158"/>
        <v>2890.00000000087</v>
      </c>
      <c r="AS32" s="17">
        <f t="shared" si="158"/>
        <v>2180.00000000029</v>
      </c>
      <c r="AT32" s="17">
        <f t="shared" si="7"/>
        <v>8140.00000000087</v>
      </c>
      <c r="AU32" s="17">
        <f t="shared" ref="AU32:AY32" si="159">IF(OR(P33=""),"",(P33-P32)*1000)</f>
        <v>3400.00000000055</v>
      </c>
      <c r="AV32" s="17">
        <f t="shared" si="159"/>
        <v>0</v>
      </c>
      <c r="AW32" s="17">
        <f t="shared" si="159"/>
        <v>400.000000000546</v>
      </c>
      <c r="AX32" s="17">
        <f t="shared" si="159"/>
        <v>5300.00000000018</v>
      </c>
      <c r="AY32" s="17">
        <f t="shared" si="159"/>
        <v>0</v>
      </c>
      <c r="AZ32" s="17">
        <f t="shared" si="9"/>
        <v>9100.00000000127</v>
      </c>
      <c r="BA32" s="17">
        <f t="shared" si="10"/>
        <v>9599.99999999854</v>
      </c>
      <c r="BB32" s="17">
        <f t="shared" si="11"/>
        <v>1120</v>
      </c>
      <c r="BC32" s="17">
        <f t="shared" si="12"/>
        <v>1475.99999999977</v>
      </c>
      <c r="BD32" s="17">
        <f t="shared" si="13"/>
        <v>14276.000000008</v>
      </c>
      <c r="BE32" s="17">
        <f t="shared" si="14"/>
        <v>52900.0000000087</v>
      </c>
      <c r="BF32" s="17">
        <f t="shared" si="15"/>
        <v>30.8999999999942</v>
      </c>
      <c r="BG32" s="20">
        <f t="shared" si="16"/>
        <v>0.260274444395286</v>
      </c>
      <c r="BH32" s="20">
        <f t="shared" si="17"/>
        <v>0.0452060793025247</v>
      </c>
      <c r="BI32" s="20">
        <f t="shared" si="18"/>
        <v>0</v>
      </c>
      <c r="BJ32" s="20">
        <f t="shared" si="19"/>
        <v>0.0400497916328451</v>
      </c>
      <c r="BK32" s="20">
        <f t="shared" ref="BK32:BO32" si="160">IF(OR($AD32=0),"",AZ32/$AD32)</f>
        <v>0.0447731085821748</v>
      </c>
      <c r="BL32" s="20">
        <f t="shared" si="160"/>
        <v>0.0472331694932695</v>
      </c>
      <c r="BM32" s="20">
        <f t="shared" si="160"/>
        <v>0.00551053644088228</v>
      </c>
      <c r="BN32" s="20">
        <f t="shared" si="160"/>
        <v>0.00726209980959014</v>
      </c>
      <c r="BO32" s="20">
        <f t="shared" si="160"/>
        <v>0.0702396591339996</v>
      </c>
    </row>
    <row r="33" spans="1:67">
      <c r="A33" s="9">
        <f t="shared" si="21"/>
        <v>44285</v>
      </c>
      <c r="B33" s="10">
        <v>17919.75</v>
      </c>
      <c r="C33" s="8">
        <v>97501.9</v>
      </c>
      <c r="D33" s="8">
        <v>64424.5</v>
      </c>
      <c r="E33" s="8">
        <v>62222.8</v>
      </c>
      <c r="F33" s="8">
        <v>7304.64</v>
      </c>
      <c r="G33" s="8">
        <v>119191.7</v>
      </c>
      <c r="H33" s="8">
        <v>5709.7</v>
      </c>
      <c r="I33" s="8">
        <v>2566.3</v>
      </c>
      <c r="J33" s="8">
        <v>967</v>
      </c>
      <c r="K33" s="8">
        <v>56</v>
      </c>
      <c r="L33" s="8">
        <v>97224.5</v>
      </c>
      <c r="M33" s="8">
        <v>61529.3</v>
      </c>
      <c r="N33" s="8">
        <v>79329.6</v>
      </c>
      <c r="O33" s="8">
        <v>108261.2</v>
      </c>
      <c r="P33" s="8">
        <v>6168.3</v>
      </c>
      <c r="Q33" s="8">
        <v>8108.7</v>
      </c>
      <c r="R33" s="8">
        <v>4743.6</v>
      </c>
      <c r="S33" s="8">
        <v>5805.3</v>
      </c>
      <c r="T33" s="8">
        <v>7634.7</v>
      </c>
      <c r="U33" s="8">
        <v>18434.7</v>
      </c>
      <c r="V33" s="8">
        <v>53197.3</v>
      </c>
      <c r="W33" s="8">
        <v>56425.3</v>
      </c>
      <c r="X33" s="8">
        <v>4852.7</v>
      </c>
      <c r="Y33" s="8">
        <v>4709.4</v>
      </c>
      <c r="Z33" s="15">
        <f t="shared" si="22"/>
        <v>65987.4</v>
      </c>
      <c r="AA33" s="8">
        <v>74782</v>
      </c>
      <c r="AB33" s="13">
        <v>7800</v>
      </c>
      <c r="AC33" s="7">
        <f t="shared" si="23"/>
        <v>82582</v>
      </c>
      <c r="AD33" s="16">
        <v>201815</v>
      </c>
      <c r="AE33" s="17">
        <f t="shared" ref="AE33:AI33" si="161">IF(OR(C34=""),"",(C34-C33)*80)</f>
        <v>0</v>
      </c>
      <c r="AF33" s="17">
        <f t="shared" si="161"/>
        <v>2935.99999999977</v>
      </c>
      <c r="AG33" s="17">
        <f t="shared" si="161"/>
        <v>3415.99999999977</v>
      </c>
      <c r="AH33" s="17">
        <f t="shared" si="161"/>
        <v>4.79999999995925</v>
      </c>
      <c r="AI33" s="17">
        <f t="shared" si="161"/>
        <v>2712.0000000007</v>
      </c>
      <c r="AJ33" s="17">
        <f t="shared" si="3"/>
        <v>9068.80000000019</v>
      </c>
      <c r="AK33" s="17">
        <f t="shared" ref="AK33:AN33" si="162">IF(OR(H34=""),"",(H34-H33)*80)</f>
        <v>0</v>
      </c>
      <c r="AL33" s="17">
        <f t="shared" si="162"/>
        <v>0</v>
      </c>
      <c r="AM33" s="17">
        <f t="shared" si="162"/>
        <v>0</v>
      </c>
      <c r="AN33" s="17">
        <f t="shared" si="162"/>
        <v>0</v>
      </c>
      <c r="AO33" s="17">
        <f t="shared" si="5"/>
        <v>0</v>
      </c>
      <c r="AP33" s="17">
        <f t="shared" ref="AP33:AS33" si="163">IF(OR(L34=""),"",(L34-L33)*100)</f>
        <v>3150</v>
      </c>
      <c r="AQ33" s="17">
        <f t="shared" si="163"/>
        <v>0</v>
      </c>
      <c r="AR33" s="17">
        <f t="shared" si="163"/>
        <v>3039.99999999942</v>
      </c>
      <c r="AS33" s="17">
        <f t="shared" si="163"/>
        <v>2230.00000000029</v>
      </c>
      <c r="AT33" s="17">
        <f t="shared" si="7"/>
        <v>8419.99999999971</v>
      </c>
      <c r="AU33" s="17">
        <f t="shared" ref="AU33:AY33" si="164">IF(OR(P34=""),"",(P34-P33)*1000)</f>
        <v>0</v>
      </c>
      <c r="AV33" s="17">
        <f t="shared" si="164"/>
        <v>0</v>
      </c>
      <c r="AW33" s="17">
        <f t="shared" si="164"/>
        <v>4500</v>
      </c>
      <c r="AX33" s="17">
        <f t="shared" si="164"/>
        <v>5099.99999999945</v>
      </c>
      <c r="AY33" s="17">
        <f t="shared" si="164"/>
        <v>0</v>
      </c>
      <c r="AZ33" s="17">
        <f t="shared" si="9"/>
        <v>9599.99999999945</v>
      </c>
      <c r="BA33" s="17">
        <f t="shared" si="10"/>
        <v>10000</v>
      </c>
      <c r="BB33" s="17">
        <f t="shared" si="11"/>
        <v>1071.99999999953</v>
      </c>
      <c r="BC33" s="17">
        <f t="shared" si="12"/>
        <v>1456.00000000035</v>
      </c>
      <c r="BD33" s="17">
        <f t="shared" si="13"/>
        <v>15283.2000000168</v>
      </c>
      <c r="BE33" s="17">
        <f t="shared" si="14"/>
        <v>54900.000000016</v>
      </c>
      <c r="BF33" s="17">
        <f t="shared" si="15"/>
        <v>23.1000000000058</v>
      </c>
      <c r="BG33" s="20">
        <f t="shared" si="16"/>
        <v>0.272031315809112</v>
      </c>
      <c r="BH33" s="20">
        <f t="shared" si="17"/>
        <v>0.0449362039491623</v>
      </c>
      <c r="BI33" s="20">
        <f t="shared" si="18"/>
        <v>0</v>
      </c>
      <c r="BJ33" s="20">
        <f t="shared" si="19"/>
        <v>0.0417213784902</v>
      </c>
      <c r="BK33" s="20">
        <f t="shared" ref="BK33:BO33" si="165">IF(OR($AD33=0),"",AZ33/$AD33)</f>
        <v>0.0475683175185167</v>
      </c>
      <c r="BL33" s="20">
        <f t="shared" si="165"/>
        <v>0.0495503307484577</v>
      </c>
      <c r="BM33" s="20">
        <f t="shared" si="165"/>
        <v>0.00531179545623236</v>
      </c>
      <c r="BN33" s="20">
        <f t="shared" si="165"/>
        <v>0.00721452815697718</v>
      </c>
      <c r="BO33" s="20">
        <f t="shared" si="165"/>
        <v>0.075728761489566</v>
      </c>
    </row>
    <row r="34" spans="1:67">
      <c r="A34" s="9">
        <f t="shared" si="21"/>
        <v>44286</v>
      </c>
      <c r="B34" s="7">
        <v>17925.24</v>
      </c>
      <c r="C34" s="8">
        <v>97501.9</v>
      </c>
      <c r="D34" s="8">
        <v>64461.2</v>
      </c>
      <c r="E34" s="8">
        <v>62265.5</v>
      </c>
      <c r="F34" s="8">
        <v>7304.7</v>
      </c>
      <c r="G34" s="8">
        <v>119225.6</v>
      </c>
      <c r="H34" s="8">
        <v>5709.7</v>
      </c>
      <c r="I34" s="8">
        <v>2566.3</v>
      </c>
      <c r="J34" s="8">
        <v>967</v>
      </c>
      <c r="K34" s="8">
        <v>56</v>
      </c>
      <c r="L34" s="8">
        <v>97256</v>
      </c>
      <c r="M34" s="8">
        <v>61529.3</v>
      </c>
      <c r="N34" s="8">
        <v>79360</v>
      </c>
      <c r="O34" s="8">
        <v>108283.5</v>
      </c>
      <c r="P34" s="8">
        <v>6168.3</v>
      </c>
      <c r="Q34" s="8">
        <v>8108.7</v>
      </c>
      <c r="R34" s="8">
        <v>4748.1</v>
      </c>
      <c r="S34" s="8">
        <v>5810.4</v>
      </c>
      <c r="T34" s="8">
        <v>7634.7</v>
      </c>
      <c r="U34" s="8">
        <v>18439.7</v>
      </c>
      <c r="V34" s="8">
        <v>53210.7</v>
      </c>
      <c r="W34" s="8">
        <v>56441.6</v>
      </c>
      <c r="X34" s="8">
        <v>4861</v>
      </c>
      <c r="Y34" s="8">
        <v>4721.2</v>
      </c>
      <c r="Z34" s="15">
        <f t="shared" si="22"/>
        <v>66023.8</v>
      </c>
      <c r="AA34" s="8">
        <v>74798.1</v>
      </c>
      <c r="AB34" s="13">
        <v>7807</v>
      </c>
      <c r="AC34" s="7">
        <f t="shared" si="23"/>
        <v>82605.1</v>
      </c>
      <c r="AD34" s="16">
        <v>202683</v>
      </c>
      <c r="AE34" s="17">
        <f>IF(OR(C35=""),"",(C35-C34)*80)</f>
        <v>0</v>
      </c>
      <c r="AF34" s="17">
        <f>IF(OR(D35=""),"",(D35-D34)*80)</f>
        <v>3072.00000000012</v>
      </c>
      <c r="AG34" s="17">
        <f>IF(OR(E35=""),"",(E35-E34)*80)</f>
        <v>3440</v>
      </c>
      <c r="AH34" s="17">
        <f>IF(OR(F35=""),"",(F35-F34)*80)</f>
        <v>4.00000000001455</v>
      </c>
      <c r="AI34" s="17">
        <f>IF(OR(G35=""),"",(G35-G34)*80)</f>
        <v>2800</v>
      </c>
      <c r="AJ34" s="17">
        <f t="shared" si="3"/>
        <v>9316.00000000013</v>
      </c>
      <c r="AK34" s="17">
        <f>IF(OR(H35=""),"",(H35-H34)*80)</f>
        <v>0</v>
      </c>
      <c r="AL34" s="17">
        <f>IF(OR(I35=""),"",(I35-I34)*80)</f>
        <v>0</v>
      </c>
      <c r="AM34" s="17">
        <f>IF(OR(J35=""),"",(J35-J34)*80)</f>
        <v>0</v>
      </c>
      <c r="AN34" s="17">
        <f>IF(OR(K35=""),"",(K35-K34)*80)</f>
        <v>0</v>
      </c>
      <c r="AO34" s="17">
        <f t="shared" si="5"/>
        <v>0</v>
      </c>
      <c r="AP34" s="17">
        <f>IF(OR(L35=""),"",(L35-L34)*100)</f>
        <v>3210.00000000058</v>
      </c>
      <c r="AQ34" s="17">
        <f>IF(OR(M35=""),"",(M35-M34)*100)</f>
        <v>0</v>
      </c>
      <c r="AR34" s="17">
        <f>IF(OR(N35=""),"",(N35-N34)*100)</f>
        <v>2919.99999999971</v>
      </c>
      <c r="AS34" s="17">
        <f>IF(OR(O35=""),"",(O35-O34)*100)</f>
        <v>2119.99999999971</v>
      </c>
      <c r="AT34" s="17">
        <f t="shared" si="7"/>
        <v>8250</v>
      </c>
      <c r="AU34" s="17">
        <f>IF(OR(P35=""),"",(P35-P34)*1000)</f>
        <v>3099.99999999945</v>
      </c>
      <c r="AV34" s="17">
        <f>IF(OR(Q35=""),"",(Q35-Q34)*1000)</f>
        <v>1400.00000000055</v>
      </c>
      <c r="AW34" s="17">
        <f>IF(OR(R35=""),"",(R35-R34)*1000)</f>
        <v>1299.99999999927</v>
      </c>
      <c r="AX34" s="17">
        <f>IF(OR(S35=""),"",(S35-S34)*1000)</f>
        <v>5600.00000000036</v>
      </c>
      <c r="AY34" s="17">
        <f>IF(OR(T35=""),"",(T35-T34)*1000)</f>
        <v>300.000000000182</v>
      </c>
      <c r="AZ34" s="17">
        <f t="shared" si="9"/>
        <v>11699.9999999998</v>
      </c>
      <c r="BA34" s="17">
        <f t="shared" si="10"/>
        <v>10799.9999999956</v>
      </c>
      <c r="BB34" s="17">
        <f t="shared" si="11"/>
        <v>1016.00000000035</v>
      </c>
      <c r="BC34" s="17">
        <f t="shared" si="12"/>
        <v>1527.99999999988</v>
      </c>
      <c r="BD34" s="17">
        <f t="shared" si="13"/>
        <v>14289.9999999911</v>
      </c>
      <c r="BE34" s="17">
        <f t="shared" si="14"/>
        <v>56899.9999999869</v>
      </c>
      <c r="BF34" s="17">
        <f t="shared" si="15"/>
        <v>9.09999999999127</v>
      </c>
      <c r="BG34" s="20">
        <f t="shared" si="16"/>
        <v>0.280733954006932</v>
      </c>
      <c r="BH34" s="20">
        <f t="shared" si="17"/>
        <v>0.0459634009759088</v>
      </c>
      <c r="BI34" s="20">
        <f t="shared" si="18"/>
        <v>0</v>
      </c>
      <c r="BJ34" s="20">
        <f t="shared" si="19"/>
        <v>0.0407039564245645</v>
      </c>
      <c r="BK34" s="20">
        <f t="shared" ref="BK34:BO34" si="166">IF(OR($AD34=0),"",AZ34/$AD34)</f>
        <v>0.0577256109293814</v>
      </c>
      <c r="BL34" s="20">
        <f t="shared" si="166"/>
        <v>0.0532851793194083</v>
      </c>
      <c r="BM34" s="20">
        <f t="shared" si="166"/>
        <v>0.00501275390634809</v>
      </c>
      <c r="BN34" s="20">
        <f t="shared" si="166"/>
        <v>0.00753886611111876</v>
      </c>
      <c r="BO34" s="20">
        <f t="shared" si="166"/>
        <v>0.0705041863402016</v>
      </c>
    </row>
    <row r="35" spans="1:67">
      <c r="A35" s="9">
        <f t="shared" si="21"/>
        <v>44287</v>
      </c>
      <c r="B35" s="10">
        <v>17930.93</v>
      </c>
      <c r="C35" s="11">
        <v>97501.9</v>
      </c>
      <c r="D35" s="11">
        <v>64499.6</v>
      </c>
      <c r="E35" s="11">
        <v>62308.5</v>
      </c>
      <c r="F35" s="11">
        <v>7304.75</v>
      </c>
      <c r="G35" s="11">
        <v>119260.6</v>
      </c>
      <c r="H35" s="8">
        <v>5709.7</v>
      </c>
      <c r="I35" s="8">
        <v>2566.3</v>
      </c>
      <c r="J35" s="8">
        <v>967</v>
      </c>
      <c r="K35" s="8">
        <v>56</v>
      </c>
      <c r="L35" s="11">
        <v>97288.1</v>
      </c>
      <c r="M35" s="11">
        <v>61529.3</v>
      </c>
      <c r="N35" s="11">
        <v>79389.2</v>
      </c>
      <c r="O35" s="11">
        <v>108304.7</v>
      </c>
      <c r="P35" s="11">
        <v>6171.4</v>
      </c>
      <c r="Q35" s="11">
        <v>8110.1</v>
      </c>
      <c r="R35" s="11">
        <v>4749.4</v>
      </c>
      <c r="S35" s="11">
        <v>5816</v>
      </c>
      <c r="T35" s="11">
        <v>7635</v>
      </c>
      <c r="U35" s="11">
        <v>18445.1</v>
      </c>
      <c r="V35" s="11">
        <v>53223.4</v>
      </c>
      <c r="W35" s="11">
        <v>56459</v>
      </c>
      <c r="X35" s="11">
        <v>4869.7</v>
      </c>
      <c r="Y35" s="11">
        <v>4733.3</v>
      </c>
      <c r="Z35" s="15">
        <f t="shared" si="22"/>
        <v>66062</v>
      </c>
      <c r="AA35" s="11">
        <v>74799.2</v>
      </c>
      <c r="AB35" s="13">
        <v>7815</v>
      </c>
      <c r="AC35" s="7">
        <f t="shared" si="23"/>
        <v>82614.2</v>
      </c>
      <c r="AD35" s="16"/>
      <c r="BE35" s="21" t="s">
        <v>44</v>
      </c>
      <c r="BF35" s="21" t="s">
        <v>19</v>
      </c>
      <c r="BG35" s="22">
        <f>SUM(BE4:BE34)</f>
        <v>1711800</v>
      </c>
      <c r="BH35" s="22">
        <f>SUM(AJ4:AJ34)</f>
        <v>252284.8</v>
      </c>
      <c r="BI35" s="22">
        <f>SUM(AO4:AO34)</f>
        <v>0</v>
      </c>
      <c r="BJ35" s="22">
        <f>SUM(AT4:AT34)</f>
        <v>240300</v>
      </c>
      <c r="BK35" s="22">
        <f t="shared" ref="BK35:BO35" si="167">SUM(AZ4:AZ34)</f>
        <v>495099.999999999</v>
      </c>
      <c r="BL35" s="22">
        <f t="shared" si="167"/>
        <v>298199.999999997</v>
      </c>
      <c r="BM35" s="22">
        <f t="shared" si="167"/>
        <v>32607.9999999999</v>
      </c>
      <c r="BN35" s="22">
        <f t="shared" si="167"/>
        <v>48460</v>
      </c>
      <c r="BO35" s="22">
        <f t="shared" si="167"/>
        <v>344847.200000008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5910271</v>
      </c>
      <c r="BF36" s="21" t="s">
        <v>21</v>
      </c>
      <c r="BG36" s="23">
        <f>IF(OR(BG35=0),"",ROUND(BG35/$BE$36,3))</f>
        <v>0.29</v>
      </c>
      <c r="BH36" s="23">
        <f t="shared" ref="BH36:BO36" si="168">IF(OR(BH35=0),"",ROUND(BH35/$BE$36,4))</f>
        <v>0.0427</v>
      </c>
      <c r="BI36" s="23" t="str">
        <f t="shared" si="168"/>
        <v/>
      </c>
      <c r="BJ36" s="23">
        <f t="shared" si="168"/>
        <v>0.0407</v>
      </c>
      <c r="BK36" s="23">
        <f t="shared" si="168"/>
        <v>0.0838</v>
      </c>
      <c r="BL36" s="23">
        <f t="shared" si="168"/>
        <v>0.0505</v>
      </c>
      <c r="BM36" s="23">
        <f t="shared" si="168"/>
        <v>0.0055</v>
      </c>
      <c r="BN36" s="23">
        <f t="shared" si="168"/>
        <v>0.0082</v>
      </c>
      <c r="BO36" s="23">
        <f t="shared" si="168"/>
        <v>0.0583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B4" activePane="bottomRight" state="frozen"/>
      <selection/>
      <selection pane="topRight"/>
      <selection pane="bottomLeft"/>
      <selection pane="bottomRight" activeCell="A34" sqref="$A34:$XFD34"/>
    </sheetView>
  </sheetViews>
  <sheetFormatPr defaultColWidth="9" defaultRowHeight="14.25"/>
  <cols>
    <col min="1" max="1" width="7" style="1" customWidth="1"/>
    <col min="2" max="2" width="9.44166666666667" style="2" customWidth="1"/>
    <col min="3" max="3" width="8.44166666666667" style="3" customWidth="1"/>
    <col min="4" max="5" width="8.66666666666667" style="3" customWidth="1"/>
    <col min="6" max="6" width="7.44166666666667" style="3" customWidth="1"/>
    <col min="7" max="7" width="10.1083333333333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8.10833333333333" style="3" customWidth="1"/>
    <col min="13" max="13" width="8.775" style="3" customWidth="1"/>
    <col min="14" max="14" width="8.44166666666667" style="3" customWidth="1"/>
    <col min="15" max="15" width="9" style="3" customWidth="1"/>
    <col min="16" max="20" width="6.66666666666667" style="3" customWidth="1"/>
    <col min="21" max="21" width="8.66666666666667" style="3" customWidth="1"/>
    <col min="22" max="23" width="8.44166666666667" style="3" customWidth="1"/>
    <col min="24" max="24" width="7.44166666666667" style="3" customWidth="1"/>
    <col min="25" max="25" width="10.3333333333333" style="3" customWidth="1"/>
    <col min="26" max="26" width="11.1083333333333" style="3" customWidth="1"/>
    <col min="27" max="27" width="9.21666666666667" style="3" customWidth="1"/>
    <col min="28" max="28" width="7.44166666666667" style="3" customWidth="1"/>
    <col min="29" max="29" width="8.44166666666667" style="3" customWidth="1"/>
    <col min="30" max="30" width="8.10833333333333" style="3" customWidth="1"/>
    <col min="31" max="31" width="5.10833333333333" style="1" customWidth="1"/>
    <col min="32" max="32" width="5.33333333333333" style="1" customWidth="1"/>
    <col min="33" max="33" width="7.10833333333333" style="1" customWidth="1"/>
    <col min="34" max="35" width="5.33333333333333" style="1" customWidth="1"/>
    <col min="36" max="36" width="6.66666666666667" style="1" customWidth="1"/>
    <col min="37" max="40" width="4" style="1" customWidth="1"/>
    <col min="41" max="41" width="6.66666666666667" style="1" customWidth="1"/>
    <col min="42" max="42" width="5.33333333333333" style="1" customWidth="1"/>
    <col min="43" max="43" width="4" style="1" customWidth="1"/>
    <col min="44" max="44" width="5.775" style="1" customWidth="1"/>
    <col min="45" max="45" width="5.10833333333333" style="1" customWidth="1"/>
    <col min="46" max="46" width="6.66666666666667" style="1" customWidth="1"/>
    <col min="47" max="47" width="5.44166666666667" style="1" customWidth="1"/>
    <col min="48" max="48" width="6.66666666666667" style="1" customWidth="1"/>
    <col min="49" max="51" width="5.44166666666667" style="1" customWidth="1"/>
    <col min="52" max="55" width="6.66666666666667" style="1" customWidth="1"/>
    <col min="56" max="56" width="8.88333333333333" style="1" customWidth="1"/>
    <col min="57" max="59" width="7.10833333333333" style="1" customWidth="1"/>
    <col min="60" max="60" width="6.88333333333333" style="1" customWidth="1"/>
    <col min="61" max="61" width="6.66666666666667" style="1" customWidth="1"/>
    <col min="62" max="63" width="6.44166666666667" style="1" customWidth="1"/>
    <col min="64" max="65" width="6.775" style="1" customWidth="1"/>
    <col min="66" max="66" width="6.44166666666667" style="1" customWidth="1"/>
    <col min="67" max="67" width="6.883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'3'!A35</f>
        <v>44287</v>
      </c>
      <c r="B4" s="10">
        <v>17930.93</v>
      </c>
      <c r="C4" s="11">
        <v>97501.9</v>
      </c>
      <c r="D4" s="11">
        <v>64499.6</v>
      </c>
      <c r="E4" s="11">
        <v>62308.5</v>
      </c>
      <c r="F4" s="11">
        <v>7304.75</v>
      </c>
      <c r="G4" s="11">
        <v>119260.6</v>
      </c>
      <c r="H4" s="8">
        <v>5709.7</v>
      </c>
      <c r="I4" s="8">
        <v>2566.3</v>
      </c>
      <c r="J4" s="8">
        <v>967</v>
      </c>
      <c r="K4" s="8">
        <v>56</v>
      </c>
      <c r="L4" s="11">
        <v>97288.1</v>
      </c>
      <c r="M4" s="11">
        <v>61529.3</v>
      </c>
      <c r="N4" s="11">
        <v>79389.2</v>
      </c>
      <c r="O4" s="11">
        <v>108304.7</v>
      </c>
      <c r="P4" s="11">
        <v>6171.4</v>
      </c>
      <c r="Q4" s="11">
        <v>8110.1</v>
      </c>
      <c r="R4" s="11">
        <v>4749.4</v>
      </c>
      <c r="S4" s="11">
        <v>5816</v>
      </c>
      <c r="T4" s="11">
        <v>7635</v>
      </c>
      <c r="U4" s="11">
        <v>18445.1</v>
      </c>
      <c r="V4" s="11">
        <v>53223.4</v>
      </c>
      <c r="W4" s="11">
        <v>56459</v>
      </c>
      <c r="X4" s="11">
        <v>4869.7</v>
      </c>
      <c r="Y4" s="11">
        <v>4733.3</v>
      </c>
      <c r="Z4" s="15">
        <f t="shared" ref="Z4:Z18" si="0">IF(OR(W4=""),"",(W4+X4+Y4))</f>
        <v>66062</v>
      </c>
      <c r="AA4" s="11">
        <v>74799.2</v>
      </c>
      <c r="AB4" s="13">
        <v>7815</v>
      </c>
      <c r="AC4" s="7">
        <f t="shared" ref="AC4:AC34" si="1">IF(OR(AA4=""),"",(AA4+AB4))</f>
        <v>82614.2</v>
      </c>
      <c r="AD4" s="16">
        <v>203700</v>
      </c>
      <c r="AE4" s="17">
        <f>IF(OR(C5=""),"",(C5-C4)*80)</f>
        <v>0</v>
      </c>
      <c r="AF4" s="17">
        <f>IF(OR(D5=""),"",(D5-D4)*80)</f>
        <v>120</v>
      </c>
      <c r="AG4" s="17">
        <f>IF(OR(E5=""),"",(E5-E4)*80)</f>
        <v>2632.00000000012</v>
      </c>
      <c r="AH4" s="17">
        <f>IF(OR(F5=""),"",(F5-F4)*80)</f>
        <v>2404.00000000001</v>
      </c>
      <c r="AI4" s="17">
        <f>IF(OR(G5=""),"",(G5-G4)*80)</f>
        <v>2567.9999999993</v>
      </c>
      <c r="AJ4" s="17">
        <f t="shared" ref="AJ4:AJ34" si="2">IF(OR(AE4="",AF4="",AG4=""),"",AE4+AF4+AG4+AH4+AI4)</f>
        <v>7723.99999999943</v>
      </c>
      <c r="AK4" s="17">
        <f>IF(OR(H5=""),"",(H5-H4)*80)</f>
        <v>0</v>
      </c>
      <c r="AL4" s="17">
        <f>IF(OR(I5=""),"",(I5-I4)*80)</f>
        <v>0</v>
      </c>
      <c r="AM4" s="17">
        <f>IF(OR(J5=""),"",(J5-J4)*80)</f>
        <v>0</v>
      </c>
      <c r="AN4" s="17">
        <f>IF(OR(K5=""),"",(K5-K4)*80)</f>
        <v>0</v>
      </c>
      <c r="AO4" s="17">
        <f t="shared" ref="AO4:AO34" si="3">IF(OR(AK4="",AL4=""),"",AK4+AL4+AM4+AN4)</f>
        <v>0</v>
      </c>
      <c r="AP4" s="17">
        <f>IF(OR(L5=""),"",(L5-L4)*100)</f>
        <v>3189.99999999942</v>
      </c>
      <c r="AQ4" s="17">
        <f>IF(OR(M5=""),"",(M5-M4)*100)</f>
        <v>0</v>
      </c>
      <c r="AR4" s="17">
        <f>IF(OR(N5=""),"",(N5-N4)*100)</f>
        <v>3050</v>
      </c>
      <c r="AS4" s="17">
        <f>IF(OR(O5=""),"",(O5-O4)*100)</f>
        <v>2150</v>
      </c>
      <c r="AT4" s="17">
        <f t="shared" ref="AT4:AT34" si="4">IF(OR(AP4="",AQ4=""),"",AP4+AQ4+AR4+AS4)</f>
        <v>8389.99999999942</v>
      </c>
      <c r="AU4" s="17">
        <f>IF(OR(P5=""),"",(P5-P4)*1000)</f>
        <v>1000</v>
      </c>
      <c r="AV4" s="17">
        <f>IF(OR(Q5=""),"",(Q5-Q4)*1000)</f>
        <v>1899.99999999964</v>
      </c>
      <c r="AW4" s="17">
        <f>IF(OR(R5=""),"",(R5-R4)*1000)</f>
        <v>3500</v>
      </c>
      <c r="AX4" s="17">
        <f>IF(OR(S5=""),"",(S5-S4)*1000)</f>
        <v>5000</v>
      </c>
      <c r="AY4" s="17">
        <f>IF(OR(T5=""),"",(T5-T4)*1000)</f>
        <v>0</v>
      </c>
      <c r="AZ4" s="17">
        <f t="shared" ref="AZ4:AZ34" si="5">IF(OR(AU4="",AV4="",AW4=""),"",AU4+AV4+AW4+AX4+AY4)</f>
        <v>11399.9999999996</v>
      </c>
      <c r="BA4" s="17">
        <f t="shared" ref="BA4:BA34" si="6">IF(OR(U5=""),"",(U5-U4)*2000)</f>
        <v>10200.0000000044</v>
      </c>
      <c r="BB4" s="17">
        <f t="shared" ref="BB4:BB34" si="7">IF(OR(V5=""),"",(V5-V4)*80)</f>
        <v>1063.99999999965</v>
      </c>
      <c r="BC4" s="17">
        <f>IF(OR(Z5=""),"",(Z5-Z4)*40)</f>
        <v>1512.00000000012</v>
      </c>
      <c r="BD4" s="17">
        <f t="shared" ref="BD4:BD34" si="8">IF(OR(BE4="",BC4=""),"",BE4-BC4-BB4-BA4-AZ4-AT4-AO4-AJ4)</f>
        <v>16510.0000000003</v>
      </c>
      <c r="BE4" s="17">
        <f t="shared" ref="BE4:BE34" si="9">IF(OR(B5=""),"",(B5-B4)*10000)</f>
        <v>56800.0000000029</v>
      </c>
      <c r="BF4" s="17">
        <f t="shared" ref="BF4:BF34" si="10">IF(OR(AC5=""),"",AC5-AC4)</f>
        <v>5</v>
      </c>
      <c r="BG4" s="20">
        <f t="shared" ref="BG4:BG34" si="11">IF(OR($AD4=0),"",BE4/$AD4)</f>
        <v>0.278841433480623</v>
      </c>
      <c r="BH4" s="20">
        <f t="shared" ref="BH4:BH34" si="12">IF(OR($AD4=0),"",AJ4/$AD4)</f>
        <v>0.0379185076092265</v>
      </c>
      <c r="BI4" s="20">
        <f t="shared" ref="BI4:BI34" si="13">IF(OR($AD4=0),"",AO4/$AD4)</f>
        <v>0</v>
      </c>
      <c r="BJ4" s="20">
        <f t="shared" ref="BJ4:BJ34" si="14">IF(OR($AD4=0),"",AT4/$AD4)</f>
        <v>0.0411880216003899</v>
      </c>
      <c r="BK4" s="20">
        <f>IF(OR($AD4=0),"",AZ4/$AD4)</f>
        <v>0.0559646539027964</v>
      </c>
      <c r="BL4" s="20">
        <f>IF(OR($AD4=0),"",BA4/$AD4)</f>
        <v>0.0500736377025251</v>
      </c>
      <c r="BM4" s="20">
        <f>IF(OR($AD4=0),"",BB4/$AD4)</f>
        <v>0.00522336769759279</v>
      </c>
      <c r="BN4" s="20">
        <f>IF(OR($AD4=0),"",BC4/$AD4)</f>
        <v>0.00742268041237171</v>
      </c>
      <c r="BO4" s="20">
        <f>IF(OR($AD4=0),"",BD4/$AD4)</f>
        <v>0.0810505645557206</v>
      </c>
    </row>
    <row r="5" spans="1:67">
      <c r="A5" s="9">
        <f t="shared" ref="A5:A34" si="15">A4+1</f>
        <v>44288</v>
      </c>
      <c r="B5" s="10">
        <v>17936.61</v>
      </c>
      <c r="C5" s="8">
        <v>97501.9</v>
      </c>
      <c r="D5" s="8">
        <v>64501.1</v>
      </c>
      <c r="E5" s="8">
        <v>62341.4</v>
      </c>
      <c r="F5" s="8">
        <v>7334.8</v>
      </c>
      <c r="G5" s="8">
        <v>119292.7</v>
      </c>
      <c r="H5" s="8">
        <v>5709.7</v>
      </c>
      <c r="I5" s="8">
        <v>2566.3</v>
      </c>
      <c r="J5" s="8">
        <v>967</v>
      </c>
      <c r="K5" s="8">
        <v>56</v>
      </c>
      <c r="L5" s="8">
        <v>97320</v>
      </c>
      <c r="M5" s="8">
        <v>61529.3</v>
      </c>
      <c r="N5" s="8">
        <v>79419.7</v>
      </c>
      <c r="O5" s="8">
        <v>108326.2</v>
      </c>
      <c r="P5" s="8">
        <v>6172.4</v>
      </c>
      <c r="Q5" s="8">
        <v>8112</v>
      </c>
      <c r="R5" s="8">
        <v>4752.9</v>
      </c>
      <c r="S5" s="8">
        <v>5821</v>
      </c>
      <c r="T5" s="8">
        <v>7635</v>
      </c>
      <c r="U5" s="8">
        <v>18450.2</v>
      </c>
      <c r="V5" s="8">
        <v>53236.7</v>
      </c>
      <c r="W5" s="8">
        <v>56476.1</v>
      </c>
      <c r="X5" s="8">
        <v>4878.3</v>
      </c>
      <c r="Y5" s="8">
        <v>4745.4</v>
      </c>
      <c r="Z5" s="15">
        <f t="shared" si="0"/>
        <v>66099.8</v>
      </c>
      <c r="AA5" s="8">
        <v>74799.2</v>
      </c>
      <c r="AB5" s="13">
        <v>7820</v>
      </c>
      <c r="AC5" s="7">
        <f t="shared" si="1"/>
        <v>82619.2</v>
      </c>
      <c r="AD5" s="16">
        <v>202487</v>
      </c>
      <c r="AE5" s="17">
        <f t="shared" ref="AE5:AI5" si="16">IF(OR(C6=""),"",(C6-C5)*80)</f>
        <v>0</v>
      </c>
      <c r="AF5" s="17">
        <f t="shared" si="16"/>
        <v>0</v>
      </c>
      <c r="AG5" s="17">
        <f t="shared" si="16"/>
        <v>2815.99999999977</v>
      </c>
      <c r="AH5" s="17">
        <f t="shared" si="16"/>
        <v>2411.19999999995</v>
      </c>
      <c r="AI5" s="17">
        <f t="shared" si="16"/>
        <v>2552.0000000007</v>
      </c>
      <c r="AJ5" s="17">
        <f t="shared" si="2"/>
        <v>7779.20000000042</v>
      </c>
      <c r="AK5" s="17">
        <f t="shared" ref="AK5:AN5" si="17">IF(OR(H6=""),"",(H6-H5)*80)</f>
        <v>0</v>
      </c>
      <c r="AL5" s="17">
        <f t="shared" si="17"/>
        <v>0</v>
      </c>
      <c r="AM5" s="17">
        <f t="shared" si="17"/>
        <v>0</v>
      </c>
      <c r="AN5" s="17">
        <f t="shared" si="17"/>
        <v>0</v>
      </c>
      <c r="AO5" s="17">
        <f t="shared" si="3"/>
        <v>0</v>
      </c>
      <c r="AP5" s="17">
        <f t="shared" ref="AP5:AS5" si="18">IF(OR(L6=""),"",(L6-L5)*100)</f>
        <v>3130.00000000029</v>
      </c>
      <c r="AQ5" s="17">
        <f t="shared" si="18"/>
        <v>0</v>
      </c>
      <c r="AR5" s="17">
        <f t="shared" si="18"/>
        <v>2950</v>
      </c>
      <c r="AS5" s="17">
        <f t="shared" si="18"/>
        <v>2100</v>
      </c>
      <c r="AT5" s="17">
        <f t="shared" si="4"/>
        <v>8180.00000000029</v>
      </c>
      <c r="AU5" s="17">
        <f t="shared" ref="AU5:AY5" si="19">IF(OR(P6=""),"",(P6-P5)*1000)</f>
        <v>0</v>
      </c>
      <c r="AV5" s="17">
        <f t="shared" si="19"/>
        <v>0</v>
      </c>
      <c r="AW5" s="17">
        <f t="shared" si="19"/>
        <v>4800.00000000018</v>
      </c>
      <c r="AX5" s="17">
        <f t="shared" si="19"/>
        <v>5300.00000000018</v>
      </c>
      <c r="AY5" s="17">
        <f t="shared" si="19"/>
        <v>0</v>
      </c>
      <c r="AZ5" s="17">
        <f t="shared" si="5"/>
        <v>10100.0000000004</v>
      </c>
      <c r="BA5" s="17">
        <f t="shared" si="6"/>
        <v>10000</v>
      </c>
      <c r="BB5" s="17">
        <f t="shared" si="7"/>
        <v>128.000000000466</v>
      </c>
      <c r="BC5" s="17">
        <f t="shared" ref="BC5:BC34" si="20">IF(OR(Z6=""),"",(Z6-Z5)*40)</f>
        <v>1504.00000000023</v>
      </c>
      <c r="BD5" s="17">
        <f t="shared" si="8"/>
        <v>16908.7999999895</v>
      </c>
      <c r="BE5" s="17">
        <f t="shared" si="9"/>
        <v>54599.9999999913</v>
      </c>
      <c r="BF5" s="17">
        <f t="shared" si="10"/>
        <v>-74758.8</v>
      </c>
      <c r="BG5" s="20">
        <f t="shared" si="11"/>
        <v>0.269646940297359</v>
      </c>
      <c r="BH5" s="20">
        <f t="shared" si="12"/>
        <v>0.0384182688271366</v>
      </c>
      <c r="BI5" s="20">
        <f t="shared" si="13"/>
        <v>0</v>
      </c>
      <c r="BJ5" s="20">
        <f t="shared" si="14"/>
        <v>0.0403976551581104</v>
      </c>
      <c r="BK5" s="20">
        <f t="shared" ref="BK5:BO5" si="21">IF(OR($AD5=0),"",AZ5/$AD5)</f>
        <v>0.049879745366371</v>
      </c>
      <c r="BL5" s="20">
        <f t="shared" si="21"/>
        <v>0.0493858865013556</v>
      </c>
      <c r="BM5" s="20">
        <f t="shared" si="21"/>
        <v>0.000632139347219652</v>
      </c>
      <c r="BN5" s="20">
        <f t="shared" si="21"/>
        <v>0.00742763732980504</v>
      </c>
      <c r="BO5" s="20">
        <f t="shared" si="21"/>
        <v>0.0835056077673604</v>
      </c>
    </row>
    <row r="6" spans="1:67">
      <c r="A6" s="9">
        <f t="shared" si="15"/>
        <v>44289</v>
      </c>
      <c r="B6" s="10">
        <v>17942.07</v>
      </c>
      <c r="C6" s="8">
        <v>97501.9</v>
      </c>
      <c r="D6" s="8">
        <v>64501.1</v>
      </c>
      <c r="E6" s="8">
        <v>62376.6</v>
      </c>
      <c r="F6" s="8">
        <v>7364.94</v>
      </c>
      <c r="G6" s="8">
        <v>119324.6</v>
      </c>
      <c r="H6" s="8">
        <v>5709.7</v>
      </c>
      <c r="I6" s="8">
        <v>2566.3</v>
      </c>
      <c r="J6" s="8">
        <v>967</v>
      </c>
      <c r="K6" s="8">
        <v>56</v>
      </c>
      <c r="L6" s="8">
        <v>97351.3</v>
      </c>
      <c r="M6" s="8">
        <v>61529.3</v>
      </c>
      <c r="N6" s="8">
        <v>79449.2</v>
      </c>
      <c r="O6" s="8">
        <v>108347.2</v>
      </c>
      <c r="P6" s="8">
        <v>6172.4</v>
      </c>
      <c r="Q6" s="8">
        <v>8112</v>
      </c>
      <c r="R6" s="8">
        <v>4757.7</v>
      </c>
      <c r="S6" s="8">
        <v>5826.3</v>
      </c>
      <c r="T6" s="8">
        <v>7635</v>
      </c>
      <c r="U6" s="8">
        <v>18455.2</v>
      </c>
      <c r="V6" s="8">
        <v>53238.3</v>
      </c>
      <c r="W6" s="8">
        <v>56493</v>
      </c>
      <c r="X6" s="8">
        <v>4886.8</v>
      </c>
      <c r="Y6" s="8">
        <v>4757.6</v>
      </c>
      <c r="Z6" s="15">
        <f t="shared" si="0"/>
        <v>66137.4</v>
      </c>
      <c r="AA6" s="8">
        <v>30.4</v>
      </c>
      <c r="AB6" s="13">
        <v>7830</v>
      </c>
      <c r="AC6" s="7">
        <f t="shared" si="1"/>
        <v>7860.4</v>
      </c>
      <c r="AD6" s="16">
        <v>208511</v>
      </c>
      <c r="AE6" s="17">
        <f t="shared" ref="AE6:AI6" si="22">IF(OR(C7=""),"",(C7-C6)*80)</f>
        <v>0</v>
      </c>
      <c r="AF6" s="17">
        <f t="shared" si="22"/>
        <v>2336.00000000035</v>
      </c>
      <c r="AG6" s="17">
        <f t="shared" si="22"/>
        <v>2976.00000000035</v>
      </c>
      <c r="AH6" s="17">
        <f t="shared" si="22"/>
        <v>636.800000000003</v>
      </c>
      <c r="AI6" s="17">
        <f t="shared" si="22"/>
        <v>2607.9999999993</v>
      </c>
      <c r="AJ6" s="17">
        <f t="shared" si="2"/>
        <v>8556.8</v>
      </c>
      <c r="AK6" s="17">
        <f t="shared" ref="AK6:AN6" si="23">IF(OR(H7=""),"",(H7-H6)*80)</f>
        <v>0</v>
      </c>
      <c r="AL6" s="17">
        <f t="shared" si="23"/>
        <v>0</v>
      </c>
      <c r="AM6" s="17">
        <f t="shared" si="23"/>
        <v>0</v>
      </c>
      <c r="AN6" s="17">
        <f t="shared" si="23"/>
        <v>0</v>
      </c>
      <c r="AO6" s="17">
        <f t="shared" si="3"/>
        <v>0</v>
      </c>
      <c r="AP6" s="17">
        <f t="shared" ref="AP6:AS6" si="24">IF(OR(L7=""),"",(L7-L6)*100)</f>
        <v>3359.99999999913</v>
      </c>
      <c r="AQ6" s="17">
        <f t="shared" si="24"/>
        <v>0</v>
      </c>
      <c r="AR6" s="17">
        <f t="shared" si="24"/>
        <v>3050</v>
      </c>
      <c r="AS6" s="17">
        <f t="shared" si="24"/>
        <v>2150</v>
      </c>
      <c r="AT6" s="17">
        <f t="shared" si="4"/>
        <v>8559.99999999913</v>
      </c>
      <c r="AU6" s="17">
        <f t="shared" ref="AU6:AY6" si="25">IF(OR(P7=""),"",(P7-P6)*1000)</f>
        <v>0</v>
      </c>
      <c r="AV6" s="17">
        <f t="shared" si="25"/>
        <v>0</v>
      </c>
      <c r="AW6" s="17">
        <f t="shared" si="25"/>
        <v>5000</v>
      </c>
      <c r="AX6" s="17">
        <f t="shared" si="25"/>
        <v>5199.99999999982</v>
      </c>
      <c r="AY6" s="17">
        <f t="shared" si="25"/>
        <v>0</v>
      </c>
      <c r="AZ6" s="17">
        <f t="shared" si="5"/>
        <v>10199.9999999998</v>
      </c>
      <c r="BA6" s="17">
        <f t="shared" si="6"/>
        <v>11000</v>
      </c>
      <c r="BB6" s="17">
        <f t="shared" si="7"/>
        <v>1103.99999999965</v>
      </c>
      <c r="BC6" s="17">
        <f t="shared" si="20"/>
        <v>1539.99999999942</v>
      </c>
      <c r="BD6" s="17">
        <f t="shared" si="8"/>
        <v>16439.200000018</v>
      </c>
      <c r="BE6" s="17">
        <f t="shared" si="9"/>
        <v>57400.000000016</v>
      </c>
      <c r="BF6" s="17">
        <f t="shared" si="10"/>
        <v>44.5</v>
      </c>
      <c r="BG6" s="20">
        <f t="shared" si="11"/>
        <v>0.275285236750176</v>
      </c>
      <c r="BH6" s="20">
        <f t="shared" si="12"/>
        <v>0.0410376430979661</v>
      </c>
      <c r="BI6" s="20">
        <f t="shared" si="13"/>
        <v>0</v>
      </c>
      <c r="BJ6" s="20">
        <f t="shared" si="14"/>
        <v>0.0410529900101152</v>
      </c>
      <c r="BK6" s="20">
        <f t="shared" ref="BK6:BO6" si="26">IF(OR($AD6=0),"",AZ6/$AD6)</f>
        <v>0.0489182824886928</v>
      </c>
      <c r="BL6" s="20">
        <f t="shared" si="26"/>
        <v>0.0527550105270226</v>
      </c>
      <c r="BM6" s="20">
        <f t="shared" si="26"/>
        <v>0.00529468469289223</v>
      </c>
      <c r="BN6" s="20">
        <f t="shared" si="26"/>
        <v>0.00738570147378037</v>
      </c>
      <c r="BO6" s="20">
        <f t="shared" si="26"/>
        <v>0.0788409244597071</v>
      </c>
    </row>
    <row r="7" spans="1:67">
      <c r="A7" s="9">
        <f t="shared" si="15"/>
        <v>44290</v>
      </c>
      <c r="B7" s="10">
        <v>17947.81</v>
      </c>
      <c r="C7" s="8">
        <v>97501.9</v>
      </c>
      <c r="D7" s="8">
        <v>64530.3</v>
      </c>
      <c r="E7" s="8">
        <v>62413.8</v>
      </c>
      <c r="F7" s="8">
        <v>7372.9</v>
      </c>
      <c r="G7" s="8">
        <v>119357.2</v>
      </c>
      <c r="H7" s="8">
        <v>5709.7</v>
      </c>
      <c r="I7" s="8">
        <v>2566.3</v>
      </c>
      <c r="J7" s="8">
        <v>967</v>
      </c>
      <c r="K7" s="8">
        <v>56</v>
      </c>
      <c r="L7" s="8">
        <v>97384.9</v>
      </c>
      <c r="M7" s="8">
        <v>61529.3</v>
      </c>
      <c r="N7" s="8">
        <v>79479.7</v>
      </c>
      <c r="O7" s="8">
        <v>108368.7</v>
      </c>
      <c r="P7" s="8">
        <v>6172.4</v>
      </c>
      <c r="Q7" s="8">
        <v>8112</v>
      </c>
      <c r="R7" s="8">
        <v>4762.7</v>
      </c>
      <c r="S7" s="8">
        <v>5831.5</v>
      </c>
      <c r="T7" s="8">
        <v>7635</v>
      </c>
      <c r="U7" s="8">
        <v>18460.7</v>
      </c>
      <c r="V7" s="8">
        <v>53252.1</v>
      </c>
      <c r="W7" s="8">
        <v>56510.1</v>
      </c>
      <c r="X7" s="8">
        <v>4895.6</v>
      </c>
      <c r="Y7" s="8">
        <v>4770.2</v>
      </c>
      <c r="Z7" s="15">
        <f t="shared" si="0"/>
        <v>66175.9</v>
      </c>
      <c r="AA7" s="8">
        <v>68.9</v>
      </c>
      <c r="AB7" s="13">
        <v>7836</v>
      </c>
      <c r="AC7" s="7">
        <f t="shared" si="1"/>
        <v>7904.9</v>
      </c>
      <c r="AD7" s="16">
        <v>203589</v>
      </c>
      <c r="AE7" s="17">
        <f t="shared" ref="AE7:AI7" si="27">IF(OR(C8=""),"",(C8-C7)*80)</f>
        <v>0</v>
      </c>
      <c r="AF7" s="17">
        <f t="shared" si="27"/>
        <v>2943.99999999965</v>
      </c>
      <c r="AG7" s="17">
        <f t="shared" si="27"/>
        <v>2887.99999999988</v>
      </c>
      <c r="AH7" s="17">
        <f t="shared" si="27"/>
        <v>9.60000000006403</v>
      </c>
      <c r="AI7" s="17">
        <f t="shared" si="27"/>
        <v>2632.0000000007</v>
      </c>
      <c r="AJ7" s="17">
        <f t="shared" si="2"/>
        <v>8473.6000000003</v>
      </c>
      <c r="AK7" s="17">
        <f t="shared" ref="AK7:AN7" si="28">IF(OR(H8=""),"",(H8-H7)*80)</f>
        <v>0</v>
      </c>
      <c r="AL7" s="17">
        <f t="shared" si="28"/>
        <v>0</v>
      </c>
      <c r="AM7" s="17">
        <f t="shared" si="28"/>
        <v>0</v>
      </c>
      <c r="AN7" s="17">
        <f t="shared" si="28"/>
        <v>0</v>
      </c>
      <c r="AO7" s="17">
        <f t="shared" si="3"/>
        <v>0</v>
      </c>
      <c r="AP7" s="17">
        <f t="shared" ref="AP7:AS7" si="29">IF(OR(L8=""),"",(L8-L7)*100)</f>
        <v>3140.00000000087</v>
      </c>
      <c r="AQ7" s="17">
        <f t="shared" si="29"/>
        <v>0</v>
      </c>
      <c r="AR7" s="17">
        <f t="shared" si="29"/>
        <v>2950</v>
      </c>
      <c r="AS7" s="17">
        <f t="shared" si="29"/>
        <v>2060.00000000058</v>
      </c>
      <c r="AT7" s="17">
        <f t="shared" si="4"/>
        <v>8150.00000000146</v>
      </c>
      <c r="AU7" s="17">
        <f t="shared" ref="AU7:AY7" si="30">IF(OR(P8=""),"",(P8-P7)*1000)</f>
        <v>0</v>
      </c>
      <c r="AV7" s="17">
        <f t="shared" si="30"/>
        <v>100.000000000364</v>
      </c>
      <c r="AW7" s="17">
        <f t="shared" si="30"/>
        <v>4800.00000000018</v>
      </c>
      <c r="AX7" s="17">
        <f t="shared" si="30"/>
        <v>5100.00000000036</v>
      </c>
      <c r="AY7" s="17">
        <f t="shared" si="30"/>
        <v>0</v>
      </c>
      <c r="AZ7" s="17">
        <f t="shared" si="5"/>
        <v>10000.0000000009</v>
      </c>
      <c r="BA7" s="17">
        <f t="shared" si="6"/>
        <v>10799.9999999956</v>
      </c>
      <c r="BB7" s="17">
        <f t="shared" si="7"/>
        <v>1040</v>
      </c>
      <c r="BC7" s="17">
        <f t="shared" si="20"/>
        <v>1484.00000000023</v>
      </c>
      <c r="BD7" s="17">
        <f t="shared" si="8"/>
        <v>15352.3999999898</v>
      </c>
      <c r="BE7" s="17">
        <f t="shared" si="9"/>
        <v>55299.9999999884</v>
      </c>
      <c r="BF7" s="17">
        <f t="shared" si="10"/>
        <v>46.6000000000004</v>
      </c>
      <c r="BG7" s="20">
        <f t="shared" si="11"/>
        <v>0.27162567722219</v>
      </c>
      <c r="BH7" s="20">
        <f t="shared" si="12"/>
        <v>0.0416211091954884</v>
      </c>
      <c r="BI7" s="20">
        <f t="shared" si="13"/>
        <v>0</v>
      </c>
      <c r="BJ7" s="20">
        <f t="shared" si="14"/>
        <v>0.0400316323573545</v>
      </c>
      <c r="BK7" s="20">
        <f t="shared" ref="BK7:BO7" si="31">IF(OR($AD7=0),"",AZ7/$AD7)</f>
        <v>0.0491185673096332</v>
      </c>
      <c r="BL7" s="20">
        <f t="shared" si="31"/>
        <v>0.0530480526943776</v>
      </c>
      <c r="BM7" s="20">
        <f t="shared" si="31"/>
        <v>0.00510833100020139</v>
      </c>
      <c r="BN7" s="20">
        <f t="shared" si="31"/>
        <v>0.00728919538875004</v>
      </c>
      <c r="BO7" s="20">
        <f t="shared" si="31"/>
        <v>0.0754087892763844</v>
      </c>
    </row>
    <row r="8" spans="1:67">
      <c r="A8" s="9">
        <f t="shared" si="15"/>
        <v>44291</v>
      </c>
      <c r="B8" s="10">
        <v>17953.34</v>
      </c>
      <c r="C8" s="8">
        <v>97501.9</v>
      </c>
      <c r="D8" s="8">
        <v>64567.1</v>
      </c>
      <c r="E8" s="8">
        <v>62449.9</v>
      </c>
      <c r="F8" s="8">
        <v>7373.02</v>
      </c>
      <c r="G8" s="8">
        <v>119390.1</v>
      </c>
      <c r="H8" s="8">
        <v>5709.7</v>
      </c>
      <c r="I8" s="8">
        <v>2566.3</v>
      </c>
      <c r="J8" s="8">
        <v>967</v>
      </c>
      <c r="K8" s="8">
        <v>56</v>
      </c>
      <c r="L8" s="8">
        <v>97416.3</v>
      </c>
      <c r="M8" s="8">
        <v>61529.3</v>
      </c>
      <c r="N8" s="8">
        <v>79509.2</v>
      </c>
      <c r="O8" s="8">
        <v>108389.3</v>
      </c>
      <c r="P8" s="8">
        <v>6172.4</v>
      </c>
      <c r="Q8" s="8">
        <v>8112.1</v>
      </c>
      <c r="R8" s="8">
        <v>4767.5</v>
      </c>
      <c r="S8" s="8">
        <v>5836.6</v>
      </c>
      <c r="T8" s="8">
        <v>7635</v>
      </c>
      <c r="U8" s="8">
        <v>18466.1</v>
      </c>
      <c r="V8" s="8">
        <v>53265.1</v>
      </c>
      <c r="W8" s="8">
        <v>56527</v>
      </c>
      <c r="X8" s="8">
        <v>4903.9</v>
      </c>
      <c r="Y8" s="8">
        <v>4782.1</v>
      </c>
      <c r="Z8" s="15">
        <f t="shared" si="0"/>
        <v>66213</v>
      </c>
      <c r="AA8" s="8">
        <v>107.5</v>
      </c>
      <c r="AB8" s="13">
        <v>7844</v>
      </c>
      <c r="AC8" s="7">
        <f t="shared" si="1"/>
        <v>7951.5</v>
      </c>
      <c r="AD8" s="16">
        <v>204800</v>
      </c>
      <c r="AE8" s="17">
        <f t="shared" ref="AE8:AI8" si="32">IF(OR(C9=""),"",(C9-C8)*80)</f>
        <v>0</v>
      </c>
      <c r="AF8" s="17">
        <f t="shared" si="32"/>
        <v>80</v>
      </c>
      <c r="AG8" s="17">
        <f t="shared" si="32"/>
        <v>3303.99999999965</v>
      </c>
      <c r="AH8" s="17">
        <f t="shared" si="32"/>
        <v>2367.99999999996</v>
      </c>
      <c r="AI8" s="17">
        <f t="shared" si="32"/>
        <v>2320</v>
      </c>
      <c r="AJ8" s="17">
        <f t="shared" si="2"/>
        <v>8071.99999999961</v>
      </c>
      <c r="AK8" s="17">
        <f t="shared" ref="AK8:AN8" si="33">IF(OR(H9=""),"",(H9-H8)*80)</f>
        <v>0</v>
      </c>
      <c r="AL8" s="17">
        <f t="shared" si="33"/>
        <v>0</v>
      </c>
      <c r="AM8" s="17">
        <f t="shared" si="33"/>
        <v>0</v>
      </c>
      <c r="AN8" s="17">
        <f t="shared" si="33"/>
        <v>0</v>
      </c>
      <c r="AO8" s="17">
        <f t="shared" si="3"/>
        <v>0</v>
      </c>
      <c r="AP8" s="17">
        <f t="shared" ref="AP8:AS8" si="34">IF(OR(L9=""),"",(L9-L8)*100)</f>
        <v>3150</v>
      </c>
      <c r="AQ8" s="17">
        <f t="shared" si="34"/>
        <v>9.99999999985448</v>
      </c>
      <c r="AR8" s="17">
        <f t="shared" si="34"/>
        <v>2969.99999999971</v>
      </c>
      <c r="AS8" s="17">
        <f t="shared" si="34"/>
        <v>2130.00000000029</v>
      </c>
      <c r="AT8" s="17">
        <f t="shared" si="4"/>
        <v>8259.99999999985</v>
      </c>
      <c r="AU8" s="17">
        <f t="shared" ref="AU8:AY8" si="35">IF(OR(P9=""),"",(P9-P8)*1000)</f>
        <v>700.000000000728</v>
      </c>
      <c r="AV8" s="17">
        <f t="shared" si="35"/>
        <v>1299.99999999927</v>
      </c>
      <c r="AW8" s="17">
        <f t="shared" si="35"/>
        <v>4100.00000000036</v>
      </c>
      <c r="AX8" s="17">
        <f t="shared" si="35"/>
        <v>5500</v>
      </c>
      <c r="AY8" s="17">
        <f t="shared" si="35"/>
        <v>100.000000000364</v>
      </c>
      <c r="AZ8" s="17">
        <f t="shared" si="5"/>
        <v>11700.0000000007</v>
      </c>
      <c r="BA8" s="17">
        <f t="shared" si="6"/>
        <v>10800.0000000029</v>
      </c>
      <c r="BB8" s="17">
        <f t="shared" si="7"/>
        <v>1072.00000000012</v>
      </c>
      <c r="BC8" s="17">
        <f t="shared" si="20"/>
        <v>1504.00000000023</v>
      </c>
      <c r="BD8" s="17">
        <f t="shared" si="8"/>
        <v>17392.0000000067</v>
      </c>
      <c r="BE8" s="17">
        <f t="shared" si="9"/>
        <v>58800.0000000102</v>
      </c>
      <c r="BF8" s="17">
        <f t="shared" si="10"/>
        <v>43.6999999999998</v>
      </c>
      <c r="BG8" s="20">
        <f t="shared" si="11"/>
        <v>0.28710937500005</v>
      </c>
      <c r="BH8" s="20">
        <f t="shared" si="12"/>
        <v>0.0394140624999981</v>
      </c>
      <c r="BI8" s="20">
        <f t="shared" si="13"/>
        <v>0</v>
      </c>
      <c r="BJ8" s="20">
        <f t="shared" si="14"/>
        <v>0.0403320312499993</v>
      </c>
      <c r="BK8" s="20">
        <f t="shared" ref="BK8:BO8" si="36">IF(OR($AD8=0),"",AZ8/$AD8)</f>
        <v>0.0571289062500036</v>
      </c>
      <c r="BL8" s="20">
        <f t="shared" si="36"/>
        <v>0.0527343750000142</v>
      </c>
      <c r="BM8" s="20">
        <f t="shared" si="36"/>
        <v>0.00523437500000057</v>
      </c>
      <c r="BN8" s="20">
        <f t="shared" si="36"/>
        <v>0.00734375000000114</v>
      </c>
      <c r="BO8" s="20">
        <f t="shared" si="36"/>
        <v>0.0849218750000329</v>
      </c>
    </row>
    <row r="9" spans="1:67">
      <c r="A9" s="9">
        <f t="shared" si="15"/>
        <v>44292</v>
      </c>
      <c r="B9" s="10">
        <v>17959.22</v>
      </c>
      <c r="C9" s="8">
        <v>97501.9</v>
      </c>
      <c r="D9" s="8">
        <v>64568.1</v>
      </c>
      <c r="E9" s="8">
        <v>62491.2</v>
      </c>
      <c r="F9" s="8">
        <v>7402.62</v>
      </c>
      <c r="G9" s="8">
        <v>119419.1</v>
      </c>
      <c r="H9" s="8">
        <v>5709.7</v>
      </c>
      <c r="I9" s="8">
        <v>2566.3</v>
      </c>
      <c r="J9" s="8">
        <v>967</v>
      </c>
      <c r="K9" s="8">
        <v>56</v>
      </c>
      <c r="L9" s="8">
        <v>97447.8</v>
      </c>
      <c r="M9" s="8">
        <v>61529.4</v>
      </c>
      <c r="N9" s="8">
        <v>79538.9</v>
      </c>
      <c r="O9" s="8">
        <v>108410.6</v>
      </c>
      <c r="P9" s="8">
        <v>6173.1</v>
      </c>
      <c r="Q9" s="8">
        <v>8113.4</v>
      </c>
      <c r="R9" s="8">
        <v>4771.6</v>
      </c>
      <c r="S9" s="8">
        <v>5842.1</v>
      </c>
      <c r="T9" s="8">
        <v>7635.1</v>
      </c>
      <c r="U9" s="8">
        <v>18471.5</v>
      </c>
      <c r="V9" s="8">
        <v>53278.5</v>
      </c>
      <c r="W9" s="8">
        <v>56543.9</v>
      </c>
      <c r="X9" s="8">
        <v>4912.4</v>
      </c>
      <c r="Y9" s="8">
        <v>4794.3</v>
      </c>
      <c r="Z9" s="15">
        <f t="shared" si="0"/>
        <v>66250.6</v>
      </c>
      <c r="AA9" s="8">
        <v>145.2</v>
      </c>
      <c r="AB9" s="13">
        <v>7850</v>
      </c>
      <c r="AC9" s="7">
        <f t="shared" si="1"/>
        <v>7995.2</v>
      </c>
      <c r="AD9" s="16">
        <v>178078</v>
      </c>
      <c r="AE9" s="17">
        <f t="shared" ref="AE9:AI9" si="37">IF(OR(C10=""),"",(C10-C9)*80)</f>
        <v>0</v>
      </c>
      <c r="AF9" s="17">
        <f t="shared" si="37"/>
        <v>0</v>
      </c>
      <c r="AG9" s="17">
        <f t="shared" si="37"/>
        <v>1472.00000000012</v>
      </c>
      <c r="AH9" s="17">
        <f t="shared" si="37"/>
        <v>2488.00000000003</v>
      </c>
      <c r="AI9" s="17">
        <f t="shared" si="37"/>
        <v>2263.99999999907</v>
      </c>
      <c r="AJ9" s="17">
        <f t="shared" si="2"/>
        <v>6223.99999999921</v>
      </c>
      <c r="AK9" s="17">
        <f t="shared" ref="AK9:AN9" si="38">IF(OR(H10=""),"",(H10-H9)*80)</f>
        <v>0</v>
      </c>
      <c r="AL9" s="17">
        <f t="shared" si="38"/>
        <v>0</v>
      </c>
      <c r="AM9" s="17">
        <f t="shared" si="38"/>
        <v>0</v>
      </c>
      <c r="AN9" s="17">
        <f t="shared" si="38"/>
        <v>0</v>
      </c>
      <c r="AO9" s="17">
        <f t="shared" si="3"/>
        <v>0</v>
      </c>
      <c r="AP9" s="17">
        <f t="shared" ref="AP9:AS9" si="39">IF(OR(L10=""),"",(L10-L9)*100)</f>
        <v>2009.99999999913</v>
      </c>
      <c r="AQ9" s="17">
        <f t="shared" si="39"/>
        <v>0</v>
      </c>
      <c r="AR9" s="17">
        <f t="shared" si="39"/>
        <v>3010.00000000058</v>
      </c>
      <c r="AS9" s="17">
        <f t="shared" si="39"/>
        <v>2150</v>
      </c>
      <c r="AT9" s="17">
        <f t="shared" si="4"/>
        <v>7169.99999999971</v>
      </c>
      <c r="AU9" s="17">
        <f t="shared" ref="AU9:AY9" si="40">IF(OR(P10=""),"",(P10-P9)*1000)</f>
        <v>2799.99999999927</v>
      </c>
      <c r="AV9" s="17">
        <f t="shared" si="40"/>
        <v>5100.00000000036</v>
      </c>
      <c r="AW9" s="17">
        <f t="shared" si="40"/>
        <v>1500</v>
      </c>
      <c r="AX9" s="17">
        <f t="shared" si="40"/>
        <v>5099.99999999945</v>
      </c>
      <c r="AY9" s="17">
        <f t="shared" si="40"/>
        <v>0</v>
      </c>
      <c r="AZ9" s="17">
        <f t="shared" si="5"/>
        <v>14499.9999999991</v>
      </c>
      <c r="BA9" s="17">
        <f t="shared" si="6"/>
        <v>9400.00000000146</v>
      </c>
      <c r="BB9" s="17">
        <f t="shared" si="7"/>
        <v>1080</v>
      </c>
      <c r="BC9" s="17">
        <f t="shared" si="20"/>
        <v>1491.99999999953</v>
      </c>
      <c r="BD9" s="17">
        <f t="shared" si="8"/>
        <v>16934.0000000039</v>
      </c>
      <c r="BE9" s="17">
        <f t="shared" si="9"/>
        <v>56800.0000000029</v>
      </c>
      <c r="BF9" s="17">
        <f t="shared" si="10"/>
        <v>45.8000000000002</v>
      </c>
      <c r="BG9" s="20">
        <f t="shared" si="11"/>
        <v>0.318961354013426</v>
      </c>
      <c r="BH9" s="20">
        <f t="shared" si="12"/>
        <v>0.0349509765383664</v>
      </c>
      <c r="BI9" s="20">
        <f t="shared" si="13"/>
        <v>0</v>
      </c>
      <c r="BJ9" s="20">
        <f t="shared" si="14"/>
        <v>0.0402632554273953</v>
      </c>
      <c r="BK9" s="20">
        <f t="shared" ref="BK9:BO9" si="41">IF(OR($AD9=0),"",AZ9/$AD9)</f>
        <v>0.0814249935421506</v>
      </c>
      <c r="BL9" s="20">
        <f t="shared" si="41"/>
        <v>0.0527858578825091</v>
      </c>
      <c r="BM9" s="20">
        <f t="shared" si="41"/>
        <v>0.0060647581396916</v>
      </c>
      <c r="BN9" s="20">
        <f t="shared" si="41"/>
        <v>0.0083783510596454</v>
      </c>
      <c r="BO9" s="20">
        <f t="shared" si="41"/>
        <v>0.0950931614236678</v>
      </c>
    </row>
    <row r="10" spans="1:67">
      <c r="A10" s="9">
        <f t="shared" si="15"/>
        <v>44293</v>
      </c>
      <c r="B10" s="10">
        <v>17964.9</v>
      </c>
      <c r="C10" s="8">
        <v>97501.9</v>
      </c>
      <c r="D10" s="8">
        <v>64568.1</v>
      </c>
      <c r="E10" s="8">
        <v>62509.6</v>
      </c>
      <c r="F10" s="8">
        <v>7433.72</v>
      </c>
      <c r="G10" s="8">
        <v>119447.4</v>
      </c>
      <c r="H10" s="8">
        <v>5709.7</v>
      </c>
      <c r="I10" s="8">
        <v>2566.3</v>
      </c>
      <c r="J10" s="8">
        <v>967</v>
      </c>
      <c r="K10" s="8">
        <v>56</v>
      </c>
      <c r="L10" s="8">
        <v>97467.9</v>
      </c>
      <c r="M10" s="8">
        <v>61529.4</v>
      </c>
      <c r="N10" s="8">
        <v>79569</v>
      </c>
      <c r="O10" s="8">
        <v>108432.1</v>
      </c>
      <c r="P10" s="8">
        <v>6175.9</v>
      </c>
      <c r="Q10" s="8">
        <v>8118.5</v>
      </c>
      <c r="R10" s="8">
        <v>4773.1</v>
      </c>
      <c r="S10" s="8">
        <v>5847.2</v>
      </c>
      <c r="T10" s="8">
        <v>7635.1</v>
      </c>
      <c r="U10" s="8">
        <v>18476.2</v>
      </c>
      <c r="V10" s="8">
        <v>53292</v>
      </c>
      <c r="W10" s="8">
        <v>56560.7</v>
      </c>
      <c r="X10" s="8">
        <v>4920.8</v>
      </c>
      <c r="Y10" s="8">
        <v>4806.4</v>
      </c>
      <c r="Z10" s="15">
        <f t="shared" si="0"/>
        <v>66287.9</v>
      </c>
      <c r="AA10" s="8">
        <v>183</v>
      </c>
      <c r="AB10" s="13">
        <v>7858</v>
      </c>
      <c r="AC10" s="7">
        <f t="shared" si="1"/>
        <v>8041</v>
      </c>
      <c r="AD10" s="16">
        <v>197343</v>
      </c>
      <c r="AE10" s="17">
        <f t="shared" ref="AE10:AI10" si="42">IF(OR(C11=""),"",(C11-C10)*80)</f>
        <v>0</v>
      </c>
      <c r="AF10" s="17">
        <f t="shared" si="42"/>
        <v>0</v>
      </c>
      <c r="AG10" s="17">
        <f t="shared" si="42"/>
        <v>2832.00000000012</v>
      </c>
      <c r="AH10" s="17">
        <f t="shared" si="42"/>
        <v>2515.99999999999</v>
      </c>
      <c r="AI10" s="17">
        <f t="shared" si="42"/>
        <v>2072.0000000007</v>
      </c>
      <c r="AJ10" s="17">
        <f t="shared" si="2"/>
        <v>7420.0000000008</v>
      </c>
      <c r="AK10" s="17">
        <f t="shared" ref="AK10:AN10" si="43">IF(OR(H11=""),"",(H11-H10)*80)</f>
        <v>0</v>
      </c>
      <c r="AL10" s="17">
        <f t="shared" si="43"/>
        <v>0</v>
      </c>
      <c r="AM10" s="17">
        <f t="shared" si="43"/>
        <v>0</v>
      </c>
      <c r="AN10" s="17">
        <f t="shared" si="43"/>
        <v>0</v>
      </c>
      <c r="AO10" s="17">
        <f t="shared" si="3"/>
        <v>0</v>
      </c>
      <c r="AP10" s="17">
        <f t="shared" ref="AP10:AS10" si="44">IF(OR(L11=""),"",(L11-L10)*100)</f>
        <v>2660.00000000058</v>
      </c>
      <c r="AQ10" s="17">
        <f t="shared" si="44"/>
        <v>0</v>
      </c>
      <c r="AR10" s="17">
        <f t="shared" si="44"/>
        <v>2900</v>
      </c>
      <c r="AS10" s="17">
        <f t="shared" si="44"/>
        <v>2150</v>
      </c>
      <c r="AT10" s="17">
        <f t="shared" si="4"/>
        <v>7710.00000000058</v>
      </c>
      <c r="AU10" s="17">
        <f t="shared" ref="AU10:AY10" si="45">IF(OR(P11=""),"",(P11-P10)*1000)</f>
        <v>3900.00000000055</v>
      </c>
      <c r="AV10" s="17">
        <f t="shared" si="45"/>
        <v>7300.00000000018</v>
      </c>
      <c r="AW10" s="17">
        <f t="shared" si="45"/>
        <v>0</v>
      </c>
      <c r="AX10" s="17">
        <f t="shared" si="45"/>
        <v>4900.00000000055</v>
      </c>
      <c r="AY10" s="17">
        <f t="shared" si="45"/>
        <v>0</v>
      </c>
      <c r="AZ10" s="17">
        <f t="shared" si="5"/>
        <v>16100.0000000013</v>
      </c>
      <c r="BA10" s="17">
        <f t="shared" si="6"/>
        <v>10199.9999999971</v>
      </c>
      <c r="BB10" s="17">
        <f t="shared" si="7"/>
        <v>1152.00000000012</v>
      </c>
      <c r="BC10" s="17">
        <f t="shared" si="20"/>
        <v>1504.00000000023</v>
      </c>
      <c r="BD10" s="17">
        <f t="shared" si="8"/>
        <v>15313.9999999868</v>
      </c>
      <c r="BE10" s="17">
        <f t="shared" si="9"/>
        <v>59399.9999999869</v>
      </c>
      <c r="BF10" s="17">
        <f t="shared" si="10"/>
        <v>46.3999999999996</v>
      </c>
      <c r="BG10" s="20">
        <f t="shared" si="11"/>
        <v>0.300998768641335</v>
      </c>
      <c r="BH10" s="20">
        <f t="shared" si="12"/>
        <v>0.0375995094834922</v>
      </c>
      <c r="BI10" s="20">
        <f t="shared" si="13"/>
        <v>0</v>
      </c>
      <c r="BJ10" s="20">
        <f t="shared" si="14"/>
        <v>0.0390690320913363</v>
      </c>
      <c r="BK10" s="20">
        <f t="shared" ref="BK10:BO10" si="46">IF(OR($AD10=0),"",AZ10/$AD10)</f>
        <v>0.0815838413321034</v>
      </c>
      <c r="BL10" s="20">
        <f t="shared" si="46"/>
        <v>0.0516866572414379</v>
      </c>
      <c r="BM10" s="20">
        <f t="shared" si="46"/>
        <v>0.00583755187668231</v>
      </c>
      <c r="BN10" s="20">
        <f t="shared" si="46"/>
        <v>0.00762124828344675</v>
      </c>
      <c r="BO10" s="20">
        <f t="shared" si="46"/>
        <v>0.0776009283328358</v>
      </c>
    </row>
    <row r="11" spans="1:67">
      <c r="A11" s="9">
        <f t="shared" si="15"/>
        <v>44294</v>
      </c>
      <c r="B11" s="10">
        <v>17970.84</v>
      </c>
      <c r="C11" s="8">
        <v>97501.9</v>
      </c>
      <c r="D11" s="8">
        <v>64568.1</v>
      </c>
      <c r="E11" s="8">
        <v>62545</v>
      </c>
      <c r="F11" s="8">
        <v>7465.17</v>
      </c>
      <c r="G11" s="8">
        <v>119473.3</v>
      </c>
      <c r="H11" s="8">
        <v>5709.7</v>
      </c>
      <c r="I11" s="8">
        <v>2566.3</v>
      </c>
      <c r="J11" s="8">
        <v>967</v>
      </c>
      <c r="K11" s="8">
        <v>56</v>
      </c>
      <c r="L11" s="8">
        <v>97494.5</v>
      </c>
      <c r="M11" s="8">
        <v>61529.4</v>
      </c>
      <c r="N11" s="8">
        <v>79598</v>
      </c>
      <c r="O11" s="8">
        <v>108453.6</v>
      </c>
      <c r="P11" s="8">
        <v>6179.8</v>
      </c>
      <c r="Q11" s="8">
        <v>8125.8</v>
      </c>
      <c r="R11" s="8">
        <v>4773.1</v>
      </c>
      <c r="S11" s="8">
        <v>5852.1</v>
      </c>
      <c r="T11" s="8">
        <v>7635.1</v>
      </c>
      <c r="U11" s="8">
        <v>18481.3</v>
      </c>
      <c r="V11" s="8">
        <v>53306.4</v>
      </c>
      <c r="W11" s="8">
        <v>56577.6</v>
      </c>
      <c r="X11" s="8">
        <v>4929.3</v>
      </c>
      <c r="Y11" s="8">
        <v>4818.6</v>
      </c>
      <c r="Z11" s="15">
        <f t="shared" si="0"/>
        <v>66325.5</v>
      </c>
      <c r="AA11" s="8">
        <v>221.4</v>
      </c>
      <c r="AB11" s="13">
        <v>7866</v>
      </c>
      <c r="AC11" s="7">
        <f t="shared" si="1"/>
        <v>8087.4</v>
      </c>
      <c r="AD11" s="16">
        <v>203446</v>
      </c>
      <c r="AE11" s="17">
        <f t="shared" ref="AE11:AI11" si="47">IF(OR(C12=""),"",(C12-C11)*80)</f>
        <v>0</v>
      </c>
      <c r="AF11" s="17">
        <f t="shared" si="47"/>
        <v>7.99999999988358</v>
      </c>
      <c r="AG11" s="17">
        <f t="shared" si="47"/>
        <v>1887.99999999988</v>
      </c>
      <c r="AH11" s="17">
        <f t="shared" si="47"/>
        <v>2451.99999999997</v>
      </c>
      <c r="AI11" s="17">
        <f t="shared" si="47"/>
        <v>2607.9999999993</v>
      </c>
      <c r="AJ11" s="17">
        <f t="shared" si="2"/>
        <v>6955.99999999904</v>
      </c>
      <c r="AK11" s="17">
        <f t="shared" ref="AK11:AN11" si="48">IF(OR(H12=""),"",(H12-H11)*80)</f>
        <v>0</v>
      </c>
      <c r="AL11" s="17">
        <f t="shared" si="48"/>
        <v>0</v>
      </c>
      <c r="AM11" s="17">
        <f t="shared" si="48"/>
        <v>0</v>
      </c>
      <c r="AN11" s="17">
        <f t="shared" si="48"/>
        <v>0</v>
      </c>
      <c r="AO11" s="17">
        <f t="shared" si="3"/>
        <v>0</v>
      </c>
      <c r="AP11" s="17">
        <f t="shared" ref="AP11:AS11" si="49">IF(OR(L12=""),"",(L12-L11)*100)</f>
        <v>3189.99999999942</v>
      </c>
      <c r="AQ11" s="17">
        <f t="shared" si="49"/>
        <v>0</v>
      </c>
      <c r="AR11" s="17">
        <f t="shared" si="49"/>
        <v>3139.99999999942</v>
      </c>
      <c r="AS11" s="17">
        <f t="shared" si="49"/>
        <v>2139.99999999942</v>
      </c>
      <c r="AT11" s="17">
        <f t="shared" si="4"/>
        <v>8469.99999999825</v>
      </c>
      <c r="AU11" s="17">
        <f t="shared" ref="AU11:AY11" si="50">IF(OR(P12=""),"",(P12-P11)*1000)</f>
        <v>3899.99999999964</v>
      </c>
      <c r="AV11" s="17">
        <f t="shared" si="50"/>
        <v>7099.99999999945</v>
      </c>
      <c r="AW11" s="17">
        <f t="shared" si="50"/>
        <v>0</v>
      </c>
      <c r="AX11" s="17">
        <f t="shared" si="50"/>
        <v>4899.99999999964</v>
      </c>
      <c r="AY11" s="17">
        <f t="shared" si="50"/>
        <v>0</v>
      </c>
      <c r="AZ11" s="17">
        <f t="shared" si="5"/>
        <v>15899.9999999987</v>
      </c>
      <c r="BA11" s="17">
        <f t="shared" si="6"/>
        <v>11800.0000000029</v>
      </c>
      <c r="BB11" s="17">
        <f t="shared" si="7"/>
        <v>1175.99999999977</v>
      </c>
      <c r="BC11" s="17">
        <f t="shared" si="20"/>
        <v>1460</v>
      </c>
      <c r="BD11" s="17">
        <f t="shared" si="8"/>
        <v>13738.0000000086</v>
      </c>
      <c r="BE11" s="17">
        <f t="shared" si="9"/>
        <v>59500.0000000073</v>
      </c>
      <c r="BF11" s="17">
        <f t="shared" si="10"/>
        <v>54.3000000000002</v>
      </c>
      <c r="BG11" s="20">
        <f t="shared" si="11"/>
        <v>0.292460898715174</v>
      </c>
      <c r="BH11" s="20">
        <f t="shared" si="12"/>
        <v>0.0341908909489449</v>
      </c>
      <c r="BI11" s="20">
        <f t="shared" si="13"/>
        <v>0</v>
      </c>
      <c r="BJ11" s="20">
        <f t="shared" si="14"/>
        <v>0.0416326691112052</v>
      </c>
      <c r="BK11" s="20">
        <f t="shared" ref="BK11:BO11" si="51">IF(OR($AD11=0),"",AZ11/$AD11)</f>
        <v>0.078153416631434</v>
      </c>
      <c r="BL11" s="20">
        <f t="shared" si="51"/>
        <v>0.0580006488208316</v>
      </c>
      <c r="BM11" s="20">
        <f t="shared" si="51"/>
        <v>0.00578040364519217</v>
      </c>
      <c r="BN11" s="20">
        <f t="shared" si="51"/>
        <v>0.00717635146427062</v>
      </c>
      <c r="BO11" s="20">
        <f t="shared" si="51"/>
        <v>0.0675265180932954</v>
      </c>
    </row>
    <row r="12" spans="1:67">
      <c r="A12" s="9">
        <f t="shared" si="15"/>
        <v>44295</v>
      </c>
      <c r="B12" s="10">
        <v>17976.79</v>
      </c>
      <c r="C12" s="8">
        <v>97501.9</v>
      </c>
      <c r="D12" s="8">
        <v>64568.2</v>
      </c>
      <c r="E12" s="8">
        <v>62568.6</v>
      </c>
      <c r="F12" s="8">
        <v>7495.82</v>
      </c>
      <c r="G12" s="8">
        <v>119505.9</v>
      </c>
      <c r="H12" s="8">
        <v>5709.7</v>
      </c>
      <c r="I12" s="8">
        <v>2566.3</v>
      </c>
      <c r="J12" s="8">
        <v>967</v>
      </c>
      <c r="K12" s="8">
        <v>56</v>
      </c>
      <c r="L12" s="8">
        <v>97526.4</v>
      </c>
      <c r="M12" s="8">
        <v>61529.4</v>
      </c>
      <c r="N12" s="8">
        <v>79629.4</v>
      </c>
      <c r="O12" s="8">
        <v>108475</v>
      </c>
      <c r="P12" s="8">
        <v>6183.7</v>
      </c>
      <c r="Q12" s="8">
        <v>8132.9</v>
      </c>
      <c r="R12" s="8">
        <v>4773.1</v>
      </c>
      <c r="S12" s="8">
        <v>5857</v>
      </c>
      <c r="T12" s="8">
        <v>7635.1</v>
      </c>
      <c r="U12" s="8">
        <v>18487.2</v>
      </c>
      <c r="V12" s="8">
        <v>53321.1</v>
      </c>
      <c r="W12" s="8">
        <v>56594.3</v>
      </c>
      <c r="X12" s="8">
        <v>4937.4</v>
      </c>
      <c r="Y12" s="8">
        <v>4830.3</v>
      </c>
      <c r="Z12" s="15">
        <f t="shared" si="0"/>
        <v>66362</v>
      </c>
      <c r="AA12" s="8">
        <v>258.7</v>
      </c>
      <c r="AB12" s="13">
        <v>7883</v>
      </c>
      <c r="AC12" s="7">
        <f t="shared" si="1"/>
        <v>8141.7</v>
      </c>
      <c r="AD12" s="16">
        <v>203403</v>
      </c>
      <c r="AE12" s="17">
        <f t="shared" ref="AE12:AI12" si="52">IF(OR(C13=""),"",(C13-C12)*80)</f>
        <v>0</v>
      </c>
      <c r="AF12" s="17">
        <f t="shared" si="52"/>
        <v>0</v>
      </c>
      <c r="AG12" s="17">
        <f t="shared" si="52"/>
        <v>1960</v>
      </c>
      <c r="AH12" s="17">
        <f t="shared" si="52"/>
        <v>2484.00000000001</v>
      </c>
      <c r="AI12" s="17">
        <f t="shared" si="52"/>
        <v>2624.00000000023</v>
      </c>
      <c r="AJ12" s="17">
        <f t="shared" si="2"/>
        <v>7068.00000000025</v>
      </c>
      <c r="AK12" s="17">
        <f t="shared" ref="AK12:AN12" si="53">IF(OR(H13=""),"",(H13-H12)*80)</f>
        <v>0</v>
      </c>
      <c r="AL12" s="17">
        <f t="shared" si="53"/>
        <v>0</v>
      </c>
      <c r="AM12" s="17">
        <f t="shared" si="53"/>
        <v>0</v>
      </c>
      <c r="AN12" s="17">
        <f t="shared" si="53"/>
        <v>0</v>
      </c>
      <c r="AO12" s="17">
        <f t="shared" si="3"/>
        <v>0</v>
      </c>
      <c r="AP12" s="17">
        <f t="shared" ref="AP12:AS12" si="54">IF(OR(L13=""),"",(L13-L12)*100)</f>
        <v>3190.00000000087</v>
      </c>
      <c r="AQ12" s="17">
        <f t="shared" si="54"/>
        <v>0</v>
      </c>
      <c r="AR12" s="17">
        <f t="shared" si="54"/>
        <v>2900</v>
      </c>
      <c r="AS12" s="17">
        <f t="shared" si="54"/>
        <v>2039.99999999942</v>
      </c>
      <c r="AT12" s="17">
        <f t="shared" si="4"/>
        <v>8130.00000000029</v>
      </c>
      <c r="AU12" s="17">
        <f t="shared" ref="AU12:AY12" si="55">IF(OR(P13=""),"",(P13-P12)*1000)</f>
        <v>3800.00000000018</v>
      </c>
      <c r="AV12" s="17">
        <f t="shared" si="55"/>
        <v>7000</v>
      </c>
      <c r="AW12" s="17">
        <f t="shared" si="55"/>
        <v>0</v>
      </c>
      <c r="AX12" s="17">
        <f t="shared" si="55"/>
        <v>4899.99999999964</v>
      </c>
      <c r="AY12" s="17">
        <f t="shared" si="55"/>
        <v>0</v>
      </c>
      <c r="AZ12" s="17">
        <f t="shared" si="5"/>
        <v>15699.9999999998</v>
      </c>
      <c r="BA12" s="17">
        <f t="shared" si="6"/>
        <v>11199.9999999971</v>
      </c>
      <c r="BB12" s="17">
        <f t="shared" si="7"/>
        <v>1032.00000000012</v>
      </c>
      <c r="BC12" s="17">
        <f t="shared" si="20"/>
        <v>1452.00000000012</v>
      </c>
      <c r="BD12" s="17">
        <f t="shared" si="8"/>
        <v>15317.9999999819</v>
      </c>
      <c r="BE12" s="17">
        <f t="shared" si="9"/>
        <v>59899.9999999796</v>
      </c>
      <c r="BF12" s="17">
        <f t="shared" si="10"/>
        <v>44.9000000000005</v>
      </c>
      <c r="BG12" s="20">
        <f t="shared" si="11"/>
        <v>0.294489265153314</v>
      </c>
      <c r="BH12" s="20">
        <f t="shared" si="12"/>
        <v>0.0347487500184375</v>
      </c>
      <c r="BI12" s="20">
        <f t="shared" si="13"/>
        <v>0</v>
      </c>
      <c r="BJ12" s="20">
        <f t="shared" si="14"/>
        <v>0.0399699119482028</v>
      </c>
      <c r="BK12" s="20">
        <f t="shared" ref="BK12:BO12" si="56">IF(OR($AD12=0),"",AZ12/$AD12)</f>
        <v>0.077186668829859</v>
      </c>
      <c r="BL12" s="20">
        <f t="shared" si="56"/>
        <v>0.0550631013308412</v>
      </c>
      <c r="BM12" s="20">
        <f t="shared" si="56"/>
        <v>0.00507367147977226</v>
      </c>
      <c r="BN12" s="20">
        <f t="shared" si="56"/>
        <v>0.00713853777967934</v>
      </c>
      <c r="BO12" s="20">
        <f t="shared" si="56"/>
        <v>0.0753086237665224</v>
      </c>
    </row>
    <row r="13" spans="1:67">
      <c r="A13" s="9">
        <f t="shared" si="15"/>
        <v>44296</v>
      </c>
      <c r="B13" s="10">
        <v>17982.78</v>
      </c>
      <c r="C13" s="8">
        <v>97501.9</v>
      </c>
      <c r="D13" s="8">
        <v>64568.2</v>
      </c>
      <c r="E13" s="8">
        <v>62593.1</v>
      </c>
      <c r="F13" s="8">
        <v>7526.87</v>
      </c>
      <c r="G13" s="8">
        <v>119538.7</v>
      </c>
      <c r="H13" s="8">
        <v>5709.7</v>
      </c>
      <c r="I13" s="8">
        <v>2566.3</v>
      </c>
      <c r="J13" s="8">
        <v>967</v>
      </c>
      <c r="K13" s="8">
        <v>56</v>
      </c>
      <c r="L13" s="8">
        <v>97558.3</v>
      </c>
      <c r="M13" s="8">
        <v>61529.4</v>
      </c>
      <c r="N13" s="8">
        <v>79658.4</v>
      </c>
      <c r="O13" s="8">
        <v>108495.4</v>
      </c>
      <c r="P13" s="8">
        <v>6187.5</v>
      </c>
      <c r="Q13" s="8">
        <v>8139.9</v>
      </c>
      <c r="R13" s="8">
        <v>4773.1</v>
      </c>
      <c r="S13" s="8">
        <v>5861.9</v>
      </c>
      <c r="T13" s="8">
        <v>7635.1</v>
      </c>
      <c r="U13" s="8">
        <v>18492.8</v>
      </c>
      <c r="V13" s="8">
        <v>53334</v>
      </c>
      <c r="W13" s="8">
        <v>56610.9</v>
      </c>
      <c r="X13" s="8">
        <v>4945.6</v>
      </c>
      <c r="Y13" s="8">
        <v>4841.8</v>
      </c>
      <c r="Z13" s="15">
        <f t="shared" si="0"/>
        <v>66398.3</v>
      </c>
      <c r="AA13" s="8">
        <v>296.6</v>
      </c>
      <c r="AB13" s="13">
        <v>7890</v>
      </c>
      <c r="AC13" s="7">
        <f t="shared" si="1"/>
        <v>8186.6</v>
      </c>
      <c r="AD13" s="16">
        <v>189913</v>
      </c>
      <c r="AE13" s="17">
        <f t="shared" ref="AE13:AI13" si="57">IF(OR(C14=""),"",(C14-C13)*80)</f>
        <v>0</v>
      </c>
      <c r="AF13" s="17">
        <f t="shared" si="57"/>
        <v>0</v>
      </c>
      <c r="AG13" s="17">
        <f t="shared" si="57"/>
        <v>1672.00000000012</v>
      </c>
      <c r="AH13" s="17">
        <f t="shared" si="57"/>
        <v>2467.20000000001</v>
      </c>
      <c r="AI13" s="17">
        <f t="shared" si="57"/>
        <v>1904.00000000023</v>
      </c>
      <c r="AJ13" s="17">
        <f t="shared" si="2"/>
        <v>6043.20000000036</v>
      </c>
      <c r="AK13" s="17">
        <f t="shared" ref="AK13:AN13" si="58">IF(OR(H14=""),"",(H14-H13)*80)</f>
        <v>0</v>
      </c>
      <c r="AL13" s="17">
        <f t="shared" si="58"/>
        <v>0</v>
      </c>
      <c r="AM13" s="17">
        <f t="shared" si="58"/>
        <v>0</v>
      </c>
      <c r="AN13" s="17">
        <f t="shared" si="58"/>
        <v>0</v>
      </c>
      <c r="AO13" s="17">
        <f t="shared" si="3"/>
        <v>0</v>
      </c>
      <c r="AP13" s="17">
        <f t="shared" ref="AP13:AS13" si="59">IF(OR(L14=""),"",(L14-L13)*100)</f>
        <v>2239.99999999942</v>
      </c>
      <c r="AQ13" s="17">
        <f t="shared" si="59"/>
        <v>0</v>
      </c>
      <c r="AR13" s="17">
        <f t="shared" si="59"/>
        <v>2940.00000000087</v>
      </c>
      <c r="AS13" s="17">
        <f t="shared" si="59"/>
        <v>2070.00000000116</v>
      </c>
      <c r="AT13" s="17">
        <f t="shared" si="4"/>
        <v>7250.00000000146</v>
      </c>
      <c r="AU13" s="17">
        <f t="shared" ref="AU13:AY13" si="60">IF(OR(P14=""),"",(P14-P13)*1000)</f>
        <v>3500</v>
      </c>
      <c r="AV13" s="17">
        <f t="shared" si="60"/>
        <v>2100.00000000036</v>
      </c>
      <c r="AW13" s="17">
        <f t="shared" si="60"/>
        <v>0</v>
      </c>
      <c r="AX13" s="17">
        <f t="shared" si="60"/>
        <v>4900.00000000055</v>
      </c>
      <c r="AY13" s="17">
        <f t="shared" si="60"/>
        <v>5699.99999999982</v>
      </c>
      <c r="AZ13" s="17">
        <f t="shared" si="5"/>
        <v>16200.0000000007</v>
      </c>
      <c r="BA13" s="17">
        <f t="shared" si="6"/>
        <v>9400.00000000146</v>
      </c>
      <c r="BB13" s="17">
        <f t="shared" si="7"/>
        <v>1064.00000000023</v>
      </c>
      <c r="BC13" s="17">
        <f t="shared" si="20"/>
        <v>1632.00000000012</v>
      </c>
      <c r="BD13" s="17">
        <f t="shared" si="8"/>
        <v>15510.8000000233</v>
      </c>
      <c r="BE13" s="17">
        <f t="shared" si="9"/>
        <v>57100.0000000276</v>
      </c>
      <c r="BF13" s="17">
        <f t="shared" si="10"/>
        <v>48.7999999999993</v>
      </c>
      <c r="BG13" s="20">
        <f t="shared" si="11"/>
        <v>0.300663988247396</v>
      </c>
      <c r="BH13" s="20">
        <f t="shared" si="12"/>
        <v>0.0318208864058825</v>
      </c>
      <c r="BI13" s="20">
        <f t="shared" si="13"/>
        <v>0</v>
      </c>
      <c r="BJ13" s="20">
        <f t="shared" si="14"/>
        <v>0.0381753750401576</v>
      </c>
      <c r="BK13" s="20">
        <f t="shared" ref="BK13:BO13" si="61">IF(OR($AD13=0),"",AZ13/$AD13)</f>
        <v>0.0853022173310975</v>
      </c>
      <c r="BL13" s="20">
        <f t="shared" si="61"/>
        <v>0.0494963483279262</v>
      </c>
      <c r="BM13" s="20">
        <f t="shared" si="61"/>
        <v>0.00560256538520392</v>
      </c>
      <c r="BN13" s="20">
        <f t="shared" si="61"/>
        <v>0.00859340856076265</v>
      </c>
      <c r="BO13" s="20">
        <f t="shared" si="61"/>
        <v>0.0816731871963652</v>
      </c>
    </row>
    <row r="14" spans="1:67">
      <c r="A14" s="9">
        <f t="shared" si="15"/>
        <v>44297</v>
      </c>
      <c r="B14" s="10">
        <v>17988.49</v>
      </c>
      <c r="C14" s="8">
        <v>97501.9</v>
      </c>
      <c r="D14" s="8">
        <v>64568.2</v>
      </c>
      <c r="E14" s="8">
        <v>62614</v>
      </c>
      <c r="F14" s="8">
        <v>7557.71</v>
      </c>
      <c r="G14" s="8">
        <v>119562.5</v>
      </c>
      <c r="H14" s="8">
        <v>5709.7</v>
      </c>
      <c r="I14" s="8">
        <v>2566.3</v>
      </c>
      <c r="J14" s="8">
        <v>967</v>
      </c>
      <c r="K14" s="8">
        <v>56</v>
      </c>
      <c r="L14" s="8">
        <v>97580.7</v>
      </c>
      <c r="M14" s="8">
        <v>61529.4</v>
      </c>
      <c r="N14" s="8">
        <v>79687.8</v>
      </c>
      <c r="O14" s="8">
        <v>108516.1</v>
      </c>
      <c r="P14" s="8">
        <v>6191</v>
      </c>
      <c r="Q14" s="8">
        <v>8142</v>
      </c>
      <c r="R14" s="8">
        <v>4773.1</v>
      </c>
      <c r="S14" s="8">
        <v>5866.8</v>
      </c>
      <c r="T14" s="8">
        <v>7640.8</v>
      </c>
      <c r="U14" s="8">
        <v>18497.5</v>
      </c>
      <c r="V14" s="8">
        <v>53347.3</v>
      </c>
      <c r="W14" s="8">
        <v>56627.1</v>
      </c>
      <c r="X14" s="8">
        <v>4957.5</v>
      </c>
      <c r="Y14" s="8">
        <v>4854.5</v>
      </c>
      <c r="Z14" s="15">
        <f t="shared" si="0"/>
        <v>66439.1</v>
      </c>
      <c r="AA14" s="8">
        <v>332.4</v>
      </c>
      <c r="AB14" s="13">
        <v>7903</v>
      </c>
      <c r="AC14" s="7">
        <f t="shared" si="1"/>
        <v>8235.4</v>
      </c>
      <c r="AD14" s="16">
        <v>192916</v>
      </c>
      <c r="AE14" s="17">
        <f t="shared" ref="AE14:AI14" si="62">IF(OR(C15=""),"",(C15-C14)*80)</f>
        <v>0</v>
      </c>
      <c r="AF14" s="17">
        <f t="shared" si="62"/>
        <v>288.000000000466</v>
      </c>
      <c r="AG14" s="17">
        <f t="shared" si="62"/>
        <v>2495.99999999977</v>
      </c>
      <c r="AH14" s="17">
        <f t="shared" si="62"/>
        <v>2384.00000000001</v>
      </c>
      <c r="AI14" s="17">
        <f t="shared" si="62"/>
        <v>2015.99999999977</v>
      </c>
      <c r="AJ14" s="17">
        <f t="shared" si="2"/>
        <v>7184.00000000001</v>
      </c>
      <c r="AK14" s="17">
        <f t="shared" ref="AK14:AN14" si="63">IF(OR(H15=""),"",(H15-H14)*80)</f>
        <v>0</v>
      </c>
      <c r="AL14" s="17">
        <f t="shared" si="63"/>
        <v>0</v>
      </c>
      <c r="AM14" s="17">
        <f t="shared" si="63"/>
        <v>0</v>
      </c>
      <c r="AN14" s="17">
        <f t="shared" si="63"/>
        <v>0</v>
      </c>
      <c r="AO14" s="17">
        <f t="shared" si="3"/>
        <v>0</v>
      </c>
      <c r="AP14" s="17">
        <f t="shared" ref="AP14:AS14" si="64">IF(OR(L15=""),"",(L15-L14)*100)</f>
        <v>2730.00000000029</v>
      </c>
      <c r="AQ14" s="17">
        <f t="shared" si="64"/>
        <v>0</v>
      </c>
      <c r="AR14" s="17">
        <f t="shared" si="64"/>
        <v>3089.99999999942</v>
      </c>
      <c r="AS14" s="17">
        <f t="shared" si="64"/>
        <v>2179.99999999884</v>
      </c>
      <c r="AT14" s="17">
        <f t="shared" si="4"/>
        <v>7999.99999999854</v>
      </c>
      <c r="AU14" s="17">
        <f t="shared" ref="AU14:AY14" si="65">IF(OR(P15=""),"",(P15-P14)*1000)</f>
        <v>3500</v>
      </c>
      <c r="AV14" s="17">
        <f t="shared" si="65"/>
        <v>1199.99999999982</v>
      </c>
      <c r="AW14" s="17">
        <f t="shared" si="65"/>
        <v>0</v>
      </c>
      <c r="AX14" s="17">
        <f t="shared" si="65"/>
        <v>4599.99999999945</v>
      </c>
      <c r="AY14" s="17">
        <f t="shared" si="65"/>
        <v>9500</v>
      </c>
      <c r="AZ14" s="17">
        <f t="shared" si="5"/>
        <v>18799.9999999993</v>
      </c>
      <c r="BA14" s="17">
        <f t="shared" si="6"/>
        <v>10800.0000000029</v>
      </c>
      <c r="BB14" s="17">
        <f t="shared" si="7"/>
        <v>783.999999999651</v>
      </c>
      <c r="BC14" s="17">
        <f t="shared" si="20"/>
        <v>1819.99999999942</v>
      </c>
      <c r="BD14" s="17">
        <f t="shared" si="8"/>
        <v>15411.9999999885</v>
      </c>
      <c r="BE14" s="17">
        <f t="shared" si="9"/>
        <v>62799.9999999884</v>
      </c>
      <c r="BF14" s="17">
        <f t="shared" si="10"/>
        <v>53.1000000000004</v>
      </c>
      <c r="BG14" s="20">
        <f t="shared" si="11"/>
        <v>0.325530282609988</v>
      </c>
      <c r="BH14" s="20">
        <f t="shared" si="12"/>
        <v>0.0372390055775571</v>
      </c>
      <c r="BI14" s="20">
        <f t="shared" si="13"/>
        <v>0</v>
      </c>
      <c r="BJ14" s="20">
        <f t="shared" si="14"/>
        <v>0.0414688258101896</v>
      </c>
      <c r="BK14" s="20">
        <f t="shared" ref="BK14:BO14" si="66">IF(OR($AD14=0),"",AZ14/$AD14)</f>
        <v>0.0974517406539596</v>
      </c>
      <c r="BL14" s="20">
        <f t="shared" si="66"/>
        <v>0.0559829148437813</v>
      </c>
      <c r="BM14" s="20">
        <f t="shared" si="66"/>
        <v>0.00406394492939751</v>
      </c>
      <c r="BN14" s="20">
        <f t="shared" si="66"/>
        <v>0.00943415787181684</v>
      </c>
      <c r="BO14" s="20">
        <f t="shared" si="66"/>
        <v>0.0798896929232855</v>
      </c>
    </row>
    <row r="15" spans="1:67">
      <c r="A15" s="9">
        <f t="shared" si="15"/>
        <v>44298</v>
      </c>
      <c r="B15" s="10">
        <v>17994.77</v>
      </c>
      <c r="C15" s="8">
        <v>97501.9</v>
      </c>
      <c r="D15" s="8">
        <v>64571.8</v>
      </c>
      <c r="E15" s="8">
        <v>62645.2</v>
      </c>
      <c r="F15" s="8">
        <v>7587.51</v>
      </c>
      <c r="G15" s="8">
        <v>119587.7</v>
      </c>
      <c r="H15" s="8">
        <v>5709.7</v>
      </c>
      <c r="I15" s="8">
        <v>2566.3</v>
      </c>
      <c r="J15" s="8">
        <v>967</v>
      </c>
      <c r="K15" s="8">
        <v>56</v>
      </c>
      <c r="L15" s="8">
        <v>97608</v>
      </c>
      <c r="M15" s="8">
        <v>61529.4</v>
      </c>
      <c r="N15" s="8">
        <v>79718.7</v>
      </c>
      <c r="O15" s="8">
        <v>108537.9</v>
      </c>
      <c r="P15" s="8">
        <v>6194.5</v>
      </c>
      <c r="Q15" s="8">
        <v>8143.2</v>
      </c>
      <c r="R15" s="8">
        <v>4773.1</v>
      </c>
      <c r="S15" s="8">
        <v>5871.4</v>
      </c>
      <c r="T15" s="8">
        <v>7650.3</v>
      </c>
      <c r="U15" s="8">
        <v>18502.9</v>
      </c>
      <c r="V15" s="8">
        <v>53357.1</v>
      </c>
      <c r="W15" s="8">
        <v>56644.2</v>
      </c>
      <c r="X15" s="8">
        <v>4971.5</v>
      </c>
      <c r="Y15" s="8">
        <v>4868.9</v>
      </c>
      <c r="Z15" s="15">
        <f t="shared" si="0"/>
        <v>66484.6</v>
      </c>
      <c r="AA15" s="8">
        <v>370.5</v>
      </c>
      <c r="AB15" s="13">
        <v>7918</v>
      </c>
      <c r="AC15" s="7">
        <f t="shared" si="1"/>
        <v>8288.5</v>
      </c>
      <c r="AD15" s="16">
        <v>184005</v>
      </c>
      <c r="AE15" s="17">
        <f t="shared" ref="AE15:AI15" si="67">IF(OR(C16=""),"",(C16-C15)*80)</f>
        <v>0</v>
      </c>
      <c r="AF15" s="17">
        <f t="shared" si="67"/>
        <v>135.999999999767</v>
      </c>
      <c r="AG15" s="17">
        <f t="shared" si="67"/>
        <v>2928.00000000047</v>
      </c>
      <c r="AH15" s="17">
        <f t="shared" si="67"/>
        <v>2074.39999999995</v>
      </c>
      <c r="AI15" s="17">
        <f t="shared" si="67"/>
        <v>2288.00000000047</v>
      </c>
      <c r="AJ15" s="17">
        <f t="shared" si="2"/>
        <v>7426.40000000065</v>
      </c>
      <c r="AK15" s="17">
        <f t="shared" ref="AK15:AN15" si="68">IF(OR(H16=""),"",(H16-H15)*80)</f>
        <v>0</v>
      </c>
      <c r="AL15" s="17">
        <f t="shared" si="68"/>
        <v>0</v>
      </c>
      <c r="AM15" s="17">
        <f t="shared" si="68"/>
        <v>0</v>
      </c>
      <c r="AN15" s="17">
        <f t="shared" si="68"/>
        <v>0</v>
      </c>
      <c r="AO15" s="17">
        <f t="shared" si="3"/>
        <v>0</v>
      </c>
      <c r="AP15" s="17">
        <f t="shared" ref="AP15:AS15" si="69">IF(OR(L16=""),"",(L16-L15)*100)</f>
        <v>2539.99999999942</v>
      </c>
      <c r="AQ15" s="17">
        <f t="shared" si="69"/>
        <v>0</v>
      </c>
      <c r="AR15" s="17">
        <f t="shared" si="69"/>
        <v>2880.00000000029</v>
      </c>
      <c r="AS15" s="17">
        <f t="shared" si="69"/>
        <v>2130.00000000029</v>
      </c>
      <c r="AT15" s="17">
        <f t="shared" si="4"/>
        <v>7550</v>
      </c>
      <c r="AU15" s="17">
        <f t="shared" ref="AU15:AY15" si="70">IF(OR(P16=""),"",(P16-P15)*1000)</f>
        <v>3800.00000000018</v>
      </c>
      <c r="AV15" s="17">
        <f t="shared" si="70"/>
        <v>800.000000000182</v>
      </c>
      <c r="AW15" s="17">
        <f t="shared" si="70"/>
        <v>0</v>
      </c>
      <c r="AX15" s="17">
        <f t="shared" si="70"/>
        <v>4400.00000000055</v>
      </c>
      <c r="AY15" s="17">
        <f t="shared" si="70"/>
        <v>8300.00000000018</v>
      </c>
      <c r="AZ15" s="17">
        <f t="shared" si="5"/>
        <v>17300.0000000011</v>
      </c>
      <c r="BA15" s="17">
        <f t="shared" si="6"/>
        <v>10199.9999999971</v>
      </c>
      <c r="BB15" s="17">
        <f t="shared" si="7"/>
        <v>1040</v>
      </c>
      <c r="BC15" s="17">
        <f t="shared" si="20"/>
        <v>1768.00000000047</v>
      </c>
      <c r="BD15" s="17">
        <f t="shared" si="8"/>
        <v>15615.6000000022</v>
      </c>
      <c r="BE15" s="17">
        <f t="shared" si="9"/>
        <v>60900.0000000015</v>
      </c>
      <c r="BF15" s="17">
        <f t="shared" si="10"/>
        <v>51.7000000000007</v>
      </c>
      <c r="BG15" s="20">
        <f t="shared" si="11"/>
        <v>0.330969267139488</v>
      </c>
      <c r="BH15" s="20">
        <f t="shared" si="12"/>
        <v>0.0403597728322635</v>
      </c>
      <c r="BI15" s="20">
        <f t="shared" si="13"/>
        <v>0</v>
      </c>
      <c r="BJ15" s="20">
        <f t="shared" si="14"/>
        <v>0.0410314937094101</v>
      </c>
      <c r="BK15" s="20">
        <f t="shared" ref="BK15:BO15" si="71">IF(OR($AD15=0),"",AZ15/$AD15)</f>
        <v>0.0940191842613032</v>
      </c>
      <c r="BL15" s="20">
        <f t="shared" si="71"/>
        <v>0.0554332762696508</v>
      </c>
      <c r="BM15" s="20">
        <f t="shared" si="71"/>
        <v>0.00565202032553463</v>
      </c>
      <c r="BN15" s="20">
        <f t="shared" si="71"/>
        <v>0.00960843455341141</v>
      </c>
      <c r="BO15" s="20">
        <f t="shared" si="71"/>
        <v>0.0848650851879142</v>
      </c>
    </row>
    <row r="16" spans="1:67">
      <c r="A16" s="9">
        <f t="shared" si="15"/>
        <v>44299</v>
      </c>
      <c r="B16" s="10">
        <v>18000.86</v>
      </c>
      <c r="C16" s="8">
        <v>97501.9</v>
      </c>
      <c r="D16" s="8">
        <v>64573.5</v>
      </c>
      <c r="E16" s="8">
        <v>62681.8</v>
      </c>
      <c r="F16" s="8">
        <v>7613.44</v>
      </c>
      <c r="G16" s="8">
        <v>119616.3</v>
      </c>
      <c r="H16" s="8">
        <v>5709.7</v>
      </c>
      <c r="I16" s="8">
        <v>2566.3</v>
      </c>
      <c r="J16" s="8">
        <v>967</v>
      </c>
      <c r="K16" s="8">
        <v>56</v>
      </c>
      <c r="L16" s="8">
        <v>97633.4</v>
      </c>
      <c r="M16" s="8">
        <v>61529.4</v>
      </c>
      <c r="N16" s="8">
        <v>79747.5</v>
      </c>
      <c r="O16" s="8">
        <v>108559.2</v>
      </c>
      <c r="P16" s="8">
        <v>6198.3</v>
      </c>
      <c r="Q16" s="8">
        <v>8144</v>
      </c>
      <c r="R16" s="8">
        <v>4773.1</v>
      </c>
      <c r="S16" s="8">
        <v>5875.8</v>
      </c>
      <c r="T16" s="8">
        <v>7658.6</v>
      </c>
      <c r="U16" s="8">
        <v>18508</v>
      </c>
      <c r="V16" s="8">
        <v>53370.1</v>
      </c>
      <c r="W16" s="8">
        <v>56661.3</v>
      </c>
      <c r="X16" s="8">
        <v>4984.7</v>
      </c>
      <c r="Y16" s="8">
        <v>4882.8</v>
      </c>
      <c r="Z16" s="15">
        <f t="shared" si="0"/>
        <v>66528.8</v>
      </c>
      <c r="AA16" s="8">
        <v>408.2</v>
      </c>
      <c r="AB16" s="13">
        <v>7932</v>
      </c>
      <c r="AC16" s="7">
        <f t="shared" si="1"/>
        <v>8340.2</v>
      </c>
      <c r="AD16" s="16">
        <v>199542</v>
      </c>
      <c r="AE16" s="17">
        <f t="shared" ref="AE16:AI16" si="72">IF(OR(C17=""),"",(C17-C16)*80)</f>
        <v>0</v>
      </c>
      <c r="AF16" s="17">
        <f t="shared" si="72"/>
        <v>384.000000000233</v>
      </c>
      <c r="AG16" s="17">
        <f t="shared" si="72"/>
        <v>2983.99999999965</v>
      </c>
      <c r="AH16" s="17">
        <f t="shared" si="72"/>
        <v>1952.00000000004</v>
      </c>
      <c r="AI16" s="17">
        <f t="shared" si="72"/>
        <v>2247.9999999993</v>
      </c>
      <c r="AJ16" s="17">
        <f t="shared" si="2"/>
        <v>7567.99999999923</v>
      </c>
      <c r="AK16" s="17">
        <f t="shared" ref="AK16:AN16" si="73">IF(OR(H17=""),"",(H17-H16)*80)</f>
        <v>0</v>
      </c>
      <c r="AL16" s="17">
        <f t="shared" si="73"/>
        <v>0</v>
      </c>
      <c r="AM16" s="17">
        <f t="shared" si="73"/>
        <v>0</v>
      </c>
      <c r="AN16" s="17">
        <f t="shared" si="73"/>
        <v>0</v>
      </c>
      <c r="AO16" s="17">
        <f t="shared" si="3"/>
        <v>0</v>
      </c>
      <c r="AP16" s="17">
        <f t="shared" ref="AP16:AS16" si="74">IF(OR(L17=""),"",(L17-L16)*100)</f>
        <v>3000</v>
      </c>
      <c r="AQ16" s="17">
        <f t="shared" si="74"/>
        <v>0</v>
      </c>
      <c r="AR16" s="17">
        <f t="shared" si="74"/>
        <v>2750</v>
      </c>
      <c r="AS16" s="17">
        <f t="shared" si="74"/>
        <v>2150</v>
      </c>
      <c r="AT16" s="17">
        <f t="shared" si="4"/>
        <v>7900</v>
      </c>
      <c r="AU16" s="17">
        <f t="shared" ref="AU16:AY16" si="75">IF(OR(P17=""),"",(P17-P16)*1000)</f>
        <v>3500</v>
      </c>
      <c r="AV16" s="17">
        <f t="shared" si="75"/>
        <v>5699.99999999982</v>
      </c>
      <c r="AW16" s="17">
        <f t="shared" si="75"/>
        <v>199.999999999818</v>
      </c>
      <c r="AX16" s="17">
        <f t="shared" si="75"/>
        <v>0</v>
      </c>
      <c r="AY16" s="17">
        <f t="shared" si="75"/>
        <v>8599.99999999945</v>
      </c>
      <c r="AZ16" s="17">
        <f t="shared" si="5"/>
        <v>17999.9999999991</v>
      </c>
      <c r="BA16" s="17">
        <f t="shared" si="6"/>
        <v>10199.9999999971</v>
      </c>
      <c r="BB16" s="17">
        <f t="shared" si="7"/>
        <v>1064.00000000023</v>
      </c>
      <c r="BC16" s="17">
        <f t="shared" si="20"/>
        <v>1747.99999999988</v>
      </c>
      <c r="BD16" s="17">
        <f t="shared" si="8"/>
        <v>10919.9999999841</v>
      </c>
      <c r="BE16" s="17">
        <f t="shared" si="9"/>
        <v>57399.9999999796</v>
      </c>
      <c r="BF16" s="17">
        <f t="shared" si="10"/>
        <v>47.5999999999985</v>
      </c>
      <c r="BG16" s="20">
        <f t="shared" si="11"/>
        <v>0.287658738511089</v>
      </c>
      <c r="BH16" s="20">
        <f t="shared" si="12"/>
        <v>0.0379268524922033</v>
      </c>
      <c r="BI16" s="20">
        <f t="shared" si="13"/>
        <v>0</v>
      </c>
      <c r="BJ16" s="20">
        <f t="shared" si="14"/>
        <v>0.0395906626173938</v>
      </c>
      <c r="BK16" s="20">
        <f t="shared" ref="BK16:BO16" si="76">IF(OR($AD16=0),"",AZ16/$AD16)</f>
        <v>0.0902065730522852</v>
      </c>
      <c r="BL16" s="20">
        <f t="shared" si="76"/>
        <v>0.0511170580629496</v>
      </c>
      <c r="BM16" s="20">
        <f t="shared" si="76"/>
        <v>0.00533221076264763</v>
      </c>
      <c r="BN16" s="20">
        <f t="shared" si="76"/>
        <v>0.00876006053863289</v>
      </c>
      <c r="BO16" s="20">
        <f t="shared" si="76"/>
        <v>0.0547253209849761</v>
      </c>
    </row>
    <row r="17" spans="1:67">
      <c r="A17" s="9">
        <f t="shared" si="15"/>
        <v>44300</v>
      </c>
      <c r="B17" s="10">
        <v>18006.6</v>
      </c>
      <c r="C17" s="8">
        <v>97501.9</v>
      </c>
      <c r="D17" s="8">
        <v>64578.3</v>
      </c>
      <c r="E17" s="8">
        <v>62719.1</v>
      </c>
      <c r="F17" s="8">
        <v>7637.84</v>
      </c>
      <c r="G17" s="8">
        <v>119644.4</v>
      </c>
      <c r="H17" s="8">
        <v>5709.7</v>
      </c>
      <c r="I17" s="8">
        <v>2566.3</v>
      </c>
      <c r="J17" s="8">
        <v>967</v>
      </c>
      <c r="K17" s="8">
        <v>56</v>
      </c>
      <c r="L17" s="8">
        <v>97663.4</v>
      </c>
      <c r="M17" s="8">
        <v>61529.4</v>
      </c>
      <c r="N17" s="8">
        <v>79775</v>
      </c>
      <c r="O17" s="8">
        <v>108580.7</v>
      </c>
      <c r="P17" s="8">
        <v>6201.8</v>
      </c>
      <c r="Q17" s="8">
        <v>8149.7</v>
      </c>
      <c r="R17" s="8">
        <v>4773.3</v>
      </c>
      <c r="S17" s="8">
        <v>5875.8</v>
      </c>
      <c r="T17" s="8">
        <v>7667.2</v>
      </c>
      <c r="U17" s="8">
        <v>18513.1</v>
      </c>
      <c r="V17" s="8">
        <v>53383.4</v>
      </c>
      <c r="W17" s="8">
        <v>56678.2</v>
      </c>
      <c r="X17" s="8">
        <v>4997.8</v>
      </c>
      <c r="Y17" s="8">
        <v>4896.5</v>
      </c>
      <c r="Z17" s="15">
        <f t="shared" si="0"/>
        <v>66572.5</v>
      </c>
      <c r="AA17" s="8">
        <v>443.8</v>
      </c>
      <c r="AB17" s="13">
        <v>7944</v>
      </c>
      <c r="AC17" s="7">
        <f t="shared" si="1"/>
        <v>8387.8</v>
      </c>
      <c r="AD17" s="16">
        <v>208561</v>
      </c>
      <c r="AE17" s="17">
        <f t="shared" ref="AE17:AI17" si="77">IF(OR(C18=""),"",(C18-C17)*80)</f>
        <v>0</v>
      </c>
      <c r="AF17" s="17">
        <f t="shared" si="77"/>
        <v>0</v>
      </c>
      <c r="AG17" s="17">
        <f t="shared" si="77"/>
        <v>2864.00000000023</v>
      </c>
      <c r="AH17" s="17">
        <f t="shared" si="77"/>
        <v>2389.59999999999</v>
      </c>
      <c r="AI17" s="17">
        <f t="shared" si="77"/>
        <v>2352.0000000007</v>
      </c>
      <c r="AJ17" s="17">
        <f t="shared" si="2"/>
        <v>7605.60000000092</v>
      </c>
      <c r="AK17" s="17">
        <f t="shared" ref="AK17:AN17" si="78">IF(OR(H18=""),"",(H18-H17)*80)</f>
        <v>0</v>
      </c>
      <c r="AL17" s="17">
        <f t="shared" si="78"/>
        <v>0</v>
      </c>
      <c r="AM17" s="17">
        <f t="shared" si="78"/>
        <v>0</v>
      </c>
      <c r="AN17" s="17">
        <f t="shared" si="78"/>
        <v>0</v>
      </c>
      <c r="AO17" s="17">
        <f t="shared" si="3"/>
        <v>0</v>
      </c>
      <c r="AP17" s="17">
        <f t="shared" ref="AP17:AS17" si="79">IF(OR(L18=""),"",(L18-L17)*100)</f>
        <v>3410.00000000058</v>
      </c>
      <c r="AQ17" s="17">
        <f t="shared" si="79"/>
        <v>0</v>
      </c>
      <c r="AR17" s="17">
        <f t="shared" si="79"/>
        <v>2900</v>
      </c>
      <c r="AS17" s="17">
        <f t="shared" si="79"/>
        <v>2160.00000000058</v>
      </c>
      <c r="AT17" s="17">
        <f t="shared" si="4"/>
        <v>8470.00000000116</v>
      </c>
      <c r="AU17" s="17">
        <f t="shared" ref="AU17:AY17" si="80">IF(OR(P18=""),"",(P18-P17)*1000)</f>
        <v>4000</v>
      </c>
      <c r="AV17" s="17">
        <f t="shared" si="80"/>
        <v>0</v>
      </c>
      <c r="AW17" s="17">
        <f t="shared" si="80"/>
        <v>0</v>
      </c>
      <c r="AX17" s="17">
        <f t="shared" si="80"/>
        <v>0</v>
      </c>
      <c r="AY17" s="17">
        <f t="shared" si="80"/>
        <v>8199.99999999982</v>
      </c>
      <c r="AZ17" s="17">
        <f t="shared" si="5"/>
        <v>12199.9999999998</v>
      </c>
      <c r="BA17" s="17">
        <f t="shared" si="6"/>
        <v>10800.0000000029</v>
      </c>
      <c r="BB17" s="17">
        <f t="shared" si="7"/>
        <v>1063.99999999965</v>
      </c>
      <c r="BC17" s="17">
        <f t="shared" si="20"/>
        <v>1727.99999999988</v>
      </c>
      <c r="BD17" s="17">
        <f t="shared" si="8"/>
        <v>10432.4000000277</v>
      </c>
      <c r="BE17" s="17">
        <f t="shared" si="9"/>
        <v>52300.000000032</v>
      </c>
      <c r="BF17" s="17">
        <f t="shared" si="10"/>
        <v>47.8000000000011</v>
      </c>
      <c r="BG17" s="20">
        <f t="shared" si="11"/>
        <v>0.250765962955836</v>
      </c>
      <c r="BH17" s="20">
        <f t="shared" si="12"/>
        <v>0.036467028830898</v>
      </c>
      <c r="BI17" s="20">
        <f t="shared" si="13"/>
        <v>0</v>
      </c>
      <c r="BJ17" s="20">
        <f t="shared" si="14"/>
        <v>0.0406116196220826</v>
      </c>
      <c r="BK17" s="20">
        <f t="shared" ref="BK17:BO17" si="81">IF(OR($AD17=0),"",AZ17/$AD17)</f>
        <v>0.0584960754887051</v>
      </c>
      <c r="BL17" s="20">
        <f t="shared" si="81"/>
        <v>0.0517834110883766</v>
      </c>
      <c r="BM17" s="20">
        <f t="shared" si="81"/>
        <v>0.00510162494425924</v>
      </c>
      <c r="BN17" s="20">
        <f t="shared" si="81"/>
        <v>0.00828534577413746</v>
      </c>
      <c r="BO17" s="20">
        <f t="shared" si="81"/>
        <v>0.0500208572073766</v>
      </c>
    </row>
    <row r="18" spans="1:67">
      <c r="A18" s="9">
        <f t="shared" si="15"/>
        <v>44301</v>
      </c>
      <c r="B18" s="10">
        <v>18011.83</v>
      </c>
      <c r="C18" s="8">
        <v>97501.9</v>
      </c>
      <c r="D18" s="8">
        <v>64578.3</v>
      </c>
      <c r="E18" s="8">
        <v>62754.9</v>
      </c>
      <c r="F18" s="8">
        <v>7667.71</v>
      </c>
      <c r="G18" s="8">
        <v>119673.8</v>
      </c>
      <c r="H18" s="8">
        <v>5709.7</v>
      </c>
      <c r="I18" s="8">
        <v>2566.3</v>
      </c>
      <c r="J18" s="8">
        <v>967</v>
      </c>
      <c r="K18" s="8">
        <v>56</v>
      </c>
      <c r="L18" s="8">
        <v>97697.5</v>
      </c>
      <c r="M18" s="8">
        <v>61529.4</v>
      </c>
      <c r="N18" s="8">
        <v>79804</v>
      </c>
      <c r="O18" s="8">
        <v>108602.3</v>
      </c>
      <c r="P18" s="8">
        <v>6205.8</v>
      </c>
      <c r="Q18" s="8">
        <v>8149.7</v>
      </c>
      <c r="R18" s="8">
        <v>4773.3</v>
      </c>
      <c r="S18" s="8">
        <v>5875.8</v>
      </c>
      <c r="T18" s="8">
        <v>7675.4</v>
      </c>
      <c r="U18" s="8">
        <v>18518.5</v>
      </c>
      <c r="V18" s="8">
        <v>53396.7</v>
      </c>
      <c r="W18" s="8">
        <v>56694.9</v>
      </c>
      <c r="X18" s="8">
        <v>5010.7</v>
      </c>
      <c r="Y18" s="8">
        <v>4910.1</v>
      </c>
      <c r="Z18" s="15">
        <f t="shared" si="0"/>
        <v>66615.7</v>
      </c>
      <c r="AA18" s="8">
        <v>480.6</v>
      </c>
      <c r="AB18" s="13">
        <v>7955</v>
      </c>
      <c r="AC18" s="7">
        <f t="shared" si="1"/>
        <v>8435.6</v>
      </c>
      <c r="AD18" s="16">
        <v>207851</v>
      </c>
      <c r="AE18" s="17">
        <f t="shared" ref="AE18:AI18" si="82">IF(OR(C19=""),"",(C19-C18)*80)</f>
        <v>0</v>
      </c>
      <c r="AF18" s="17">
        <f t="shared" si="82"/>
        <v>0</v>
      </c>
      <c r="AG18" s="17">
        <f t="shared" si="82"/>
        <v>1872.00000000012</v>
      </c>
      <c r="AH18" s="17">
        <f t="shared" si="82"/>
        <v>2499.19999999998</v>
      </c>
      <c r="AI18" s="17">
        <f t="shared" si="82"/>
        <v>2080</v>
      </c>
      <c r="AJ18" s="17">
        <f t="shared" si="2"/>
        <v>6451.2000000001</v>
      </c>
      <c r="AK18" s="17">
        <f t="shared" ref="AK18:AN18" si="83">IF(OR(H19=""),"",(H19-H18)*80)</f>
        <v>0</v>
      </c>
      <c r="AL18" s="17">
        <f t="shared" si="83"/>
        <v>0</v>
      </c>
      <c r="AM18" s="17">
        <f t="shared" si="83"/>
        <v>0</v>
      </c>
      <c r="AN18" s="17">
        <f t="shared" si="83"/>
        <v>0</v>
      </c>
      <c r="AO18" s="17">
        <f t="shared" si="3"/>
        <v>0</v>
      </c>
      <c r="AP18" s="17">
        <f t="shared" ref="AP18:AS18" si="84">IF(OR(L19=""),"",(L19-L18)*100)</f>
        <v>3269.99999999971</v>
      </c>
      <c r="AQ18" s="17">
        <f t="shared" si="84"/>
        <v>0</v>
      </c>
      <c r="AR18" s="17">
        <f t="shared" si="84"/>
        <v>2950</v>
      </c>
      <c r="AS18" s="17">
        <f t="shared" si="84"/>
        <v>2239.99999999942</v>
      </c>
      <c r="AT18" s="17">
        <f t="shared" si="4"/>
        <v>8459.99999999913</v>
      </c>
      <c r="AU18" s="17">
        <f t="shared" ref="AU18:AY18" si="85">IF(OR(P19=""),"",(P19-P18)*1000)</f>
        <v>3399.99999999964</v>
      </c>
      <c r="AV18" s="17">
        <f t="shared" si="85"/>
        <v>0</v>
      </c>
      <c r="AW18" s="17">
        <f t="shared" si="85"/>
        <v>0</v>
      </c>
      <c r="AX18" s="17">
        <f t="shared" si="85"/>
        <v>899.999999999636</v>
      </c>
      <c r="AY18" s="17">
        <f t="shared" si="85"/>
        <v>9500</v>
      </c>
      <c r="AZ18" s="17">
        <f t="shared" si="5"/>
        <v>13799.9999999993</v>
      </c>
      <c r="BA18" s="17">
        <f t="shared" si="6"/>
        <v>10800.0000000029</v>
      </c>
      <c r="BB18" s="17">
        <f t="shared" si="7"/>
        <v>1080</v>
      </c>
      <c r="BC18" s="17">
        <f t="shared" si="20"/>
        <v>1760</v>
      </c>
      <c r="BD18" s="17">
        <f t="shared" si="8"/>
        <v>10448.7999999869</v>
      </c>
      <c r="BE18" s="17">
        <f t="shared" si="9"/>
        <v>52799.9999999884</v>
      </c>
      <c r="BF18" s="17">
        <f t="shared" si="10"/>
        <v>48.7999999999993</v>
      </c>
      <c r="BG18" s="20">
        <f t="shared" si="11"/>
        <v>0.254028125917067</v>
      </c>
      <c r="BH18" s="20">
        <f t="shared" si="12"/>
        <v>0.0310376182938745</v>
      </c>
      <c r="BI18" s="20">
        <f t="shared" si="13"/>
        <v>0</v>
      </c>
      <c r="BJ18" s="20">
        <f t="shared" si="14"/>
        <v>0.0407022338117167</v>
      </c>
      <c r="BK18" s="20">
        <f t="shared" ref="BK18:BO18" si="86">IF(OR($AD18=0),"",AZ18/$AD18)</f>
        <v>0.0663937147283356</v>
      </c>
      <c r="BL18" s="20">
        <f t="shared" si="86"/>
        <v>0.051960298483062</v>
      </c>
      <c r="BM18" s="20">
        <f t="shared" si="86"/>
        <v>0.00519602984830479</v>
      </c>
      <c r="BN18" s="20">
        <f t="shared" si="86"/>
        <v>0.00846760419723744</v>
      </c>
      <c r="BO18" s="20">
        <f t="shared" si="86"/>
        <v>0.0502706265545364</v>
      </c>
    </row>
    <row r="19" spans="1:67">
      <c r="A19" s="9">
        <f t="shared" si="15"/>
        <v>44302</v>
      </c>
      <c r="B19" s="10">
        <v>18017.11</v>
      </c>
      <c r="C19" s="8">
        <v>97501.9</v>
      </c>
      <c r="D19" s="8">
        <v>64578.3</v>
      </c>
      <c r="E19" s="8">
        <v>62778.3</v>
      </c>
      <c r="F19" s="8">
        <v>7698.95</v>
      </c>
      <c r="G19" s="8">
        <v>119699.8</v>
      </c>
      <c r="H19" s="8">
        <v>5709.7</v>
      </c>
      <c r="I19" s="8">
        <v>2566.3</v>
      </c>
      <c r="J19" s="8">
        <v>967</v>
      </c>
      <c r="K19" s="8">
        <v>56</v>
      </c>
      <c r="L19" s="8">
        <v>97730.2</v>
      </c>
      <c r="M19" s="8">
        <v>61529.4</v>
      </c>
      <c r="N19" s="8">
        <v>79833.5</v>
      </c>
      <c r="O19" s="8">
        <v>108624.7</v>
      </c>
      <c r="P19" s="8">
        <v>6209.2</v>
      </c>
      <c r="Q19" s="8">
        <v>8149.7</v>
      </c>
      <c r="R19" s="8">
        <v>4773.3</v>
      </c>
      <c r="S19" s="8">
        <v>5876.7</v>
      </c>
      <c r="T19" s="8">
        <v>7684.9</v>
      </c>
      <c r="U19" s="8">
        <v>18523.9</v>
      </c>
      <c r="V19" s="8">
        <v>53410.2</v>
      </c>
      <c r="W19" s="8">
        <v>56711.6</v>
      </c>
      <c r="X19" s="8">
        <v>5024</v>
      </c>
      <c r="Y19" s="8">
        <v>4924.1</v>
      </c>
      <c r="Z19" s="15">
        <f t="shared" ref="Z19:Z35" si="87">IF(OR(W19=""),"",(W19+X19+Y19))</f>
        <v>66659.7</v>
      </c>
      <c r="AA19" s="8">
        <v>517.4</v>
      </c>
      <c r="AB19" s="13">
        <v>7967</v>
      </c>
      <c r="AC19" s="7">
        <f t="shared" si="1"/>
        <v>8484.4</v>
      </c>
      <c r="AD19" s="16">
        <v>207412</v>
      </c>
      <c r="AE19" s="17">
        <f t="shared" ref="AE19:AI19" si="88">IF(OR(C20=""),"",(C20-C19)*80)</f>
        <v>0</v>
      </c>
      <c r="AF19" s="17">
        <f t="shared" si="88"/>
        <v>0</v>
      </c>
      <c r="AG19" s="17">
        <f t="shared" si="88"/>
        <v>2215.99999999977</v>
      </c>
      <c r="AH19" s="17">
        <f t="shared" si="88"/>
        <v>2561.60000000003</v>
      </c>
      <c r="AI19" s="17">
        <f t="shared" si="88"/>
        <v>2120</v>
      </c>
      <c r="AJ19" s="17">
        <f t="shared" si="2"/>
        <v>6897.5999999998</v>
      </c>
      <c r="AK19" s="17">
        <f t="shared" ref="AK19:AN19" si="89">IF(OR(H20=""),"",(H20-H19)*80)</f>
        <v>0</v>
      </c>
      <c r="AL19" s="17">
        <f t="shared" si="89"/>
        <v>0</v>
      </c>
      <c r="AM19" s="17">
        <f t="shared" si="89"/>
        <v>0</v>
      </c>
      <c r="AN19" s="17">
        <f t="shared" si="89"/>
        <v>0</v>
      </c>
      <c r="AO19" s="17">
        <f t="shared" si="3"/>
        <v>0</v>
      </c>
      <c r="AP19" s="17">
        <f t="shared" ref="AP19:AS19" si="90">IF(OR(L20=""),"",(L20-L19)*100)</f>
        <v>3410.00000000058</v>
      </c>
      <c r="AQ19" s="17">
        <f t="shared" si="90"/>
        <v>0</v>
      </c>
      <c r="AR19" s="17">
        <f t="shared" si="90"/>
        <v>2989.99999999942</v>
      </c>
      <c r="AS19" s="17">
        <f t="shared" si="90"/>
        <v>2350</v>
      </c>
      <c r="AT19" s="17">
        <f t="shared" si="4"/>
        <v>8750</v>
      </c>
      <c r="AU19" s="17">
        <f t="shared" ref="AU19:AY19" si="91">IF(OR(P20=""),"",(P20-P19)*1000)</f>
        <v>1199.99999999982</v>
      </c>
      <c r="AV19" s="17">
        <f t="shared" si="91"/>
        <v>500</v>
      </c>
      <c r="AW19" s="17">
        <f t="shared" si="91"/>
        <v>0</v>
      </c>
      <c r="AX19" s="17">
        <f t="shared" si="91"/>
        <v>5100.00000000036</v>
      </c>
      <c r="AY19" s="17">
        <f t="shared" si="91"/>
        <v>9000</v>
      </c>
      <c r="AZ19" s="17">
        <f t="shared" si="5"/>
        <v>15800.0000000002</v>
      </c>
      <c r="BA19" s="17">
        <f t="shared" si="6"/>
        <v>11000</v>
      </c>
      <c r="BB19" s="17">
        <f t="shared" si="7"/>
        <v>1096.00000000035</v>
      </c>
      <c r="BC19" s="17">
        <f t="shared" si="20"/>
        <v>1780</v>
      </c>
      <c r="BD19" s="17">
        <f t="shared" si="8"/>
        <v>10976.4000000099</v>
      </c>
      <c r="BE19" s="17">
        <f t="shared" si="9"/>
        <v>56300.0000000102</v>
      </c>
      <c r="BF19" s="17">
        <f t="shared" si="10"/>
        <v>50.8000000000011</v>
      </c>
      <c r="BG19" s="20">
        <f t="shared" si="11"/>
        <v>0.271440418105077</v>
      </c>
      <c r="BH19" s="20">
        <f t="shared" si="12"/>
        <v>0.0332555493414065</v>
      </c>
      <c r="BI19" s="20">
        <f t="shared" si="13"/>
        <v>0</v>
      </c>
      <c r="BJ19" s="20">
        <f t="shared" si="14"/>
        <v>0.0421865658688986</v>
      </c>
      <c r="BK19" s="20">
        <f t="shared" ref="BK19:BO19" si="92">IF(OR($AD19=0),"",AZ19/$AD19)</f>
        <v>0.0761768846546978</v>
      </c>
      <c r="BL19" s="20">
        <f t="shared" si="92"/>
        <v>0.0530345399494725</v>
      </c>
      <c r="BM19" s="20">
        <f t="shared" si="92"/>
        <v>0.00528416870769458</v>
      </c>
      <c r="BN19" s="20">
        <f t="shared" si="92"/>
        <v>0.00858195282818738</v>
      </c>
      <c r="BO19" s="20">
        <f t="shared" si="92"/>
        <v>0.0529207567547194</v>
      </c>
    </row>
    <row r="20" spans="1:67">
      <c r="A20" s="9">
        <f t="shared" si="15"/>
        <v>44303</v>
      </c>
      <c r="B20" s="10">
        <v>18022.74</v>
      </c>
      <c r="C20" s="8">
        <v>97501.9</v>
      </c>
      <c r="D20" s="8">
        <v>64578.3</v>
      </c>
      <c r="E20" s="8">
        <v>62806</v>
      </c>
      <c r="F20" s="8">
        <v>7730.97</v>
      </c>
      <c r="G20" s="8">
        <v>119726.3</v>
      </c>
      <c r="H20" s="8">
        <v>5709.7</v>
      </c>
      <c r="I20" s="8">
        <v>2566.3</v>
      </c>
      <c r="J20" s="8">
        <v>967</v>
      </c>
      <c r="K20" s="8">
        <v>56</v>
      </c>
      <c r="L20" s="8">
        <v>97764.3</v>
      </c>
      <c r="M20" s="8">
        <v>61529.4</v>
      </c>
      <c r="N20" s="8">
        <v>79863.4</v>
      </c>
      <c r="O20" s="8">
        <v>108648.2</v>
      </c>
      <c r="P20" s="8">
        <v>6210.4</v>
      </c>
      <c r="Q20" s="8">
        <v>8150.2</v>
      </c>
      <c r="R20" s="8">
        <v>4773.3</v>
      </c>
      <c r="S20" s="8">
        <v>5881.8</v>
      </c>
      <c r="T20" s="8">
        <v>7693.9</v>
      </c>
      <c r="U20" s="8">
        <v>18529.4</v>
      </c>
      <c r="V20" s="8">
        <v>53423.9</v>
      </c>
      <c r="W20" s="8">
        <v>56728.8</v>
      </c>
      <c r="X20" s="8">
        <v>5037.2</v>
      </c>
      <c r="Y20" s="8">
        <v>4938.2</v>
      </c>
      <c r="Z20" s="15">
        <f t="shared" si="87"/>
        <v>66704.2</v>
      </c>
      <c r="AA20" s="8">
        <v>555.2</v>
      </c>
      <c r="AB20" s="13">
        <v>7980</v>
      </c>
      <c r="AC20" s="7">
        <f t="shared" si="1"/>
        <v>8535.2</v>
      </c>
      <c r="AD20" s="16">
        <v>207086</v>
      </c>
      <c r="AE20" s="17">
        <f t="shared" ref="AE20:AI20" si="93">IF(OR(C21=""),"",(C21-C20)*80)</f>
        <v>0</v>
      </c>
      <c r="AF20" s="17">
        <f t="shared" si="93"/>
        <v>0</v>
      </c>
      <c r="AG20" s="17">
        <f t="shared" si="93"/>
        <v>2575.99999999977</v>
      </c>
      <c r="AH20" s="17">
        <f t="shared" si="93"/>
        <v>2500.79999999994</v>
      </c>
      <c r="AI20" s="17">
        <f t="shared" si="93"/>
        <v>2064.00000000023</v>
      </c>
      <c r="AJ20" s="17">
        <f t="shared" si="2"/>
        <v>7140.79999999994</v>
      </c>
      <c r="AK20" s="17">
        <f t="shared" ref="AK20:AN20" si="94">IF(OR(H21=""),"",(H21-H20)*80)</f>
        <v>0</v>
      </c>
      <c r="AL20" s="17">
        <f t="shared" si="94"/>
        <v>0</v>
      </c>
      <c r="AM20" s="17">
        <f t="shared" si="94"/>
        <v>0</v>
      </c>
      <c r="AN20" s="17">
        <f t="shared" si="94"/>
        <v>0</v>
      </c>
      <c r="AO20" s="17">
        <f t="shared" si="3"/>
        <v>0</v>
      </c>
      <c r="AP20" s="17">
        <f t="shared" ref="AP20:AS20" si="95">IF(OR(L21=""),"",(L21-L20)*100)</f>
        <v>3239.99999999942</v>
      </c>
      <c r="AQ20" s="17">
        <f t="shared" si="95"/>
        <v>0</v>
      </c>
      <c r="AR20" s="17">
        <f t="shared" si="95"/>
        <v>2940.00000000087</v>
      </c>
      <c r="AS20" s="17">
        <f t="shared" si="95"/>
        <v>2240.00000000087</v>
      </c>
      <c r="AT20" s="17">
        <f t="shared" si="4"/>
        <v>8420.00000000116</v>
      </c>
      <c r="AU20" s="17">
        <f t="shared" ref="AU20:AY20" si="96">IF(OR(P21=""),"",(P21-P20)*1000)</f>
        <v>2700.00000000073</v>
      </c>
      <c r="AV20" s="17">
        <f t="shared" si="96"/>
        <v>5400.00000000055</v>
      </c>
      <c r="AW20" s="17">
        <f t="shared" si="96"/>
        <v>0</v>
      </c>
      <c r="AX20" s="17">
        <f t="shared" si="96"/>
        <v>1199.99999999982</v>
      </c>
      <c r="AY20" s="17">
        <f t="shared" si="96"/>
        <v>8600.00000000036</v>
      </c>
      <c r="AZ20" s="17">
        <f t="shared" si="5"/>
        <v>17900.0000000015</v>
      </c>
      <c r="BA20" s="17">
        <f t="shared" si="6"/>
        <v>10599.9999999985</v>
      </c>
      <c r="BB20" s="17">
        <f t="shared" si="7"/>
        <v>1063.99999999965</v>
      </c>
      <c r="BC20" s="17">
        <f t="shared" si="20"/>
        <v>1696.00000000035</v>
      </c>
      <c r="BD20" s="17">
        <f t="shared" si="8"/>
        <v>10579.1999999785</v>
      </c>
      <c r="BE20" s="17">
        <f t="shared" si="9"/>
        <v>57399.9999999796</v>
      </c>
      <c r="BF20" s="17">
        <f t="shared" si="10"/>
        <v>47.1999999999989</v>
      </c>
      <c r="BG20" s="20">
        <f t="shared" si="11"/>
        <v>0.277179529277593</v>
      </c>
      <c r="BH20" s="20">
        <f t="shared" si="12"/>
        <v>0.0344822923809429</v>
      </c>
      <c r="BI20" s="20">
        <f t="shared" si="13"/>
        <v>0</v>
      </c>
      <c r="BJ20" s="20">
        <f t="shared" si="14"/>
        <v>0.0406594361762802</v>
      </c>
      <c r="BK20" s="20">
        <f t="shared" ref="BK20:BO20" si="97">IF(OR($AD20=0),"",AZ20/$AD20)</f>
        <v>0.0864375187120397</v>
      </c>
      <c r="BL20" s="20">
        <f t="shared" si="97"/>
        <v>0.051186463594828</v>
      </c>
      <c r="BM20" s="20">
        <f t="shared" si="97"/>
        <v>0.00513796200612137</v>
      </c>
      <c r="BN20" s="20">
        <f t="shared" si="97"/>
        <v>0.00818983417517529</v>
      </c>
      <c r="BO20" s="20">
        <f t="shared" si="97"/>
        <v>0.0510860222322055</v>
      </c>
    </row>
    <row r="21" spans="1:67">
      <c r="A21" s="9">
        <f t="shared" si="15"/>
        <v>44304</v>
      </c>
      <c r="B21" s="10">
        <v>18028.48</v>
      </c>
      <c r="C21" s="8">
        <v>97501.9</v>
      </c>
      <c r="D21" s="8">
        <v>64578.3</v>
      </c>
      <c r="E21" s="8">
        <v>62838.2</v>
      </c>
      <c r="F21" s="8">
        <v>7762.23</v>
      </c>
      <c r="G21" s="8">
        <v>119752.1</v>
      </c>
      <c r="H21" s="8">
        <v>5709.7</v>
      </c>
      <c r="I21" s="8">
        <v>2566.3</v>
      </c>
      <c r="J21" s="8">
        <v>967</v>
      </c>
      <c r="K21" s="8">
        <v>56</v>
      </c>
      <c r="L21" s="8">
        <v>97796.7</v>
      </c>
      <c r="M21" s="8">
        <v>61529.4</v>
      </c>
      <c r="N21" s="8">
        <v>79892.8</v>
      </c>
      <c r="O21" s="8">
        <v>108670.6</v>
      </c>
      <c r="P21" s="8">
        <v>6213.1</v>
      </c>
      <c r="Q21" s="8">
        <v>8155.6</v>
      </c>
      <c r="R21" s="8">
        <v>4773.3</v>
      </c>
      <c r="S21" s="8">
        <v>5883</v>
      </c>
      <c r="T21" s="8">
        <v>7702.5</v>
      </c>
      <c r="U21" s="8">
        <v>18534.7</v>
      </c>
      <c r="V21" s="8">
        <v>53437.2</v>
      </c>
      <c r="W21" s="8">
        <v>56745.3</v>
      </c>
      <c r="X21" s="8">
        <v>5049.8</v>
      </c>
      <c r="Y21" s="8">
        <v>4951.5</v>
      </c>
      <c r="Z21" s="15">
        <f t="shared" si="87"/>
        <v>66746.6</v>
      </c>
      <c r="AA21" s="8">
        <v>591.4</v>
      </c>
      <c r="AB21" s="13">
        <v>7991</v>
      </c>
      <c r="AC21" s="7">
        <f t="shared" si="1"/>
        <v>8582.4</v>
      </c>
      <c r="AD21" s="16">
        <v>206360</v>
      </c>
      <c r="AE21" s="17">
        <f t="shared" ref="AE21:AI21" si="98">IF(OR(C22=""),"",(C22-C21)*80)</f>
        <v>0</v>
      </c>
      <c r="AF21" s="17">
        <f t="shared" si="98"/>
        <v>0</v>
      </c>
      <c r="AG21" s="17">
        <f t="shared" si="98"/>
        <v>2608.00000000047</v>
      </c>
      <c r="AH21" s="17">
        <f t="shared" si="98"/>
        <v>2548.00000000003</v>
      </c>
      <c r="AI21" s="17">
        <f t="shared" si="98"/>
        <v>2175.99999999977</v>
      </c>
      <c r="AJ21" s="17">
        <f t="shared" si="2"/>
        <v>7332.00000000026</v>
      </c>
      <c r="AK21" s="17">
        <f t="shared" ref="AK21:AN21" si="99">IF(OR(H22=""),"",(H22-H21)*80)</f>
        <v>0</v>
      </c>
      <c r="AL21" s="17">
        <f t="shared" si="99"/>
        <v>0</v>
      </c>
      <c r="AM21" s="17">
        <f t="shared" si="99"/>
        <v>0</v>
      </c>
      <c r="AN21" s="17">
        <f t="shared" si="99"/>
        <v>0</v>
      </c>
      <c r="AO21" s="17">
        <f t="shared" si="3"/>
        <v>0</v>
      </c>
      <c r="AP21" s="17">
        <f t="shared" ref="AP21:AS21" si="100">IF(OR(L22=""),"",(L22-L21)*100)</f>
        <v>3140.00000000087</v>
      </c>
      <c r="AQ21" s="17">
        <f t="shared" si="100"/>
        <v>0</v>
      </c>
      <c r="AR21" s="17">
        <f t="shared" si="100"/>
        <v>2909.99999999913</v>
      </c>
      <c r="AS21" s="17">
        <f t="shared" si="100"/>
        <v>2329.99999999884</v>
      </c>
      <c r="AT21" s="17">
        <f t="shared" si="4"/>
        <v>8379.99999999884</v>
      </c>
      <c r="AU21" s="17">
        <f t="shared" ref="AU21:AY21" si="101">IF(OR(P22=""),"",(P22-P21)*1000)</f>
        <v>3399.99999999964</v>
      </c>
      <c r="AV21" s="17">
        <f t="shared" si="101"/>
        <v>6799.99999999927</v>
      </c>
      <c r="AW21" s="17">
        <f t="shared" si="101"/>
        <v>0</v>
      </c>
      <c r="AX21" s="17">
        <f t="shared" si="101"/>
        <v>4000</v>
      </c>
      <c r="AY21" s="17">
        <f t="shared" si="101"/>
        <v>2000</v>
      </c>
      <c r="AZ21" s="17">
        <f t="shared" si="5"/>
        <v>16199.9999999989</v>
      </c>
      <c r="BA21" s="17">
        <f t="shared" si="6"/>
        <v>10799.9999999956</v>
      </c>
      <c r="BB21" s="17">
        <f t="shared" si="7"/>
        <v>1064.00000000023</v>
      </c>
      <c r="BC21" s="17">
        <f t="shared" si="20"/>
        <v>1703.99999999965</v>
      </c>
      <c r="BD21" s="17">
        <f t="shared" si="8"/>
        <v>12420.0000000152</v>
      </c>
      <c r="BE21" s="17">
        <f t="shared" si="9"/>
        <v>57900.0000000087</v>
      </c>
      <c r="BF21" s="17">
        <f t="shared" si="10"/>
        <v>49.3999999999996</v>
      </c>
      <c r="BG21" s="20">
        <f t="shared" si="11"/>
        <v>0.280577631323942</v>
      </c>
      <c r="BH21" s="20">
        <f t="shared" si="12"/>
        <v>0.035530141500292</v>
      </c>
      <c r="BI21" s="20">
        <f t="shared" si="13"/>
        <v>0</v>
      </c>
      <c r="BJ21" s="20">
        <f t="shared" si="14"/>
        <v>0.0406086450862514</v>
      </c>
      <c r="BK21" s="20">
        <f t="shared" ref="BK21:BO21" si="102">IF(OR($AD21=0),"",AZ21/$AD21)</f>
        <v>0.0785035859662672</v>
      </c>
      <c r="BL21" s="20">
        <f t="shared" si="102"/>
        <v>0.0523357239774939</v>
      </c>
      <c r="BM21" s="20">
        <f t="shared" si="102"/>
        <v>0.00515603799186002</v>
      </c>
      <c r="BN21" s="20">
        <f t="shared" si="102"/>
        <v>0.00825741422756179</v>
      </c>
      <c r="BO21" s="20">
        <f t="shared" si="102"/>
        <v>0.060186082574216</v>
      </c>
    </row>
    <row r="22" spans="1:67">
      <c r="A22" s="9">
        <f t="shared" si="15"/>
        <v>44305</v>
      </c>
      <c r="B22" s="10">
        <v>18034.27</v>
      </c>
      <c r="C22" s="8">
        <v>97501.9</v>
      </c>
      <c r="D22" s="8">
        <v>64578.3</v>
      </c>
      <c r="E22" s="8">
        <v>62870.8</v>
      </c>
      <c r="F22" s="8">
        <v>7794.08</v>
      </c>
      <c r="G22" s="8">
        <v>119779.3</v>
      </c>
      <c r="H22" s="8">
        <v>5709.7</v>
      </c>
      <c r="I22" s="8">
        <v>2566.3</v>
      </c>
      <c r="J22" s="8">
        <v>967</v>
      </c>
      <c r="K22" s="8">
        <v>56</v>
      </c>
      <c r="L22" s="8">
        <v>97828.1</v>
      </c>
      <c r="M22" s="8">
        <v>61529.4</v>
      </c>
      <c r="N22" s="8">
        <v>79921.9</v>
      </c>
      <c r="O22" s="8">
        <v>108693.9</v>
      </c>
      <c r="P22" s="8">
        <v>6216.5</v>
      </c>
      <c r="Q22" s="8">
        <v>8162.4</v>
      </c>
      <c r="R22" s="8">
        <v>4773.3</v>
      </c>
      <c r="S22" s="8">
        <v>5887</v>
      </c>
      <c r="T22" s="8">
        <v>7704.5</v>
      </c>
      <c r="U22" s="8">
        <v>18540.1</v>
      </c>
      <c r="V22" s="8">
        <v>53450.5</v>
      </c>
      <c r="W22" s="8">
        <v>56762.2</v>
      </c>
      <c r="X22" s="8">
        <v>5062.3</v>
      </c>
      <c r="Y22" s="8">
        <v>4964.7</v>
      </c>
      <c r="Z22" s="15">
        <f t="shared" si="87"/>
        <v>66789.2</v>
      </c>
      <c r="AA22" s="8">
        <v>628.8</v>
      </c>
      <c r="AB22" s="13">
        <v>8003</v>
      </c>
      <c r="AC22" s="7">
        <f t="shared" si="1"/>
        <v>8631.8</v>
      </c>
      <c r="AD22" s="16">
        <v>203641</v>
      </c>
      <c r="AE22" s="17">
        <f t="shared" ref="AE22:AI22" si="103">IF(OR(C23=""),"",(C23-C22)*80)</f>
        <v>0</v>
      </c>
      <c r="AF22" s="17">
        <f t="shared" si="103"/>
        <v>0</v>
      </c>
      <c r="AG22" s="17">
        <f t="shared" si="103"/>
        <v>2351.99999999953</v>
      </c>
      <c r="AH22" s="17">
        <f t="shared" si="103"/>
        <v>2559.19999999998</v>
      </c>
      <c r="AI22" s="17">
        <f t="shared" si="103"/>
        <v>1975.99999999977</v>
      </c>
      <c r="AJ22" s="17">
        <f t="shared" si="2"/>
        <v>6887.19999999928</v>
      </c>
      <c r="AK22" s="17">
        <f t="shared" ref="AK22:AN22" si="104">IF(OR(H23=""),"",(H23-H22)*80)</f>
        <v>0</v>
      </c>
      <c r="AL22" s="17">
        <f t="shared" si="104"/>
        <v>0</v>
      </c>
      <c r="AM22" s="17">
        <f t="shared" si="104"/>
        <v>0</v>
      </c>
      <c r="AN22" s="17">
        <f t="shared" si="104"/>
        <v>0</v>
      </c>
      <c r="AO22" s="17">
        <f t="shared" si="3"/>
        <v>0</v>
      </c>
      <c r="AP22" s="17">
        <f t="shared" ref="AP22:AS22" si="105">IF(OR(L23=""),"",(L23-L22)*100)</f>
        <v>3000</v>
      </c>
      <c r="AQ22" s="17">
        <f t="shared" si="105"/>
        <v>0</v>
      </c>
      <c r="AR22" s="17">
        <f t="shared" si="105"/>
        <v>2960.00000000058</v>
      </c>
      <c r="AS22" s="17">
        <f t="shared" si="105"/>
        <v>2290.00000000087</v>
      </c>
      <c r="AT22" s="17">
        <f t="shared" si="4"/>
        <v>8250.00000000146</v>
      </c>
      <c r="AU22" s="17">
        <f t="shared" ref="AU22:AY22" si="106">IF(OR(P23=""),"",(P23-P22)*1000)</f>
        <v>3300.00000000018</v>
      </c>
      <c r="AV22" s="17">
        <f t="shared" si="106"/>
        <v>5700.00000000073</v>
      </c>
      <c r="AW22" s="17">
        <f t="shared" si="106"/>
        <v>0</v>
      </c>
      <c r="AX22" s="17">
        <f t="shared" si="106"/>
        <v>1399.99999999964</v>
      </c>
      <c r="AY22" s="17">
        <f t="shared" si="106"/>
        <v>7500</v>
      </c>
      <c r="AZ22" s="17">
        <f t="shared" si="5"/>
        <v>17900.0000000005</v>
      </c>
      <c r="BA22" s="17">
        <f t="shared" si="6"/>
        <v>10200.0000000044</v>
      </c>
      <c r="BB22" s="17">
        <f t="shared" si="7"/>
        <v>1064.00000000023</v>
      </c>
      <c r="BC22" s="17">
        <f t="shared" si="20"/>
        <v>1664.00000000023</v>
      </c>
      <c r="BD22" s="17">
        <f t="shared" si="8"/>
        <v>11334.7999999895</v>
      </c>
      <c r="BE22" s="17">
        <f t="shared" si="9"/>
        <v>57299.9999999956</v>
      </c>
      <c r="BF22" s="17">
        <f t="shared" si="10"/>
        <v>48.3000000000011</v>
      </c>
      <c r="BG22" s="20">
        <f t="shared" si="11"/>
        <v>0.281377522208178</v>
      </c>
      <c r="BH22" s="20">
        <f t="shared" si="12"/>
        <v>0.0338203014127768</v>
      </c>
      <c r="BI22" s="20">
        <f t="shared" si="13"/>
        <v>0</v>
      </c>
      <c r="BJ22" s="20">
        <f t="shared" si="14"/>
        <v>0.0405124704750097</v>
      </c>
      <c r="BK22" s="20">
        <f t="shared" ref="BK22:BO22" si="107">IF(OR($AD22=0),"",AZ22/$AD22)</f>
        <v>0.0878997844245537</v>
      </c>
      <c r="BL22" s="20">
        <f t="shared" si="107"/>
        <v>0.0500881453145701</v>
      </c>
      <c r="BM22" s="20">
        <f t="shared" si="107"/>
        <v>0.00522488104065602</v>
      </c>
      <c r="BN22" s="20">
        <f t="shared" si="107"/>
        <v>0.00817124252974712</v>
      </c>
      <c r="BO22" s="20">
        <f t="shared" si="107"/>
        <v>0.0556606970108648</v>
      </c>
    </row>
    <row r="23" spans="1:67">
      <c r="A23" s="9">
        <f t="shared" si="15"/>
        <v>44306</v>
      </c>
      <c r="B23" s="10">
        <v>18040</v>
      </c>
      <c r="C23" s="8">
        <v>97501.9</v>
      </c>
      <c r="D23" s="8">
        <v>64578.3</v>
      </c>
      <c r="E23" s="8">
        <v>62900.2</v>
      </c>
      <c r="F23" s="8">
        <v>7826.07</v>
      </c>
      <c r="G23" s="8">
        <v>119804</v>
      </c>
      <c r="H23" s="8">
        <v>5709.7</v>
      </c>
      <c r="I23" s="8">
        <v>2566.3</v>
      </c>
      <c r="J23" s="8">
        <v>967</v>
      </c>
      <c r="K23" s="8">
        <v>56</v>
      </c>
      <c r="L23" s="8">
        <v>97858.1</v>
      </c>
      <c r="M23" s="8">
        <v>61529.4</v>
      </c>
      <c r="N23" s="8">
        <v>79951.5</v>
      </c>
      <c r="O23" s="8">
        <v>108716.8</v>
      </c>
      <c r="P23" s="8">
        <v>6219.8</v>
      </c>
      <c r="Q23" s="8">
        <v>8168.1</v>
      </c>
      <c r="R23" s="8">
        <v>4773.3</v>
      </c>
      <c r="S23" s="8">
        <v>5888.4</v>
      </c>
      <c r="T23" s="8">
        <v>7712</v>
      </c>
      <c r="U23" s="8">
        <v>18545.2</v>
      </c>
      <c r="V23" s="8">
        <v>53463.8</v>
      </c>
      <c r="W23" s="8">
        <v>56778.9</v>
      </c>
      <c r="X23" s="8">
        <v>5074.4</v>
      </c>
      <c r="Y23" s="8">
        <v>4977.5</v>
      </c>
      <c r="Z23" s="15">
        <f t="shared" si="87"/>
        <v>66830.8</v>
      </c>
      <c r="AA23" s="8">
        <v>666.1</v>
      </c>
      <c r="AB23" s="13">
        <v>8014</v>
      </c>
      <c r="AC23" s="7">
        <f t="shared" si="1"/>
        <v>8680.1</v>
      </c>
      <c r="AD23" s="16">
        <v>206290</v>
      </c>
      <c r="AE23" s="17">
        <f t="shared" ref="AE23:AI23" si="108">IF(OR(C24=""),"",(C24-C23)*80)</f>
        <v>0</v>
      </c>
      <c r="AF23" s="17">
        <f t="shared" si="108"/>
        <v>295.999999999767</v>
      </c>
      <c r="AG23" s="17">
        <f t="shared" si="108"/>
        <v>2640</v>
      </c>
      <c r="AH23" s="17">
        <f t="shared" si="108"/>
        <v>2319.20000000006</v>
      </c>
      <c r="AI23" s="17">
        <f t="shared" si="108"/>
        <v>2064.00000000023</v>
      </c>
      <c r="AJ23" s="17">
        <f t="shared" si="2"/>
        <v>7319.20000000006</v>
      </c>
      <c r="AK23" s="17">
        <f t="shared" ref="AK23:AN23" si="109">IF(OR(H24=""),"",(H24-H23)*80)</f>
        <v>0</v>
      </c>
      <c r="AL23" s="17">
        <f t="shared" si="109"/>
        <v>0</v>
      </c>
      <c r="AM23" s="17">
        <f t="shared" si="109"/>
        <v>0</v>
      </c>
      <c r="AN23" s="17">
        <f t="shared" si="109"/>
        <v>0</v>
      </c>
      <c r="AO23" s="17">
        <f t="shared" si="3"/>
        <v>0</v>
      </c>
      <c r="AP23" s="17">
        <f t="shared" ref="AP23:AS23" si="110">IF(OR(L24=""),"",(L24-L23)*100)</f>
        <v>3069.99999999971</v>
      </c>
      <c r="AQ23" s="17">
        <f t="shared" si="110"/>
        <v>0</v>
      </c>
      <c r="AR23" s="17">
        <f t="shared" si="110"/>
        <v>2919.99999999971</v>
      </c>
      <c r="AS23" s="17">
        <f t="shared" si="110"/>
        <v>2269.99999999971</v>
      </c>
      <c r="AT23" s="17">
        <f t="shared" si="4"/>
        <v>8259.99999999913</v>
      </c>
      <c r="AU23" s="17">
        <f t="shared" ref="AU23:AY23" si="111">IF(OR(P24=""),"",(P24-P23)*1000)</f>
        <v>3599.99999999945</v>
      </c>
      <c r="AV23" s="17">
        <f t="shared" si="111"/>
        <v>6599.99999999945</v>
      </c>
      <c r="AW23" s="17">
        <f t="shared" si="111"/>
        <v>0</v>
      </c>
      <c r="AX23" s="17">
        <f t="shared" si="111"/>
        <v>0</v>
      </c>
      <c r="AY23" s="17">
        <f t="shared" si="111"/>
        <v>8699.99999999982</v>
      </c>
      <c r="AZ23" s="17">
        <f t="shared" si="5"/>
        <v>18899.9999999987</v>
      </c>
      <c r="BA23" s="17">
        <f t="shared" si="6"/>
        <v>10599.9999999985</v>
      </c>
      <c r="BB23" s="17">
        <f t="shared" si="7"/>
        <v>1087.99999999988</v>
      </c>
      <c r="BC23" s="17">
        <f t="shared" si="20"/>
        <v>1652.00000000012</v>
      </c>
      <c r="BD23" s="17">
        <f t="shared" si="8"/>
        <v>9980.7999999919</v>
      </c>
      <c r="BE23" s="17">
        <f t="shared" si="9"/>
        <v>57799.9999999884</v>
      </c>
      <c r="BF23" s="17">
        <f t="shared" si="10"/>
        <v>48.2999999999993</v>
      </c>
      <c r="BG23" s="20">
        <f t="shared" si="11"/>
        <v>0.280188084735025</v>
      </c>
      <c r="BH23" s="20">
        <f t="shared" si="12"/>
        <v>0.0354801493043776</v>
      </c>
      <c r="BI23" s="20">
        <f t="shared" si="13"/>
        <v>0</v>
      </c>
      <c r="BJ23" s="20">
        <f t="shared" si="14"/>
        <v>0.040040719375632</v>
      </c>
      <c r="BK23" s="20">
        <f t="shared" ref="BK23:BO23" si="112">IF(OR($AD23=0),"",AZ23/$AD23)</f>
        <v>0.0916185951815344</v>
      </c>
      <c r="BL23" s="20">
        <f t="shared" si="112"/>
        <v>0.0513839740171533</v>
      </c>
      <c r="BM23" s="20">
        <f t="shared" si="112"/>
        <v>0.00527412865383627</v>
      </c>
      <c r="BN23" s="20">
        <f t="shared" si="112"/>
        <v>0.00800814387512781</v>
      </c>
      <c r="BO23" s="20">
        <f t="shared" si="112"/>
        <v>0.0483823743273639</v>
      </c>
    </row>
    <row r="24" spans="1:67">
      <c r="A24" s="9">
        <f t="shared" si="15"/>
        <v>44307</v>
      </c>
      <c r="B24" s="10">
        <v>18045.78</v>
      </c>
      <c r="C24" s="8">
        <v>97501.9</v>
      </c>
      <c r="D24" s="8">
        <v>64582</v>
      </c>
      <c r="E24" s="8">
        <v>62933.2</v>
      </c>
      <c r="F24" s="8">
        <v>7855.06</v>
      </c>
      <c r="G24" s="8">
        <v>119829.8</v>
      </c>
      <c r="H24" s="8">
        <v>5709.7</v>
      </c>
      <c r="I24" s="8">
        <v>2566.3</v>
      </c>
      <c r="J24" s="8">
        <v>967</v>
      </c>
      <c r="K24" s="8">
        <v>56</v>
      </c>
      <c r="L24" s="8">
        <v>97888.8</v>
      </c>
      <c r="M24" s="8">
        <v>61529.4</v>
      </c>
      <c r="N24" s="8">
        <v>79980.7</v>
      </c>
      <c r="O24" s="8">
        <v>108739.5</v>
      </c>
      <c r="P24" s="8">
        <v>6223.4</v>
      </c>
      <c r="Q24" s="8">
        <v>8174.7</v>
      </c>
      <c r="R24" s="8">
        <v>4773.3</v>
      </c>
      <c r="S24" s="8">
        <v>5888.4</v>
      </c>
      <c r="T24" s="8">
        <v>7720.7</v>
      </c>
      <c r="U24" s="8">
        <v>18550.5</v>
      </c>
      <c r="V24" s="8">
        <v>53477.4</v>
      </c>
      <c r="W24" s="8">
        <v>56795.8</v>
      </c>
      <c r="X24" s="8">
        <v>5086.2</v>
      </c>
      <c r="Y24" s="8">
        <v>4990.1</v>
      </c>
      <c r="Z24" s="15">
        <f t="shared" si="87"/>
        <v>66872.1</v>
      </c>
      <c r="AA24" s="8">
        <v>704.4</v>
      </c>
      <c r="AB24" s="13">
        <v>8024</v>
      </c>
      <c r="AC24" s="7">
        <f t="shared" si="1"/>
        <v>8728.4</v>
      </c>
      <c r="AD24" s="16">
        <v>207050</v>
      </c>
      <c r="AE24" s="17">
        <f t="shared" ref="AE24:AI24" si="113">IF(OR(C25=""),"",(C25-C24)*80)</f>
        <v>0</v>
      </c>
      <c r="AF24" s="17">
        <f t="shared" si="113"/>
        <v>32.0000000001164</v>
      </c>
      <c r="AG24" s="17">
        <f t="shared" si="113"/>
        <v>2640</v>
      </c>
      <c r="AH24" s="17">
        <f t="shared" si="113"/>
        <v>2341.59999999996</v>
      </c>
      <c r="AI24" s="17">
        <f t="shared" si="113"/>
        <v>2351.99999999953</v>
      </c>
      <c r="AJ24" s="17">
        <f t="shared" si="2"/>
        <v>7365.59999999961</v>
      </c>
      <c r="AK24" s="17">
        <f t="shared" ref="AK24:AN24" si="114">IF(OR(H25=""),"",(H25-H24)*80)</f>
        <v>0</v>
      </c>
      <c r="AL24" s="17">
        <f t="shared" si="114"/>
        <v>0</v>
      </c>
      <c r="AM24" s="17">
        <f t="shared" si="114"/>
        <v>0</v>
      </c>
      <c r="AN24" s="17">
        <f t="shared" si="114"/>
        <v>0</v>
      </c>
      <c r="AO24" s="17">
        <f t="shared" si="3"/>
        <v>0</v>
      </c>
      <c r="AP24" s="17">
        <f t="shared" ref="AP24:AS24" si="115">IF(OR(L25=""),"",(L25-L24)*100)</f>
        <v>3219.99999999971</v>
      </c>
      <c r="AQ24" s="17">
        <f t="shared" si="115"/>
        <v>0</v>
      </c>
      <c r="AR24" s="17">
        <f t="shared" si="115"/>
        <v>2940.00000000087</v>
      </c>
      <c r="AS24" s="17">
        <f t="shared" si="115"/>
        <v>2310.00000000058</v>
      </c>
      <c r="AT24" s="17">
        <f t="shared" si="4"/>
        <v>8470.00000000116</v>
      </c>
      <c r="AU24" s="17">
        <f t="shared" ref="AU24:AY24" si="116">IF(OR(P25=""),"",(P25-P24)*1000)</f>
        <v>3400.00000000055</v>
      </c>
      <c r="AV24" s="17">
        <f t="shared" si="116"/>
        <v>7199.99999999982</v>
      </c>
      <c r="AW24" s="17">
        <f t="shared" si="116"/>
        <v>0</v>
      </c>
      <c r="AX24" s="17">
        <f t="shared" si="116"/>
        <v>0</v>
      </c>
      <c r="AY24" s="17">
        <f t="shared" si="116"/>
        <v>8800.00000000018</v>
      </c>
      <c r="AZ24" s="17">
        <f t="shared" si="5"/>
        <v>19400.0000000005</v>
      </c>
      <c r="BA24" s="17">
        <f t="shared" si="6"/>
        <v>10800.0000000029</v>
      </c>
      <c r="BB24" s="17">
        <f t="shared" si="7"/>
        <v>1087.99999999988</v>
      </c>
      <c r="BC24" s="17">
        <f t="shared" si="20"/>
        <v>1571.99999999953</v>
      </c>
      <c r="BD24" s="17">
        <f t="shared" si="8"/>
        <v>9804.40000001818</v>
      </c>
      <c r="BE24" s="17">
        <f t="shared" si="9"/>
        <v>58500.0000000218</v>
      </c>
      <c r="BF24" s="17">
        <f t="shared" si="10"/>
        <v>44.3000000000011</v>
      </c>
      <c r="BG24" s="20">
        <f t="shared" si="11"/>
        <v>0.282540449166973</v>
      </c>
      <c r="BH24" s="20">
        <f t="shared" si="12"/>
        <v>0.0355740159381773</v>
      </c>
      <c r="BI24" s="20">
        <f t="shared" si="13"/>
        <v>0</v>
      </c>
      <c r="BJ24" s="20">
        <f t="shared" si="14"/>
        <v>0.0409079932383538</v>
      </c>
      <c r="BK24" s="20">
        <f t="shared" ref="BK24:BO24" si="117">IF(OR($AD24=0),"",AZ24/$AD24)</f>
        <v>0.093697174595511</v>
      </c>
      <c r="BL24" s="20">
        <f t="shared" si="117"/>
        <v>0.0521613136923589</v>
      </c>
      <c r="BM24" s="20">
        <f t="shared" si="117"/>
        <v>0.0052547693793764</v>
      </c>
      <c r="BN24" s="20">
        <f t="shared" si="117"/>
        <v>0.00759236899299461</v>
      </c>
      <c r="BO24" s="20">
        <f t="shared" si="117"/>
        <v>0.0473528133302013</v>
      </c>
    </row>
    <row r="25" spans="1:67">
      <c r="A25" s="9">
        <f t="shared" si="15"/>
        <v>44308</v>
      </c>
      <c r="B25" s="10">
        <v>18051.63</v>
      </c>
      <c r="C25" s="8">
        <v>97501.9</v>
      </c>
      <c r="D25" s="8">
        <v>64582.4</v>
      </c>
      <c r="E25" s="8">
        <v>62966.2</v>
      </c>
      <c r="F25" s="8">
        <v>7884.33</v>
      </c>
      <c r="G25" s="8">
        <v>119859.2</v>
      </c>
      <c r="H25" s="8">
        <v>5709.7</v>
      </c>
      <c r="I25" s="8">
        <v>2566.3</v>
      </c>
      <c r="J25" s="8">
        <v>967</v>
      </c>
      <c r="K25" s="8">
        <v>56</v>
      </c>
      <c r="L25" s="8">
        <v>97921</v>
      </c>
      <c r="M25" s="8">
        <v>61529.4</v>
      </c>
      <c r="N25" s="8">
        <v>80010.1</v>
      </c>
      <c r="O25" s="8">
        <v>108762.6</v>
      </c>
      <c r="P25" s="8">
        <v>6226.8</v>
      </c>
      <c r="Q25" s="8">
        <v>8181.9</v>
      </c>
      <c r="R25" s="8">
        <v>4773.3</v>
      </c>
      <c r="S25" s="8">
        <v>5888.4</v>
      </c>
      <c r="T25" s="8">
        <v>7729.5</v>
      </c>
      <c r="U25" s="8">
        <v>18555.9</v>
      </c>
      <c r="V25" s="8">
        <v>53491</v>
      </c>
      <c r="W25" s="8">
        <v>56812.4</v>
      </c>
      <c r="X25" s="8">
        <v>5097</v>
      </c>
      <c r="Y25" s="8">
        <v>5002</v>
      </c>
      <c r="Z25" s="15">
        <f t="shared" si="87"/>
        <v>66911.4</v>
      </c>
      <c r="AA25" s="8">
        <v>740.7</v>
      </c>
      <c r="AB25" s="13">
        <v>8032</v>
      </c>
      <c r="AC25" s="7">
        <f t="shared" si="1"/>
        <v>8772.7</v>
      </c>
      <c r="AD25" s="16">
        <v>200218</v>
      </c>
      <c r="AE25" s="17">
        <f t="shared" ref="AE25:AI25" si="118">IF(OR(C26=""),"",(C26-C25)*80)</f>
        <v>0</v>
      </c>
      <c r="AF25" s="17">
        <f t="shared" si="118"/>
        <v>303.999999999651</v>
      </c>
      <c r="AG25" s="17">
        <f t="shared" si="118"/>
        <v>3056.00000000035</v>
      </c>
      <c r="AH25" s="17">
        <f t="shared" si="118"/>
        <v>2221.60000000003</v>
      </c>
      <c r="AI25" s="17">
        <f t="shared" si="118"/>
        <v>2480</v>
      </c>
      <c r="AJ25" s="17">
        <f t="shared" si="2"/>
        <v>8061.60000000003</v>
      </c>
      <c r="AK25" s="17">
        <f t="shared" ref="AK25:AN25" si="119">IF(OR(H26=""),"",(H26-H25)*80)</f>
        <v>0</v>
      </c>
      <c r="AL25" s="17">
        <f t="shared" si="119"/>
        <v>0</v>
      </c>
      <c r="AM25" s="17">
        <f t="shared" si="119"/>
        <v>0</v>
      </c>
      <c r="AN25" s="17">
        <f t="shared" si="119"/>
        <v>0</v>
      </c>
      <c r="AO25" s="17">
        <f t="shared" si="3"/>
        <v>0</v>
      </c>
      <c r="AP25" s="17">
        <f t="shared" ref="AP25:AS25" si="120">IF(OR(L26=""),"",(L26-L25)*100)</f>
        <v>3050</v>
      </c>
      <c r="AQ25" s="17">
        <f t="shared" si="120"/>
        <v>0</v>
      </c>
      <c r="AR25" s="17">
        <f t="shared" si="120"/>
        <v>2739.99999999942</v>
      </c>
      <c r="AS25" s="17">
        <f t="shared" si="120"/>
        <v>2209.99999999913</v>
      </c>
      <c r="AT25" s="17">
        <f t="shared" si="4"/>
        <v>7999.99999999854</v>
      </c>
      <c r="AU25" s="17">
        <f t="shared" ref="AU25:AY25" si="121">IF(OR(P26=""),"",(P26-P25)*1000)</f>
        <v>3500</v>
      </c>
      <c r="AV25" s="17">
        <f t="shared" si="121"/>
        <v>6300.00000000018</v>
      </c>
      <c r="AW25" s="17">
        <f t="shared" si="121"/>
        <v>0</v>
      </c>
      <c r="AX25" s="17">
        <f t="shared" si="121"/>
        <v>600.000000000364</v>
      </c>
      <c r="AY25" s="17">
        <f t="shared" si="121"/>
        <v>8399.99999999964</v>
      </c>
      <c r="AZ25" s="17">
        <f t="shared" si="5"/>
        <v>18800.0000000002</v>
      </c>
      <c r="BA25" s="17">
        <f t="shared" si="6"/>
        <v>11000</v>
      </c>
      <c r="BB25" s="17">
        <f t="shared" si="7"/>
        <v>1080</v>
      </c>
      <c r="BC25" s="17">
        <f t="shared" si="20"/>
        <v>1524.00000000023</v>
      </c>
      <c r="BD25" s="17">
        <f t="shared" si="8"/>
        <v>10434.3999999952</v>
      </c>
      <c r="BE25" s="17">
        <f t="shared" si="9"/>
        <v>58899.9999999942</v>
      </c>
      <c r="BF25" s="17">
        <f t="shared" si="10"/>
        <v>46.3999999999996</v>
      </c>
      <c r="BG25" s="20">
        <f t="shared" si="11"/>
        <v>0.29417934451445</v>
      </c>
      <c r="BH25" s="20">
        <f t="shared" si="12"/>
        <v>0.0402641121177918</v>
      </c>
      <c r="BI25" s="20">
        <f t="shared" si="13"/>
        <v>0</v>
      </c>
      <c r="BJ25" s="20">
        <f t="shared" si="14"/>
        <v>0.039956447472248</v>
      </c>
      <c r="BK25" s="20">
        <f t="shared" ref="BK25:BO25" si="122">IF(OR($AD25=0),"",AZ25/$AD25)</f>
        <v>0.0938976515598007</v>
      </c>
      <c r="BL25" s="20">
        <f t="shared" si="122"/>
        <v>0.054940115274351</v>
      </c>
      <c r="BM25" s="20">
        <f t="shared" si="122"/>
        <v>0.00539412040875446</v>
      </c>
      <c r="BN25" s="20">
        <f t="shared" si="122"/>
        <v>0.00761170324346579</v>
      </c>
      <c r="BO25" s="20">
        <f t="shared" si="122"/>
        <v>0.0521151944380385</v>
      </c>
    </row>
    <row r="26" spans="1:67">
      <c r="A26" s="9">
        <f t="shared" si="15"/>
        <v>44309</v>
      </c>
      <c r="B26" s="10">
        <v>18057.52</v>
      </c>
      <c r="C26" s="8">
        <v>97501.9</v>
      </c>
      <c r="D26" s="8">
        <v>64586.2</v>
      </c>
      <c r="E26" s="8">
        <v>63004.4</v>
      </c>
      <c r="F26" s="8">
        <v>7912.1</v>
      </c>
      <c r="G26" s="8">
        <v>119890.2</v>
      </c>
      <c r="H26" s="8">
        <v>5709.7</v>
      </c>
      <c r="I26" s="8">
        <v>2566.3</v>
      </c>
      <c r="J26" s="8">
        <v>967</v>
      </c>
      <c r="K26" s="8">
        <v>56</v>
      </c>
      <c r="L26" s="8">
        <v>97951.5</v>
      </c>
      <c r="M26" s="8">
        <v>61529.4</v>
      </c>
      <c r="N26" s="8">
        <v>80037.5</v>
      </c>
      <c r="O26" s="8">
        <v>108784.7</v>
      </c>
      <c r="P26" s="8">
        <v>6230.3</v>
      </c>
      <c r="Q26" s="8">
        <v>8188.2</v>
      </c>
      <c r="R26" s="8">
        <v>4773.3</v>
      </c>
      <c r="S26" s="8">
        <v>5889</v>
      </c>
      <c r="T26" s="8">
        <v>7737.9</v>
      </c>
      <c r="U26" s="8">
        <v>18561.4</v>
      </c>
      <c r="V26" s="8">
        <v>53504.5</v>
      </c>
      <c r="W26" s="8">
        <v>56828.6</v>
      </c>
      <c r="X26" s="8">
        <v>5107</v>
      </c>
      <c r="Y26" s="8">
        <v>5013.9</v>
      </c>
      <c r="Z26" s="15">
        <f t="shared" si="87"/>
        <v>66949.5</v>
      </c>
      <c r="AA26" s="8">
        <v>778.1</v>
      </c>
      <c r="AB26" s="13">
        <v>8041</v>
      </c>
      <c r="AC26" s="7">
        <f t="shared" si="1"/>
        <v>8819.1</v>
      </c>
      <c r="AD26" s="16">
        <v>189001</v>
      </c>
      <c r="AE26" s="17">
        <f t="shared" ref="AE26:AI26" si="123">IF(OR(C27=""),"",(C27-C26)*80)</f>
        <v>0</v>
      </c>
      <c r="AF26" s="17">
        <f t="shared" si="123"/>
        <v>904.000000000233</v>
      </c>
      <c r="AG26" s="17">
        <f t="shared" si="123"/>
        <v>2640</v>
      </c>
      <c r="AH26" s="17">
        <f t="shared" si="123"/>
        <v>1580</v>
      </c>
      <c r="AI26" s="17">
        <f t="shared" si="123"/>
        <v>2288.00000000047</v>
      </c>
      <c r="AJ26" s="17">
        <f t="shared" si="2"/>
        <v>7412.0000000007</v>
      </c>
      <c r="AK26" s="17">
        <f t="shared" ref="AK26:AN26" si="124">IF(OR(H27=""),"",(H27-H26)*80)</f>
        <v>0</v>
      </c>
      <c r="AL26" s="17">
        <f t="shared" si="124"/>
        <v>0</v>
      </c>
      <c r="AM26" s="17">
        <f t="shared" si="124"/>
        <v>0</v>
      </c>
      <c r="AN26" s="17">
        <f t="shared" si="124"/>
        <v>0</v>
      </c>
      <c r="AO26" s="17">
        <f t="shared" si="3"/>
        <v>0</v>
      </c>
      <c r="AP26" s="17">
        <f t="shared" ref="AP26:AS26" si="125">IF(OR(L27=""),"",(L27-L26)*100)</f>
        <v>2469.99999999971</v>
      </c>
      <c r="AQ26" s="17">
        <f t="shared" si="125"/>
        <v>0</v>
      </c>
      <c r="AR26" s="17">
        <f t="shared" si="125"/>
        <v>2910.00000000058</v>
      </c>
      <c r="AS26" s="17">
        <f t="shared" si="125"/>
        <v>2250</v>
      </c>
      <c r="AT26" s="17">
        <f t="shared" si="4"/>
        <v>7630.00000000029</v>
      </c>
      <c r="AU26" s="17">
        <f t="shared" ref="AU26:AY26" si="126">IF(OR(P27=""),"",(P27-P26)*1000)</f>
        <v>3899.99999999964</v>
      </c>
      <c r="AV26" s="17">
        <f t="shared" si="126"/>
        <v>6900.00000000055</v>
      </c>
      <c r="AW26" s="17">
        <f t="shared" si="126"/>
        <v>0</v>
      </c>
      <c r="AX26" s="17">
        <f t="shared" si="126"/>
        <v>0</v>
      </c>
      <c r="AY26" s="17">
        <f t="shared" si="126"/>
        <v>8800.00000000018</v>
      </c>
      <c r="AZ26" s="17">
        <f t="shared" si="5"/>
        <v>19600.0000000004</v>
      </c>
      <c r="BA26" s="17">
        <f t="shared" si="6"/>
        <v>10199.9999999971</v>
      </c>
      <c r="BB26" s="17">
        <f t="shared" si="7"/>
        <v>1072.00000000012</v>
      </c>
      <c r="BC26" s="17">
        <f t="shared" si="20"/>
        <v>1492.00000000012</v>
      </c>
      <c r="BD26" s="17">
        <f t="shared" si="8"/>
        <v>9993.99999998095</v>
      </c>
      <c r="BE26" s="17">
        <f t="shared" si="9"/>
        <v>57399.9999999796</v>
      </c>
      <c r="BF26" s="17">
        <f t="shared" si="10"/>
        <v>54.2999999999993</v>
      </c>
      <c r="BG26" s="20">
        <f t="shared" si="11"/>
        <v>0.303702096814195</v>
      </c>
      <c r="BH26" s="20">
        <f t="shared" si="12"/>
        <v>0.0392167237210422</v>
      </c>
      <c r="BI26" s="20">
        <f t="shared" si="13"/>
        <v>0</v>
      </c>
      <c r="BJ26" s="20">
        <f t="shared" si="14"/>
        <v>0.0403701567716588</v>
      </c>
      <c r="BK26" s="20">
        <f t="shared" ref="BK26:BO26" si="127">IF(OR($AD26=0),"",AZ26/$AD26)</f>
        <v>0.103703155009764</v>
      </c>
      <c r="BL26" s="20">
        <f t="shared" si="127"/>
        <v>0.0539679684234321</v>
      </c>
      <c r="BM26" s="20">
        <f t="shared" si="127"/>
        <v>0.00567192766175902</v>
      </c>
      <c r="BN26" s="20">
        <f t="shared" si="127"/>
        <v>0.00789413812625392</v>
      </c>
      <c r="BO26" s="20">
        <f t="shared" si="127"/>
        <v>0.0528780271002849</v>
      </c>
    </row>
    <row r="27" spans="1:67">
      <c r="A27" s="9">
        <f t="shared" si="15"/>
        <v>44310</v>
      </c>
      <c r="B27" s="10">
        <v>18063.26</v>
      </c>
      <c r="C27" s="8">
        <v>97501.9</v>
      </c>
      <c r="D27" s="8">
        <v>64597.5</v>
      </c>
      <c r="E27" s="8">
        <v>63037.4</v>
      </c>
      <c r="F27" s="8">
        <v>7931.85</v>
      </c>
      <c r="G27" s="8">
        <v>119918.8</v>
      </c>
      <c r="H27" s="8">
        <v>5709.7</v>
      </c>
      <c r="I27" s="8">
        <v>2566.3</v>
      </c>
      <c r="J27" s="8">
        <v>967</v>
      </c>
      <c r="K27" s="8">
        <v>56</v>
      </c>
      <c r="L27" s="8">
        <v>97976.2</v>
      </c>
      <c r="M27" s="8">
        <v>61529.4</v>
      </c>
      <c r="N27" s="8">
        <v>80066.6</v>
      </c>
      <c r="O27" s="8">
        <v>108807.2</v>
      </c>
      <c r="P27" s="8">
        <v>6234.2</v>
      </c>
      <c r="Q27" s="8">
        <v>8195.1</v>
      </c>
      <c r="R27" s="8">
        <v>4773.3</v>
      </c>
      <c r="S27" s="8">
        <v>5889</v>
      </c>
      <c r="T27" s="8">
        <v>7746.7</v>
      </c>
      <c r="U27" s="8">
        <v>18566.5</v>
      </c>
      <c r="V27" s="8">
        <v>53517.9</v>
      </c>
      <c r="W27" s="8">
        <v>56845.5</v>
      </c>
      <c r="X27" s="8">
        <v>5116.6</v>
      </c>
      <c r="Y27" s="8">
        <v>5024.7</v>
      </c>
      <c r="Z27" s="15">
        <f t="shared" si="87"/>
        <v>66986.8</v>
      </c>
      <c r="AA27" s="8">
        <v>816.4</v>
      </c>
      <c r="AB27" s="13">
        <v>8057</v>
      </c>
      <c r="AC27" s="7">
        <f t="shared" si="1"/>
        <v>8873.4</v>
      </c>
      <c r="AD27" s="16">
        <v>186615</v>
      </c>
      <c r="AE27" s="17">
        <f t="shared" ref="AE27:AI27" si="128">IF(OR(C28=""),"",(C28-C27)*80)</f>
        <v>0</v>
      </c>
      <c r="AF27" s="17">
        <f t="shared" si="128"/>
        <v>120</v>
      </c>
      <c r="AG27" s="17">
        <f t="shared" si="128"/>
        <v>2215.99999999977</v>
      </c>
      <c r="AH27" s="17">
        <f t="shared" si="128"/>
        <v>2433.60000000001</v>
      </c>
      <c r="AI27" s="17">
        <f t="shared" si="128"/>
        <v>2271.99999999953</v>
      </c>
      <c r="AJ27" s="17">
        <f t="shared" si="2"/>
        <v>7041.59999999931</v>
      </c>
      <c r="AK27" s="17">
        <f t="shared" ref="AK27:AN27" si="129">IF(OR(H28=""),"",(H28-H27)*80)</f>
        <v>0</v>
      </c>
      <c r="AL27" s="17">
        <f t="shared" si="129"/>
        <v>0</v>
      </c>
      <c r="AM27" s="17">
        <f t="shared" si="129"/>
        <v>0</v>
      </c>
      <c r="AN27" s="17">
        <f t="shared" si="129"/>
        <v>0</v>
      </c>
      <c r="AO27" s="17">
        <f t="shared" si="3"/>
        <v>0</v>
      </c>
      <c r="AP27" s="17">
        <f t="shared" ref="AP27:AS27" si="130">IF(OR(L28=""),"",(L28-L27)*100)</f>
        <v>2290.00000000087</v>
      </c>
      <c r="AQ27" s="17">
        <f t="shared" si="130"/>
        <v>0</v>
      </c>
      <c r="AR27" s="17">
        <f t="shared" si="130"/>
        <v>2939.99999999942</v>
      </c>
      <c r="AS27" s="17">
        <f t="shared" si="130"/>
        <v>2269.99999999971</v>
      </c>
      <c r="AT27" s="17">
        <f t="shared" si="4"/>
        <v>7500</v>
      </c>
      <c r="AU27" s="17">
        <f t="shared" ref="AU27:AY27" si="131">IF(OR(P28=""),"",(P28-P27)*1000)</f>
        <v>4000</v>
      </c>
      <c r="AV27" s="17">
        <f t="shared" si="131"/>
        <v>6799.99999999927</v>
      </c>
      <c r="AW27" s="17">
        <f t="shared" si="131"/>
        <v>0</v>
      </c>
      <c r="AX27" s="17">
        <f t="shared" si="131"/>
        <v>0</v>
      </c>
      <c r="AY27" s="17">
        <f t="shared" si="131"/>
        <v>8900.00000000055</v>
      </c>
      <c r="AZ27" s="17">
        <f t="shared" si="5"/>
        <v>19699.9999999998</v>
      </c>
      <c r="BA27" s="17">
        <f t="shared" si="6"/>
        <v>10199.9999999971</v>
      </c>
      <c r="BB27" s="17">
        <f t="shared" si="7"/>
        <v>1040</v>
      </c>
      <c r="BC27" s="17">
        <f t="shared" si="20"/>
        <v>1495.99999999977</v>
      </c>
      <c r="BD27" s="17">
        <f t="shared" si="8"/>
        <v>10422.40000002</v>
      </c>
      <c r="BE27" s="17">
        <f t="shared" si="9"/>
        <v>57400.000000016</v>
      </c>
      <c r="BF27" s="17">
        <f t="shared" si="10"/>
        <v>53.8000000000011</v>
      </c>
      <c r="BG27" s="20">
        <f t="shared" si="11"/>
        <v>0.307585135171428</v>
      </c>
      <c r="BH27" s="20">
        <f t="shared" si="12"/>
        <v>0.0377333011815733</v>
      </c>
      <c r="BI27" s="20">
        <f t="shared" si="13"/>
        <v>0</v>
      </c>
      <c r="BJ27" s="20">
        <f t="shared" si="14"/>
        <v>0.0401896953621092</v>
      </c>
      <c r="BK27" s="20">
        <f t="shared" ref="BK27:BO27" si="132">IF(OR($AD27=0),"",AZ27/$AD27)</f>
        <v>0.105564933151139</v>
      </c>
      <c r="BL27" s="20">
        <f t="shared" si="132"/>
        <v>0.0546579856924529</v>
      </c>
      <c r="BM27" s="20">
        <f t="shared" si="132"/>
        <v>0.00557297109021247</v>
      </c>
      <c r="BN27" s="20">
        <f t="shared" si="132"/>
        <v>0.00801650456822746</v>
      </c>
      <c r="BO27" s="20">
        <f t="shared" si="132"/>
        <v>0.0558497441257135</v>
      </c>
    </row>
    <row r="28" spans="1:67">
      <c r="A28" s="9">
        <f t="shared" si="15"/>
        <v>44311</v>
      </c>
      <c r="B28" s="10">
        <v>18069</v>
      </c>
      <c r="C28" s="8">
        <v>97501.9</v>
      </c>
      <c r="D28" s="8">
        <v>64599</v>
      </c>
      <c r="E28" s="8">
        <v>63065.1</v>
      </c>
      <c r="F28" s="8">
        <v>7962.27</v>
      </c>
      <c r="G28" s="8">
        <v>119947.2</v>
      </c>
      <c r="H28" s="8">
        <v>5709.7</v>
      </c>
      <c r="I28" s="8">
        <v>2566.3</v>
      </c>
      <c r="J28" s="8">
        <v>967</v>
      </c>
      <c r="K28" s="8">
        <v>56</v>
      </c>
      <c r="L28" s="8">
        <v>97999.1</v>
      </c>
      <c r="M28" s="8">
        <v>61529.4</v>
      </c>
      <c r="N28" s="8">
        <v>80096</v>
      </c>
      <c r="O28" s="8">
        <v>108829.9</v>
      </c>
      <c r="P28" s="8">
        <v>6238.2</v>
      </c>
      <c r="Q28" s="8">
        <v>8201.9</v>
      </c>
      <c r="R28" s="8">
        <v>4773.3</v>
      </c>
      <c r="S28" s="8">
        <v>5889</v>
      </c>
      <c r="T28" s="8">
        <v>7755.6</v>
      </c>
      <c r="U28" s="8">
        <v>18571.6</v>
      </c>
      <c r="V28" s="8">
        <v>53530.9</v>
      </c>
      <c r="W28" s="8">
        <v>56862.3</v>
      </c>
      <c r="X28" s="8">
        <v>5126.6</v>
      </c>
      <c r="Y28" s="8">
        <v>5035.3</v>
      </c>
      <c r="Z28" s="15">
        <f t="shared" si="87"/>
        <v>67024.2</v>
      </c>
      <c r="AA28" s="8">
        <v>862.2</v>
      </c>
      <c r="AB28" s="13">
        <v>8065</v>
      </c>
      <c r="AC28" s="7">
        <f t="shared" si="1"/>
        <v>8927.2</v>
      </c>
      <c r="AD28" s="16">
        <v>205492</v>
      </c>
      <c r="AE28" s="17">
        <f t="shared" ref="AE28:AI28" si="133">IF(OR(C29=""),"",(C29-C28)*80)</f>
        <v>0</v>
      </c>
      <c r="AF28" s="17">
        <f t="shared" si="133"/>
        <v>127.999999999884</v>
      </c>
      <c r="AG28" s="17">
        <f t="shared" si="133"/>
        <v>2344.00000000023</v>
      </c>
      <c r="AH28" s="17">
        <f t="shared" si="133"/>
        <v>2208.79999999997</v>
      </c>
      <c r="AI28" s="17">
        <f t="shared" si="133"/>
        <v>2280</v>
      </c>
      <c r="AJ28" s="17">
        <f t="shared" si="2"/>
        <v>6960.80000000009</v>
      </c>
      <c r="AK28" s="17">
        <f t="shared" ref="AK28:AN28" si="134">IF(OR(H29=""),"",(H29-H28)*80)</f>
        <v>0</v>
      </c>
      <c r="AL28" s="17">
        <f t="shared" si="134"/>
        <v>0</v>
      </c>
      <c r="AM28" s="17">
        <f t="shared" si="134"/>
        <v>0</v>
      </c>
      <c r="AN28" s="17">
        <f t="shared" si="134"/>
        <v>0</v>
      </c>
      <c r="AO28" s="17">
        <f t="shared" si="3"/>
        <v>0</v>
      </c>
      <c r="AP28" s="17">
        <f t="shared" ref="AP28:AS28" si="135">IF(OR(L29=""),"",(L29-L28)*100)</f>
        <v>3039.99999999942</v>
      </c>
      <c r="AQ28" s="17">
        <f t="shared" si="135"/>
        <v>0</v>
      </c>
      <c r="AR28" s="17">
        <f t="shared" si="135"/>
        <v>2869.99999999971</v>
      </c>
      <c r="AS28" s="17">
        <f t="shared" si="135"/>
        <v>2170.00000000116</v>
      </c>
      <c r="AT28" s="17">
        <f t="shared" si="4"/>
        <v>8080.00000000029</v>
      </c>
      <c r="AU28" s="17">
        <f t="shared" ref="AU28:AY28" si="136">IF(OR(P29=""),"",(P29-P28)*1000)</f>
        <v>3400.00000000055</v>
      </c>
      <c r="AV28" s="17">
        <f t="shared" si="136"/>
        <v>5000</v>
      </c>
      <c r="AW28" s="17">
        <f t="shared" si="136"/>
        <v>0</v>
      </c>
      <c r="AX28" s="17">
        <f t="shared" si="136"/>
        <v>0</v>
      </c>
      <c r="AY28" s="17">
        <f t="shared" si="136"/>
        <v>8899.99999999964</v>
      </c>
      <c r="AZ28" s="17">
        <f t="shared" si="5"/>
        <v>17300.0000000002</v>
      </c>
      <c r="BA28" s="17">
        <f t="shared" si="6"/>
        <v>10800.0000000029</v>
      </c>
      <c r="BB28" s="17">
        <f t="shared" si="7"/>
        <v>1080</v>
      </c>
      <c r="BC28" s="17">
        <f t="shared" si="20"/>
        <v>1412.00000000012</v>
      </c>
      <c r="BD28" s="17">
        <f t="shared" si="8"/>
        <v>9367.19999999641</v>
      </c>
      <c r="BE28" s="17">
        <f t="shared" si="9"/>
        <v>55000</v>
      </c>
      <c r="BF28" s="17">
        <f t="shared" si="10"/>
        <v>49</v>
      </c>
      <c r="BG28" s="20">
        <f t="shared" si="11"/>
        <v>0.26765032215366</v>
      </c>
      <c r="BH28" s="20">
        <f t="shared" si="12"/>
        <v>0.0338738247717677</v>
      </c>
      <c r="BI28" s="20">
        <f t="shared" si="13"/>
        <v>0</v>
      </c>
      <c r="BJ28" s="20">
        <f t="shared" si="14"/>
        <v>0.039320265509121</v>
      </c>
      <c r="BK28" s="20">
        <f t="shared" ref="BK28:BO28" si="137">IF(OR($AD28=0),"",AZ28/$AD28)</f>
        <v>0.0841881922410614</v>
      </c>
      <c r="BL28" s="20">
        <f t="shared" si="137"/>
        <v>0.0525567905320057</v>
      </c>
      <c r="BM28" s="20">
        <f t="shared" si="137"/>
        <v>0.00525567905319915</v>
      </c>
      <c r="BN28" s="20">
        <f t="shared" si="137"/>
        <v>0.00687131372510909</v>
      </c>
      <c r="BO28" s="20">
        <f t="shared" si="137"/>
        <v>0.0455842563213965</v>
      </c>
    </row>
    <row r="29" spans="1:67">
      <c r="A29" s="9">
        <f t="shared" si="15"/>
        <v>44312</v>
      </c>
      <c r="B29" s="10">
        <v>18074.5</v>
      </c>
      <c r="C29" s="8">
        <v>97501.9</v>
      </c>
      <c r="D29" s="8">
        <v>64600.6</v>
      </c>
      <c r="E29" s="8">
        <v>63094.4</v>
      </c>
      <c r="F29" s="8">
        <v>7989.88</v>
      </c>
      <c r="G29" s="8">
        <v>119975.7</v>
      </c>
      <c r="H29" s="8">
        <v>5709.7</v>
      </c>
      <c r="I29" s="8">
        <v>2566.3</v>
      </c>
      <c r="J29" s="8">
        <v>967</v>
      </c>
      <c r="K29" s="8">
        <v>56</v>
      </c>
      <c r="L29" s="8">
        <v>98029.5</v>
      </c>
      <c r="M29" s="8">
        <v>61529.4</v>
      </c>
      <c r="N29" s="8">
        <v>80124.7</v>
      </c>
      <c r="O29" s="8">
        <v>108851.6</v>
      </c>
      <c r="P29" s="8">
        <v>6241.6</v>
      </c>
      <c r="Q29" s="8">
        <v>8206.9</v>
      </c>
      <c r="R29" s="8">
        <v>4773.3</v>
      </c>
      <c r="S29" s="8">
        <v>5889</v>
      </c>
      <c r="T29" s="8">
        <v>7764.5</v>
      </c>
      <c r="U29" s="8">
        <v>18577</v>
      </c>
      <c r="V29" s="8">
        <v>53544.4</v>
      </c>
      <c r="W29" s="8">
        <v>56878.3</v>
      </c>
      <c r="X29" s="8">
        <v>5136</v>
      </c>
      <c r="Y29" s="8">
        <v>5045.2</v>
      </c>
      <c r="Z29" s="15">
        <f t="shared" si="87"/>
        <v>67059.5</v>
      </c>
      <c r="AA29" s="8">
        <v>906.2</v>
      </c>
      <c r="AB29" s="13">
        <v>8070</v>
      </c>
      <c r="AC29" s="7">
        <f t="shared" si="1"/>
        <v>8976.2</v>
      </c>
      <c r="AD29" s="16">
        <v>203479</v>
      </c>
      <c r="AE29" s="17">
        <f t="shared" ref="AE29:AI29" si="138">IF(OR(C30=""),"",(C30-C29)*80)</f>
        <v>0</v>
      </c>
      <c r="AF29" s="17">
        <f t="shared" si="138"/>
        <v>2407.99999999988</v>
      </c>
      <c r="AG29" s="17">
        <f t="shared" si="138"/>
        <v>2952.00000000012</v>
      </c>
      <c r="AH29" s="17">
        <f t="shared" si="138"/>
        <v>467.999999999956</v>
      </c>
      <c r="AI29" s="17">
        <f t="shared" si="138"/>
        <v>2135.99999999977</v>
      </c>
      <c r="AJ29" s="17">
        <f t="shared" si="2"/>
        <v>7963.99999999972</v>
      </c>
      <c r="AK29" s="17">
        <f t="shared" ref="AK29:AN29" si="139">IF(OR(H30=""),"",(H30-H29)*80)</f>
        <v>0</v>
      </c>
      <c r="AL29" s="17">
        <f t="shared" si="139"/>
        <v>0</v>
      </c>
      <c r="AM29" s="17">
        <f t="shared" si="139"/>
        <v>0</v>
      </c>
      <c r="AN29" s="17">
        <f t="shared" si="139"/>
        <v>0</v>
      </c>
      <c r="AO29" s="17">
        <f t="shared" si="3"/>
        <v>0</v>
      </c>
      <c r="AP29" s="17">
        <f t="shared" ref="AP29:AS29" si="140">IF(OR(L30=""),"",(L30-L29)*100)</f>
        <v>2989.99999999942</v>
      </c>
      <c r="AQ29" s="17">
        <f t="shared" si="140"/>
        <v>0</v>
      </c>
      <c r="AR29" s="17">
        <f t="shared" si="140"/>
        <v>2960.00000000058</v>
      </c>
      <c r="AS29" s="17">
        <f t="shared" si="140"/>
        <v>2119.99999999971</v>
      </c>
      <c r="AT29" s="17">
        <f t="shared" si="4"/>
        <v>8069.99999999971</v>
      </c>
      <c r="AU29" s="17">
        <f t="shared" ref="AU29:AY29" si="141">IF(OR(P30=""),"",(P30-P29)*1000)</f>
        <v>3799.99999999927</v>
      </c>
      <c r="AV29" s="17">
        <f t="shared" si="141"/>
        <v>800.000000001091</v>
      </c>
      <c r="AW29" s="17">
        <f t="shared" si="141"/>
        <v>0</v>
      </c>
      <c r="AX29" s="17">
        <f t="shared" si="141"/>
        <v>0</v>
      </c>
      <c r="AY29" s="17">
        <f t="shared" si="141"/>
        <v>9000</v>
      </c>
      <c r="AZ29" s="17">
        <f t="shared" si="5"/>
        <v>13600.0000000004</v>
      </c>
      <c r="BA29" s="17">
        <f t="shared" si="6"/>
        <v>10599.9999999985</v>
      </c>
      <c r="BB29" s="17">
        <f t="shared" si="7"/>
        <v>1063.99999999965</v>
      </c>
      <c r="BC29" s="17">
        <f t="shared" si="20"/>
        <v>1432.00000000012</v>
      </c>
      <c r="BD29" s="17">
        <f t="shared" si="8"/>
        <v>9169.99999998879</v>
      </c>
      <c r="BE29" s="17">
        <f t="shared" si="9"/>
        <v>51899.9999999869</v>
      </c>
      <c r="BF29" s="17">
        <f t="shared" si="10"/>
        <v>51</v>
      </c>
      <c r="BG29" s="20">
        <f t="shared" si="11"/>
        <v>0.255063176052501</v>
      </c>
      <c r="BH29" s="20">
        <f t="shared" si="12"/>
        <v>0.0391391740671014</v>
      </c>
      <c r="BI29" s="20">
        <f t="shared" si="13"/>
        <v>0</v>
      </c>
      <c r="BJ29" s="20">
        <f t="shared" si="14"/>
        <v>0.0396601123457443</v>
      </c>
      <c r="BK29" s="20">
        <f t="shared" ref="BK29:BO29" si="142">IF(OR($AD29=0),"",AZ29/$AD29)</f>
        <v>0.0668373640523119</v>
      </c>
      <c r="BL29" s="20">
        <f t="shared" si="142"/>
        <v>0.0520938278642933</v>
      </c>
      <c r="BM29" s="20">
        <f t="shared" si="142"/>
        <v>0.00522904083467901</v>
      </c>
      <c r="BN29" s="20">
        <f t="shared" si="142"/>
        <v>0.00703758127374381</v>
      </c>
      <c r="BO29" s="20">
        <f t="shared" si="142"/>
        <v>0.0450660756146275</v>
      </c>
    </row>
    <row r="30" spans="1:67">
      <c r="A30" s="9">
        <f t="shared" si="15"/>
        <v>44313</v>
      </c>
      <c r="B30" s="10">
        <v>18079.69</v>
      </c>
      <c r="C30" s="8">
        <v>97501.9</v>
      </c>
      <c r="D30" s="8">
        <v>64630.7</v>
      </c>
      <c r="E30" s="8">
        <v>63131.3</v>
      </c>
      <c r="F30" s="8">
        <v>7995.73</v>
      </c>
      <c r="G30" s="8">
        <v>120002.4</v>
      </c>
      <c r="H30" s="8">
        <v>5709.7</v>
      </c>
      <c r="I30" s="8">
        <v>2566.3</v>
      </c>
      <c r="J30" s="8">
        <v>967</v>
      </c>
      <c r="K30" s="8">
        <v>56</v>
      </c>
      <c r="L30" s="8">
        <v>98059.4</v>
      </c>
      <c r="M30" s="8">
        <v>61529.4</v>
      </c>
      <c r="N30" s="8">
        <v>80154.3</v>
      </c>
      <c r="O30" s="8">
        <v>108872.8</v>
      </c>
      <c r="P30" s="8">
        <v>6245.4</v>
      </c>
      <c r="Q30" s="8">
        <v>8207.7</v>
      </c>
      <c r="R30" s="8">
        <v>4773.3</v>
      </c>
      <c r="S30" s="8">
        <v>5889</v>
      </c>
      <c r="T30" s="8">
        <v>7773.5</v>
      </c>
      <c r="U30" s="8">
        <v>18582.3</v>
      </c>
      <c r="V30" s="8">
        <v>53557.7</v>
      </c>
      <c r="W30" s="8">
        <v>56895</v>
      </c>
      <c r="X30" s="8">
        <v>5145.4</v>
      </c>
      <c r="Y30" s="8">
        <v>5054.9</v>
      </c>
      <c r="Z30" s="15">
        <f t="shared" si="87"/>
        <v>67095.3</v>
      </c>
      <c r="AA30" s="8">
        <v>951.2</v>
      </c>
      <c r="AB30" s="13">
        <v>8076</v>
      </c>
      <c r="AC30" s="7">
        <f t="shared" si="1"/>
        <v>9027.2</v>
      </c>
      <c r="AD30" s="16">
        <v>204210</v>
      </c>
      <c r="AE30" s="17">
        <f t="shared" ref="AE30:AI30" si="143">IF(OR(C31=""),"",(C31-C30)*80)</f>
        <v>0</v>
      </c>
      <c r="AF30" s="17">
        <f t="shared" si="143"/>
        <v>3080</v>
      </c>
      <c r="AG30" s="17">
        <f t="shared" si="143"/>
        <v>3200</v>
      </c>
      <c r="AH30" s="17">
        <f t="shared" si="143"/>
        <v>4.80000000003201</v>
      </c>
      <c r="AI30" s="17">
        <f t="shared" si="143"/>
        <v>2456.00000000093</v>
      </c>
      <c r="AJ30" s="17">
        <f t="shared" si="2"/>
        <v>8740.80000000096</v>
      </c>
      <c r="AK30" s="17">
        <f t="shared" ref="AK30:AN30" si="144">IF(OR(H31=""),"",(H31-H30)*80)</f>
        <v>0</v>
      </c>
      <c r="AL30" s="17">
        <f t="shared" si="144"/>
        <v>0</v>
      </c>
      <c r="AM30" s="17">
        <f t="shared" si="144"/>
        <v>0</v>
      </c>
      <c r="AN30" s="17">
        <f t="shared" si="144"/>
        <v>0</v>
      </c>
      <c r="AO30" s="17">
        <f t="shared" si="3"/>
        <v>0</v>
      </c>
      <c r="AP30" s="17">
        <f t="shared" ref="AP30:AS30" si="145">IF(OR(L31=""),"",(L31-L30)*100)</f>
        <v>2930.00000000029</v>
      </c>
      <c r="AQ30" s="17">
        <f t="shared" si="145"/>
        <v>0</v>
      </c>
      <c r="AR30" s="17">
        <f t="shared" si="145"/>
        <v>2989.99999999942</v>
      </c>
      <c r="AS30" s="17">
        <f t="shared" si="145"/>
        <v>2159.99999999913</v>
      </c>
      <c r="AT30" s="17">
        <f t="shared" si="4"/>
        <v>8079.99999999884</v>
      </c>
      <c r="AU30" s="17">
        <f t="shared" ref="AU30:AY30" si="146">IF(OR(P31=""),"",(P31-P30)*1000)</f>
        <v>800.000000000182</v>
      </c>
      <c r="AV30" s="17">
        <f t="shared" si="146"/>
        <v>1199.99999999891</v>
      </c>
      <c r="AW30" s="17">
        <f t="shared" si="146"/>
        <v>3800.00000000018</v>
      </c>
      <c r="AX30" s="17">
        <f t="shared" si="146"/>
        <v>0</v>
      </c>
      <c r="AY30" s="17">
        <f t="shared" si="146"/>
        <v>8899.99999999964</v>
      </c>
      <c r="AZ30" s="17">
        <f t="shared" si="5"/>
        <v>14699.9999999989</v>
      </c>
      <c r="BA30" s="17">
        <f t="shared" si="6"/>
        <v>11400.0000000015</v>
      </c>
      <c r="BB30" s="17">
        <f t="shared" si="7"/>
        <v>1064.00000000023</v>
      </c>
      <c r="BC30" s="17">
        <f t="shared" si="20"/>
        <v>1455.99999999977</v>
      </c>
      <c r="BD30" s="17">
        <f t="shared" si="8"/>
        <v>10859.20000001</v>
      </c>
      <c r="BE30" s="17">
        <f t="shared" si="9"/>
        <v>56300.0000000102</v>
      </c>
      <c r="BF30" s="17">
        <f t="shared" si="10"/>
        <v>49.7999999999993</v>
      </c>
      <c r="BG30" s="20">
        <f t="shared" si="11"/>
        <v>0.275696586846923</v>
      </c>
      <c r="BH30" s="20">
        <f t="shared" si="12"/>
        <v>0.0428029969149452</v>
      </c>
      <c r="BI30" s="20">
        <f t="shared" si="13"/>
        <v>0</v>
      </c>
      <c r="BJ30" s="20">
        <f t="shared" si="14"/>
        <v>0.0395671122863662</v>
      </c>
      <c r="BK30" s="20">
        <f t="shared" ref="BK30:BO30" si="147">IF(OR($AD30=0),"",AZ30/$AD30)</f>
        <v>0.0719847216101019</v>
      </c>
      <c r="BL30" s="20">
        <f t="shared" si="147"/>
        <v>0.0558248861466209</v>
      </c>
      <c r="BM30" s="20">
        <f t="shared" si="147"/>
        <v>0.00521032270701843</v>
      </c>
      <c r="BN30" s="20">
        <f t="shared" si="147"/>
        <v>0.00712991528328567</v>
      </c>
      <c r="BO30" s="20">
        <f t="shared" si="147"/>
        <v>0.0531766318985849</v>
      </c>
    </row>
    <row r="31" spans="1:67">
      <c r="A31" s="9">
        <f t="shared" si="15"/>
        <v>44314</v>
      </c>
      <c r="B31" s="10">
        <v>18085.32</v>
      </c>
      <c r="C31" s="8">
        <v>97501.9</v>
      </c>
      <c r="D31" s="8">
        <v>64669.2</v>
      </c>
      <c r="E31" s="8">
        <v>63171.3</v>
      </c>
      <c r="F31" s="8">
        <v>7995.79</v>
      </c>
      <c r="G31" s="8">
        <v>120033.1</v>
      </c>
      <c r="H31" s="8">
        <v>5709.7</v>
      </c>
      <c r="I31" s="8">
        <v>2566.3</v>
      </c>
      <c r="J31" s="8">
        <v>967</v>
      </c>
      <c r="K31" s="8">
        <v>56</v>
      </c>
      <c r="L31" s="8">
        <v>98088.7</v>
      </c>
      <c r="M31" s="8">
        <v>61529.4</v>
      </c>
      <c r="N31" s="8">
        <v>80184.2</v>
      </c>
      <c r="O31" s="8">
        <v>108894.4</v>
      </c>
      <c r="P31" s="8">
        <v>6246.2</v>
      </c>
      <c r="Q31" s="8">
        <v>8208.9</v>
      </c>
      <c r="R31" s="8">
        <v>4777.1</v>
      </c>
      <c r="S31" s="8">
        <v>5889</v>
      </c>
      <c r="T31" s="8">
        <v>7782.4</v>
      </c>
      <c r="U31" s="8">
        <v>18588</v>
      </c>
      <c r="V31" s="8">
        <v>53571</v>
      </c>
      <c r="W31" s="8">
        <v>56911.8</v>
      </c>
      <c r="X31" s="8">
        <v>5155</v>
      </c>
      <c r="Y31" s="8">
        <v>5064.9</v>
      </c>
      <c r="Z31" s="15">
        <f t="shared" si="87"/>
        <v>67131.7</v>
      </c>
      <c r="AA31" s="8">
        <v>996</v>
      </c>
      <c r="AB31" s="13">
        <v>8081</v>
      </c>
      <c r="AC31" s="7">
        <f t="shared" si="1"/>
        <v>9077</v>
      </c>
      <c r="AD31" s="16">
        <v>208107</v>
      </c>
      <c r="AE31" s="17">
        <f t="shared" ref="AE31:AI31" si="148">IF(OR(C32=""),"",(C32-C31)*80)</f>
        <v>8.00000000046566</v>
      </c>
      <c r="AF31" s="17">
        <f t="shared" si="148"/>
        <v>3032.00000000012</v>
      </c>
      <c r="AG31" s="17">
        <f t="shared" si="148"/>
        <v>3103.99999999965</v>
      </c>
      <c r="AH31" s="17">
        <f t="shared" si="148"/>
        <v>4.00000000001455</v>
      </c>
      <c r="AI31" s="17">
        <f t="shared" si="148"/>
        <v>2407.9999999993</v>
      </c>
      <c r="AJ31" s="17">
        <f t="shared" si="2"/>
        <v>8555.99999999955</v>
      </c>
      <c r="AK31" s="17">
        <f t="shared" ref="AK31:AN31" si="149">IF(OR(H32=""),"",(H32-H31)*80)</f>
        <v>0</v>
      </c>
      <c r="AL31" s="17">
        <f t="shared" si="149"/>
        <v>0</v>
      </c>
      <c r="AM31" s="17">
        <f t="shared" si="149"/>
        <v>0</v>
      </c>
      <c r="AN31" s="17">
        <f t="shared" si="149"/>
        <v>0</v>
      </c>
      <c r="AO31" s="17">
        <f t="shared" si="3"/>
        <v>0</v>
      </c>
      <c r="AP31" s="17">
        <f t="shared" ref="AP31:AS31" si="150">IF(OR(L32=""),"",(L32-L31)*100)</f>
        <v>3210.00000000058</v>
      </c>
      <c r="AQ31" s="17">
        <f t="shared" si="150"/>
        <v>0</v>
      </c>
      <c r="AR31" s="17">
        <f t="shared" si="150"/>
        <v>2969.99999999971</v>
      </c>
      <c r="AS31" s="17">
        <f t="shared" si="150"/>
        <v>2120.00000000116</v>
      </c>
      <c r="AT31" s="17">
        <f t="shared" si="4"/>
        <v>8300.00000000146</v>
      </c>
      <c r="AU31" s="17">
        <f t="shared" ref="AU31:AY31" si="151">IF(OR(P32=""),"",(P32-P31)*1000)</f>
        <v>0</v>
      </c>
      <c r="AV31" s="17">
        <f t="shared" si="151"/>
        <v>0</v>
      </c>
      <c r="AW31" s="17">
        <f t="shared" si="151"/>
        <v>4699.99999999982</v>
      </c>
      <c r="AX31" s="17">
        <f t="shared" si="151"/>
        <v>0</v>
      </c>
      <c r="AY31" s="17">
        <f t="shared" si="151"/>
        <v>8600.00000000036</v>
      </c>
      <c r="AZ31" s="17">
        <f t="shared" si="5"/>
        <v>13300.0000000002</v>
      </c>
      <c r="BA31" s="17">
        <f t="shared" si="6"/>
        <v>11199.9999999971</v>
      </c>
      <c r="BB31" s="17">
        <f t="shared" si="7"/>
        <v>904.000000000233</v>
      </c>
      <c r="BC31" s="17">
        <f t="shared" si="20"/>
        <v>1420.00000000058</v>
      </c>
      <c r="BD31" s="17">
        <f t="shared" si="8"/>
        <v>11020.0000000126</v>
      </c>
      <c r="BE31" s="17">
        <f t="shared" si="9"/>
        <v>54700.0000000116</v>
      </c>
      <c r="BF31" s="17">
        <f t="shared" si="10"/>
        <v>50.5</v>
      </c>
      <c r="BG31" s="20">
        <f t="shared" si="11"/>
        <v>0.262845555411455</v>
      </c>
      <c r="BH31" s="20">
        <f t="shared" si="12"/>
        <v>0.0411134656691007</v>
      </c>
      <c r="BI31" s="20">
        <f t="shared" si="13"/>
        <v>0</v>
      </c>
      <c r="BJ31" s="20">
        <f t="shared" si="14"/>
        <v>0.039883329248903</v>
      </c>
      <c r="BK31" s="20">
        <f t="shared" ref="BK31:BO31" si="152">IF(OR($AD31=0),"",AZ31/$AD31)</f>
        <v>0.0639094312060631</v>
      </c>
      <c r="BL31" s="20">
        <f t="shared" si="152"/>
        <v>0.0538184683840384</v>
      </c>
      <c r="BM31" s="20">
        <f t="shared" si="152"/>
        <v>0.00434391923385678</v>
      </c>
      <c r="BN31" s="20">
        <f t="shared" si="152"/>
        <v>0.00682341295583802</v>
      </c>
      <c r="BO31" s="20">
        <f t="shared" si="152"/>
        <v>0.0529535287136548</v>
      </c>
    </row>
    <row r="32" spans="1:67">
      <c r="A32" s="9">
        <f t="shared" si="15"/>
        <v>44315</v>
      </c>
      <c r="B32" s="10">
        <v>18090.79</v>
      </c>
      <c r="C32" s="8">
        <v>97502</v>
      </c>
      <c r="D32" s="8">
        <v>64707.1</v>
      </c>
      <c r="E32" s="8">
        <v>63210.1</v>
      </c>
      <c r="F32" s="8">
        <v>7995.84</v>
      </c>
      <c r="G32" s="8">
        <v>120063.2</v>
      </c>
      <c r="H32" s="8">
        <v>5709.7</v>
      </c>
      <c r="I32" s="8">
        <v>2566.3</v>
      </c>
      <c r="J32" s="8">
        <v>967</v>
      </c>
      <c r="K32" s="8">
        <v>56</v>
      </c>
      <c r="L32" s="8">
        <v>98120.8</v>
      </c>
      <c r="M32" s="8">
        <v>61529.4</v>
      </c>
      <c r="N32" s="8">
        <v>80213.9</v>
      </c>
      <c r="O32" s="8">
        <v>108915.6</v>
      </c>
      <c r="P32" s="8">
        <v>6246.2</v>
      </c>
      <c r="Q32" s="8">
        <v>8208.9</v>
      </c>
      <c r="R32" s="8">
        <v>4781.8</v>
      </c>
      <c r="S32" s="8">
        <v>5889</v>
      </c>
      <c r="T32" s="8">
        <v>7791</v>
      </c>
      <c r="U32" s="8">
        <v>18593.6</v>
      </c>
      <c r="V32" s="8">
        <v>53582.3</v>
      </c>
      <c r="W32" s="8">
        <v>56928.4</v>
      </c>
      <c r="X32" s="8">
        <v>5164.3</v>
      </c>
      <c r="Y32" s="8">
        <v>5074.5</v>
      </c>
      <c r="Z32" s="15">
        <f t="shared" si="87"/>
        <v>67167.2</v>
      </c>
      <c r="AA32" s="8">
        <v>1040.5</v>
      </c>
      <c r="AB32" s="13">
        <v>8087</v>
      </c>
      <c r="AC32" s="7">
        <f t="shared" si="1"/>
        <v>9127.5</v>
      </c>
      <c r="AD32" s="16">
        <v>207822</v>
      </c>
      <c r="AE32" s="17">
        <f t="shared" ref="AE32:AI32" si="153">IF(OR(C33=""),"",(C33-C32)*80)</f>
        <v>0</v>
      </c>
      <c r="AF32" s="17">
        <f t="shared" si="153"/>
        <v>2960</v>
      </c>
      <c r="AG32" s="17">
        <f t="shared" si="153"/>
        <v>2167.99999999988</v>
      </c>
      <c r="AH32" s="17">
        <f t="shared" si="153"/>
        <v>4.79999999995925</v>
      </c>
      <c r="AI32" s="17">
        <f t="shared" si="153"/>
        <v>2448.00000000047</v>
      </c>
      <c r="AJ32" s="17">
        <f t="shared" si="2"/>
        <v>7580.80000000031</v>
      </c>
      <c r="AK32" s="17">
        <f t="shared" ref="AK32:AN32" si="154">IF(OR(H33=""),"",(H33-H32)*80)</f>
        <v>0</v>
      </c>
      <c r="AL32" s="17">
        <f t="shared" si="154"/>
        <v>0</v>
      </c>
      <c r="AM32" s="17">
        <f t="shared" si="154"/>
        <v>0</v>
      </c>
      <c r="AN32" s="17">
        <f t="shared" si="154"/>
        <v>0</v>
      </c>
      <c r="AO32" s="17">
        <f t="shared" si="3"/>
        <v>0</v>
      </c>
      <c r="AP32" s="17">
        <f t="shared" ref="AP32:AS32" si="155">IF(OR(L33=""),"",(L33-L32)*100)</f>
        <v>3200</v>
      </c>
      <c r="AQ32" s="17">
        <f t="shared" si="155"/>
        <v>0</v>
      </c>
      <c r="AR32" s="17">
        <f t="shared" si="155"/>
        <v>2950</v>
      </c>
      <c r="AS32" s="17">
        <f t="shared" si="155"/>
        <v>2069.99999999971</v>
      </c>
      <c r="AT32" s="17">
        <f t="shared" si="4"/>
        <v>8219.99999999971</v>
      </c>
      <c r="AU32" s="17">
        <f t="shared" ref="AU32:AY32" si="156">IF(OR(P33=""),"",(P33-P32)*1000)</f>
        <v>3199.99999999982</v>
      </c>
      <c r="AV32" s="17">
        <f t="shared" si="156"/>
        <v>0</v>
      </c>
      <c r="AW32" s="17">
        <f t="shared" si="156"/>
        <v>0</v>
      </c>
      <c r="AX32" s="17">
        <f t="shared" si="156"/>
        <v>0</v>
      </c>
      <c r="AY32" s="17">
        <f t="shared" si="156"/>
        <v>3699.99999999982</v>
      </c>
      <c r="AZ32" s="17">
        <f t="shared" si="5"/>
        <v>6899.99999999964</v>
      </c>
      <c r="BA32" s="17">
        <f t="shared" si="6"/>
        <v>10400.0000000015</v>
      </c>
      <c r="BB32" s="17">
        <f t="shared" si="7"/>
        <v>1095.99999999977</v>
      </c>
      <c r="BC32" s="17">
        <f t="shared" si="20"/>
        <v>1387.9999999993</v>
      </c>
      <c r="BD32" s="17">
        <f t="shared" si="8"/>
        <v>12415.1999999925</v>
      </c>
      <c r="BE32" s="17">
        <f t="shared" si="9"/>
        <v>47999.9999999927</v>
      </c>
      <c r="BF32" s="17">
        <f t="shared" si="10"/>
        <v>47.2999999999993</v>
      </c>
      <c r="BG32" s="20">
        <f t="shared" si="11"/>
        <v>0.23096688512281</v>
      </c>
      <c r="BH32" s="20">
        <f t="shared" si="12"/>
        <v>0.0364773700570696</v>
      </c>
      <c r="BI32" s="20">
        <f t="shared" si="13"/>
        <v>0</v>
      </c>
      <c r="BJ32" s="20">
        <f t="shared" si="14"/>
        <v>0.0395530790772859</v>
      </c>
      <c r="BK32" s="20">
        <f t="shared" ref="BK32:BO32" si="157">IF(OR($AD32=0),"",AZ32/$AD32)</f>
        <v>0.0332014897364073</v>
      </c>
      <c r="BL32" s="20">
        <f t="shared" si="157"/>
        <v>0.0500428251099569</v>
      </c>
      <c r="BM32" s="20">
        <f t="shared" si="157"/>
        <v>0.00527374387697052</v>
      </c>
      <c r="BN32" s="20">
        <f t="shared" si="157"/>
        <v>0.00667879242813225</v>
      </c>
      <c r="BO32" s="20">
        <f t="shared" si="157"/>
        <v>0.0597395848369881</v>
      </c>
    </row>
    <row r="33" spans="1:67">
      <c r="A33" s="9">
        <f t="shared" si="15"/>
        <v>44316</v>
      </c>
      <c r="B33" s="10">
        <v>18095.59</v>
      </c>
      <c r="C33" s="8">
        <v>97502</v>
      </c>
      <c r="D33" s="8">
        <v>64744.1</v>
      </c>
      <c r="E33" s="8">
        <v>63237.2</v>
      </c>
      <c r="F33" s="8">
        <v>7995.9</v>
      </c>
      <c r="G33" s="8">
        <v>120093.8</v>
      </c>
      <c r="H33" s="8">
        <v>5709.7</v>
      </c>
      <c r="I33" s="8">
        <v>2566.3</v>
      </c>
      <c r="J33" s="8">
        <v>967</v>
      </c>
      <c r="K33" s="8">
        <v>56</v>
      </c>
      <c r="L33" s="8">
        <v>98152.8</v>
      </c>
      <c r="M33" s="8">
        <v>61529.4</v>
      </c>
      <c r="N33" s="8">
        <v>80243.4</v>
      </c>
      <c r="O33" s="8">
        <v>108936.3</v>
      </c>
      <c r="P33" s="8">
        <v>6249.4</v>
      </c>
      <c r="Q33" s="8">
        <v>8208.9</v>
      </c>
      <c r="R33" s="8">
        <v>4781.8</v>
      </c>
      <c r="S33" s="8">
        <v>5889</v>
      </c>
      <c r="T33" s="8">
        <v>7794.7</v>
      </c>
      <c r="U33" s="8">
        <v>18598.8</v>
      </c>
      <c r="V33" s="8">
        <v>53596</v>
      </c>
      <c r="W33" s="8">
        <v>56944.7</v>
      </c>
      <c r="X33" s="8">
        <v>5173.3</v>
      </c>
      <c r="Y33" s="8">
        <v>5083.9</v>
      </c>
      <c r="Z33" s="15">
        <f t="shared" si="87"/>
        <v>67201.9</v>
      </c>
      <c r="AA33" s="8">
        <v>1082.8</v>
      </c>
      <c r="AB33" s="13">
        <v>8092</v>
      </c>
      <c r="AC33" s="7">
        <f t="shared" si="1"/>
        <v>9174.8</v>
      </c>
      <c r="AD33" s="16">
        <v>207885</v>
      </c>
      <c r="AE33" s="17">
        <f t="shared" ref="AE33:AI33" si="158">IF(OR(C34=""),"",(C34-C33)*80)</f>
        <v>111.999999999534</v>
      </c>
      <c r="AF33" s="17">
        <f t="shared" si="158"/>
        <v>3000</v>
      </c>
      <c r="AG33" s="17">
        <f t="shared" si="158"/>
        <v>2760</v>
      </c>
      <c r="AH33" s="17">
        <f t="shared" si="158"/>
        <v>4.00000000001455</v>
      </c>
      <c r="AI33" s="17">
        <f t="shared" si="158"/>
        <v>2527.9999999993</v>
      </c>
      <c r="AJ33" s="17">
        <f t="shared" si="2"/>
        <v>8403.99999999885</v>
      </c>
      <c r="AK33" s="17">
        <f t="shared" ref="AK33:AN33" si="159">IF(OR(H34=""),"",(H34-H33)*80)</f>
        <v>0</v>
      </c>
      <c r="AL33" s="17">
        <f t="shared" si="159"/>
        <v>0</v>
      </c>
      <c r="AM33" s="17">
        <f t="shared" si="159"/>
        <v>0</v>
      </c>
      <c r="AN33" s="17">
        <f t="shared" si="159"/>
        <v>0</v>
      </c>
      <c r="AO33" s="17">
        <f t="shared" si="3"/>
        <v>0</v>
      </c>
      <c r="AP33" s="17">
        <f t="shared" ref="AP33:AS33" si="160">IF(OR(L34=""),"",(L34-L33)*100)</f>
        <v>3269.99999999971</v>
      </c>
      <c r="AQ33" s="17">
        <f t="shared" si="160"/>
        <v>0</v>
      </c>
      <c r="AR33" s="17">
        <f t="shared" si="160"/>
        <v>2950</v>
      </c>
      <c r="AS33" s="17">
        <f t="shared" si="160"/>
        <v>2069.99999999971</v>
      </c>
      <c r="AT33" s="17">
        <f t="shared" si="4"/>
        <v>8289.99999999942</v>
      </c>
      <c r="AU33" s="17">
        <f t="shared" ref="AU33:AY33" si="161">IF(OR(P34=""),"",(P34-P33)*1000)</f>
        <v>3700.00000000073</v>
      </c>
      <c r="AV33" s="17">
        <f t="shared" si="161"/>
        <v>10200.0000000007</v>
      </c>
      <c r="AW33" s="17">
        <f t="shared" si="161"/>
        <v>699.999999999818</v>
      </c>
      <c r="AX33" s="17">
        <f t="shared" si="161"/>
        <v>0</v>
      </c>
      <c r="AY33" s="17">
        <f t="shared" si="161"/>
        <v>1000</v>
      </c>
      <c r="AZ33" s="17">
        <f t="shared" si="5"/>
        <v>15600.0000000013</v>
      </c>
      <c r="BA33" s="17">
        <f t="shared" si="6"/>
        <v>11000</v>
      </c>
      <c r="BB33" s="17">
        <f t="shared" si="7"/>
        <v>1095.99999999977</v>
      </c>
      <c r="BC33" s="17">
        <f t="shared" si="20"/>
        <v>1396.00000000035</v>
      </c>
      <c r="BD33" s="17">
        <f t="shared" si="8"/>
        <v>4614.00000000907</v>
      </c>
      <c r="BE33" s="17">
        <f t="shared" si="9"/>
        <v>50400.0000000087</v>
      </c>
      <c r="BF33" s="17">
        <f t="shared" si="10"/>
        <v>49.6000000000004</v>
      </c>
      <c r="BG33" s="20">
        <f t="shared" si="11"/>
        <v>0.242441734612929</v>
      </c>
      <c r="BH33" s="20">
        <f t="shared" si="12"/>
        <v>0.0404261971763179</v>
      </c>
      <c r="BI33" s="20">
        <f t="shared" si="13"/>
        <v>0</v>
      </c>
      <c r="BJ33" s="20">
        <f t="shared" si="14"/>
        <v>0.0398778170623153</v>
      </c>
      <c r="BK33" s="20">
        <f t="shared" ref="BK33:BO33" si="162">IF(OR($AD33=0),"",AZ33/$AD33)</f>
        <v>0.0750414892849473</v>
      </c>
      <c r="BL33" s="20">
        <f t="shared" si="162"/>
        <v>0.052913870649638</v>
      </c>
      <c r="BM33" s="20">
        <f t="shared" si="162"/>
        <v>0.00527214565745372</v>
      </c>
      <c r="BN33" s="20">
        <f t="shared" si="162"/>
        <v>0.00671525122062847</v>
      </c>
      <c r="BO33" s="20">
        <f t="shared" si="162"/>
        <v>0.0221949635616282</v>
      </c>
    </row>
    <row r="34" spans="1:67">
      <c r="A34" s="9">
        <f t="shared" si="15"/>
        <v>44317</v>
      </c>
      <c r="B34" s="7">
        <v>18100.63</v>
      </c>
      <c r="C34" s="8">
        <v>97503.4</v>
      </c>
      <c r="D34" s="8">
        <v>64781.6</v>
      </c>
      <c r="E34" s="8">
        <v>63271.7</v>
      </c>
      <c r="F34" s="8">
        <v>7995.95</v>
      </c>
      <c r="G34" s="8">
        <v>120125.4</v>
      </c>
      <c r="H34" s="8">
        <v>5709.7</v>
      </c>
      <c r="I34" s="8">
        <v>2566.3</v>
      </c>
      <c r="J34" s="8">
        <v>967</v>
      </c>
      <c r="K34" s="8">
        <v>56</v>
      </c>
      <c r="L34" s="8">
        <v>98185.5</v>
      </c>
      <c r="M34" s="8">
        <v>61529.4</v>
      </c>
      <c r="N34" s="8">
        <v>80272.9</v>
      </c>
      <c r="O34" s="8">
        <v>108957</v>
      </c>
      <c r="P34" s="8">
        <v>6253.1</v>
      </c>
      <c r="Q34" s="8">
        <v>8219.1</v>
      </c>
      <c r="R34" s="8">
        <v>4782.5</v>
      </c>
      <c r="S34" s="8">
        <v>5889</v>
      </c>
      <c r="T34" s="8">
        <v>7795.7</v>
      </c>
      <c r="U34" s="8">
        <v>18604.3</v>
      </c>
      <c r="V34" s="8">
        <v>53609.7</v>
      </c>
      <c r="W34" s="8">
        <v>56961</v>
      </c>
      <c r="X34" s="8">
        <v>5182.4</v>
      </c>
      <c r="Y34" s="8">
        <v>5093.4</v>
      </c>
      <c r="Z34" s="15">
        <f t="shared" si="87"/>
        <v>67236.8</v>
      </c>
      <c r="AA34" s="8">
        <v>1127.4</v>
      </c>
      <c r="AB34" s="13">
        <v>8097</v>
      </c>
      <c r="AC34" s="7">
        <f t="shared" si="1"/>
        <v>9224.4</v>
      </c>
      <c r="AD34" s="16"/>
      <c r="AE34" s="17" t="str">
        <f t="shared" ref="AE34:AI34" si="163">IF(OR(C35=""),"",(C35-C34)*80)</f>
        <v/>
      </c>
      <c r="AF34" s="17" t="str">
        <f t="shared" si="163"/>
        <v/>
      </c>
      <c r="AG34" s="17" t="str">
        <f t="shared" si="163"/>
        <v/>
      </c>
      <c r="AH34" s="17" t="str">
        <f t="shared" si="163"/>
        <v/>
      </c>
      <c r="AI34" s="17" t="str">
        <f t="shared" si="163"/>
        <v/>
      </c>
      <c r="AJ34" s="17" t="str">
        <f t="shared" si="2"/>
        <v/>
      </c>
      <c r="AK34" s="17" t="str">
        <f t="shared" ref="AK34:AN34" si="164">IF(OR(H35=""),"",(H35-H34)*80)</f>
        <v/>
      </c>
      <c r="AL34" s="17" t="str">
        <f t="shared" si="164"/>
        <v/>
      </c>
      <c r="AM34" s="17" t="str">
        <f t="shared" si="164"/>
        <v/>
      </c>
      <c r="AN34" s="17" t="str">
        <f t="shared" si="164"/>
        <v/>
      </c>
      <c r="AO34" s="17" t="str">
        <f t="shared" si="3"/>
        <v/>
      </c>
      <c r="AP34" s="17" t="str">
        <f t="shared" ref="AP34:AS34" si="165">IF(OR(L35=""),"",(L35-L34)*100)</f>
        <v/>
      </c>
      <c r="AQ34" s="17" t="str">
        <f t="shared" si="165"/>
        <v/>
      </c>
      <c r="AR34" s="17" t="str">
        <f t="shared" si="165"/>
        <v/>
      </c>
      <c r="AS34" s="17" t="str">
        <f t="shared" si="165"/>
        <v/>
      </c>
      <c r="AT34" s="17" t="str">
        <f t="shared" si="4"/>
        <v/>
      </c>
      <c r="AU34" s="17" t="str">
        <f t="shared" ref="AU34:AY34" si="166">IF(OR(P35=""),"",(P35-P34)*1000)</f>
        <v/>
      </c>
      <c r="AV34" s="17" t="str">
        <f t="shared" si="166"/>
        <v/>
      </c>
      <c r="AW34" s="17" t="str">
        <f t="shared" si="166"/>
        <v/>
      </c>
      <c r="AX34" s="17" t="str">
        <f t="shared" si="166"/>
        <v/>
      </c>
      <c r="AY34" s="17" t="str">
        <f t="shared" si="166"/>
        <v/>
      </c>
      <c r="AZ34" s="17" t="str">
        <f t="shared" si="5"/>
        <v/>
      </c>
      <c r="BA34" s="17" t="str">
        <f t="shared" si="6"/>
        <v/>
      </c>
      <c r="BB34" s="17" t="str">
        <f t="shared" si="7"/>
        <v/>
      </c>
      <c r="BC34" s="17" t="str">
        <f t="shared" si="20"/>
        <v/>
      </c>
      <c r="BD34" s="17" t="str">
        <f t="shared" si="8"/>
        <v/>
      </c>
      <c r="BE34" s="17" t="str">
        <f t="shared" si="9"/>
        <v/>
      </c>
      <c r="BF34" s="17" t="str">
        <f t="shared" si="10"/>
        <v/>
      </c>
      <c r="BG34" s="20" t="str">
        <f t="shared" si="11"/>
        <v/>
      </c>
      <c r="BH34" s="20" t="str">
        <f t="shared" si="12"/>
        <v/>
      </c>
      <c r="BI34" s="20" t="str">
        <f t="shared" si="13"/>
        <v/>
      </c>
      <c r="BJ34" s="20" t="str">
        <f t="shared" si="14"/>
        <v/>
      </c>
      <c r="BK34" s="20" t="str">
        <f t="shared" ref="BK34:BO34" si="167">IF(OR($AD34=0),"",AZ34/$AD34)</f>
        <v/>
      </c>
      <c r="BL34" s="20" t="str">
        <f t="shared" si="167"/>
        <v/>
      </c>
      <c r="BM34" s="20" t="str">
        <f t="shared" si="167"/>
        <v/>
      </c>
      <c r="BN34" s="20" t="str">
        <f t="shared" si="167"/>
        <v/>
      </c>
      <c r="BO34" s="20" t="str">
        <f t="shared" si="167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5" t="str">
        <f t="shared" si="87"/>
        <v/>
      </c>
      <c r="AA35" s="11"/>
      <c r="BE35" s="21" t="s">
        <v>44</v>
      </c>
      <c r="BF35" s="21" t="s">
        <v>19</v>
      </c>
      <c r="BG35" s="22">
        <f>SUM(BE4:BE34)</f>
        <v>1697000.00000001</v>
      </c>
      <c r="BH35" s="22">
        <f>SUM(AJ4:AJ34)</f>
        <v>224215.999999999</v>
      </c>
      <c r="BI35" s="22">
        <f>SUM(AO4:AO34)</f>
        <v>0</v>
      </c>
      <c r="BJ35" s="22">
        <f>SUM(AT4:AT34)</f>
        <v>243349.999999999</v>
      </c>
      <c r="BK35" s="22">
        <f t="shared" ref="BK35:BO35" si="168">SUM(AZ4:AZ34)</f>
        <v>457500.000000001</v>
      </c>
      <c r="BL35" s="22">
        <f t="shared" si="168"/>
        <v>318400.000000001</v>
      </c>
      <c r="BM35" s="22">
        <f t="shared" si="168"/>
        <v>30903.9999999997</v>
      </c>
      <c r="BN35" s="22">
        <f t="shared" si="168"/>
        <v>46992.0000000001</v>
      </c>
      <c r="BO35" s="22">
        <f t="shared" si="168"/>
        <v>375638.000000007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6038813</v>
      </c>
      <c r="BF36" s="21" t="s">
        <v>21</v>
      </c>
      <c r="BG36" s="23">
        <f>IF(OR(BG35=0),"",ROUND(BG35/$BE$36,3))</f>
        <v>0.281</v>
      </c>
      <c r="BH36" s="23">
        <f t="shared" ref="BH36:BO36" si="169">IF(OR(BH35=0),"",ROUND(BH35/$BE$36,4))</f>
        <v>0.0371</v>
      </c>
      <c r="BI36" s="23" t="str">
        <f t="shared" si="169"/>
        <v/>
      </c>
      <c r="BJ36" s="23">
        <f t="shared" si="169"/>
        <v>0.0403</v>
      </c>
      <c r="BK36" s="23">
        <f t="shared" si="169"/>
        <v>0.0758</v>
      </c>
      <c r="BL36" s="23">
        <f t="shared" si="169"/>
        <v>0.0527</v>
      </c>
      <c r="BM36" s="23">
        <f t="shared" si="169"/>
        <v>0.0051</v>
      </c>
      <c r="BN36" s="23">
        <f t="shared" si="169"/>
        <v>0.0078</v>
      </c>
      <c r="BO36" s="23">
        <f t="shared" si="169"/>
        <v>0.0622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B10" activePane="bottomRight" state="frozen"/>
      <selection/>
      <selection pane="topRight"/>
      <selection pane="bottomLeft"/>
      <selection pane="bottomRight" activeCell="I39" sqref="I39"/>
    </sheetView>
  </sheetViews>
  <sheetFormatPr defaultColWidth="9" defaultRowHeight="14.25"/>
  <cols>
    <col min="1" max="1" width="7" style="1" customWidth="1"/>
    <col min="2" max="2" width="9.66666666666667" style="2" customWidth="1"/>
    <col min="3" max="3" width="8.21666666666667" style="3" customWidth="1"/>
    <col min="4" max="4" width="8.44166666666667" style="3" customWidth="1"/>
    <col min="5" max="5" width="8.21666666666667" style="3" customWidth="1"/>
    <col min="6" max="6" width="7.44166666666667" style="3" customWidth="1"/>
    <col min="7" max="7" width="9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8.21666666666667" style="3" customWidth="1"/>
    <col min="13" max="13" width="8.44166666666667" style="3" customWidth="1"/>
    <col min="14" max="14" width="8.66666666666667" style="3" customWidth="1"/>
    <col min="15" max="15" width="9" style="3" customWidth="1"/>
    <col min="16" max="20" width="6.66666666666667" style="3" customWidth="1"/>
    <col min="21" max="21" width="8.66666666666667" style="3" customWidth="1"/>
    <col min="22" max="22" width="7.88333333333333" style="3" customWidth="1"/>
    <col min="23" max="23" width="8.21666666666667" style="3" customWidth="1"/>
    <col min="24" max="24" width="7.44166666666667" style="3" customWidth="1"/>
    <col min="25" max="25" width="8.21666666666667" style="3" customWidth="1"/>
    <col min="26" max="26" width="10.2166666666667" style="3" customWidth="1"/>
    <col min="27" max="28" width="7.44166666666667" style="3" customWidth="1"/>
    <col min="29" max="29" width="9.33333333333333" style="3" customWidth="1"/>
    <col min="30" max="30" width="9.44166666666667" style="3" customWidth="1"/>
    <col min="31" max="31" width="4" style="1" customWidth="1"/>
    <col min="32" max="32" width="6.44166666666667" style="1" customWidth="1"/>
    <col min="33" max="33" width="6" style="1" customWidth="1"/>
    <col min="34" max="34" width="6.21666666666667" style="1" customWidth="1"/>
    <col min="35" max="35" width="5.44166666666667" style="1" customWidth="1"/>
    <col min="36" max="36" width="7.66666666666667" style="1" customWidth="1"/>
    <col min="37" max="40" width="4" style="1" customWidth="1"/>
    <col min="41" max="41" width="6.66666666666667" style="1" customWidth="1"/>
    <col min="42" max="42" width="5.88333333333333" style="1" customWidth="1"/>
    <col min="43" max="43" width="5.33333333333333" style="1" customWidth="1"/>
    <col min="44" max="44" width="6" style="1" customWidth="1"/>
    <col min="45" max="45" width="5.88333333333333" style="1" customWidth="1"/>
    <col min="46" max="46" width="6.66666666666667" style="1" customWidth="1"/>
    <col min="47" max="51" width="5.44166666666667" style="1" customWidth="1"/>
    <col min="52" max="55" width="6.66666666666667" style="1" customWidth="1"/>
    <col min="56" max="56" width="8.10833333333333" style="1" customWidth="1"/>
    <col min="57" max="57" width="7.44166666666667" style="1" customWidth="1"/>
    <col min="58" max="58" width="6.66666666666667" style="1" customWidth="1"/>
    <col min="59" max="59" width="7" style="1" customWidth="1"/>
    <col min="60" max="60" width="6.44166666666667" style="1" customWidth="1"/>
    <col min="61" max="61" width="7.775" style="1" customWidth="1"/>
    <col min="62" max="63" width="6.66666666666667" style="1" customWidth="1"/>
    <col min="64" max="64" width="7" style="1" customWidth="1"/>
    <col min="65" max="66" width="7.44166666666667" style="1" customWidth="1"/>
    <col min="67" max="67" width="7.21666666666667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v>44682</v>
      </c>
      <c r="B4" s="7">
        <v>18100.63</v>
      </c>
      <c r="C4" s="8">
        <v>97503.4</v>
      </c>
      <c r="D4" s="8">
        <v>64781.6</v>
      </c>
      <c r="E4" s="8">
        <v>63271.7</v>
      </c>
      <c r="F4" s="8">
        <v>7995.95</v>
      </c>
      <c r="G4" s="8">
        <v>120125.4</v>
      </c>
      <c r="H4" s="8">
        <v>5709.7</v>
      </c>
      <c r="I4" s="8">
        <v>2566.3</v>
      </c>
      <c r="J4" s="8">
        <v>967</v>
      </c>
      <c r="K4" s="8">
        <v>56</v>
      </c>
      <c r="L4" s="8">
        <v>98185.5</v>
      </c>
      <c r="M4" s="8">
        <v>61529.4</v>
      </c>
      <c r="N4" s="8">
        <v>80272.9</v>
      </c>
      <c r="O4" s="8">
        <v>108957</v>
      </c>
      <c r="P4" s="8">
        <v>6253.1</v>
      </c>
      <c r="Q4" s="8">
        <v>8219.1</v>
      </c>
      <c r="R4" s="8">
        <v>4782.5</v>
      </c>
      <c r="S4" s="8">
        <v>5889</v>
      </c>
      <c r="T4" s="8">
        <v>7795.7</v>
      </c>
      <c r="U4" s="8">
        <v>18604.3</v>
      </c>
      <c r="V4" s="8">
        <v>53609.7</v>
      </c>
      <c r="W4" s="8">
        <v>56961</v>
      </c>
      <c r="X4" s="8">
        <v>5182.4</v>
      </c>
      <c r="Y4" s="8">
        <v>5093.4</v>
      </c>
      <c r="Z4" s="15">
        <f t="shared" ref="Z4" si="0">IF(OR(W4=""),"",(W4+X4+Y4))</f>
        <v>67236.8</v>
      </c>
      <c r="AA4" s="8">
        <v>1127.4</v>
      </c>
      <c r="AB4" s="13">
        <v>8097</v>
      </c>
      <c r="AC4" s="7">
        <f t="shared" ref="AC4" si="1">IF(OR(AA4=""),"",(AA4+AB4))</f>
        <v>9224.4</v>
      </c>
      <c r="AD4" s="16">
        <v>207348</v>
      </c>
      <c r="AE4" s="17">
        <f t="shared" ref="AE4:AI4" si="2">IF(OR(C5=""),"",(C5-C4)*80)</f>
        <v>0</v>
      </c>
      <c r="AF4" s="17">
        <f t="shared" si="2"/>
        <v>280</v>
      </c>
      <c r="AG4" s="17">
        <f t="shared" si="2"/>
        <v>2336.00000000035</v>
      </c>
      <c r="AH4" s="17">
        <f t="shared" si="2"/>
        <v>2124.00000000001</v>
      </c>
      <c r="AI4" s="17">
        <f t="shared" si="2"/>
        <v>2240</v>
      </c>
      <c r="AJ4" s="17">
        <f t="shared" ref="AJ4" si="3">IF(OR(AE4="",AF4="",AG4=""),"",AE4+AF4+AG4+AH4+AI4)</f>
        <v>6980.00000000036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" si="5">IF(OR(AK4="",AL4=""),"",AK4+AL4+AM4+AN4)</f>
        <v>0</v>
      </c>
      <c r="AP4" s="17">
        <f t="shared" ref="AP4:AS4" si="6">IF(OR(L5=""),"",(L5-L4)*100)</f>
        <v>3100</v>
      </c>
      <c r="AQ4" s="17">
        <f t="shared" si="6"/>
        <v>0</v>
      </c>
      <c r="AR4" s="17">
        <f t="shared" si="6"/>
        <v>3030.00000000029</v>
      </c>
      <c r="AS4" s="17">
        <f t="shared" si="6"/>
        <v>2130.00000000029</v>
      </c>
      <c r="AT4" s="17">
        <f t="shared" ref="AT4" si="7">IF(OR(AP4="",AQ4=""),"",AP4+AQ4+AR4+AS4)</f>
        <v>8260.00000000058</v>
      </c>
      <c r="AU4" s="17">
        <f t="shared" ref="AU4:AY4" si="8">IF(OR(P5=""),"",(P5-P4)*1000)</f>
        <v>99.9999999994543</v>
      </c>
      <c r="AV4" s="17">
        <f t="shared" si="8"/>
        <v>600.000000000364</v>
      </c>
      <c r="AW4" s="17">
        <f t="shared" si="8"/>
        <v>4699.99999999982</v>
      </c>
      <c r="AX4" s="17">
        <f t="shared" si="8"/>
        <v>0</v>
      </c>
      <c r="AY4" s="17">
        <f t="shared" si="8"/>
        <v>8600.00000000036</v>
      </c>
      <c r="AZ4" s="17">
        <f t="shared" ref="AZ4" si="9">IF(OR(AU4="",AV4="",AW4=""),"",AU4+AV4+AW4+AX4+AY4)</f>
        <v>14000</v>
      </c>
      <c r="BA4" s="17">
        <f t="shared" ref="BA4" si="10">IF(OR(U5=""),"",(U5-U4)*2000)</f>
        <v>10800.0000000029</v>
      </c>
      <c r="BB4" s="17">
        <f t="shared" ref="BB4" si="11">IF(OR(V5=""),"",(V5-V4)*80)</f>
        <v>1008.00000000047</v>
      </c>
      <c r="BC4" s="17">
        <f t="shared" ref="BC4" si="12">IF(OR(Z5=""),"",(Z5-Z4)*40)</f>
        <v>1456.00000000035</v>
      </c>
      <c r="BD4" s="17">
        <f t="shared" ref="BD4" si="13">IF(OR(BE4="",BC4=""),"",BE4-BC4-BB4-BA4-AZ4-AT4-AO4-AJ4)</f>
        <v>11595.9999999939</v>
      </c>
      <c r="BE4" s="17">
        <f t="shared" ref="BE4" si="14">IF(OR(B5=""),"",(B5-B4)*10000)</f>
        <v>54099.9999999985</v>
      </c>
      <c r="BF4" s="17">
        <f t="shared" ref="BF4" si="15">IF(OR(AC5=""),"",AC5-AC4)</f>
        <v>51.7000000000007</v>
      </c>
      <c r="BG4" s="20">
        <f t="shared" ref="BG4" si="16">IF(OR($AD4=0),"",BE4/$AD4)</f>
        <v>0.260914018943991</v>
      </c>
      <c r="BH4" s="20">
        <f t="shared" ref="BH4" si="17">IF(OR($AD4=0),"",AJ4/$AD4)</f>
        <v>0.0336632135347356</v>
      </c>
      <c r="BI4" s="20">
        <f t="shared" ref="BI4" si="18">IF(OR($AD4=0),"",AO4/$AD4)</f>
        <v>0</v>
      </c>
      <c r="BJ4" s="20">
        <f t="shared" ref="BJ4" si="19">IF(OR($AD4=0),"",AT4/$AD4)</f>
        <v>0.0398364102860919</v>
      </c>
      <c r="BK4" s="20">
        <f t="shared" ref="BK4:BO4" si="20">IF(OR($AD4=0),"",AZ4/$AD4)</f>
        <v>0.0675193394679476</v>
      </c>
      <c r="BL4" s="20">
        <f t="shared" si="20"/>
        <v>0.0520863475895736</v>
      </c>
      <c r="BM4" s="20">
        <f t="shared" si="20"/>
        <v>0.00486139244169447</v>
      </c>
      <c r="BN4" s="20">
        <f t="shared" si="20"/>
        <v>0.00702201130466823</v>
      </c>
      <c r="BO4" s="20">
        <f t="shared" si="20"/>
        <v>0.0559253043192791</v>
      </c>
    </row>
    <row r="5" spans="1:67">
      <c r="A5" s="9">
        <f t="shared" ref="A5:A35" si="21">A4+1</f>
        <v>44683</v>
      </c>
      <c r="B5" s="10">
        <v>18106.04</v>
      </c>
      <c r="C5" s="8">
        <v>97503.4</v>
      </c>
      <c r="D5" s="8">
        <v>64785.1</v>
      </c>
      <c r="E5" s="8">
        <v>63300.9</v>
      </c>
      <c r="F5" s="8">
        <v>8022.5</v>
      </c>
      <c r="G5" s="8">
        <v>120153.4</v>
      </c>
      <c r="H5" s="8">
        <v>5709.7</v>
      </c>
      <c r="I5" s="8">
        <v>2566.3</v>
      </c>
      <c r="J5" s="8">
        <v>967</v>
      </c>
      <c r="K5" s="8">
        <v>56</v>
      </c>
      <c r="L5" s="8">
        <v>98216.5</v>
      </c>
      <c r="M5" s="8">
        <v>61529.4</v>
      </c>
      <c r="N5" s="8">
        <v>80303.2</v>
      </c>
      <c r="O5" s="8">
        <v>108978.3</v>
      </c>
      <c r="P5" s="8">
        <v>6253.2</v>
      </c>
      <c r="Q5" s="8">
        <v>8219.7</v>
      </c>
      <c r="R5" s="8">
        <v>4787.2</v>
      </c>
      <c r="S5" s="8">
        <v>5889</v>
      </c>
      <c r="T5" s="8">
        <v>7804.3</v>
      </c>
      <c r="U5" s="8">
        <v>18609.7</v>
      </c>
      <c r="V5" s="8">
        <v>53622.3</v>
      </c>
      <c r="W5" s="8">
        <v>56978.4</v>
      </c>
      <c r="X5" s="8">
        <v>5191.8</v>
      </c>
      <c r="Y5" s="8">
        <v>5103</v>
      </c>
      <c r="Z5" s="15">
        <f t="shared" ref="Z5:Z35" si="22">IF(OR(W5=""),"",(W5+X5+Y5))</f>
        <v>67273.2</v>
      </c>
      <c r="AA5" s="8">
        <v>1173.1</v>
      </c>
      <c r="AB5" s="13">
        <v>8103</v>
      </c>
      <c r="AC5" s="7">
        <f t="shared" ref="AC5:AC35" si="23">IF(OR(AA5=""),"",(AA5+AB5))</f>
        <v>9276.1</v>
      </c>
      <c r="AD5" s="16">
        <v>204756</v>
      </c>
      <c r="AE5" s="17">
        <f t="shared" ref="AE5:AI5" si="24">IF(OR(C6=""),"",(C6-C5)*80)</f>
        <v>0</v>
      </c>
      <c r="AF5" s="17">
        <f t="shared" si="24"/>
        <v>0</v>
      </c>
      <c r="AG5" s="17">
        <f t="shared" si="24"/>
        <v>3527.99999999988</v>
      </c>
      <c r="AH5" s="17">
        <f t="shared" si="24"/>
        <v>2591.99999999997</v>
      </c>
      <c r="AI5" s="17">
        <f t="shared" si="24"/>
        <v>2424.00000000023</v>
      </c>
      <c r="AJ5" s="17">
        <f t="shared" ref="AJ5:AJ34" si="25">IF(OR(AE5="",AF5="",AG5=""),"",AE5+AF5+AG5+AH5+AI5)</f>
        <v>8544.00000000009</v>
      </c>
      <c r="AK5" s="17">
        <f t="shared" ref="AK5:AN5" si="26">IF(OR(H6=""),"",(H6-H5)*80)</f>
        <v>0</v>
      </c>
      <c r="AL5" s="17">
        <f t="shared" si="26"/>
        <v>0</v>
      </c>
      <c r="AM5" s="17">
        <f t="shared" si="26"/>
        <v>0</v>
      </c>
      <c r="AN5" s="17">
        <f t="shared" si="26"/>
        <v>0</v>
      </c>
      <c r="AO5" s="17">
        <f t="shared" ref="AO5:AO34" si="27">IF(OR(AK5="",AL5=""),"",AK5+AL5+AM5+AN5)</f>
        <v>0</v>
      </c>
      <c r="AP5" s="17">
        <f t="shared" ref="AP5:AS5" si="28">IF(OR(L6=""),"",(L6-L5)*100)</f>
        <v>2980.00000000029</v>
      </c>
      <c r="AQ5" s="17">
        <f t="shared" si="28"/>
        <v>0</v>
      </c>
      <c r="AR5" s="17">
        <f t="shared" si="28"/>
        <v>3000</v>
      </c>
      <c r="AS5" s="17">
        <f t="shared" si="28"/>
        <v>2100</v>
      </c>
      <c r="AT5" s="17">
        <f t="shared" ref="AT5:AT34" si="29">IF(OR(AP5="",AQ5=""),"",AP5+AQ5+AR5+AS5)</f>
        <v>8080.00000000029</v>
      </c>
      <c r="AU5" s="17">
        <f t="shared" ref="AU5:AY5" si="30">IF(OR(P6=""),"",(P6-P5)*1000)</f>
        <v>2400.00000000055</v>
      </c>
      <c r="AV5" s="17">
        <f t="shared" si="30"/>
        <v>3899.99999999964</v>
      </c>
      <c r="AW5" s="17">
        <f t="shared" si="30"/>
        <v>1600.00000000036</v>
      </c>
      <c r="AX5" s="17">
        <f t="shared" si="30"/>
        <v>0</v>
      </c>
      <c r="AY5" s="17">
        <f t="shared" si="30"/>
        <v>8800.00000000018</v>
      </c>
      <c r="AZ5" s="17">
        <f t="shared" ref="AZ5:AZ34" si="31">IF(OR(AU5="",AV5="",AW5=""),"",AU5+AV5+AW5+AX5+AY5)</f>
        <v>16700.0000000007</v>
      </c>
      <c r="BA5" s="17">
        <f t="shared" ref="BA5:BA34" si="32">IF(OR(U6=""),"",(U6-U5)*2000)</f>
        <v>10799.9999999956</v>
      </c>
      <c r="BB5" s="17">
        <f t="shared" ref="BB5:BB34" si="33">IF(OR(V6=""),"",(V6-V5)*80)</f>
        <v>1095.99999999977</v>
      </c>
      <c r="BC5" s="17">
        <f t="shared" ref="BC5:BC34" si="34">IF(OR(Z6=""),"",(Z6-Z5)*40)</f>
        <v>1459.99999999942</v>
      </c>
      <c r="BD5" s="17">
        <f t="shared" ref="BD5:BD34" si="35">IF(OR(BE5="",BC5=""),"",BE5-BC5-BB5-BA5-AZ5-AT5-AO5-AJ5)</f>
        <v>9119.99999998516</v>
      </c>
      <c r="BE5" s="17">
        <f t="shared" ref="BE5:BE34" si="36">IF(OR(B6=""),"",(B6-B5)*10000)</f>
        <v>55799.9999999811</v>
      </c>
      <c r="BF5" s="17">
        <f t="shared" ref="BF5:BF34" si="37">IF(OR(AC6=""),"",AC6-AC5)</f>
        <v>50.8999999999996</v>
      </c>
      <c r="BG5" s="20">
        <f t="shared" ref="BG5:BG34" si="38">IF(OR($AD5=0),"",BE5/$AD5)</f>
        <v>0.272519486608359</v>
      </c>
      <c r="BH5" s="20">
        <f t="shared" ref="BH5:BH34" si="39">IF(OR($AD5=0),"",AJ5/$AD5)</f>
        <v>0.0417277149387568</v>
      </c>
      <c r="BI5" s="20">
        <f t="shared" ref="BI5:BI34" si="40">IF(OR($AD5=0),"",AO5/$AD5)</f>
        <v>0</v>
      </c>
      <c r="BJ5" s="20">
        <f t="shared" ref="BJ5:BJ34" si="41">IF(OR($AD5=0),"",AT5/$AD5)</f>
        <v>0.0394616030787879</v>
      </c>
      <c r="BK5" s="20">
        <f t="shared" ref="BK5:BO5" si="42">IF(OR($AD5=0),"",AZ5/$AD5)</f>
        <v>0.0815604915118518</v>
      </c>
      <c r="BL5" s="20">
        <f t="shared" si="42"/>
        <v>0.0527457070854853</v>
      </c>
      <c r="BM5" s="20">
        <f t="shared" si="42"/>
        <v>0.00535271249682435</v>
      </c>
      <c r="BN5" s="20">
        <f t="shared" si="42"/>
        <v>0.00713043818007491</v>
      </c>
      <c r="BO5" s="20">
        <f t="shared" si="42"/>
        <v>0.0445408193165776</v>
      </c>
    </row>
    <row r="6" spans="1:67">
      <c r="A6" s="9">
        <f t="shared" si="21"/>
        <v>44684</v>
      </c>
      <c r="B6" s="10">
        <v>18111.62</v>
      </c>
      <c r="C6" s="8">
        <v>97503.4</v>
      </c>
      <c r="D6" s="8">
        <v>64785.1</v>
      </c>
      <c r="E6" s="8">
        <v>63345</v>
      </c>
      <c r="F6" s="8">
        <v>8054.9</v>
      </c>
      <c r="G6" s="8">
        <v>120183.7</v>
      </c>
      <c r="H6" s="8">
        <v>5709.7</v>
      </c>
      <c r="I6" s="8">
        <v>2566.3</v>
      </c>
      <c r="J6" s="8">
        <v>967</v>
      </c>
      <c r="K6" s="8">
        <v>56</v>
      </c>
      <c r="L6" s="8">
        <v>98246.3</v>
      </c>
      <c r="M6" s="8">
        <v>61529.4</v>
      </c>
      <c r="N6" s="8">
        <v>80333.2</v>
      </c>
      <c r="O6" s="8">
        <v>108999.3</v>
      </c>
      <c r="P6" s="8">
        <v>6255.6</v>
      </c>
      <c r="Q6" s="8">
        <v>8223.6</v>
      </c>
      <c r="R6" s="8">
        <v>4788.8</v>
      </c>
      <c r="S6" s="8">
        <v>5889</v>
      </c>
      <c r="T6" s="8">
        <v>7813.1</v>
      </c>
      <c r="U6" s="8">
        <v>18615.1</v>
      </c>
      <c r="V6" s="8">
        <v>53636</v>
      </c>
      <c r="W6" s="8">
        <v>56995.6</v>
      </c>
      <c r="X6" s="8">
        <v>5201.4</v>
      </c>
      <c r="Y6" s="8">
        <v>5112.7</v>
      </c>
      <c r="Z6" s="15">
        <f t="shared" si="22"/>
        <v>67309.7</v>
      </c>
      <c r="AA6" s="8">
        <v>1219</v>
      </c>
      <c r="AB6" s="13">
        <v>8108</v>
      </c>
      <c r="AC6" s="7">
        <f t="shared" si="23"/>
        <v>9327</v>
      </c>
      <c r="AD6" s="16">
        <v>206237</v>
      </c>
      <c r="AE6" s="17">
        <f t="shared" ref="AE6:AI6" si="43">IF(OR(C7=""),"",(C7-C6)*80)</f>
        <v>0</v>
      </c>
      <c r="AF6" s="17">
        <f t="shared" si="43"/>
        <v>327.999999999884</v>
      </c>
      <c r="AG6" s="17">
        <f t="shared" si="43"/>
        <v>3007.99999999988</v>
      </c>
      <c r="AH6" s="17">
        <f t="shared" si="43"/>
        <v>2256.8</v>
      </c>
      <c r="AI6" s="17">
        <f t="shared" si="43"/>
        <v>2695.99999999977</v>
      </c>
      <c r="AJ6" s="17">
        <f t="shared" si="25"/>
        <v>8288.79999999954</v>
      </c>
      <c r="AK6" s="17">
        <f t="shared" ref="AK6:AN6" si="44">IF(OR(H7=""),"",(H7-H6)*80)</f>
        <v>0</v>
      </c>
      <c r="AL6" s="17">
        <f t="shared" si="44"/>
        <v>0</v>
      </c>
      <c r="AM6" s="17">
        <f t="shared" si="44"/>
        <v>0</v>
      </c>
      <c r="AN6" s="17">
        <f t="shared" si="44"/>
        <v>0</v>
      </c>
      <c r="AO6" s="17">
        <f t="shared" si="27"/>
        <v>0</v>
      </c>
      <c r="AP6" s="17">
        <f t="shared" ref="AP6:AS6" si="45">IF(OR(L7=""),"",(L7-L6)*100)</f>
        <v>3069.99999999971</v>
      </c>
      <c r="AQ6" s="17">
        <f t="shared" si="45"/>
        <v>0</v>
      </c>
      <c r="AR6" s="17">
        <f t="shared" si="45"/>
        <v>2930.00000000029</v>
      </c>
      <c r="AS6" s="17">
        <f t="shared" si="45"/>
        <v>2030.00000000029</v>
      </c>
      <c r="AT6" s="17">
        <f t="shared" si="29"/>
        <v>8030.00000000029</v>
      </c>
      <c r="AU6" s="17">
        <f t="shared" ref="AU6:AY6" si="46">IF(OR(P7=""),"",(P7-P6)*1000)</f>
        <v>2699.99999999982</v>
      </c>
      <c r="AV6" s="17">
        <f t="shared" si="46"/>
        <v>4000</v>
      </c>
      <c r="AW6" s="17">
        <f t="shared" si="46"/>
        <v>1099.99999999945</v>
      </c>
      <c r="AX6" s="17">
        <f t="shared" si="46"/>
        <v>0</v>
      </c>
      <c r="AY6" s="17">
        <f t="shared" si="46"/>
        <v>8599.99999999945</v>
      </c>
      <c r="AZ6" s="17">
        <f t="shared" si="31"/>
        <v>16399.9999999987</v>
      </c>
      <c r="BA6" s="17">
        <f t="shared" si="32"/>
        <v>10600.0000000058</v>
      </c>
      <c r="BB6" s="17">
        <f t="shared" si="33"/>
        <v>1075.99999999977</v>
      </c>
      <c r="BC6" s="17">
        <f t="shared" si="34"/>
        <v>1364.00000000023</v>
      </c>
      <c r="BD6" s="17">
        <f t="shared" si="35"/>
        <v>13241.2000000102</v>
      </c>
      <c r="BE6" s="17">
        <f t="shared" si="36"/>
        <v>59000.0000000146</v>
      </c>
      <c r="BF6" s="17">
        <f t="shared" si="37"/>
        <v>49.7000000000007</v>
      </c>
      <c r="BG6" s="20">
        <f t="shared" si="38"/>
        <v>0.2860786376839</v>
      </c>
      <c r="BH6" s="20">
        <f t="shared" si="39"/>
        <v>0.0401906544412474</v>
      </c>
      <c r="BI6" s="20">
        <f t="shared" si="40"/>
        <v>0</v>
      </c>
      <c r="BJ6" s="20">
        <f t="shared" si="41"/>
        <v>0.0389357874678176</v>
      </c>
      <c r="BK6" s="20">
        <f t="shared" ref="BK6:BO6" si="47">IF(OR($AD6=0),"",AZ6/$AD6)</f>
        <v>0.0795201636951601</v>
      </c>
      <c r="BL6" s="20">
        <f t="shared" si="47"/>
        <v>0.0513971789737332</v>
      </c>
      <c r="BM6" s="20">
        <f t="shared" si="47"/>
        <v>0.00521729854487685</v>
      </c>
      <c r="BN6" s="20">
        <f t="shared" si="47"/>
        <v>0.00661375020001374</v>
      </c>
      <c r="BO6" s="20">
        <f t="shared" si="47"/>
        <v>0.0642038043610515</v>
      </c>
    </row>
    <row r="7" spans="1:67">
      <c r="A7" s="9">
        <f t="shared" si="21"/>
        <v>44685</v>
      </c>
      <c r="B7" s="10">
        <v>18117.52</v>
      </c>
      <c r="C7" s="8">
        <v>97503.4</v>
      </c>
      <c r="D7" s="8">
        <v>64789.2</v>
      </c>
      <c r="E7" s="8">
        <v>63382.6</v>
      </c>
      <c r="F7" s="8">
        <v>8083.11</v>
      </c>
      <c r="G7" s="8">
        <v>120217.4</v>
      </c>
      <c r="H7" s="8">
        <v>5709.7</v>
      </c>
      <c r="I7" s="8">
        <v>2566.3</v>
      </c>
      <c r="J7" s="8">
        <v>967</v>
      </c>
      <c r="K7" s="8">
        <v>56</v>
      </c>
      <c r="L7" s="8">
        <v>98277</v>
      </c>
      <c r="M7" s="8">
        <v>61529.4</v>
      </c>
      <c r="N7" s="8">
        <v>80362.5</v>
      </c>
      <c r="O7" s="8">
        <v>109019.6</v>
      </c>
      <c r="P7" s="8">
        <v>6258.3</v>
      </c>
      <c r="Q7" s="8">
        <v>8227.6</v>
      </c>
      <c r="R7" s="8">
        <v>4789.9</v>
      </c>
      <c r="S7" s="8">
        <v>5889</v>
      </c>
      <c r="T7" s="8">
        <v>7821.7</v>
      </c>
      <c r="U7" s="8">
        <v>18620.4</v>
      </c>
      <c r="V7" s="8">
        <v>53649.45</v>
      </c>
      <c r="W7" s="8">
        <v>57011.8</v>
      </c>
      <c r="X7" s="8">
        <v>5210.2</v>
      </c>
      <c r="Y7" s="8">
        <v>5121.8</v>
      </c>
      <c r="Z7" s="15">
        <f t="shared" si="22"/>
        <v>67343.8</v>
      </c>
      <c r="AA7" s="8">
        <v>1262.7</v>
      </c>
      <c r="AB7" s="13">
        <v>8114</v>
      </c>
      <c r="AC7" s="7">
        <f t="shared" si="23"/>
        <v>9376.7</v>
      </c>
      <c r="AD7" s="16">
        <v>201304</v>
      </c>
      <c r="AE7" s="17">
        <f t="shared" ref="AE7:AI7" si="48">IF(OR(C8=""),"",(C8-C7)*80)</f>
        <v>0</v>
      </c>
      <c r="AF7" s="17">
        <f t="shared" si="48"/>
        <v>648.000000000466</v>
      </c>
      <c r="AG7" s="17">
        <f t="shared" si="48"/>
        <v>2776.00000000035</v>
      </c>
      <c r="AH7" s="17">
        <f t="shared" si="48"/>
        <v>1744.80000000003</v>
      </c>
      <c r="AI7" s="17">
        <f t="shared" si="48"/>
        <v>2352.0000000007</v>
      </c>
      <c r="AJ7" s="17">
        <f t="shared" si="25"/>
        <v>7520.80000000155</v>
      </c>
      <c r="AK7" s="17">
        <f t="shared" ref="AK7:AN7" si="49">IF(OR(H8=""),"",(H8-H7)*80)</f>
        <v>0</v>
      </c>
      <c r="AL7" s="17">
        <f t="shared" si="49"/>
        <v>0</v>
      </c>
      <c r="AM7" s="17">
        <f t="shared" si="49"/>
        <v>0</v>
      </c>
      <c r="AN7" s="17">
        <f t="shared" si="49"/>
        <v>0</v>
      </c>
      <c r="AO7" s="17">
        <f t="shared" si="27"/>
        <v>0</v>
      </c>
      <c r="AP7" s="17">
        <f t="shared" ref="AP7:AS7" si="50">IF(OR(L8=""),"",(L8-L7)*100)</f>
        <v>2960.00000000058</v>
      </c>
      <c r="AQ7" s="17">
        <f t="shared" si="50"/>
        <v>0</v>
      </c>
      <c r="AR7" s="17">
        <f t="shared" si="50"/>
        <v>2939.99999999942</v>
      </c>
      <c r="AS7" s="17">
        <f t="shared" si="50"/>
        <v>2039.99999999942</v>
      </c>
      <c r="AT7" s="17">
        <f t="shared" si="29"/>
        <v>7939.99999999942</v>
      </c>
      <c r="AU7" s="17">
        <f t="shared" ref="AU7:AY7" si="51">IF(OR(P8=""),"",(P8-P7)*1000)</f>
        <v>2300.00000000018</v>
      </c>
      <c r="AV7" s="17">
        <f t="shared" si="51"/>
        <v>5000</v>
      </c>
      <c r="AW7" s="17">
        <f t="shared" si="51"/>
        <v>1500</v>
      </c>
      <c r="AX7" s="17">
        <f t="shared" si="51"/>
        <v>0</v>
      </c>
      <c r="AY7" s="17">
        <f t="shared" si="51"/>
        <v>8800.00000000018</v>
      </c>
      <c r="AZ7" s="17">
        <f t="shared" si="31"/>
        <v>17600.0000000004</v>
      </c>
      <c r="BA7" s="17">
        <f t="shared" si="32"/>
        <v>10799.9999999956</v>
      </c>
      <c r="BB7" s="17">
        <f t="shared" si="33"/>
        <v>1044.00000000023</v>
      </c>
      <c r="BC7" s="17">
        <f t="shared" si="34"/>
        <v>1400</v>
      </c>
      <c r="BD7" s="17">
        <f t="shared" si="35"/>
        <v>10695.2000000101</v>
      </c>
      <c r="BE7" s="17">
        <f t="shared" si="36"/>
        <v>57000.0000000073</v>
      </c>
      <c r="BF7" s="17">
        <f t="shared" si="37"/>
        <v>51</v>
      </c>
      <c r="BG7" s="20">
        <f t="shared" si="38"/>
        <v>0.283153836982908</v>
      </c>
      <c r="BH7" s="20">
        <f t="shared" si="39"/>
        <v>0.0373604101259863</v>
      </c>
      <c r="BI7" s="20">
        <f t="shared" si="40"/>
        <v>0</v>
      </c>
      <c r="BJ7" s="20">
        <f t="shared" si="41"/>
        <v>0.0394428327305936</v>
      </c>
      <c r="BK7" s="20">
        <f t="shared" ref="BK7:BO7" si="52">IF(OR($AD7=0),"",AZ7/$AD7)</f>
        <v>0.0874299566824324</v>
      </c>
      <c r="BL7" s="20">
        <f t="shared" si="52"/>
        <v>0.0536502006914698</v>
      </c>
      <c r="BM7" s="20">
        <f t="shared" si="52"/>
        <v>0.00518618606684533</v>
      </c>
      <c r="BN7" s="20">
        <f t="shared" si="52"/>
        <v>0.00695465564519334</v>
      </c>
      <c r="BO7" s="20">
        <f t="shared" si="52"/>
        <v>0.0531295950403871</v>
      </c>
    </row>
    <row r="8" spans="1:67">
      <c r="A8" s="9">
        <f t="shared" si="21"/>
        <v>44686</v>
      </c>
      <c r="B8" s="10">
        <v>18123.22</v>
      </c>
      <c r="C8" s="8">
        <v>97503.4</v>
      </c>
      <c r="D8" s="8">
        <v>64797.3</v>
      </c>
      <c r="E8" s="8">
        <v>63417.3</v>
      </c>
      <c r="F8" s="8">
        <v>8104.92</v>
      </c>
      <c r="G8" s="8">
        <v>120246.8</v>
      </c>
      <c r="H8" s="8">
        <v>5709.7</v>
      </c>
      <c r="I8" s="8">
        <v>2566.3</v>
      </c>
      <c r="J8" s="8">
        <v>967</v>
      </c>
      <c r="K8" s="8">
        <v>56</v>
      </c>
      <c r="L8" s="8">
        <v>98306.6</v>
      </c>
      <c r="M8" s="8">
        <v>61529.4</v>
      </c>
      <c r="N8" s="8">
        <v>80391.9</v>
      </c>
      <c r="O8" s="8">
        <v>109040</v>
      </c>
      <c r="P8" s="8">
        <v>6260.6</v>
      </c>
      <c r="Q8" s="8">
        <v>8232.6</v>
      </c>
      <c r="R8" s="8">
        <v>4791.4</v>
      </c>
      <c r="S8" s="8">
        <v>5889</v>
      </c>
      <c r="T8" s="8">
        <v>7830.5</v>
      </c>
      <c r="U8" s="8">
        <v>18625.8</v>
      </c>
      <c r="V8" s="8">
        <v>53662.5</v>
      </c>
      <c r="W8" s="8">
        <v>57028.5</v>
      </c>
      <c r="X8" s="8">
        <v>5219.3</v>
      </c>
      <c r="Y8" s="8">
        <v>5131</v>
      </c>
      <c r="Z8" s="15">
        <f t="shared" si="22"/>
        <v>67378.8</v>
      </c>
      <c r="AA8" s="8">
        <v>1307.7</v>
      </c>
      <c r="AB8" s="13">
        <v>8120</v>
      </c>
      <c r="AC8" s="7">
        <f t="shared" si="23"/>
        <v>9427.7</v>
      </c>
      <c r="AD8" s="16">
        <v>202498</v>
      </c>
      <c r="AE8" s="17">
        <f t="shared" ref="AE8:AI8" si="53">IF(OR(C9=""),"",(C9-C8)*80)</f>
        <v>0</v>
      </c>
      <c r="AF8" s="17">
        <f t="shared" si="53"/>
        <v>135.999999999767</v>
      </c>
      <c r="AG8" s="17">
        <f t="shared" si="53"/>
        <v>3015.99999999977</v>
      </c>
      <c r="AH8" s="17">
        <f t="shared" si="53"/>
        <v>2255.19999999997</v>
      </c>
      <c r="AI8" s="17">
        <f t="shared" si="53"/>
        <v>2007.9999999993</v>
      </c>
      <c r="AJ8" s="17">
        <f t="shared" si="25"/>
        <v>7415.1999999988</v>
      </c>
      <c r="AK8" s="17">
        <f t="shared" ref="AK8:AN8" si="54">IF(OR(H9=""),"",(H9-H8)*80)</f>
        <v>0</v>
      </c>
      <c r="AL8" s="17">
        <f t="shared" si="54"/>
        <v>0</v>
      </c>
      <c r="AM8" s="17">
        <f t="shared" si="54"/>
        <v>0</v>
      </c>
      <c r="AN8" s="17">
        <f t="shared" si="54"/>
        <v>0</v>
      </c>
      <c r="AO8" s="17">
        <f t="shared" si="27"/>
        <v>0</v>
      </c>
      <c r="AP8" s="17">
        <f t="shared" ref="AP8:AS8" si="55">IF(OR(L9=""),"",(L9-L8)*100)</f>
        <v>3100</v>
      </c>
      <c r="AQ8" s="17">
        <f t="shared" si="55"/>
        <v>0</v>
      </c>
      <c r="AR8" s="17">
        <f t="shared" si="55"/>
        <v>2940.00000000087</v>
      </c>
      <c r="AS8" s="17">
        <f t="shared" si="55"/>
        <v>2030.00000000029</v>
      </c>
      <c r="AT8" s="17">
        <f t="shared" si="29"/>
        <v>8070.00000000116</v>
      </c>
      <c r="AU8" s="17">
        <f t="shared" ref="AU8:AY8" si="56">IF(OR(P9=""),"",(P9-P8)*1000)</f>
        <v>3599.99999999945</v>
      </c>
      <c r="AV8" s="17">
        <f t="shared" si="56"/>
        <v>6299.99999999927</v>
      </c>
      <c r="AW8" s="17">
        <f t="shared" si="56"/>
        <v>0</v>
      </c>
      <c r="AX8" s="17">
        <f t="shared" si="56"/>
        <v>0</v>
      </c>
      <c r="AY8" s="17">
        <f t="shared" si="56"/>
        <v>8600.00000000036</v>
      </c>
      <c r="AZ8" s="17">
        <f t="shared" si="31"/>
        <v>18499.9999999991</v>
      </c>
      <c r="BA8" s="17">
        <f t="shared" si="32"/>
        <v>11000</v>
      </c>
      <c r="BB8" s="17">
        <f t="shared" si="33"/>
        <v>1040</v>
      </c>
      <c r="BC8" s="17">
        <f t="shared" si="34"/>
        <v>1392.00000000012</v>
      </c>
      <c r="BD8" s="17">
        <f t="shared" si="35"/>
        <v>10082.8000000008</v>
      </c>
      <c r="BE8" s="17">
        <f t="shared" si="36"/>
        <v>57500</v>
      </c>
      <c r="BF8" s="17">
        <f t="shared" si="37"/>
        <v>48.2999999999993</v>
      </c>
      <c r="BG8" s="20">
        <f t="shared" si="38"/>
        <v>0.28395342176219</v>
      </c>
      <c r="BH8" s="20">
        <f t="shared" si="39"/>
        <v>0.0366186332704461</v>
      </c>
      <c r="BI8" s="20">
        <f t="shared" si="40"/>
        <v>0</v>
      </c>
      <c r="BJ8" s="20">
        <f t="shared" si="41"/>
        <v>0.0398522454542818</v>
      </c>
      <c r="BK8" s="20">
        <f t="shared" ref="BK8:BO8" si="57">IF(OR($AD8=0),"",AZ8/$AD8)</f>
        <v>0.0913589270017437</v>
      </c>
      <c r="BL8" s="20">
        <f t="shared" si="57"/>
        <v>0.0543215241632016</v>
      </c>
      <c r="BM8" s="20">
        <f t="shared" si="57"/>
        <v>0.00513585319361179</v>
      </c>
      <c r="BN8" s="20">
        <f t="shared" si="57"/>
        <v>0.00687414196683482</v>
      </c>
      <c r="BO8" s="20">
        <f t="shared" si="57"/>
        <v>0.0497920967120704</v>
      </c>
    </row>
    <row r="9" spans="1:67">
      <c r="A9" s="9">
        <f t="shared" si="21"/>
        <v>44687</v>
      </c>
      <c r="B9" s="10">
        <v>18128.97</v>
      </c>
      <c r="C9" s="8">
        <v>97503.4</v>
      </c>
      <c r="D9" s="8">
        <v>64799</v>
      </c>
      <c r="E9" s="8">
        <v>63455</v>
      </c>
      <c r="F9" s="8">
        <v>8133.11</v>
      </c>
      <c r="G9" s="8">
        <v>120271.9</v>
      </c>
      <c r="H9" s="8">
        <v>5709.7</v>
      </c>
      <c r="I9" s="8">
        <v>2566.3</v>
      </c>
      <c r="J9" s="8">
        <v>967</v>
      </c>
      <c r="K9" s="8">
        <v>56</v>
      </c>
      <c r="L9" s="8">
        <v>98337.6</v>
      </c>
      <c r="M9" s="8">
        <v>61529.4</v>
      </c>
      <c r="N9" s="8">
        <v>80421.3</v>
      </c>
      <c r="O9" s="8">
        <v>109060.3</v>
      </c>
      <c r="P9" s="8">
        <v>6264.2</v>
      </c>
      <c r="Q9" s="8">
        <v>8238.9</v>
      </c>
      <c r="R9" s="8">
        <v>4791.4</v>
      </c>
      <c r="S9" s="8">
        <v>5889</v>
      </c>
      <c r="T9" s="8">
        <v>7839.1</v>
      </c>
      <c r="U9" s="8">
        <v>18631.3</v>
      </c>
      <c r="V9" s="8">
        <v>53675.5</v>
      </c>
      <c r="W9" s="8">
        <v>57045.1</v>
      </c>
      <c r="X9" s="8">
        <v>5228.3</v>
      </c>
      <c r="Y9" s="8">
        <v>5140.2</v>
      </c>
      <c r="Z9" s="15">
        <f t="shared" si="22"/>
        <v>67413.6</v>
      </c>
      <c r="AA9" s="8">
        <v>1352</v>
      </c>
      <c r="AB9" s="13">
        <v>8124</v>
      </c>
      <c r="AC9" s="7">
        <f t="shared" si="23"/>
        <v>9476</v>
      </c>
      <c r="AD9" s="16">
        <v>206638</v>
      </c>
      <c r="AE9" s="17">
        <f t="shared" ref="AE9:AI9" si="58">IF(OR(C10=""),"",(C10-C9)*80)</f>
        <v>0</v>
      </c>
      <c r="AF9" s="17">
        <f t="shared" si="58"/>
        <v>0</v>
      </c>
      <c r="AG9" s="17">
        <f t="shared" si="58"/>
        <v>2760</v>
      </c>
      <c r="AH9" s="17">
        <f t="shared" si="58"/>
        <v>2452.00000000004</v>
      </c>
      <c r="AI9" s="17">
        <f t="shared" si="58"/>
        <v>2240</v>
      </c>
      <c r="AJ9" s="17">
        <f t="shared" si="25"/>
        <v>7452.00000000004</v>
      </c>
      <c r="AK9" s="17">
        <f t="shared" ref="AK9:AN9" si="59">IF(OR(H10=""),"",(H10-H9)*80)</f>
        <v>0</v>
      </c>
      <c r="AL9" s="17">
        <f t="shared" si="59"/>
        <v>0</v>
      </c>
      <c r="AM9" s="17">
        <f t="shared" si="59"/>
        <v>0</v>
      </c>
      <c r="AN9" s="17">
        <f t="shared" si="59"/>
        <v>0</v>
      </c>
      <c r="AO9" s="17">
        <f t="shared" si="27"/>
        <v>0</v>
      </c>
      <c r="AP9" s="17">
        <f t="shared" ref="AP9:AS9" si="60">IF(OR(L10=""),"",(L10-L9)*100)</f>
        <v>3059.99999999913</v>
      </c>
      <c r="AQ9" s="17">
        <f t="shared" si="60"/>
        <v>9.99999999985448</v>
      </c>
      <c r="AR9" s="17">
        <f t="shared" si="60"/>
        <v>2969.99999999971</v>
      </c>
      <c r="AS9" s="17">
        <f t="shared" si="60"/>
        <v>2030.00000000029</v>
      </c>
      <c r="AT9" s="17">
        <f t="shared" si="29"/>
        <v>8069.99999999898</v>
      </c>
      <c r="AU9" s="17">
        <f t="shared" ref="AU9:AY9" si="61">IF(OR(P10=""),"",(P10-P9)*1000)</f>
        <v>2699.99999999982</v>
      </c>
      <c r="AV9" s="17">
        <f t="shared" si="61"/>
        <v>5100.00000000036</v>
      </c>
      <c r="AW9" s="17">
        <f t="shared" si="61"/>
        <v>0</v>
      </c>
      <c r="AX9" s="17">
        <f t="shared" si="61"/>
        <v>1500</v>
      </c>
      <c r="AY9" s="17">
        <f t="shared" si="61"/>
        <v>8899.99999999964</v>
      </c>
      <c r="AZ9" s="17">
        <f t="shared" si="31"/>
        <v>18199.9999999998</v>
      </c>
      <c r="BA9" s="17">
        <f t="shared" si="32"/>
        <v>10000</v>
      </c>
      <c r="BB9" s="17">
        <f t="shared" si="33"/>
        <v>1007.99999999988</v>
      </c>
      <c r="BC9" s="17">
        <f t="shared" si="34"/>
        <v>1375.99999999977</v>
      </c>
      <c r="BD9" s="17">
        <f t="shared" si="35"/>
        <v>10993.9999999928</v>
      </c>
      <c r="BE9" s="17">
        <f t="shared" si="36"/>
        <v>57099.9999999913</v>
      </c>
      <c r="BF9" s="17">
        <f t="shared" si="37"/>
        <v>50.3999999999996</v>
      </c>
      <c r="BG9" s="20">
        <f t="shared" si="38"/>
        <v>0.276328652038789</v>
      </c>
      <c r="BH9" s="20">
        <f t="shared" si="39"/>
        <v>0.0360630668124936</v>
      </c>
      <c r="BI9" s="20">
        <f t="shared" si="40"/>
        <v>0</v>
      </c>
      <c r="BJ9" s="20">
        <f t="shared" si="41"/>
        <v>0.039053804237357</v>
      </c>
      <c r="BK9" s="20">
        <f t="shared" ref="BK9:BO9" si="62">IF(OR($AD9=0),"",AZ9/$AD9)</f>
        <v>0.0880767332242851</v>
      </c>
      <c r="BL9" s="20">
        <f t="shared" si="62"/>
        <v>0.0483938094638934</v>
      </c>
      <c r="BM9" s="20">
        <f t="shared" si="62"/>
        <v>0.00487809599395989</v>
      </c>
      <c r="BN9" s="20">
        <f t="shared" si="62"/>
        <v>0.0066589881822306</v>
      </c>
      <c r="BO9" s="20">
        <f t="shared" si="62"/>
        <v>0.0532041541245694</v>
      </c>
    </row>
    <row r="10" spans="1:67">
      <c r="A10" s="9">
        <f t="shared" si="21"/>
        <v>44688</v>
      </c>
      <c r="B10" s="10">
        <v>18134.68</v>
      </c>
      <c r="C10" s="8">
        <v>97503.4</v>
      </c>
      <c r="D10" s="8">
        <v>64799</v>
      </c>
      <c r="E10" s="8">
        <v>63489.5</v>
      </c>
      <c r="F10" s="8">
        <v>8163.76</v>
      </c>
      <c r="G10" s="8">
        <v>120299.9</v>
      </c>
      <c r="H10" s="8">
        <v>5709.7</v>
      </c>
      <c r="I10" s="8">
        <v>2566.3</v>
      </c>
      <c r="J10" s="8">
        <v>967</v>
      </c>
      <c r="K10" s="8">
        <v>56</v>
      </c>
      <c r="L10" s="8">
        <v>98368.2</v>
      </c>
      <c r="M10" s="8">
        <v>61529.5</v>
      </c>
      <c r="N10" s="8">
        <v>80451</v>
      </c>
      <c r="O10" s="8">
        <v>109080.6</v>
      </c>
      <c r="P10" s="8">
        <v>6266.9</v>
      </c>
      <c r="Q10" s="8">
        <v>8244</v>
      </c>
      <c r="R10" s="8">
        <v>4791.4</v>
      </c>
      <c r="S10" s="8">
        <v>5890.5</v>
      </c>
      <c r="T10" s="8">
        <v>7848</v>
      </c>
      <c r="U10" s="8">
        <v>18636.3</v>
      </c>
      <c r="V10" s="8">
        <v>53688.1</v>
      </c>
      <c r="W10" s="8">
        <v>57061.6</v>
      </c>
      <c r="X10" s="8">
        <v>5237.3</v>
      </c>
      <c r="Y10" s="8">
        <v>5149.1</v>
      </c>
      <c r="Z10" s="15">
        <f t="shared" si="22"/>
        <v>67448</v>
      </c>
      <c r="AA10" s="8">
        <v>1396.4</v>
      </c>
      <c r="AB10" s="13">
        <v>8130</v>
      </c>
      <c r="AC10" s="7">
        <f t="shared" si="23"/>
        <v>9526.4</v>
      </c>
      <c r="AD10" s="16">
        <v>206739</v>
      </c>
      <c r="AE10" s="17">
        <f t="shared" ref="AE10:AI10" si="63">IF(OR(C11=""),"",(C11-C10)*80)</f>
        <v>0</v>
      </c>
      <c r="AF10" s="17">
        <f t="shared" si="63"/>
        <v>0</v>
      </c>
      <c r="AG10" s="17">
        <f t="shared" si="63"/>
        <v>2312.00000000012</v>
      </c>
      <c r="AH10" s="17">
        <f t="shared" si="63"/>
        <v>2460.80000000002</v>
      </c>
      <c r="AI10" s="17">
        <f t="shared" si="63"/>
        <v>2600</v>
      </c>
      <c r="AJ10" s="17">
        <f t="shared" si="25"/>
        <v>7372.80000000013</v>
      </c>
      <c r="AK10" s="17">
        <f t="shared" ref="AK10:AN10" si="64">IF(OR(H11=""),"",(H11-H10)*80)</f>
        <v>0</v>
      </c>
      <c r="AL10" s="17">
        <f t="shared" si="64"/>
        <v>0</v>
      </c>
      <c r="AM10" s="17">
        <f t="shared" si="64"/>
        <v>0</v>
      </c>
      <c r="AN10" s="17">
        <f t="shared" si="64"/>
        <v>0</v>
      </c>
      <c r="AO10" s="17">
        <f t="shared" si="27"/>
        <v>0</v>
      </c>
      <c r="AP10" s="17">
        <f t="shared" ref="AP10:AS10" si="65">IF(OR(L11=""),"",(L11-L10)*100)</f>
        <v>3160.00000000058</v>
      </c>
      <c r="AQ10" s="17">
        <f t="shared" si="65"/>
        <v>0</v>
      </c>
      <c r="AR10" s="17">
        <f t="shared" si="65"/>
        <v>2980.00000000029</v>
      </c>
      <c r="AS10" s="17">
        <f t="shared" si="65"/>
        <v>2029.99999999884</v>
      </c>
      <c r="AT10" s="17">
        <f t="shared" si="29"/>
        <v>8169.99999999971</v>
      </c>
      <c r="AU10" s="17">
        <f t="shared" ref="AU10:AY10" si="66">IF(OR(P11=""),"",(P11-P10)*1000)</f>
        <v>200.000000000728</v>
      </c>
      <c r="AV10" s="17">
        <f t="shared" si="66"/>
        <v>1100.00000000036</v>
      </c>
      <c r="AW10" s="17">
        <f t="shared" si="66"/>
        <v>0</v>
      </c>
      <c r="AX10" s="17">
        <f t="shared" si="66"/>
        <v>4800.00000000018</v>
      </c>
      <c r="AY10" s="17">
        <f t="shared" si="66"/>
        <v>9000</v>
      </c>
      <c r="AZ10" s="17">
        <f t="shared" si="31"/>
        <v>15100.0000000013</v>
      </c>
      <c r="BA10" s="17">
        <f t="shared" si="32"/>
        <v>10599.9999999985</v>
      </c>
      <c r="BB10" s="17">
        <f t="shared" si="33"/>
        <v>1007.99999999988</v>
      </c>
      <c r="BC10" s="17">
        <f t="shared" si="34"/>
        <v>1364.00000000023</v>
      </c>
      <c r="BD10" s="17">
        <f t="shared" si="35"/>
        <v>11885.1999999929</v>
      </c>
      <c r="BE10" s="17">
        <f t="shared" si="36"/>
        <v>55499.9999999927</v>
      </c>
      <c r="BF10" s="17">
        <f t="shared" si="37"/>
        <v>46.6000000000004</v>
      </c>
      <c r="BG10" s="20">
        <f t="shared" si="38"/>
        <v>0.268454428046923</v>
      </c>
      <c r="BH10" s="20">
        <f t="shared" si="39"/>
        <v>0.0356623568847684</v>
      </c>
      <c r="BI10" s="20">
        <f t="shared" si="40"/>
        <v>0</v>
      </c>
      <c r="BJ10" s="20">
        <f t="shared" si="41"/>
        <v>0.0395184266151994</v>
      </c>
      <c r="BK10" s="20">
        <f t="shared" ref="BK10:BO10" si="67">IF(OR($AD10=0),"",AZ10/$AD10)</f>
        <v>0.0730389524956649</v>
      </c>
      <c r="BL10" s="20">
        <f t="shared" si="67"/>
        <v>0.0512723772486011</v>
      </c>
      <c r="BM10" s="20">
        <f t="shared" si="67"/>
        <v>0.00487571285533878</v>
      </c>
      <c r="BN10" s="20">
        <f t="shared" si="67"/>
        <v>0.00659769080821825</v>
      </c>
      <c r="BO10" s="20">
        <f t="shared" si="67"/>
        <v>0.0574889111391317</v>
      </c>
    </row>
    <row r="11" spans="1:67">
      <c r="A11" s="9">
        <f t="shared" si="21"/>
        <v>44689</v>
      </c>
      <c r="B11" s="10">
        <v>18140.23</v>
      </c>
      <c r="C11" s="8">
        <v>97503.4</v>
      </c>
      <c r="D11" s="8">
        <v>64799</v>
      </c>
      <c r="E11" s="8">
        <v>63518.4</v>
      </c>
      <c r="F11" s="8">
        <v>8194.52</v>
      </c>
      <c r="G11" s="8">
        <v>120332.4</v>
      </c>
      <c r="H11" s="8">
        <v>5709.7</v>
      </c>
      <c r="I11" s="8">
        <v>2566.3</v>
      </c>
      <c r="J11" s="8">
        <v>967</v>
      </c>
      <c r="K11" s="8">
        <v>56</v>
      </c>
      <c r="L11" s="8">
        <v>98399.8</v>
      </c>
      <c r="M11" s="8">
        <v>61529.5</v>
      </c>
      <c r="N11" s="8">
        <v>80480.8</v>
      </c>
      <c r="O11" s="8">
        <v>109100.9</v>
      </c>
      <c r="P11" s="8">
        <v>6267.1</v>
      </c>
      <c r="Q11" s="8">
        <v>8245.1</v>
      </c>
      <c r="R11" s="8">
        <v>4791.4</v>
      </c>
      <c r="S11" s="8">
        <v>5895.3</v>
      </c>
      <c r="T11" s="8">
        <v>7857</v>
      </c>
      <c r="U11" s="8">
        <v>18641.6</v>
      </c>
      <c r="V11" s="8">
        <v>53700.7</v>
      </c>
      <c r="W11" s="8">
        <v>57078.4</v>
      </c>
      <c r="X11" s="8">
        <v>5245.9</v>
      </c>
      <c r="Y11" s="8">
        <v>5157.8</v>
      </c>
      <c r="Z11" s="15">
        <f t="shared" si="22"/>
        <v>67482.1</v>
      </c>
      <c r="AA11" s="8">
        <v>1438</v>
      </c>
      <c r="AB11" s="13">
        <v>8135</v>
      </c>
      <c r="AC11" s="7">
        <f t="shared" si="23"/>
        <v>9573</v>
      </c>
      <c r="AD11" s="16">
        <v>205141</v>
      </c>
      <c r="AE11" s="17">
        <f t="shared" ref="AE11:AI11" si="68">IF(OR(C12=""),"",(C12-C11)*80)</f>
        <v>0</v>
      </c>
      <c r="AF11" s="17">
        <f t="shared" si="68"/>
        <v>120</v>
      </c>
      <c r="AG11" s="17">
        <f t="shared" si="68"/>
        <v>2800</v>
      </c>
      <c r="AH11" s="17">
        <f t="shared" si="68"/>
        <v>2416.79999999993</v>
      </c>
      <c r="AI11" s="17">
        <f t="shared" si="68"/>
        <v>2568.00000000047</v>
      </c>
      <c r="AJ11" s="17">
        <f t="shared" si="25"/>
        <v>7904.8000000004</v>
      </c>
      <c r="AK11" s="17">
        <f t="shared" ref="AK11:AN11" si="69">IF(OR(H12=""),"",(H12-H11)*80)</f>
        <v>0</v>
      </c>
      <c r="AL11" s="17">
        <f t="shared" si="69"/>
        <v>0</v>
      </c>
      <c r="AM11" s="17">
        <f t="shared" si="69"/>
        <v>0</v>
      </c>
      <c r="AN11" s="17">
        <f t="shared" si="69"/>
        <v>0</v>
      </c>
      <c r="AO11" s="17">
        <f t="shared" si="27"/>
        <v>0</v>
      </c>
      <c r="AP11" s="17">
        <f t="shared" ref="AP11:AS11" si="70">IF(OR(L12=""),"",(L12-L11)*100)</f>
        <v>3109.99999999913</v>
      </c>
      <c r="AQ11" s="17">
        <f t="shared" si="70"/>
        <v>0</v>
      </c>
      <c r="AR11" s="17">
        <f t="shared" si="70"/>
        <v>2100</v>
      </c>
      <c r="AS11" s="17">
        <f t="shared" si="70"/>
        <v>2030.00000000029</v>
      </c>
      <c r="AT11" s="17">
        <f t="shared" si="29"/>
        <v>7239.99999999942</v>
      </c>
      <c r="AU11" s="17">
        <f t="shared" ref="AU11:AY11" si="71">IF(OR(P12=""),"",(P12-P11)*1000)</f>
        <v>0</v>
      </c>
      <c r="AV11" s="17">
        <f t="shared" si="71"/>
        <v>2100.00000000036</v>
      </c>
      <c r="AW11" s="17">
        <f t="shared" si="71"/>
        <v>0</v>
      </c>
      <c r="AX11" s="17">
        <f t="shared" si="71"/>
        <v>5300.00000000018</v>
      </c>
      <c r="AY11" s="17">
        <f t="shared" si="71"/>
        <v>9000</v>
      </c>
      <c r="AZ11" s="17">
        <f t="shared" si="31"/>
        <v>16400.0000000005</v>
      </c>
      <c r="BA11" s="17">
        <f t="shared" si="32"/>
        <v>10800.0000000029</v>
      </c>
      <c r="BB11" s="17">
        <f t="shared" si="33"/>
        <v>1040</v>
      </c>
      <c r="BC11" s="17">
        <f t="shared" si="34"/>
        <v>1371.99999999953</v>
      </c>
      <c r="BD11" s="17">
        <f t="shared" si="35"/>
        <v>12443.2000000088</v>
      </c>
      <c r="BE11" s="17">
        <f t="shared" si="36"/>
        <v>57200.0000000116</v>
      </c>
      <c r="BF11" s="17">
        <f t="shared" si="37"/>
        <v>57.6000000000004</v>
      </c>
      <c r="BG11" s="20">
        <f t="shared" si="38"/>
        <v>0.278832607816144</v>
      </c>
      <c r="BH11" s="20">
        <f t="shared" si="39"/>
        <v>0.0385334964731594</v>
      </c>
      <c r="BI11" s="20">
        <f t="shared" si="40"/>
        <v>0</v>
      </c>
      <c r="BJ11" s="20">
        <f t="shared" si="41"/>
        <v>0.0352927986116838</v>
      </c>
      <c r="BK11" s="20">
        <f t="shared" ref="BK11:BO11" si="72">IF(OR($AD11=0),"",AZ11/$AD11)</f>
        <v>0.07994501342979</v>
      </c>
      <c r="BL11" s="20">
        <f t="shared" si="72"/>
        <v>0.0526467161610936</v>
      </c>
      <c r="BM11" s="20">
        <f t="shared" si="72"/>
        <v>0.00506968377847432</v>
      </c>
      <c r="BN11" s="20">
        <f t="shared" si="72"/>
        <v>0.00668808283083116</v>
      </c>
      <c r="BO11" s="20">
        <f t="shared" si="72"/>
        <v>0.060656816531112</v>
      </c>
    </row>
    <row r="12" spans="1:67">
      <c r="A12" s="9">
        <f t="shared" si="21"/>
        <v>44690</v>
      </c>
      <c r="B12" s="10">
        <v>18145.95</v>
      </c>
      <c r="C12" s="8">
        <v>97503.4</v>
      </c>
      <c r="D12" s="8">
        <v>64800.5</v>
      </c>
      <c r="E12" s="8">
        <v>63553.4</v>
      </c>
      <c r="F12" s="8">
        <v>8224.73</v>
      </c>
      <c r="G12" s="8">
        <v>120364.5</v>
      </c>
      <c r="H12" s="8">
        <v>5709.7</v>
      </c>
      <c r="I12" s="8">
        <v>2566.3</v>
      </c>
      <c r="J12" s="8">
        <v>967</v>
      </c>
      <c r="K12" s="8">
        <v>56</v>
      </c>
      <c r="L12" s="8">
        <v>98430.9</v>
      </c>
      <c r="M12" s="8">
        <v>61529.5</v>
      </c>
      <c r="N12" s="8">
        <v>80501.8</v>
      </c>
      <c r="O12" s="8">
        <v>109121.2</v>
      </c>
      <c r="P12" s="8">
        <v>6267.1</v>
      </c>
      <c r="Q12" s="8">
        <v>8247.2</v>
      </c>
      <c r="R12" s="8">
        <v>4791.4</v>
      </c>
      <c r="S12" s="8">
        <v>5900.6</v>
      </c>
      <c r="T12" s="8">
        <v>7866</v>
      </c>
      <c r="U12" s="8">
        <v>18647</v>
      </c>
      <c r="V12" s="8">
        <v>53713.7</v>
      </c>
      <c r="W12" s="8">
        <v>57095.2</v>
      </c>
      <c r="X12" s="8">
        <v>5254.5</v>
      </c>
      <c r="Y12" s="8">
        <v>5166.7</v>
      </c>
      <c r="Z12" s="15">
        <f t="shared" si="22"/>
        <v>67516.4</v>
      </c>
      <c r="AA12" s="8">
        <v>1481.6</v>
      </c>
      <c r="AB12" s="13">
        <v>8149</v>
      </c>
      <c r="AC12" s="7">
        <f t="shared" si="23"/>
        <v>9630.6</v>
      </c>
      <c r="AD12" s="16">
        <v>177305</v>
      </c>
      <c r="AE12" s="17">
        <f t="shared" ref="AE12:AI12" si="73">IF(OR(C13=""),"",(C13-C12)*80)</f>
        <v>0</v>
      </c>
      <c r="AF12" s="17">
        <f t="shared" si="73"/>
        <v>935.999999999767</v>
      </c>
      <c r="AG12" s="17">
        <f t="shared" si="73"/>
        <v>2735.99999999977</v>
      </c>
      <c r="AH12" s="17">
        <f t="shared" si="73"/>
        <v>1632.79999999999</v>
      </c>
      <c r="AI12" s="17">
        <f t="shared" si="73"/>
        <v>1744.00000000023</v>
      </c>
      <c r="AJ12" s="17">
        <f t="shared" si="25"/>
        <v>7048.79999999976</v>
      </c>
      <c r="AK12" s="17">
        <f t="shared" ref="AK12:AN12" si="74">IF(OR(H13=""),"",(H13-H12)*80)</f>
        <v>0</v>
      </c>
      <c r="AL12" s="17">
        <f t="shared" si="74"/>
        <v>0</v>
      </c>
      <c r="AM12" s="17">
        <f t="shared" si="74"/>
        <v>0</v>
      </c>
      <c r="AN12" s="17">
        <f t="shared" si="74"/>
        <v>0</v>
      </c>
      <c r="AO12" s="17">
        <f t="shared" si="27"/>
        <v>0</v>
      </c>
      <c r="AP12" s="17">
        <f t="shared" ref="AP12:AS12" si="75">IF(OR(L13=""),"",(L13-L12)*100)</f>
        <v>1920.00000000116</v>
      </c>
      <c r="AQ12" s="17">
        <f t="shared" si="75"/>
        <v>0</v>
      </c>
      <c r="AR12" s="17">
        <f t="shared" si="75"/>
        <v>3880.00000000029</v>
      </c>
      <c r="AS12" s="17">
        <f t="shared" si="75"/>
        <v>2010.00000000058</v>
      </c>
      <c r="AT12" s="17">
        <f t="shared" si="29"/>
        <v>7810.00000000204</v>
      </c>
      <c r="AU12" s="17">
        <f t="shared" ref="AU12:AY12" si="76">IF(OR(P13=""),"",(P13-P12)*1000)</f>
        <v>2899.99999999964</v>
      </c>
      <c r="AV12" s="17">
        <f t="shared" si="76"/>
        <v>4899.99999999964</v>
      </c>
      <c r="AW12" s="17">
        <f t="shared" si="76"/>
        <v>0</v>
      </c>
      <c r="AX12" s="17">
        <f t="shared" si="76"/>
        <v>5000</v>
      </c>
      <c r="AY12" s="17">
        <f t="shared" si="76"/>
        <v>2399.99999999964</v>
      </c>
      <c r="AZ12" s="17">
        <f t="shared" si="31"/>
        <v>15199.9999999989</v>
      </c>
      <c r="BA12" s="17">
        <f t="shared" si="32"/>
        <v>9599.99999999854</v>
      </c>
      <c r="BB12" s="17">
        <f t="shared" si="33"/>
        <v>1016.00000000035</v>
      </c>
      <c r="BC12" s="17">
        <f t="shared" si="34"/>
        <v>1372.00000000012</v>
      </c>
      <c r="BD12" s="17">
        <f t="shared" si="35"/>
        <v>13453.199999993</v>
      </c>
      <c r="BE12" s="17">
        <f t="shared" si="36"/>
        <v>55499.9999999927</v>
      </c>
      <c r="BF12" s="17">
        <f t="shared" si="37"/>
        <v>48.8999999999996</v>
      </c>
      <c r="BG12" s="20">
        <f t="shared" si="38"/>
        <v>0.313019937395972</v>
      </c>
      <c r="BH12" s="20">
        <f t="shared" si="39"/>
        <v>0.0397552240489538</v>
      </c>
      <c r="BI12" s="20">
        <f t="shared" si="40"/>
        <v>0</v>
      </c>
      <c r="BJ12" s="20">
        <f t="shared" si="41"/>
        <v>0.0440483911903333</v>
      </c>
      <c r="BK12" s="20">
        <f t="shared" ref="BK12:BO12" si="77">IF(OR($AD12=0),"",AZ12/$AD12)</f>
        <v>0.0857279828543973</v>
      </c>
      <c r="BL12" s="20">
        <f t="shared" si="77"/>
        <v>0.054143989171194</v>
      </c>
      <c r="BM12" s="20">
        <f t="shared" si="77"/>
        <v>0.0057302388539542</v>
      </c>
      <c r="BN12" s="20">
        <f t="shared" si="77"/>
        <v>0.00773807845238497</v>
      </c>
      <c r="BO12" s="20">
        <f t="shared" si="77"/>
        <v>0.075876032824754</v>
      </c>
    </row>
    <row r="13" spans="1:67">
      <c r="A13" s="9">
        <f t="shared" si="21"/>
        <v>44691</v>
      </c>
      <c r="B13" s="10">
        <v>18151.5</v>
      </c>
      <c r="C13" s="8">
        <v>97503.4</v>
      </c>
      <c r="D13" s="8">
        <v>64812.2</v>
      </c>
      <c r="E13" s="8">
        <v>63587.6</v>
      </c>
      <c r="F13" s="8">
        <v>8245.14</v>
      </c>
      <c r="G13" s="8">
        <v>120386.3</v>
      </c>
      <c r="H13" s="8">
        <v>5709.7</v>
      </c>
      <c r="I13" s="8">
        <v>2566.3</v>
      </c>
      <c r="J13" s="8">
        <v>967</v>
      </c>
      <c r="K13" s="8">
        <v>56</v>
      </c>
      <c r="L13" s="8">
        <v>98450.1</v>
      </c>
      <c r="M13" s="8">
        <v>61529.5</v>
      </c>
      <c r="N13" s="8">
        <v>80540.6</v>
      </c>
      <c r="O13" s="8">
        <v>109141.3</v>
      </c>
      <c r="P13" s="8">
        <v>6270</v>
      </c>
      <c r="Q13" s="8">
        <v>8252.1</v>
      </c>
      <c r="R13" s="8">
        <v>4791.4</v>
      </c>
      <c r="S13" s="8">
        <v>5905.6</v>
      </c>
      <c r="T13" s="8">
        <v>7868.4</v>
      </c>
      <c r="U13" s="8">
        <v>18651.8</v>
      </c>
      <c r="V13" s="8">
        <v>53726.4</v>
      </c>
      <c r="W13" s="8">
        <v>57112</v>
      </c>
      <c r="X13" s="8">
        <v>5263.2</v>
      </c>
      <c r="Y13" s="8">
        <v>5175.5</v>
      </c>
      <c r="Z13" s="15">
        <f t="shared" si="22"/>
        <v>67550.7</v>
      </c>
      <c r="AA13" s="8">
        <v>1525.5</v>
      </c>
      <c r="AB13" s="13">
        <v>8154</v>
      </c>
      <c r="AC13" s="7">
        <f t="shared" si="23"/>
        <v>9679.5</v>
      </c>
      <c r="AD13" s="16">
        <v>156324</v>
      </c>
      <c r="AE13" s="17">
        <f t="shared" ref="AE13:AI13" si="78">IF(OR(C14=""),"",(C14-C13)*80)</f>
        <v>0</v>
      </c>
      <c r="AF13" s="17">
        <f t="shared" si="78"/>
        <v>1992.00000000012</v>
      </c>
      <c r="AG13" s="17">
        <f t="shared" si="78"/>
        <v>2776.00000000035</v>
      </c>
      <c r="AH13" s="17">
        <f t="shared" si="78"/>
        <v>1532.79999999999</v>
      </c>
      <c r="AI13" s="17">
        <f t="shared" si="78"/>
        <v>224.000000000233</v>
      </c>
      <c r="AJ13" s="17">
        <f t="shared" si="25"/>
        <v>6524.80000000069</v>
      </c>
      <c r="AK13" s="17">
        <f t="shared" ref="AK13:AN13" si="79">IF(OR(H14=""),"",(H14-H13)*80)</f>
        <v>0</v>
      </c>
      <c r="AL13" s="17">
        <f t="shared" si="79"/>
        <v>0</v>
      </c>
      <c r="AM13" s="17">
        <f t="shared" si="79"/>
        <v>0</v>
      </c>
      <c r="AN13" s="17">
        <f t="shared" si="79"/>
        <v>0</v>
      </c>
      <c r="AO13" s="17">
        <f t="shared" si="27"/>
        <v>0</v>
      </c>
      <c r="AP13" s="17">
        <f t="shared" ref="AP13:AS13" si="80">IF(OR(L14=""),"",(L14-L13)*100)</f>
        <v>1919.99999999971</v>
      </c>
      <c r="AQ13" s="17">
        <f t="shared" si="80"/>
        <v>0</v>
      </c>
      <c r="AR13" s="17">
        <f t="shared" si="80"/>
        <v>2939.99999999942</v>
      </c>
      <c r="AS13" s="17">
        <f t="shared" si="80"/>
        <v>1189.99999999942</v>
      </c>
      <c r="AT13" s="17">
        <f t="shared" si="29"/>
        <v>6049.99999999854</v>
      </c>
      <c r="AU13" s="17">
        <f t="shared" ref="AU13:AY13" si="81">IF(OR(P14=""),"",(P14-P13)*1000)</f>
        <v>1800.00000000018</v>
      </c>
      <c r="AV13" s="17">
        <f t="shared" si="81"/>
        <v>2799.99999999927</v>
      </c>
      <c r="AW13" s="17">
        <f t="shared" si="81"/>
        <v>2600.00000000036</v>
      </c>
      <c r="AX13" s="17">
        <f t="shared" si="81"/>
        <v>4000</v>
      </c>
      <c r="AY13" s="17">
        <f t="shared" si="81"/>
        <v>0</v>
      </c>
      <c r="AZ13" s="17">
        <f t="shared" si="31"/>
        <v>11199.9999999998</v>
      </c>
      <c r="BA13" s="17">
        <f t="shared" si="32"/>
        <v>8200.00000000437</v>
      </c>
      <c r="BB13" s="17">
        <f t="shared" si="33"/>
        <v>1007.99999999988</v>
      </c>
      <c r="BC13" s="17">
        <f t="shared" si="34"/>
        <v>1404.00000000023</v>
      </c>
      <c r="BD13" s="17">
        <f t="shared" si="35"/>
        <v>15913.1999999848</v>
      </c>
      <c r="BE13" s="17">
        <f t="shared" si="36"/>
        <v>50299.9999999884</v>
      </c>
      <c r="BF13" s="17">
        <f t="shared" si="37"/>
        <v>49.5</v>
      </c>
      <c r="BG13" s="20">
        <f t="shared" si="38"/>
        <v>0.321767610859422</v>
      </c>
      <c r="BH13" s="20">
        <f t="shared" si="39"/>
        <v>0.0417389524321325</v>
      </c>
      <c r="BI13" s="20">
        <f t="shared" si="40"/>
        <v>0</v>
      </c>
      <c r="BJ13" s="20">
        <f t="shared" si="41"/>
        <v>0.0387016708886578</v>
      </c>
      <c r="BK13" s="20">
        <f t="shared" ref="BK13:BO13" si="82">IF(OR($AD13=0),"",AZ13/$AD13)</f>
        <v>0.0716460684219942</v>
      </c>
      <c r="BL13" s="20">
        <f t="shared" si="82"/>
        <v>0.0524551572375602</v>
      </c>
      <c r="BM13" s="20">
        <f t="shared" si="82"/>
        <v>0.00644814615797884</v>
      </c>
      <c r="BN13" s="20">
        <f t="shared" si="82"/>
        <v>0.00898134643433019</v>
      </c>
      <c r="BO13" s="20">
        <f t="shared" si="82"/>
        <v>0.101796269286769</v>
      </c>
    </row>
    <row r="14" spans="1:67">
      <c r="A14" s="9">
        <f t="shared" si="21"/>
        <v>44692</v>
      </c>
      <c r="B14" s="10">
        <v>18156.53</v>
      </c>
      <c r="C14" s="8">
        <v>97503.4</v>
      </c>
      <c r="D14" s="8">
        <v>64837.1</v>
      </c>
      <c r="E14" s="8">
        <v>63622.3</v>
      </c>
      <c r="F14" s="8">
        <v>8264.3</v>
      </c>
      <c r="G14" s="8">
        <v>120389.1</v>
      </c>
      <c r="H14" s="8">
        <v>5709.7</v>
      </c>
      <c r="I14" s="8">
        <v>2566.3</v>
      </c>
      <c r="J14" s="8">
        <v>967</v>
      </c>
      <c r="K14" s="8">
        <v>56</v>
      </c>
      <c r="L14" s="8">
        <v>98469.3</v>
      </c>
      <c r="M14" s="8">
        <v>61529.5</v>
      </c>
      <c r="N14" s="8">
        <v>80570</v>
      </c>
      <c r="O14" s="8">
        <v>109153.2</v>
      </c>
      <c r="P14" s="8">
        <v>6271.8</v>
      </c>
      <c r="Q14" s="8">
        <v>8254.9</v>
      </c>
      <c r="R14" s="8">
        <v>4794</v>
      </c>
      <c r="S14" s="8">
        <v>5909.6</v>
      </c>
      <c r="T14" s="8">
        <v>7868.4</v>
      </c>
      <c r="U14" s="8">
        <v>18655.9</v>
      </c>
      <c r="V14" s="8">
        <v>53739</v>
      </c>
      <c r="W14" s="8">
        <v>57129.3</v>
      </c>
      <c r="X14" s="8">
        <v>5271.9</v>
      </c>
      <c r="Y14" s="8">
        <v>5184.6</v>
      </c>
      <c r="Z14" s="15">
        <f t="shared" si="22"/>
        <v>67585.8</v>
      </c>
      <c r="AA14" s="8">
        <v>1571</v>
      </c>
      <c r="AB14" s="13">
        <v>8158</v>
      </c>
      <c r="AC14" s="7">
        <f t="shared" si="23"/>
        <v>9729</v>
      </c>
      <c r="AD14" s="16">
        <v>154688</v>
      </c>
      <c r="AE14" s="17">
        <f t="shared" ref="AE14:AI14" si="83">IF(OR(C15=""),"",(C15-C14)*80)</f>
        <v>0</v>
      </c>
      <c r="AF14" s="17">
        <f t="shared" si="83"/>
        <v>2624.00000000023</v>
      </c>
      <c r="AG14" s="17">
        <f t="shared" si="83"/>
        <v>1375.99999999977</v>
      </c>
      <c r="AH14" s="17">
        <f t="shared" si="83"/>
        <v>427.200000000012</v>
      </c>
      <c r="AI14" s="17">
        <f t="shared" si="83"/>
        <v>2223.99999999907</v>
      </c>
      <c r="AJ14" s="17">
        <f t="shared" si="25"/>
        <v>6651.19999999908</v>
      </c>
      <c r="AK14" s="17">
        <f t="shared" ref="AK14:AN14" si="84">IF(OR(H15=""),"",(H15-H14)*80)</f>
        <v>0</v>
      </c>
      <c r="AL14" s="17">
        <f t="shared" si="84"/>
        <v>0</v>
      </c>
      <c r="AM14" s="17">
        <f t="shared" si="84"/>
        <v>0</v>
      </c>
      <c r="AN14" s="17">
        <f t="shared" si="84"/>
        <v>0</v>
      </c>
      <c r="AO14" s="17">
        <f t="shared" si="27"/>
        <v>0</v>
      </c>
      <c r="AP14" s="17">
        <f t="shared" ref="AP14:AS14" si="85">IF(OR(L15=""),"",(L15-L14)*100)</f>
        <v>1609.99999999913</v>
      </c>
      <c r="AQ14" s="17">
        <f t="shared" si="85"/>
        <v>0</v>
      </c>
      <c r="AR14" s="17">
        <f t="shared" si="85"/>
        <v>2889.99999999942</v>
      </c>
      <c r="AS14" s="17">
        <f t="shared" si="85"/>
        <v>1510.00000000058</v>
      </c>
      <c r="AT14" s="17">
        <f t="shared" si="29"/>
        <v>6009.99999999913</v>
      </c>
      <c r="AU14" s="17">
        <f t="shared" ref="AU14:AY14" si="86">IF(OR(P15=""),"",(P15-P14)*1000)</f>
        <v>0</v>
      </c>
      <c r="AV14" s="17">
        <f t="shared" si="86"/>
        <v>1899.99999999964</v>
      </c>
      <c r="AW14" s="17">
        <f t="shared" si="86"/>
        <v>199.999999999818</v>
      </c>
      <c r="AX14" s="17">
        <f t="shared" si="86"/>
        <v>4899.99999999964</v>
      </c>
      <c r="AY14" s="17">
        <f t="shared" si="86"/>
        <v>5900.00000000055</v>
      </c>
      <c r="AZ14" s="17">
        <f t="shared" si="31"/>
        <v>12899.9999999996</v>
      </c>
      <c r="BA14" s="17">
        <f t="shared" si="32"/>
        <v>8000</v>
      </c>
      <c r="BB14" s="17">
        <f t="shared" si="33"/>
        <v>1007.99999999988</v>
      </c>
      <c r="BC14" s="17">
        <f t="shared" si="34"/>
        <v>1323.99999999965</v>
      </c>
      <c r="BD14" s="17">
        <f t="shared" si="35"/>
        <v>11906.8000000274</v>
      </c>
      <c r="BE14" s="17">
        <f t="shared" si="36"/>
        <v>47800.0000000247</v>
      </c>
      <c r="BF14" s="17">
        <f t="shared" si="37"/>
        <v>50.7999999999993</v>
      </c>
      <c r="BG14" s="20">
        <f t="shared" si="38"/>
        <v>0.309009102192961</v>
      </c>
      <c r="BH14" s="20">
        <f t="shared" si="39"/>
        <v>0.0429975175837756</v>
      </c>
      <c r="BI14" s="20">
        <f t="shared" si="40"/>
        <v>0</v>
      </c>
      <c r="BJ14" s="20">
        <f t="shared" si="41"/>
        <v>0.0388523996690055</v>
      </c>
      <c r="BK14" s="20">
        <f t="shared" ref="BK14:BO14" si="87">IF(OR($AD14=0),"",AZ14/$AD14)</f>
        <v>0.0833936698386406</v>
      </c>
      <c r="BL14" s="20">
        <f t="shared" si="87"/>
        <v>0.0517170045510964</v>
      </c>
      <c r="BM14" s="20">
        <f t="shared" si="87"/>
        <v>0.00651634257343739</v>
      </c>
      <c r="BN14" s="20">
        <f t="shared" si="87"/>
        <v>0.0085591642532042</v>
      </c>
      <c r="BO14" s="20">
        <f t="shared" si="87"/>
        <v>0.0769730037238012</v>
      </c>
    </row>
    <row r="15" spans="1:67">
      <c r="A15" s="9">
        <f t="shared" si="21"/>
        <v>44693</v>
      </c>
      <c r="B15" s="10">
        <v>18161.31</v>
      </c>
      <c r="C15" s="8">
        <v>97503.4</v>
      </c>
      <c r="D15" s="8">
        <v>64869.9</v>
      </c>
      <c r="E15" s="8">
        <v>63639.5</v>
      </c>
      <c r="F15" s="8">
        <v>8269.64</v>
      </c>
      <c r="G15" s="8">
        <v>120416.9</v>
      </c>
      <c r="H15" s="8">
        <v>5709.7</v>
      </c>
      <c r="I15" s="8">
        <v>2566.3</v>
      </c>
      <c r="J15" s="8">
        <v>967</v>
      </c>
      <c r="K15" s="8">
        <v>56</v>
      </c>
      <c r="L15" s="8">
        <v>98485.4</v>
      </c>
      <c r="M15" s="8">
        <v>61529.5</v>
      </c>
      <c r="N15" s="8">
        <v>80598.9</v>
      </c>
      <c r="O15" s="8">
        <v>109168.3</v>
      </c>
      <c r="P15" s="8">
        <v>6271.8</v>
      </c>
      <c r="Q15" s="8">
        <v>8256.8</v>
      </c>
      <c r="R15" s="8">
        <v>4794.2</v>
      </c>
      <c r="S15" s="8">
        <v>5914.5</v>
      </c>
      <c r="T15" s="8">
        <v>7874.3</v>
      </c>
      <c r="U15" s="8">
        <v>18659.9</v>
      </c>
      <c r="V15" s="8">
        <v>53751.6</v>
      </c>
      <c r="W15" s="8">
        <v>57145.7</v>
      </c>
      <c r="X15" s="8">
        <v>5280.1</v>
      </c>
      <c r="Y15" s="8">
        <v>5193.1</v>
      </c>
      <c r="Z15" s="15">
        <f t="shared" si="22"/>
        <v>67618.9</v>
      </c>
      <c r="AA15" s="8">
        <v>1615.8</v>
      </c>
      <c r="AB15" s="13">
        <v>8164</v>
      </c>
      <c r="AC15" s="7">
        <f t="shared" si="23"/>
        <v>9779.8</v>
      </c>
      <c r="AD15" s="16">
        <v>173574</v>
      </c>
      <c r="AE15" s="17">
        <f t="shared" ref="AE15:AI15" si="88">IF(OR(C16=""),"",(C16-C15)*80)</f>
        <v>0</v>
      </c>
      <c r="AF15" s="17">
        <f t="shared" si="88"/>
        <v>2743.99999999965</v>
      </c>
      <c r="AG15" s="17">
        <f t="shared" si="88"/>
        <v>2887.99999999988</v>
      </c>
      <c r="AH15" s="17">
        <f t="shared" si="88"/>
        <v>4.00000000008731</v>
      </c>
      <c r="AI15" s="17">
        <f t="shared" si="88"/>
        <v>2144.00000000023</v>
      </c>
      <c r="AJ15" s="17">
        <f t="shared" si="25"/>
        <v>7779.99999999985</v>
      </c>
      <c r="AK15" s="17">
        <f t="shared" ref="AK15:AN15" si="89">IF(OR(H16=""),"",(H16-H15)*80)</f>
        <v>0</v>
      </c>
      <c r="AL15" s="17">
        <f t="shared" si="89"/>
        <v>0</v>
      </c>
      <c r="AM15" s="17">
        <f t="shared" si="89"/>
        <v>0</v>
      </c>
      <c r="AN15" s="17">
        <f t="shared" si="89"/>
        <v>0</v>
      </c>
      <c r="AO15" s="17">
        <f t="shared" si="27"/>
        <v>0</v>
      </c>
      <c r="AP15" s="17">
        <f t="shared" ref="AP15:AS15" si="90">IF(OR(L16=""),"",(L16-L15)*100)</f>
        <v>1760.00000000058</v>
      </c>
      <c r="AQ15" s="17">
        <f t="shared" si="90"/>
        <v>0</v>
      </c>
      <c r="AR15" s="17">
        <f t="shared" si="90"/>
        <v>2960.00000000058</v>
      </c>
      <c r="AS15" s="17">
        <f t="shared" si="90"/>
        <v>2059.99999999913</v>
      </c>
      <c r="AT15" s="17">
        <f t="shared" si="29"/>
        <v>6780.00000000029</v>
      </c>
      <c r="AU15" s="17">
        <f t="shared" ref="AU15:AY15" si="91">IF(OR(P16=""),"",(P16-P15)*1000)</f>
        <v>99.9999999994543</v>
      </c>
      <c r="AV15" s="17">
        <f t="shared" si="91"/>
        <v>5300.00000000109</v>
      </c>
      <c r="AW15" s="17">
        <f t="shared" si="91"/>
        <v>1300.00000000018</v>
      </c>
      <c r="AX15" s="17">
        <f t="shared" si="91"/>
        <v>5199.99999999982</v>
      </c>
      <c r="AY15" s="17">
        <f t="shared" si="91"/>
        <v>99.9999999994543</v>
      </c>
      <c r="AZ15" s="17">
        <f t="shared" si="31"/>
        <v>12000</v>
      </c>
      <c r="BA15" s="17">
        <f t="shared" si="32"/>
        <v>9199.99999999709</v>
      </c>
      <c r="BB15" s="17">
        <f t="shared" si="33"/>
        <v>600</v>
      </c>
      <c r="BC15" s="17">
        <f t="shared" si="34"/>
        <v>1356.00000000035</v>
      </c>
      <c r="BD15" s="17">
        <f t="shared" si="35"/>
        <v>12484.0000000068</v>
      </c>
      <c r="BE15" s="17">
        <f t="shared" si="36"/>
        <v>50200.0000000044</v>
      </c>
      <c r="BF15" s="17">
        <f t="shared" si="37"/>
        <v>50.6000000000004</v>
      </c>
      <c r="BG15" s="20">
        <f t="shared" si="38"/>
        <v>0.28921382234669</v>
      </c>
      <c r="BH15" s="20">
        <f t="shared" si="39"/>
        <v>0.0448223812322114</v>
      </c>
      <c r="BI15" s="20">
        <f t="shared" si="40"/>
        <v>0</v>
      </c>
      <c r="BJ15" s="20">
        <f t="shared" si="41"/>
        <v>0.039061149711364</v>
      </c>
      <c r="BK15" s="20">
        <f t="shared" ref="BK15:BO15" si="92">IF(OR($AD15=0),"",AZ15/$AD15)</f>
        <v>0.0691347782501988</v>
      </c>
      <c r="BL15" s="20">
        <f t="shared" si="92"/>
        <v>0.0530033299918023</v>
      </c>
      <c r="BM15" s="20">
        <f t="shared" si="92"/>
        <v>0.00345673891250994</v>
      </c>
      <c r="BN15" s="20">
        <f t="shared" si="92"/>
        <v>0.00781222994227447</v>
      </c>
      <c r="BO15" s="20">
        <f t="shared" si="92"/>
        <v>0.0719232143063292</v>
      </c>
    </row>
    <row r="16" spans="1:67">
      <c r="A16" s="9">
        <f t="shared" si="21"/>
        <v>44694</v>
      </c>
      <c r="B16" s="10">
        <v>18166.33</v>
      </c>
      <c r="C16" s="8">
        <v>97503.4</v>
      </c>
      <c r="D16" s="8">
        <v>64904.2</v>
      </c>
      <c r="E16" s="8">
        <v>63675.6</v>
      </c>
      <c r="F16" s="8">
        <v>8269.69</v>
      </c>
      <c r="G16" s="8">
        <v>120443.7</v>
      </c>
      <c r="H16" s="8">
        <v>5709.7</v>
      </c>
      <c r="I16" s="8">
        <v>2566.3</v>
      </c>
      <c r="J16" s="8">
        <v>967</v>
      </c>
      <c r="K16" s="8">
        <v>56</v>
      </c>
      <c r="L16" s="8">
        <v>98503</v>
      </c>
      <c r="M16" s="8">
        <v>61529.5</v>
      </c>
      <c r="N16" s="8">
        <v>80628.5</v>
      </c>
      <c r="O16" s="8">
        <v>109188.9</v>
      </c>
      <c r="P16" s="8">
        <v>6271.9</v>
      </c>
      <c r="Q16" s="8">
        <v>8262.1</v>
      </c>
      <c r="R16" s="8">
        <v>4795.5</v>
      </c>
      <c r="S16" s="8">
        <v>5919.7</v>
      </c>
      <c r="T16" s="8">
        <v>7874.4</v>
      </c>
      <c r="U16" s="8">
        <v>18664.5</v>
      </c>
      <c r="V16" s="8">
        <v>53759.1</v>
      </c>
      <c r="W16" s="8">
        <v>57162.5</v>
      </c>
      <c r="X16" s="8">
        <v>5288.6</v>
      </c>
      <c r="Y16" s="8">
        <v>5201.7</v>
      </c>
      <c r="Z16" s="15">
        <f t="shared" si="22"/>
        <v>67652.8</v>
      </c>
      <c r="AA16" s="8">
        <v>1662.4</v>
      </c>
      <c r="AB16" s="13">
        <v>8168</v>
      </c>
      <c r="AC16" s="7">
        <f t="shared" si="23"/>
        <v>9830.4</v>
      </c>
      <c r="AD16" s="16">
        <v>158510</v>
      </c>
      <c r="AE16" s="17">
        <f t="shared" ref="AE16:AI16" si="93">IF(OR(C17=""),"",(C17-C16)*80)</f>
        <v>0</v>
      </c>
      <c r="AF16" s="17">
        <f t="shared" si="93"/>
        <v>2568.00000000047</v>
      </c>
      <c r="AG16" s="17">
        <f t="shared" si="93"/>
        <v>2127.99999999988</v>
      </c>
      <c r="AH16" s="17">
        <f t="shared" si="93"/>
        <v>4.79999999995925</v>
      </c>
      <c r="AI16" s="17">
        <f t="shared" si="93"/>
        <v>1615.99999999977</v>
      </c>
      <c r="AJ16" s="17">
        <f t="shared" si="25"/>
        <v>6316.80000000008</v>
      </c>
      <c r="AK16" s="17">
        <f t="shared" ref="AK16:AN16" si="94">IF(OR(H17=""),"",(H17-H16)*80)</f>
        <v>0</v>
      </c>
      <c r="AL16" s="17">
        <f t="shared" si="94"/>
        <v>0</v>
      </c>
      <c r="AM16" s="17">
        <f t="shared" si="94"/>
        <v>0</v>
      </c>
      <c r="AN16" s="17">
        <f t="shared" si="94"/>
        <v>0</v>
      </c>
      <c r="AO16" s="17">
        <f t="shared" si="27"/>
        <v>0</v>
      </c>
      <c r="AP16" s="17">
        <f t="shared" ref="AP16:AS16" si="95">IF(OR(L17=""),"",(L17-L16)*100)</f>
        <v>1880.00000000029</v>
      </c>
      <c r="AQ16" s="17">
        <f t="shared" si="95"/>
        <v>0</v>
      </c>
      <c r="AR16" s="17">
        <f t="shared" si="95"/>
        <v>2939.99999999942</v>
      </c>
      <c r="AS16" s="17">
        <f t="shared" si="95"/>
        <v>1310.00000000058</v>
      </c>
      <c r="AT16" s="17">
        <f t="shared" si="29"/>
        <v>6130.00000000029</v>
      </c>
      <c r="AU16" s="17">
        <f t="shared" ref="AU16:AY16" si="96">IF(OR(P17=""),"",(P17-P16)*1000)</f>
        <v>3500</v>
      </c>
      <c r="AV16" s="17">
        <f t="shared" si="96"/>
        <v>1299.99999999927</v>
      </c>
      <c r="AW16" s="17">
        <f t="shared" si="96"/>
        <v>0</v>
      </c>
      <c r="AX16" s="17">
        <f t="shared" si="96"/>
        <v>5100.00000000036</v>
      </c>
      <c r="AY16" s="17">
        <f t="shared" si="96"/>
        <v>100.000000000364</v>
      </c>
      <c r="AZ16" s="17">
        <f t="shared" si="31"/>
        <v>10000</v>
      </c>
      <c r="BA16" s="17">
        <f t="shared" si="32"/>
        <v>8199.99999999709</v>
      </c>
      <c r="BB16" s="17">
        <f t="shared" si="33"/>
        <v>887.999999999884</v>
      </c>
      <c r="BC16" s="17">
        <f t="shared" si="34"/>
        <v>1360</v>
      </c>
      <c r="BD16" s="17">
        <f t="shared" si="35"/>
        <v>15105.1999999954</v>
      </c>
      <c r="BE16" s="17">
        <f t="shared" si="36"/>
        <v>47999.9999999927</v>
      </c>
      <c r="BF16" s="17">
        <f t="shared" si="37"/>
        <v>44.8000000000011</v>
      </c>
      <c r="BG16" s="20">
        <f t="shared" si="38"/>
        <v>0.302820011355705</v>
      </c>
      <c r="BH16" s="20">
        <f t="shared" si="39"/>
        <v>0.0398511134944172</v>
      </c>
      <c r="BI16" s="20">
        <f t="shared" si="40"/>
        <v>0</v>
      </c>
      <c r="BJ16" s="20">
        <f t="shared" si="41"/>
        <v>0.0386726389502258</v>
      </c>
      <c r="BK16" s="20">
        <f t="shared" ref="BK16:BO16" si="97">IF(OR($AD16=0),"",AZ16/$AD16)</f>
        <v>0.0630875023657813</v>
      </c>
      <c r="BL16" s="20">
        <f t="shared" si="97"/>
        <v>0.0517317519399223</v>
      </c>
      <c r="BM16" s="20">
        <f t="shared" si="97"/>
        <v>0.00560217021008065</v>
      </c>
      <c r="BN16" s="20">
        <f t="shared" si="97"/>
        <v>0.00857990032174626</v>
      </c>
      <c r="BO16" s="20">
        <f t="shared" si="97"/>
        <v>0.0952949340735309</v>
      </c>
    </row>
    <row r="17" spans="1:67">
      <c r="A17" s="9">
        <f t="shared" si="21"/>
        <v>44695</v>
      </c>
      <c r="B17" s="10">
        <v>18171.13</v>
      </c>
      <c r="C17" s="8">
        <v>97503.4</v>
      </c>
      <c r="D17" s="8">
        <v>64936.3</v>
      </c>
      <c r="E17" s="8">
        <v>63702.2</v>
      </c>
      <c r="F17" s="8">
        <v>8269.75</v>
      </c>
      <c r="G17" s="8">
        <v>120463.9</v>
      </c>
      <c r="H17" s="8">
        <v>5709.7</v>
      </c>
      <c r="I17" s="8">
        <v>2566.3</v>
      </c>
      <c r="J17" s="8">
        <v>967</v>
      </c>
      <c r="K17" s="8">
        <v>56</v>
      </c>
      <c r="L17" s="8">
        <v>98521.8</v>
      </c>
      <c r="M17" s="8">
        <v>61529.5</v>
      </c>
      <c r="N17" s="8">
        <v>80657.9</v>
      </c>
      <c r="O17" s="8">
        <v>109202</v>
      </c>
      <c r="P17" s="8">
        <v>6275.4</v>
      </c>
      <c r="Q17" s="8">
        <v>8263.4</v>
      </c>
      <c r="R17" s="8">
        <v>4795.5</v>
      </c>
      <c r="S17" s="8">
        <v>5924.8</v>
      </c>
      <c r="T17" s="8">
        <v>7874.5</v>
      </c>
      <c r="U17" s="8">
        <v>18668.6</v>
      </c>
      <c r="V17" s="8">
        <v>53770.2</v>
      </c>
      <c r="W17" s="8">
        <v>57179.3</v>
      </c>
      <c r="X17" s="8">
        <v>5297.2</v>
      </c>
      <c r="Y17" s="8">
        <v>5210.3</v>
      </c>
      <c r="Z17" s="15">
        <f t="shared" si="22"/>
        <v>67686.8</v>
      </c>
      <c r="AA17" s="8">
        <v>1703.2</v>
      </c>
      <c r="AB17" s="13">
        <v>8172</v>
      </c>
      <c r="AC17" s="7">
        <f t="shared" si="23"/>
        <v>9875.2</v>
      </c>
      <c r="AD17" s="16">
        <v>205614</v>
      </c>
      <c r="AE17" s="17">
        <f t="shared" ref="AE17:AI17" si="98">IF(OR(C18=""),"",(C18-C17)*80)</f>
        <v>0</v>
      </c>
      <c r="AF17" s="17">
        <f t="shared" si="98"/>
        <v>431.999999999534</v>
      </c>
      <c r="AG17" s="17">
        <f t="shared" si="98"/>
        <v>3192.00000000012</v>
      </c>
      <c r="AH17" s="17">
        <f t="shared" si="98"/>
        <v>2129.60000000006</v>
      </c>
      <c r="AI17" s="17">
        <f t="shared" si="98"/>
        <v>2200</v>
      </c>
      <c r="AJ17" s="17">
        <f t="shared" si="25"/>
        <v>7953.59999999971</v>
      </c>
      <c r="AK17" s="17">
        <f t="shared" ref="AK17:AN17" si="99">IF(OR(H18=""),"",(H18-H17)*80)</f>
        <v>0</v>
      </c>
      <c r="AL17" s="17">
        <f t="shared" si="99"/>
        <v>0</v>
      </c>
      <c r="AM17" s="17">
        <f t="shared" si="99"/>
        <v>0</v>
      </c>
      <c r="AN17" s="17">
        <f t="shared" si="99"/>
        <v>0</v>
      </c>
      <c r="AO17" s="17">
        <f t="shared" si="27"/>
        <v>0</v>
      </c>
      <c r="AP17" s="17">
        <f t="shared" ref="AP17:AS17" si="100">IF(OR(L18=""),"",(L18-L17)*100)</f>
        <v>2880.00000000029</v>
      </c>
      <c r="AQ17" s="17">
        <f t="shared" si="100"/>
        <v>0</v>
      </c>
      <c r="AR17" s="17">
        <f t="shared" si="100"/>
        <v>2980.00000000029</v>
      </c>
      <c r="AS17" s="17">
        <f t="shared" si="100"/>
        <v>2019.99999999971</v>
      </c>
      <c r="AT17" s="17">
        <f t="shared" si="29"/>
        <v>7880.00000000029</v>
      </c>
      <c r="AU17" s="17">
        <f t="shared" ref="AU17:AY17" si="101">IF(OR(P18=""),"",(P18-P17)*1000)</f>
        <v>500</v>
      </c>
      <c r="AV17" s="17">
        <f t="shared" si="101"/>
        <v>1800.00000000109</v>
      </c>
      <c r="AW17" s="17">
        <f t="shared" si="101"/>
        <v>2500</v>
      </c>
      <c r="AX17" s="17">
        <f t="shared" si="101"/>
        <v>1399.99999999964</v>
      </c>
      <c r="AY17" s="17">
        <f t="shared" si="101"/>
        <v>9600.00000000036</v>
      </c>
      <c r="AZ17" s="17">
        <f t="shared" si="31"/>
        <v>15800.0000000011</v>
      </c>
      <c r="BA17" s="17">
        <f t="shared" si="32"/>
        <v>10600.0000000058</v>
      </c>
      <c r="BB17" s="17">
        <f t="shared" si="33"/>
        <v>1040</v>
      </c>
      <c r="BC17" s="17">
        <f t="shared" si="34"/>
        <v>1412.00000000012</v>
      </c>
      <c r="BD17" s="17">
        <f t="shared" si="35"/>
        <v>11914.3999999915</v>
      </c>
      <c r="BE17" s="17">
        <f t="shared" si="36"/>
        <v>56599.9999999985</v>
      </c>
      <c r="BF17" s="17">
        <f t="shared" si="37"/>
        <v>51.7999999999993</v>
      </c>
      <c r="BG17" s="20">
        <f t="shared" si="38"/>
        <v>0.275273084517584</v>
      </c>
      <c r="BH17" s="20">
        <f t="shared" si="39"/>
        <v>0.0386821909013964</v>
      </c>
      <c r="BI17" s="20">
        <f t="shared" si="40"/>
        <v>0</v>
      </c>
      <c r="BJ17" s="20">
        <f t="shared" si="41"/>
        <v>0.0383242386218851</v>
      </c>
      <c r="BK17" s="20">
        <f t="shared" ref="BK17:BO17" si="102">IF(OR($AD17=0),"",AZ17/$AD17)</f>
        <v>0.0768430165261173</v>
      </c>
      <c r="BL17" s="20">
        <f t="shared" si="102"/>
        <v>0.051552909821344</v>
      </c>
      <c r="BM17" s="20">
        <f t="shared" si="102"/>
        <v>0.00505802134095927</v>
      </c>
      <c r="BN17" s="20">
        <f t="shared" si="102"/>
        <v>0.0068672366667645</v>
      </c>
      <c r="BO17" s="20">
        <f t="shared" si="102"/>
        <v>0.0579454706391175</v>
      </c>
    </row>
    <row r="18" spans="1:67">
      <c r="A18" s="9">
        <f t="shared" si="21"/>
        <v>44696</v>
      </c>
      <c r="B18" s="10">
        <v>18176.79</v>
      </c>
      <c r="C18" s="8">
        <v>97503.4</v>
      </c>
      <c r="D18" s="8">
        <v>64941.7</v>
      </c>
      <c r="E18" s="8">
        <v>63742.1</v>
      </c>
      <c r="F18" s="8">
        <v>8296.37</v>
      </c>
      <c r="G18" s="8">
        <v>120491.4</v>
      </c>
      <c r="H18" s="8">
        <v>5709.7</v>
      </c>
      <c r="I18" s="8">
        <v>2566.3</v>
      </c>
      <c r="J18" s="8">
        <v>967</v>
      </c>
      <c r="K18" s="8">
        <v>56</v>
      </c>
      <c r="L18" s="8">
        <v>98550.6</v>
      </c>
      <c r="M18" s="8">
        <v>61529.5</v>
      </c>
      <c r="N18" s="8">
        <v>80687.7</v>
      </c>
      <c r="O18" s="8">
        <v>109222.2</v>
      </c>
      <c r="P18" s="8">
        <v>6275.9</v>
      </c>
      <c r="Q18" s="8">
        <v>8265.2</v>
      </c>
      <c r="R18" s="8">
        <v>4798</v>
      </c>
      <c r="S18" s="8">
        <v>5926.2</v>
      </c>
      <c r="T18" s="8">
        <v>7884.1</v>
      </c>
      <c r="U18" s="8">
        <v>18673.9</v>
      </c>
      <c r="V18" s="8">
        <v>53783.2</v>
      </c>
      <c r="W18" s="8">
        <v>57196.9</v>
      </c>
      <c r="X18" s="8">
        <v>5306</v>
      </c>
      <c r="Y18" s="8">
        <v>5219.2</v>
      </c>
      <c r="Z18" s="15">
        <f t="shared" si="22"/>
        <v>67722.1</v>
      </c>
      <c r="AA18" s="8">
        <v>1750</v>
      </c>
      <c r="AB18" s="13">
        <v>8177</v>
      </c>
      <c r="AC18" s="7">
        <f t="shared" si="23"/>
        <v>9927</v>
      </c>
      <c r="AD18" s="16">
        <v>157504</v>
      </c>
      <c r="AE18" s="17">
        <f t="shared" ref="AE18:AI18" si="103">IF(OR(C19=""),"",(C19-C18)*80)</f>
        <v>0</v>
      </c>
      <c r="AF18" s="17">
        <f t="shared" si="103"/>
        <v>2712.00000000012</v>
      </c>
      <c r="AG18" s="17">
        <f t="shared" si="103"/>
        <v>1687.99999999988</v>
      </c>
      <c r="AH18" s="17">
        <f t="shared" si="103"/>
        <v>102.399999999907</v>
      </c>
      <c r="AI18" s="17">
        <f t="shared" si="103"/>
        <v>1784.00000000023</v>
      </c>
      <c r="AJ18" s="17">
        <f t="shared" si="25"/>
        <v>6286.40000000014</v>
      </c>
      <c r="AK18" s="17">
        <f t="shared" ref="AK18:AN18" si="104">IF(OR(H19=""),"",(H19-H18)*80)</f>
        <v>0</v>
      </c>
      <c r="AL18" s="17">
        <f t="shared" si="104"/>
        <v>0</v>
      </c>
      <c r="AM18" s="17">
        <f t="shared" si="104"/>
        <v>0</v>
      </c>
      <c r="AN18" s="17">
        <f t="shared" si="104"/>
        <v>0</v>
      </c>
      <c r="AO18" s="17">
        <f t="shared" si="27"/>
        <v>0</v>
      </c>
      <c r="AP18" s="17">
        <f t="shared" ref="AP18:AS18" si="105">IF(OR(L19=""),"",(L19-L18)*100)</f>
        <v>1189.99999999942</v>
      </c>
      <c r="AQ18" s="17">
        <f t="shared" si="105"/>
        <v>0</v>
      </c>
      <c r="AR18" s="17">
        <f t="shared" si="105"/>
        <v>2850</v>
      </c>
      <c r="AS18" s="17">
        <f t="shared" si="105"/>
        <v>1969.99999999971</v>
      </c>
      <c r="AT18" s="17">
        <f t="shared" si="29"/>
        <v>6009.99999999913</v>
      </c>
      <c r="AU18" s="17">
        <f t="shared" ref="AU18:AY18" si="106">IF(OR(P19=""),"",(P19-P18)*1000)</f>
        <v>100.000000000364</v>
      </c>
      <c r="AV18" s="17">
        <f t="shared" si="106"/>
        <v>7500</v>
      </c>
      <c r="AW18" s="17">
        <f t="shared" si="106"/>
        <v>0</v>
      </c>
      <c r="AX18" s="17">
        <f t="shared" si="106"/>
        <v>0</v>
      </c>
      <c r="AY18" s="17">
        <f t="shared" si="106"/>
        <v>9099.99999999945</v>
      </c>
      <c r="AZ18" s="17">
        <f t="shared" si="31"/>
        <v>16699.9999999998</v>
      </c>
      <c r="BA18" s="17">
        <f t="shared" si="32"/>
        <v>8399.99999999418</v>
      </c>
      <c r="BB18" s="17">
        <f t="shared" si="33"/>
        <v>1008.00000000047</v>
      </c>
      <c r="BC18" s="17">
        <f t="shared" si="34"/>
        <v>1307.99999999988</v>
      </c>
      <c r="BD18" s="17">
        <f t="shared" si="35"/>
        <v>7987.60000001075</v>
      </c>
      <c r="BE18" s="17">
        <f t="shared" si="36"/>
        <v>47700.0000000044</v>
      </c>
      <c r="BF18" s="17">
        <f t="shared" si="37"/>
        <v>48</v>
      </c>
      <c r="BG18" s="20">
        <f t="shared" si="38"/>
        <v>0.302849451442531</v>
      </c>
      <c r="BH18" s="20">
        <f t="shared" si="39"/>
        <v>0.0399126371393751</v>
      </c>
      <c r="BI18" s="20">
        <f t="shared" si="40"/>
        <v>0</v>
      </c>
      <c r="BJ18" s="20">
        <f t="shared" si="41"/>
        <v>0.0381577610727291</v>
      </c>
      <c r="BK18" s="20">
        <f t="shared" ref="BK18:BO18" si="107">IF(OR($AD18=0),"",AZ18/$AD18)</f>
        <v>0.106029053230393</v>
      </c>
      <c r="BL18" s="20">
        <f t="shared" si="107"/>
        <v>0.0533319788703409</v>
      </c>
      <c r="BM18" s="20">
        <f t="shared" si="107"/>
        <v>0.0063998374644483</v>
      </c>
      <c r="BN18" s="20">
        <f t="shared" si="107"/>
        <v>0.00830455099552953</v>
      </c>
      <c r="BO18" s="20">
        <f t="shared" si="107"/>
        <v>0.0507136326697148</v>
      </c>
    </row>
    <row r="19" spans="1:67">
      <c r="A19" s="9">
        <f t="shared" si="21"/>
        <v>44697</v>
      </c>
      <c r="B19" s="10">
        <v>18181.56</v>
      </c>
      <c r="C19" s="8">
        <v>97503.4</v>
      </c>
      <c r="D19" s="8">
        <v>64975.6</v>
      </c>
      <c r="E19" s="8">
        <v>63763.2</v>
      </c>
      <c r="F19" s="8">
        <v>8297.65</v>
      </c>
      <c r="G19" s="8">
        <v>120513.7</v>
      </c>
      <c r="H19" s="8">
        <v>5709.7</v>
      </c>
      <c r="I19" s="8">
        <v>2566.3</v>
      </c>
      <c r="J19" s="8">
        <v>967</v>
      </c>
      <c r="K19" s="8">
        <v>56</v>
      </c>
      <c r="L19" s="8">
        <v>98562.5</v>
      </c>
      <c r="M19" s="8">
        <v>61529.5</v>
      </c>
      <c r="N19" s="8">
        <v>80716.2</v>
      </c>
      <c r="O19" s="8">
        <v>109241.9</v>
      </c>
      <c r="P19" s="8">
        <v>6276</v>
      </c>
      <c r="Q19" s="8">
        <v>8272.7</v>
      </c>
      <c r="R19" s="8">
        <v>4798</v>
      </c>
      <c r="S19" s="8">
        <v>5926.2</v>
      </c>
      <c r="T19" s="8">
        <v>7893.2</v>
      </c>
      <c r="U19" s="8">
        <v>18678.1</v>
      </c>
      <c r="V19" s="8">
        <v>53795.8</v>
      </c>
      <c r="W19" s="8">
        <v>57213.3</v>
      </c>
      <c r="X19" s="8">
        <v>5314.2</v>
      </c>
      <c r="Y19" s="8">
        <v>5227.3</v>
      </c>
      <c r="Z19" s="15">
        <f t="shared" si="22"/>
        <v>67754.8</v>
      </c>
      <c r="AA19" s="8">
        <v>1794</v>
      </c>
      <c r="AB19" s="13">
        <v>8181</v>
      </c>
      <c r="AC19" s="7">
        <f t="shared" si="23"/>
        <v>9975</v>
      </c>
      <c r="AD19" s="16">
        <v>163031</v>
      </c>
      <c r="AE19" s="17">
        <f t="shared" ref="AE19:AI19" si="108">IF(OR(C20=""),"",(C20-C19)*80)</f>
        <v>0</v>
      </c>
      <c r="AF19" s="17">
        <f t="shared" si="108"/>
        <v>2912.00000000012</v>
      </c>
      <c r="AG19" s="17">
        <f t="shared" si="108"/>
        <v>2096.00000000035</v>
      </c>
      <c r="AH19" s="17">
        <f t="shared" si="108"/>
        <v>4.00000000008731</v>
      </c>
      <c r="AI19" s="17">
        <f t="shared" si="108"/>
        <v>1920</v>
      </c>
      <c r="AJ19" s="17">
        <f t="shared" si="25"/>
        <v>6932.00000000055</v>
      </c>
      <c r="AK19" s="17">
        <f t="shared" ref="AK19:AN19" si="109">IF(OR(H20=""),"",(H20-H19)*80)</f>
        <v>0</v>
      </c>
      <c r="AL19" s="17">
        <f t="shared" si="109"/>
        <v>0</v>
      </c>
      <c r="AM19" s="17">
        <f t="shared" si="109"/>
        <v>0</v>
      </c>
      <c r="AN19" s="17">
        <f t="shared" si="109"/>
        <v>0</v>
      </c>
      <c r="AO19" s="17">
        <f t="shared" si="27"/>
        <v>0</v>
      </c>
      <c r="AP19" s="17">
        <f t="shared" ref="AP19:AS19" si="110">IF(OR(L20=""),"",(L20-L19)*100)</f>
        <v>1719.99999999971</v>
      </c>
      <c r="AQ19" s="17">
        <f t="shared" si="110"/>
        <v>0</v>
      </c>
      <c r="AR19" s="17">
        <f t="shared" si="110"/>
        <v>2900</v>
      </c>
      <c r="AS19" s="17">
        <f t="shared" si="110"/>
        <v>1730.00000000029</v>
      </c>
      <c r="AT19" s="17">
        <f t="shared" si="29"/>
        <v>6350</v>
      </c>
      <c r="AU19" s="17">
        <f t="shared" ref="AU19:AY19" si="111">IF(OR(P20=""),"",(P20-P19)*1000)</f>
        <v>0</v>
      </c>
      <c r="AV19" s="17">
        <f t="shared" si="111"/>
        <v>0</v>
      </c>
      <c r="AW19" s="17">
        <f t="shared" si="111"/>
        <v>4300.00000000018</v>
      </c>
      <c r="AX19" s="17">
        <f t="shared" si="111"/>
        <v>0</v>
      </c>
      <c r="AY19" s="17">
        <f t="shared" si="111"/>
        <v>8400.00000000055</v>
      </c>
      <c r="AZ19" s="17">
        <f t="shared" si="31"/>
        <v>12700.0000000007</v>
      </c>
      <c r="BA19" s="17">
        <f t="shared" si="32"/>
        <v>9000</v>
      </c>
      <c r="BB19" s="17">
        <f t="shared" si="33"/>
        <v>1031.99999999953</v>
      </c>
      <c r="BC19" s="17">
        <f t="shared" si="34"/>
        <v>1323.99999999965</v>
      </c>
      <c r="BD19" s="17">
        <f t="shared" si="35"/>
        <v>12361.9999999748</v>
      </c>
      <c r="BE19" s="17">
        <f t="shared" si="36"/>
        <v>49699.9999999753</v>
      </c>
      <c r="BF19" s="17">
        <f t="shared" si="37"/>
        <v>50.3999999999996</v>
      </c>
      <c r="BG19" s="20">
        <f t="shared" si="38"/>
        <v>0.304849997853017</v>
      </c>
      <c r="BH19" s="20">
        <f t="shared" si="39"/>
        <v>0.0425195208273307</v>
      </c>
      <c r="BI19" s="20">
        <f t="shared" si="40"/>
        <v>0</v>
      </c>
      <c r="BJ19" s="20">
        <f t="shared" si="41"/>
        <v>0.0389496476130307</v>
      </c>
      <c r="BK19" s="20">
        <f t="shared" ref="BK19:BO19" si="112">IF(OR($AD19=0),"",AZ19/$AD19)</f>
        <v>0.0778992952260658</v>
      </c>
      <c r="BL19" s="20">
        <f t="shared" si="112"/>
        <v>0.0552042249633505</v>
      </c>
      <c r="BM19" s="20">
        <f t="shared" si="112"/>
        <v>0.00633008446246134</v>
      </c>
      <c r="BN19" s="20">
        <f t="shared" si="112"/>
        <v>0.00812115487238409</v>
      </c>
      <c r="BO19" s="20">
        <f t="shared" si="112"/>
        <v>0.0758260698883942</v>
      </c>
    </row>
    <row r="20" spans="1:67">
      <c r="A20" s="9">
        <f t="shared" si="21"/>
        <v>44698</v>
      </c>
      <c r="B20" s="10">
        <v>18186.53</v>
      </c>
      <c r="C20" s="8">
        <v>97503.4</v>
      </c>
      <c r="D20" s="8">
        <v>65012</v>
      </c>
      <c r="E20" s="8">
        <v>63789.4</v>
      </c>
      <c r="F20" s="8">
        <v>8297.7</v>
      </c>
      <c r="G20" s="8">
        <v>120537.7</v>
      </c>
      <c r="H20" s="8">
        <v>5709.7</v>
      </c>
      <c r="I20" s="8">
        <v>2566.3</v>
      </c>
      <c r="J20" s="8">
        <v>967</v>
      </c>
      <c r="K20" s="8">
        <v>56</v>
      </c>
      <c r="L20" s="8">
        <v>98579.7</v>
      </c>
      <c r="M20" s="8">
        <v>61529.5</v>
      </c>
      <c r="N20" s="8">
        <v>80745.2</v>
      </c>
      <c r="O20" s="8">
        <v>109259.2</v>
      </c>
      <c r="P20" s="8">
        <v>6276</v>
      </c>
      <c r="Q20" s="8">
        <v>8272.7</v>
      </c>
      <c r="R20" s="8">
        <v>4802.3</v>
      </c>
      <c r="S20" s="8">
        <v>5926.2</v>
      </c>
      <c r="T20" s="8">
        <v>7901.6</v>
      </c>
      <c r="U20" s="8">
        <v>18682.6</v>
      </c>
      <c r="V20" s="8">
        <v>53808.7</v>
      </c>
      <c r="W20" s="8">
        <v>57229.8</v>
      </c>
      <c r="X20" s="8">
        <v>5322.6</v>
      </c>
      <c r="Y20" s="8">
        <v>5235.5</v>
      </c>
      <c r="Z20" s="15">
        <f t="shared" si="22"/>
        <v>67787.9</v>
      </c>
      <c r="AA20" s="8">
        <v>1839.4</v>
      </c>
      <c r="AB20" s="13">
        <v>8186</v>
      </c>
      <c r="AC20" s="7">
        <f t="shared" si="23"/>
        <v>10025.4</v>
      </c>
      <c r="AD20" s="16">
        <v>175333</v>
      </c>
      <c r="AE20" s="17">
        <f t="shared" ref="AE20:AI20" si="113">IF(OR(C21=""),"",(C21-C20)*80)</f>
        <v>0</v>
      </c>
      <c r="AF20" s="17">
        <f t="shared" si="113"/>
        <v>1184.00000000023</v>
      </c>
      <c r="AG20" s="17">
        <f t="shared" si="113"/>
        <v>2247.99999999988</v>
      </c>
      <c r="AH20" s="17">
        <f t="shared" si="113"/>
        <v>1121.59999999989</v>
      </c>
      <c r="AI20" s="17">
        <f t="shared" si="113"/>
        <v>2128.00000000047</v>
      </c>
      <c r="AJ20" s="17">
        <f t="shared" si="25"/>
        <v>6681.60000000047</v>
      </c>
      <c r="AK20" s="17">
        <f t="shared" ref="AK20:AN20" si="114">IF(OR(H21=""),"",(H21-H20)*80)</f>
        <v>0</v>
      </c>
      <c r="AL20" s="17">
        <f t="shared" si="114"/>
        <v>0</v>
      </c>
      <c r="AM20" s="17">
        <f t="shared" si="114"/>
        <v>0</v>
      </c>
      <c r="AN20" s="17">
        <f t="shared" si="114"/>
        <v>0</v>
      </c>
      <c r="AO20" s="17">
        <f t="shared" si="27"/>
        <v>0</v>
      </c>
      <c r="AP20" s="17">
        <f t="shared" ref="AP20:AS20" si="115">IF(OR(L21=""),"",(L21-L20)*100)</f>
        <v>1930.00000000029</v>
      </c>
      <c r="AQ20" s="17">
        <f t="shared" si="115"/>
        <v>0</v>
      </c>
      <c r="AR20" s="17">
        <f t="shared" si="115"/>
        <v>2900</v>
      </c>
      <c r="AS20" s="17">
        <f t="shared" si="115"/>
        <v>2010.00000000058</v>
      </c>
      <c r="AT20" s="17">
        <f t="shared" si="29"/>
        <v>6840.00000000087</v>
      </c>
      <c r="AU20" s="17">
        <f t="shared" ref="AU20:AY20" si="116">IF(OR(P21=""),"",(P21-P20)*1000)</f>
        <v>3800.00000000018</v>
      </c>
      <c r="AV20" s="17">
        <f t="shared" si="116"/>
        <v>1599.99999999854</v>
      </c>
      <c r="AW20" s="17">
        <f t="shared" si="116"/>
        <v>0</v>
      </c>
      <c r="AX20" s="17">
        <f t="shared" si="116"/>
        <v>0</v>
      </c>
      <c r="AY20" s="17">
        <f t="shared" si="116"/>
        <v>8799.99999999927</v>
      </c>
      <c r="AZ20" s="17">
        <f t="shared" si="31"/>
        <v>14199.999999998</v>
      </c>
      <c r="BA20" s="17">
        <f t="shared" si="32"/>
        <v>9200.00000000437</v>
      </c>
      <c r="BB20" s="17">
        <f t="shared" si="33"/>
        <v>1016.00000000035</v>
      </c>
      <c r="BC20" s="17">
        <f t="shared" si="34"/>
        <v>1347.99999999988</v>
      </c>
      <c r="BD20" s="17">
        <f t="shared" si="35"/>
        <v>11814.4000000019</v>
      </c>
      <c r="BE20" s="17">
        <f t="shared" si="36"/>
        <v>51100.0000000058</v>
      </c>
      <c r="BF20" s="17">
        <f t="shared" si="37"/>
        <v>56.1000000000004</v>
      </c>
      <c r="BG20" s="20">
        <f t="shared" si="38"/>
        <v>0.291445420998932</v>
      </c>
      <c r="BH20" s="20">
        <f t="shared" si="39"/>
        <v>0.0381080572396552</v>
      </c>
      <c r="BI20" s="20">
        <f t="shared" si="40"/>
        <v>0</v>
      </c>
      <c r="BJ20" s="20">
        <f t="shared" si="41"/>
        <v>0.0390114810104252</v>
      </c>
      <c r="BK20" s="20">
        <f t="shared" ref="BK20:BO20" si="117">IF(OR($AD20=0),"",AZ20/$AD20)</f>
        <v>0.0809887471268843</v>
      </c>
      <c r="BL20" s="20">
        <f t="shared" si="117"/>
        <v>0.0524715826456193</v>
      </c>
      <c r="BM20" s="20">
        <f t="shared" si="117"/>
        <v>0.00579468782260241</v>
      </c>
      <c r="BN20" s="20">
        <f t="shared" si="117"/>
        <v>0.00768822754415817</v>
      </c>
      <c r="BO20" s="20">
        <f t="shared" si="117"/>
        <v>0.0673826376095879</v>
      </c>
    </row>
    <row r="21" spans="1:67">
      <c r="A21" s="9">
        <f t="shared" si="21"/>
        <v>44699</v>
      </c>
      <c r="B21" s="10">
        <v>18191.64</v>
      </c>
      <c r="C21" s="8">
        <v>97503.4</v>
      </c>
      <c r="D21" s="8">
        <v>65026.8</v>
      </c>
      <c r="E21" s="8">
        <v>63817.5</v>
      </c>
      <c r="F21" s="8">
        <v>8311.72</v>
      </c>
      <c r="G21" s="8">
        <v>120564.3</v>
      </c>
      <c r="H21" s="8">
        <v>5709.7</v>
      </c>
      <c r="I21" s="8">
        <v>2566.3</v>
      </c>
      <c r="J21" s="8">
        <v>967</v>
      </c>
      <c r="K21" s="8">
        <v>56</v>
      </c>
      <c r="L21" s="8">
        <v>98599</v>
      </c>
      <c r="M21" s="8">
        <v>61529.5</v>
      </c>
      <c r="N21" s="8">
        <v>80774.2</v>
      </c>
      <c r="O21" s="8">
        <v>109279.3</v>
      </c>
      <c r="P21" s="8">
        <v>6279.8</v>
      </c>
      <c r="Q21" s="8">
        <v>8274.3</v>
      </c>
      <c r="R21" s="8">
        <v>4802.3</v>
      </c>
      <c r="S21" s="8">
        <v>5926.2</v>
      </c>
      <c r="T21" s="8">
        <v>7910.4</v>
      </c>
      <c r="U21" s="8">
        <v>18687.2</v>
      </c>
      <c r="V21" s="8">
        <v>53821.4</v>
      </c>
      <c r="W21" s="8">
        <v>57246.6</v>
      </c>
      <c r="X21" s="8">
        <v>5331.2</v>
      </c>
      <c r="Y21" s="8">
        <v>5243.8</v>
      </c>
      <c r="Z21" s="15">
        <f t="shared" si="22"/>
        <v>67821.6</v>
      </c>
      <c r="AA21" s="8">
        <v>1884.5</v>
      </c>
      <c r="AB21" s="13">
        <v>8197</v>
      </c>
      <c r="AC21" s="7">
        <f t="shared" si="23"/>
        <v>10081.5</v>
      </c>
      <c r="AD21" s="16">
        <v>155808</v>
      </c>
      <c r="AE21" s="17">
        <f t="shared" ref="AE21:AI21" si="118">IF(OR(C22=""),"",(C22-C21)*80)</f>
        <v>0</v>
      </c>
      <c r="AF21" s="17">
        <f t="shared" si="118"/>
        <v>440</v>
      </c>
      <c r="AG21" s="17">
        <f t="shared" si="118"/>
        <v>3000</v>
      </c>
      <c r="AH21" s="17">
        <f t="shared" si="118"/>
        <v>1165.60000000012</v>
      </c>
      <c r="AI21" s="17">
        <f t="shared" si="118"/>
        <v>1871.99999999953</v>
      </c>
      <c r="AJ21" s="17">
        <f t="shared" si="25"/>
        <v>6477.59999999966</v>
      </c>
      <c r="AK21" s="17">
        <f t="shared" ref="AK21:AN21" si="119">IF(OR(H22=""),"",(H22-H21)*80)</f>
        <v>0</v>
      </c>
      <c r="AL21" s="17">
        <f t="shared" si="119"/>
        <v>0</v>
      </c>
      <c r="AM21" s="17">
        <f t="shared" si="119"/>
        <v>0</v>
      </c>
      <c r="AN21" s="17">
        <f t="shared" si="119"/>
        <v>0</v>
      </c>
      <c r="AO21" s="17">
        <f t="shared" si="27"/>
        <v>0</v>
      </c>
      <c r="AP21" s="17">
        <f t="shared" ref="AP21:AS21" si="120">IF(OR(L22=""),"",(L22-L21)*100)</f>
        <v>1700</v>
      </c>
      <c r="AQ21" s="17">
        <f t="shared" si="120"/>
        <v>0</v>
      </c>
      <c r="AR21" s="17">
        <f t="shared" si="120"/>
        <v>2750</v>
      </c>
      <c r="AS21" s="17">
        <f t="shared" si="120"/>
        <v>1719.99999999971</v>
      </c>
      <c r="AT21" s="17">
        <f t="shared" si="29"/>
        <v>6169.99999999971</v>
      </c>
      <c r="AU21" s="17">
        <f t="shared" ref="AU21:AY21" si="121">IF(OR(P22=""),"",(P22-P21)*1000)</f>
        <v>1800.00000000018</v>
      </c>
      <c r="AV21" s="17">
        <f t="shared" si="121"/>
        <v>700.000000000728</v>
      </c>
      <c r="AW21" s="17">
        <f t="shared" si="121"/>
        <v>2300.00000000018</v>
      </c>
      <c r="AX21" s="17">
        <f t="shared" si="121"/>
        <v>0</v>
      </c>
      <c r="AY21" s="17">
        <f t="shared" si="121"/>
        <v>7900.00000000055</v>
      </c>
      <c r="AZ21" s="17">
        <f t="shared" si="31"/>
        <v>12700.0000000016</v>
      </c>
      <c r="BA21" s="17">
        <f t="shared" si="32"/>
        <v>8799.99999999563</v>
      </c>
      <c r="BB21" s="17">
        <f t="shared" si="33"/>
        <v>1032.00000000012</v>
      </c>
      <c r="BC21" s="17">
        <f t="shared" si="34"/>
        <v>1360.00000000058</v>
      </c>
      <c r="BD21" s="17">
        <f t="shared" si="35"/>
        <v>12360.3999999968</v>
      </c>
      <c r="BE21" s="17">
        <f t="shared" si="36"/>
        <v>48899.9999999942</v>
      </c>
      <c r="BF21" s="17">
        <f t="shared" si="37"/>
        <v>45.5</v>
      </c>
      <c r="BG21" s="20">
        <f t="shared" si="38"/>
        <v>0.313847812692507</v>
      </c>
      <c r="BH21" s="20">
        <f t="shared" si="39"/>
        <v>0.04157424522489</v>
      </c>
      <c r="BI21" s="20">
        <f t="shared" si="40"/>
        <v>0</v>
      </c>
      <c r="BJ21" s="20">
        <f t="shared" si="41"/>
        <v>0.0396000205380963</v>
      </c>
      <c r="BK21" s="20">
        <f t="shared" ref="BK21:BO21" si="122">IF(OR($AD21=0),"",AZ21/$AD21)</f>
        <v>0.0815105771205691</v>
      </c>
      <c r="BL21" s="20">
        <f t="shared" si="122"/>
        <v>0.0564797699732725</v>
      </c>
      <c r="BM21" s="20">
        <f t="shared" si="122"/>
        <v>0.00662353666050598</v>
      </c>
      <c r="BN21" s="20">
        <f t="shared" si="122"/>
        <v>0.00872869172315017</v>
      </c>
      <c r="BO21" s="20">
        <f t="shared" si="122"/>
        <v>0.0793309714520233</v>
      </c>
    </row>
    <row r="22" spans="1:67">
      <c r="A22" s="9">
        <f t="shared" si="21"/>
        <v>44700</v>
      </c>
      <c r="B22" s="10">
        <v>18196.53</v>
      </c>
      <c r="C22" s="8">
        <v>97503.4</v>
      </c>
      <c r="D22" s="8">
        <v>65032.3</v>
      </c>
      <c r="E22" s="8">
        <v>63855</v>
      </c>
      <c r="F22" s="8">
        <v>8326.29</v>
      </c>
      <c r="G22" s="8">
        <v>120587.7</v>
      </c>
      <c r="H22" s="8">
        <v>5709.7</v>
      </c>
      <c r="I22" s="8">
        <v>2566.3</v>
      </c>
      <c r="J22" s="8">
        <v>967</v>
      </c>
      <c r="K22" s="8">
        <v>56</v>
      </c>
      <c r="L22" s="8">
        <v>98616</v>
      </c>
      <c r="M22" s="8">
        <v>61529.5</v>
      </c>
      <c r="N22" s="8">
        <v>80801.7</v>
      </c>
      <c r="O22" s="8">
        <v>109296.5</v>
      </c>
      <c r="P22" s="8">
        <v>6281.6</v>
      </c>
      <c r="Q22" s="8">
        <v>8275</v>
      </c>
      <c r="R22" s="8">
        <v>4804.6</v>
      </c>
      <c r="S22" s="8">
        <v>5926.2</v>
      </c>
      <c r="T22" s="8">
        <v>7918.3</v>
      </c>
      <c r="U22" s="8">
        <v>18691.6</v>
      </c>
      <c r="V22" s="8">
        <v>53834.3</v>
      </c>
      <c r="W22" s="8">
        <v>57263.6</v>
      </c>
      <c r="X22" s="8">
        <v>5339.8</v>
      </c>
      <c r="Y22" s="8">
        <v>5252.2</v>
      </c>
      <c r="Z22" s="15">
        <f t="shared" si="22"/>
        <v>67855.6</v>
      </c>
      <c r="AA22" s="8">
        <v>1931</v>
      </c>
      <c r="AB22" s="13">
        <v>8196</v>
      </c>
      <c r="AC22" s="7">
        <f t="shared" si="23"/>
        <v>10127</v>
      </c>
      <c r="AD22" s="16">
        <v>141103</v>
      </c>
      <c r="AE22" s="17">
        <f t="shared" ref="AE22:AI22" si="123">IF(OR(C23=""),"",(C23-C22)*80)</f>
        <v>0</v>
      </c>
      <c r="AF22" s="17">
        <f t="shared" si="123"/>
        <v>1655.99999999977</v>
      </c>
      <c r="AG22" s="17">
        <f t="shared" si="123"/>
        <v>1615.99999999977</v>
      </c>
      <c r="AH22" s="17">
        <f t="shared" si="123"/>
        <v>756.79999999993</v>
      </c>
      <c r="AI22" s="17">
        <f t="shared" si="123"/>
        <v>1744.00000000023</v>
      </c>
      <c r="AJ22" s="17">
        <f t="shared" si="25"/>
        <v>5772.7999999997</v>
      </c>
      <c r="AK22" s="17">
        <f t="shared" ref="AK22:AN22" si="124">IF(OR(H23=""),"",(H23-H22)*80)</f>
        <v>0</v>
      </c>
      <c r="AL22" s="17">
        <f t="shared" si="124"/>
        <v>0</v>
      </c>
      <c r="AM22" s="17">
        <f t="shared" si="124"/>
        <v>0</v>
      </c>
      <c r="AN22" s="17">
        <f t="shared" si="124"/>
        <v>0</v>
      </c>
      <c r="AO22" s="17">
        <f t="shared" si="27"/>
        <v>0</v>
      </c>
      <c r="AP22" s="17">
        <f t="shared" ref="AP22:AS22" si="125">IF(OR(L23=""),"",(L23-L22)*100)</f>
        <v>1610.00000000058</v>
      </c>
      <c r="AQ22" s="17">
        <f t="shared" si="125"/>
        <v>0</v>
      </c>
      <c r="AR22" s="17">
        <f t="shared" si="125"/>
        <v>2600</v>
      </c>
      <c r="AS22" s="17">
        <f t="shared" si="125"/>
        <v>1210.00000000058</v>
      </c>
      <c r="AT22" s="17">
        <f t="shared" si="29"/>
        <v>5420.00000000116</v>
      </c>
      <c r="AU22" s="17">
        <f t="shared" ref="AU22:AY22" si="126">IF(OR(P23=""),"",(P23-P22)*1000)</f>
        <v>3000</v>
      </c>
      <c r="AV22" s="17">
        <f t="shared" si="126"/>
        <v>1899.99999999964</v>
      </c>
      <c r="AW22" s="17">
        <f t="shared" si="126"/>
        <v>0</v>
      </c>
      <c r="AX22" s="17">
        <f t="shared" si="126"/>
        <v>1199.99999999982</v>
      </c>
      <c r="AY22" s="17">
        <f t="shared" si="126"/>
        <v>6199.99999999982</v>
      </c>
      <c r="AZ22" s="17">
        <f t="shared" si="31"/>
        <v>12299.9999999993</v>
      </c>
      <c r="BA22" s="17">
        <f t="shared" si="32"/>
        <v>6800.00000000291</v>
      </c>
      <c r="BB22" s="17">
        <f t="shared" si="33"/>
        <v>1071.99999999953</v>
      </c>
      <c r="BC22" s="17">
        <f t="shared" si="34"/>
        <v>1327.99999999988</v>
      </c>
      <c r="BD22" s="17">
        <f t="shared" si="35"/>
        <v>12707.2000000063</v>
      </c>
      <c r="BE22" s="17">
        <f t="shared" si="36"/>
        <v>45400.0000000087</v>
      </c>
      <c r="BF22" s="17">
        <f t="shared" si="37"/>
        <v>47.6000000000004</v>
      </c>
      <c r="BG22" s="20">
        <f t="shared" si="38"/>
        <v>0.321750777800676</v>
      </c>
      <c r="BH22" s="20">
        <f t="shared" si="39"/>
        <v>0.040911957931438</v>
      </c>
      <c r="BI22" s="20">
        <f t="shared" si="40"/>
        <v>0</v>
      </c>
      <c r="BJ22" s="20">
        <f t="shared" si="41"/>
        <v>0.0384116567330331</v>
      </c>
      <c r="BK22" s="20">
        <f t="shared" ref="BK22:BO22" si="127">IF(OR($AD22=0),"",AZ22/$AD22)</f>
        <v>0.0871703649107338</v>
      </c>
      <c r="BL22" s="20">
        <f t="shared" si="127"/>
        <v>0.0481917464547381</v>
      </c>
      <c r="BM22" s="20">
        <f t="shared" si="127"/>
        <v>0.00759728708815216</v>
      </c>
      <c r="BN22" s="20">
        <f t="shared" si="127"/>
        <v>0.009411564601744</v>
      </c>
      <c r="BO22" s="20">
        <f t="shared" si="127"/>
        <v>0.0900562000808365</v>
      </c>
    </row>
    <row r="23" spans="1:67">
      <c r="A23" s="9">
        <f t="shared" si="21"/>
        <v>44701</v>
      </c>
      <c r="B23" s="10">
        <v>18201.07</v>
      </c>
      <c r="C23" s="8">
        <v>97503.4</v>
      </c>
      <c r="D23" s="8">
        <v>65053</v>
      </c>
      <c r="E23" s="8">
        <v>63875.2</v>
      </c>
      <c r="F23" s="8">
        <v>8335.75</v>
      </c>
      <c r="G23" s="8">
        <v>120609.5</v>
      </c>
      <c r="H23" s="8">
        <v>5709.7</v>
      </c>
      <c r="I23" s="8">
        <v>2566.3</v>
      </c>
      <c r="J23" s="8">
        <v>967</v>
      </c>
      <c r="K23" s="8">
        <v>56</v>
      </c>
      <c r="L23" s="8">
        <v>98632.1</v>
      </c>
      <c r="M23" s="8">
        <v>61529.5</v>
      </c>
      <c r="N23" s="8">
        <v>80827.7</v>
      </c>
      <c r="O23" s="8">
        <v>109308.6</v>
      </c>
      <c r="P23" s="8">
        <v>6284.6</v>
      </c>
      <c r="Q23" s="8">
        <v>8276.9</v>
      </c>
      <c r="R23" s="8">
        <v>4804.6</v>
      </c>
      <c r="S23" s="8">
        <v>5927.4</v>
      </c>
      <c r="T23" s="8">
        <v>7924.5</v>
      </c>
      <c r="U23" s="8">
        <v>18695</v>
      </c>
      <c r="V23" s="8">
        <v>53847.7</v>
      </c>
      <c r="W23" s="8">
        <v>57280.6</v>
      </c>
      <c r="X23" s="8">
        <v>5348</v>
      </c>
      <c r="Y23" s="8">
        <v>5260.2</v>
      </c>
      <c r="Z23" s="15">
        <f t="shared" si="22"/>
        <v>67888.8</v>
      </c>
      <c r="AA23" s="8">
        <v>1974.6</v>
      </c>
      <c r="AB23" s="13">
        <v>8200</v>
      </c>
      <c r="AC23" s="7">
        <f t="shared" si="23"/>
        <v>10174.6</v>
      </c>
      <c r="AD23" s="16">
        <v>149476</v>
      </c>
      <c r="AE23" s="17">
        <f t="shared" ref="AE23:AI23" si="128">IF(OR(C24=""),"",(C24-C23)*80)</f>
        <v>0</v>
      </c>
      <c r="AF23" s="17">
        <f t="shared" si="128"/>
        <v>2095.99999999977</v>
      </c>
      <c r="AG23" s="17">
        <f t="shared" si="128"/>
        <v>2392.00000000012</v>
      </c>
      <c r="AH23" s="17">
        <f t="shared" si="128"/>
        <v>0</v>
      </c>
      <c r="AI23" s="17">
        <f t="shared" si="128"/>
        <v>1935.99999999977</v>
      </c>
      <c r="AJ23" s="17">
        <f t="shared" si="25"/>
        <v>6423.99999999965</v>
      </c>
      <c r="AK23" s="17">
        <f t="shared" ref="AK23:AN23" si="129">IF(OR(H24=""),"",(H24-H23)*80)</f>
        <v>0</v>
      </c>
      <c r="AL23" s="17">
        <f t="shared" si="129"/>
        <v>0</v>
      </c>
      <c r="AM23" s="17">
        <f t="shared" si="129"/>
        <v>0</v>
      </c>
      <c r="AN23" s="17">
        <f t="shared" si="129"/>
        <v>0</v>
      </c>
      <c r="AO23" s="17">
        <f t="shared" si="27"/>
        <v>0</v>
      </c>
      <c r="AP23" s="17">
        <f t="shared" ref="AP23:AS23" si="130">IF(OR(L24=""),"",(L24-L23)*100)</f>
        <v>1679.99999999884</v>
      </c>
      <c r="AQ23" s="17">
        <f t="shared" si="130"/>
        <v>0</v>
      </c>
      <c r="AR23" s="17">
        <f t="shared" si="130"/>
        <v>2940.00000000087</v>
      </c>
      <c r="AS23" s="17">
        <f t="shared" si="130"/>
        <v>1329.99999999884</v>
      </c>
      <c r="AT23" s="17">
        <f t="shared" si="29"/>
        <v>5949.99999999854</v>
      </c>
      <c r="AU23" s="17">
        <f t="shared" ref="AU23:AY23" si="131">IF(OR(P24=""),"",(P24-P23)*1000)</f>
        <v>3699.99999999982</v>
      </c>
      <c r="AV23" s="17">
        <f t="shared" si="131"/>
        <v>0</v>
      </c>
      <c r="AW23" s="17">
        <f t="shared" si="131"/>
        <v>0</v>
      </c>
      <c r="AX23" s="17">
        <f t="shared" si="131"/>
        <v>0</v>
      </c>
      <c r="AY23" s="17">
        <f t="shared" si="131"/>
        <v>8699.99999999982</v>
      </c>
      <c r="AZ23" s="17">
        <f t="shared" si="31"/>
        <v>12399.9999999996</v>
      </c>
      <c r="BA23" s="17">
        <f t="shared" si="32"/>
        <v>8599.99999999854</v>
      </c>
      <c r="BB23" s="17">
        <f t="shared" si="33"/>
        <v>1072.00000000012</v>
      </c>
      <c r="BC23" s="17">
        <f t="shared" si="34"/>
        <v>1327.99999999988</v>
      </c>
      <c r="BD23" s="17">
        <f t="shared" si="35"/>
        <v>10526.0000000138</v>
      </c>
      <c r="BE23" s="17">
        <f t="shared" si="36"/>
        <v>46300.0000000102</v>
      </c>
      <c r="BF23" s="17">
        <f t="shared" si="37"/>
        <v>51.1999999999989</v>
      </c>
      <c r="BG23" s="20">
        <f t="shared" si="38"/>
        <v>0.309748722202964</v>
      </c>
      <c r="BH23" s="20">
        <f t="shared" si="39"/>
        <v>0.0429767989509998</v>
      </c>
      <c r="BI23" s="20">
        <f t="shared" si="40"/>
        <v>0</v>
      </c>
      <c r="BJ23" s="20">
        <f t="shared" si="41"/>
        <v>0.0398057213198008</v>
      </c>
      <c r="BK23" s="20">
        <f t="shared" ref="BK23:BO23" si="132">IF(OR($AD23=0),"",AZ23/$AD23)</f>
        <v>0.0829564612379221</v>
      </c>
      <c r="BL23" s="20">
        <f t="shared" si="132"/>
        <v>0.0575343198908089</v>
      </c>
      <c r="BM23" s="20">
        <f t="shared" si="132"/>
        <v>0.00717171987476328</v>
      </c>
      <c r="BN23" s="20">
        <f t="shared" si="132"/>
        <v>0.00888436939709307</v>
      </c>
      <c r="BO23" s="20">
        <f t="shared" si="132"/>
        <v>0.0704193315315757</v>
      </c>
    </row>
    <row r="24" spans="1:67">
      <c r="A24" s="9">
        <f t="shared" si="21"/>
        <v>44702</v>
      </c>
      <c r="B24" s="10">
        <v>18205.7</v>
      </c>
      <c r="C24" s="8">
        <v>97503.4</v>
      </c>
      <c r="D24" s="8">
        <v>65079.2</v>
      </c>
      <c r="E24" s="8">
        <v>63905.1</v>
      </c>
      <c r="F24" s="8">
        <v>8335.75</v>
      </c>
      <c r="G24" s="8">
        <v>120633.7</v>
      </c>
      <c r="H24" s="8">
        <v>5709.7</v>
      </c>
      <c r="I24" s="8">
        <v>2566.3</v>
      </c>
      <c r="J24" s="8">
        <v>967</v>
      </c>
      <c r="K24" s="8">
        <v>56</v>
      </c>
      <c r="L24" s="8">
        <v>98648.9</v>
      </c>
      <c r="M24" s="8">
        <v>61529.5</v>
      </c>
      <c r="N24" s="8">
        <v>80857.1</v>
      </c>
      <c r="O24" s="8">
        <v>109321.9</v>
      </c>
      <c r="P24" s="8">
        <v>6288.3</v>
      </c>
      <c r="Q24" s="8">
        <v>8276.9</v>
      </c>
      <c r="R24" s="8">
        <v>4804.6</v>
      </c>
      <c r="S24" s="8">
        <v>5927.4</v>
      </c>
      <c r="T24" s="8">
        <v>7933.2</v>
      </c>
      <c r="U24" s="8">
        <v>18699.3</v>
      </c>
      <c r="V24" s="8">
        <v>53861.1</v>
      </c>
      <c r="W24" s="8">
        <v>57297.1</v>
      </c>
      <c r="X24" s="8">
        <v>5356.5</v>
      </c>
      <c r="Y24" s="8">
        <v>5268.4</v>
      </c>
      <c r="Z24" s="15">
        <f t="shared" si="22"/>
        <v>67922</v>
      </c>
      <c r="AA24" s="8">
        <v>2020.8</v>
      </c>
      <c r="AB24" s="13">
        <v>8205</v>
      </c>
      <c r="AC24" s="7">
        <f t="shared" si="23"/>
        <v>10225.8</v>
      </c>
      <c r="AD24" s="16">
        <v>165077</v>
      </c>
      <c r="AE24" s="17">
        <f t="shared" ref="AE24:AI24" si="133">IF(OR(C25=""),"",(C25-C24)*80)</f>
        <v>0</v>
      </c>
      <c r="AF24" s="17">
        <f t="shared" si="133"/>
        <v>2400</v>
      </c>
      <c r="AG24" s="17">
        <f t="shared" si="133"/>
        <v>2527.99999999988</v>
      </c>
      <c r="AH24" s="17">
        <f t="shared" si="133"/>
        <v>0</v>
      </c>
      <c r="AI24" s="17">
        <f t="shared" si="133"/>
        <v>2015.99999999977</v>
      </c>
      <c r="AJ24" s="17">
        <f t="shared" si="25"/>
        <v>6943.99999999965</v>
      </c>
      <c r="AK24" s="17">
        <f t="shared" ref="AK24:AN24" si="134">IF(OR(H25=""),"",(H25-H24)*80)</f>
        <v>0</v>
      </c>
      <c r="AL24" s="17">
        <f t="shared" si="134"/>
        <v>0</v>
      </c>
      <c r="AM24" s="17">
        <f t="shared" si="134"/>
        <v>0</v>
      </c>
      <c r="AN24" s="17">
        <f t="shared" si="134"/>
        <v>0</v>
      </c>
      <c r="AO24" s="17">
        <f t="shared" si="27"/>
        <v>0</v>
      </c>
      <c r="AP24" s="17">
        <f t="shared" ref="AP24:AS24" si="135">IF(OR(L25=""),"",(L25-L24)*100)</f>
        <v>1760.00000000058</v>
      </c>
      <c r="AQ24" s="17">
        <f t="shared" si="135"/>
        <v>0</v>
      </c>
      <c r="AR24" s="17">
        <f t="shared" si="135"/>
        <v>2819.99999999971</v>
      </c>
      <c r="AS24" s="17">
        <f t="shared" si="135"/>
        <v>1560.00000000058</v>
      </c>
      <c r="AT24" s="17">
        <f t="shared" si="29"/>
        <v>6140.00000000087</v>
      </c>
      <c r="AU24" s="17">
        <f t="shared" ref="AU24:AY24" si="136">IF(OR(P25=""),"",(P25-P24)*1000)</f>
        <v>3000</v>
      </c>
      <c r="AV24" s="17">
        <f t="shared" si="136"/>
        <v>0</v>
      </c>
      <c r="AW24" s="17">
        <f t="shared" si="136"/>
        <v>1199.99999999982</v>
      </c>
      <c r="AX24" s="17">
        <f t="shared" si="136"/>
        <v>0</v>
      </c>
      <c r="AY24" s="17">
        <f t="shared" si="136"/>
        <v>8500</v>
      </c>
      <c r="AZ24" s="17">
        <f t="shared" si="31"/>
        <v>12699.9999999998</v>
      </c>
      <c r="BA24" s="17">
        <f t="shared" si="32"/>
        <v>8200.00000000437</v>
      </c>
      <c r="BB24" s="17">
        <f t="shared" si="33"/>
        <v>1064.00000000023</v>
      </c>
      <c r="BC24" s="17">
        <f t="shared" si="34"/>
        <v>1328.00000000047</v>
      </c>
      <c r="BD24" s="17">
        <f t="shared" si="35"/>
        <v>10223.9999999931</v>
      </c>
      <c r="BE24" s="17">
        <f t="shared" si="36"/>
        <v>46599.9999999985</v>
      </c>
      <c r="BF24" s="17">
        <f t="shared" si="37"/>
        <v>48.7000000000007</v>
      </c>
      <c r="BG24" s="20">
        <f t="shared" si="38"/>
        <v>0.28229250592147</v>
      </c>
      <c r="BH24" s="20">
        <f t="shared" si="39"/>
        <v>0.0420652180497565</v>
      </c>
      <c r="BI24" s="20">
        <f t="shared" si="40"/>
        <v>0</v>
      </c>
      <c r="BJ24" s="20">
        <f t="shared" si="41"/>
        <v>0.0371947636557538</v>
      </c>
      <c r="BK24" s="20">
        <f t="shared" ref="BK24:BO24" si="137">IF(OR($AD24=0),"",AZ24/$AD24)</f>
        <v>0.0769337945322475</v>
      </c>
      <c r="BL24" s="20">
        <f t="shared" si="137"/>
        <v>0.0496737885956515</v>
      </c>
      <c r="BM24" s="20">
        <f t="shared" si="137"/>
        <v>0.00644547695923862</v>
      </c>
      <c r="BN24" s="20">
        <f t="shared" si="137"/>
        <v>0.00804473064085527</v>
      </c>
      <c r="BO24" s="20">
        <f t="shared" si="137"/>
        <v>0.0619347334879671</v>
      </c>
    </row>
    <row r="25" spans="1:67">
      <c r="A25" s="9">
        <f t="shared" si="21"/>
        <v>44703</v>
      </c>
      <c r="B25" s="10">
        <v>18210.36</v>
      </c>
      <c r="C25" s="8">
        <v>97503.4</v>
      </c>
      <c r="D25" s="8">
        <v>65109.2</v>
      </c>
      <c r="E25" s="8">
        <v>63936.7</v>
      </c>
      <c r="F25" s="8">
        <v>8335.75</v>
      </c>
      <c r="G25" s="8">
        <v>120658.9</v>
      </c>
      <c r="H25" s="8">
        <v>5709.7</v>
      </c>
      <c r="I25" s="8">
        <v>2566.3</v>
      </c>
      <c r="J25" s="8">
        <v>967</v>
      </c>
      <c r="K25" s="8">
        <v>56</v>
      </c>
      <c r="L25" s="8">
        <v>98666.5</v>
      </c>
      <c r="M25" s="8">
        <v>61529.5</v>
      </c>
      <c r="N25" s="8">
        <v>80885.3</v>
      </c>
      <c r="O25" s="8">
        <v>109337.5</v>
      </c>
      <c r="P25" s="8">
        <v>6291.3</v>
      </c>
      <c r="Q25" s="8">
        <v>8276.9</v>
      </c>
      <c r="R25" s="8">
        <v>4805.8</v>
      </c>
      <c r="S25" s="8">
        <v>5927.4</v>
      </c>
      <c r="T25" s="8">
        <v>7941.7</v>
      </c>
      <c r="U25" s="8">
        <v>18703.4</v>
      </c>
      <c r="V25" s="8">
        <v>53874.4</v>
      </c>
      <c r="W25" s="8">
        <v>57313.8</v>
      </c>
      <c r="X25" s="8">
        <v>5364.9</v>
      </c>
      <c r="Y25" s="8">
        <v>5276.5</v>
      </c>
      <c r="Z25" s="15">
        <f t="shared" si="22"/>
        <v>67955.2</v>
      </c>
      <c r="AA25" s="8">
        <v>2064.5</v>
      </c>
      <c r="AB25" s="13">
        <v>8210</v>
      </c>
      <c r="AC25" s="7">
        <f t="shared" si="23"/>
        <v>10274.5</v>
      </c>
      <c r="AD25" s="16">
        <v>154983</v>
      </c>
      <c r="AE25" s="17">
        <f t="shared" ref="AE25:AI25" si="138">IF(OR(C26=""),"",(C26-C25)*80)</f>
        <v>0</v>
      </c>
      <c r="AF25" s="17">
        <f t="shared" si="138"/>
        <v>2944.00000000023</v>
      </c>
      <c r="AG25" s="17">
        <f t="shared" si="138"/>
        <v>2536.00000000035</v>
      </c>
      <c r="AH25" s="17">
        <f t="shared" si="138"/>
        <v>0</v>
      </c>
      <c r="AI25" s="17">
        <f t="shared" si="138"/>
        <v>1592.0000000007</v>
      </c>
      <c r="AJ25" s="17">
        <f t="shared" si="25"/>
        <v>7072.00000000128</v>
      </c>
      <c r="AK25" s="17">
        <f t="shared" ref="AK25:AN25" si="139">IF(OR(H26=""),"",(H26-H25)*80)</f>
        <v>0</v>
      </c>
      <c r="AL25" s="17">
        <f t="shared" si="139"/>
        <v>0</v>
      </c>
      <c r="AM25" s="17">
        <f t="shared" si="139"/>
        <v>0</v>
      </c>
      <c r="AN25" s="17">
        <f t="shared" si="139"/>
        <v>0</v>
      </c>
      <c r="AO25" s="17">
        <f t="shared" si="27"/>
        <v>0</v>
      </c>
      <c r="AP25" s="17">
        <f t="shared" ref="AP25:AS25" si="140">IF(OR(L26=""),"",(L26-L25)*100)</f>
        <v>1639.99999999942</v>
      </c>
      <c r="AQ25" s="17">
        <f t="shared" si="140"/>
        <v>0</v>
      </c>
      <c r="AR25" s="17">
        <f t="shared" si="140"/>
        <v>2439.99999999942</v>
      </c>
      <c r="AS25" s="17">
        <f t="shared" si="140"/>
        <v>1919.99999999971</v>
      </c>
      <c r="AT25" s="17">
        <f t="shared" si="29"/>
        <v>5999.99999999854</v>
      </c>
      <c r="AU25" s="17">
        <f t="shared" ref="AU25:AY25" si="141">IF(OR(P26=""),"",(P26-P25)*1000)</f>
        <v>4000</v>
      </c>
      <c r="AV25" s="17">
        <f t="shared" si="141"/>
        <v>0</v>
      </c>
      <c r="AW25" s="17">
        <f t="shared" si="141"/>
        <v>0</v>
      </c>
      <c r="AX25" s="17">
        <f t="shared" si="141"/>
        <v>0</v>
      </c>
      <c r="AY25" s="17">
        <f t="shared" si="141"/>
        <v>9000</v>
      </c>
      <c r="AZ25" s="17">
        <f t="shared" si="31"/>
        <v>13000</v>
      </c>
      <c r="BA25" s="17">
        <f t="shared" si="32"/>
        <v>9599.99999999854</v>
      </c>
      <c r="BB25" s="17">
        <f t="shared" si="33"/>
        <v>1007.99999999988</v>
      </c>
      <c r="BC25" s="17">
        <f t="shared" si="34"/>
        <v>1315.99999999977</v>
      </c>
      <c r="BD25" s="17">
        <f t="shared" si="35"/>
        <v>12204.0000000063</v>
      </c>
      <c r="BE25" s="17">
        <f t="shared" si="36"/>
        <v>50200.0000000044</v>
      </c>
      <c r="BF25" s="17">
        <f t="shared" si="37"/>
        <v>47.8999999999996</v>
      </c>
      <c r="BG25" s="20">
        <f t="shared" si="38"/>
        <v>0.323906492970225</v>
      </c>
      <c r="BH25" s="20">
        <f t="shared" si="39"/>
        <v>0.045630811121228</v>
      </c>
      <c r="BI25" s="20">
        <f t="shared" si="40"/>
        <v>0</v>
      </c>
      <c r="BJ25" s="20">
        <f t="shared" si="41"/>
        <v>0.0387139234625639</v>
      </c>
      <c r="BK25" s="20">
        <f t="shared" ref="BK25:BO25" si="142">IF(OR($AD25=0),"",AZ25/$AD25)</f>
        <v>0.0838801675022422</v>
      </c>
      <c r="BL25" s="20">
        <f t="shared" si="142"/>
        <v>0.0619422775401079</v>
      </c>
      <c r="BM25" s="20">
        <f t="shared" si="142"/>
        <v>0.00650393914171157</v>
      </c>
      <c r="BN25" s="20">
        <f t="shared" si="142"/>
        <v>0.00849125387945624</v>
      </c>
      <c r="BO25" s="20">
        <f t="shared" si="142"/>
        <v>0.0787441203229151</v>
      </c>
    </row>
    <row r="26" spans="1:67">
      <c r="A26" s="9">
        <f t="shared" si="21"/>
        <v>44704</v>
      </c>
      <c r="B26" s="10">
        <v>18215.38</v>
      </c>
      <c r="C26" s="8">
        <v>97503.4</v>
      </c>
      <c r="D26" s="8">
        <v>65146</v>
      </c>
      <c r="E26" s="8">
        <v>63968.4</v>
      </c>
      <c r="F26" s="8">
        <v>8335.75</v>
      </c>
      <c r="G26" s="8">
        <v>120678.8</v>
      </c>
      <c r="H26" s="8">
        <v>5709.7</v>
      </c>
      <c r="I26" s="8">
        <v>2566.3</v>
      </c>
      <c r="J26" s="8">
        <v>967</v>
      </c>
      <c r="K26" s="8">
        <v>56</v>
      </c>
      <c r="L26" s="8">
        <v>98682.9</v>
      </c>
      <c r="M26" s="8">
        <v>61529.5</v>
      </c>
      <c r="N26" s="8">
        <v>80909.7</v>
      </c>
      <c r="O26" s="8">
        <v>109356.7</v>
      </c>
      <c r="P26" s="8">
        <v>6295.3</v>
      </c>
      <c r="Q26" s="8">
        <v>8276.9</v>
      </c>
      <c r="R26" s="8">
        <v>4805.8</v>
      </c>
      <c r="S26" s="8">
        <v>5927.4</v>
      </c>
      <c r="T26" s="8">
        <v>7950.7</v>
      </c>
      <c r="U26" s="8">
        <v>18708.2</v>
      </c>
      <c r="V26" s="8">
        <v>53887</v>
      </c>
      <c r="W26" s="8">
        <v>57330.2</v>
      </c>
      <c r="X26" s="8">
        <v>5373.3</v>
      </c>
      <c r="Y26" s="8">
        <v>5284.6</v>
      </c>
      <c r="Z26" s="15">
        <f t="shared" si="22"/>
        <v>67988.1</v>
      </c>
      <c r="AA26" s="8">
        <v>2108.4</v>
      </c>
      <c r="AB26" s="13">
        <v>8214</v>
      </c>
      <c r="AC26" s="7">
        <f t="shared" si="23"/>
        <v>10322.4</v>
      </c>
      <c r="AD26" s="16">
        <v>156875</v>
      </c>
      <c r="AE26" s="17">
        <f t="shared" ref="AE26:AI26" si="143">IF(OR(C27=""),"",(C27-C26)*80)</f>
        <v>0</v>
      </c>
      <c r="AF26" s="17">
        <f t="shared" si="143"/>
        <v>2935.99999999977</v>
      </c>
      <c r="AG26" s="17">
        <f t="shared" si="143"/>
        <v>1543.99999999965</v>
      </c>
      <c r="AH26" s="17">
        <f t="shared" si="143"/>
        <v>17.5999999999476</v>
      </c>
      <c r="AI26" s="17">
        <f t="shared" si="143"/>
        <v>1800</v>
      </c>
      <c r="AJ26" s="17">
        <f t="shared" si="25"/>
        <v>6297.59999999937</v>
      </c>
      <c r="AK26" s="17">
        <f t="shared" ref="AK26:AN26" si="144">IF(OR(H27=""),"",(H27-H26)*80)</f>
        <v>0</v>
      </c>
      <c r="AL26" s="17">
        <f t="shared" si="144"/>
        <v>0</v>
      </c>
      <c r="AM26" s="17">
        <f t="shared" si="144"/>
        <v>0</v>
      </c>
      <c r="AN26" s="17">
        <f t="shared" si="144"/>
        <v>0</v>
      </c>
      <c r="AO26" s="17">
        <f t="shared" si="27"/>
        <v>0</v>
      </c>
      <c r="AP26" s="17">
        <f t="shared" ref="AP26:AS26" si="145">IF(OR(L27=""),"",(L27-L26)*100)</f>
        <v>1150</v>
      </c>
      <c r="AQ26" s="17">
        <f t="shared" si="145"/>
        <v>0</v>
      </c>
      <c r="AR26" s="17">
        <f t="shared" si="145"/>
        <v>2640.00000000087</v>
      </c>
      <c r="AS26" s="17">
        <f t="shared" si="145"/>
        <v>1990.00000000087</v>
      </c>
      <c r="AT26" s="17">
        <f t="shared" si="29"/>
        <v>5780.00000000175</v>
      </c>
      <c r="AU26" s="17">
        <f t="shared" ref="AU26:AY26" si="146">IF(OR(P27=""),"",(P27-P26)*1000)</f>
        <v>2800.00000000018</v>
      </c>
      <c r="AV26" s="17">
        <f t="shared" si="146"/>
        <v>0</v>
      </c>
      <c r="AW26" s="17">
        <f t="shared" si="146"/>
        <v>99.9999999994543</v>
      </c>
      <c r="AX26" s="17">
        <f t="shared" si="146"/>
        <v>1400.00000000055</v>
      </c>
      <c r="AY26" s="17">
        <f t="shared" si="146"/>
        <v>9100.00000000036</v>
      </c>
      <c r="AZ26" s="17">
        <f t="shared" si="31"/>
        <v>13400.0000000005</v>
      </c>
      <c r="BA26" s="17">
        <f t="shared" si="32"/>
        <v>7599.99999999854</v>
      </c>
      <c r="BB26" s="17">
        <f t="shared" si="33"/>
        <v>1064.00000000023</v>
      </c>
      <c r="BC26" s="17">
        <f t="shared" si="34"/>
        <v>1283.99999999965</v>
      </c>
      <c r="BD26" s="17">
        <f t="shared" si="35"/>
        <v>12174.3999999839</v>
      </c>
      <c r="BE26" s="17">
        <f t="shared" si="36"/>
        <v>47599.999999984</v>
      </c>
      <c r="BF26" s="17">
        <f t="shared" si="37"/>
        <v>56.1000000000004</v>
      </c>
      <c r="BG26" s="20">
        <f t="shared" si="38"/>
        <v>0.303426294820615</v>
      </c>
      <c r="BH26" s="20">
        <f t="shared" si="39"/>
        <v>0.0401440637450159</v>
      </c>
      <c r="BI26" s="20">
        <f t="shared" si="40"/>
        <v>0</v>
      </c>
      <c r="BJ26" s="20">
        <f t="shared" si="41"/>
        <v>0.0368446215139554</v>
      </c>
      <c r="BK26" s="20">
        <f t="shared" ref="BK26:BO26" si="147">IF(OR($AD26=0),"",AZ26/$AD26)</f>
        <v>0.0854183266932306</v>
      </c>
      <c r="BL26" s="20">
        <f t="shared" si="147"/>
        <v>0.048446215139433</v>
      </c>
      <c r="BM26" s="20">
        <f t="shared" si="147"/>
        <v>0.0067824701195234</v>
      </c>
      <c r="BN26" s="20">
        <f t="shared" si="147"/>
        <v>0.0081848605577667</v>
      </c>
      <c r="BO26" s="20">
        <f t="shared" si="147"/>
        <v>0.0776057370516902</v>
      </c>
    </row>
    <row r="27" spans="1:67">
      <c r="A27" s="9">
        <f t="shared" si="21"/>
        <v>44705</v>
      </c>
      <c r="B27" s="10">
        <v>18220.14</v>
      </c>
      <c r="C27" s="8">
        <v>97503.4</v>
      </c>
      <c r="D27" s="8">
        <v>65182.7</v>
      </c>
      <c r="E27" s="8">
        <v>63987.7</v>
      </c>
      <c r="F27" s="8">
        <v>8335.97</v>
      </c>
      <c r="G27" s="8">
        <v>120701.3</v>
      </c>
      <c r="H27" s="8">
        <v>5709.7</v>
      </c>
      <c r="I27" s="8">
        <v>2566.3</v>
      </c>
      <c r="J27" s="8">
        <v>967</v>
      </c>
      <c r="K27" s="8">
        <v>56</v>
      </c>
      <c r="L27" s="8">
        <v>98694.4</v>
      </c>
      <c r="M27" s="8">
        <v>61529.5</v>
      </c>
      <c r="N27" s="8">
        <v>80936.1</v>
      </c>
      <c r="O27" s="8">
        <v>109376.6</v>
      </c>
      <c r="P27" s="8">
        <v>6298.1</v>
      </c>
      <c r="Q27" s="8">
        <v>8276.9</v>
      </c>
      <c r="R27" s="8">
        <v>4805.9</v>
      </c>
      <c r="S27" s="8">
        <v>5928.8</v>
      </c>
      <c r="T27" s="8">
        <v>7959.8</v>
      </c>
      <c r="U27" s="8">
        <v>18712</v>
      </c>
      <c r="V27" s="8">
        <v>53900.3</v>
      </c>
      <c r="W27" s="8">
        <v>57346.6</v>
      </c>
      <c r="X27" s="8">
        <v>5381.2</v>
      </c>
      <c r="Y27" s="8">
        <v>5292.4</v>
      </c>
      <c r="Z27" s="15">
        <f t="shared" si="22"/>
        <v>68020.2</v>
      </c>
      <c r="AA27" s="8">
        <v>2151.5</v>
      </c>
      <c r="AB27" s="13">
        <v>8227</v>
      </c>
      <c r="AC27" s="7">
        <f t="shared" si="23"/>
        <v>10378.5</v>
      </c>
      <c r="AD27" s="16">
        <v>169114</v>
      </c>
      <c r="AE27" s="17">
        <f t="shared" ref="AE27:AI27" si="148">IF(OR(C28=""),"",(C28-C27)*80)</f>
        <v>0</v>
      </c>
      <c r="AF27" s="17">
        <f t="shared" si="148"/>
        <v>2648.00000000047</v>
      </c>
      <c r="AG27" s="17">
        <f t="shared" si="148"/>
        <v>2256.00000000035</v>
      </c>
      <c r="AH27" s="17">
        <f t="shared" si="148"/>
        <v>4.00000000008731</v>
      </c>
      <c r="AI27" s="17">
        <f t="shared" si="148"/>
        <v>1967.9999999993</v>
      </c>
      <c r="AJ27" s="17">
        <f t="shared" si="25"/>
        <v>6876.0000000002</v>
      </c>
      <c r="AK27" s="17">
        <f t="shared" ref="AK27:AN27" si="149">IF(OR(H28=""),"",(H28-H27)*80)</f>
        <v>0</v>
      </c>
      <c r="AL27" s="17">
        <f t="shared" si="149"/>
        <v>0</v>
      </c>
      <c r="AM27" s="17">
        <f t="shared" si="149"/>
        <v>0</v>
      </c>
      <c r="AN27" s="17">
        <f t="shared" si="149"/>
        <v>0</v>
      </c>
      <c r="AO27" s="17">
        <f t="shared" si="27"/>
        <v>0</v>
      </c>
      <c r="AP27" s="17">
        <f t="shared" ref="AP27:AS27" si="150">IF(OR(L28=""),"",(L28-L27)*100)</f>
        <v>1580.00000000029</v>
      </c>
      <c r="AQ27" s="17">
        <f t="shared" si="150"/>
        <v>0</v>
      </c>
      <c r="AR27" s="17">
        <f t="shared" si="150"/>
        <v>2629.99999999884</v>
      </c>
      <c r="AS27" s="17">
        <f t="shared" si="150"/>
        <v>2039.99999999942</v>
      </c>
      <c r="AT27" s="17">
        <f t="shared" si="29"/>
        <v>6249.99999999854</v>
      </c>
      <c r="AU27" s="17">
        <f t="shared" ref="AU27:AY27" si="151">IF(OR(P28=""),"",(P28-P27)*1000)</f>
        <v>1099.99999999945</v>
      </c>
      <c r="AV27" s="17">
        <f t="shared" si="151"/>
        <v>0</v>
      </c>
      <c r="AW27" s="17">
        <f t="shared" si="151"/>
        <v>2800.00000000018</v>
      </c>
      <c r="AX27" s="17">
        <f t="shared" si="151"/>
        <v>399.999999999636</v>
      </c>
      <c r="AY27" s="17">
        <f t="shared" si="151"/>
        <v>8599.99999999945</v>
      </c>
      <c r="AZ27" s="17">
        <f t="shared" si="31"/>
        <v>12899.9999999987</v>
      </c>
      <c r="BA27" s="17">
        <f t="shared" si="32"/>
        <v>7800.00000000291</v>
      </c>
      <c r="BB27" s="17">
        <f t="shared" si="33"/>
        <v>1023.99999999965</v>
      </c>
      <c r="BC27" s="17">
        <f t="shared" si="34"/>
        <v>1300</v>
      </c>
      <c r="BD27" s="17">
        <f t="shared" si="35"/>
        <v>12450.0000000058</v>
      </c>
      <c r="BE27" s="17">
        <f t="shared" si="36"/>
        <v>48600.0000000058</v>
      </c>
      <c r="BF27" s="17">
        <f t="shared" si="37"/>
        <v>47.7000000000007</v>
      </c>
      <c r="BG27" s="20">
        <f t="shared" si="38"/>
        <v>0.287380110458069</v>
      </c>
      <c r="BH27" s="20">
        <f t="shared" si="39"/>
        <v>0.0406589637759157</v>
      </c>
      <c r="BI27" s="20">
        <f t="shared" si="40"/>
        <v>0</v>
      </c>
      <c r="BJ27" s="20">
        <f t="shared" si="41"/>
        <v>0.0369573187317345</v>
      </c>
      <c r="BK27" s="20">
        <f t="shared" ref="BK27:BO27" si="152">IF(OR($AD27=0),"",AZ27/$AD27)</f>
        <v>0.0762799058623102</v>
      </c>
      <c r="BL27" s="20">
        <f t="shared" si="152"/>
        <v>0.0461227337772326</v>
      </c>
      <c r="BM27" s="20">
        <f t="shared" si="152"/>
        <v>0.00605508710100672</v>
      </c>
      <c r="BN27" s="20">
        <f t="shared" si="152"/>
        <v>0.00768712229620256</v>
      </c>
      <c r="BO27" s="20">
        <f t="shared" si="152"/>
        <v>0.0736189789136664</v>
      </c>
    </row>
    <row r="28" spans="1:67">
      <c r="A28" s="9">
        <f t="shared" si="21"/>
        <v>44706</v>
      </c>
      <c r="B28" s="10">
        <v>18225</v>
      </c>
      <c r="C28" s="8">
        <v>97503.4</v>
      </c>
      <c r="D28" s="8">
        <v>65215.8</v>
      </c>
      <c r="E28" s="8">
        <v>64015.9</v>
      </c>
      <c r="F28" s="8">
        <v>8336.02</v>
      </c>
      <c r="G28" s="8">
        <v>120725.9</v>
      </c>
      <c r="H28" s="8">
        <v>5709.7</v>
      </c>
      <c r="I28" s="8">
        <v>2566.3</v>
      </c>
      <c r="J28" s="8">
        <v>967</v>
      </c>
      <c r="K28" s="8">
        <v>56</v>
      </c>
      <c r="L28" s="8">
        <v>98710.2</v>
      </c>
      <c r="M28" s="8">
        <v>61529.5</v>
      </c>
      <c r="N28" s="8">
        <v>80962.4</v>
      </c>
      <c r="O28" s="8">
        <v>109397</v>
      </c>
      <c r="P28" s="8">
        <v>6299.2</v>
      </c>
      <c r="Q28" s="8">
        <v>8276.9</v>
      </c>
      <c r="R28" s="8">
        <v>4808.7</v>
      </c>
      <c r="S28" s="8">
        <v>5929.2</v>
      </c>
      <c r="T28" s="8">
        <v>7968.4</v>
      </c>
      <c r="U28" s="8">
        <v>18715.9</v>
      </c>
      <c r="V28" s="8">
        <v>53913.1</v>
      </c>
      <c r="W28" s="8">
        <v>57363.2</v>
      </c>
      <c r="X28" s="8">
        <v>5389.3</v>
      </c>
      <c r="Y28" s="8">
        <v>5300.2</v>
      </c>
      <c r="Z28" s="15">
        <f t="shared" si="22"/>
        <v>68052.7</v>
      </c>
      <c r="AA28" s="8">
        <v>2195.2</v>
      </c>
      <c r="AB28" s="13">
        <v>8231</v>
      </c>
      <c r="AC28" s="7">
        <f t="shared" si="23"/>
        <v>10426.2</v>
      </c>
      <c r="AD28" s="16">
        <v>172048</v>
      </c>
      <c r="AE28" s="17">
        <f t="shared" ref="AE28:AI28" si="153">IF(OR(C29=""),"",(C29-C28)*80)</f>
        <v>0</v>
      </c>
      <c r="AF28" s="17">
        <f t="shared" si="153"/>
        <v>2560</v>
      </c>
      <c r="AG28" s="17">
        <f t="shared" si="153"/>
        <v>2552.00000000012</v>
      </c>
      <c r="AH28" s="17">
        <f t="shared" si="153"/>
        <v>4.79999999995925</v>
      </c>
      <c r="AI28" s="17">
        <f t="shared" si="153"/>
        <v>2008.00000000047</v>
      </c>
      <c r="AJ28" s="17">
        <f t="shared" si="25"/>
        <v>7124.80000000054</v>
      </c>
      <c r="AK28" s="17">
        <f t="shared" ref="AK28:AN28" si="154">IF(OR(H29=""),"",(H29-H28)*80)</f>
        <v>0</v>
      </c>
      <c r="AL28" s="17">
        <f t="shared" si="154"/>
        <v>0</v>
      </c>
      <c r="AM28" s="17">
        <f t="shared" si="154"/>
        <v>0</v>
      </c>
      <c r="AN28" s="17">
        <f t="shared" si="154"/>
        <v>0</v>
      </c>
      <c r="AO28" s="17">
        <f t="shared" si="27"/>
        <v>0</v>
      </c>
      <c r="AP28" s="17">
        <f t="shared" ref="AP28:AS28" si="155">IF(OR(L29=""),"",(L29-L28)*100)</f>
        <v>1760.00000000058</v>
      </c>
      <c r="AQ28" s="17">
        <f t="shared" si="155"/>
        <v>0</v>
      </c>
      <c r="AR28" s="17">
        <f t="shared" si="155"/>
        <v>2850</v>
      </c>
      <c r="AS28" s="17">
        <f t="shared" si="155"/>
        <v>1760.00000000058</v>
      </c>
      <c r="AT28" s="17">
        <f t="shared" si="29"/>
        <v>6370.00000000116</v>
      </c>
      <c r="AU28" s="17">
        <f t="shared" ref="AU28:AY28" si="156">IF(OR(P29=""),"",(P29-P28)*1000)</f>
        <v>0</v>
      </c>
      <c r="AV28" s="17">
        <f t="shared" si="156"/>
        <v>0</v>
      </c>
      <c r="AW28" s="17">
        <f t="shared" si="156"/>
        <v>4600.00000000036</v>
      </c>
      <c r="AX28" s="17">
        <f t="shared" si="156"/>
        <v>0</v>
      </c>
      <c r="AY28" s="17">
        <f t="shared" si="156"/>
        <v>8700.00000000073</v>
      </c>
      <c r="AZ28" s="17">
        <f t="shared" si="31"/>
        <v>13300.0000000011</v>
      </c>
      <c r="BA28" s="17">
        <f t="shared" si="32"/>
        <v>7799.99999999563</v>
      </c>
      <c r="BB28" s="17">
        <f t="shared" si="33"/>
        <v>1056.00000000035</v>
      </c>
      <c r="BC28" s="17">
        <f t="shared" si="34"/>
        <v>1320</v>
      </c>
      <c r="BD28" s="17">
        <f t="shared" si="35"/>
        <v>13329.1999999896</v>
      </c>
      <c r="BE28" s="17">
        <f t="shared" si="36"/>
        <v>50299.9999999884</v>
      </c>
      <c r="BF28" s="17">
        <f t="shared" si="37"/>
        <v>49.5</v>
      </c>
      <c r="BG28" s="20">
        <f t="shared" si="38"/>
        <v>0.292360271552057</v>
      </c>
      <c r="BH28" s="20">
        <f t="shared" si="39"/>
        <v>0.0414116990607304</v>
      </c>
      <c r="BI28" s="20">
        <f t="shared" si="40"/>
        <v>0</v>
      </c>
      <c r="BJ28" s="20">
        <f t="shared" si="41"/>
        <v>0.0370245512880194</v>
      </c>
      <c r="BK28" s="20">
        <f t="shared" ref="BK28:BO28" si="157">IF(OR($AD28=0),"",AZ28/$AD28)</f>
        <v>0.077304008183769</v>
      </c>
      <c r="BL28" s="20">
        <f t="shared" si="157"/>
        <v>0.0453361852506024</v>
      </c>
      <c r="BM28" s="20">
        <f t="shared" si="157"/>
        <v>0.00613782200316394</v>
      </c>
      <c r="BN28" s="20">
        <f t="shared" si="157"/>
        <v>0.00767227750395238</v>
      </c>
      <c r="BO28" s="20">
        <f t="shared" si="157"/>
        <v>0.0774737282618198</v>
      </c>
    </row>
    <row r="29" spans="1:67">
      <c r="A29" s="9">
        <f t="shared" si="21"/>
        <v>44707</v>
      </c>
      <c r="B29" s="10">
        <v>18230.03</v>
      </c>
      <c r="C29" s="8">
        <v>97503.4</v>
      </c>
      <c r="D29" s="8">
        <v>65247.8</v>
      </c>
      <c r="E29" s="8">
        <v>64047.8</v>
      </c>
      <c r="F29" s="8">
        <v>8336.08</v>
      </c>
      <c r="G29" s="8">
        <v>120751</v>
      </c>
      <c r="H29" s="8">
        <v>5709.7</v>
      </c>
      <c r="I29" s="8">
        <v>2566.3</v>
      </c>
      <c r="J29" s="8">
        <v>967</v>
      </c>
      <c r="K29" s="8">
        <v>56</v>
      </c>
      <c r="L29" s="8">
        <v>98727.8</v>
      </c>
      <c r="M29" s="8">
        <v>61529.5</v>
      </c>
      <c r="N29" s="8">
        <v>80990.9</v>
      </c>
      <c r="O29" s="8">
        <v>109414.6</v>
      </c>
      <c r="P29" s="8">
        <v>6299.2</v>
      </c>
      <c r="Q29" s="8">
        <v>8276.9</v>
      </c>
      <c r="R29" s="8">
        <v>4813.3</v>
      </c>
      <c r="S29" s="8">
        <v>5929.2</v>
      </c>
      <c r="T29" s="8">
        <v>7977.1</v>
      </c>
      <c r="U29" s="8">
        <v>18719.8</v>
      </c>
      <c r="V29" s="8">
        <v>53926.3</v>
      </c>
      <c r="W29" s="8">
        <v>57379.9</v>
      </c>
      <c r="X29" s="8">
        <v>5308.2</v>
      </c>
      <c r="Y29" s="8">
        <v>5397.6</v>
      </c>
      <c r="Z29" s="15">
        <f t="shared" si="22"/>
        <v>68085.7</v>
      </c>
      <c r="AA29" s="8">
        <v>2239.7</v>
      </c>
      <c r="AB29" s="13">
        <v>8236</v>
      </c>
      <c r="AC29" s="7">
        <f t="shared" si="23"/>
        <v>10475.7</v>
      </c>
      <c r="AD29" s="16">
        <v>163273</v>
      </c>
      <c r="AE29" s="17">
        <f t="shared" ref="AE29:AI29" si="158">IF(OR(C30=""),"",(C30-C29)*80)</f>
        <v>0</v>
      </c>
      <c r="AF29" s="17">
        <f t="shared" si="158"/>
        <v>3007.99999999988</v>
      </c>
      <c r="AG29" s="17">
        <f t="shared" si="158"/>
        <v>2063.99999999965</v>
      </c>
      <c r="AH29" s="17">
        <f t="shared" si="158"/>
        <v>3.99999999994179</v>
      </c>
      <c r="AI29" s="17">
        <f t="shared" si="158"/>
        <v>1808.00000000047</v>
      </c>
      <c r="AJ29" s="17">
        <f t="shared" si="25"/>
        <v>6883.99999999994</v>
      </c>
      <c r="AK29" s="17">
        <f t="shared" ref="AK29:AN29" si="159">IF(OR(H30=""),"",(H30-H29)*80)</f>
        <v>0</v>
      </c>
      <c r="AL29" s="17">
        <f t="shared" si="159"/>
        <v>0</v>
      </c>
      <c r="AM29" s="17">
        <f t="shared" si="159"/>
        <v>0</v>
      </c>
      <c r="AN29" s="17">
        <f t="shared" si="159"/>
        <v>0</v>
      </c>
      <c r="AO29" s="17">
        <f t="shared" si="27"/>
        <v>0</v>
      </c>
      <c r="AP29" s="17">
        <f t="shared" ref="AP29:AS29" si="160">IF(OR(L30=""),"",(L30-L29)*100)</f>
        <v>1280.00000000029</v>
      </c>
      <c r="AQ29" s="17">
        <f t="shared" si="160"/>
        <v>0</v>
      </c>
      <c r="AR29" s="17">
        <f t="shared" si="160"/>
        <v>2860.00000000058</v>
      </c>
      <c r="AS29" s="17">
        <f t="shared" si="160"/>
        <v>2000</v>
      </c>
      <c r="AT29" s="17">
        <f t="shared" si="29"/>
        <v>6140.00000000087</v>
      </c>
      <c r="AU29" s="17">
        <f t="shared" ref="AU29:AY29" si="161">IF(OR(P30=""),"",(P30-P29)*1000)</f>
        <v>0</v>
      </c>
      <c r="AV29" s="17">
        <f t="shared" si="161"/>
        <v>800.000000001091</v>
      </c>
      <c r="AW29" s="17">
        <f t="shared" si="161"/>
        <v>4000</v>
      </c>
      <c r="AX29" s="17">
        <f t="shared" si="161"/>
        <v>0</v>
      </c>
      <c r="AY29" s="17">
        <f t="shared" si="161"/>
        <v>8799.99999999927</v>
      </c>
      <c r="AZ29" s="17">
        <f t="shared" si="31"/>
        <v>13600.0000000004</v>
      </c>
      <c r="BA29" s="17">
        <f t="shared" si="32"/>
        <v>8800.00000000291</v>
      </c>
      <c r="BB29" s="17">
        <f t="shared" si="33"/>
        <v>1055.99999999977</v>
      </c>
      <c r="BC29" s="17">
        <f t="shared" si="34"/>
        <v>1328.00000000047</v>
      </c>
      <c r="BD29" s="17">
        <f t="shared" si="35"/>
        <v>13292.0000000015</v>
      </c>
      <c r="BE29" s="17">
        <f t="shared" si="36"/>
        <v>51100.0000000058</v>
      </c>
      <c r="BF29" s="17">
        <f t="shared" si="37"/>
        <v>48.5</v>
      </c>
      <c r="BG29" s="20">
        <f t="shared" si="38"/>
        <v>0.312972751159137</v>
      </c>
      <c r="BH29" s="20">
        <f t="shared" si="39"/>
        <v>0.0421625130915702</v>
      </c>
      <c r="BI29" s="20">
        <f t="shared" si="40"/>
        <v>0</v>
      </c>
      <c r="BJ29" s="20">
        <f t="shared" si="41"/>
        <v>0.0376057278300814</v>
      </c>
      <c r="BK29" s="20">
        <f t="shared" ref="BK29:BO29" si="162">IF(OR($AD29=0),"",AZ29/$AD29)</f>
        <v>0.0832960746724833</v>
      </c>
      <c r="BL29" s="20">
        <f t="shared" si="162"/>
        <v>0.0538974600822115</v>
      </c>
      <c r="BM29" s="20">
        <f t="shared" si="162"/>
        <v>0.00646769520986181</v>
      </c>
      <c r="BN29" s="20">
        <f t="shared" si="162"/>
        <v>0.00813361670331571</v>
      </c>
      <c r="BO29" s="20">
        <f t="shared" si="162"/>
        <v>0.0814096635696135</v>
      </c>
    </row>
    <row r="30" spans="1:67">
      <c r="A30" s="9">
        <f t="shared" si="21"/>
        <v>44708</v>
      </c>
      <c r="B30" s="10">
        <v>18235.14</v>
      </c>
      <c r="C30" s="8">
        <v>97503.4</v>
      </c>
      <c r="D30" s="8">
        <v>65285.4</v>
      </c>
      <c r="E30" s="8">
        <v>64073.6</v>
      </c>
      <c r="F30" s="8">
        <v>8336.13</v>
      </c>
      <c r="G30" s="8">
        <v>120773.6</v>
      </c>
      <c r="H30" s="8">
        <v>5709.7</v>
      </c>
      <c r="I30" s="8">
        <v>2566.3</v>
      </c>
      <c r="J30" s="8">
        <v>967</v>
      </c>
      <c r="K30" s="8">
        <v>56</v>
      </c>
      <c r="L30" s="8">
        <v>98740.6</v>
      </c>
      <c r="M30" s="8">
        <v>61529.5</v>
      </c>
      <c r="N30" s="8">
        <v>81019.5</v>
      </c>
      <c r="O30" s="8">
        <v>109434.6</v>
      </c>
      <c r="P30" s="8">
        <v>6299.2</v>
      </c>
      <c r="Q30" s="8">
        <v>8277.7</v>
      </c>
      <c r="R30" s="8">
        <v>4817.3</v>
      </c>
      <c r="S30" s="8">
        <v>5929.2</v>
      </c>
      <c r="T30" s="8">
        <v>7985.9</v>
      </c>
      <c r="U30" s="8">
        <v>18724.2</v>
      </c>
      <c r="V30" s="8">
        <v>53939.5</v>
      </c>
      <c r="W30" s="8">
        <v>57396.8</v>
      </c>
      <c r="X30" s="8">
        <v>5405.9</v>
      </c>
      <c r="Y30" s="8">
        <v>5316.2</v>
      </c>
      <c r="Z30" s="15">
        <f t="shared" si="22"/>
        <v>68118.9</v>
      </c>
      <c r="AA30" s="8">
        <v>2284.2</v>
      </c>
      <c r="AB30" s="13">
        <v>8240</v>
      </c>
      <c r="AC30" s="7">
        <f t="shared" si="23"/>
        <v>10524.2</v>
      </c>
      <c r="AD30" s="16">
        <v>173261</v>
      </c>
      <c r="AE30" s="17">
        <f t="shared" ref="AE30:AI30" si="163">IF(OR(C31=""),"",(C31-C30)*80)</f>
        <v>0</v>
      </c>
      <c r="AF30" s="17">
        <f t="shared" si="163"/>
        <v>2880</v>
      </c>
      <c r="AG30" s="17">
        <f t="shared" si="163"/>
        <v>2872.00000000012</v>
      </c>
      <c r="AH30" s="17">
        <f t="shared" si="163"/>
        <v>4.80000000010477</v>
      </c>
      <c r="AI30" s="17">
        <f t="shared" si="163"/>
        <v>1783.99999999907</v>
      </c>
      <c r="AJ30" s="17">
        <f t="shared" si="25"/>
        <v>7540.79999999929</v>
      </c>
      <c r="AK30" s="17">
        <f t="shared" ref="AK30:AN30" si="164">IF(OR(H31=""),"",(H31-H30)*80)</f>
        <v>0</v>
      </c>
      <c r="AL30" s="17">
        <f t="shared" si="164"/>
        <v>0</v>
      </c>
      <c r="AM30" s="17">
        <f t="shared" si="164"/>
        <v>0</v>
      </c>
      <c r="AN30" s="17">
        <f t="shared" si="164"/>
        <v>0</v>
      </c>
      <c r="AO30" s="17">
        <f t="shared" si="27"/>
        <v>0</v>
      </c>
      <c r="AP30" s="17">
        <f t="shared" ref="AP30:AS30" si="165">IF(OR(L31=""),"",(L31-L30)*100)</f>
        <v>1559.99999999913</v>
      </c>
      <c r="AQ30" s="17">
        <f t="shared" si="165"/>
        <v>0</v>
      </c>
      <c r="AR30" s="17">
        <f t="shared" si="165"/>
        <v>2800</v>
      </c>
      <c r="AS30" s="17">
        <f t="shared" si="165"/>
        <v>2009.99999999913</v>
      </c>
      <c r="AT30" s="17">
        <f t="shared" si="29"/>
        <v>6369.99999999825</v>
      </c>
      <c r="AU30" s="17">
        <f t="shared" ref="AU30:AY30" si="166">IF(OR(P31=""),"",(P31-P30)*1000)</f>
        <v>2000</v>
      </c>
      <c r="AV30" s="17">
        <f t="shared" si="166"/>
        <v>2299.99999999927</v>
      </c>
      <c r="AW30" s="17">
        <f t="shared" si="166"/>
        <v>0</v>
      </c>
      <c r="AX30" s="17">
        <f t="shared" si="166"/>
        <v>1500</v>
      </c>
      <c r="AY30" s="17">
        <f t="shared" si="166"/>
        <v>7700.00000000073</v>
      </c>
      <c r="AZ30" s="17">
        <f t="shared" si="31"/>
        <v>13500</v>
      </c>
      <c r="BA30" s="17">
        <f t="shared" si="32"/>
        <v>7599.99999999854</v>
      </c>
      <c r="BB30" s="17">
        <f t="shared" si="33"/>
        <v>1072.00000000012</v>
      </c>
      <c r="BC30" s="17">
        <f t="shared" si="34"/>
        <v>1267.9999999993</v>
      </c>
      <c r="BD30" s="17">
        <f t="shared" si="35"/>
        <v>11349.1999999943</v>
      </c>
      <c r="BE30" s="17">
        <f t="shared" si="36"/>
        <v>48699.9999999898</v>
      </c>
      <c r="BF30" s="17">
        <f t="shared" si="37"/>
        <v>48.7999999999993</v>
      </c>
      <c r="BG30" s="20">
        <f t="shared" si="38"/>
        <v>0.281078834821396</v>
      </c>
      <c r="BH30" s="20">
        <f t="shared" si="39"/>
        <v>0.0435227777745672</v>
      </c>
      <c r="BI30" s="20">
        <f t="shared" si="40"/>
        <v>0</v>
      </c>
      <c r="BJ30" s="20">
        <f t="shared" si="41"/>
        <v>0.0367653424602089</v>
      </c>
      <c r="BK30" s="20">
        <f t="shared" ref="BK30:BO30" si="167">IF(OR($AD30=0),"",AZ30/$AD30)</f>
        <v>0.0779171308026619</v>
      </c>
      <c r="BL30" s="20">
        <f t="shared" si="167"/>
        <v>0.0438644588222309</v>
      </c>
      <c r="BM30" s="20">
        <f t="shared" si="167"/>
        <v>0.0061871973496639</v>
      </c>
      <c r="BN30" s="20">
        <f t="shared" si="167"/>
        <v>0.00731843865612747</v>
      </c>
      <c r="BO30" s="20">
        <f t="shared" si="167"/>
        <v>0.0655034889559353</v>
      </c>
    </row>
    <row r="31" spans="1:67">
      <c r="A31" s="9">
        <f t="shared" si="21"/>
        <v>44709</v>
      </c>
      <c r="B31" s="10">
        <v>18240.01</v>
      </c>
      <c r="C31" s="8">
        <v>97503.4</v>
      </c>
      <c r="D31" s="8">
        <v>65321.4</v>
      </c>
      <c r="E31" s="8">
        <v>64109.5</v>
      </c>
      <c r="F31" s="8">
        <v>8336.19</v>
      </c>
      <c r="G31" s="8">
        <v>120795.9</v>
      </c>
      <c r="H31" s="8">
        <v>5709.7</v>
      </c>
      <c r="I31" s="8">
        <v>2566.3</v>
      </c>
      <c r="J31" s="8">
        <v>967</v>
      </c>
      <c r="K31" s="8">
        <v>56</v>
      </c>
      <c r="L31" s="8">
        <v>98756.2</v>
      </c>
      <c r="M31" s="8">
        <v>61529.5</v>
      </c>
      <c r="N31" s="8">
        <v>81047.5</v>
      </c>
      <c r="O31" s="8">
        <v>109454.7</v>
      </c>
      <c r="P31" s="8">
        <v>6301.2</v>
      </c>
      <c r="Q31" s="8">
        <v>8280</v>
      </c>
      <c r="R31" s="8">
        <v>4817.3</v>
      </c>
      <c r="S31" s="8">
        <v>5930.7</v>
      </c>
      <c r="T31" s="8">
        <v>7993.6</v>
      </c>
      <c r="U31" s="8">
        <v>18728</v>
      </c>
      <c r="V31" s="8">
        <v>53952.9</v>
      </c>
      <c r="W31" s="8">
        <v>57413.1</v>
      </c>
      <c r="X31" s="8">
        <v>5413.7</v>
      </c>
      <c r="Y31" s="8">
        <v>5323.8</v>
      </c>
      <c r="Z31" s="15">
        <f t="shared" si="22"/>
        <v>68150.6</v>
      </c>
      <c r="AA31" s="8">
        <v>2328</v>
      </c>
      <c r="AB31" s="13">
        <v>8245</v>
      </c>
      <c r="AC31" s="7">
        <f t="shared" si="23"/>
        <v>10573</v>
      </c>
      <c r="AD31" s="16">
        <v>163980</v>
      </c>
      <c r="AE31" s="17">
        <f t="shared" ref="AE31:AI31" si="168">IF(OR(C32=""),"",(C32-C31)*80)</f>
        <v>0</v>
      </c>
      <c r="AF31" s="17">
        <f t="shared" si="168"/>
        <v>2720</v>
      </c>
      <c r="AG31" s="17">
        <f t="shared" si="168"/>
        <v>2215.99999999977</v>
      </c>
      <c r="AH31" s="17">
        <f t="shared" si="168"/>
        <v>3.99999999994179</v>
      </c>
      <c r="AI31" s="17">
        <f t="shared" si="168"/>
        <v>2064.00000000023</v>
      </c>
      <c r="AJ31" s="17">
        <f t="shared" si="25"/>
        <v>7003.99999999994</v>
      </c>
      <c r="AK31" s="17">
        <f t="shared" ref="AK31:AN31" si="169">IF(OR(H32=""),"",(H32-H31)*80)</f>
        <v>0</v>
      </c>
      <c r="AL31" s="17">
        <f t="shared" si="169"/>
        <v>0</v>
      </c>
      <c r="AM31" s="17">
        <f t="shared" si="169"/>
        <v>0</v>
      </c>
      <c r="AN31" s="17">
        <f t="shared" si="169"/>
        <v>0</v>
      </c>
      <c r="AO31" s="17">
        <f t="shared" si="27"/>
        <v>0</v>
      </c>
      <c r="AP31" s="17">
        <f t="shared" ref="AP31:AS31" si="170">IF(OR(L32=""),"",(L32-L31)*100)</f>
        <v>1360.00000000058</v>
      </c>
      <c r="AQ31" s="17">
        <f t="shared" si="170"/>
        <v>9.99999999985448</v>
      </c>
      <c r="AR31" s="17">
        <f t="shared" si="170"/>
        <v>2919.99999999971</v>
      </c>
      <c r="AS31" s="17">
        <f t="shared" si="170"/>
        <v>2000</v>
      </c>
      <c r="AT31" s="17">
        <f t="shared" si="29"/>
        <v>6290.00000000015</v>
      </c>
      <c r="AU31" s="17">
        <f t="shared" ref="AU31:AY31" si="171">IF(OR(P32=""),"",(P32-P31)*1000)</f>
        <v>0</v>
      </c>
      <c r="AV31" s="17">
        <f t="shared" si="171"/>
        <v>0</v>
      </c>
      <c r="AW31" s="17">
        <f t="shared" si="171"/>
        <v>0</v>
      </c>
      <c r="AX31" s="17">
        <f t="shared" si="171"/>
        <v>4900.00000000055</v>
      </c>
      <c r="AY31" s="17">
        <f t="shared" si="171"/>
        <v>9199.99999999982</v>
      </c>
      <c r="AZ31" s="17">
        <f t="shared" si="31"/>
        <v>14100.0000000004</v>
      </c>
      <c r="BA31" s="17">
        <f t="shared" si="32"/>
        <v>7800.00000000291</v>
      </c>
      <c r="BB31" s="17">
        <f t="shared" si="33"/>
        <v>1095.99999999977</v>
      </c>
      <c r="BC31" s="17">
        <f t="shared" si="34"/>
        <v>1312.0000000007</v>
      </c>
      <c r="BD31" s="17">
        <f t="shared" si="35"/>
        <v>12397.9999999962</v>
      </c>
      <c r="BE31" s="17">
        <f t="shared" si="36"/>
        <v>50000</v>
      </c>
      <c r="BF31" s="17">
        <f t="shared" si="37"/>
        <v>45.7999999999993</v>
      </c>
      <c r="BG31" s="20">
        <f t="shared" si="38"/>
        <v>0.304915233565069</v>
      </c>
      <c r="BH31" s="20">
        <f t="shared" si="39"/>
        <v>0.0427125259177945</v>
      </c>
      <c r="BI31" s="20">
        <f t="shared" si="40"/>
        <v>0</v>
      </c>
      <c r="BJ31" s="20">
        <f t="shared" si="41"/>
        <v>0.0383583363824866</v>
      </c>
      <c r="BK31" s="20">
        <f t="shared" ref="BK31:BO31" si="172">IF(OR($AD31=0),"",AZ31/$AD31)</f>
        <v>0.0859860958653516</v>
      </c>
      <c r="BL31" s="20">
        <f t="shared" si="172"/>
        <v>0.0475667764361685</v>
      </c>
      <c r="BM31" s="20">
        <f t="shared" si="172"/>
        <v>0.00668374191974489</v>
      </c>
      <c r="BN31" s="20">
        <f t="shared" si="172"/>
        <v>0.00800097572875167</v>
      </c>
      <c r="BO31" s="20">
        <f t="shared" si="172"/>
        <v>0.0756067813147712</v>
      </c>
    </row>
    <row r="32" spans="1:67">
      <c r="A32" s="9">
        <f t="shared" si="21"/>
        <v>44710</v>
      </c>
      <c r="B32" s="10">
        <v>18245.01</v>
      </c>
      <c r="C32" s="8">
        <v>97503.4</v>
      </c>
      <c r="D32" s="8">
        <v>65355.4</v>
      </c>
      <c r="E32" s="8">
        <v>64137.2</v>
      </c>
      <c r="F32" s="8">
        <v>8336.24</v>
      </c>
      <c r="G32" s="8">
        <v>120821.7</v>
      </c>
      <c r="H32" s="8">
        <v>5709.7</v>
      </c>
      <c r="I32" s="8">
        <v>2566.3</v>
      </c>
      <c r="J32" s="8">
        <v>967</v>
      </c>
      <c r="K32" s="8">
        <v>56</v>
      </c>
      <c r="L32" s="8">
        <v>98769.8</v>
      </c>
      <c r="M32" s="8">
        <v>61529.6</v>
      </c>
      <c r="N32" s="8">
        <v>81076.7</v>
      </c>
      <c r="O32" s="8">
        <v>109474.7</v>
      </c>
      <c r="P32" s="8">
        <v>6301.2</v>
      </c>
      <c r="Q32" s="8">
        <v>8280</v>
      </c>
      <c r="R32" s="8">
        <v>4817.3</v>
      </c>
      <c r="S32" s="8">
        <v>5935.6</v>
      </c>
      <c r="T32" s="8">
        <v>8002.8</v>
      </c>
      <c r="U32" s="8">
        <v>18731.9</v>
      </c>
      <c r="V32" s="8">
        <v>53966.6</v>
      </c>
      <c r="W32" s="8">
        <v>57429.8</v>
      </c>
      <c r="X32" s="8">
        <v>5421.9</v>
      </c>
      <c r="Y32" s="8">
        <v>5331.7</v>
      </c>
      <c r="Z32" s="15">
        <f t="shared" si="22"/>
        <v>68183.4</v>
      </c>
      <c r="AA32" s="8">
        <v>2370.8</v>
      </c>
      <c r="AB32" s="13">
        <v>8248</v>
      </c>
      <c r="AC32" s="7">
        <f t="shared" si="23"/>
        <v>10618.8</v>
      </c>
      <c r="AD32" s="16">
        <v>170139</v>
      </c>
      <c r="AE32" s="17">
        <f t="shared" ref="AE32:AI32" si="173">IF(OR(C33=""),"",(C33-C32)*80)</f>
        <v>0</v>
      </c>
      <c r="AF32" s="17">
        <f t="shared" si="173"/>
        <v>2912.00000000012</v>
      </c>
      <c r="AG32" s="17">
        <f t="shared" si="173"/>
        <v>2416.00000000035</v>
      </c>
      <c r="AH32" s="17">
        <f t="shared" si="173"/>
        <v>4.79999999995925</v>
      </c>
      <c r="AI32" s="17">
        <f t="shared" si="173"/>
        <v>2000</v>
      </c>
      <c r="AJ32" s="17">
        <f t="shared" si="25"/>
        <v>7332.80000000042</v>
      </c>
      <c r="AK32" s="17">
        <f t="shared" ref="AK32:AN32" si="174">IF(OR(H33=""),"",(H33-H32)*80)</f>
        <v>0</v>
      </c>
      <c r="AL32" s="17">
        <f t="shared" si="174"/>
        <v>0</v>
      </c>
      <c r="AM32" s="17">
        <f t="shared" si="174"/>
        <v>0</v>
      </c>
      <c r="AN32" s="17">
        <f t="shared" si="174"/>
        <v>0</v>
      </c>
      <c r="AO32" s="17">
        <f t="shared" si="27"/>
        <v>0</v>
      </c>
      <c r="AP32" s="17">
        <f t="shared" ref="AP32:AS32" si="175">IF(OR(L33=""),"",(L33-L32)*100)</f>
        <v>1439.99999999942</v>
      </c>
      <c r="AQ32" s="17">
        <f t="shared" si="175"/>
        <v>0</v>
      </c>
      <c r="AR32" s="17">
        <f t="shared" si="175"/>
        <v>2810.00000000058</v>
      </c>
      <c r="AS32" s="17">
        <f t="shared" si="175"/>
        <v>1980.00000000029</v>
      </c>
      <c r="AT32" s="17">
        <f t="shared" si="29"/>
        <v>6230.00000000029</v>
      </c>
      <c r="AU32" s="17">
        <f t="shared" ref="AU32:AY32" si="176">IF(OR(P33=""),"",(P33-P32)*1000)</f>
        <v>0</v>
      </c>
      <c r="AV32" s="17">
        <f t="shared" si="176"/>
        <v>0</v>
      </c>
      <c r="AW32" s="17">
        <f t="shared" si="176"/>
        <v>0</v>
      </c>
      <c r="AX32" s="17">
        <f t="shared" si="176"/>
        <v>5099.99999999945</v>
      </c>
      <c r="AY32" s="17">
        <f t="shared" si="176"/>
        <v>8699.99999999982</v>
      </c>
      <c r="AZ32" s="17">
        <f t="shared" si="31"/>
        <v>13799.9999999993</v>
      </c>
      <c r="BA32" s="17">
        <f t="shared" si="32"/>
        <v>7799.99999999563</v>
      </c>
      <c r="BB32" s="17">
        <f t="shared" si="33"/>
        <v>1087.99999999988</v>
      </c>
      <c r="BC32" s="17">
        <f t="shared" si="34"/>
        <v>1291.99999999953</v>
      </c>
      <c r="BD32" s="17">
        <f t="shared" si="35"/>
        <v>12857.2000000137</v>
      </c>
      <c r="BE32" s="17">
        <f t="shared" si="36"/>
        <v>50400.0000000087</v>
      </c>
      <c r="BF32" s="17">
        <f t="shared" si="37"/>
        <v>48.8000000000011</v>
      </c>
      <c r="BG32" s="20">
        <f t="shared" si="38"/>
        <v>0.296228377973355</v>
      </c>
      <c r="BH32" s="20">
        <f t="shared" si="39"/>
        <v>0.0430988779762455</v>
      </c>
      <c r="BI32" s="20">
        <f t="shared" si="40"/>
        <v>0</v>
      </c>
      <c r="BJ32" s="20">
        <f t="shared" si="41"/>
        <v>0.036617118943924</v>
      </c>
      <c r="BK32" s="20">
        <f t="shared" ref="BK32:BO32" si="177">IF(OR($AD32=0),"",AZ32/$AD32)</f>
        <v>0.0811101511117338</v>
      </c>
      <c r="BL32" s="20">
        <f t="shared" si="177"/>
        <v>0.0458448680196524</v>
      </c>
      <c r="BM32" s="20">
        <f t="shared" si="177"/>
        <v>0.0063947713340262</v>
      </c>
      <c r="BN32" s="20">
        <f t="shared" si="177"/>
        <v>0.00759379095915419</v>
      </c>
      <c r="BO32" s="20">
        <f t="shared" si="177"/>
        <v>0.0755687996286195</v>
      </c>
    </row>
    <row r="33" spans="1:67">
      <c r="A33" s="9">
        <f t="shared" si="21"/>
        <v>44711</v>
      </c>
      <c r="B33" s="10">
        <v>18250.05</v>
      </c>
      <c r="C33" s="8">
        <v>97503.4</v>
      </c>
      <c r="D33" s="8">
        <v>65391.8</v>
      </c>
      <c r="E33" s="8">
        <v>64167.4</v>
      </c>
      <c r="F33" s="8">
        <v>8336.3</v>
      </c>
      <c r="G33" s="8">
        <v>120846.7</v>
      </c>
      <c r="H33" s="8">
        <v>5709.7</v>
      </c>
      <c r="I33" s="8">
        <v>2566.3</v>
      </c>
      <c r="J33" s="8">
        <v>967</v>
      </c>
      <c r="K33" s="8">
        <v>56</v>
      </c>
      <c r="L33" s="8">
        <v>98784.2</v>
      </c>
      <c r="M33" s="8">
        <v>61529.6</v>
      </c>
      <c r="N33" s="8">
        <v>81104.8</v>
      </c>
      <c r="O33" s="8">
        <v>109494.5</v>
      </c>
      <c r="P33" s="8">
        <v>6301.2</v>
      </c>
      <c r="Q33" s="8">
        <v>8280</v>
      </c>
      <c r="R33" s="8">
        <v>4817.3</v>
      </c>
      <c r="S33" s="8">
        <v>5940.7</v>
      </c>
      <c r="T33" s="8">
        <v>8011.5</v>
      </c>
      <c r="U33" s="8">
        <v>18735.8</v>
      </c>
      <c r="V33" s="8">
        <v>53980.2</v>
      </c>
      <c r="W33" s="8">
        <v>57446.2</v>
      </c>
      <c r="X33" s="8">
        <v>5430</v>
      </c>
      <c r="Y33" s="8">
        <v>5339.5</v>
      </c>
      <c r="Z33" s="15">
        <f t="shared" si="22"/>
        <v>68215.7</v>
      </c>
      <c r="AA33" s="8">
        <v>2414.6</v>
      </c>
      <c r="AB33" s="13">
        <v>8253</v>
      </c>
      <c r="AC33" s="7">
        <f t="shared" si="23"/>
        <v>10667.6</v>
      </c>
      <c r="AD33" s="16">
        <v>180309</v>
      </c>
      <c r="AE33" s="17">
        <f t="shared" ref="AE33:AI33" si="178">IF(OR(C34=""),"",(C34-C33)*80)</f>
        <v>0</v>
      </c>
      <c r="AF33" s="17">
        <f t="shared" si="178"/>
        <v>2991.99999999953</v>
      </c>
      <c r="AG33" s="17">
        <f t="shared" si="178"/>
        <v>3127.99999999988</v>
      </c>
      <c r="AH33" s="17">
        <f t="shared" si="178"/>
        <v>4.00000000008731</v>
      </c>
      <c r="AI33" s="17">
        <f t="shared" si="178"/>
        <v>2024.00000000023</v>
      </c>
      <c r="AJ33" s="17">
        <f t="shared" si="25"/>
        <v>8147.99999999974</v>
      </c>
      <c r="AK33" s="17">
        <f t="shared" ref="AK33:AN33" si="179">IF(OR(H34=""),"",(H34-H33)*80)</f>
        <v>0</v>
      </c>
      <c r="AL33" s="17">
        <f t="shared" si="179"/>
        <v>0</v>
      </c>
      <c r="AM33" s="17">
        <f t="shared" si="179"/>
        <v>0</v>
      </c>
      <c r="AN33" s="17">
        <f t="shared" si="179"/>
        <v>0</v>
      </c>
      <c r="AO33" s="17">
        <f t="shared" si="27"/>
        <v>0</v>
      </c>
      <c r="AP33" s="17">
        <f t="shared" ref="AP33:AS33" si="180">IF(OR(L34=""),"",(L34-L33)*100)</f>
        <v>1819.99999999971</v>
      </c>
      <c r="AQ33" s="17">
        <f t="shared" si="180"/>
        <v>9.99999999985448</v>
      </c>
      <c r="AR33" s="17">
        <f t="shared" si="180"/>
        <v>2889.99999999942</v>
      </c>
      <c r="AS33" s="17">
        <f t="shared" si="180"/>
        <v>2010.00000000058</v>
      </c>
      <c r="AT33" s="17">
        <f t="shared" si="29"/>
        <v>6729.99999999956</v>
      </c>
      <c r="AU33" s="17">
        <f t="shared" ref="AU33:AY33" si="181">IF(OR(P34=""),"",(P34-P33)*1000)</f>
        <v>0</v>
      </c>
      <c r="AV33" s="17">
        <f t="shared" si="181"/>
        <v>0</v>
      </c>
      <c r="AW33" s="17">
        <f t="shared" si="181"/>
        <v>1199.99999999982</v>
      </c>
      <c r="AX33" s="17">
        <f t="shared" si="181"/>
        <v>3900.00000000055</v>
      </c>
      <c r="AY33" s="17">
        <f t="shared" si="181"/>
        <v>9100.00000000036</v>
      </c>
      <c r="AZ33" s="17">
        <f t="shared" si="31"/>
        <v>14200.0000000007</v>
      </c>
      <c r="BA33" s="17">
        <f t="shared" si="32"/>
        <v>8200.00000000437</v>
      </c>
      <c r="BB33" s="17">
        <f t="shared" si="33"/>
        <v>1096.00000000035</v>
      </c>
      <c r="BC33" s="17">
        <f t="shared" si="34"/>
        <v>1727.99999999988</v>
      </c>
      <c r="BD33" s="17">
        <f t="shared" si="35"/>
        <v>13398.0000000172</v>
      </c>
      <c r="BE33" s="17">
        <f t="shared" si="36"/>
        <v>53500.0000000218</v>
      </c>
      <c r="BF33" s="17">
        <f t="shared" si="37"/>
        <v>54.6000000000004</v>
      </c>
      <c r="BG33" s="20">
        <f t="shared" si="38"/>
        <v>0.296712865137191</v>
      </c>
      <c r="BH33" s="20">
        <f t="shared" si="39"/>
        <v>0.0451890920586312</v>
      </c>
      <c r="BI33" s="20">
        <f t="shared" si="40"/>
        <v>0</v>
      </c>
      <c r="BJ33" s="20">
        <f t="shared" si="41"/>
        <v>0.0373248146237823</v>
      </c>
      <c r="BK33" s="20">
        <f t="shared" ref="BK33:BO33" si="182">IF(OR($AD33=0),"",AZ33/$AD33)</f>
        <v>0.0787536950457311</v>
      </c>
      <c r="BL33" s="20">
        <f t="shared" si="182"/>
        <v>0.0454774858715004</v>
      </c>
      <c r="BM33" s="20">
        <f t="shared" si="182"/>
        <v>0.0060784542091651</v>
      </c>
      <c r="BN33" s="20">
        <f t="shared" si="182"/>
        <v>0.00958354824218361</v>
      </c>
      <c r="BO33" s="20">
        <f t="shared" si="182"/>
        <v>0.0743057750861976</v>
      </c>
    </row>
    <row r="34" spans="1:67">
      <c r="A34" s="9">
        <f t="shared" si="21"/>
        <v>44712</v>
      </c>
      <c r="B34" s="7">
        <v>18255.4</v>
      </c>
      <c r="C34" s="8">
        <v>97503.4</v>
      </c>
      <c r="D34" s="8">
        <v>65429.2</v>
      </c>
      <c r="E34" s="8">
        <v>64206.5</v>
      </c>
      <c r="F34" s="8">
        <v>8336.35</v>
      </c>
      <c r="G34" s="8">
        <v>120872</v>
      </c>
      <c r="H34" s="8">
        <v>5709.7</v>
      </c>
      <c r="I34" s="8">
        <v>2566.3</v>
      </c>
      <c r="J34" s="8">
        <v>967</v>
      </c>
      <c r="K34" s="8">
        <v>56</v>
      </c>
      <c r="L34" s="8">
        <v>98802.4</v>
      </c>
      <c r="M34" s="8">
        <v>61529.7</v>
      </c>
      <c r="N34" s="8">
        <v>81133.7</v>
      </c>
      <c r="O34" s="8">
        <v>109514.6</v>
      </c>
      <c r="P34" s="8">
        <v>6301.2</v>
      </c>
      <c r="Q34" s="8">
        <v>8280</v>
      </c>
      <c r="R34" s="8">
        <v>4818.5</v>
      </c>
      <c r="S34" s="8">
        <v>5944.6</v>
      </c>
      <c r="T34" s="8">
        <v>8020.6</v>
      </c>
      <c r="U34" s="8">
        <v>18739.9</v>
      </c>
      <c r="V34" s="8">
        <v>53993.9</v>
      </c>
      <c r="W34" s="8">
        <v>57463.1</v>
      </c>
      <c r="X34" s="8">
        <v>5443.6</v>
      </c>
      <c r="Y34" s="8">
        <v>5352.2</v>
      </c>
      <c r="Z34" s="15">
        <f t="shared" si="22"/>
        <v>68258.9</v>
      </c>
      <c r="AA34" s="8">
        <v>2459.2</v>
      </c>
      <c r="AB34" s="13">
        <v>8263</v>
      </c>
      <c r="AC34" s="7">
        <f t="shared" si="23"/>
        <v>10722.2</v>
      </c>
      <c r="AD34" s="16">
        <v>177252</v>
      </c>
      <c r="AE34" s="17">
        <f t="shared" ref="AE34:AI34" si="183">IF(OR(C35=""),"",(C35-C34)*80)</f>
        <v>0</v>
      </c>
      <c r="AF34" s="17">
        <f t="shared" si="183"/>
        <v>2912.00000000012</v>
      </c>
      <c r="AG34" s="17">
        <f t="shared" si="183"/>
        <v>2295.99999999977</v>
      </c>
      <c r="AH34" s="17">
        <f t="shared" si="183"/>
        <v>4.79999999995925</v>
      </c>
      <c r="AI34" s="17">
        <f t="shared" si="183"/>
        <v>1951.99999999953</v>
      </c>
      <c r="AJ34" s="17">
        <f t="shared" si="25"/>
        <v>7164.79999999938</v>
      </c>
      <c r="AK34" s="17">
        <f t="shared" ref="AK34:AN34" si="184">IF(OR(H35=""),"",(H35-H34)*80)</f>
        <v>0</v>
      </c>
      <c r="AL34" s="17">
        <f t="shared" si="184"/>
        <v>0</v>
      </c>
      <c r="AM34" s="17">
        <f t="shared" si="184"/>
        <v>0</v>
      </c>
      <c r="AN34" s="17">
        <f t="shared" si="184"/>
        <v>0</v>
      </c>
      <c r="AO34" s="17">
        <f t="shared" si="27"/>
        <v>0</v>
      </c>
      <c r="AP34" s="17">
        <f t="shared" ref="AP34:AS34" si="185">IF(OR(L35=""),"",(L35-L34)*100)</f>
        <v>1640.00000000087</v>
      </c>
      <c r="AQ34" s="17">
        <f t="shared" si="185"/>
        <v>0</v>
      </c>
      <c r="AR34" s="17">
        <f t="shared" si="185"/>
        <v>2860.00000000058</v>
      </c>
      <c r="AS34" s="17">
        <f t="shared" si="185"/>
        <v>2069.99999999971</v>
      </c>
      <c r="AT34" s="17">
        <f t="shared" si="29"/>
        <v>6570.00000000116</v>
      </c>
      <c r="AU34" s="17">
        <f t="shared" ref="AU34:AY34" si="186">IF(OR(P35=""),"",(P35-P34)*1000)</f>
        <v>0</v>
      </c>
      <c r="AV34" s="17">
        <f t="shared" si="186"/>
        <v>100.000000000364</v>
      </c>
      <c r="AW34" s="17">
        <f t="shared" si="186"/>
        <v>0</v>
      </c>
      <c r="AX34" s="17">
        <f t="shared" si="186"/>
        <v>4899.99999999964</v>
      </c>
      <c r="AY34" s="17">
        <f t="shared" si="186"/>
        <v>8699.99999999982</v>
      </c>
      <c r="AZ34" s="17">
        <f t="shared" si="31"/>
        <v>13699.9999999998</v>
      </c>
      <c r="BA34" s="17">
        <f t="shared" si="32"/>
        <v>8399.99999999418</v>
      </c>
      <c r="BB34" s="17">
        <f t="shared" si="33"/>
        <v>1055.99999999977</v>
      </c>
      <c r="BC34" s="17">
        <f t="shared" si="34"/>
        <v>1700</v>
      </c>
      <c r="BD34" s="17">
        <f t="shared" si="35"/>
        <v>12309.2000000071</v>
      </c>
      <c r="BE34" s="17">
        <f t="shared" si="36"/>
        <v>50900.0000000015</v>
      </c>
      <c r="BF34" s="17">
        <f t="shared" si="37"/>
        <v>55.2999999999993</v>
      </c>
      <c r="BG34" s="20">
        <f t="shared" si="38"/>
        <v>0.287161780967219</v>
      </c>
      <c r="BH34" s="20">
        <f t="shared" si="39"/>
        <v>0.040421546724434</v>
      </c>
      <c r="BI34" s="20">
        <f t="shared" si="40"/>
        <v>0</v>
      </c>
      <c r="BJ34" s="20">
        <f t="shared" si="41"/>
        <v>0.0370658723173852</v>
      </c>
      <c r="BK34" s="20">
        <f t="shared" ref="BK34:BO34" si="187">IF(OR($AD34=0),"",AZ34/$AD34)</f>
        <v>0.077291088393924</v>
      </c>
      <c r="BL34" s="20">
        <f t="shared" si="187"/>
        <v>0.0473901563874832</v>
      </c>
      <c r="BM34" s="20">
        <f t="shared" si="187"/>
        <v>0.00595761966014356</v>
      </c>
      <c r="BN34" s="20">
        <f t="shared" si="187"/>
        <v>0.00959086498318778</v>
      </c>
      <c r="BO34" s="20">
        <f t="shared" si="187"/>
        <v>0.0694446325006609</v>
      </c>
    </row>
    <row r="35" spans="1:67">
      <c r="A35" s="9">
        <f t="shared" si="21"/>
        <v>44713</v>
      </c>
      <c r="B35" s="10">
        <v>18260.49</v>
      </c>
      <c r="C35" s="11">
        <v>97503.4</v>
      </c>
      <c r="D35" s="11">
        <v>65465.6</v>
      </c>
      <c r="E35" s="11">
        <v>64235.2</v>
      </c>
      <c r="F35" s="11">
        <v>8336.41</v>
      </c>
      <c r="G35" s="11">
        <v>120896.4</v>
      </c>
      <c r="H35" s="8">
        <v>5709.7</v>
      </c>
      <c r="I35" s="8">
        <v>2566.3</v>
      </c>
      <c r="J35" s="8">
        <v>967</v>
      </c>
      <c r="K35" s="8">
        <v>56</v>
      </c>
      <c r="L35" s="11">
        <v>98818.8</v>
      </c>
      <c r="M35" s="11">
        <v>61529.7</v>
      </c>
      <c r="N35" s="11">
        <v>81162.3</v>
      </c>
      <c r="O35" s="11">
        <v>109535.3</v>
      </c>
      <c r="P35" s="11">
        <v>6301.2</v>
      </c>
      <c r="Q35" s="11">
        <v>8280.1</v>
      </c>
      <c r="R35" s="11">
        <v>4818.5</v>
      </c>
      <c r="S35" s="11">
        <v>5949.5</v>
      </c>
      <c r="T35" s="11">
        <v>8029.3</v>
      </c>
      <c r="U35" s="11">
        <v>18744.1</v>
      </c>
      <c r="V35" s="11">
        <v>54007.1</v>
      </c>
      <c r="W35" s="11">
        <v>57479.2</v>
      </c>
      <c r="X35" s="11">
        <v>5457.3</v>
      </c>
      <c r="Y35" s="11">
        <v>5364.9</v>
      </c>
      <c r="Z35" s="15">
        <f t="shared" si="22"/>
        <v>68301.4</v>
      </c>
      <c r="AA35" s="11">
        <v>2501.5</v>
      </c>
      <c r="AB35" s="3">
        <v>8276</v>
      </c>
      <c r="AC35" s="3">
        <f t="shared" si="23"/>
        <v>10777.5</v>
      </c>
      <c r="BE35" s="21" t="s">
        <v>44</v>
      </c>
      <c r="BF35" s="21" t="s">
        <v>19</v>
      </c>
      <c r="BG35" s="22">
        <f>SUM(BE4:BE34)</f>
        <v>1598600.00000001</v>
      </c>
      <c r="BH35" s="22">
        <f>SUM(AJ4:AJ34)</f>
        <v>220716.8</v>
      </c>
      <c r="BI35" s="22">
        <f>SUM(AO4:AO34)</f>
        <v>0</v>
      </c>
      <c r="BJ35" s="22">
        <f>SUM(AT4:AT34)</f>
        <v>210130.000000001</v>
      </c>
      <c r="BK35" s="22">
        <f t="shared" ref="BK35:BO35" si="188">SUM(AZ4:AZ34)</f>
        <v>439200</v>
      </c>
      <c r="BL35" s="22">
        <f t="shared" si="188"/>
        <v>279599.999999999</v>
      </c>
      <c r="BM35" s="22">
        <f t="shared" si="188"/>
        <v>31792.0000000001</v>
      </c>
      <c r="BN35" s="22">
        <f t="shared" si="188"/>
        <v>42583.9999999997</v>
      </c>
      <c r="BO35" s="22">
        <f t="shared" si="188"/>
        <v>374577.200000007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5455242</v>
      </c>
      <c r="BF36" s="21" t="s">
        <v>21</v>
      </c>
      <c r="BG36" s="23">
        <f>IF(OR(BG35=0),"",ROUND(BG35/$BE$36,3))</f>
        <v>0.293</v>
      </c>
      <c r="BH36" s="23">
        <f t="shared" ref="BH36:BO36" si="189">IF(OR(BH35=0),"",ROUND(BH35/$BE$36,4))</f>
        <v>0.0405</v>
      </c>
      <c r="BI36" s="23" t="str">
        <f t="shared" si="189"/>
        <v/>
      </c>
      <c r="BJ36" s="23">
        <f t="shared" si="189"/>
        <v>0.0385</v>
      </c>
      <c r="BK36" s="23">
        <f t="shared" si="189"/>
        <v>0.0805</v>
      </c>
      <c r="BL36" s="23">
        <f t="shared" si="189"/>
        <v>0.0513</v>
      </c>
      <c r="BM36" s="23">
        <f t="shared" si="189"/>
        <v>0.0058</v>
      </c>
      <c r="BN36" s="23">
        <f t="shared" si="189"/>
        <v>0.0078</v>
      </c>
      <c r="BO36" s="23">
        <f t="shared" si="189"/>
        <v>0.0687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workbookViewId="0">
      <pane xSplit="1" ySplit="3" topLeftCell="B9" activePane="bottomRight" state="frozen"/>
      <selection/>
      <selection pane="topRight"/>
      <selection pane="bottomLeft"/>
      <selection pane="bottomRight" activeCell="A4" sqref="A4:A34"/>
    </sheetView>
  </sheetViews>
  <sheetFormatPr defaultColWidth="9" defaultRowHeight="14.25"/>
  <cols>
    <col min="1" max="1" width="8.10833333333333" style="1" customWidth="1"/>
    <col min="2" max="2" width="9.33333333333333" style="2" customWidth="1"/>
    <col min="3" max="3" width="8.66666666666667" style="3" customWidth="1"/>
    <col min="4" max="4" width="8.10833333333333" style="3" customWidth="1"/>
    <col min="5" max="5" width="8.44166666666667" style="3" customWidth="1"/>
    <col min="6" max="6" width="7.44166666666667" style="3" customWidth="1"/>
    <col min="7" max="7" width="9.66666666666667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3" width="9" style="3" customWidth="1"/>
    <col min="14" max="14" width="8.66666666666667" style="3" customWidth="1"/>
    <col min="15" max="15" width="9.21666666666667" style="3" customWidth="1"/>
    <col min="16" max="16" width="7.775" style="3" customWidth="1"/>
    <col min="17" max="17" width="8.33333333333333" style="3" customWidth="1"/>
    <col min="18" max="18" width="8" style="3" customWidth="1"/>
    <col min="19" max="20" width="7.44166666666667" style="3" customWidth="1"/>
    <col min="21" max="21" width="8.66666666666667" style="3" customWidth="1"/>
    <col min="22" max="22" width="8.88333333333333" style="3" customWidth="1"/>
    <col min="23" max="23" width="8.10833333333333" style="3" customWidth="1"/>
    <col min="24" max="24" width="7.44166666666667" style="3" customWidth="1"/>
    <col min="25" max="25" width="8.21666666666667" style="3" customWidth="1"/>
    <col min="26" max="26" width="9.10833333333333" style="3" customWidth="1"/>
    <col min="27" max="28" width="7.44166666666667" style="3" customWidth="1"/>
    <col min="29" max="29" width="9.88333333333333" style="3" customWidth="1"/>
    <col min="30" max="30" width="7.66666666666667" style="3" customWidth="1"/>
    <col min="31" max="31" width="4" style="1" customWidth="1"/>
    <col min="32" max="33" width="5.44166666666667" style="1" customWidth="1"/>
    <col min="34" max="34" width="6.21666666666667" style="1" customWidth="1"/>
    <col min="35" max="35" width="5.66666666666667" style="1" customWidth="1"/>
    <col min="36" max="36" width="6.66666666666667" style="1" customWidth="1"/>
    <col min="37" max="40" width="4" style="1" customWidth="1"/>
    <col min="41" max="41" width="5.44166666666667" style="1" customWidth="1"/>
    <col min="42" max="42" width="5.21666666666667" style="1" customWidth="1"/>
    <col min="43" max="43" width="4" style="1" customWidth="1"/>
    <col min="44" max="44" width="5.775" style="1" customWidth="1"/>
    <col min="45" max="45" width="5.21666666666667" style="1" customWidth="1"/>
    <col min="46" max="46" width="6.66666666666667" style="1" customWidth="1"/>
    <col min="47" max="51" width="5.44166666666667" style="1" customWidth="1"/>
    <col min="52" max="55" width="6.66666666666667" style="1" customWidth="1"/>
    <col min="56" max="56" width="8.10833333333333" style="1" customWidth="1"/>
    <col min="57" max="57" width="7.10833333333333" style="1" customWidth="1"/>
    <col min="58" max="58" width="4.44166666666667" style="1" customWidth="1"/>
    <col min="59" max="59" width="7.21666666666667" style="1" customWidth="1"/>
    <col min="60" max="60" width="7.775" style="1" customWidth="1"/>
    <col min="61" max="61" width="7.66666666666667" style="1" customWidth="1"/>
    <col min="62" max="62" width="7.33333333333333" style="1" customWidth="1"/>
    <col min="63" max="63" width="7.44166666666667" style="1" customWidth="1"/>
    <col min="64" max="64" width="7.21666666666667" style="1" customWidth="1"/>
    <col min="65" max="65" width="7.10833333333333" style="1" customWidth="1"/>
    <col min="66" max="66" width="7" style="1" customWidth="1"/>
    <col min="67" max="67" width="6.883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'5'!A35</f>
        <v>44713</v>
      </c>
      <c r="B4" s="10">
        <v>18260.49</v>
      </c>
      <c r="C4" s="11">
        <v>97503.4</v>
      </c>
      <c r="D4" s="11">
        <v>65465.6</v>
      </c>
      <c r="E4" s="11">
        <v>64235.2</v>
      </c>
      <c r="F4" s="11">
        <v>8336.41</v>
      </c>
      <c r="G4" s="11">
        <v>120896.4</v>
      </c>
      <c r="H4" s="8">
        <v>5709.7</v>
      </c>
      <c r="I4" s="8">
        <v>2566.3</v>
      </c>
      <c r="J4" s="8">
        <v>967</v>
      </c>
      <c r="K4" s="8">
        <v>56</v>
      </c>
      <c r="L4" s="11">
        <v>98818.8</v>
      </c>
      <c r="M4" s="11">
        <v>61529.7</v>
      </c>
      <c r="N4" s="11">
        <v>81162.3</v>
      </c>
      <c r="O4" s="11">
        <v>109535.3</v>
      </c>
      <c r="P4" s="11">
        <v>6301.2</v>
      </c>
      <c r="Q4" s="11">
        <v>8280.1</v>
      </c>
      <c r="R4" s="11">
        <v>4818.5</v>
      </c>
      <c r="S4" s="11">
        <v>5949.5</v>
      </c>
      <c r="T4" s="11">
        <v>8029.3</v>
      </c>
      <c r="U4" s="11">
        <v>18744.1</v>
      </c>
      <c r="V4" s="11">
        <v>54007.1</v>
      </c>
      <c r="W4" s="11">
        <v>57479.2</v>
      </c>
      <c r="X4" s="11">
        <v>5457.3</v>
      </c>
      <c r="Y4" s="11">
        <v>5364.9</v>
      </c>
      <c r="Z4" s="15">
        <f t="shared" ref="Z4" si="0">IF(OR(W4=""),"",(W4+X4+Y4))</f>
        <v>68301.4</v>
      </c>
      <c r="AA4" s="11">
        <v>2501.5</v>
      </c>
      <c r="AB4" s="11">
        <v>8276</v>
      </c>
      <c r="AC4" s="11">
        <f t="shared" ref="AC4" si="1">IF(OR(AA4=""),"",(AA4+AB4))</f>
        <v>10777.5</v>
      </c>
      <c r="AD4" s="16">
        <v>193449</v>
      </c>
      <c r="AE4" s="17">
        <f t="shared" ref="AE4:AI4" si="2">IF(OR(C5=""),"",(C5-C4)*80)</f>
        <v>0</v>
      </c>
      <c r="AF4" s="17">
        <f t="shared" si="2"/>
        <v>2967.99999999988</v>
      </c>
      <c r="AG4" s="17">
        <f t="shared" si="2"/>
        <v>2712.00000000012</v>
      </c>
      <c r="AH4" s="17">
        <f t="shared" si="2"/>
        <v>3.99999999994179</v>
      </c>
      <c r="AI4" s="17">
        <f t="shared" si="2"/>
        <v>2536.00000000093</v>
      </c>
      <c r="AJ4" s="17">
        <f t="shared" ref="AJ4:AJ34" si="3">IF(OR(AE4="",AF4="",AG4=""),"",AE4+AF4+AG4+AH4+AI4)</f>
        <v>8220.00000000087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:AO34" si="5">IF(OR(AK4="",AL4=""),"",AK4+AL4+AM4+AN4)</f>
        <v>0</v>
      </c>
      <c r="AP4" s="17">
        <f t="shared" ref="AP4:AS4" si="6">IF(OR(L5=""),"",(L5-L4)*100)</f>
        <v>2480.00000000029</v>
      </c>
      <c r="AQ4" s="17">
        <f t="shared" si="6"/>
        <v>0</v>
      </c>
      <c r="AR4" s="17">
        <f t="shared" si="6"/>
        <v>2959.99999999913</v>
      </c>
      <c r="AS4" s="17">
        <f t="shared" si="6"/>
        <v>2109.99999999913</v>
      </c>
      <c r="AT4" s="17">
        <f t="shared" ref="AT4:AT34" si="7">IF(OR(AP4="",AQ4=""),"",AP4+AQ4+AR4+AS4)</f>
        <v>7549.99999999854</v>
      </c>
      <c r="AU4" s="17">
        <f t="shared" ref="AU4:AY4" si="8">IF(OR(P5=""),"",(P5-P4)*1000)</f>
        <v>0</v>
      </c>
      <c r="AV4" s="17">
        <f t="shared" si="8"/>
        <v>0</v>
      </c>
      <c r="AW4" s="17">
        <f t="shared" si="8"/>
        <v>0</v>
      </c>
      <c r="AX4" s="17">
        <f t="shared" si="8"/>
        <v>0</v>
      </c>
      <c r="AY4" s="17">
        <f t="shared" si="8"/>
        <v>8399.99999999964</v>
      </c>
      <c r="AZ4" s="17">
        <f t="shared" ref="AZ4:AZ34" si="9">IF(OR(AU4="",AV4="",AW4=""),"",AU4+AV4+AW4+AX4+AY4)</f>
        <v>8399.99999999964</v>
      </c>
      <c r="BA4" s="17">
        <f t="shared" ref="BA4:BA34" si="10">IF(OR(U5=""),"",(U5-U4)*2000)</f>
        <v>9000</v>
      </c>
      <c r="BB4" s="17">
        <f t="shared" ref="BB4:BB34" si="11">IF(OR(V5=""),"",(V5-V4)*80)</f>
        <v>1112.00000000012</v>
      </c>
      <c r="BC4" s="17">
        <f>IF(OR(Z5=""),"",(Z5-Z4)*40)</f>
        <v>1724.00000000023</v>
      </c>
      <c r="BD4" s="17">
        <f t="shared" ref="BD4:BD34" si="12">IF(OR(BE4="",BC4=""),"",BE4-BC4-BB4-BA4-AZ4-AT4-AO4-AJ4)</f>
        <v>17693.9999999904</v>
      </c>
      <c r="BE4" s="17">
        <f t="shared" ref="BE4:BE34" si="13">IF(OR(B5=""),"",(B5-B4)*10000)</f>
        <v>53699.9999999898</v>
      </c>
      <c r="BF4" s="17">
        <f t="shared" ref="BF4:BF34" si="14">IF(OR(AC5=""),"",AC5-AC4)</f>
        <v>54.8999999999996</v>
      </c>
      <c r="BG4" s="20">
        <f t="shared" ref="BG4:BG34" si="15">IF(OR($AD4=0),"",BE4/$AD4)</f>
        <v>0.277592543771174</v>
      </c>
      <c r="BH4" s="20">
        <f t="shared" ref="BH4:BH34" si="16">IF(OR($AD4=0),"",AJ4/$AD4)</f>
        <v>0.0424918195493431</v>
      </c>
      <c r="BI4" s="20">
        <f t="shared" ref="BI4:BI34" si="17">IF(OR($AD4=0),"",AO4/$AD4)</f>
        <v>0</v>
      </c>
      <c r="BJ4" s="20">
        <f t="shared" ref="BJ4:BJ34" si="18">IF(OR($AD4=0),"",AT4/$AD4)</f>
        <v>0.0390283744035821</v>
      </c>
      <c r="BK4" s="20">
        <f t="shared" ref="BK4:BO4" si="19">IF(OR($AD4=0),"",AZ4/$AD4)</f>
        <v>0.0434222973496872</v>
      </c>
      <c r="BL4" s="20">
        <f t="shared" si="19"/>
        <v>0.046523890017524</v>
      </c>
      <c r="BM4" s="20">
        <f t="shared" si="19"/>
        <v>0.00574828507772134</v>
      </c>
      <c r="BN4" s="20">
        <f t="shared" si="19"/>
        <v>0.00891190959891358</v>
      </c>
      <c r="BO4" s="20">
        <f t="shared" si="19"/>
        <v>0.0914659677744026</v>
      </c>
    </row>
    <row r="5" spans="1:67">
      <c r="A5" s="9">
        <f t="shared" ref="A5:A34" si="20">A4+1</f>
        <v>44714</v>
      </c>
      <c r="B5" s="10">
        <v>18265.86</v>
      </c>
      <c r="C5" s="8">
        <v>97503.4</v>
      </c>
      <c r="D5" s="8">
        <v>65502.7</v>
      </c>
      <c r="E5" s="8">
        <v>64269.1</v>
      </c>
      <c r="F5" s="8">
        <v>8336.46</v>
      </c>
      <c r="G5" s="8">
        <v>120928.1</v>
      </c>
      <c r="H5" s="8">
        <v>5709.7</v>
      </c>
      <c r="I5" s="8">
        <v>2566.3</v>
      </c>
      <c r="J5" s="8">
        <v>967</v>
      </c>
      <c r="K5" s="8">
        <v>56</v>
      </c>
      <c r="L5" s="8">
        <v>98843.6</v>
      </c>
      <c r="M5" s="8">
        <v>61529.7</v>
      </c>
      <c r="N5" s="8">
        <v>81191.9</v>
      </c>
      <c r="O5" s="8">
        <v>109556.4</v>
      </c>
      <c r="P5" s="8">
        <v>6301.2</v>
      </c>
      <c r="Q5" s="8">
        <v>8280.1</v>
      </c>
      <c r="R5" s="8">
        <v>4818.5</v>
      </c>
      <c r="S5" s="8">
        <v>5949.5</v>
      </c>
      <c r="T5" s="8">
        <v>8037.7</v>
      </c>
      <c r="U5" s="8">
        <v>18748.6</v>
      </c>
      <c r="V5" s="8">
        <v>54021</v>
      </c>
      <c r="W5" s="8">
        <v>57495.8</v>
      </c>
      <c r="X5" s="8">
        <v>5471</v>
      </c>
      <c r="Y5" s="8">
        <v>5377.7</v>
      </c>
      <c r="Z5" s="15">
        <f t="shared" ref="Z5:Z35" si="21">IF(OR(W5=""),"",(W5+X5+Y5))</f>
        <v>68344.5</v>
      </c>
      <c r="AA5" s="8">
        <v>2544.4</v>
      </c>
      <c r="AB5" s="13">
        <v>8288</v>
      </c>
      <c r="AC5" s="7">
        <f t="shared" ref="AC5:AC34" si="22">IF(OR(AA5=""),"",(AA5+AB5))</f>
        <v>10832.4</v>
      </c>
      <c r="AD5" s="16">
        <v>186767</v>
      </c>
      <c r="AE5" s="17">
        <f t="shared" ref="AE5:AI5" si="23">IF(OR(C6=""),"",(C6-C5)*80)</f>
        <v>0</v>
      </c>
      <c r="AF5" s="17">
        <f t="shared" si="23"/>
        <v>3008.00000000047</v>
      </c>
      <c r="AG5" s="17">
        <f t="shared" si="23"/>
        <v>2944.00000000023</v>
      </c>
      <c r="AH5" s="17">
        <f t="shared" si="23"/>
        <v>3.20000000006985</v>
      </c>
      <c r="AI5" s="17">
        <f t="shared" si="23"/>
        <v>2231.99999999953</v>
      </c>
      <c r="AJ5" s="17">
        <f t="shared" si="3"/>
        <v>8187.2000000003</v>
      </c>
      <c r="AK5" s="17">
        <f t="shared" ref="AK5:AN5" si="24">IF(OR(H6=""),"",(H6-H5)*80)</f>
        <v>0</v>
      </c>
      <c r="AL5" s="17">
        <f t="shared" si="24"/>
        <v>0</v>
      </c>
      <c r="AM5" s="17">
        <f t="shared" si="24"/>
        <v>0</v>
      </c>
      <c r="AN5" s="17">
        <f t="shared" si="24"/>
        <v>0</v>
      </c>
      <c r="AO5" s="17">
        <f t="shared" si="5"/>
        <v>0</v>
      </c>
      <c r="AP5" s="17">
        <f t="shared" ref="AP5:AS5" si="25">IF(OR(L6=""),"",(L6-L5)*100)</f>
        <v>2000</v>
      </c>
      <c r="AQ5" s="17">
        <f t="shared" si="25"/>
        <v>0</v>
      </c>
      <c r="AR5" s="17">
        <f t="shared" si="25"/>
        <v>2930.00000000029</v>
      </c>
      <c r="AS5" s="17">
        <f t="shared" si="25"/>
        <v>2140.00000000087</v>
      </c>
      <c r="AT5" s="17">
        <f t="shared" si="7"/>
        <v>7070.00000000116</v>
      </c>
      <c r="AU5" s="17">
        <f t="shared" ref="AU5:AY5" si="26">IF(OR(P6=""),"",(P6-P5)*1000)</f>
        <v>600.000000000364</v>
      </c>
      <c r="AV5" s="17">
        <f t="shared" si="26"/>
        <v>2500</v>
      </c>
      <c r="AW5" s="17">
        <f t="shared" si="26"/>
        <v>6100.00000000036</v>
      </c>
      <c r="AX5" s="17">
        <f t="shared" si="26"/>
        <v>3600.00000000036</v>
      </c>
      <c r="AY5" s="17">
        <f t="shared" si="26"/>
        <v>4300.00000000018</v>
      </c>
      <c r="AZ5" s="17">
        <f t="shared" si="9"/>
        <v>17100.0000000013</v>
      </c>
      <c r="BA5" s="17">
        <f t="shared" si="10"/>
        <v>8000</v>
      </c>
      <c r="BB5" s="17">
        <f t="shared" si="11"/>
        <v>847.999999999884</v>
      </c>
      <c r="BC5" s="17">
        <f t="shared" ref="BC5:BC34" si="27">IF(OR(Z6=""),"",(Z6-Z5)*40)</f>
        <v>1727.99999999988</v>
      </c>
      <c r="BD5" s="17">
        <f t="shared" si="12"/>
        <v>9266.80000000913</v>
      </c>
      <c r="BE5" s="17">
        <f t="shared" si="13"/>
        <v>52200.0000000116</v>
      </c>
      <c r="BF5" s="17">
        <f t="shared" si="14"/>
        <v>56.3999999999996</v>
      </c>
      <c r="BG5" s="20">
        <f t="shared" si="15"/>
        <v>0.279492629854373</v>
      </c>
      <c r="BH5" s="20">
        <f t="shared" si="16"/>
        <v>0.0438364379146225</v>
      </c>
      <c r="BI5" s="20">
        <f t="shared" si="17"/>
        <v>0</v>
      </c>
      <c r="BJ5" s="20">
        <f t="shared" si="18"/>
        <v>0.0378546531239521</v>
      </c>
      <c r="BK5" s="20">
        <f t="shared" ref="BK5:BO5" si="28">IF(OR($AD5=0),"",AZ5/$AD5)</f>
        <v>0.0915579304695223</v>
      </c>
      <c r="BL5" s="20">
        <f t="shared" si="28"/>
        <v>0.042834119517902</v>
      </c>
      <c r="BM5" s="20">
        <f t="shared" si="28"/>
        <v>0.00454041666889699</v>
      </c>
      <c r="BN5" s="20">
        <f t="shared" si="28"/>
        <v>0.00925216981586621</v>
      </c>
      <c r="BO5" s="20">
        <f t="shared" si="28"/>
        <v>0.0496169023436107</v>
      </c>
    </row>
    <row r="6" spans="1:67">
      <c r="A6" s="9">
        <f t="shared" si="20"/>
        <v>44715</v>
      </c>
      <c r="B6" s="10">
        <v>18271.08</v>
      </c>
      <c r="C6" s="8">
        <v>97503.4</v>
      </c>
      <c r="D6" s="8">
        <v>65540.3</v>
      </c>
      <c r="E6" s="8">
        <v>64305.9</v>
      </c>
      <c r="F6" s="8">
        <v>8336.5</v>
      </c>
      <c r="G6" s="8">
        <v>120956</v>
      </c>
      <c r="H6" s="8">
        <v>5709.7</v>
      </c>
      <c r="I6" s="8">
        <v>2566.3</v>
      </c>
      <c r="J6" s="8">
        <v>967</v>
      </c>
      <c r="K6" s="8">
        <v>56</v>
      </c>
      <c r="L6" s="8">
        <v>98863.6</v>
      </c>
      <c r="M6" s="8">
        <v>61529.7</v>
      </c>
      <c r="N6" s="8">
        <v>81221.2</v>
      </c>
      <c r="O6" s="8">
        <v>109577.8</v>
      </c>
      <c r="P6" s="8">
        <v>6301.8</v>
      </c>
      <c r="Q6" s="8">
        <v>8282.6</v>
      </c>
      <c r="R6" s="8">
        <v>4824.6</v>
      </c>
      <c r="S6" s="8">
        <v>5953.1</v>
      </c>
      <c r="T6" s="8">
        <v>8042</v>
      </c>
      <c r="U6" s="8">
        <v>18752.6</v>
      </c>
      <c r="V6" s="8">
        <v>54031.6</v>
      </c>
      <c r="W6" s="8">
        <v>57512.2</v>
      </c>
      <c r="X6" s="8">
        <v>5484.7</v>
      </c>
      <c r="Y6" s="8">
        <v>5390.8</v>
      </c>
      <c r="Z6" s="15">
        <f t="shared" si="21"/>
        <v>68387.7</v>
      </c>
      <c r="AA6" s="8">
        <v>2587.8</v>
      </c>
      <c r="AB6" s="13">
        <v>8301</v>
      </c>
      <c r="AC6" s="7">
        <f t="shared" si="22"/>
        <v>10888.8</v>
      </c>
      <c r="AD6" s="16">
        <v>162483</v>
      </c>
      <c r="AE6" s="17">
        <f t="shared" ref="AE6:AI6" si="29">IF(OR(C7=""),"",(C7-C6)*80)</f>
        <v>0</v>
      </c>
      <c r="AF6" s="17">
        <f t="shared" si="29"/>
        <v>2864.00000000023</v>
      </c>
      <c r="AG6" s="17">
        <f t="shared" si="29"/>
        <v>1775.99999999977</v>
      </c>
      <c r="AH6" s="17">
        <f t="shared" si="29"/>
        <v>5.59999999997672</v>
      </c>
      <c r="AI6" s="17">
        <f t="shared" si="29"/>
        <v>2208.00000000047</v>
      </c>
      <c r="AJ6" s="17">
        <f t="shared" si="3"/>
        <v>6853.60000000044</v>
      </c>
      <c r="AK6" s="17">
        <f t="shared" ref="AK6:AN6" si="30">IF(OR(H7=""),"",(H7-H6)*80)</f>
        <v>0</v>
      </c>
      <c r="AL6" s="17">
        <f t="shared" si="30"/>
        <v>0</v>
      </c>
      <c r="AM6" s="17">
        <f t="shared" si="30"/>
        <v>0</v>
      </c>
      <c r="AN6" s="17">
        <f t="shared" si="30"/>
        <v>0</v>
      </c>
      <c r="AO6" s="17">
        <f t="shared" si="5"/>
        <v>0</v>
      </c>
      <c r="AP6" s="17">
        <f t="shared" ref="AP6:AS6" si="31">IF(OR(L7=""),"",(L7-L6)*100)</f>
        <v>1350</v>
      </c>
      <c r="AQ6" s="17">
        <f t="shared" si="31"/>
        <v>0</v>
      </c>
      <c r="AR6" s="17">
        <f t="shared" si="31"/>
        <v>2890.00000000087</v>
      </c>
      <c r="AS6" s="17">
        <f t="shared" si="31"/>
        <v>2180.00000000029</v>
      </c>
      <c r="AT6" s="17">
        <f t="shared" si="7"/>
        <v>6420.00000000116</v>
      </c>
      <c r="AU6" s="17">
        <f t="shared" ref="AU6:AY6" si="32">IF(OR(P7=""),"",(P7-P6)*1000)</f>
        <v>0</v>
      </c>
      <c r="AV6" s="17">
        <f t="shared" si="32"/>
        <v>3699.99999999891</v>
      </c>
      <c r="AW6" s="17">
        <f t="shared" si="32"/>
        <v>0</v>
      </c>
      <c r="AX6" s="17">
        <f t="shared" si="32"/>
        <v>5000</v>
      </c>
      <c r="AY6" s="17">
        <f t="shared" si="32"/>
        <v>5199.99999999982</v>
      </c>
      <c r="AZ6" s="17">
        <f t="shared" si="9"/>
        <v>13899.9999999987</v>
      </c>
      <c r="BA6" s="17">
        <f t="shared" si="10"/>
        <v>7800.00000000291</v>
      </c>
      <c r="BB6" s="17">
        <f t="shared" si="11"/>
        <v>607.999999999884</v>
      </c>
      <c r="BC6" s="17">
        <f t="shared" si="27"/>
        <v>1712.00000000012</v>
      </c>
      <c r="BD6" s="17">
        <f t="shared" si="12"/>
        <v>12406.399999972</v>
      </c>
      <c r="BE6" s="17">
        <f t="shared" si="13"/>
        <v>49699.9999999753</v>
      </c>
      <c r="BF6" s="17">
        <f t="shared" si="14"/>
        <v>56.6000000000004</v>
      </c>
      <c r="BG6" s="20">
        <f t="shared" si="15"/>
        <v>0.305878153406666</v>
      </c>
      <c r="BH6" s="20">
        <f t="shared" si="16"/>
        <v>0.0421804127201027</v>
      </c>
      <c r="BI6" s="20">
        <f t="shared" si="17"/>
        <v>0</v>
      </c>
      <c r="BJ6" s="20">
        <f t="shared" si="18"/>
        <v>0.0395118258525579</v>
      </c>
      <c r="BK6" s="20">
        <f t="shared" ref="BK6:BO6" si="33">IF(OR($AD6=0),"",AZ6/$AD6)</f>
        <v>0.0855474111137702</v>
      </c>
      <c r="BL6" s="20">
        <f t="shared" si="33"/>
        <v>0.0480050220638646</v>
      </c>
      <c r="BM6" s="20">
        <f t="shared" si="33"/>
        <v>0.00374192992497605</v>
      </c>
      <c r="BN6" s="20">
        <f t="shared" si="33"/>
        <v>0.0105364868940142</v>
      </c>
      <c r="BO6" s="20">
        <f t="shared" si="33"/>
        <v>0.07635506483738</v>
      </c>
    </row>
    <row r="7" spans="1:67">
      <c r="A7" s="9">
        <f t="shared" si="20"/>
        <v>44716</v>
      </c>
      <c r="B7" s="10">
        <v>18276.05</v>
      </c>
      <c r="C7" s="8">
        <v>97503.4</v>
      </c>
      <c r="D7" s="8">
        <v>65576.1</v>
      </c>
      <c r="E7" s="8">
        <v>64328.1</v>
      </c>
      <c r="F7" s="8">
        <v>8336.57</v>
      </c>
      <c r="G7" s="8">
        <v>120983.6</v>
      </c>
      <c r="H7" s="8">
        <v>5709.7</v>
      </c>
      <c r="I7" s="8">
        <v>2566.3</v>
      </c>
      <c r="J7" s="8">
        <v>967</v>
      </c>
      <c r="K7" s="8">
        <v>56</v>
      </c>
      <c r="L7" s="8">
        <v>98877.1</v>
      </c>
      <c r="M7" s="8">
        <v>61529.7</v>
      </c>
      <c r="N7" s="8">
        <v>81250.1</v>
      </c>
      <c r="O7" s="8">
        <v>109599.6</v>
      </c>
      <c r="P7" s="8">
        <v>6301.8</v>
      </c>
      <c r="Q7" s="8">
        <v>8286.3</v>
      </c>
      <c r="R7" s="8">
        <v>4824.6</v>
      </c>
      <c r="S7" s="8">
        <v>5958.1</v>
      </c>
      <c r="T7" s="8">
        <v>8047.2</v>
      </c>
      <c r="U7" s="8">
        <v>18756.5</v>
      </c>
      <c r="V7" s="8">
        <v>54039.2</v>
      </c>
      <c r="W7" s="8">
        <v>57528.8</v>
      </c>
      <c r="X7" s="8">
        <v>5498.1</v>
      </c>
      <c r="Y7" s="8">
        <v>5403.6</v>
      </c>
      <c r="Z7" s="15">
        <f t="shared" si="21"/>
        <v>68430.5</v>
      </c>
      <c r="AA7" s="8">
        <v>2633.4</v>
      </c>
      <c r="AB7" s="13">
        <v>8312</v>
      </c>
      <c r="AC7" s="7">
        <f t="shared" si="22"/>
        <v>10945.4</v>
      </c>
      <c r="AD7" s="16">
        <v>188192</v>
      </c>
      <c r="AE7" s="17">
        <f t="shared" ref="AE7:AI7" si="34">IF(OR(C8=""),"",(C8-C7)*80)</f>
        <v>0</v>
      </c>
      <c r="AF7" s="17">
        <f t="shared" si="34"/>
        <v>2720</v>
      </c>
      <c r="AG7" s="17">
        <f t="shared" si="34"/>
        <v>2880</v>
      </c>
      <c r="AH7" s="17">
        <f t="shared" si="34"/>
        <v>2.40000000005239</v>
      </c>
      <c r="AI7" s="17">
        <f t="shared" si="34"/>
        <v>2471.99999999953</v>
      </c>
      <c r="AJ7" s="17">
        <f t="shared" si="3"/>
        <v>8074.39999999959</v>
      </c>
      <c r="AK7" s="17">
        <f t="shared" ref="AK7:AN7" si="35">IF(OR(H8=""),"",(H8-H7)*80)</f>
        <v>0</v>
      </c>
      <c r="AL7" s="17">
        <f t="shared" si="35"/>
        <v>0</v>
      </c>
      <c r="AM7" s="17">
        <f t="shared" si="35"/>
        <v>0</v>
      </c>
      <c r="AN7" s="17">
        <f t="shared" si="35"/>
        <v>0</v>
      </c>
      <c r="AO7" s="17">
        <f t="shared" si="5"/>
        <v>0</v>
      </c>
      <c r="AP7" s="17">
        <f t="shared" ref="AP7:AS7" si="36">IF(OR(L8=""),"",(L8-L7)*100)</f>
        <v>2419.99999999971</v>
      </c>
      <c r="AQ7" s="17">
        <f t="shared" si="36"/>
        <v>0</v>
      </c>
      <c r="AR7" s="17">
        <f t="shared" si="36"/>
        <v>2909.99999999913</v>
      </c>
      <c r="AS7" s="17">
        <f t="shared" si="36"/>
        <v>2209.99999999913</v>
      </c>
      <c r="AT7" s="17">
        <f t="shared" si="7"/>
        <v>7539.99999999796</v>
      </c>
      <c r="AU7" s="17">
        <f t="shared" ref="AU7:AY7" si="37">IF(OR(P8=""),"",(P8-P7)*1000)</f>
        <v>0</v>
      </c>
      <c r="AV7" s="17">
        <f t="shared" si="37"/>
        <v>5700.00000000073</v>
      </c>
      <c r="AW7" s="17">
        <f t="shared" si="37"/>
        <v>0</v>
      </c>
      <c r="AX7" s="17">
        <f t="shared" si="37"/>
        <v>5299.99999999927</v>
      </c>
      <c r="AY7" s="17">
        <f t="shared" si="37"/>
        <v>9100.00000000036</v>
      </c>
      <c r="AZ7" s="17">
        <f t="shared" si="9"/>
        <v>20100.0000000004</v>
      </c>
      <c r="BA7" s="17">
        <f t="shared" si="10"/>
        <v>8800.00000000291</v>
      </c>
      <c r="BB7" s="17">
        <f t="shared" si="11"/>
        <v>592.000000000116</v>
      </c>
      <c r="BC7" s="17">
        <f t="shared" si="27"/>
        <v>1687.99999999988</v>
      </c>
      <c r="BD7" s="17">
        <f t="shared" si="12"/>
        <v>11205.5999999919</v>
      </c>
      <c r="BE7" s="17">
        <f t="shared" si="13"/>
        <v>57999.9999999927</v>
      </c>
      <c r="BF7" s="17">
        <f t="shared" si="14"/>
        <v>57.1000000000004</v>
      </c>
      <c r="BG7" s="20">
        <f t="shared" si="15"/>
        <v>0.308195885053524</v>
      </c>
      <c r="BH7" s="20">
        <f t="shared" si="16"/>
        <v>0.0429051181771786</v>
      </c>
      <c r="BI7" s="20">
        <f t="shared" si="17"/>
        <v>0</v>
      </c>
      <c r="BJ7" s="20">
        <f t="shared" si="18"/>
        <v>0.0400654650569523</v>
      </c>
      <c r="BK7" s="20">
        <f t="shared" ref="BK7:BO7" si="38">IF(OR($AD7=0),"",AZ7/$AD7)</f>
        <v>0.10680581533753</v>
      </c>
      <c r="BL7" s="20">
        <f t="shared" si="38"/>
        <v>0.0467607549736594</v>
      </c>
      <c r="BM7" s="20">
        <f t="shared" si="38"/>
        <v>0.00314572351640939</v>
      </c>
      <c r="BN7" s="20">
        <f t="shared" si="38"/>
        <v>0.00896956299948926</v>
      </c>
      <c r="BO7" s="20">
        <f t="shared" si="38"/>
        <v>0.0595434449923052</v>
      </c>
    </row>
    <row r="8" spans="1:67">
      <c r="A8" s="9">
        <f t="shared" si="20"/>
        <v>44717</v>
      </c>
      <c r="B8" s="10">
        <v>18281.85</v>
      </c>
      <c r="C8" s="8">
        <v>97503.4</v>
      </c>
      <c r="D8" s="8">
        <v>65610.1</v>
      </c>
      <c r="E8" s="8">
        <v>64364.1</v>
      </c>
      <c r="F8" s="8">
        <v>8336.6</v>
      </c>
      <c r="G8" s="8">
        <v>121014.5</v>
      </c>
      <c r="H8" s="8">
        <v>5709.7</v>
      </c>
      <c r="I8" s="8">
        <v>2566.3</v>
      </c>
      <c r="J8" s="8">
        <v>967</v>
      </c>
      <c r="K8" s="8">
        <v>56</v>
      </c>
      <c r="L8" s="8">
        <v>98901.3</v>
      </c>
      <c r="M8" s="8">
        <v>61529.7</v>
      </c>
      <c r="N8" s="8">
        <v>81279.2</v>
      </c>
      <c r="O8" s="8">
        <v>109621.7</v>
      </c>
      <c r="P8" s="8">
        <v>6301.8</v>
      </c>
      <c r="Q8" s="8">
        <v>8292</v>
      </c>
      <c r="R8" s="8">
        <v>4824.6</v>
      </c>
      <c r="S8" s="8">
        <v>5963.4</v>
      </c>
      <c r="T8" s="8">
        <v>8056.3</v>
      </c>
      <c r="U8" s="8">
        <v>18760.9</v>
      </c>
      <c r="V8" s="8">
        <v>54046.6</v>
      </c>
      <c r="W8" s="8">
        <v>57545.1</v>
      </c>
      <c r="X8" s="8">
        <v>5511.3</v>
      </c>
      <c r="Y8" s="8">
        <v>5416.3</v>
      </c>
      <c r="Z8" s="15">
        <f t="shared" si="21"/>
        <v>68472.7</v>
      </c>
      <c r="AA8" s="8">
        <v>2678.5</v>
      </c>
      <c r="AB8" s="13">
        <v>8324</v>
      </c>
      <c r="AC8" s="7">
        <f t="shared" si="22"/>
        <v>11002.5</v>
      </c>
      <c r="AD8" s="16">
        <v>207044</v>
      </c>
      <c r="AE8" s="17">
        <f t="shared" ref="AE8:AI8" si="39">IF(OR(C9=""),"",(C9-C8)*80)</f>
        <v>0</v>
      </c>
      <c r="AF8" s="17">
        <f t="shared" si="39"/>
        <v>1280</v>
      </c>
      <c r="AG8" s="17">
        <f t="shared" si="39"/>
        <v>2960</v>
      </c>
      <c r="AH8" s="17">
        <f t="shared" si="39"/>
        <v>1370.39999999994</v>
      </c>
      <c r="AI8" s="17">
        <f t="shared" si="39"/>
        <v>2480</v>
      </c>
      <c r="AJ8" s="17">
        <f t="shared" si="3"/>
        <v>8090.39999999994</v>
      </c>
      <c r="AK8" s="17">
        <f t="shared" ref="AK8:AN8" si="40">IF(OR(H9=""),"",(H9-H8)*80)</f>
        <v>0</v>
      </c>
      <c r="AL8" s="17">
        <f t="shared" si="40"/>
        <v>0</v>
      </c>
      <c r="AM8" s="17">
        <f t="shared" si="40"/>
        <v>0</v>
      </c>
      <c r="AN8" s="17">
        <f t="shared" si="40"/>
        <v>0</v>
      </c>
      <c r="AO8" s="17">
        <f t="shared" si="5"/>
        <v>0</v>
      </c>
      <c r="AP8" s="17">
        <f t="shared" ref="AP8:AS8" si="41">IF(OR(L9=""),"",(L9-L8)*100)</f>
        <v>3080.00000000029</v>
      </c>
      <c r="AQ8" s="17">
        <f t="shared" si="41"/>
        <v>0</v>
      </c>
      <c r="AR8" s="17">
        <f t="shared" si="41"/>
        <v>2940.00000000087</v>
      </c>
      <c r="AS8" s="17">
        <f t="shared" si="41"/>
        <v>2269.99999999971</v>
      </c>
      <c r="AT8" s="17">
        <f t="shared" si="7"/>
        <v>8290.00000000087</v>
      </c>
      <c r="AU8" s="17">
        <f t="shared" ref="AU8:AY8" si="42">IF(OR(P9=""),"",(P9-P8)*1000)</f>
        <v>0</v>
      </c>
      <c r="AV8" s="17">
        <f t="shared" si="42"/>
        <v>6799.99999999927</v>
      </c>
      <c r="AW8" s="17">
        <f t="shared" si="42"/>
        <v>0</v>
      </c>
      <c r="AX8" s="17">
        <f t="shared" si="42"/>
        <v>4700.00000000073</v>
      </c>
      <c r="AY8" s="17">
        <f t="shared" si="42"/>
        <v>8099.99999999945</v>
      </c>
      <c r="AZ8" s="17">
        <f t="shared" si="9"/>
        <v>19599.9999999995</v>
      </c>
      <c r="BA8" s="17">
        <f t="shared" si="10"/>
        <v>9599.99999999854</v>
      </c>
      <c r="BB8" s="17">
        <f t="shared" si="11"/>
        <v>552.000000000116</v>
      </c>
      <c r="BC8" s="17">
        <f t="shared" si="27"/>
        <v>1672.00000000012</v>
      </c>
      <c r="BD8" s="17">
        <f t="shared" si="12"/>
        <v>10595.6000000024</v>
      </c>
      <c r="BE8" s="17">
        <f t="shared" si="13"/>
        <v>58400.0000000015</v>
      </c>
      <c r="BF8" s="17">
        <f t="shared" si="14"/>
        <v>55</v>
      </c>
      <c r="BG8" s="20">
        <f t="shared" si="15"/>
        <v>0.282065647881617</v>
      </c>
      <c r="BH8" s="20">
        <f t="shared" si="16"/>
        <v>0.0390757520140643</v>
      </c>
      <c r="BI8" s="20">
        <f t="shared" si="17"/>
        <v>0</v>
      </c>
      <c r="BJ8" s="20">
        <f t="shared" si="18"/>
        <v>0.0400397983037464</v>
      </c>
      <c r="BK8" s="20">
        <f t="shared" ref="BK8:BO8" si="43">IF(OR($AD8=0),"",AZ8/$AD8)</f>
        <v>0.0946658681246472</v>
      </c>
      <c r="BL8" s="20">
        <f t="shared" si="43"/>
        <v>0.046366955816148</v>
      </c>
      <c r="BM8" s="20">
        <f t="shared" si="43"/>
        <v>0.00266609995942948</v>
      </c>
      <c r="BN8" s="20">
        <f t="shared" si="43"/>
        <v>0.0080755781379809</v>
      </c>
      <c r="BO8" s="20">
        <f t="shared" si="43"/>
        <v>0.0511755955256004</v>
      </c>
    </row>
    <row r="9" spans="1:67">
      <c r="A9" s="9">
        <f t="shared" si="20"/>
        <v>44718</v>
      </c>
      <c r="B9" s="10">
        <v>18287.69</v>
      </c>
      <c r="C9" s="8">
        <v>97503.4</v>
      </c>
      <c r="D9" s="8">
        <v>65626.1</v>
      </c>
      <c r="E9" s="8">
        <v>64401.1</v>
      </c>
      <c r="F9" s="8">
        <v>8353.73</v>
      </c>
      <c r="G9" s="8">
        <v>121045.5</v>
      </c>
      <c r="H9" s="8">
        <v>5709.7</v>
      </c>
      <c r="I9" s="8">
        <v>2566.3</v>
      </c>
      <c r="J9" s="8">
        <v>967</v>
      </c>
      <c r="K9" s="8">
        <v>56</v>
      </c>
      <c r="L9" s="8">
        <v>98932.1</v>
      </c>
      <c r="M9" s="8">
        <v>61529.7</v>
      </c>
      <c r="N9" s="8">
        <v>81308.6</v>
      </c>
      <c r="O9" s="8">
        <v>109644.4</v>
      </c>
      <c r="P9" s="8">
        <v>6301.8</v>
      </c>
      <c r="Q9" s="8">
        <v>8298.8</v>
      </c>
      <c r="R9" s="8">
        <v>4824.6</v>
      </c>
      <c r="S9" s="8">
        <v>5968.1</v>
      </c>
      <c r="T9" s="8">
        <v>8064.4</v>
      </c>
      <c r="U9" s="8">
        <v>18765.7</v>
      </c>
      <c r="V9" s="8">
        <v>54053.5</v>
      </c>
      <c r="W9" s="8">
        <v>57560.6</v>
      </c>
      <c r="X9" s="8">
        <v>5524.7</v>
      </c>
      <c r="Y9" s="8">
        <v>5429.2</v>
      </c>
      <c r="Z9" s="15">
        <f t="shared" si="21"/>
        <v>68514.5</v>
      </c>
      <c r="AA9" s="8">
        <v>2721.5</v>
      </c>
      <c r="AB9" s="13">
        <v>8336</v>
      </c>
      <c r="AC9" s="7">
        <f t="shared" si="22"/>
        <v>11057.5</v>
      </c>
      <c r="AD9" s="16">
        <v>203337</v>
      </c>
      <c r="AE9" s="17">
        <f t="shared" ref="AE9:AI9" si="44">IF(OR(C10=""),"",(C10-C9)*80)</f>
        <v>0</v>
      </c>
      <c r="AF9" s="17">
        <f t="shared" si="44"/>
        <v>1223.99999999907</v>
      </c>
      <c r="AG9" s="17">
        <f t="shared" si="44"/>
        <v>2799.19999999984</v>
      </c>
      <c r="AH9" s="17">
        <f t="shared" si="44"/>
        <v>1342.40000000005</v>
      </c>
      <c r="AI9" s="17">
        <f t="shared" si="44"/>
        <v>2095.99999999977</v>
      </c>
      <c r="AJ9" s="17">
        <f t="shared" si="3"/>
        <v>7461.59999999873</v>
      </c>
      <c r="AK9" s="17">
        <f t="shared" ref="AK9:AN9" si="45">IF(OR(H10=""),"",(H10-H9)*80)</f>
        <v>0</v>
      </c>
      <c r="AL9" s="17">
        <f t="shared" si="45"/>
        <v>0</v>
      </c>
      <c r="AM9" s="17">
        <f t="shared" si="45"/>
        <v>0</v>
      </c>
      <c r="AN9" s="17">
        <f t="shared" si="45"/>
        <v>0</v>
      </c>
      <c r="AO9" s="17">
        <f t="shared" si="5"/>
        <v>0</v>
      </c>
      <c r="AP9" s="17">
        <f t="shared" ref="AP9:AS9" si="46">IF(OR(L10=""),"",(L10-L9)*100)</f>
        <v>2909.99999999913</v>
      </c>
      <c r="AQ9" s="17">
        <f t="shared" si="46"/>
        <v>0</v>
      </c>
      <c r="AR9" s="17">
        <f t="shared" si="46"/>
        <v>2959.99999999913</v>
      </c>
      <c r="AS9" s="17">
        <f t="shared" si="46"/>
        <v>2270.00000000116</v>
      </c>
      <c r="AT9" s="17">
        <f t="shared" si="7"/>
        <v>8139.99999999942</v>
      </c>
      <c r="AU9" s="17">
        <f t="shared" ref="AU9:AY9" si="47">IF(OR(P10=""),"",(P10-P9)*1000)</f>
        <v>0</v>
      </c>
      <c r="AV9" s="17">
        <f t="shared" si="47"/>
        <v>0</v>
      </c>
      <c r="AW9" s="17">
        <f t="shared" si="47"/>
        <v>0</v>
      </c>
      <c r="AX9" s="17">
        <f t="shared" si="47"/>
        <v>5399.99999999964</v>
      </c>
      <c r="AY9" s="17">
        <f t="shared" si="47"/>
        <v>9500</v>
      </c>
      <c r="AZ9" s="17">
        <f t="shared" si="9"/>
        <v>14899.9999999996</v>
      </c>
      <c r="BA9" s="17">
        <f t="shared" si="10"/>
        <v>9599.99999999854</v>
      </c>
      <c r="BB9" s="17">
        <f t="shared" si="11"/>
        <v>487.999999999884</v>
      </c>
      <c r="BC9" s="17">
        <f t="shared" si="27"/>
        <v>1704.00000000023</v>
      </c>
      <c r="BD9" s="17">
        <f t="shared" si="12"/>
        <v>11606.4000000341</v>
      </c>
      <c r="BE9" s="17">
        <f t="shared" si="13"/>
        <v>53900.0000000306</v>
      </c>
      <c r="BF9" s="17">
        <f t="shared" si="14"/>
        <v>49.7000000000007</v>
      </c>
      <c r="BG9" s="20">
        <f t="shared" si="15"/>
        <v>0.265077187132841</v>
      </c>
      <c r="BH9" s="20">
        <f t="shared" si="16"/>
        <v>0.036695731716307</v>
      </c>
      <c r="BI9" s="20">
        <f t="shared" si="17"/>
        <v>0</v>
      </c>
      <c r="BJ9" s="20">
        <f t="shared" si="18"/>
        <v>0.0400320649955464</v>
      </c>
      <c r="BK9" s="20">
        <f t="shared" ref="BK9:BO9" si="48">IF(OR($AD9=0),"",AZ9/$AD9)</f>
        <v>0.0732773671294434</v>
      </c>
      <c r="BL9" s="20">
        <f t="shared" si="48"/>
        <v>0.0472122633854072</v>
      </c>
      <c r="BM9" s="20">
        <f t="shared" si="48"/>
        <v>0.00239995672209132</v>
      </c>
      <c r="BN9" s="20">
        <f t="shared" si="48"/>
        <v>0.00838017675091219</v>
      </c>
      <c r="BO9" s="20">
        <f t="shared" si="48"/>
        <v>0.0570796264331338</v>
      </c>
    </row>
    <row r="10" spans="1:67">
      <c r="A10" s="9">
        <f t="shared" si="20"/>
        <v>44719</v>
      </c>
      <c r="B10" s="10">
        <v>18293.08</v>
      </c>
      <c r="C10" s="8">
        <v>97503.4</v>
      </c>
      <c r="D10" s="8">
        <v>65641.4</v>
      </c>
      <c r="E10" s="8">
        <v>64436.09</v>
      </c>
      <c r="F10" s="8">
        <v>8370.51</v>
      </c>
      <c r="G10" s="8">
        <v>121071.7</v>
      </c>
      <c r="H10" s="8">
        <v>5709.7</v>
      </c>
      <c r="I10" s="8">
        <v>2566.3</v>
      </c>
      <c r="J10" s="8">
        <v>967</v>
      </c>
      <c r="K10" s="8">
        <v>56</v>
      </c>
      <c r="L10" s="8">
        <v>98961.2</v>
      </c>
      <c r="M10" s="8">
        <v>61529.7</v>
      </c>
      <c r="N10" s="8">
        <v>81338.2</v>
      </c>
      <c r="O10" s="8">
        <v>109667.1</v>
      </c>
      <c r="P10" s="8">
        <v>6301.8</v>
      </c>
      <c r="Q10" s="8">
        <v>8298.8</v>
      </c>
      <c r="R10" s="8">
        <v>4824.6</v>
      </c>
      <c r="S10" s="8">
        <v>5973.5</v>
      </c>
      <c r="T10" s="8">
        <v>8073.9</v>
      </c>
      <c r="U10" s="8">
        <v>18770.5</v>
      </c>
      <c r="V10" s="8">
        <v>54059.6</v>
      </c>
      <c r="W10" s="8">
        <v>57576.8</v>
      </c>
      <c r="X10" s="8">
        <v>5538.2</v>
      </c>
      <c r="Y10" s="8">
        <v>5442.1</v>
      </c>
      <c r="Z10" s="15">
        <f t="shared" si="21"/>
        <v>68557.1</v>
      </c>
      <c r="AA10" s="8">
        <v>2760.2</v>
      </c>
      <c r="AB10" s="13">
        <v>8347</v>
      </c>
      <c r="AC10" s="7">
        <f t="shared" si="22"/>
        <v>11107.2</v>
      </c>
      <c r="AD10" s="16">
        <v>206539</v>
      </c>
      <c r="AE10" s="17">
        <f t="shared" ref="AE10:AI10" si="49">IF(OR(C11=""),"",(C11-C10)*80)</f>
        <v>0</v>
      </c>
      <c r="AF10" s="17">
        <f t="shared" si="49"/>
        <v>3128.00000000047</v>
      </c>
      <c r="AG10" s="17">
        <f t="shared" si="49"/>
        <v>3256.80000000051</v>
      </c>
      <c r="AH10" s="17">
        <f t="shared" si="49"/>
        <v>4.79999999995925</v>
      </c>
      <c r="AI10" s="17">
        <f t="shared" si="49"/>
        <v>2144.00000000023</v>
      </c>
      <c r="AJ10" s="17">
        <f t="shared" si="3"/>
        <v>8533.60000000117</v>
      </c>
      <c r="AK10" s="17">
        <f t="shared" ref="AK10:AN10" si="50">IF(OR(H11=""),"",(H11-H10)*80)</f>
        <v>0</v>
      </c>
      <c r="AL10" s="17">
        <f t="shared" si="50"/>
        <v>0</v>
      </c>
      <c r="AM10" s="17">
        <f t="shared" si="50"/>
        <v>0</v>
      </c>
      <c r="AN10" s="17">
        <f t="shared" si="50"/>
        <v>0</v>
      </c>
      <c r="AO10" s="17">
        <f t="shared" si="5"/>
        <v>0</v>
      </c>
      <c r="AP10" s="17">
        <f t="shared" ref="AP10:AS10" si="51">IF(OR(L11=""),"",(L11-L10)*100)</f>
        <v>3019.99999999971</v>
      </c>
      <c r="AQ10" s="17">
        <f t="shared" si="51"/>
        <v>0</v>
      </c>
      <c r="AR10" s="17">
        <f t="shared" si="51"/>
        <v>2940.00000000087</v>
      </c>
      <c r="AS10" s="17">
        <f t="shared" si="51"/>
        <v>2279.99999999884</v>
      </c>
      <c r="AT10" s="17">
        <f t="shared" si="7"/>
        <v>8239.99999999942</v>
      </c>
      <c r="AU10" s="17">
        <f t="shared" ref="AU10:AY10" si="52">IF(OR(P11=""),"",(P11-P10)*1000)</f>
        <v>99.9999999994543</v>
      </c>
      <c r="AV10" s="17">
        <f t="shared" si="52"/>
        <v>800.000000001091</v>
      </c>
      <c r="AW10" s="17">
        <f t="shared" si="52"/>
        <v>0</v>
      </c>
      <c r="AX10" s="17">
        <f t="shared" si="52"/>
        <v>5600.00000000036</v>
      </c>
      <c r="AY10" s="17">
        <f t="shared" si="52"/>
        <v>9500</v>
      </c>
      <c r="AZ10" s="17">
        <f t="shared" si="9"/>
        <v>16000.0000000009</v>
      </c>
      <c r="BA10" s="17">
        <f t="shared" si="10"/>
        <v>10199.9999999971</v>
      </c>
      <c r="BB10" s="17">
        <f t="shared" si="11"/>
        <v>584.000000000233</v>
      </c>
      <c r="BC10" s="17">
        <f t="shared" si="27"/>
        <v>1720</v>
      </c>
      <c r="BD10" s="17">
        <f t="shared" si="12"/>
        <v>9722.40000000118</v>
      </c>
      <c r="BE10" s="17">
        <f t="shared" si="13"/>
        <v>55000</v>
      </c>
      <c r="BF10" s="17">
        <f t="shared" si="14"/>
        <v>62.5999999999985</v>
      </c>
      <c r="BG10" s="20">
        <f t="shared" si="15"/>
        <v>0.26629353294051</v>
      </c>
      <c r="BH10" s="20">
        <f t="shared" si="16"/>
        <v>0.0413171362309354</v>
      </c>
      <c r="BI10" s="20">
        <f t="shared" si="17"/>
        <v>0</v>
      </c>
      <c r="BJ10" s="20">
        <f t="shared" si="18"/>
        <v>0.0398956129350845</v>
      </c>
      <c r="BK10" s="20">
        <f t="shared" ref="BK10:BO10" si="53">IF(OR($AD10=0),"",AZ10/$AD10)</f>
        <v>0.0774672095826982</v>
      </c>
      <c r="BL10" s="20">
        <f t="shared" si="53"/>
        <v>0.0493853461089532</v>
      </c>
      <c r="BM10" s="20">
        <f t="shared" si="53"/>
        <v>0.00282755314976945</v>
      </c>
      <c r="BN10" s="20">
        <f t="shared" si="53"/>
        <v>0.00832772503013959</v>
      </c>
      <c r="BO10" s="20">
        <f t="shared" si="53"/>
        <v>0.0470729499029296</v>
      </c>
    </row>
    <row r="11" spans="1:67">
      <c r="A11" s="9">
        <f t="shared" si="20"/>
        <v>44720</v>
      </c>
      <c r="B11" s="10">
        <v>18298.58</v>
      </c>
      <c r="C11" s="8">
        <v>97503.4</v>
      </c>
      <c r="D11" s="8">
        <v>65680.5</v>
      </c>
      <c r="E11" s="8">
        <v>64476.8</v>
      </c>
      <c r="F11" s="8">
        <v>8370.57</v>
      </c>
      <c r="G11" s="8">
        <v>121098.5</v>
      </c>
      <c r="H11" s="8">
        <v>5709.7</v>
      </c>
      <c r="I11" s="8">
        <v>2566.3</v>
      </c>
      <c r="J11" s="8">
        <v>967</v>
      </c>
      <c r="K11" s="8">
        <v>56</v>
      </c>
      <c r="L11" s="8">
        <v>98991.4</v>
      </c>
      <c r="M11" s="8">
        <v>61529.7</v>
      </c>
      <c r="N11" s="8">
        <v>81367.6</v>
      </c>
      <c r="O11" s="8">
        <v>109689.9</v>
      </c>
      <c r="P11" s="8">
        <v>6301.9</v>
      </c>
      <c r="Q11" s="8">
        <v>8299.6</v>
      </c>
      <c r="R11" s="8">
        <v>4824.6</v>
      </c>
      <c r="S11" s="8">
        <v>5979.1</v>
      </c>
      <c r="T11" s="8">
        <v>8083.4</v>
      </c>
      <c r="U11" s="8">
        <v>18775.6</v>
      </c>
      <c r="V11" s="8">
        <v>54066.9</v>
      </c>
      <c r="W11" s="8">
        <v>57593.6</v>
      </c>
      <c r="X11" s="8">
        <v>5551.4</v>
      </c>
      <c r="Y11" s="8">
        <v>5455.1</v>
      </c>
      <c r="Z11" s="15">
        <f t="shared" si="21"/>
        <v>68600.1</v>
      </c>
      <c r="AA11" s="8">
        <v>2801.8</v>
      </c>
      <c r="AB11" s="13">
        <v>8368</v>
      </c>
      <c r="AC11" s="7">
        <f t="shared" si="22"/>
        <v>11169.8</v>
      </c>
      <c r="AD11" s="16">
        <v>206393</v>
      </c>
      <c r="AE11" s="17">
        <f t="shared" ref="AE11:AI11" si="54">IF(OR(C12=""),"",(C12-C11)*80)</f>
        <v>0</v>
      </c>
      <c r="AF11" s="17">
        <f t="shared" si="54"/>
        <v>2960</v>
      </c>
      <c r="AG11" s="17">
        <f t="shared" si="54"/>
        <v>2823.99999999965</v>
      </c>
      <c r="AH11" s="17">
        <f t="shared" si="54"/>
        <v>4.00000000008731</v>
      </c>
      <c r="AI11" s="17">
        <f t="shared" si="54"/>
        <v>2335.99999999977</v>
      </c>
      <c r="AJ11" s="17">
        <f t="shared" si="3"/>
        <v>8123.99999999951</v>
      </c>
      <c r="AK11" s="17">
        <f t="shared" ref="AK11:AN11" si="55">IF(OR(H12=""),"",(H12-H11)*80)</f>
        <v>0</v>
      </c>
      <c r="AL11" s="17">
        <f t="shared" si="55"/>
        <v>0</v>
      </c>
      <c r="AM11" s="17">
        <f t="shared" si="55"/>
        <v>0</v>
      </c>
      <c r="AN11" s="17">
        <f t="shared" si="55"/>
        <v>0</v>
      </c>
      <c r="AO11" s="17">
        <f t="shared" si="5"/>
        <v>0</v>
      </c>
      <c r="AP11" s="17">
        <f t="shared" ref="AP11:AS11" si="56">IF(OR(L12=""),"",(L12-L11)*100)</f>
        <v>3030.00000000029</v>
      </c>
      <c r="AQ11" s="17">
        <f t="shared" si="56"/>
        <v>0</v>
      </c>
      <c r="AR11" s="17">
        <f t="shared" si="56"/>
        <v>2839.99999999942</v>
      </c>
      <c r="AS11" s="17">
        <f t="shared" si="56"/>
        <v>2150</v>
      </c>
      <c r="AT11" s="17">
        <f t="shared" si="7"/>
        <v>8019.99999999971</v>
      </c>
      <c r="AU11" s="17">
        <f t="shared" ref="AU11:AY11" si="57">IF(OR(P12=""),"",(P12-P11)*1000)</f>
        <v>2100.00000000036</v>
      </c>
      <c r="AV11" s="17">
        <f t="shared" si="57"/>
        <v>5600.00000000036</v>
      </c>
      <c r="AW11" s="17">
        <f t="shared" si="57"/>
        <v>0</v>
      </c>
      <c r="AX11" s="17">
        <f t="shared" si="57"/>
        <v>4899.99999999964</v>
      </c>
      <c r="AY11" s="17">
        <f t="shared" si="57"/>
        <v>3300.00000000018</v>
      </c>
      <c r="AZ11" s="17">
        <f t="shared" si="9"/>
        <v>15900.0000000005</v>
      </c>
      <c r="BA11" s="17">
        <f t="shared" si="10"/>
        <v>9600.00000000582</v>
      </c>
      <c r="BB11" s="17">
        <f t="shared" si="11"/>
        <v>607.999999999884</v>
      </c>
      <c r="BC11" s="17">
        <f t="shared" si="27"/>
        <v>1643.99999999965</v>
      </c>
      <c r="BD11" s="17">
        <f t="shared" si="12"/>
        <v>11703.9999999716</v>
      </c>
      <c r="BE11" s="17">
        <f t="shared" si="13"/>
        <v>55599.9999999767</v>
      </c>
      <c r="BF11" s="17">
        <f t="shared" si="14"/>
        <v>51.8000000000011</v>
      </c>
      <c r="BG11" s="20">
        <f t="shared" si="15"/>
        <v>0.269388981215335</v>
      </c>
      <c r="BH11" s="20">
        <f t="shared" si="16"/>
        <v>0.0393618000610462</v>
      </c>
      <c r="BI11" s="20">
        <f t="shared" si="17"/>
        <v>0</v>
      </c>
      <c r="BJ11" s="20">
        <f t="shared" si="18"/>
        <v>0.0388579070026586</v>
      </c>
      <c r="BK11" s="20">
        <f t="shared" ref="BK11:BO11" si="58">IF(OR($AD11=0),"",AZ11/$AD11)</f>
        <v>0.0770374964267225</v>
      </c>
      <c r="BL11" s="20">
        <f t="shared" si="58"/>
        <v>0.0465132053897459</v>
      </c>
      <c r="BM11" s="20">
        <f t="shared" si="58"/>
        <v>0.00294583634134822</v>
      </c>
      <c r="BN11" s="20">
        <f t="shared" si="58"/>
        <v>0.00796538642298746</v>
      </c>
      <c r="BO11" s="20">
        <f t="shared" si="58"/>
        <v>0.0567073495708265</v>
      </c>
    </row>
    <row r="12" spans="1:67">
      <c r="A12" s="9">
        <f t="shared" si="20"/>
        <v>44721</v>
      </c>
      <c r="B12" s="10">
        <v>18304.14</v>
      </c>
      <c r="C12" s="8">
        <v>97503.4</v>
      </c>
      <c r="D12" s="8">
        <v>65717.5</v>
      </c>
      <c r="E12" s="8">
        <v>64512.1</v>
      </c>
      <c r="F12" s="8">
        <v>8370.62</v>
      </c>
      <c r="G12" s="8">
        <v>121127.7</v>
      </c>
      <c r="H12" s="8">
        <v>5709.7</v>
      </c>
      <c r="I12" s="8">
        <v>2566.3</v>
      </c>
      <c r="J12" s="8">
        <v>967</v>
      </c>
      <c r="K12" s="8">
        <v>56</v>
      </c>
      <c r="L12" s="8">
        <v>99021.7</v>
      </c>
      <c r="M12" s="8">
        <v>61529.7</v>
      </c>
      <c r="N12" s="8">
        <v>81396</v>
      </c>
      <c r="O12" s="8">
        <v>109711.4</v>
      </c>
      <c r="P12" s="8">
        <v>6304</v>
      </c>
      <c r="Q12" s="8">
        <v>8305.2</v>
      </c>
      <c r="R12" s="8">
        <v>4824.6</v>
      </c>
      <c r="S12" s="8">
        <v>5984</v>
      </c>
      <c r="T12" s="8">
        <v>8086.7</v>
      </c>
      <c r="U12" s="8">
        <v>18780.4</v>
      </c>
      <c r="V12" s="8">
        <v>54074.5</v>
      </c>
      <c r="W12" s="8">
        <v>57609.6</v>
      </c>
      <c r="X12" s="8">
        <v>5564.1</v>
      </c>
      <c r="Y12" s="8">
        <v>5467.5</v>
      </c>
      <c r="Z12" s="15">
        <f t="shared" si="21"/>
        <v>68641.2</v>
      </c>
      <c r="AA12" s="8">
        <v>2842.6</v>
      </c>
      <c r="AB12" s="13">
        <v>8379</v>
      </c>
      <c r="AC12" s="7">
        <f t="shared" si="22"/>
        <v>11221.6</v>
      </c>
      <c r="AD12" s="16">
        <v>206458</v>
      </c>
      <c r="AE12" s="17">
        <f t="shared" ref="AE12:AI12" si="59">IF(OR(C13=""),"",(C13-C12)*80)</f>
        <v>0</v>
      </c>
      <c r="AF12" s="17">
        <f t="shared" si="59"/>
        <v>88.0000000004657</v>
      </c>
      <c r="AG12" s="17">
        <f t="shared" si="59"/>
        <v>2864.00000000023</v>
      </c>
      <c r="AH12" s="17">
        <f t="shared" si="59"/>
        <v>2389.59999999992</v>
      </c>
      <c r="AI12" s="17">
        <f t="shared" si="59"/>
        <v>2144.00000000023</v>
      </c>
      <c r="AJ12" s="17">
        <f t="shared" si="3"/>
        <v>7485.60000000085</v>
      </c>
      <c r="AK12" s="17">
        <f t="shared" ref="AK12:AN12" si="60">IF(OR(H13=""),"",(H13-H12)*80)</f>
        <v>0</v>
      </c>
      <c r="AL12" s="17">
        <f t="shared" si="60"/>
        <v>0</v>
      </c>
      <c r="AM12" s="17">
        <f t="shared" si="60"/>
        <v>0</v>
      </c>
      <c r="AN12" s="17">
        <f t="shared" si="60"/>
        <v>0</v>
      </c>
      <c r="AO12" s="17">
        <f t="shared" si="5"/>
        <v>0</v>
      </c>
      <c r="AP12" s="17">
        <f t="shared" ref="AP12:AS12" si="61">IF(OR(L13=""),"",(L13-L12)*100)</f>
        <v>3019.99999999971</v>
      </c>
      <c r="AQ12" s="17">
        <f t="shared" si="61"/>
        <v>0</v>
      </c>
      <c r="AR12" s="17">
        <f t="shared" si="61"/>
        <v>2850</v>
      </c>
      <c r="AS12" s="17">
        <f t="shared" si="61"/>
        <v>2280.00000000029</v>
      </c>
      <c r="AT12" s="17">
        <f t="shared" si="7"/>
        <v>8150</v>
      </c>
      <c r="AU12" s="17">
        <f t="shared" ref="AU12:AY12" si="62">IF(OR(P13=""),"",(P13-P12)*1000)</f>
        <v>1600.00000000036</v>
      </c>
      <c r="AV12" s="17">
        <f t="shared" si="62"/>
        <v>3599.99999999854</v>
      </c>
      <c r="AW12" s="17">
        <f t="shared" si="62"/>
        <v>0</v>
      </c>
      <c r="AX12" s="17">
        <f t="shared" si="62"/>
        <v>5100.00000000036</v>
      </c>
      <c r="AY12" s="17">
        <f t="shared" si="62"/>
        <v>4500</v>
      </c>
      <c r="AZ12" s="17">
        <f t="shared" si="9"/>
        <v>14799.9999999993</v>
      </c>
      <c r="BA12" s="17">
        <f t="shared" si="10"/>
        <v>9799.99999999563</v>
      </c>
      <c r="BB12" s="17">
        <f t="shared" si="11"/>
        <v>575.999999999767</v>
      </c>
      <c r="BC12" s="17">
        <f t="shared" si="27"/>
        <v>1703.99999999965</v>
      </c>
      <c r="BD12" s="17">
        <f t="shared" si="12"/>
        <v>12984.3999999975</v>
      </c>
      <c r="BE12" s="17">
        <f t="shared" si="13"/>
        <v>55499.9999999927</v>
      </c>
      <c r="BF12" s="17">
        <f t="shared" si="14"/>
        <v>54.3999999999996</v>
      </c>
      <c r="BG12" s="20">
        <f t="shared" si="15"/>
        <v>0.268819808387143</v>
      </c>
      <c r="BH12" s="20">
        <f t="shared" si="16"/>
        <v>0.0362572532912304</v>
      </c>
      <c r="BI12" s="20">
        <f t="shared" si="17"/>
        <v>0</v>
      </c>
      <c r="BJ12" s="20">
        <f t="shared" si="18"/>
        <v>0.0394753412316306</v>
      </c>
      <c r="BK12" s="20">
        <f t="shared" ref="BK12:BO12" si="63">IF(OR($AD12=0),"",AZ12/$AD12)</f>
        <v>0.0716852822365773</v>
      </c>
      <c r="BL12" s="20">
        <f t="shared" si="63"/>
        <v>0.047467281480958</v>
      </c>
      <c r="BM12" s="20">
        <f t="shared" si="63"/>
        <v>0.00278991368704418</v>
      </c>
      <c r="BN12" s="20">
        <f t="shared" si="63"/>
        <v>0.00825349465750734</v>
      </c>
      <c r="BO12" s="20">
        <f t="shared" si="63"/>
        <v>0.0628912418021949</v>
      </c>
    </row>
    <row r="13" spans="1:67">
      <c r="A13" s="9">
        <f t="shared" si="20"/>
        <v>44722</v>
      </c>
      <c r="B13" s="10">
        <v>18309.69</v>
      </c>
      <c r="C13" s="8">
        <v>97503.4</v>
      </c>
      <c r="D13" s="8">
        <v>65718.6</v>
      </c>
      <c r="E13" s="8">
        <v>64547.9</v>
      </c>
      <c r="F13" s="8">
        <v>8400.49</v>
      </c>
      <c r="G13" s="8">
        <v>121154.5</v>
      </c>
      <c r="H13" s="8">
        <v>5709.7</v>
      </c>
      <c r="I13" s="8">
        <v>2566.3</v>
      </c>
      <c r="J13" s="8">
        <v>967</v>
      </c>
      <c r="K13" s="8">
        <v>56</v>
      </c>
      <c r="L13" s="8">
        <v>99051.9</v>
      </c>
      <c r="M13" s="8">
        <v>61529.7</v>
      </c>
      <c r="N13" s="8">
        <v>81424.5</v>
      </c>
      <c r="O13" s="8">
        <v>109734.2</v>
      </c>
      <c r="P13" s="8">
        <v>6305.6</v>
      </c>
      <c r="Q13" s="8">
        <v>8308.8</v>
      </c>
      <c r="R13" s="8">
        <v>4824.6</v>
      </c>
      <c r="S13" s="8">
        <v>5989.1</v>
      </c>
      <c r="T13" s="8">
        <v>8091.2</v>
      </c>
      <c r="U13" s="8">
        <v>18785.3</v>
      </c>
      <c r="V13" s="8">
        <v>54081.7</v>
      </c>
      <c r="W13" s="8">
        <v>57626.2</v>
      </c>
      <c r="X13" s="8">
        <v>5577.1</v>
      </c>
      <c r="Y13" s="8">
        <v>5480.5</v>
      </c>
      <c r="Z13" s="15">
        <f t="shared" si="21"/>
        <v>68683.8</v>
      </c>
      <c r="AA13" s="8">
        <v>2885</v>
      </c>
      <c r="AB13" s="13">
        <v>8391</v>
      </c>
      <c r="AC13" s="7">
        <f t="shared" si="22"/>
        <v>11276</v>
      </c>
      <c r="AD13" s="16">
        <v>191136</v>
      </c>
      <c r="AE13" s="17">
        <f t="shared" ref="AE13:AI13" si="64">IF(OR(C14=""),"",(C14-C13)*80)</f>
        <v>0</v>
      </c>
      <c r="AF13" s="17">
        <f t="shared" si="64"/>
        <v>0</v>
      </c>
      <c r="AG13" s="17">
        <f t="shared" si="64"/>
        <v>2103.99999999965</v>
      </c>
      <c r="AH13" s="17">
        <f t="shared" si="64"/>
        <v>2525.59999999998</v>
      </c>
      <c r="AI13" s="17">
        <f t="shared" si="64"/>
        <v>2191.99999999953</v>
      </c>
      <c r="AJ13" s="17">
        <f t="shared" si="3"/>
        <v>6821.59999999916</v>
      </c>
      <c r="AK13" s="17">
        <f t="shared" ref="AK13:AN13" si="65">IF(OR(H14=""),"",(H14-H13)*80)</f>
        <v>0</v>
      </c>
      <c r="AL13" s="17">
        <f t="shared" si="65"/>
        <v>0</v>
      </c>
      <c r="AM13" s="17">
        <f t="shared" si="65"/>
        <v>0</v>
      </c>
      <c r="AN13" s="17">
        <f t="shared" si="65"/>
        <v>0</v>
      </c>
      <c r="AO13" s="17">
        <f t="shared" si="5"/>
        <v>0</v>
      </c>
      <c r="AP13" s="17">
        <f t="shared" ref="AP13:AS13" si="66">IF(OR(L14=""),"",(L14-L13)*100)</f>
        <v>2320.00000000116</v>
      </c>
      <c r="AQ13" s="17">
        <f t="shared" si="66"/>
        <v>0</v>
      </c>
      <c r="AR13" s="17">
        <f t="shared" si="66"/>
        <v>2919.99999999971</v>
      </c>
      <c r="AS13" s="17">
        <f t="shared" si="66"/>
        <v>2330.00000000029</v>
      </c>
      <c r="AT13" s="17">
        <f t="shared" si="7"/>
        <v>7570.00000000116</v>
      </c>
      <c r="AU13" s="17">
        <f t="shared" ref="AU13:AY13" si="67">IF(OR(P14=""),"",(P14-P13)*1000)</f>
        <v>199.999999999818</v>
      </c>
      <c r="AV13" s="17">
        <f t="shared" si="67"/>
        <v>0</v>
      </c>
      <c r="AW13" s="17">
        <f t="shared" si="67"/>
        <v>4599.99999999945</v>
      </c>
      <c r="AX13" s="17">
        <f t="shared" si="67"/>
        <v>5000</v>
      </c>
      <c r="AY13" s="17">
        <f t="shared" si="67"/>
        <v>199.999999999818</v>
      </c>
      <c r="AZ13" s="17">
        <f t="shared" si="9"/>
        <v>9999.99999999909</v>
      </c>
      <c r="BA13" s="17">
        <f t="shared" si="10"/>
        <v>8800.00000000291</v>
      </c>
      <c r="BB13" s="17">
        <f t="shared" si="11"/>
        <v>616.000000000349</v>
      </c>
      <c r="BC13" s="17">
        <f t="shared" si="27"/>
        <v>1688.00000000047</v>
      </c>
      <c r="BD13" s="17">
        <f t="shared" si="12"/>
        <v>16604.4000000245</v>
      </c>
      <c r="BE13" s="17">
        <f t="shared" si="13"/>
        <v>52100.0000000276</v>
      </c>
      <c r="BF13" s="17">
        <f t="shared" si="14"/>
        <v>54.6000000000004</v>
      </c>
      <c r="BG13" s="20">
        <f t="shared" si="15"/>
        <v>0.27258078017761</v>
      </c>
      <c r="BH13" s="20">
        <f t="shared" si="16"/>
        <v>0.0356897706345176</v>
      </c>
      <c r="BI13" s="20">
        <f t="shared" si="17"/>
        <v>0</v>
      </c>
      <c r="BJ13" s="20">
        <f t="shared" si="18"/>
        <v>0.0396053072158105</v>
      </c>
      <c r="BK13" s="20">
        <f t="shared" ref="BK13:BO13" si="68">IF(OR($AD13=0),"",AZ13/$AD13)</f>
        <v>0.0523187677883763</v>
      </c>
      <c r="BL13" s="20">
        <f t="shared" si="68"/>
        <v>0.0460405156537905</v>
      </c>
      <c r="BM13" s="20">
        <f t="shared" si="68"/>
        <v>0.0032228360957661</v>
      </c>
      <c r="BN13" s="20">
        <f t="shared" si="68"/>
        <v>0.00883140800268116</v>
      </c>
      <c r="BO13" s="20">
        <f t="shared" si="68"/>
        <v>0.0868721747866676</v>
      </c>
    </row>
    <row r="14" spans="1:67">
      <c r="A14" s="9">
        <f t="shared" si="20"/>
        <v>44723</v>
      </c>
      <c r="B14" s="10">
        <v>18314.9</v>
      </c>
      <c r="C14" s="8">
        <v>97503.4</v>
      </c>
      <c r="D14" s="8">
        <v>65718.6</v>
      </c>
      <c r="E14" s="8">
        <v>64574.2</v>
      </c>
      <c r="F14" s="8">
        <v>8432.06</v>
      </c>
      <c r="G14" s="8">
        <v>121181.9</v>
      </c>
      <c r="H14" s="8">
        <v>5709.7</v>
      </c>
      <c r="I14" s="8">
        <v>2566.3</v>
      </c>
      <c r="J14" s="8">
        <v>967</v>
      </c>
      <c r="K14" s="8">
        <v>56</v>
      </c>
      <c r="L14" s="8">
        <v>99075.1</v>
      </c>
      <c r="M14" s="8">
        <v>61529.7</v>
      </c>
      <c r="N14" s="8">
        <v>81453.7</v>
      </c>
      <c r="O14" s="8">
        <v>109757.5</v>
      </c>
      <c r="P14" s="8">
        <v>6305.8</v>
      </c>
      <c r="Q14" s="8">
        <v>8308.8</v>
      </c>
      <c r="R14" s="8">
        <v>4829.2</v>
      </c>
      <c r="S14" s="8">
        <v>5994.1</v>
      </c>
      <c r="T14" s="8">
        <v>8091.4</v>
      </c>
      <c r="U14" s="8">
        <v>18789.7</v>
      </c>
      <c r="V14" s="8">
        <v>54089.4</v>
      </c>
      <c r="W14" s="8">
        <v>57642.9</v>
      </c>
      <c r="X14" s="8">
        <v>5589.9</v>
      </c>
      <c r="Y14" s="8">
        <v>5493.2</v>
      </c>
      <c r="Z14" s="15">
        <f t="shared" si="21"/>
        <v>68726</v>
      </c>
      <c r="AA14" s="8">
        <v>2927.6</v>
      </c>
      <c r="AB14" s="13">
        <v>8403</v>
      </c>
      <c r="AC14" s="7">
        <f t="shared" si="22"/>
        <v>11330.6</v>
      </c>
      <c r="AD14" s="16">
        <v>184163</v>
      </c>
      <c r="AE14" s="17">
        <f t="shared" ref="AE14:AI14" si="69">IF(OR(C15=""),"",(C15-C14)*80)</f>
        <v>0</v>
      </c>
      <c r="AF14" s="17">
        <f t="shared" si="69"/>
        <v>0</v>
      </c>
      <c r="AG14" s="17">
        <f t="shared" si="69"/>
        <v>2144.00000000023</v>
      </c>
      <c r="AH14" s="17">
        <f t="shared" si="69"/>
        <v>2466.39999999999</v>
      </c>
      <c r="AI14" s="17">
        <f t="shared" si="69"/>
        <v>1952.0000000007</v>
      </c>
      <c r="AJ14" s="17">
        <f t="shared" si="3"/>
        <v>6562.40000000093</v>
      </c>
      <c r="AK14" s="17">
        <f t="shared" ref="AK14:AN14" si="70">IF(OR(H15=""),"",(H15-H14)*80)</f>
        <v>0</v>
      </c>
      <c r="AL14" s="17">
        <f t="shared" si="70"/>
        <v>0</v>
      </c>
      <c r="AM14" s="17">
        <f t="shared" si="70"/>
        <v>0</v>
      </c>
      <c r="AN14" s="17">
        <f t="shared" si="70"/>
        <v>0</v>
      </c>
      <c r="AO14" s="17">
        <f t="shared" si="5"/>
        <v>0</v>
      </c>
      <c r="AP14" s="17">
        <f t="shared" ref="AP14:AS14" si="71">IF(OR(L15=""),"",(L15-L14)*100)</f>
        <v>2019.99999999971</v>
      </c>
      <c r="AQ14" s="17">
        <f t="shared" si="71"/>
        <v>0</v>
      </c>
      <c r="AR14" s="17">
        <f t="shared" si="71"/>
        <v>2900</v>
      </c>
      <c r="AS14" s="17">
        <f t="shared" si="71"/>
        <v>2319.99999999971</v>
      </c>
      <c r="AT14" s="17">
        <f t="shared" si="7"/>
        <v>7239.99999999942</v>
      </c>
      <c r="AU14" s="17">
        <f t="shared" ref="AU14:AY14" si="72">IF(OR(P15=""),"",(P15-P14)*1000)</f>
        <v>0</v>
      </c>
      <c r="AV14" s="17">
        <f t="shared" si="72"/>
        <v>0</v>
      </c>
      <c r="AW14" s="17">
        <f t="shared" si="72"/>
        <v>4400.00000000055</v>
      </c>
      <c r="AX14" s="17">
        <f t="shared" si="72"/>
        <v>4599.99999999945</v>
      </c>
      <c r="AY14" s="17">
        <f t="shared" si="72"/>
        <v>0</v>
      </c>
      <c r="AZ14" s="17">
        <f t="shared" si="9"/>
        <v>9000</v>
      </c>
      <c r="BA14" s="17">
        <f t="shared" si="10"/>
        <v>8599.99999999854</v>
      </c>
      <c r="BB14" s="17">
        <f t="shared" si="11"/>
        <v>575.999999999767</v>
      </c>
      <c r="BC14" s="17">
        <f t="shared" si="27"/>
        <v>1627.99999999988</v>
      </c>
      <c r="BD14" s="17">
        <f t="shared" si="12"/>
        <v>16493.5999999855</v>
      </c>
      <c r="BE14" s="17">
        <f t="shared" si="13"/>
        <v>50099.999999984</v>
      </c>
      <c r="BF14" s="17">
        <f t="shared" si="14"/>
        <v>50.1999999999989</v>
      </c>
      <c r="BG14" s="20">
        <f t="shared" si="15"/>
        <v>0.272041615308091</v>
      </c>
      <c r="BH14" s="20">
        <f t="shared" si="16"/>
        <v>0.0356336506247233</v>
      </c>
      <c r="BI14" s="20">
        <f t="shared" si="17"/>
        <v>0</v>
      </c>
      <c r="BJ14" s="20">
        <f t="shared" si="18"/>
        <v>0.0393129998968274</v>
      </c>
      <c r="BK14" s="20">
        <f t="shared" ref="BK14:BO14" si="73">IF(OR($AD14=0),"",AZ14/$AD14)</f>
        <v>0.0488697512529661</v>
      </c>
      <c r="BL14" s="20">
        <f t="shared" si="73"/>
        <v>0.0466977623083819</v>
      </c>
      <c r="BM14" s="20">
        <f t="shared" si="73"/>
        <v>0.00312766408018857</v>
      </c>
      <c r="BN14" s="20">
        <f t="shared" si="73"/>
        <v>0.0088399950044248</v>
      </c>
      <c r="BO14" s="20">
        <f t="shared" si="73"/>
        <v>0.089559792140579</v>
      </c>
    </row>
    <row r="15" spans="1:67">
      <c r="A15" s="9">
        <f t="shared" si="20"/>
        <v>44724</v>
      </c>
      <c r="B15" s="10">
        <v>18319.91</v>
      </c>
      <c r="C15" s="8">
        <v>97503.4</v>
      </c>
      <c r="D15" s="8">
        <v>65718.6</v>
      </c>
      <c r="E15" s="8">
        <v>64601</v>
      </c>
      <c r="F15" s="8">
        <v>8462.89</v>
      </c>
      <c r="G15" s="8">
        <v>121206.3</v>
      </c>
      <c r="H15" s="8">
        <v>5709.7</v>
      </c>
      <c r="I15" s="8">
        <v>2566.3</v>
      </c>
      <c r="J15" s="8">
        <v>967</v>
      </c>
      <c r="K15" s="8">
        <v>56</v>
      </c>
      <c r="L15" s="8">
        <v>99095.3</v>
      </c>
      <c r="M15" s="8">
        <v>61529.7</v>
      </c>
      <c r="N15" s="8">
        <v>81482.7</v>
      </c>
      <c r="O15" s="8">
        <v>109780.7</v>
      </c>
      <c r="P15" s="8">
        <v>6305.8</v>
      </c>
      <c r="Q15" s="8">
        <v>8308.8</v>
      </c>
      <c r="R15" s="8">
        <v>4833.6</v>
      </c>
      <c r="S15" s="8">
        <v>5998.7</v>
      </c>
      <c r="T15" s="8">
        <v>8091.4</v>
      </c>
      <c r="U15" s="8">
        <v>18794</v>
      </c>
      <c r="V15" s="8">
        <v>54096.6</v>
      </c>
      <c r="W15" s="8">
        <v>57659.2</v>
      </c>
      <c r="X15" s="8">
        <v>5602</v>
      </c>
      <c r="Y15" s="8">
        <v>5505.5</v>
      </c>
      <c r="Z15" s="15">
        <f t="shared" si="21"/>
        <v>68766.7</v>
      </c>
      <c r="AA15" s="8">
        <v>2969.8</v>
      </c>
      <c r="AB15" s="13">
        <v>8411</v>
      </c>
      <c r="AC15" s="7">
        <f t="shared" si="22"/>
        <v>11380.8</v>
      </c>
      <c r="AD15" s="16">
        <v>159809</v>
      </c>
      <c r="AE15" s="17">
        <f t="shared" ref="AE15:AI15" si="74">IF(OR(C16=""),"",(C16-C15)*80)</f>
        <v>0</v>
      </c>
      <c r="AF15" s="17">
        <f t="shared" si="74"/>
        <v>1983.99999999907</v>
      </c>
      <c r="AG15" s="17">
        <f t="shared" si="74"/>
        <v>2280</v>
      </c>
      <c r="AH15" s="17">
        <f t="shared" si="74"/>
        <v>847.200000000012</v>
      </c>
      <c r="AI15" s="17">
        <f t="shared" si="74"/>
        <v>1935.99999999977</v>
      </c>
      <c r="AJ15" s="17">
        <f t="shared" si="3"/>
        <v>7047.19999999885</v>
      </c>
      <c r="AK15" s="17">
        <f t="shared" ref="AK15:AN15" si="75">IF(OR(H16=""),"",(H16-H15)*80)</f>
        <v>0</v>
      </c>
      <c r="AL15" s="17">
        <f t="shared" si="75"/>
        <v>0</v>
      </c>
      <c r="AM15" s="17">
        <f t="shared" si="75"/>
        <v>0</v>
      </c>
      <c r="AN15" s="17">
        <f t="shared" si="75"/>
        <v>0</v>
      </c>
      <c r="AO15" s="17">
        <f t="shared" si="5"/>
        <v>0</v>
      </c>
      <c r="AP15" s="17">
        <f t="shared" ref="AP15:AS15" si="76">IF(OR(L16=""),"",(L16-L15)*100)</f>
        <v>1469.99999999971</v>
      </c>
      <c r="AQ15" s="17">
        <f t="shared" si="76"/>
        <v>0</v>
      </c>
      <c r="AR15" s="17">
        <f t="shared" si="76"/>
        <v>2830.00000000029</v>
      </c>
      <c r="AS15" s="17">
        <f t="shared" si="76"/>
        <v>2240.00000000087</v>
      </c>
      <c r="AT15" s="17">
        <f t="shared" si="7"/>
        <v>6540.00000000087</v>
      </c>
      <c r="AU15" s="17">
        <f t="shared" ref="AU15:AY15" si="77">IF(OR(P16=""),"",(P16-P15)*1000)</f>
        <v>99.9999999994543</v>
      </c>
      <c r="AV15" s="17">
        <f t="shared" si="77"/>
        <v>0</v>
      </c>
      <c r="AW15" s="17">
        <f t="shared" si="77"/>
        <v>5099.99999999945</v>
      </c>
      <c r="AX15" s="17">
        <f t="shared" si="77"/>
        <v>5000</v>
      </c>
      <c r="AY15" s="17">
        <f t="shared" si="77"/>
        <v>0</v>
      </c>
      <c r="AZ15" s="17">
        <f t="shared" si="9"/>
        <v>10199.9999999989</v>
      </c>
      <c r="BA15" s="17">
        <f t="shared" si="10"/>
        <v>8400.00000000146</v>
      </c>
      <c r="BB15" s="17">
        <f t="shared" si="11"/>
        <v>616.000000000349</v>
      </c>
      <c r="BC15" s="17">
        <f t="shared" si="27"/>
        <v>1664.00000000023</v>
      </c>
      <c r="BD15" s="17">
        <f t="shared" si="12"/>
        <v>16532.7999999848</v>
      </c>
      <c r="BE15" s="17">
        <f t="shared" si="13"/>
        <v>50999.9999999854</v>
      </c>
      <c r="BF15" s="17">
        <f t="shared" si="14"/>
        <v>51.7000000000007</v>
      </c>
      <c r="BG15" s="20">
        <f t="shared" si="15"/>
        <v>0.319130962586497</v>
      </c>
      <c r="BH15" s="20">
        <f t="shared" si="16"/>
        <v>0.0440976415596046</v>
      </c>
      <c r="BI15" s="20">
        <f t="shared" si="17"/>
        <v>0</v>
      </c>
      <c r="BJ15" s="20">
        <f t="shared" si="18"/>
        <v>0.0409238528493444</v>
      </c>
      <c r="BK15" s="20">
        <f t="shared" ref="BK15:BO15" si="78">IF(OR($AD15=0),"",AZ15/$AD15)</f>
        <v>0.0638261925173107</v>
      </c>
      <c r="BL15" s="20">
        <f t="shared" si="78"/>
        <v>0.0525627467789765</v>
      </c>
      <c r="BM15" s="20">
        <f t="shared" si="78"/>
        <v>0.00385460143045979</v>
      </c>
      <c r="BN15" s="20">
        <f t="shared" si="78"/>
        <v>0.0104124298381207</v>
      </c>
      <c r="BO15" s="20">
        <f t="shared" si="78"/>
        <v>0.10345349761268</v>
      </c>
    </row>
    <row r="16" spans="1:67">
      <c r="A16" s="9">
        <f t="shared" si="20"/>
        <v>44725</v>
      </c>
      <c r="B16" s="10">
        <v>18325.01</v>
      </c>
      <c r="C16" s="8">
        <v>97503.4</v>
      </c>
      <c r="D16" s="8">
        <v>65743.4</v>
      </c>
      <c r="E16" s="8">
        <v>64629.5</v>
      </c>
      <c r="F16" s="8">
        <v>8473.48</v>
      </c>
      <c r="G16" s="8">
        <v>121230.5</v>
      </c>
      <c r="H16" s="8">
        <v>5709.7</v>
      </c>
      <c r="I16" s="8">
        <v>2566.3</v>
      </c>
      <c r="J16" s="8">
        <v>967</v>
      </c>
      <c r="K16" s="8">
        <v>56</v>
      </c>
      <c r="L16" s="8">
        <v>99110</v>
      </c>
      <c r="M16" s="8">
        <v>61529.7</v>
      </c>
      <c r="N16" s="8">
        <v>81511</v>
      </c>
      <c r="O16" s="8">
        <v>109803.1</v>
      </c>
      <c r="P16" s="8">
        <v>6305.9</v>
      </c>
      <c r="Q16" s="8">
        <v>8308.8</v>
      </c>
      <c r="R16" s="8">
        <v>4838.7</v>
      </c>
      <c r="S16" s="8">
        <v>6003.7</v>
      </c>
      <c r="T16" s="8">
        <v>8091.4</v>
      </c>
      <c r="U16" s="8">
        <v>18798.2</v>
      </c>
      <c r="V16" s="8">
        <v>54104.3</v>
      </c>
      <c r="W16" s="8">
        <v>57676.1</v>
      </c>
      <c r="X16" s="8">
        <v>5614.1</v>
      </c>
      <c r="Y16" s="8">
        <v>5518.1</v>
      </c>
      <c r="Z16" s="15">
        <f t="shared" si="21"/>
        <v>68808.3</v>
      </c>
      <c r="AA16" s="8">
        <v>3011.5</v>
      </c>
      <c r="AB16" s="13">
        <v>8421</v>
      </c>
      <c r="AC16" s="7">
        <f t="shared" si="22"/>
        <v>11432.5</v>
      </c>
      <c r="AD16" s="16">
        <v>182536</v>
      </c>
      <c r="AE16" s="17">
        <f t="shared" ref="AE16:AI16" si="79">IF(OR(C17=""),"",(C17-C16)*80)</f>
        <v>0</v>
      </c>
      <c r="AF16" s="17">
        <f t="shared" si="79"/>
        <v>504.000000000233</v>
      </c>
      <c r="AG16" s="17">
        <f t="shared" si="79"/>
        <v>2272.00000000012</v>
      </c>
      <c r="AH16" s="17">
        <f t="shared" si="79"/>
        <v>1566.39999999999</v>
      </c>
      <c r="AI16" s="17">
        <f t="shared" si="79"/>
        <v>2408.00000000047</v>
      </c>
      <c r="AJ16" s="17">
        <f t="shared" si="3"/>
        <v>6750.40000000081</v>
      </c>
      <c r="AK16" s="17">
        <f t="shared" ref="AK16:AN16" si="80">IF(OR(H17=""),"",(H17-H16)*80)</f>
        <v>0</v>
      </c>
      <c r="AL16" s="17">
        <f t="shared" si="80"/>
        <v>0</v>
      </c>
      <c r="AM16" s="17">
        <f t="shared" si="80"/>
        <v>0</v>
      </c>
      <c r="AN16" s="17">
        <f t="shared" si="80"/>
        <v>0</v>
      </c>
      <c r="AO16" s="17">
        <f t="shared" si="5"/>
        <v>0</v>
      </c>
      <c r="AP16" s="17">
        <f t="shared" ref="AP16:AS16" si="81">IF(OR(L17=""),"",(L17-L16)*100)</f>
        <v>2139.99999999942</v>
      </c>
      <c r="AQ16" s="17">
        <f t="shared" si="81"/>
        <v>0</v>
      </c>
      <c r="AR16" s="17">
        <f t="shared" si="81"/>
        <v>2739.99999999942</v>
      </c>
      <c r="AS16" s="17">
        <f t="shared" si="81"/>
        <v>2209.99999999913</v>
      </c>
      <c r="AT16" s="17">
        <f t="shared" si="7"/>
        <v>7089.99999999796</v>
      </c>
      <c r="AU16" s="17">
        <f t="shared" ref="AU16:AY16" si="82">IF(OR(P17=""),"",(P17-P16)*1000)</f>
        <v>0</v>
      </c>
      <c r="AV16" s="17">
        <f t="shared" si="82"/>
        <v>0</v>
      </c>
      <c r="AW16" s="17">
        <f t="shared" si="82"/>
        <v>4800.00000000018</v>
      </c>
      <c r="AX16" s="17">
        <f t="shared" si="82"/>
        <v>4800.00000000018</v>
      </c>
      <c r="AY16" s="17">
        <f t="shared" si="82"/>
        <v>0</v>
      </c>
      <c r="AZ16" s="17">
        <f t="shared" si="9"/>
        <v>9600.00000000036</v>
      </c>
      <c r="BA16" s="17">
        <f t="shared" si="10"/>
        <v>8599.99999999854</v>
      </c>
      <c r="BB16" s="17">
        <f t="shared" si="11"/>
        <v>751.999999999534</v>
      </c>
      <c r="BC16" s="17">
        <f t="shared" si="27"/>
        <v>1592.00000000012</v>
      </c>
      <c r="BD16" s="17">
        <f t="shared" si="12"/>
        <v>16515.6000000041</v>
      </c>
      <c r="BE16" s="17">
        <f t="shared" si="13"/>
        <v>50900.0000000015</v>
      </c>
      <c r="BF16" s="17">
        <f t="shared" si="14"/>
        <v>50.2000000000007</v>
      </c>
      <c r="BG16" s="20">
        <f t="shared" si="15"/>
        <v>0.278849103738449</v>
      </c>
      <c r="BH16" s="20">
        <f t="shared" si="16"/>
        <v>0.0369811982293948</v>
      </c>
      <c r="BI16" s="20">
        <f t="shared" si="17"/>
        <v>0</v>
      </c>
      <c r="BJ16" s="20">
        <f t="shared" si="18"/>
        <v>0.0388416531533394</v>
      </c>
      <c r="BK16" s="20">
        <f t="shared" ref="BK16:BO16" si="83">IF(OR($AD16=0),"",AZ16/$AD16)</f>
        <v>0.0525923653416332</v>
      </c>
      <c r="BL16" s="20">
        <f t="shared" si="83"/>
        <v>0.04711399395187</v>
      </c>
      <c r="BM16" s="20">
        <f t="shared" si="83"/>
        <v>0.0041197352850919</v>
      </c>
      <c r="BN16" s="20">
        <f t="shared" si="83"/>
        <v>0.00872156725248782</v>
      </c>
      <c r="BO16" s="20">
        <f t="shared" si="83"/>
        <v>0.0904785905246314</v>
      </c>
    </row>
    <row r="17" spans="1:67">
      <c r="A17" s="9">
        <f t="shared" si="20"/>
        <v>44726</v>
      </c>
      <c r="B17" s="10">
        <v>18330.1</v>
      </c>
      <c r="C17" s="8">
        <v>97503.4</v>
      </c>
      <c r="D17" s="8">
        <v>65749.7</v>
      </c>
      <c r="E17" s="8">
        <v>64657.9</v>
      </c>
      <c r="F17" s="8">
        <v>8493.06</v>
      </c>
      <c r="G17" s="8">
        <v>121260.6</v>
      </c>
      <c r="H17" s="8">
        <v>5709.7</v>
      </c>
      <c r="I17" s="8">
        <v>2566.3</v>
      </c>
      <c r="J17" s="8">
        <v>967</v>
      </c>
      <c r="K17" s="8">
        <v>56</v>
      </c>
      <c r="L17" s="8">
        <v>99131.4</v>
      </c>
      <c r="M17" s="8">
        <v>61529.7</v>
      </c>
      <c r="N17" s="8">
        <v>81538.4</v>
      </c>
      <c r="O17" s="8">
        <v>109825.2</v>
      </c>
      <c r="P17" s="8">
        <v>6305.9</v>
      </c>
      <c r="Q17" s="8">
        <v>8308.8</v>
      </c>
      <c r="R17" s="8">
        <v>4843.5</v>
      </c>
      <c r="S17" s="8">
        <v>6008.5</v>
      </c>
      <c r="T17" s="8">
        <v>8091.4</v>
      </c>
      <c r="U17" s="8">
        <v>18802.5</v>
      </c>
      <c r="V17" s="8">
        <v>54113.7</v>
      </c>
      <c r="W17" s="8">
        <v>57692.3</v>
      </c>
      <c r="X17" s="8">
        <v>5625.7</v>
      </c>
      <c r="Y17" s="8">
        <v>5530.1</v>
      </c>
      <c r="Z17" s="15">
        <f t="shared" si="21"/>
        <v>68848.1</v>
      </c>
      <c r="AA17" s="8">
        <v>3052.7</v>
      </c>
      <c r="AB17" s="13">
        <v>8430</v>
      </c>
      <c r="AC17" s="7">
        <f t="shared" si="22"/>
        <v>11482.7</v>
      </c>
      <c r="AD17" s="16">
        <v>188365</v>
      </c>
      <c r="AE17" s="17">
        <f t="shared" ref="AE17:AI17" si="84">IF(OR(C18=""),"",(C18-C17)*80)</f>
        <v>0</v>
      </c>
      <c r="AF17" s="17">
        <f t="shared" si="84"/>
        <v>0</v>
      </c>
      <c r="AG17" s="17">
        <f t="shared" si="84"/>
        <v>2080</v>
      </c>
      <c r="AH17" s="17">
        <f t="shared" si="84"/>
        <v>2479.19999999998</v>
      </c>
      <c r="AI17" s="17">
        <f t="shared" si="84"/>
        <v>2255.99999999977</v>
      </c>
      <c r="AJ17" s="17">
        <f t="shared" si="3"/>
        <v>6815.19999999975</v>
      </c>
      <c r="AK17" s="17">
        <f t="shared" ref="AK17:AN17" si="85">IF(OR(H18=""),"",(H18-H17)*80)</f>
        <v>0</v>
      </c>
      <c r="AL17" s="17">
        <f t="shared" si="85"/>
        <v>0</v>
      </c>
      <c r="AM17" s="17">
        <f t="shared" si="85"/>
        <v>0</v>
      </c>
      <c r="AN17" s="17">
        <f t="shared" si="85"/>
        <v>0</v>
      </c>
      <c r="AO17" s="17">
        <f t="shared" si="5"/>
        <v>0</v>
      </c>
      <c r="AP17" s="17">
        <f t="shared" ref="AP17:AS17" si="86">IF(OR(L18=""),"",(L18-L17)*100)</f>
        <v>2240.00000000087</v>
      </c>
      <c r="AQ17" s="17">
        <f t="shared" si="86"/>
        <v>0</v>
      </c>
      <c r="AR17" s="17">
        <f t="shared" si="86"/>
        <v>2910.00000000058</v>
      </c>
      <c r="AS17" s="17">
        <f t="shared" si="86"/>
        <v>2319.99999999971</v>
      </c>
      <c r="AT17" s="17">
        <f t="shared" si="7"/>
        <v>7470.00000000116</v>
      </c>
      <c r="AU17" s="17">
        <f t="shared" ref="AU17:AY17" si="87">IF(OR(P18=""),"",(P18-P17)*1000)</f>
        <v>0</v>
      </c>
      <c r="AV17" s="17">
        <f t="shared" si="87"/>
        <v>0</v>
      </c>
      <c r="AW17" s="17">
        <f t="shared" si="87"/>
        <v>4399.99999999964</v>
      </c>
      <c r="AX17" s="17">
        <f t="shared" si="87"/>
        <v>5300.00000000018</v>
      </c>
      <c r="AY17" s="17">
        <f t="shared" si="87"/>
        <v>0</v>
      </c>
      <c r="AZ17" s="17">
        <f t="shared" si="9"/>
        <v>9699.99999999982</v>
      </c>
      <c r="BA17" s="17">
        <f t="shared" si="10"/>
        <v>9400.00000000146</v>
      </c>
      <c r="BB17" s="17">
        <f t="shared" si="11"/>
        <v>488.000000000466</v>
      </c>
      <c r="BC17" s="17">
        <f t="shared" si="27"/>
        <v>1651.99999999953</v>
      </c>
      <c r="BD17" s="17">
        <f t="shared" si="12"/>
        <v>17374.8000000065</v>
      </c>
      <c r="BE17" s="17">
        <f t="shared" si="13"/>
        <v>52900.0000000087</v>
      </c>
      <c r="BF17" s="17">
        <f t="shared" si="14"/>
        <v>53.2999999999993</v>
      </c>
      <c r="BG17" s="20">
        <f t="shared" si="15"/>
        <v>0.280837735248102</v>
      </c>
      <c r="BH17" s="20">
        <f t="shared" si="16"/>
        <v>0.0361808191543002</v>
      </c>
      <c r="BI17" s="20">
        <f t="shared" si="17"/>
        <v>0</v>
      </c>
      <c r="BJ17" s="20">
        <f t="shared" si="18"/>
        <v>0.0396570488148072</v>
      </c>
      <c r="BK17" s="20">
        <f t="shared" ref="BK17:BO17" si="88">IF(OR($AD17=0),"",AZ17/$AD17)</f>
        <v>0.0514957661986028</v>
      </c>
      <c r="BL17" s="20">
        <f t="shared" si="88"/>
        <v>0.0499031136357681</v>
      </c>
      <c r="BM17" s="20">
        <f t="shared" si="88"/>
        <v>0.0025907148355611</v>
      </c>
      <c r="BN17" s="20">
        <f t="shared" si="88"/>
        <v>0.0087702067793886</v>
      </c>
      <c r="BO17" s="20">
        <f t="shared" si="88"/>
        <v>0.092240065829674</v>
      </c>
    </row>
    <row r="18" spans="1:67">
      <c r="A18" s="9">
        <f t="shared" si="20"/>
        <v>44727</v>
      </c>
      <c r="B18" s="10">
        <v>18335.39</v>
      </c>
      <c r="C18" s="8">
        <v>97503.4</v>
      </c>
      <c r="D18" s="8">
        <v>65749.7</v>
      </c>
      <c r="E18" s="8">
        <v>64683.9</v>
      </c>
      <c r="F18" s="8">
        <v>8524.05</v>
      </c>
      <c r="G18" s="8">
        <v>121288.8</v>
      </c>
      <c r="H18" s="8">
        <v>5709.7</v>
      </c>
      <c r="I18" s="8">
        <v>2566.3</v>
      </c>
      <c r="J18" s="8">
        <v>967</v>
      </c>
      <c r="K18" s="8">
        <v>56</v>
      </c>
      <c r="L18" s="8">
        <v>99153.8</v>
      </c>
      <c r="M18" s="8">
        <v>61529.7</v>
      </c>
      <c r="N18" s="8">
        <v>81567.5</v>
      </c>
      <c r="O18" s="8">
        <v>109848.4</v>
      </c>
      <c r="P18" s="8">
        <v>6305.9</v>
      </c>
      <c r="Q18" s="8">
        <v>8308.8</v>
      </c>
      <c r="R18" s="8">
        <v>4847.9</v>
      </c>
      <c r="S18" s="8">
        <v>6013.8</v>
      </c>
      <c r="T18" s="8">
        <v>8091.4</v>
      </c>
      <c r="U18" s="8">
        <v>18807.2</v>
      </c>
      <c r="V18" s="8">
        <v>54119.8</v>
      </c>
      <c r="W18" s="8">
        <v>57709</v>
      </c>
      <c r="X18" s="8">
        <v>5637.7</v>
      </c>
      <c r="Y18" s="8">
        <v>5542.7</v>
      </c>
      <c r="Z18" s="15">
        <f t="shared" si="21"/>
        <v>68889.4</v>
      </c>
      <c r="AA18" s="8">
        <v>3096</v>
      </c>
      <c r="AB18" s="13">
        <v>8440</v>
      </c>
      <c r="AC18" s="7">
        <f t="shared" si="22"/>
        <v>11536</v>
      </c>
      <c r="AD18" s="16">
        <v>187971</v>
      </c>
      <c r="AE18" s="17">
        <f t="shared" ref="AE18:AI18" si="89">IF(OR(C19=""),"",(C19-C18)*80)</f>
        <v>0</v>
      </c>
      <c r="AF18" s="17">
        <f t="shared" si="89"/>
        <v>0</v>
      </c>
      <c r="AG18" s="17">
        <f t="shared" si="89"/>
        <v>2055.99999999977</v>
      </c>
      <c r="AH18" s="17">
        <f t="shared" si="89"/>
        <v>2436.00000000006</v>
      </c>
      <c r="AI18" s="17">
        <f t="shared" si="89"/>
        <v>2031.99999999953</v>
      </c>
      <c r="AJ18" s="17">
        <f t="shared" si="3"/>
        <v>6523.99999999936</v>
      </c>
      <c r="AK18" s="17">
        <f t="shared" ref="AK18:AN18" si="90">IF(OR(H19=""),"",(H19-H18)*80)</f>
        <v>0</v>
      </c>
      <c r="AL18" s="17">
        <f t="shared" si="90"/>
        <v>0</v>
      </c>
      <c r="AM18" s="17">
        <f t="shared" si="90"/>
        <v>0</v>
      </c>
      <c r="AN18" s="17">
        <f t="shared" si="90"/>
        <v>0</v>
      </c>
      <c r="AO18" s="17">
        <f t="shared" si="5"/>
        <v>0</v>
      </c>
      <c r="AP18" s="17">
        <f t="shared" ref="AP18:AS18" si="91">IF(OR(L19=""),"",(L19-L18)*100)</f>
        <v>2200</v>
      </c>
      <c r="AQ18" s="17">
        <f t="shared" si="91"/>
        <v>0</v>
      </c>
      <c r="AR18" s="17">
        <f t="shared" si="91"/>
        <v>2889.99999999942</v>
      </c>
      <c r="AS18" s="17">
        <f t="shared" si="91"/>
        <v>2260.00000000058</v>
      </c>
      <c r="AT18" s="17">
        <f t="shared" si="7"/>
        <v>7350</v>
      </c>
      <c r="AU18" s="17">
        <f t="shared" ref="AU18:AY18" si="92">IF(OR(P19=""),"",(P19-P18)*1000)</f>
        <v>0</v>
      </c>
      <c r="AV18" s="17">
        <f t="shared" si="92"/>
        <v>0</v>
      </c>
      <c r="AW18" s="17">
        <f t="shared" si="92"/>
        <v>4600.00000000036</v>
      </c>
      <c r="AX18" s="17">
        <f t="shared" si="92"/>
        <v>5099.99999999945</v>
      </c>
      <c r="AY18" s="17">
        <f t="shared" si="92"/>
        <v>0</v>
      </c>
      <c r="AZ18" s="17">
        <f t="shared" si="9"/>
        <v>9699.99999999982</v>
      </c>
      <c r="BA18" s="17">
        <f t="shared" si="10"/>
        <v>9199.99999999709</v>
      </c>
      <c r="BB18" s="17">
        <f t="shared" si="11"/>
        <v>503.999999999651</v>
      </c>
      <c r="BC18" s="17">
        <f t="shared" si="27"/>
        <v>1640</v>
      </c>
      <c r="BD18" s="17">
        <f t="shared" si="12"/>
        <v>17381.9999999997</v>
      </c>
      <c r="BE18" s="17">
        <f t="shared" si="13"/>
        <v>52299.9999999956</v>
      </c>
      <c r="BF18" s="17">
        <f t="shared" si="14"/>
        <v>54.6000000000004</v>
      </c>
      <c r="BG18" s="20">
        <f t="shared" si="15"/>
        <v>0.27823440849916</v>
      </c>
      <c r="BH18" s="20">
        <f t="shared" si="16"/>
        <v>0.0347074814732026</v>
      </c>
      <c r="BI18" s="20">
        <f t="shared" si="17"/>
        <v>0</v>
      </c>
      <c r="BJ18" s="20">
        <f t="shared" si="18"/>
        <v>0.0391017763378393</v>
      </c>
      <c r="BK18" s="20">
        <f t="shared" ref="BK18:BO18" si="93">IF(OR($AD18=0),"",AZ18/$AD18)</f>
        <v>0.0516037048268074</v>
      </c>
      <c r="BL18" s="20">
        <f t="shared" si="93"/>
        <v>0.0489437200419059</v>
      </c>
      <c r="BM18" s="20">
        <f t="shared" si="93"/>
        <v>0.00268126466316427</v>
      </c>
      <c r="BN18" s="20">
        <f t="shared" si="93"/>
        <v>0.00872475009442946</v>
      </c>
      <c r="BO18" s="20">
        <f t="shared" si="93"/>
        <v>0.0924717110618112</v>
      </c>
    </row>
    <row r="19" spans="1:67">
      <c r="A19" s="9">
        <f t="shared" si="20"/>
        <v>44728</v>
      </c>
      <c r="B19" s="10">
        <v>18340.62</v>
      </c>
      <c r="C19" s="8">
        <v>97503.4</v>
      </c>
      <c r="D19" s="8">
        <v>65749.7</v>
      </c>
      <c r="E19" s="8">
        <v>64709.6</v>
      </c>
      <c r="F19" s="8">
        <v>8554.5</v>
      </c>
      <c r="G19" s="8">
        <v>121314.2</v>
      </c>
      <c r="H19" s="8">
        <v>5709.7</v>
      </c>
      <c r="I19" s="8">
        <v>2566.3</v>
      </c>
      <c r="J19" s="8">
        <v>967</v>
      </c>
      <c r="K19" s="8">
        <v>56</v>
      </c>
      <c r="L19" s="8">
        <v>99175.8</v>
      </c>
      <c r="M19" s="8">
        <v>61529.7</v>
      </c>
      <c r="N19" s="8">
        <v>81596.4</v>
      </c>
      <c r="O19" s="8">
        <v>109871</v>
      </c>
      <c r="P19" s="8">
        <v>6305.9</v>
      </c>
      <c r="Q19" s="8">
        <v>8308.8</v>
      </c>
      <c r="R19" s="8">
        <v>4852.5</v>
      </c>
      <c r="S19" s="8">
        <v>6018.9</v>
      </c>
      <c r="T19" s="8">
        <v>8091.4</v>
      </c>
      <c r="U19" s="8">
        <v>18811.8</v>
      </c>
      <c r="V19" s="8">
        <v>54126.1</v>
      </c>
      <c r="W19" s="8">
        <v>57725.7</v>
      </c>
      <c r="X19" s="8">
        <v>5649.5</v>
      </c>
      <c r="Y19" s="8">
        <v>5555.2</v>
      </c>
      <c r="Z19" s="15">
        <f t="shared" si="21"/>
        <v>68930.4</v>
      </c>
      <c r="AA19" s="8">
        <v>3140.6</v>
      </c>
      <c r="AB19" s="13">
        <v>8450</v>
      </c>
      <c r="AC19" s="7">
        <f t="shared" si="22"/>
        <v>11590.6</v>
      </c>
      <c r="AD19" s="16">
        <v>199153</v>
      </c>
      <c r="AE19" s="17">
        <f t="shared" ref="AE19:AI19" si="94">IF(OR(C20=""),"",(C20-C19)*80)</f>
        <v>0</v>
      </c>
      <c r="AF19" s="17">
        <f t="shared" si="94"/>
        <v>0</v>
      </c>
      <c r="AG19" s="17">
        <f t="shared" si="94"/>
        <v>2592.00000000012</v>
      </c>
      <c r="AH19" s="17">
        <f t="shared" si="94"/>
        <v>2384.79999999996</v>
      </c>
      <c r="AI19" s="17">
        <f t="shared" si="94"/>
        <v>2344.00000000023</v>
      </c>
      <c r="AJ19" s="17">
        <f t="shared" si="3"/>
        <v>7320.80000000031</v>
      </c>
      <c r="AK19" s="17">
        <f t="shared" ref="AK19:AN19" si="95">IF(OR(H20=""),"",(H20-H19)*80)</f>
        <v>0</v>
      </c>
      <c r="AL19" s="17">
        <f t="shared" si="95"/>
        <v>0</v>
      </c>
      <c r="AM19" s="17">
        <f t="shared" si="95"/>
        <v>0</v>
      </c>
      <c r="AN19" s="17">
        <f t="shared" si="95"/>
        <v>0</v>
      </c>
      <c r="AO19" s="17">
        <f t="shared" si="5"/>
        <v>0</v>
      </c>
      <c r="AP19" s="17">
        <f t="shared" ref="AP19:AS19" si="96">IF(OR(L20=""),"",(L20-L19)*100)</f>
        <v>2939.99999999942</v>
      </c>
      <c r="AQ19" s="17">
        <f t="shared" si="96"/>
        <v>0</v>
      </c>
      <c r="AR19" s="17">
        <f t="shared" si="96"/>
        <v>2910.00000000058</v>
      </c>
      <c r="AS19" s="17">
        <f t="shared" si="96"/>
        <v>2150</v>
      </c>
      <c r="AT19" s="17">
        <f t="shared" si="7"/>
        <v>8000</v>
      </c>
      <c r="AU19" s="17">
        <f t="shared" ref="AU19:AY19" si="97">IF(OR(P20=""),"",(P20-P19)*1000)</f>
        <v>0</v>
      </c>
      <c r="AV19" s="17">
        <f t="shared" si="97"/>
        <v>0</v>
      </c>
      <c r="AW19" s="17">
        <f t="shared" si="97"/>
        <v>4699.99999999982</v>
      </c>
      <c r="AX19" s="17">
        <f t="shared" si="97"/>
        <v>5100.00000000036</v>
      </c>
      <c r="AY19" s="17">
        <f t="shared" si="97"/>
        <v>0</v>
      </c>
      <c r="AZ19" s="17">
        <f t="shared" si="9"/>
        <v>9800.00000000018</v>
      </c>
      <c r="BA19" s="17">
        <f t="shared" si="10"/>
        <v>10400.0000000015</v>
      </c>
      <c r="BB19" s="17">
        <f t="shared" si="11"/>
        <v>576.000000000349</v>
      </c>
      <c r="BC19" s="17">
        <f t="shared" si="27"/>
        <v>1564.00000000023</v>
      </c>
      <c r="BD19" s="17">
        <f t="shared" si="12"/>
        <v>17639.2000000222</v>
      </c>
      <c r="BE19" s="17">
        <f t="shared" si="13"/>
        <v>55300.0000000247</v>
      </c>
      <c r="BF19" s="17">
        <f t="shared" si="14"/>
        <v>52.7999999999993</v>
      </c>
      <c r="BG19" s="20">
        <f t="shared" si="15"/>
        <v>0.277675957680902</v>
      </c>
      <c r="BH19" s="20">
        <f t="shared" si="16"/>
        <v>0.0367596772330837</v>
      </c>
      <c r="BI19" s="20">
        <f t="shared" si="17"/>
        <v>0</v>
      </c>
      <c r="BJ19" s="20">
        <f t="shared" si="18"/>
        <v>0.0401701204601487</v>
      </c>
      <c r="BK19" s="20">
        <f t="shared" ref="BK19:BO19" si="98">IF(OR($AD19=0),"",AZ19/$AD19)</f>
        <v>0.0492083975636831</v>
      </c>
      <c r="BL19" s="20">
        <f t="shared" si="98"/>
        <v>0.0522211565982007</v>
      </c>
      <c r="BM19" s="20">
        <f t="shared" si="98"/>
        <v>0.00289224867313246</v>
      </c>
      <c r="BN19" s="20">
        <f t="shared" si="98"/>
        <v>0.00785325854996025</v>
      </c>
      <c r="BO19" s="20">
        <f t="shared" si="98"/>
        <v>0.0885710986026935</v>
      </c>
    </row>
    <row r="20" spans="1:67">
      <c r="A20" s="9">
        <f t="shared" si="20"/>
        <v>44729</v>
      </c>
      <c r="B20" s="10">
        <v>18346.15</v>
      </c>
      <c r="C20" s="8">
        <v>97503.4</v>
      </c>
      <c r="D20" s="8">
        <v>65749.7</v>
      </c>
      <c r="E20" s="8">
        <v>64742</v>
      </c>
      <c r="F20" s="8">
        <v>8584.31</v>
      </c>
      <c r="G20" s="8">
        <v>121343.5</v>
      </c>
      <c r="H20" s="8">
        <v>5709.7</v>
      </c>
      <c r="I20" s="8">
        <v>2566.3</v>
      </c>
      <c r="J20" s="8">
        <v>967</v>
      </c>
      <c r="K20" s="8">
        <v>56</v>
      </c>
      <c r="L20" s="8">
        <v>99205.2</v>
      </c>
      <c r="M20" s="8">
        <v>61529.7</v>
      </c>
      <c r="N20" s="8">
        <v>81625.5</v>
      </c>
      <c r="O20" s="8">
        <v>109892.5</v>
      </c>
      <c r="P20" s="8">
        <v>6305.9</v>
      </c>
      <c r="Q20" s="8">
        <v>8308.8</v>
      </c>
      <c r="R20" s="8">
        <v>4857.2</v>
      </c>
      <c r="S20" s="8">
        <v>6024</v>
      </c>
      <c r="T20" s="8">
        <v>8091.4</v>
      </c>
      <c r="U20" s="8">
        <v>18817</v>
      </c>
      <c r="V20" s="8">
        <v>54133.3</v>
      </c>
      <c r="W20" s="8">
        <v>57741.7</v>
      </c>
      <c r="X20" s="8">
        <v>5660.6</v>
      </c>
      <c r="Y20" s="8">
        <v>5567.2</v>
      </c>
      <c r="Z20" s="15">
        <f t="shared" si="21"/>
        <v>68969.5</v>
      </c>
      <c r="AA20" s="8">
        <v>3183.4</v>
      </c>
      <c r="AB20" s="13">
        <v>8460</v>
      </c>
      <c r="AC20" s="7">
        <f t="shared" si="22"/>
        <v>11643.4</v>
      </c>
      <c r="AD20" s="16">
        <v>205841</v>
      </c>
      <c r="AE20" s="17">
        <f t="shared" ref="AE20:AI20" si="99">IF(OR(C21=""),"",(C21-C20)*80)</f>
        <v>0</v>
      </c>
      <c r="AF20" s="17">
        <f t="shared" si="99"/>
        <v>0</v>
      </c>
      <c r="AG20" s="17">
        <f t="shared" si="99"/>
        <v>2912.00000000012</v>
      </c>
      <c r="AH20" s="17">
        <f t="shared" si="99"/>
        <v>2437.60000000009</v>
      </c>
      <c r="AI20" s="17">
        <f t="shared" si="99"/>
        <v>2231.99999999953</v>
      </c>
      <c r="AJ20" s="17">
        <f t="shared" si="3"/>
        <v>7581.59999999974</v>
      </c>
      <c r="AK20" s="17">
        <f t="shared" ref="AK20:AN20" si="100">IF(OR(H21=""),"",(H21-H20)*80)</f>
        <v>0</v>
      </c>
      <c r="AL20" s="17">
        <f t="shared" si="100"/>
        <v>0</v>
      </c>
      <c r="AM20" s="17">
        <f t="shared" si="100"/>
        <v>0</v>
      </c>
      <c r="AN20" s="17">
        <f t="shared" si="100"/>
        <v>0</v>
      </c>
      <c r="AO20" s="17">
        <f t="shared" si="5"/>
        <v>0</v>
      </c>
      <c r="AP20" s="17">
        <f t="shared" ref="AP20:AS20" si="101">IF(OR(L21=""),"",(L21-L20)*100)</f>
        <v>2990.00000000087</v>
      </c>
      <c r="AQ20" s="17">
        <f t="shared" si="101"/>
        <v>0</v>
      </c>
      <c r="AR20" s="17">
        <f t="shared" si="101"/>
        <v>2819.99999999971</v>
      </c>
      <c r="AS20" s="17">
        <f t="shared" si="101"/>
        <v>2160.00000000058</v>
      </c>
      <c r="AT20" s="17">
        <f t="shared" si="7"/>
        <v>7970.00000000116</v>
      </c>
      <c r="AU20" s="17">
        <f t="shared" ref="AU20:AY20" si="102">IF(OR(P21=""),"",(P21-P20)*1000)</f>
        <v>0</v>
      </c>
      <c r="AV20" s="17">
        <f t="shared" si="102"/>
        <v>0</v>
      </c>
      <c r="AW20" s="17">
        <f t="shared" si="102"/>
        <v>4699.99999999982</v>
      </c>
      <c r="AX20" s="17">
        <f t="shared" si="102"/>
        <v>5300.00000000018</v>
      </c>
      <c r="AY20" s="17">
        <f t="shared" si="102"/>
        <v>0</v>
      </c>
      <c r="AZ20" s="17">
        <f t="shared" si="9"/>
        <v>10000</v>
      </c>
      <c r="BA20" s="17">
        <f t="shared" si="10"/>
        <v>10199.9999999971</v>
      </c>
      <c r="BB20" s="17">
        <f t="shared" si="11"/>
        <v>991.999999999534</v>
      </c>
      <c r="BC20" s="17">
        <f t="shared" si="27"/>
        <v>1567.99999999988</v>
      </c>
      <c r="BD20" s="17">
        <f t="shared" si="12"/>
        <v>17488.3999999837</v>
      </c>
      <c r="BE20" s="17">
        <f t="shared" si="13"/>
        <v>55799.9999999811</v>
      </c>
      <c r="BF20" s="17">
        <f t="shared" si="14"/>
        <v>52.1000000000004</v>
      </c>
      <c r="BG20" s="20">
        <f t="shared" si="15"/>
        <v>0.271083020389432</v>
      </c>
      <c r="BH20" s="20">
        <f t="shared" si="16"/>
        <v>0.0368323123187302</v>
      </c>
      <c r="BI20" s="20">
        <f t="shared" si="17"/>
        <v>0</v>
      </c>
      <c r="BJ20" s="20">
        <f t="shared" si="18"/>
        <v>0.0387192056004448</v>
      </c>
      <c r="BK20" s="20">
        <f t="shared" ref="BK20:BO20" si="103">IF(OR($AD20=0),"",AZ20/$AD20)</f>
        <v>0.0485811864497355</v>
      </c>
      <c r="BL20" s="20">
        <f t="shared" si="103"/>
        <v>0.049552810178716</v>
      </c>
      <c r="BM20" s="20">
        <f t="shared" si="103"/>
        <v>0.0048192536958115</v>
      </c>
      <c r="BN20" s="20">
        <f t="shared" si="103"/>
        <v>0.00761753003531796</v>
      </c>
      <c r="BO20" s="20">
        <f t="shared" si="103"/>
        <v>0.084960722110676</v>
      </c>
    </row>
    <row r="21" spans="1:67">
      <c r="A21" s="9">
        <f t="shared" si="20"/>
        <v>44730</v>
      </c>
      <c r="B21" s="10">
        <v>18351.73</v>
      </c>
      <c r="C21" s="8">
        <v>97503.4</v>
      </c>
      <c r="D21" s="8">
        <v>65749.7</v>
      </c>
      <c r="E21" s="8">
        <v>64778.4</v>
      </c>
      <c r="F21" s="8">
        <v>8614.78</v>
      </c>
      <c r="G21" s="8">
        <v>121371.4</v>
      </c>
      <c r="H21" s="8">
        <v>5709.7</v>
      </c>
      <c r="I21" s="8">
        <v>2566.3</v>
      </c>
      <c r="J21" s="8">
        <v>967</v>
      </c>
      <c r="K21" s="8">
        <v>56</v>
      </c>
      <c r="L21" s="8">
        <v>99235.1</v>
      </c>
      <c r="M21" s="8">
        <v>61529.7</v>
      </c>
      <c r="N21" s="8">
        <v>81653.7</v>
      </c>
      <c r="O21" s="8">
        <v>109914.1</v>
      </c>
      <c r="P21" s="8">
        <v>6305.9</v>
      </c>
      <c r="Q21" s="8">
        <v>8308.8</v>
      </c>
      <c r="R21" s="8">
        <v>4861.9</v>
      </c>
      <c r="S21" s="8">
        <v>6029.3</v>
      </c>
      <c r="T21" s="8">
        <v>8091.4</v>
      </c>
      <c r="U21" s="8">
        <v>18822.1</v>
      </c>
      <c r="V21" s="8">
        <v>54145.7</v>
      </c>
      <c r="W21" s="8">
        <v>57757.9</v>
      </c>
      <c r="X21" s="8">
        <v>5671.4</v>
      </c>
      <c r="Y21" s="8">
        <v>5579.4</v>
      </c>
      <c r="Z21" s="15">
        <f t="shared" si="21"/>
        <v>69008.7</v>
      </c>
      <c r="AA21" s="8">
        <v>3225.5</v>
      </c>
      <c r="AB21" s="13">
        <v>8470</v>
      </c>
      <c r="AC21" s="7">
        <f t="shared" si="22"/>
        <v>11695.5</v>
      </c>
      <c r="AD21" s="16">
        <v>202449</v>
      </c>
      <c r="AE21" s="17">
        <f t="shared" ref="AE21:AI21" si="104">IF(OR(C22=""),"",(C22-C21)*80)</f>
        <v>0</v>
      </c>
      <c r="AF21" s="17">
        <f t="shared" si="104"/>
        <v>0</v>
      </c>
      <c r="AG21" s="17">
        <f t="shared" si="104"/>
        <v>2775.99999999977</v>
      </c>
      <c r="AH21" s="17">
        <f t="shared" si="104"/>
        <v>2473.60000000001</v>
      </c>
      <c r="AI21" s="17">
        <f t="shared" si="104"/>
        <v>2248.00000000047</v>
      </c>
      <c r="AJ21" s="17">
        <f t="shared" si="3"/>
        <v>7497.60000000024</v>
      </c>
      <c r="AK21" s="17">
        <f t="shared" ref="AK21:AN21" si="105">IF(OR(H22=""),"",(H22-H21)*80)</f>
        <v>0</v>
      </c>
      <c r="AL21" s="17">
        <f t="shared" si="105"/>
        <v>0</v>
      </c>
      <c r="AM21" s="17">
        <f t="shared" si="105"/>
        <v>0</v>
      </c>
      <c r="AN21" s="17">
        <f t="shared" si="105"/>
        <v>0</v>
      </c>
      <c r="AO21" s="17">
        <f t="shared" si="5"/>
        <v>0</v>
      </c>
      <c r="AP21" s="17">
        <f t="shared" ref="AP21:AS21" si="106">IF(OR(L22=""),"",(L22-L21)*100)</f>
        <v>2959.99999999913</v>
      </c>
      <c r="AQ21" s="17">
        <f t="shared" si="106"/>
        <v>0</v>
      </c>
      <c r="AR21" s="17">
        <f t="shared" si="106"/>
        <v>3010.00000000058</v>
      </c>
      <c r="AS21" s="17">
        <f t="shared" si="106"/>
        <v>2329.99999999884</v>
      </c>
      <c r="AT21" s="17">
        <f t="shared" si="7"/>
        <v>8299.99999999854</v>
      </c>
      <c r="AU21" s="17">
        <f t="shared" ref="AU21:AY21" si="107">IF(OR(P22=""),"",(P22-P21)*1000)</f>
        <v>0</v>
      </c>
      <c r="AV21" s="17">
        <f t="shared" si="107"/>
        <v>0</v>
      </c>
      <c r="AW21" s="17">
        <f t="shared" si="107"/>
        <v>4900.00000000055</v>
      </c>
      <c r="AX21" s="17">
        <f t="shared" si="107"/>
        <v>5500</v>
      </c>
      <c r="AY21" s="17">
        <f t="shared" si="107"/>
        <v>0</v>
      </c>
      <c r="AZ21" s="17">
        <f t="shared" si="9"/>
        <v>10400.0000000005</v>
      </c>
      <c r="BA21" s="17">
        <f t="shared" si="10"/>
        <v>10200.0000000044</v>
      </c>
      <c r="BB21" s="17">
        <f t="shared" si="11"/>
        <v>1080</v>
      </c>
      <c r="BC21" s="17">
        <f t="shared" si="27"/>
        <v>1552.00000000012</v>
      </c>
      <c r="BD21" s="17">
        <f t="shared" si="12"/>
        <v>17470.4000000107</v>
      </c>
      <c r="BE21" s="17">
        <f t="shared" si="13"/>
        <v>56500.0000000146</v>
      </c>
      <c r="BF21" s="17">
        <f t="shared" si="14"/>
        <v>41.2999999999993</v>
      </c>
      <c r="BG21" s="20">
        <f t="shared" si="15"/>
        <v>0.279082633157064</v>
      </c>
      <c r="BH21" s="20">
        <f t="shared" si="16"/>
        <v>0.0370345123957157</v>
      </c>
      <c r="BI21" s="20">
        <f t="shared" si="17"/>
        <v>0</v>
      </c>
      <c r="BJ21" s="20">
        <f t="shared" si="18"/>
        <v>0.0409979797380997</v>
      </c>
      <c r="BK21" s="20">
        <f t="shared" ref="BK21:BO21" si="108">IF(OR($AD21=0),"",AZ21/$AD21)</f>
        <v>0.0513709625634137</v>
      </c>
      <c r="BL21" s="20">
        <f t="shared" si="108"/>
        <v>0.0503830594372132</v>
      </c>
      <c r="BM21" s="20">
        <f t="shared" si="108"/>
        <v>0.00533467688158499</v>
      </c>
      <c r="BN21" s="20">
        <f t="shared" si="108"/>
        <v>0.00766612825946345</v>
      </c>
      <c r="BO21" s="20">
        <f t="shared" si="108"/>
        <v>0.0862953138815738</v>
      </c>
    </row>
    <row r="22" spans="1:67">
      <c r="A22" s="9">
        <f t="shared" si="20"/>
        <v>44731</v>
      </c>
      <c r="B22" s="10">
        <v>18357.38</v>
      </c>
      <c r="C22" s="8">
        <v>97503.4</v>
      </c>
      <c r="D22" s="8">
        <v>65749.7</v>
      </c>
      <c r="E22" s="8">
        <v>64813.1</v>
      </c>
      <c r="F22" s="8">
        <v>8645.7</v>
      </c>
      <c r="G22" s="8">
        <v>121399.5</v>
      </c>
      <c r="H22" s="8">
        <v>5709.7</v>
      </c>
      <c r="I22" s="8">
        <v>2566.3</v>
      </c>
      <c r="J22" s="8">
        <v>967</v>
      </c>
      <c r="K22" s="8">
        <v>56</v>
      </c>
      <c r="L22" s="8">
        <v>99264.7</v>
      </c>
      <c r="M22" s="8">
        <v>61529.7</v>
      </c>
      <c r="N22" s="8">
        <v>81683.8</v>
      </c>
      <c r="O22" s="8">
        <v>109937.4</v>
      </c>
      <c r="P22" s="8">
        <v>6305.9</v>
      </c>
      <c r="Q22" s="8">
        <v>8308.8</v>
      </c>
      <c r="R22" s="8">
        <v>4866.8</v>
      </c>
      <c r="S22" s="8">
        <v>6034.8</v>
      </c>
      <c r="T22" s="8">
        <v>8091.4</v>
      </c>
      <c r="U22" s="8">
        <v>18827.2</v>
      </c>
      <c r="V22" s="8">
        <v>54159.2</v>
      </c>
      <c r="W22" s="8">
        <v>57774.3</v>
      </c>
      <c r="X22" s="8">
        <v>5681.8</v>
      </c>
      <c r="Y22" s="8">
        <v>5591.4</v>
      </c>
      <c r="Z22" s="15">
        <f t="shared" si="21"/>
        <v>69047.5</v>
      </c>
      <c r="AA22" s="8">
        <v>3256.8</v>
      </c>
      <c r="AB22" s="13">
        <v>8480</v>
      </c>
      <c r="AC22" s="7">
        <f t="shared" si="22"/>
        <v>11736.8</v>
      </c>
      <c r="AD22" s="16">
        <v>202072</v>
      </c>
      <c r="AE22" s="17">
        <f t="shared" ref="AE22:AI22" si="109">IF(OR(C23=""),"",(C23-C22)*80)</f>
        <v>0</v>
      </c>
      <c r="AF22" s="17">
        <f t="shared" si="109"/>
        <v>80</v>
      </c>
      <c r="AG22" s="17">
        <f t="shared" si="109"/>
        <v>5752.00000000012</v>
      </c>
      <c r="AH22" s="17">
        <f t="shared" si="109"/>
        <v>2377.59999999995</v>
      </c>
      <c r="AI22" s="17">
        <f t="shared" si="109"/>
        <v>2311.99999999953</v>
      </c>
      <c r="AJ22" s="17">
        <f t="shared" si="3"/>
        <v>10521.5999999996</v>
      </c>
      <c r="AK22" s="17">
        <f t="shared" ref="AK22:AN22" si="110">IF(OR(H23=""),"",(H23-H22)*80)</f>
        <v>0</v>
      </c>
      <c r="AL22" s="17">
        <f t="shared" si="110"/>
        <v>0</v>
      </c>
      <c r="AM22" s="17">
        <f t="shared" si="110"/>
        <v>0</v>
      </c>
      <c r="AN22" s="17">
        <f t="shared" si="110"/>
        <v>0</v>
      </c>
      <c r="AO22" s="17">
        <f t="shared" si="5"/>
        <v>0</v>
      </c>
      <c r="AP22" s="17">
        <f t="shared" ref="AP22:AS22" si="111">IF(OR(L23=""),"",(L23-L22)*100)</f>
        <v>2790.00000000087</v>
      </c>
      <c r="AQ22" s="17">
        <f t="shared" si="111"/>
        <v>0</v>
      </c>
      <c r="AR22" s="17">
        <f t="shared" si="111"/>
        <v>2859.99999999913</v>
      </c>
      <c r="AS22" s="17">
        <f t="shared" si="111"/>
        <v>2050</v>
      </c>
      <c r="AT22" s="17">
        <f t="shared" si="7"/>
        <v>7700</v>
      </c>
      <c r="AU22" s="17">
        <f t="shared" ref="AU22:AY22" si="112">IF(OR(P23=""),"",(P23-P22)*1000)</f>
        <v>3800.00000000018</v>
      </c>
      <c r="AV22" s="17">
        <f t="shared" si="112"/>
        <v>6100.00000000036</v>
      </c>
      <c r="AW22" s="17">
        <f t="shared" si="112"/>
        <v>1099.99999999945</v>
      </c>
      <c r="AX22" s="17">
        <f t="shared" si="112"/>
        <v>5000</v>
      </c>
      <c r="AY22" s="17">
        <f t="shared" si="112"/>
        <v>0</v>
      </c>
      <c r="AZ22" s="17">
        <f t="shared" si="9"/>
        <v>16000</v>
      </c>
      <c r="BA22" s="17">
        <f t="shared" si="10"/>
        <v>9799.99999999563</v>
      </c>
      <c r="BB22" s="17">
        <f t="shared" si="11"/>
        <v>1064.00000000023</v>
      </c>
      <c r="BC22" s="17">
        <f t="shared" si="27"/>
        <v>1552.00000000012</v>
      </c>
      <c r="BD22" s="17">
        <f t="shared" si="12"/>
        <v>14062.4000000015</v>
      </c>
      <c r="BE22" s="17">
        <f t="shared" si="13"/>
        <v>60699.9999999971</v>
      </c>
      <c r="BF22" s="17">
        <f t="shared" si="14"/>
        <v>50.2000000000007</v>
      </c>
      <c r="BG22" s="20">
        <f t="shared" si="15"/>
        <v>0.30038798052178</v>
      </c>
      <c r="BH22" s="20">
        <f t="shared" si="16"/>
        <v>0.0520685696187478</v>
      </c>
      <c r="BI22" s="20">
        <f t="shared" si="17"/>
        <v>0</v>
      </c>
      <c r="BJ22" s="20">
        <f t="shared" si="18"/>
        <v>0.0381052298190744</v>
      </c>
      <c r="BK22" s="20">
        <f t="shared" ref="BK22:BO22" si="113">IF(OR($AD22=0),"",AZ22/$AD22)</f>
        <v>0.0791796983253494</v>
      </c>
      <c r="BL22" s="20">
        <f t="shared" si="113"/>
        <v>0.0484975652242549</v>
      </c>
      <c r="BM22" s="20">
        <f t="shared" si="113"/>
        <v>0.00526544993863689</v>
      </c>
      <c r="BN22" s="20">
        <f t="shared" si="113"/>
        <v>0.00768043073755947</v>
      </c>
      <c r="BO22" s="20">
        <f t="shared" si="113"/>
        <v>0.069591036858157</v>
      </c>
    </row>
    <row r="23" spans="1:67">
      <c r="A23" s="9">
        <f t="shared" si="20"/>
        <v>44732</v>
      </c>
      <c r="B23" s="10">
        <v>18363.45</v>
      </c>
      <c r="C23" s="8">
        <v>97503.4</v>
      </c>
      <c r="D23" s="8">
        <v>65750.7</v>
      </c>
      <c r="E23" s="8">
        <v>64885</v>
      </c>
      <c r="F23" s="8">
        <v>8675.42</v>
      </c>
      <c r="G23" s="8">
        <v>121428.4</v>
      </c>
      <c r="H23" s="8">
        <v>5709.7</v>
      </c>
      <c r="I23" s="8">
        <v>2566.3</v>
      </c>
      <c r="J23" s="8">
        <v>967</v>
      </c>
      <c r="K23" s="8">
        <v>56</v>
      </c>
      <c r="L23" s="8">
        <v>99292.6</v>
      </c>
      <c r="M23" s="8">
        <v>61529.7</v>
      </c>
      <c r="N23" s="8">
        <v>81712.4</v>
      </c>
      <c r="O23" s="8">
        <v>109957.9</v>
      </c>
      <c r="P23" s="8">
        <v>6309.7</v>
      </c>
      <c r="Q23" s="8">
        <v>8314.9</v>
      </c>
      <c r="R23" s="8">
        <v>4867.9</v>
      </c>
      <c r="S23" s="8">
        <v>6039.8</v>
      </c>
      <c r="T23" s="8">
        <v>8091.4</v>
      </c>
      <c r="U23" s="8">
        <v>18832.1</v>
      </c>
      <c r="V23" s="8">
        <v>54172.5</v>
      </c>
      <c r="W23" s="8">
        <v>57790.8</v>
      </c>
      <c r="X23" s="8">
        <v>5692.1</v>
      </c>
      <c r="Y23" s="8">
        <v>5603.4</v>
      </c>
      <c r="Z23" s="15">
        <f t="shared" si="21"/>
        <v>69086.3</v>
      </c>
      <c r="AA23" s="8">
        <v>3299</v>
      </c>
      <c r="AB23" s="13">
        <v>8488</v>
      </c>
      <c r="AC23" s="7">
        <f t="shared" si="22"/>
        <v>11787</v>
      </c>
      <c r="AD23" s="16">
        <v>192133</v>
      </c>
      <c r="AE23" s="17">
        <f t="shared" ref="AE23:AI23" si="114">IF(OR(C24=""),"",(C24-C23)*80)</f>
        <v>0</v>
      </c>
      <c r="AF23" s="17">
        <f t="shared" si="114"/>
        <v>2768.00000000047</v>
      </c>
      <c r="AG23" s="17">
        <f t="shared" si="114"/>
        <v>864.000000000233</v>
      </c>
      <c r="AH23" s="17">
        <f t="shared" si="114"/>
        <v>5.59999999997672</v>
      </c>
      <c r="AI23" s="17">
        <f t="shared" si="114"/>
        <v>2448.00000000047</v>
      </c>
      <c r="AJ23" s="17">
        <f t="shared" si="3"/>
        <v>6085.60000000114</v>
      </c>
      <c r="AK23" s="17">
        <f t="shared" ref="AK23:AN23" si="115">IF(OR(H24=""),"",(H24-H23)*80)</f>
        <v>0</v>
      </c>
      <c r="AL23" s="17">
        <f t="shared" si="115"/>
        <v>0</v>
      </c>
      <c r="AM23" s="17">
        <f t="shared" si="115"/>
        <v>0</v>
      </c>
      <c r="AN23" s="17">
        <f t="shared" si="115"/>
        <v>0</v>
      </c>
      <c r="AO23" s="17">
        <f t="shared" si="5"/>
        <v>0</v>
      </c>
      <c r="AP23" s="17">
        <f t="shared" ref="AP23:AS23" si="116">IF(OR(L24=""),"",(L24-L23)*100)</f>
        <v>2359.99999999913</v>
      </c>
      <c r="AQ23" s="17">
        <f t="shared" si="116"/>
        <v>0</v>
      </c>
      <c r="AR23" s="17">
        <f t="shared" si="116"/>
        <v>2860.00000000058</v>
      </c>
      <c r="AS23" s="17">
        <f t="shared" si="116"/>
        <v>2120.00000000116</v>
      </c>
      <c r="AT23" s="17">
        <f t="shared" si="7"/>
        <v>7340.00000000087</v>
      </c>
      <c r="AU23" s="17">
        <f t="shared" ref="AU23:AY23" si="117">IF(OR(P24=""),"",(P24-P23)*1000)</f>
        <v>1400.00000000055</v>
      </c>
      <c r="AV23" s="17">
        <f t="shared" si="117"/>
        <v>3899.99999999964</v>
      </c>
      <c r="AW23" s="17">
        <f t="shared" si="117"/>
        <v>2400.00000000055</v>
      </c>
      <c r="AX23" s="17">
        <f t="shared" si="117"/>
        <v>5099.99999999945</v>
      </c>
      <c r="AY23" s="17">
        <f t="shared" si="117"/>
        <v>0</v>
      </c>
      <c r="AZ23" s="17">
        <f t="shared" si="9"/>
        <v>12800.0000000002</v>
      </c>
      <c r="BA23" s="17">
        <f t="shared" si="10"/>
        <v>8800.00000000291</v>
      </c>
      <c r="BB23" s="17">
        <f t="shared" si="11"/>
        <v>1087.99999999988</v>
      </c>
      <c r="BC23" s="17">
        <f t="shared" si="27"/>
        <v>1507.99999999988</v>
      </c>
      <c r="BD23" s="17">
        <f t="shared" si="12"/>
        <v>18978.3999999937</v>
      </c>
      <c r="BE23" s="17">
        <f t="shared" si="13"/>
        <v>56599.9999999985</v>
      </c>
      <c r="BF23" s="17">
        <f t="shared" si="14"/>
        <v>49.2999999999993</v>
      </c>
      <c r="BG23" s="20">
        <f t="shared" si="15"/>
        <v>0.294587603378902</v>
      </c>
      <c r="BH23" s="20">
        <f t="shared" si="16"/>
        <v>0.0316738925640111</v>
      </c>
      <c r="BI23" s="20">
        <f t="shared" si="17"/>
        <v>0</v>
      </c>
      <c r="BJ23" s="20">
        <f t="shared" si="18"/>
        <v>0.0382027033357147</v>
      </c>
      <c r="BK23" s="20">
        <f t="shared" ref="BK23:BO23" si="118">IF(OR($AD23=0),"",AZ23/$AD23)</f>
        <v>0.0666205180786236</v>
      </c>
      <c r="BL23" s="20">
        <f t="shared" si="118"/>
        <v>0.0458016061790682</v>
      </c>
      <c r="BM23" s="20">
        <f t="shared" si="118"/>
        <v>0.00566274403668232</v>
      </c>
      <c r="BN23" s="20">
        <f t="shared" si="118"/>
        <v>0.00784872978613712</v>
      </c>
      <c r="BO23" s="20">
        <f t="shared" si="118"/>
        <v>0.0987774093986648</v>
      </c>
    </row>
    <row r="24" spans="1:67">
      <c r="A24" s="9">
        <f t="shared" si="20"/>
        <v>44733</v>
      </c>
      <c r="B24" s="10">
        <v>18369.11</v>
      </c>
      <c r="C24" s="8">
        <v>97503.4</v>
      </c>
      <c r="D24" s="8">
        <v>65785.3</v>
      </c>
      <c r="E24" s="8">
        <v>64895.8</v>
      </c>
      <c r="F24" s="8">
        <v>8675.49</v>
      </c>
      <c r="G24" s="8">
        <v>121459</v>
      </c>
      <c r="H24" s="8">
        <v>5709.7</v>
      </c>
      <c r="I24" s="8">
        <v>2566.3</v>
      </c>
      <c r="J24" s="8">
        <v>967</v>
      </c>
      <c r="K24" s="8">
        <v>56</v>
      </c>
      <c r="L24" s="8">
        <v>99316.2</v>
      </c>
      <c r="M24" s="8">
        <v>61529.7</v>
      </c>
      <c r="N24" s="8">
        <v>81741</v>
      </c>
      <c r="O24" s="8">
        <v>109979.1</v>
      </c>
      <c r="P24" s="8">
        <v>6311.1</v>
      </c>
      <c r="Q24" s="8">
        <v>8318.8</v>
      </c>
      <c r="R24" s="8">
        <v>4870.3</v>
      </c>
      <c r="S24" s="8">
        <v>6044.9</v>
      </c>
      <c r="T24" s="8">
        <v>8091.4</v>
      </c>
      <c r="U24" s="8">
        <v>18836.5</v>
      </c>
      <c r="V24" s="8">
        <v>54186.1</v>
      </c>
      <c r="W24" s="8">
        <v>57806.9</v>
      </c>
      <c r="X24" s="8">
        <v>5615.1</v>
      </c>
      <c r="Y24" s="8">
        <v>5702</v>
      </c>
      <c r="Z24" s="15">
        <f t="shared" si="21"/>
        <v>69124</v>
      </c>
      <c r="AA24" s="8">
        <v>3340.3</v>
      </c>
      <c r="AB24" s="13">
        <v>8496</v>
      </c>
      <c r="AC24" s="7">
        <f t="shared" si="22"/>
        <v>11836.3</v>
      </c>
      <c r="AD24" s="16">
        <v>202940</v>
      </c>
      <c r="AE24" s="17">
        <f t="shared" ref="AE24:AI24" si="119">IF(OR(C25=""),"",(C25-C24)*80)</f>
        <v>0</v>
      </c>
      <c r="AF24" s="17">
        <f t="shared" si="119"/>
        <v>1304.00000000023</v>
      </c>
      <c r="AG24" s="17">
        <f t="shared" si="119"/>
        <v>2751.99999999953</v>
      </c>
      <c r="AH24" s="17">
        <f t="shared" si="119"/>
        <v>1262.40000000005</v>
      </c>
      <c r="AI24" s="17">
        <f t="shared" si="119"/>
        <v>2415.99999999977</v>
      </c>
      <c r="AJ24" s="17">
        <f t="shared" si="3"/>
        <v>7734.39999999959</v>
      </c>
      <c r="AK24" s="17">
        <f t="shared" ref="AK24:AN24" si="120">IF(OR(H25=""),"",(H25-H24)*80)</f>
        <v>0</v>
      </c>
      <c r="AL24" s="17">
        <f t="shared" si="120"/>
        <v>0</v>
      </c>
      <c r="AM24" s="17">
        <f t="shared" si="120"/>
        <v>0</v>
      </c>
      <c r="AN24" s="17">
        <f t="shared" si="120"/>
        <v>0</v>
      </c>
      <c r="AO24" s="17">
        <f t="shared" si="5"/>
        <v>0</v>
      </c>
      <c r="AP24" s="17">
        <f t="shared" ref="AP24:AS24" si="121">IF(OR(L25=""),"",(L25-L24)*100)</f>
        <v>2800</v>
      </c>
      <c r="AQ24" s="17">
        <f t="shared" si="121"/>
        <v>0</v>
      </c>
      <c r="AR24" s="17">
        <f t="shared" si="121"/>
        <v>2939.99999999942</v>
      </c>
      <c r="AS24" s="17">
        <f t="shared" si="121"/>
        <v>2289.99999999942</v>
      </c>
      <c r="AT24" s="17">
        <f t="shared" si="7"/>
        <v>8029.99999999884</v>
      </c>
      <c r="AU24" s="17">
        <f t="shared" ref="AU24:AY24" si="122">IF(OR(P25=""),"",(P25-P24)*1000)</f>
        <v>1099.99999999945</v>
      </c>
      <c r="AV24" s="17">
        <f t="shared" si="122"/>
        <v>2100.00000000036</v>
      </c>
      <c r="AW24" s="17">
        <f t="shared" si="122"/>
        <v>3500</v>
      </c>
      <c r="AX24" s="17">
        <f t="shared" si="122"/>
        <v>5200.00000000073</v>
      </c>
      <c r="AY24" s="17">
        <f t="shared" si="122"/>
        <v>0</v>
      </c>
      <c r="AZ24" s="17">
        <f t="shared" si="9"/>
        <v>11900.0000000005</v>
      </c>
      <c r="BA24" s="17">
        <f t="shared" si="10"/>
        <v>9599.99999999854</v>
      </c>
      <c r="BB24" s="17">
        <f t="shared" si="11"/>
        <v>1120</v>
      </c>
      <c r="BC24" s="17">
        <f t="shared" si="27"/>
        <v>1503.99999999965</v>
      </c>
      <c r="BD24" s="17">
        <f t="shared" si="12"/>
        <v>17211.5999999941</v>
      </c>
      <c r="BE24" s="17">
        <f t="shared" si="13"/>
        <v>57099.9999999913</v>
      </c>
      <c r="BF24" s="17">
        <f t="shared" si="14"/>
        <v>50.4000000000015</v>
      </c>
      <c r="BG24" s="20">
        <f t="shared" si="15"/>
        <v>0.281363949935899</v>
      </c>
      <c r="BH24" s="20">
        <f t="shared" si="16"/>
        <v>0.0381117571696047</v>
      </c>
      <c r="BI24" s="20">
        <f t="shared" si="17"/>
        <v>0</v>
      </c>
      <c r="BJ24" s="20">
        <f t="shared" si="18"/>
        <v>0.0395683453237353</v>
      </c>
      <c r="BK24" s="20">
        <f t="shared" ref="BK24:BO24" si="123">IF(OR($AD24=0),"",AZ24/$AD24)</f>
        <v>0.05863802108998</v>
      </c>
      <c r="BL24" s="20">
        <f t="shared" si="123"/>
        <v>0.0473046220557729</v>
      </c>
      <c r="BM24" s="20">
        <f t="shared" si="123"/>
        <v>0.00551887257317434</v>
      </c>
      <c r="BN24" s="20">
        <f t="shared" si="123"/>
        <v>0.00741105745540382</v>
      </c>
      <c r="BO24" s="20">
        <f t="shared" si="123"/>
        <v>0.0848112742682276</v>
      </c>
    </row>
    <row r="25" spans="1:67">
      <c r="A25" s="9">
        <f t="shared" si="20"/>
        <v>44734</v>
      </c>
      <c r="B25" s="10">
        <v>18374.82</v>
      </c>
      <c r="C25" s="8">
        <v>97503.4</v>
      </c>
      <c r="D25" s="8">
        <v>65801.6</v>
      </c>
      <c r="E25" s="8">
        <v>64930.2</v>
      </c>
      <c r="F25" s="8">
        <v>8691.27</v>
      </c>
      <c r="G25" s="8">
        <v>121489.2</v>
      </c>
      <c r="H25" s="8">
        <v>5709.7</v>
      </c>
      <c r="I25" s="8">
        <v>2566.3</v>
      </c>
      <c r="J25" s="8">
        <v>967</v>
      </c>
      <c r="K25" s="8">
        <v>56</v>
      </c>
      <c r="L25" s="8">
        <v>99344.2</v>
      </c>
      <c r="M25" s="8">
        <v>61529.7</v>
      </c>
      <c r="N25" s="8">
        <v>81770.4</v>
      </c>
      <c r="O25" s="8">
        <v>110002</v>
      </c>
      <c r="P25" s="8">
        <v>6312.2</v>
      </c>
      <c r="Q25" s="8">
        <v>8320.9</v>
      </c>
      <c r="R25" s="8">
        <v>4873.8</v>
      </c>
      <c r="S25" s="8">
        <v>6050.1</v>
      </c>
      <c r="T25" s="8">
        <v>8091.4</v>
      </c>
      <c r="U25" s="8">
        <v>18841.3</v>
      </c>
      <c r="V25" s="8">
        <v>54200.1</v>
      </c>
      <c r="W25" s="8">
        <v>57823.1</v>
      </c>
      <c r="X25" s="8">
        <v>5626.7</v>
      </c>
      <c r="Y25" s="8">
        <v>5711.8</v>
      </c>
      <c r="Z25" s="15">
        <f t="shared" si="21"/>
        <v>69161.6</v>
      </c>
      <c r="AA25" s="8">
        <v>3381.7</v>
      </c>
      <c r="AB25" s="13">
        <v>8505</v>
      </c>
      <c r="AC25" s="7">
        <f t="shared" si="22"/>
        <v>11886.7</v>
      </c>
      <c r="AD25" s="16">
        <v>207462</v>
      </c>
      <c r="AE25" s="17">
        <f t="shared" ref="AE25:AI25" si="124">IF(OR(C26=""),"",(C26-C25)*80)</f>
        <v>0</v>
      </c>
      <c r="AF25" s="17">
        <f t="shared" si="124"/>
        <v>103.999999999069</v>
      </c>
      <c r="AG25" s="17">
        <f t="shared" si="124"/>
        <v>2128.00000000047</v>
      </c>
      <c r="AH25" s="17">
        <f t="shared" si="124"/>
        <v>2170.39999999994</v>
      </c>
      <c r="AI25" s="17">
        <f t="shared" si="124"/>
        <v>2200</v>
      </c>
      <c r="AJ25" s="17">
        <f t="shared" si="3"/>
        <v>6602.39999999947</v>
      </c>
      <c r="AK25" s="17">
        <f t="shared" ref="AK25:AN25" si="125">IF(OR(H26=""),"",(H26-H25)*80)</f>
        <v>0</v>
      </c>
      <c r="AL25" s="17">
        <f t="shared" si="125"/>
        <v>0</v>
      </c>
      <c r="AM25" s="17">
        <f t="shared" si="125"/>
        <v>0</v>
      </c>
      <c r="AN25" s="17">
        <f t="shared" si="125"/>
        <v>0</v>
      </c>
      <c r="AO25" s="17">
        <f t="shared" si="5"/>
        <v>0</v>
      </c>
      <c r="AP25" s="17">
        <f t="shared" ref="AP25:AS25" si="126">IF(OR(L26=""),"",(L26-L25)*100)</f>
        <v>3000</v>
      </c>
      <c r="AQ25" s="17">
        <f t="shared" si="126"/>
        <v>0</v>
      </c>
      <c r="AR25" s="17">
        <f t="shared" si="126"/>
        <v>2890.00000000087</v>
      </c>
      <c r="AS25" s="17">
        <f t="shared" si="126"/>
        <v>2280.00000000029</v>
      </c>
      <c r="AT25" s="17">
        <f t="shared" si="7"/>
        <v>8170.00000000116</v>
      </c>
      <c r="AU25" s="17">
        <f t="shared" ref="AU25:AY25" si="127">IF(OR(P26=""),"",(P26-P25)*1000)</f>
        <v>1300.00000000018</v>
      </c>
      <c r="AV25" s="17">
        <f t="shared" si="127"/>
        <v>2300.00000000109</v>
      </c>
      <c r="AW25" s="17">
        <f t="shared" si="127"/>
        <v>3399.99999999964</v>
      </c>
      <c r="AX25" s="17">
        <f t="shared" si="127"/>
        <v>5299.99999999927</v>
      </c>
      <c r="AY25" s="17">
        <f t="shared" si="127"/>
        <v>0</v>
      </c>
      <c r="AZ25" s="17">
        <f t="shared" si="9"/>
        <v>12300.0000000002</v>
      </c>
      <c r="BA25" s="17">
        <f t="shared" si="10"/>
        <v>9599.99999999854</v>
      </c>
      <c r="BB25" s="17">
        <f t="shared" si="11"/>
        <v>1064.00000000023</v>
      </c>
      <c r="BC25" s="17">
        <f t="shared" si="27"/>
        <v>1512.00000000012</v>
      </c>
      <c r="BD25" s="17">
        <f t="shared" si="12"/>
        <v>17651.5999999872</v>
      </c>
      <c r="BE25" s="17">
        <f t="shared" si="13"/>
        <v>56899.9999999869</v>
      </c>
      <c r="BF25" s="17">
        <f t="shared" si="14"/>
        <v>56.2999999999993</v>
      </c>
      <c r="BG25" s="20">
        <f t="shared" si="15"/>
        <v>0.274267094696797</v>
      </c>
      <c r="BH25" s="20">
        <f t="shared" si="16"/>
        <v>0.0318246233045062</v>
      </c>
      <c r="BI25" s="20">
        <f t="shared" si="17"/>
        <v>0</v>
      </c>
      <c r="BJ25" s="20">
        <f t="shared" si="18"/>
        <v>0.0393807058642121</v>
      </c>
      <c r="BK25" s="20">
        <f t="shared" ref="BK25:BO25" si="128">IF(OR($AD25=0),"",AZ25/$AD25)</f>
        <v>0.0592879659889531</v>
      </c>
      <c r="BL25" s="20">
        <f t="shared" si="128"/>
        <v>0.0462735344303947</v>
      </c>
      <c r="BM25" s="20">
        <f t="shared" si="128"/>
        <v>0.00512865006603731</v>
      </c>
      <c r="BN25" s="20">
        <f t="shared" si="128"/>
        <v>0.00728808167278883</v>
      </c>
      <c r="BO25" s="20">
        <f t="shared" si="128"/>
        <v>0.0850835333699048</v>
      </c>
    </row>
    <row r="26" spans="1:67">
      <c r="A26" s="9">
        <f t="shared" si="20"/>
        <v>44735</v>
      </c>
      <c r="B26" s="10">
        <v>18380.51</v>
      </c>
      <c r="C26" s="8">
        <v>97503.4</v>
      </c>
      <c r="D26" s="8">
        <v>65802.9</v>
      </c>
      <c r="E26" s="8">
        <v>64956.8</v>
      </c>
      <c r="F26" s="8">
        <v>8718.4</v>
      </c>
      <c r="G26" s="8">
        <v>121516.7</v>
      </c>
      <c r="H26" s="8">
        <v>5709.7</v>
      </c>
      <c r="I26" s="8">
        <v>2566.3</v>
      </c>
      <c r="J26" s="8">
        <v>967</v>
      </c>
      <c r="K26" s="8">
        <v>56</v>
      </c>
      <c r="L26" s="8">
        <v>99374.2</v>
      </c>
      <c r="M26" s="8">
        <v>61529.7</v>
      </c>
      <c r="N26" s="8">
        <v>81799.3</v>
      </c>
      <c r="O26" s="8">
        <v>110024.8</v>
      </c>
      <c r="P26" s="8">
        <v>6313.5</v>
      </c>
      <c r="Q26" s="8">
        <v>8323.2</v>
      </c>
      <c r="R26" s="8">
        <v>4877.2</v>
      </c>
      <c r="S26" s="8">
        <v>6055.4</v>
      </c>
      <c r="T26" s="8">
        <v>8091.4</v>
      </c>
      <c r="U26" s="8">
        <v>18846.1</v>
      </c>
      <c r="V26" s="8">
        <v>54213.4</v>
      </c>
      <c r="W26" s="8">
        <v>57839.3</v>
      </c>
      <c r="X26" s="8">
        <v>5638.6</v>
      </c>
      <c r="Y26" s="8">
        <v>5721.5</v>
      </c>
      <c r="Z26" s="15">
        <f t="shared" si="21"/>
        <v>69199.4</v>
      </c>
      <c r="AA26" s="8">
        <v>3422</v>
      </c>
      <c r="AB26" s="13">
        <v>8521</v>
      </c>
      <c r="AC26" s="7">
        <f t="shared" si="22"/>
        <v>11943</v>
      </c>
      <c r="AD26" s="16">
        <v>207039</v>
      </c>
      <c r="AE26" s="17">
        <f t="shared" ref="AE26:AI26" si="129">IF(OR(C27=""),"",(C27-C26)*80)</f>
        <v>0</v>
      </c>
      <c r="AF26" s="17">
        <f t="shared" si="129"/>
        <v>2480</v>
      </c>
      <c r="AG26" s="17">
        <f t="shared" si="129"/>
        <v>3080</v>
      </c>
      <c r="AH26" s="17">
        <f t="shared" si="129"/>
        <v>398.399999999965</v>
      </c>
      <c r="AI26" s="17">
        <f t="shared" si="129"/>
        <v>2280</v>
      </c>
      <c r="AJ26" s="17">
        <f t="shared" si="3"/>
        <v>8238.39999999997</v>
      </c>
      <c r="AK26" s="17">
        <f t="shared" ref="AK26:AN26" si="130">IF(OR(H27=""),"",(H27-H26)*80)</f>
        <v>0</v>
      </c>
      <c r="AL26" s="17">
        <f t="shared" si="130"/>
        <v>0</v>
      </c>
      <c r="AM26" s="17">
        <f t="shared" si="130"/>
        <v>0</v>
      </c>
      <c r="AN26" s="17">
        <f t="shared" si="130"/>
        <v>0</v>
      </c>
      <c r="AO26" s="17">
        <f t="shared" si="5"/>
        <v>0</v>
      </c>
      <c r="AP26" s="17">
        <f t="shared" ref="AP26:AS26" si="131">IF(OR(L27=""),"",(L27-L26)*100)</f>
        <v>3090.00000000087</v>
      </c>
      <c r="AQ26" s="17">
        <f t="shared" si="131"/>
        <v>0</v>
      </c>
      <c r="AR26" s="17">
        <f t="shared" si="131"/>
        <v>2930.00000000029</v>
      </c>
      <c r="AS26" s="17">
        <f t="shared" si="131"/>
        <v>2319.99999999971</v>
      </c>
      <c r="AT26" s="17">
        <f t="shared" si="7"/>
        <v>8340.00000000087</v>
      </c>
      <c r="AU26" s="17">
        <f t="shared" ref="AU26:AY26" si="132">IF(OR(P27=""),"",(P27-P26)*1000)</f>
        <v>4000</v>
      </c>
      <c r="AV26" s="17">
        <f t="shared" si="132"/>
        <v>7799.99999999927</v>
      </c>
      <c r="AW26" s="17">
        <f t="shared" si="132"/>
        <v>0</v>
      </c>
      <c r="AX26" s="17">
        <f t="shared" si="132"/>
        <v>4800.00000000018</v>
      </c>
      <c r="AY26" s="17">
        <f t="shared" si="132"/>
        <v>0</v>
      </c>
      <c r="AZ26" s="17">
        <f t="shared" si="9"/>
        <v>16599.9999999995</v>
      </c>
      <c r="BA26" s="17">
        <f t="shared" si="10"/>
        <v>10000</v>
      </c>
      <c r="BB26" s="17">
        <f t="shared" si="11"/>
        <v>1072.00000000012</v>
      </c>
      <c r="BC26" s="17">
        <f t="shared" si="27"/>
        <v>1544.00000000023</v>
      </c>
      <c r="BD26" s="17">
        <f t="shared" si="12"/>
        <v>14605.6000000081</v>
      </c>
      <c r="BE26" s="17">
        <f t="shared" si="13"/>
        <v>60400.0000000087</v>
      </c>
      <c r="BF26" s="17">
        <f t="shared" si="14"/>
        <v>51</v>
      </c>
      <c r="BG26" s="20">
        <f t="shared" si="15"/>
        <v>0.291732475523977</v>
      </c>
      <c r="BH26" s="20">
        <f t="shared" si="16"/>
        <v>0.0397915368602049</v>
      </c>
      <c r="BI26" s="20">
        <f t="shared" si="17"/>
        <v>0</v>
      </c>
      <c r="BJ26" s="20">
        <f t="shared" si="18"/>
        <v>0.0402822656600972</v>
      </c>
      <c r="BK26" s="20">
        <f t="shared" ref="BK26:BO26" si="133">IF(OR($AD26=0),"",AZ26/$AD26)</f>
        <v>0.0801781306903504</v>
      </c>
      <c r="BL26" s="20">
        <f t="shared" si="133"/>
        <v>0.0483000787291283</v>
      </c>
      <c r="BM26" s="20">
        <f t="shared" si="133"/>
        <v>0.00517776843976312</v>
      </c>
      <c r="BN26" s="20">
        <f t="shared" si="133"/>
        <v>0.00745753215577854</v>
      </c>
      <c r="BO26" s="20">
        <f t="shared" si="133"/>
        <v>0.0705451629886547</v>
      </c>
    </row>
    <row r="27" spans="1:67">
      <c r="A27" s="9">
        <f t="shared" si="20"/>
        <v>44736</v>
      </c>
      <c r="B27" s="10">
        <v>18386.55</v>
      </c>
      <c r="C27" s="8">
        <v>97503.4</v>
      </c>
      <c r="D27" s="8">
        <v>65833.9</v>
      </c>
      <c r="E27" s="8">
        <v>64995.3</v>
      </c>
      <c r="F27" s="8">
        <v>8723.38</v>
      </c>
      <c r="G27" s="8">
        <v>121545.2</v>
      </c>
      <c r="H27" s="8">
        <v>5709.7</v>
      </c>
      <c r="I27" s="8">
        <v>2566.3</v>
      </c>
      <c r="J27" s="8">
        <v>967</v>
      </c>
      <c r="K27" s="8">
        <v>56</v>
      </c>
      <c r="L27" s="8">
        <v>99405.1</v>
      </c>
      <c r="M27" s="8">
        <v>61529.7</v>
      </c>
      <c r="N27" s="8">
        <v>81828.6</v>
      </c>
      <c r="O27" s="8">
        <v>110048</v>
      </c>
      <c r="P27" s="8">
        <v>6317.5</v>
      </c>
      <c r="Q27" s="8">
        <v>8331</v>
      </c>
      <c r="R27" s="8">
        <v>4877.2</v>
      </c>
      <c r="S27" s="8">
        <v>6060.2</v>
      </c>
      <c r="T27" s="8">
        <v>8091.4</v>
      </c>
      <c r="U27" s="8">
        <v>18851.1</v>
      </c>
      <c r="V27" s="8">
        <v>54226.8</v>
      </c>
      <c r="W27" s="8">
        <v>57855.9</v>
      </c>
      <c r="X27" s="8">
        <v>5650.6</v>
      </c>
      <c r="Y27" s="8">
        <v>5731.5</v>
      </c>
      <c r="Z27" s="15">
        <f t="shared" si="21"/>
        <v>69238</v>
      </c>
      <c r="AA27" s="8">
        <v>3464</v>
      </c>
      <c r="AB27" s="13">
        <v>8530</v>
      </c>
      <c r="AC27" s="7">
        <f t="shared" si="22"/>
        <v>11994</v>
      </c>
      <c r="AD27" s="16">
        <v>204753</v>
      </c>
      <c r="AE27" s="17">
        <f t="shared" ref="AE27:AI27" si="134">IF(OR(C28=""),"",(C28-C27)*80)</f>
        <v>0</v>
      </c>
      <c r="AF27" s="17">
        <f t="shared" si="134"/>
        <v>264.000000000233</v>
      </c>
      <c r="AG27" s="17">
        <f t="shared" si="134"/>
        <v>2495.99999999977</v>
      </c>
      <c r="AH27" s="17">
        <f t="shared" si="134"/>
        <v>1988.00000000003</v>
      </c>
      <c r="AI27" s="17">
        <f t="shared" si="134"/>
        <v>2175.99999999977</v>
      </c>
      <c r="AJ27" s="17">
        <f t="shared" si="3"/>
        <v>6923.9999999998</v>
      </c>
      <c r="AK27" s="17">
        <f t="shared" ref="AK27:AN27" si="135">IF(OR(H28=""),"",(H28-H27)*80)</f>
        <v>0</v>
      </c>
      <c r="AL27" s="17">
        <f t="shared" si="135"/>
        <v>0</v>
      </c>
      <c r="AM27" s="17">
        <f t="shared" si="135"/>
        <v>0</v>
      </c>
      <c r="AN27" s="17">
        <f t="shared" si="135"/>
        <v>0</v>
      </c>
      <c r="AO27" s="17">
        <f t="shared" si="5"/>
        <v>0</v>
      </c>
      <c r="AP27" s="17">
        <f t="shared" ref="AP27:AS27" si="136">IF(OR(L28=""),"",(L28-L27)*100)</f>
        <v>2989.99999999942</v>
      </c>
      <c r="AQ27" s="17">
        <f t="shared" si="136"/>
        <v>0</v>
      </c>
      <c r="AR27" s="17">
        <f t="shared" si="136"/>
        <v>2850</v>
      </c>
      <c r="AS27" s="17">
        <f t="shared" si="136"/>
        <v>2219.99999999971</v>
      </c>
      <c r="AT27" s="17">
        <f t="shared" si="7"/>
        <v>8059.99999999913</v>
      </c>
      <c r="AU27" s="17">
        <f t="shared" ref="AU27:AY27" si="137">IF(OR(P28=""),"",(P28-P27)*1000)</f>
        <v>0</v>
      </c>
      <c r="AV27" s="17">
        <f t="shared" si="137"/>
        <v>0</v>
      </c>
      <c r="AW27" s="17">
        <f t="shared" si="137"/>
        <v>4600.00000000036</v>
      </c>
      <c r="AX27" s="17">
        <f t="shared" si="137"/>
        <v>4699.99999999982</v>
      </c>
      <c r="AY27" s="17">
        <f t="shared" si="137"/>
        <v>0</v>
      </c>
      <c r="AZ27" s="17">
        <f t="shared" si="9"/>
        <v>9300.00000000018</v>
      </c>
      <c r="BA27" s="17">
        <f t="shared" si="10"/>
        <v>9400.00000000146</v>
      </c>
      <c r="BB27" s="17">
        <f t="shared" si="11"/>
        <v>903.999999999651</v>
      </c>
      <c r="BC27" s="17">
        <f t="shared" si="27"/>
        <v>1487.99999999988</v>
      </c>
      <c r="BD27" s="17">
        <f t="shared" si="12"/>
        <v>17224.0000000174</v>
      </c>
      <c r="BE27" s="17">
        <f t="shared" si="13"/>
        <v>53300.0000000175</v>
      </c>
      <c r="BF27" s="17">
        <f t="shared" si="14"/>
        <v>44.7999999999993</v>
      </c>
      <c r="BG27" s="20">
        <f t="shared" si="15"/>
        <v>0.260313646198187</v>
      </c>
      <c r="BH27" s="20">
        <f t="shared" si="16"/>
        <v>0.0338163543391296</v>
      </c>
      <c r="BI27" s="20">
        <f t="shared" si="17"/>
        <v>0</v>
      </c>
      <c r="BJ27" s="20">
        <f t="shared" si="18"/>
        <v>0.0393645025958063</v>
      </c>
      <c r="BK27" s="20">
        <f t="shared" ref="BK27:BO27" si="138">IF(OR($AD27=0),"",AZ27/$AD27)</f>
        <v>0.0454205799182438</v>
      </c>
      <c r="BL27" s="20">
        <f t="shared" si="138"/>
        <v>0.0459089732507043</v>
      </c>
      <c r="BM27" s="20">
        <f t="shared" si="138"/>
        <v>0.00441507572538449</v>
      </c>
      <c r="BN27" s="20">
        <f t="shared" si="138"/>
        <v>0.0072672927869183</v>
      </c>
      <c r="BO27" s="20">
        <f t="shared" si="138"/>
        <v>0.0841208675820006</v>
      </c>
    </row>
    <row r="28" spans="1:67">
      <c r="A28" s="9">
        <f t="shared" si="20"/>
        <v>44737</v>
      </c>
      <c r="B28" s="10">
        <v>18391.88</v>
      </c>
      <c r="C28" s="8">
        <v>97503.4</v>
      </c>
      <c r="D28" s="8">
        <v>65837.2</v>
      </c>
      <c r="E28" s="8">
        <v>65026.5</v>
      </c>
      <c r="F28" s="8">
        <v>8748.23</v>
      </c>
      <c r="G28" s="8">
        <v>121572.4</v>
      </c>
      <c r="H28" s="8">
        <v>5709.7</v>
      </c>
      <c r="I28" s="8">
        <v>2566.3</v>
      </c>
      <c r="J28" s="8">
        <v>967</v>
      </c>
      <c r="K28" s="8">
        <v>56</v>
      </c>
      <c r="L28" s="8">
        <v>99435</v>
      </c>
      <c r="M28" s="8">
        <v>61529.7</v>
      </c>
      <c r="N28" s="8">
        <v>81857.1</v>
      </c>
      <c r="O28" s="8">
        <v>110070.2</v>
      </c>
      <c r="P28" s="8">
        <v>6317.5</v>
      </c>
      <c r="Q28" s="8">
        <v>8331</v>
      </c>
      <c r="R28" s="8">
        <v>4881.8</v>
      </c>
      <c r="S28" s="8">
        <v>6064.9</v>
      </c>
      <c r="T28" s="8">
        <v>8091.4</v>
      </c>
      <c r="U28" s="8">
        <v>18855.8</v>
      </c>
      <c r="V28" s="8">
        <v>54238.1</v>
      </c>
      <c r="W28" s="8">
        <v>57872</v>
      </c>
      <c r="X28" s="8">
        <v>5741</v>
      </c>
      <c r="Y28" s="8">
        <v>5662.2</v>
      </c>
      <c r="Z28" s="15">
        <f t="shared" si="21"/>
        <v>69275.2</v>
      </c>
      <c r="AA28" s="8">
        <v>3501.8</v>
      </c>
      <c r="AB28" s="13">
        <v>8537</v>
      </c>
      <c r="AC28" s="7">
        <f t="shared" si="22"/>
        <v>12038.8</v>
      </c>
      <c r="AD28" s="16">
        <v>207497</v>
      </c>
      <c r="AE28" s="17">
        <f t="shared" ref="AE28:AI28" si="139">IF(OR(C29=""),"",(C29-C28)*80)</f>
        <v>0</v>
      </c>
      <c r="AF28" s="17">
        <f t="shared" si="139"/>
        <v>3000</v>
      </c>
      <c r="AG28" s="17">
        <f t="shared" si="139"/>
        <v>2552.00000000012</v>
      </c>
      <c r="AH28" s="17">
        <f t="shared" si="139"/>
        <v>4.00000000008731</v>
      </c>
      <c r="AI28" s="17">
        <f t="shared" si="139"/>
        <v>2432.0000000007</v>
      </c>
      <c r="AJ28" s="17">
        <f t="shared" si="3"/>
        <v>7988.0000000009</v>
      </c>
      <c r="AK28" s="17">
        <f t="shared" ref="AK28:AN28" si="140">IF(OR(H29=""),"",(H29-H28)*80)</f>
        <v>0</v>
      </c>
      <c r="AL28" s="17">
        <f t="shared" si="140"/>
        <v>0</v>
      </c>
      <c r="AM28" s="17">
        <f t="shared" si="140"/>
        <v>0</v>
      </c>
      <c r="AN28" s="17">
        <f t="shared" si="140"/>
        <v>0</v>
      </c>
      <c r="AO28" s="17">
        <f t="shared" si="5"/>
        <v>0</v>
      </c>
      <c r="AP28" s="17">
        <f t="shared" ref="AP28:AS28" si="141">IF(OR(L29=""),"",(L29-L28)*100)</f>
        <v>2930.00000000029</v>
      </c>
      <c r="AQ28" s="17">
        <f t="shared" si="141"/>
        <v>0</v>
      </c>
      <c r="AR28" s="17">
        <f t="shared" si="141"/>
        <v>2929.99999999884</v>
      </c>
      <c r="AS28" s="17">
        <f t="shared" si="141"/>
        <v>2219.99999999971</v>
      </c>
      <c r="AT28" s="17">
        <f t="shared" si="7"/>
        <v>8079.99999999884</v>
      </c>
      <c r="AU28" s="17">
        <f t="shared" ref="AU28:AY28" si="142">IF(OR(P29=""),"",(P29-P28)*1000)</f>
        <v>0</v>
      </c>
      <c r="AV28" s="17">
        <f t="shared" si="142"/>
        <v>6299.99999999927</v>
      </c>
      <c r="AW28" s="17">
        <f t="shared" si="142"/>
        <v>1000</v>
      </c>
      <c r="AX28" s="17">
        <f t="shared" si="142"/>
        <v>5400.00000000055</v>
      </c>
      <c r="AY28" s="17">
        <f t="shared" si="142"/>
        <v>0</v>
      </c>
      <c r="AZ28" s="17">
        <f t="shared" si="9"/>
        <v>12699.9999999998</v>
      </c>
      <c r="BA28" s="17">
        <f t="shared" si="10"/>
        <v>9599.99999999854</v>
      </c>
      <c r="BB28" s="17">
        <f t="shared" si="11"/>
        <v>1096.00000000035</v>
      </c>
      <c r="BC28" s="17">
        <f t="shared" si="27"/>
        <v>1484.00000000023</v>
      </c>
      <c r="BD28" s="17">
        <f t="shared" si="12"/>
        <v>11251.9999999766</v>
      </c>
      <c r="BE28" s="17">
        <f t="shared" si="13"/>
        <v>52199.9999999753</v>
      </c>
      <c r="BF28" s="17">
        <f t="shared" si="14"/>
        <v>47.8000000000011</v>
      </c>
      <c r="BG28" s="20">
        <f t="shared" si="15"/>
        <v>0.251569902215334</v>
      </c>
      <c r="BH28" s="20">
        <f t="shared" si="16"/>
        <v>0.0384969421244688</v>
      </c>
      <c r="BI28" s="20">
        <f t="shared" si="17"/>
        <v>0</v>
      </c>
      <c r="BJ28" s="20">
        <f t="shared" si="18"/>
        <v>0.0389403220287466</v>
      </c>
      <c r="BK28" s="20">
        <f t="shared" ref="BK28:BO28" si="143">IF(OR($AD28=0),"",AZ28/$AD28)</f>
        <v>0.0612057041788547</v>
      </c>
      <c r="BL28" s="20">
        <f t="shared" si="143"/>
        <v>0.0462657291430649</v>
      </c>
      <c r="BM28" s="20">
        <f t="shared" si="143"/>
        <v>0.00528200407716906</v>
      </c>
      <c r="BN28" s="20">
        <f t="shared" si="143"/>
        <v>0.00715191063003433</v>
      </c>
      <c r="BO28" s="20">
        <f t="shared" si="143"/>
        <v>0.054227290032996</v>
      </c>
    </row>
    <row r="29" spans="1:67">
      <c r="A29" s="9">
        <f t="shared" si="20"/>
        <v>44738</v>
      </c>
      <c r="B29" s="10">
        <v>18397.1</v>
      </c>
      <c r="C29" s="8">
        <v>97503.4</v>
      </c>
      <c r="D29" s="8">
        <v>65874.7</v>
      </c>
      <c r="E29" s="8">
        <v>65058.4</v>
      </c>
      <c r="F29" s="8">
        <v>8748.28</v>
      </c>
      <c r="G29" s="8">
        <v>121602.8</v>
      </c>
      <c r="H29" s="8">
        <v>5709.7</v>
      </c>
      <c r="I29" s="8">
        <v>2566.3</v>
      </c>
      <c r="J29" s="8">
        <v>967</v>
      </c>
      <c r="K29" s="8">
        <v>56</v>
      </c>
      <c r="L29" s="8">
        <v>99464.3</v>
      </c>
      <c r="M29" s="8">
        <v>61529.7</v>
      </c>
      <c r="N29" s="8">
        <v>81886.4</v>
      </c>
      <c r="O29" s="8">
        <v>110092.4</v>
      </c>
      <c r="P29" s="8">
        <v>6317.5</v>
      </c>
      <c r="Q29" s="8">
        <v>8337.3</v>
      </c>
      <c r="R29" s="8">
        <v>4882.8</v>
      </c>
      <c r="S29" s="8">
        <v>6070.3</v>
      </c>
      <c r="T29" s="8">
        <v>8091.4</v>
      </c>
      <c r="U29" s="8">
        <v>18860.6</v>
      </c>
      <c r="V29" s="8">
        <v>54251.8</v>
      </c>
      <c r="W29" s="8">
        <v>57888.2</v>
      </c>
      <c r="X29" s="8">
        <v>5750</v>
      </c>
      <c r="Y29" s="8">
        <v>5674.1</v>
      </c>
      <c r="Z29" s="15">
        <f t="shared" si="21"/>
        <v>69312.3</v>
      </c>
      <c r="AA29" s="8">
        <v>3540.6</v>
      </c>
      <c r="AB29" s="13">
        <v>8546</v>
      </c>
      <c r="AC29" s="7">
        <f t="shared" si="22"/>
        <v>12086.6</v>
      </c>
      <c r="AD29" s="16">
        <v>206769</v>
      </c>
      <c r="AE29" s="17">
        <f t="shared" ref="AE29:AI29" si="144">IF(OR(C30=""),"",(C30-C29)*80)</f>
        <v>0</v>
      </c>
      <c r="AF29" s="17">
        <f t="shared" si="144"/>
        <v>3120</v>
      </c>
      <c r="AG29" s="17">
        <f t="shared" si="144"/>
        <v>3535.99999999977</v>
      </c>
      <c r="AH29" s="17">
        <f t="shared" si="144"/>
        <v>4.79999999995925</v>
      </c>
      <c r="AI29" s="17">
        <f t="shared" si="144"/>
        <v>2704.00000000023</v>
      </c>
      <c r="AJ29" s="17">
        <f t="shared" si="3"/>
        <v>9364.79999999996</v>
      </c>
      <c r="AK29" s="17">
        <f t="shared" ref="AK29:AN29" si="145">IF(OR(H30=""),"",(H30-H29)*80)</f>
        <v>0</v>
      </c>
      <c r="AL29" s="17">
        <f t="shared" si="145"/>
        <v>0</v>
      </c>
      <c r="AM29" s="17">
        <f t="shared" si="145"/>
        <v>0</v>
      </c>
      <c r="AN29" s="17">
        <f t="shared" si="145"/>
        <v>0</v>
      </c>
      <c r="AO29" s="17">
        <f t="shared" si="5"/>
        <v>0</v>
      </c>
      <c r="AP29" s="17">
        <f t="shared" ref="AP29:AS29" si="146">IF(OR(L30=""),"",(L30-L29)*100)</f>
        <v>2859.99999999913</v>
      </c>
      <c r="AQ29" s="17">
        <f t="shared" si="146"/>
        <v>0</v>
      </c>
      <c r="AR29" s="17">
        <f t="shared" si="146"/>
        <v>2910.00000000058</v>
      </c>
      <c r="AS29" s="17">
        <f t="shared" si="146"/>
        <v>2270.00000000116</v>
      </c>
      <c r="AT29" s="17">
        <f t="shared" si="7"/>
        <v>8040.00000000087</v>
      </c>
      <c r="AU29" s="17">
        <f t="shared" ref="AU29:AY29" si="147">IF(OR(P30=""),"",(P30-P29)*1000)</f>
        <v>1100.00000000036</v>
      </c>
      <c r="AV29" s="17">
        <f t="shared" si="147"/>
        <v>2100.00000000036</v>
      </c>
      <c r="AW29" s="17">
        <f t="shared" si="147"/>
        <v>3699.99999999982</v>
      </c>
      <c r="AX29" s="17">
        <f t="shared" si="147"/>
        <v>5300.00000000018</v>
      </c>
      <c r="AY29" s="17">
        <f t="shared" si="147"/>
        <v>0</v>
      </c>
      <c r="AZ29" s="17">
        <f t="shared" si="9"/>
        <v>12200.0000000007</v>
      </c>
      <c r="BA29" s="17">
        <f t="shared" si="10"/>
        <v>9600.00000000582</v>
      </c>
      <c r="BB29" s="17">
        <f t="shared" si="11"/>
        <v>1047.99999999988</v>
      </c>
      <c r="BC29" s="17">
        <f t="shared" si="27"/>
        <v>1580</v>
      </c>
      <c r="BD29" s="17">
        <f t="shared" si="12"/>
        <v>16667.2000000146</v>
      </c>
      <c r="BE29" s="17">
        <f t="shared" si="13"/>
        <v>58500.0000000218</v>
      </c>
      <c r="BF29" s="17">
        <f t="shared" si="14"/>
        <v>50.3999999999996</v>
      </c>
      <c r="BG29" s="20">
        <f t="shared" si="15"/>
        <v>0.282924422906828</v>
      </c>
      <c r="BH29" s="20">
        <f t="shared" si="16"/>
        <v>0.0452911219766984</v>
      </c>
      <c r="BI29" s="20">
        <f t="shared" si="17"/>
        <v>0</v>
      </c>
      <c r="BJ29" s="20">
        <f t="shared" si="18"/>
        <v>0.0388839719687229</v>
      </c>
      <c r="BK29" s="20">
        <f t="shared" ref="BK29:BO29" si="148">IF(OR($AD29=0),"",AZ29/$AD29)</f>
        <v>0.0590030420420891</v>
      </c>
      <c r="BL29" s="20">
        <f t="shared" si="148"/>
        <v>0.0464286232462595</v>
      </c>
      <c r="BM29" s="20">
        <f t="shared" si="148"/>
        <v>0.00506845803771302</v>
      </c>
      <c r="BN29" s="20">
        <f t="shared" si="148"/>
        <v>0.00764137757594224</v>
      </c>
      <c r="BO29" s="20">
        <f t="shared" si="148"/>
        <v>0.0806078280594024</v>
      </c>
    </row>
    <row r="30" spans="1:67">
      <c r="A30" s="9">
        <f t="shared" si="20"/>
        <v>44739</v>
      </c>
      <c r="B30" s="10">
        <v>18402.95</v>
      </c>
      <c r="C30" s="8">
        <v>97503.4</v>
      </c>
      <c r="D30" s="8">
        <v>65913.7</v>
      </c>
      <c r="E30" s="8">
        <v>65102.6</v>
      </c>
      <c r="F30" s="8">
        <v>8748.34</v>
      </c>
      <c r="G30" s="8">
        <v>121636.6</v>
      </c>
      <c r="H30" s="8">
        <v>5709.7</v>
      </c>
      <c r="I30" s="8">
        <v>2566.3</v>
      </c>
      <c r="J30" s="8">
        <v>967</v>
      </c>
      <c r="K30" s="8">
        <v>56</v>
      </c>
      <c r="L30" s="8">
        <v>99492.9</v>
      </c>
      <c r="M30" s="8">
        <v>61529.7</v>
      </c>
      <c r="N30" s="8">
        <v>81915.5</v>
      </c>
      <c r="O30" s="8">
        <v>110115.1</v>
      </c>
      <c r="P30" s="8">
        <v>6318.6</v>
      </c>
      <c r="Q30" s="8">
        <v>8339.4</v>
      </c>
      <c r="R30" s="8">
        <v>4886.5</v>
      </c>
      <c r="S30" s="8">
        <v>6075.6</v>
      </c>
      <c r="T30" s="8">
        <v>8091.4</v>
      </c>
      <c r="U30" s="8">
        <v>18865.4</v>
      </c>
      <c r="V30" s="8">
        <v>54264.9</v>
      </c>
      <c r="W30" s="8">
        <v>57904.6</v>
      </c>
      <c r="X30" s="8">
        <v>5760.9</v>
      </c>
      <c r="Y30" s="8">
        <v>5686.3</v>
      </c>
      <c r="Z30" s="15">
        <f t="shared" si="21"/>
        <v>69351.8</v>
      </c>
      <c r="AA30" s="8">
        <v>3582</v>
      </c>
      <c r="AB30" s="13">
        <v>8555</v>
      </c>
      <c r="AC30" s="7">
        <f t="shared" si="22"/>
        <v>12137</v>
      </c>
      <c r="AD30" s="16">
        <v>203419</v>
      </c>
      <c r="AE30" s="17">
        <f t="shared" ref="AE30:AI30" si="149">IF(OR(C31=""),"",(C31-C30)*80)</f>
        <v>0</v>
      </c>
      <c r="AF30" s="17">
        <f t="shared" si="149"/>
        <v>3032.0000000007</v>
      </c>
      <c r="AG30" s="17">
        <f t="shared" si="149"/>
        <v>2752.00000000012</v>
      </c>
      <c r="AH30" s="17">
        <f t="shared" si="149"/>
        <v>4.79999999995925</v>
      </c>
      <c r="AI30" s="17">
        <f t="shared" si="149"/>
        <v>2415.99999999977</v>
      </c>
      <c r="AJ30" s="17">
        <f t="shared" si="3"/>
        <v>8204.80000000054</v>
      </c>
      <c r="AK30" s="17">
        <f t="shared" ref="AK30:AN30" si="150">IF(OR(H31=""),"",(H31-H30)*80)</f>
        <v>0</v>
      </c>
      <c r="AL30" s="17">
        <f t="shared" si="150"/>
        <v>0</v>
      </c>
      <c r="AM30" s="17">
        <f t="shared" si="150"/>
        <v>0</v>
      </c>
      <c r="AN30" s="17">
        <f t="shared" si="150"/>
        <v>0</v>
      </c>
      <c r="AO30" s="17">
        <f t="shared" si="5"/>
        <v>0</v>
      </c>
      <c r="AP30" s="17">
        <f t="shared" ref="AP30:AS30" si="151">IF(OR(L31=""),"",(L31-L30)*100)</f>
        <v>2810.00000000058</v>
      </c>
      <c r="AQ30" s="17">
        <f t="shared" si="151"/>
        <v>10.0000000005821</v>
      </c>
      <c r="AR30" s="17">
        <f t="shared" si="151"/>
        <v>2930.00000000029</v>
      </c>
      <c r="AS30" s="17">
        <f t="shared" si="151"/>
        <v>2150</v>
      </c>
      <c r="AT30" s="17">
        <f t="shared" si="7"/>
        <v>7900.00000000146</v>
      </c>
      <c r="AU30" s="17">
        <f t="shared" ref="AU30:AY30" si="152">IF(OR(P31=""),"",(P31-P30)*1000)</f>
        <v>3699.99999999982</v>
      </c>
      <c r="AV30" s="17">
        <f t="shared" si="152"/>
        <v>7200.00000000073</v>
      </c>
      <c r="AW30" s="17">
        <f t="shared" si="152"/>
        <v>100.000000000364</v>
      </c>
      <c r="AX30" s="17">
        <f t="shared" si="152"/>
        <v>5199.99999999982</v>
      </c>
      <c r="AY30" s="17">
        <f t="shared" si="152"/>
        <v>0</v>
      </c>
      <c r="AZ30" s="17">
        <f t="shared" si="9"/>
        <v>16200.0000000007</v>
      </c>
      <c r="BA30" s="17">
        <f t="shared" si="10"/>
        <v>9000</v>
      </c>
      <c r="BB30" s="17">
        <f t="shared" si="11"/>
        <v>1063.99999999965</v>
      </c>
      <c r="BC30" s="17">
        <f t="shared" si="27"/>
        <v>1523.99999999965</v>
      </c>
      <c r="BD30" s="17">
        <f t="shared" si="12"/>
        <v>15307.1999999805</v>
      </c>
      <c r="BE30" s="17">
        <f t="shared" si="13"/>
        <v>59199.9999999825</v>
      </c>
      <c r="BF30" s="17">
        <f t="shared" si="14"/>
        <v>49.5</v>
      </c>
      <c r="BG30" s="20">
        <f t="shared" si="15"/>
        <v>0.291024928841369</v>
      </c>
      <c r="BH30" s="20">
        <f t="shared" si="16"/>
        <v>0.0403344820297049</v>
      </c>
      <c r="BI30" s="20">
        <f t="shared" si="17"/>
        <v>0</v>
      </c>
      <c r="BJ30" s="20">
        <f t="shared" si="18"/>
        <v>0.0388360969231068</v>
      </c>
      <c r="BK30" s="20">
        <f t="shared" ref="BK30:BO30" si="153">IF(OR($AD30=0),"",AZ30/$AD30)</f>
        <v>0.079638578500537</v>
      </c>
      <c r="BL30" s="20">
        <f t="shared" si="153"/>
        <v>0.0442436547225185</v>
      </c>
      <c r="BM30" s="20">
        <f t="shared" si="153"/>
        <v>0.00523058318052714</v>
      </c>
      <c r="BN30" s="20">
        <f t="shared" si="153"/>
        <v>0.00749192553301142</v>
      </c>
      <c r="BO30" s="20">
        <f t="shared" si="153"/>
        <v>0.0752496079519637</v>
      </c>
    </row>
    <row r="31" spans="1:67">
      <c r="A31" s="9">
        <f t="shared" si="20"/>
        <v>44740</v>
      </c>
      <c r="B31" s="10">
        <v>18408.87</v>
      </c>
      <c r="C31" s="8">
        <v>97503.4</v>
      </c>
      <c r="D31" s="8">
        <v>65951.6</v>
      </c>
      <c r="E31" s="8">
        <v>65137</v>
      </c>
      <c r="F31" s="8">
        <v>8748.4</v>
      </c>
      <c r="G31" s="8">
        <v>121666.8</v>
      </c>
      <c r="H31" s="8">
        <v>5709.7</v>
      </c>
      <c r="I31" s="8">
        <v>2566.3</v>
      </c>
      <c r="J31" s="8">
        <v>967</v>
      </c>
      <c r="K31" s="8">
        <v>56</v>
      </c>
      <c r="L31" s="8">
        <v>99521</v>
      </c>
      <c r="M31" s="8">
        <v>61529.8</v>
      </c>
      <c r="N31" s="8">
        <v>81944.8</v>
      </c>
      <c r="O31" s="8">
        <v>110136.6</v>
      </c>
      <c r="P31" s="8">
        <v>6322.3</v>
      </c>
      <c r="Q31" s="8">
        <v>8346.6</v>
      </c>
      <c r="R31" s="8">
        <v>4886.6</v>
      </c>
      <c r="S31" s="8">
        <v>6080.8</v>
      </c>
      <c r="T31" s="8">
        <v>8091.4</v>
      </c>
      <c r="U31" s="8">
        <v>18869.9</v>
      </c>
      <c r="V31" s="8">
        <v>54278.2</v>
      </c>
      <c r="W31" s="8">
        <v>57921</v>
      </c>
      <c r="X31" s="8">
        <v>5770.7</v>
      </c>
      <c r="Y31" s="8">
        <v>5698.2</v>
      </c>
      <c r="Z31" s="15">
        <f t="shared" si="21"/>
        <v>69389.9</v>
      </c>
      <c r="AA31" s="8">
        <v>3622.5</v>
      </c>
      <c r="AB31" s="13">
        <v>8564</v>
      </c>
      <c r="AC31" s="7">
        <f t="shared" si="22"/>
        <v>12186.5</v>
      </c>
      <c r="AD31" s="16">
        <v>206540</v>
      </c>
      <c r="AE31" s="17">
        <f t="shared" ref="AE31:AI31" si="154">IF(OR(C32=""),"",(C32-C31)*80)</f>
        <v>0</v>
      </c>
      <c r="AF31" s="17">
        <f t="shared" si="154"/>
        <v>2551.99999999953</v>
      </c>
      <c r="AG31" s="17">
        <f t="shared" si="154"/>
        <v>2512.00000000012</v>
      </c>
      <c r="AH31" s="17">
        <f t="shared" si="154"/>
        <v>272.799999999988</v>
      </c>
      <c r="AI31" s="17">
        <f t="shared" si="154"/>
        <v>2400</v>
      </c>
      <c r="AJ31" s="17">
        <f t="shared" si="3"/>
        <v>7736.79999999964</v>
      </c>
      <c r="AK31" s="17">
        <f t="shared" ref="AK31:AN31" si="155">IF(OR(H32=""),"",(H32-H31)*80)</f>
        <v>0</v>
      </c>
      <c r="AL31" s="17">
        <f t="shared" si="155"/>
        <v>0</v>
      </c>
      <c r="AM31" s="17">
        <f t="shared" si="155"/>
        <v>0</v>
      </c>
      <c r="AN31" s="17">
        <f t="shared" si="155"/>
        <v>0</v>
      </c>
      <c r="AO31" s="17">
        <f t="shared" si="5"/>
        <v>0</v>
      </c>
      <c r="AP31" s="17">
        <f t="shared" ref="AP31:AS31" si="156">IF(OR(L32=""),"",(L32-L31)*100)</f>
        <v>2889.99999999942</v>
      </c>
      <c r="AQ31" s="17">
        <f t="shared" si="156"/>
        <v>0</v>
      </c>
      <c r="AR31" s="17">
        <f t="shared" si="156"/>
        <v>2880.00000000029</v>
      </c>
      <c r="AS31" s="17">
        <f t="shared" si="156"/>
        <v>2139.99999999942</v>
      </c>
      <c r="AT31" s="17">
        <f t="shared" si="7"/>
        <v>7909.99999999913</v>
      </c>
      <c r="AU31" s="17">
        <f t="shared" ref="AU31:AY31" si="157">IF(OR(P32=""),"",(P32-P31)*1000)</f>
        <v>3000</v>
      </c>
      <c r="AV31" s="17">
        <f t="shared" si="157"/>
        <v>5600.00000000036</v>
      </c>
      <c r="AW31" s="17">
        <f t="shared" si="157"/>
        <v>0</v>
      </c>
      <c r="AX31" s="17">
        <f t="shared" si="157"/>
        <v>5099.99999999945</v>
      </c>
      <c r="AY31" s="17">
        <f t="shared" si="157"/>
        <v>0</v>
      </c>
      <c r="AZ31" s="17">
        <f t="shared" si="9"/>
        <v>13699.9999999998</v>
      </c>
      <c r="BA31" s="17">
        <f t="shared" si="10"/>
        <v>9199.99999999709</v>
      </c>
      <c r="BB31" s="17">
        <f t="shared" si="11"/>
        <v>1104.00000000023</v>
      </c>
      <c r="BC31" s="17">
        <f t="shared" si="27"/>
        <v>1472.00000000012</v>
      </c>
      <c r="BD31" s="17">
        <f t="shared" si="12"/>
        <v>17277.2000000054</v>
      </c>
      <c r="BE31" s="17">
        <f t="shared" si="13"/>
        <v>58400.0000000015</v>
      </c>
      <c r="BF31" s="17">
        <f t="shared" si="14"/>
        <v>47.2999999999993</v>
      </c>
      <c r="BG31" s="20">
        <f t="shared" si="15"/>
        <v>0.28275394596689</v>
      </c>
      <c r="BH31" s="20">
        <f t="shared" si="16"/>
        <v>0.0374590878280219</v>
      </c>
      <c r="BI31" s="20">
        <f t="shared" si="17"/>
        <v>0</v>
      </c>
      <c r="BJ31" s="20">
        <f t="shared" si="18"/>
        <v>0.0382976663116061</v>
      </c>
      <c r="BK31" s="20">
        <f t="shared" ref="BK31:BO31" si="158">IF(OR($AD31=0),"",AZ31/$AD31)</f>
        <v>0.0663309770504494</v>
      </c>
      <c r="BL31" s="20">
        <f t="shared" si="158"/>
        <v>0.0445434298440839</v>
      </c>
      <c r="BM31" s="20">
        <f t="shared" si="158"/>
        <v>0.00534521158129289</v>
      </c>
      <c r="BN31" s="20">
        <f t="shared" si="158"/>
        <v>0.00712694877505624</v>
      </c>
      <c r="BO31" s="20">
        <f t="shared" si="158"/>
        <v>0.0836506245763795</v>
      </c>
    </row>
    <row r="32" spans="1:67">
      <c r="A32" s="9">
        <f t="shared" si="20"/>
        <v>44741</v>
      </c>
      <c r="B32" s="10">
        <v>18414.71</v>
      </c>
      <c r="C32" s="8">
        <v>97503.4</v>
      </c>
      <c r="D32" s="8">
        <v>65983.5</v>
      </c>
      <c r="E32" s="8">
        <v>65168.4</v>
      </c>
      <c r="F32" s="8">
        <v>8751.81</v>
      </c>
      <c r="G32" s="8">
        <v>121696.8</v>
      </c>
      <c r="H32" s="8">
        <v>5709.7</v>
      </c>
      <c r="I32" s="8">
        <v>2566.3</v>
      </c>
      <c r="J32" s="8">
        <v>967</v>
      </c>
      <c r="K32" s="8">
        <v>56</v>
      </c>
      <c r="L32" s="8">
        <v>99549.9</v>
      </c>
      <c r="M32" s="8">
        <v>61529.8</v>
      </c>
      <c r="N32" s="8">
        <v>81973.6</v>
      </c>
      <c r="O32" s="8">
        <v>110158</v>
      </c>
      <c r="P32" s="8">
        <v>6325.3</v>
      </c>
      <c r="Q32" s="8">
        <v>8352.2</v>
      </c>
      <c r="R32" s="8">
        <v>4886.6</v>
      </c>
      <c r="S32" s="8">
        <v>6085.9</v>
      </c>
      <c r="T32" s="8">
        <v>8091.4</v>
      </c>
      <c r="U32" s="8">
        <v>18874.5</v>
      </c>
      <c r="V32" s="8">
        <v>54292</v>
      </c>
      <c r="W32" s="8">
        <v>57937</v>
      </c>
      <c r="X32" s="8">
        <v>5780.1</v>
      </c>
      <c r="Y32" s="8">
        <v>5709.6</v>
      </c>
      <c r="Z32" s="15">
        <f t="shared" si="21"/>
        <v>69426.7</v>
      </c>
      <c r="AA32" s="8">
        <v>3662.8</v>
      </c>
      <c r="AB32" s="13">
        <v>8571</v>
      </c>
      <c r="AC32" s="7">
        <f t="shared" si="22"/>
        <v>12233.8</v>
      </c>
      <c r="AD32" s="16">
        <v>208814</v>
      </c>
      <c r="AE32" s="17">
        <f t="shared" ref="AE32:AI32" si="159">IF(OR(C33=""),"",(C33-C32)*80)</f>
        <v>0</v>
      </c>
      <c r="AF32" s="17">
        <f t="shared" si="159"/>
        <v>1328.00000000047</v>
      </c>
      <c r="AG32" s="17">
        <f t="shared" si="159"/>
        <v>2495.99999999977</v>
      </c>
      <c r="AH32" s="17">
        <f t="shared" si="159"/>
        <v>1303.20000000007</v>
      </c>
      <c r="AI32" s="17">
        <f t="shared" si="159"/>
        <v>2600</v>
      </c>
      <c r="AJ32" s="17">
        <f t="shared" si="3"/>
        <v>7727.2000000003</v>
      </c>
      <c r="AK32" s="17">
        <f t="shared" ref="AK32:AN32" si="160">IF(OR(H33=""),"",(H33-H32)*80)</f>
        <v>0</v>
      </c>
      <c r="AL32" s="17">
        <f t="shared" si="160"/>
        <v>0</v>
      </c>
      <c r="AM32" s="17">
        <f t="shared" si="160"/>
        <v>0</v>
      </c>
      <c r="AN32" s="17">
        <f t="shared" si="160"/>
        <v>0</v>
      </c>
      <c r="AO32" s="17">
        <f t="shared" si="5"/>
        <v>0</v>
      </c>
      <c r="AP32" s="17">
        <f t="shared" ref="AP32:AS32" si="161">IF(OR(L33=""),"",(L33-L32)*100)</f>
        <v>3030.00000000029</v>
      </c>
      <c r="AQ32" s="17">
        <f t="shared" si="161"/>
        <v>0</v>
      </c>
      <c r="AR32" s="17">
        <f t="shared" si="161"/>
        <v>2989.99999999942</v>
      </c>
      <c r="AS32" s="17">
        <f t="shared" si="161"/>
        <v>2169.99999999971</v>
      </c>
      <c r="AT32" s="17">
        <f t="shared" si="7"/>
        <v>8189.99999999942</v>
      </c>
      <c r="AU32" s="17">
        <f t="shared" ref="AU32:AY32" si="162">IF(OR(P33=""),"",(P33-P32)*1000)</f>
        <v>4199.99999999982</v>
      </c>
      <c r="AV32" s="17">
        <f t="shared" si="162"/>
        <v>8599.99999999854</v>
      </c>
      <c r="AW32" s="17">
        <f t="shared" si="162"/>
        <v>0</v>
      </c>
      <c r="AX32" s="17">
        <f t="shared" si="162"/>
        <v>5900.00000000055</v>
      </c>
      <c r="AY32" s="17">
        <f t="shared" si="162"/>
        <v>0</v>
      </c>
      <c r="AZ32" s="17">
        <f t="shared" si="9"/>
        <v>18699.9999999989</v>
      </c>
      <c r="BA32" s="17">
        <f t="shared" si="10"/>
        <v>10000</v>
      </c>
      <c r="BB32" s="17">
        <f t="shared" si="11"/>
        <v>735.999999999767</v>
      </c>
      <c r="BC32" s="17">
        <f t="shared" si="27"/>
        <v>1532.00000000012</v>
      </c>
      <c r="BD32" s="17">
        <f t="shared" si="12"/>
        <v>14114.8000000233</v>
      </c>
      <c r="BE32" s="17">
        <f t="shared" si="13"/>
        <v>61000.0000000218</v>
      </c>
      <c r="BF32" s="17">
        <f t="shared" si="14"/>
        <v>51.3000000000011</v>
      </c>
      <c r="BG32" s="20">
        <f t="shared" si="15"/>
        <v>0.292126006877038</v>
      </c>
      <c r="BH32" s="20">
        <f t="shared" si="16"/>
        <v>0.0370051816449103</v>
      </c>
      <c r="BI32" s="20">
        <f t="shared" si="17"/>
        <v>0</v>
      </c>
      <c r="BJ32" s="20">
        <f t="shared" si="18"/>
        <v>0.0392215081364248</v>
      </c>
      <c r="BK32" s="20">
        <f t="shared" ref="BK32:BO32" si="163">IF(OR($AD32=0),"",AZ32/$AD32)</f>
        <v>0.0895533824360383</v>
      </c>
      <c r="BL32" s="20">
        <f t="shared" si="163"/>
        <v>0.0478895093240875</v>
      </c>
      <c r="BM32" s="20">
        <f t="shared" si="163"/>
        <v>0.00352466788625172</v>
      </c>
      <c r="BN32" s="20">
        <f t="shared" si="163"/>
        <v>0.00733667282845076</v>
      </c>
      <c r="BO32" s="20">
        <f t="shared" si="163"/>
        <v>0.0675950846208746</v>
      </c>
    </row>
    <row r="33" spans="1:67">
      <c r="A33" s="9">
        <f t="shared" si="20"/>
        <v>44742</v>
      </c>
      <c r="B33" s="10">
        <v>18420.81</v>
      </c>
      <c r="C33" s="8">
        <v>97503.4</v>
      </c>
      <c r="D33" s="8">
        <v>66000.1</v>
      </c>
      <c r="E33" s="8">
        <v>65199.6</v>
      </c>
      <c r="F33" s="8">
        <v>8768.1</v>
      </c>
      <c r="G33" s="8">
        <v>121729.3</v>
      </c>
      <c r="H33" s="8">
        <v>5709.7</v>
      </c>
      <c r="I33" s="8">
        <v>2566.3</v>
      </c>
      <c r="J33" s="8">
        <v>967</v>
      </c>
      <c r="K33" s="8">
        <v>56</v>
      </c>
      <c r="L33" s="8">
        <v>99580.2</v>
      </c>
      <c r="M33" s="8">
        <v>61529.8</v>
      </c>
      <c r="N33" s="8">
        <v>82003.5</v>
      </c>
      <c r="O33" s="8">
        <v>110179.7</v>
      </c>
      <c r="P33" s="8">
        <v>6329.5</v>
      </c>
      <c r="Q33" s="8">
        <v>8360.8</v>
      </c>
      <c r="R33" s="8">
        <v>4886.6</v>
      </c>
      <c r="S33" s="8">
        <v>6091.8</v>
      </c>
      <c r="T33" s="8">
        <v>8091.4</v>
      </c>
      <c r="U33" s="8">
        <v>18879.5</v>
      </c>
      <c r="V33" s="8">
        <v>54301.2</v>
      </c>
      <c r="W33" s="8">
        <v>57953.5</v>
      </c>
      <c r="X33" s="8">
        <v>5789.9</v>
      </c>
      <c r="Y33" s="8">
        <v>5721.6</v>
      </c>
      <c r="Z33" s="15">
        <f t="shared" si="21"/>
        <v>69465</v>
      </c>
      <c r="AA33" s="8">
        <v>3705.1</v>
      </c>
      <c r="AB33" s="13">
        <v>8580</v>
      </c>
      <c r="AC33" s="7">
        <f t="shared" si="22"/>
        <v>12285.1</v>
      </c>
      <c r="AD33" s="16">
        <v>204310</v>
      </c>
      <c r="AE33" s="17">
        <f t="shared" ref="AE33:AI33" si="164">IF(OR(C34=""),"",(C34-C33)*80)</f>
        <v>0</v>
      </c>
      <c r="AF33" s="17">
        <f t="shared" si="164"/>
        <v>0</v>
      </c>
      <c r="AG33" s="17">
        <f t="shared" si="164"/>
        <v>2520</v>
      </c>
      <c r="AH33" s="17">
        <f t="shared" si="164"/>
        <v>2416.79999999993</v>
      </c>
      <c r="AI33" s="17">
        <f t="shared" si="164"/>
        <v>2415.99999999977</v>
      </c>
      <c r="AJ33" s="17">
        <f t="shared" si="3"/>
        <v>7352.7999999997</v>
      </c>
      <c r="AK33" s="17">
        <f t="shared" ref="AK33:AN33" si="165">IF(OR(H34=""),"",(H34-H33)*80)</f>
        <v>0</v>
      </c>
      <c r="AL33" s="17">
        <f t="shared" si="165"/>
        <v>0</v>
      </c>
      <c r="AM33" s="17">
        <f t="shared" si="165"/>
        <v>0</v>
      </c>
      <c r="AN33" s="17">
        <f t="shared" si="165"/>
        <v>0</v>
      </c>
      <c r="AO33" s="17">
        <f t="shared" si="5"/>
        <v>0</v>
      </c>
      <c r="AP33" s="17">
        <f t="shared" ref="AP33:AS33" si="166">IF(OR(L34=""),"",(L34-L33)*100)</f>
        <v>2790.00000000087</v>
      </c>
      <c r="AQ33" s="17">
        <f t="shared" si="166"/>
        <v>0</v>
      </c>
      <c r="AR33" s="17">
        <f t="shared" si="166"/>
        <v>2850</v>
      </c>
      <c r="AS33" s="17">
        <f t="shared" si="166"/>
        <v>2010.00000000058</v>
      </c>
      <c r="AT33" s="17">
        <f t="shared" si="7"/>
        <v>7650.00000000146</v>
      </c>
      <c r="AU33" s="17">
        <f t="shared" ref="AU33:AY33" si="167">IF(OR(P34=""),"",(P34-P33)*1000)</f>
        <v>1199.99999999982</v>
      </c>
      <c r="AV33" s="17">
        <f t="shared" si="167"/>
        <v>6800.00000000109</v>
      </c>
      <c r="AW33" s="17">
        <f t="shared" si="167"/>
        <v>1299.99999999927</v>
      </c>
      <c r="AX33" s="17">
        <f t="shared" si="167"/>
        <v>4300.00000000018</v>
      </c>
      <c r="AY33" s="17">
        <f t="shared" si="167"/>
        <v>0</v>
      </c>
      <c r="AZ33" s="17">
        <f t="shared" si="9"/>
        <v>13600.0000000004</v>
      </c>
      <c r="BA33" s="17">
        <f t="shared" si="10"/>
        <v>9800.00000000291</v>
      </c>
      <c r="BB33" s="17">
        <f t="shared" si="11"/>
        <v>584.000000000233</v>
      </c>
      <c r="BC33" s="17">
        <f t="shared" si="27"/>
        <v>1507.99999999988</v>
      </c>
      <c r="BD33" s="17">
        <f t="shared" si="12"/>
        <v>13505.1999999736</v>
      </c>
      <c r="BE33" s="17">
        <f t="shared" si="13"/>
        <v>53999.9999999782</v>
      </c>
      <c r="BF33" s="17">
        <f t="shared" si="14"/>
        <v>47.6999999999989</v>
      </c>
      <c r="BG33" s="20">
        <f t="shared" si="15"/>
        <v>0.264304243551359</v>
      </c>
      <c r="BH33" s="20">
        <f t="shared" si="16"/>
        <v>0.0359884489256507</v>
      </c>
      <c r="BI33" s="20">
        <f t="shared" si="17"/>
        <v>0</v>
      </c>
      <c r="BJ33" s="20">
        <f t="shared" si="18"/>
        <v>0.0374431011697981</v>
      </c>
      <c r="BK33" s="20">
        <f t="shared" ref="BK33:BO33" si="168">IF(OR($AD33=0),"",AZ33/$AD33)</f>
        <v>0.0665655131907413</v>
      </c>
      <c r="BL33" s="20">
        <f t="shared" si="168"/>
        <v>0.0479663256815766</v>
      </c>
      <c r="BM33" s="20">
        <f t="shared" si="168"/>
        <v>0.00285840144877996</v>
      </c>
      <c r="BN33" s="20">
        <f t="shared" si="168"/>
        <v>0.00738094072732555</v>
      </c>
      <c r="BO33" s="20">
        <f t="shared" si="168"/>
        <v>0.0661015124074868</v>
      </c>
    </row>
    <row r="34" spans="1:67">
      <c r="A34" s="9">
        <f t="shared" si="20"/>
        <v>44743</v>
      </c>
      <c r="B34" s="7">
        <v>18426.21</v>
      </c>
      <c r="C34" s="8">
        <v>97503.4</v>
      </c>
      <c r="D34" s="8">
        <v>66000.1</v>
      </c>
      <c r="E34" s="8">
        <v>65231.1</v>
      </c>
      <c r="F34" s="8">
        <v>8798.31</v>
      </c>
      <c r="G34" s="8">
        <v>121759.5</v>
      </c>
      <c r="H34" s="8">
        <v>5709.7</v>
      </c>
      <c r="I34" s="8">
        <v>2566.3</v>
      </c>
      <c r="J34" s="8">
        <v>967</v>
      </c>
      <c r="K34" s="8">
        <v>56</v>
      </c>
      <c r="L34" s="8">
        <v>99608.1</v>
      </c>
      <c r="M34" s="8">
        <v>61529.8</v>
      </c>
      <c r="N34" s="8">
        <v>82032</v>
      </c>
      <c r="O34" s="8">
        <v>110199.8</v>
      </c>
      <c r="P34" s="8">
        <v>6330.7</v>
      </c>
      <c r="Q34" s="8">
        <v>8367.6</v>
      </c>
      <c r="R34" s="8">
        <v>4887.9</v>
      </c>
      <c r="S34" s="8">
        <v>6096.1</v>
      </c>
      <c r="T34" s="8">
        <v>8091.4</v>
      </c>
      <c r="U34" s="8">
        <v>18884.4</v>
      </c>
      <c r="V34" s="8">
        <v>54308.5</v>
      </c>
      <c r="W34" s="8">
        <v>57969.8</v>
      </c>
      <c r="X34" s="8">
        <v>5799.6</v>
      </c>
      <c r="Y34" s="8">
        <v>5733.3</v>
      </c>
      <c r="Z34" s="15">
        <f t="shared" si="21"/>
        <v>69502.7</v>
      </c>
      <c r="AA34" s="8">
        <v>3746.8</v>
      </c>
      <c r="AB34" s="13">
        <v>8586</v>
      </c>
      <c r="AC34" s="7">
        <f t="shared" si="22"/>
        <v>12332.8</v>
      </c>
      <c r="AD34" s="16"/>
      <c r="AE34" s="17" t="str">
        <f t="shared" ref="AE34:AI34" si="169">IF(OR(C35=""),"",(C35-C34)*80)</f>
        <v/>
      </c>
      <c r="AF34" s="17" t="str">
        <f t="shared" si="169"/>
        <v/>
      </c>
      <c r="AG34" s="17" t="str">
        <f t="shared" si="169"/>
        <v/>
      </c>
      <c r="AH34" s="17" t="str">
        <f t="shared" si="169"/>
        <v/>
      </c>
      <c r="AI34" s="17" t="str">
        <f t="shared" si="169"/>
        <v/>
      </c>
      <c r="AJ34" s="17" t="str">
        <f t="shared" si="3"/>
        <v/>
      </c>
      <c r="AK34" s="17" t="str">
        <f t="shared" ref="AK34:AN34" si="170">IF(OR(H35=""),"",(H35-H34)*80)</f>
        <v/>
      </c>
      <c r="AL34" s="17" t="str">
        <f t="shared" si="170"/>
        <v/>
      </c>
      <c r="AM34" s="17" t="str">
        <f t="shared" si="170"/>
        <v/>
      </c>
      <c r="AN34" s="17" t="str">
        <f t="shared" si="170"/>
        <v/>
      </c>
      <c r="AO34" s="17" t="str">
        <f t="shared" si="5"/>
        <v/>
      </c>
      <c r="AP34" s="17" t="str">
        <f t="shared" ref="AP34:AS34" si="171">IF(OR(L35=""),"",(L35-L34)*100)</f>
        <v/>
      </c>
      <c r="AQ34" s="17" t="str">
        <f t="shared" si="171"/>
        <v/>
      </c>
      <c r="AR34" s="17" t="str">
        <f t="shared" si="171"/>
        <v/>
      </c>
      <c r="AS34" s="17" t="str">
        <f t="shared" si="171"/>
        <v/>
      </c>
      <c r="AT34" s="17" t="str">
        <f t="shared" si="7"/>
        <v/>
      </c>
      <c r="AU34" s="17" t="str">
        <f t="shared" ref="AU34:AY34" si="172">IF(OR(P35=""),"",(P35-P34)*1000)</f>
        <v/>
      </c>
      <c r="AV34" s="17" t="str">
        <f t="shared" si="172"/>
        <v/>
      </c>
      <c r="AW34" s="17" t="str">
        <f t="shared" si="172"/>
        <v/>
      </c>
      <c r="AX34" s="17" t="str">
        <f t="shared" si="172"/>
        <v/>
      </c>
      <c r="AY34" s="17" t="str">
        <f t="shared" si="172"/>
        <v/>
      </c>
      <c r="AZ34" s="17" t="str">
        <f t="shared" si="9"/>
        <v/>
      </c>
      <c r="BA34" s="17" t="str">
        <f t="shared" si="10"/>
        <v/>
      </c>
      <c r="BB34" s="17" t="str">
        <f t="shared" si="11"/>
        <v/>
      </c>
      <c r="BC34" s="17" t="str">
        <f t="shared" si="27"/>
        <v/>
      </c>
      <c r="BD34" s="17" t="str">
        <f t="shared" si="12"/>
        <v/>
      </c>
      <c r="BE34" s="17" t="str">
        <f t="shared" si="13"/>
        <v/>
      </c>
      <c r="BF34" s="17" t="str">
        <f t="shared" si="14"/>
        <v/>
      </c>
      <c r="BG34" s="20" t="str">
        <f t="shared" si="15"/>
        <v/>
      </c>
      <c r="BH34" s="20" t="str">
        <f t="shared" si="16"/>
        <v/>
      </c>
      <c r="BI34" s="20" t="str">
        <f t="shared" si="17"/>
        <v/>
      </c>
      <c r="BJ34" s="20" t="str">
        <f t="shared" si="18"/>
        <v/>
      </c>
      <c r="BK34" s="20" t="str">
        <f t="shared" ref="BK34:BO34" si="173">IF(OR($AD34=0),"",AZ34/$AD34)</f>
        <v/>
      </c>
      <c r="BL34" s="20" t="str">
        <f t="shared" si="173"/>
        <v/>
      </c>
      <c r="BM34" s="20" t="str">
        <f t="shared" si="173"/>
        <v/>
      </c>
      <c r="BN34" s="20" t="str">
        <f t="shared" si="173"/>
        <v/>
      </c>
      <c r="BO34" s="20" t="str">
        <f t="shared" si="173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5" t="str">
        <f t="shared" si="21"/>
        <v/>
      </c>
      <c r="AA35" s="11"/>
      <c r="BE35" s="21" t="s">
        <v>44</v>
      </c>
      <c r="BF35" s="21" t="s">
        <v>19</v>
      </c>
      <c r="BG35" s="22">
        <f>SUM(BE4:BE34)</f>
        <v>1657199.99999998</v>
      </c>
      <c r="BH35" s="22">
        <f>SUM(AJ4:AJ34)</f>
        <v>228432.000000001</v>
      </c>
      <c r="BI35" s="22">
        <f>SUM(AO4:AO34)</f>
        <v>0</v>
      </c>
      <c r="BJ35" s="22">
        <f>SUM(AT4:AT34)</f>
        <v>232360.000000001</v>
      </c>
      <c r="BK35" s="22">
        <f t="shared" ref="BK35:BO35" si="174">SUM(AZ4:AZ34)</f>
        <v>395099.999999999</v>
      </c>
      <c r="BL35" s="22">
        <f t="shared" si="174"/>
        <v>280600.000000006</v>
      </c>
      <c r="BM35" s="22">
        <f t="shared" si="174"/>
        <v>24112.0000000001</v>
      </c>
      <c r="BN35" s="22">
        <f t="shared" si="174"/>
        <v>48052.0000000001</v>
      </c>
      <c r="BO35" s="22">
        <f t="shared" si="174"/>
        <v>448543.999999968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5915833</v>
      </c>
      <c r="BF36" s="21" t="s">
        <v>21</v>
      </c>
      <c r="BG36" s="23">
        <f>IF(OR(BG35=0),"",ROUND(BG35/$BE$36,3))</f>
        <v>0.28</v>
      </c>
      <c r="BH36" s="23">
        <f t="shared" ref="BH36:BO36" si="175">IF(OR(BH35=0),"",ROUND(BH35/$BE$36,4))</f>
        <v>0.0386</v>
      </c>
      <c r="BI36" s="23" t="str">
        <f t="shared" si="175"/>
        <v/>
      </c>
      <c r="BJ36" s="23">
        <f t="shared" si="175"/>
        <v>0.0393</v>
      </c>
      <c r="BK36" s="23">
        <f t="shared" si="175"/>
        <v>0.0668</v>
      </c>
      <c r="BL36" s="23">
        <f t="shared" si="175"/>
        <v>0.0474</v>
      </c>
      <c r="BM36" s="23">
        <f t="shared" si="175"/>
        <v>0.0041</v>
      </c>
      <c r="BN36" s="23">
        <f t="shared" si="175"/>
        <v>0.0081</v>
      </c>
      <c r="BO36" s="23">
        <f t="shared" si="175"/>
        <v>0.0758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workbookViewId="0">
      <pane xSplit="1" ySplit="3" topLeftCell="AP4" activePane="bottomRight" state="frozen"/>
      <selection/>
      <selection pane="topRight"/>
      <selection pane="bottomLeft"/>
      <selection pane="bottomRight" activeCell="BF8" sqref="BF8"/>
    </sheetView>
  </sheetViews>
  <sheetFormatPr defaultColWidth="8.775" defaultRowHeight="14.25"/>
  <cols>
    <col min="1" max="1" width="7.88333333333333" style="1" customWidth="1"/>
    <col min="2" max="2" width="9.44166666666667" style="2" customWidth="1"/>
    <col min="3" max="5" width="8.44166666666667" style="3" customWidth="1"/>
    <col min="6" max="6" width="7.44166666666667" style="3" customWidth="1"/>
    <col min="7" max="7" width="9.44166666666667" style="3" customWidth="1"/>
    <col min="8" max="9" width="7.44166666666667" style="3" customWidth="1"/>
    <col min="10" max="10" width="6.44166666666667" style="3" customWidth="1"/>
    <col min="11" max="11" width="5.44166666666667" style="3" customWidth="1"/>
    <col min="12" max="12" width="9.44166666666667" style="3" customWidth="1"/>
    <col min="13" max="14" width="8.44166666666667" style="3" customWidth="1"/>
    <col min="15" max="15" width="9.44166666666667" style="3" customWidth="1"/>
    <col min="16" max="20" width="7.44166666666667" style="3" customWidth="1"/>
    <col min="21" max="23" width="8.44166666666667" style="3" customWidth="1"/>
    <col min="24" max="25" width="7.44166666666667" style="3" customWidth="1"/>
    <col min="26" max="26" width="9.44166666666667" style="3" customWidth="1"/>
    <col min="27" max="28" width="7.44166666666667" style="3" customWidth="1"/>
    <col min="29" max="29" width="9.44166666666667" style="3" customWidth="1"/>
    <col min="30" max="30" width="8" style="3" customWidth="1"/>
    <col min="31" max="35" width="6" style="1" customWidth="1"/>
    <col min="36" max="36" width="9.10833333333333" style="1" customWidth="1"/>
    <col min="37" max="37" width="6.44166666666667" style="1" customWidth="1"/>
    <col min="38" max="38" width="6" style="1" customWidth="1"/>
    <col min="39" max="40" width="5.33333333333333" style="1" customWidth="1"/>
    <col min="41" max="41" width="8.21666666666667" style="1" customWidth="1"/>
    <col min="42" max="42" width="6" style="1" customWidth="1"/>
    <col min="43" max="43" width="5.33333333333333" style="1" customWidth="1"/>
    <col min="44" max="45" width="6" style="1" customWidth="1"/>
    <col min="46" max="46" width="8.21666666666667" style="1" customWidth="1"/>
    <col min="47" max="51" width="7" style="1" customWidth="1"/>
    <col min="52" max="55" width="8.21666666666667" style="1" customWidth="1"/>
    <col min="56" max="56" width="9.88333333333333" style="1" customWidth="1"/>
    <col min="57" max="57" width="8.44166666666667" style="1" customWidth="1"/>
    <col min="58" max="58" width="8.21666666666667" style="1" customWidth="1"/>
    <col min="59" max="59" width="9.10833333333333" style="1" customWidth="1"/>
    <col min="60" max="60" width="8.10833333333333" style="1" customWidth="1"/>
    <col min="61" max="61" width="7.44166666666667" style="1" customWidth="1"/>
    <col min="62" max="64" width="8.10833333333333" style="1" customWidth="1"/>
    <col min="65" max="66" width="7.44166666666667" style="1" customWidth="1"/>
    <col min="67" max="67" width="8.10833333333333" style="1" customWidth="1"/>
    <col min="68" max="16384" width="8.775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25">
        <v>43647</v>
      </c>
      <c r="B4" s="7">
        <v>18426.21</v>
      </c>
      <c r="C4" s="8">
        <v>97503.4</v>
      </c>
      <c r="D4" s="8">
        <v>66000.1</v>
      </c>
      <c r="E4" s="8">
        <v>65231.1</v>
      </c>
      <c r="F4" s="8">
        <v>8798.31</v>
      </c>
      <c r="G4" s="8">
        <v>121759.5</v>
      </c>
      <c r="H4" s="8">
        <v>5709.7</v>
      </c>
      <c r="I4" s="8">
        <v>2566.3</v>
      </c>
      <c r="J4" s="8">
        <v>967</v>
      </c>
      <c r="K4" s="8">
        <v>56</v>
      </c>
      <c r="L4" s="8">
        <v>99608.1</v>
      </c>
      <c r="M4" s="8">
        <v>61529.8</v>
      </c>
      <c r="N4" s="8">
        <v>82032</v>
      </c>
      <c r="O4" s="8">
        <v>110199.8</v>
      </c>
      <c r="P4" s="8">
        <v>6330.7</v>
      </c>
      <c r="Q4" s="8">
        <v>8367.6</v>
      </c>
      <c r="R4" s="8">
        <v>4887.9</v>
      </c>
      <c r="S4" s="8">
        <v>6096.1</v>
      </c>
      <c r="T4" s="8">
        <v>8091.4</v>
      </c>
      <c r="U4" s="8">
        <v>18884.4</v>
      </c>
      <c r="V4" s="8">
        <v>54308.5</v>
      </c>
      <c r="W4" s="8">
        <v>57969.8</v>
      </c>
      <c r="X4" s="8">
        <v>5799.6</v>
      </c>
      <c r="Y4" s="8">
        <v>5733.3</v>
      </c>
      <c r="Z4" s="15">
        <f t="shared" ref="Z4" si="0">IF(OR(W4=""),"",(W4+X4+Y4))</f>
        <v>69502.7</v>
      </c>
      <c r="AA4" s="8">
        <v>3746.8</v>
      </c>
      <c r="AB4" s="13">
        <v>8586</v>
      </c>
      <c r="AC4" s="7">
        <f t="shared" ref="AC4" si="1">IF(OR(AA4=""),"",(AA4+AB4))</f>
        <v>12332.8</v>
      </c>
      <c r="AD4" s="16">
        <v>188213</v>
      </c>
      <c r="AE4" s="17">
        <f t="shared" ref="AE4:AI4" si="2">IF(OR(C5=""),"",(C5-C4)*80)</f>
        <v>0</v>
      </c>
      <c r="AF4" s="17">
        <f t="shared" si="2"/>
        <v>1871.99999999953</v>
      </c>
      <c r="AG4" s="17">
        <f t="shared" si="2"/>
        <v>3104.00000000023</v>
      </c>
      <c r="AH4" s="17">
        <f t="shared" si="2"/>
        <v>890.400000000081</v>
      </c>
      <c r="AI4" s="17">
        <f t="shared" si="2"/>
        <v>2495.99999999977</v>
      </c>
      <c r="AJ4" s="17">
        <f t="shared" ref="AJ4" si="3">IF(OR(AE4="",AF4="",AG4=""),"",AE4+AF4+AG4+AH4+AI4)</f>
        <v>8362.39999999962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" si="5">IF(OR(AK4="",AL4=""),"",AK4+AL4+AM4+AN4)</f>
        <v>0</v>
      </c>
      <c r="AP4" s="17">
        <f t="shared" ref="AP4:AS4" si="6">IF(OR(L5=""),"",(L5-L4)*100)</f>
        <v>2219.99999999971</v>
      </c>
      <c r="AQ4" s="17">
        <f t="shared" si="6"/>
        <v>0</v>
      </c>
      <c r="AR4" s="17">
        <f t="shared" si="6"/>
        <v>2930.00000000029</v>
      </c>
      <c r="AS4" s="17">
        <f t="shared" si="6"/>
        <v>1969.99999999971</v>
      </c>
      <c r="AT4" s="17">
        <f t="shared" ref="AT4" si="7">IF(OR(AP4="",AQ4=""),"",AP4+AQ4+AR4+AS4)</f>
        <v>7119.99999999971</v>
      </c>
      <c r="AU4" s="17">
        <f t="shared" ref="AU4:AY4" si="8">IF(OR(P5=""),"",(P5-P4)*1000)</f>
        <v>699.999999999818</v>
      </c>
      <c r="AV4" s="17">
        <f t="shared" si="8"/>
        <v>799.999999999272</v>
      </c>
      <c r="AW4" s="17">
        <f t="shared" si="8"/>
        <v>4100.00000000036</v>
      </c>
      <c r="AX4" s="17">
        <f t="shared" si="8"/>
        <v>4799.99999999927</v>
      </c>
      <c r="AY4" s="17">
        <f t="shared" si="8"/>
        <v>0</v>
      </c>
      <c r="AZ4" s="17">
        <f t="shared" ref="AZ4" si="9">IF(OR(AU4="",AV4="",AW4=""),"",AU4+AV4+AW4+AX4+AY4)</f>
        <v>10399.9999999987</v>
      </c>
      <c r="BA4" s="17">
        <f t="shared" ref="BA4" si="10">IF(OR(U5=""),"",(U5-U4)*2000)</f>
        <v>9199.99999999709</v>
      </c>
      <c r="BB4" s="17">
        <f t="shared" ref="BB4" si="11">IF(OR(V5=""),"",(V5-V4)*80)</f>
        <v>575.999999999767</v>
      </c>
      <c r="BC4" s="17">
        <f t="shared" ref="BC4" si="12">IF(OR(Z5=""),"",(Z5-Z4)*40)</f>
        <v>1528.00000000047</v>
      </c>
      <c r="BD4" s="17">
        <f t="shared" ref="BD4" si="13">IF(OR(BE4="",BC4=""),"",BE4-BC4-BB4-BA4-AZ4-AT4-AO4-AJ4)</f>
        <v>17513.6000000163</v>
      </c>
      <c r="BE4" s="17">
        <f t="shared" ref="BE4" si="14">IF(OR(B5=""),"",(B5-B4)*10000)</f>
        <v>54700.0000000116</v>
      </c>
      <c r="BF4" s="17">
        <f t="shared" ref="BF4" si="15">IF(OR(AC5=""),"",AC5-AC4)</f>
        <v>49.1000000000004</v>
      </c>
      <c r="BG4" s="20">
        <f t="shared" ref="BG4" si="16">IF(OR($AD4=0),"",BE4/$AD4)</f>
        <v>0.290628171274097</v>
      </c>
      <c r="BH4" s="20">
        <f t="shared" ref="BH4" si="17">IF(OR($AD4=0),"",AJ4/$AD4)</f>
        <v>0.0444305122387912</v>
      </c>
      <c r="BI4" s="20">
        <f t="shared" ref="BI4" si="18">IF(OR($AD4=0),"",AO4/$AD4)</f>
        <v>0</v>
      </c>
      <c r="BJ4" s="20">
        <f t="shared" ref="BJ4" si="19">IF(OR($AD4=0),"",AT4/$AD4)</f>
        <v>0.0378294804290868</v>
      </c>
      <c r="BK4" s="20">
        <f t="shared" ref="BK4:BO4" si="20">IF(OR($AD4=0),"",AZ4/$AD4)</f>
        <v>0.0552565444469762</v>
      </c>
      <c r="BL4" s="20">
        <f t="shared" si="20"/>
        <v>0.0488807893184694</v>
      </c>
      <c r="BM4" s="20">
        <f t="shared" si="20"/>
        <v>0.00306036246167782</v>
      </c>
      <c r="BN4" s="20">
        <f t="shared" si="20"/>
        <v>0.00811846153028997</v>
      </c>
      <c r="BO4" s="20">
        <f t="shared" si="20"/>
        <v>0.0930520208488057</v>
      </c>
    </row>
    <row r="5" spans="1:67">
      <c r="A5" s="25">
        <v>43648</v>
      </c>
      <c r="B5" s="10">
        <v>18431.68</v>
      </c>
      <c r="C5" s="8">
        <v>97503.4</v>
      </c>
      <c r="D5" s="8">
        <v>66023.5</v>
      </c>
      <c r="E5" s="8">
        <v>65269.9</v>
      </c>
      <c r="F5" s="8">
        <v>8809.44</v>
      </c>
      <c r="G5" s="8">
        <v>121790.7</v>
      </c>
      <c r="H5" s="8">
        <v>5709.7</v>
      </c>
      <c r="I5" s="8">
        <v>2566.3</v>
      </c>
      <c r="J5" s="8">
        <v>967</v>
      </c>
      <c r="K5" s="8">
        <v>56</v>
      </c>
      <c r="L5" s="8">
        <v>99630.3</v>
      </c>
      <c r="M5" s="8">
        <v>61529.8</v>
      </c>
      <c r="N5" s="8">
        <v>82061.3</v>
      </c>
      <c r="O5" s="8">
        <v>110219.5</v>
      </c>
      <c r="P5" s="8">
        <v>6331.4</v>
      </c>
      <c r="Q5" s="8">
        <v>8368.4</v>
      </c>
      <c r="R5" s="8">
        <v>4892</v>
      </c>
      <c r="S5" s="8">
        <v>6100.9</v>
      </c>
      <c r="T5" s="8">
        <v>8091.4</v>
      </c>
      <c r="U5" s="8">
        <v>18889</v>
      </c>
      <c r="V5" s="8">
        <v>54315.7</v>
      </c>
      <c r="W5" s="8">
        <v>57986.3</v>
      </c>
      <c r="X5" s="8">
        <v>5809.4</v>
      </c>
      <c r="Y5" s="8">
        <v>5745.2</v>
      </c>
      <c r="Z5" s="15">
        <f t="shared" ref="Z5:Z35" si="21">IF(OR(W5=""),"",(W5+X5+Y5))</f>
        <v>69540.9</v>
      </c>
      <c r="AA5" s="8">
        <v>3787.9</v>
      </c>
      <c r="AB5" s="13">
        <v>8594</v>
      </c>
      <c r="AC5" s="7">
        <f t="shared" ref="AC5:AC35" si="22">IF(OR(AA5=""),"",(AA5+AB5))</f>
        <v>12381.9</v>
      </c>
      <c r="AD5" s="16">
        <v>200988</v>
      </c>
      <c r="AE5" s="17">
        <f t="shared" ref="AE5:AI5" si="23">IF(OR(C6=""),"",(C6-C5)*80)</f>
        <v>0</v>
      </c>
      <c r="AF5" s="17">
        <f t="shared" si="23"/>
        <v>415.999999999767</v>
      </c>
      <c r="AG5" s="17">
        <f t="shared" si="23"/>
        <v>3167.99999999988</v>
      </c>
      <c r="AH5" s="17">
        <f t="shared" si="23"/>
        <v>408.000000000029</v>
      </c>
      <c r="AI5" s="17">
        <f t="shared" si="23"/>
        <v>2488.00000000047</v>
      </c>
      <c r="AJ5" s="17">
        <f t="shared" ref="AJ5:AJ34" si="24">IF(OR(AE5="",AF5="",AG5=""),"",AE5+AF5+AG5+AH5+AI5)</f>
        <v>6480.00000000015</v>
      </c>
      <c r="AK5" s="17">
        <f t="shared" ref="AK5:AN5" si="25">IF(OR(H6=""),"",(H6-H5)*80)</f>
        <v>0</v>
      </c>
      <c r="AL5" s="17">
        <f t="shared" si="25"/>
        <v>0</v>
      </c>
      <c r="AM5" s="17">
        <f t="shared" si="25"/>
        <v>0</v>
      </c>
      <c r="AN5" s="17">
        <f t="shared" si="25"/>
        <v>0</v>
      </c>
      <c r="AO5" s="17">
        <f t="shared" ref="AO5:AO32" si="26">IF(OR(AK5="",AL5=""),"",AK5+AL5+AM5+AN5)</f>
        <v>0</v>
      </c>
      <c r="AP5" s="17">
        <f t="shared" ref="AP5:AS5" si="27">IF(OR(L6=""),"",(L6-L5)*100)</f>
        <v>2730.00000000029</v>
      </c>
      <c r="AQ5" s="17">
        <f t="shared" si="27"/>
        <v>0</v>
      </c>
      <c r="AR5" s="17">
        <f t="shared" si="27"/>
        <v>2889.99999999942</v>
      </c>
      <c r="AS5" s="17">
        <f t="shared" si="27"/>
        <v>1969.99999999971</v>
      </c>
      <c r="AT5" s="17">
        <f t="shared" ref="AT5:AT34" si="28">IF(OR(AP5="",AQ5=""),"",AP5+AQ5+AR5+AS5)</f>
        <v>7589.99999999942</v>
      </c>
      <c r="AU5" s="17">
        <f t="shared" ref="AU5:AY5" si="29">IF(OR(P6=""),"",(P6-P5)*1000)</f>
        <v>0</v>
      </c>
      <c r="AV5" s="17">
        <f t="shared" si="29"/>
        <v>0</v>
      </c>
      <c r="AW5" s="17">
        <f t="shared" si="29"/>
        <v>4699.99999999982</v>
      </c>
      <c r="AX5" s="17">
        <f t="shared" si="29"/>
        <v>5000</v>
      </c>
      <c r="AY5" s="17">
        <f t="shared" si="29"/>
        <v>0</v>
      </c>
      <c r="AZ5" s="17">
        <f t="shared" ref="AZ5:AZ34" si="30">IF(OR(AU5="",AV5="",AW5=""),"",AU5+AV5+AW5+AX5+AY5)</f>
        <v>9699.99999999982</v>
      </c>
      <c r="BA5" s="17">
        <f t="shared" ref="BA5:BA34" si="31">IF(OR(U6=""),"",(U6-U5)*2000)</f>
        <v>9599.99999999854</v>
      </c>
      <c r="BB5" s="17">
        <f t="shared" ref="BB5:BB34" si="32">IF(OR(V6=""),"",(V6-V5)*80)</f>
        <v>592.000000000116</v>
      </c>
      <c r="BC5" s="17">
        <f t="shared" ref="BC5:BC34" si="33">IF(OR(Z6=""),"",(Z6-Z5)*40)</f>
        <v>1487.99999999988</v>
      </c>
      <c r="BD5" s="17">
        <f t="shared" ref="BD5:BD34" si="34">IF(OR(BE5="",BC5=""),"",BE5-BC5-BB5-BA5-AZ5-AT5-AO5-AJ5)</f>
        <v>19449.9999999817</v>
      </c>
      <c r="BE5" s="17">
        <f t="shared" ref="BE5:BE34" si="35">IF(OR(B6=""),"",(B6-B5)*10000)</f>
        <v>54899.9999999796</v>
      </c>
      <c r="BF5" s="17">
        <f t="shared" ref="BF5:BF34" si="36">IF(OR(AC6=""),"",AC6-AC5)</f>
        <v>49.8999999999996</v>
      </c>
      <c r="BG5" s="20">
        <f t="shared" ref="BG5:BG34" si="37">IF(OR($AD5=0),"",BE5/$AD5)</f>
        <v>0.273150635858756</v>
      </c>
      <c r="BH5" s="20">
        <f t="shared" ref="BH5:BH34" si="38">IF(OR($AD5=0),"",AJ5/$AD5)</f>
        <v>0.0322407307898986</v>
      </c>
      <c r="BI5" s="20">
        <f t="shared" ref="BI5:BI34" si="39">IF(OR($AD5=0),"",AO5/$AD5)</f>
        <v>0</v>
      </c>
      <c r="BJ5" s="20">
        <f t="shared" ref="BJ5:BJ34" si="40">IF(OR($AD5=0),"",AT5/$AD5)</f>
        <v>0.0377634485640905</v>
      </c>
      <c r="BK5" s="20">
        <f t="shared" ref="BK5:BO5" si="41">IF(OR($AD5=0),"",AZ5/$AD5)</f>
        <v>0.0482615877564821</v>
      </c>
      <c r="BL5" s="20">
        <f t="shared" si="41"/>
        <v>0.0477640456146563</v>
      </c>
      <c r="BM5" s="20">
        <f t="shared" si="41"/>
        <v>0.0029454494795715</v>
      </c>
      <c r="BN5" s="20">
        <f t="shared" si="41"/>
        <v>0.00740342707027227</v>
      </c>
      <c r="BO5" s="20">
        <f t="shared" si="41"/>
        <v>0.0967719465837846</v>
      </c>
    </row>
    <row r="6" spans="1:67">
      <c r="A6" s="25">
        <v>43649</v>
      </c>
      <c r="B6" s="10">
        <v>18437.17</v>
      </c>
      <c r="C6" s="8">
        <v>97503.4</v>
      </c>
      <c r="D6" s="8">
        <v>66028.7</v>
      </c>
      <c r="E6" s="8">
        <v>65309.5</v>
      </c>
      <c r="F6" s="8">
        <v>8814.54</v>
      </c>
      <c r="G6" s="8">
        <v>121821.8</v>
      </c>
      <c r="H6" s="8">
        <v>5709.7</v>
      </c>
      <c r="I6" s="8">
        <v>2566.3</v>
      </c>
      <c r="J6" s="8">
        <v>967</v>
      </c>
      <c r="K6" s="8">
        <v>56</v>
      </c>
      <c r="L6" s="8">
        <v>99657.6</v>
      </c>
      <c r="M6" s="8">
        <v>61529.8</v>
      </c>
      <c r="N6" s="8">
        <v>82090.2</v>
      </c>
      <c r="O6" s="8">
        <v>110239.2</v>
      </c>
      <c r="P6" s="8">
        <v>6331.4</v>
      </c>
      <c r="Q6" s="8">
        <v>8368.4</v>
      </c>
      <c r="R6" s="8">
        <v>4896.7</v>
      </c>
      <c r="S6" s="8">
        <v>6105.9</v>
      </c>
      <c r="T6" s="8">
        <v>8091.4</v>
      </c>
      <c r="U6" s="8">
        <v>18893.8</v>
      </c>
      <c r="V6" s="8">
        <v>54323.1</v>
      </c>
      <c r="W6" s="8">
        <v>58002.5</v>
      </c>
      <c r="X6" s="8">
        <v>5818.9</v>
      </c>
      <c r="Y6" s="8">
        <v>5756.7</v>
      </c>
      <c r="Z6" s="15">
        <f t="shared" si="21"/>
        <v>69578.1</v>
      </c>
      <c r="AA6" s="8">
        <v>3830.8</v>
      </c>
      <c r="AB6" s="13">
        <v>8601</v>
      </c>
      <c r="AC6" s="7">
        <f t="shared" si="22"/>
        <v>12431.8</v>
      </c>
      <c r="AD6" s="16">
        <v>202701</v>
      </c>
      <c r="AE6" s="17">
        <f t="shared" ref="AE6:AI6" si="42">IF(OR(C7=""),"",(C7-C6)*80)</f>
        <v>0</v>
      </c>
      <c r="AF6" s="17">
        <f t="shared" si="42"/>
        <v>184.000000000233</v>
      </c>
      <c r="AG6" s="17">
        <f t="shared" si="42"/>
        <v>2767.99999999988</v>
      </c>
      <c r="AH6" s="17">
        <f t="shared" si="42"/>
        <v>3803.19999999992</v>
      </c>
      <c r="AI6" s="17">
        <f t="shared" si="42"/>
        <v>2471.99999999953</v>
      </c>
      <c r="AJ6" s="17">
        <f t="shared" si="24"/>
        <v>9227.19999999958</v>
      </c>
      <c r="AK6" s="17">
        <f t="shared" ref="AK6:AN6" si="43">IF(OR(H7=""),"",(H7-H6)*80)</f>
        <v>0</v>
      </c>
      <c r="AL6" s="17">
        <f t="shared" si="43"/>
        <v>0</v>
      </c>
      <c r="AM6" s="17">
        <f t="shared" si="43"/>
        <v>0</v>
      </c>
      <c r="AN6" s="17">
        <f t="shared" si="43"/>
        <v>0</v>
      </c>
      <c r="AO6" s="17">
        <f t="shared" si="26"/>
        <v>0</v>
      </c>
      <c r="AP6" s="17">
        <f t="shared" ref="AP6:AS6" si="44">IF(OR(L7=""),"",(L7-L6)*100)</f>
        <v>2809.99999999913</v>
      </c>
      <c r="AQ6" s="17">
        <f t="shared" si="44"/>
        <v>0</v>
      </c>
      <c r="AR6" s="17">
        <f t="shared" si="44"/>
        <v>2930.00000000029</v>
      </c>
      <c r="AS6" s="17">
        <f t="shared" si="44"/>
        <v>2050</v>
      </c>
      <c r="AT6" s="17">
        <f t="shared" si="28"/>
        <v>7789.99999999942</v>
      </c>
      <c r="AU6" s="17">
        <f t="shared" ref="AU6:AY6" si="45">IF(OR(P7=""),"",(P7-P6)*1000)</f>
        <v>0</v>
      </c>
      <c r="AV6" s="17">
        <f t="shared" si="45"/>
        <v>0</v>
      </c>
      <c r="AW6" s="17">
        <f t="shared" si="45"/>
        <v>4800.00000000018</v>
      </c>
      <c r="AX6" s="17">
        <f t="shared" si="45"/>
        <v>5300.00000000018</v>
      </c>
      <c r="AY6" s="17">
        <f t="shared" si="45"/>
        <v>0</v>
      </c>
      <c r="AZ6" s="17">
        <f t="shared" si="30"/>
        <v>10100.0000000004</v>
      </c>
      <c r="BA6" s="17">
        <f t="shared" si="31"/>
        <v>10000</v>
      </c>
      <c r="BB6" s="17">
        <f t="shared" si="32"/>
        <v>600</v>
      </c>
      <c r="BC6" s="17">
        <f t="shared" si="33"/>
        <v>1507.9999999993</v>
      </c>
      <c r="BD6" s="17">
        <f t="shared" si="34"/>
        <v>16374.8000000144</v>
      </c>
      <c r="BE6" s="17">
        <f t="shared" si="35"/>
        <v>55600.0000000131</v>
      </c>
      <c r="BF6" s="17">
        <f t="shared" si="36"/>
        <v>51.1000000000004</v>
      </c>
      <c r="BG6" s="20">
        <f t="shared" si="37"/>
        <v>0.274295637416752</v>
      </c>
      <c r="BH6" s="20">
        <f t="shared" si="38"/>
        <v>0.0455212357117112</v>
      </c>
      <c r="BI6" s="20">
        <f t="shared" si="39"/>
        <v>0</v>
      </c>
      <c r="BJ6" s="20">
        <f t="shared" si="40"/>
        <v>0.0384309894869755</v>
      </c>
      <c r="BK6" s="20">
        <f t="shared" ref="BK6:BO6" si="46">IF(OR($AD6=0),"",AZ6/$AD6)</f>
        <v>0.0498270852141843</v>
      </c>
      <c r="BL6" s="20">
        <f t="shared" si="46"/>
        <v>0.0493337477368143</v>
      </c>
      <c r="BM6" s="20">
        <f t="shared" si="46"/>
        <v>0.00296002486420886</v>
      </c>
      <c r="BN6" s="20">
        <f t="shared" si="46"/>
        <v>0.00743952915870815</v>
      </c>
      <c r="BO6" s="20">
        <f t="shared" si="46"/>
        <v>0.0807830252441499</v>
      </c>
    </row>
    <row r="7" spans="1:67">
      <c r="A7" s="25">
        <v>43650</v>
      </c>
      <c r="B7" s="10">
        <v>18442.73</v>
      </c>
      <c r="C7" s="8">
        <v>97503.4</v>
      </c>
      <c r="D7" s="8">
        <v>66031</v>
      </c>
      <c r="E7" s="8">
        <v>65344.1</v>
      </c>
      <c r="F7" s="8">
        <v>8862.08</v>
      </c>
      <c r="G7" s="8">
        <v>121852.7</v>
      </c>
      <c r="H7" s="8">
        <v>5709.7</v>
      </c>
      <c r="I7" s="8">
        <v>2566.3</v>
      </c>
      <c r="J7" s="8">
        <v>967</v>
      </c>
      <c r="K7" s="8">
        <v>56</v>
      </c>
      <c r="L7" s="8">
        <v>99685.7</v>
      </c>
      <c r="M7" s="8">
        <v>61529.8</v>
      </c>
      <c r="N7" s="8">
        <v>82119.5</v>
      </c>
      <c r="O7" s="8">
        <v>110259.7</v>
      </c>
      <c r="P7" s="8">
        <v>6331.4</v>
      </c>
      <c r="Q7" s="8">
        <v>8368.4</v>
      </c>
      <c r="R7" s="8">
        <v>4901.5</v>
      </c>
      <c r="S7" s="8">
        <v>6111.2</v>
      </c>
      <c r="T7" s="8">
        <v>8091.4</v>
      </c>
      <c r="U7" s="8">
        <v>18898.8</v>
      </c>
      <c r="V7" s="8">
        <v>54330.6</v>
      </c>
      <c r="W7" s="8">
        <v>58018.7</v>
      </c>
      <c r="X7" s="8">
        <v>5828.6</v>
      </c>
      <c r="Y7" s="8">
        <v>5768.5</v>
      </c>
      <c r="Z7" s="15">
        <f t="shared" si="21"/>
        <v>69615.8</v>
      </c>
      <c r="AA7" s="8">
        <v>3873.9</v>
      </c>
      <c r="AB7" s="13">
        <v>8609</v>
      </c>
      <c r="AC7" s="7">
        <f t="shared" si="22"/>
        <v>12482.9</v>
      </c>
      <c r="AD7" s="16">
        <v>176717</v>
      </c>
      <c r="AE7" s="17">
        <f t="shared" ref="AE7:AI7" si="47">IF(OR(C8=""),"",(C8-C7)*80)</f>
        <v>0</v>
      </c>
      <c r="AF7" s="17">
        <f t="shared" si="47"/>
        <v>2488.00000000047</v>
      </c>
      <c r="AG7" s="17">
        <f t="shared" si="47"/>
        <v>2880</v>
      </c>
      <c r="AH7" s="17">
        <f t="shared" si="47"/>
        <v>4.79999999995925</v>
      </c>
      <c r="AI7" s="17">
        <f t="shared" si="47"/>
        <v>2280</v>
      </c>
      <c r="AJ7" s="17">
        <f t="shared" si="24"/>
        <v>7652.80000000042</v>
      </c>
      <c r="AK7" s="17">
        <f t="shared" ref="AK7:AN7" si="48">IF(OR(H8=""),"",(H8-H7)*80)</f>
        <v>0</v>
      </c>
      <c r="AL7" s="17">
        <f t="shared" si="48"/>
        <v>0</v>
      </c>
      <c r="AM7" s="17">
        <f t="shared" si="48"/>
        <v>0</v>
      </c>
      <c r="AN7" s="17">
        <f t="shared" si="48"/>
        <v>0</v>
      </c>
      <c r="AO7" s="17">
        <f t="shared" si="26"/>
        <v>0</v>
      </c>
      <c r="AP7" s="17">
        <f t="shared" ref="AP7:AS7" si="49">IF(OR(L8=""),"",(L8-L7)*100)</f>
        <v>1950</v>
      </c>
      <c r="AQ7" s="17">
        <f t="shared" si="49"/>
        <v>0</v>
      </c>
      <c r="AR7" s="17">
        <f t="shared" si="49"/>
        <v>2710.00000000058</v>
      </c>
      <c r="AS7" s="17">
        <f t="shared" si="49"/>
        <v>1910.00000000058</v>
      </c>
      <c r="AT7" s="17">
        <f t="shared" si="28"/>
        <v>6570.00000000116</v>
      </c>
      <c r="AU7" s="17">
        <f t="shared" ref="AU7:AY7" si="50">IF(OR(P8=""),"",(P8-P7)*1000)</f>
        <v>500</v>
      </c>
      <c r="AV7" s="17">
        <f t="shared" si="50"/>
        <v>1899.99999999964</v>
      </c>
      <c r="AW7" s="17">
        <f t="shared" si="50"/>
        <v>3500</v>
      </c>
      <c r="AX7" s="17">
        <f t="shared" si="50"/>
        <v>3699.99999999982</v>
      </c>
      <c r="AY7" s="17">
        <f t="shared" si="50"/>
        <v>0</v>
      </c>
      <c r="AZ7" s="17">
        <f t="shared" si="30"/>
        <v>9599.99999999945</v>
      </c>
      <c r="BA7" s="17">
        <f t="shared" si="31"/>
        <v>8400.00000000146</v>
      </c>
      <c r="BB7" s="17">
        <f t="shared" si="32"/>
        <v>567.999999999884</v>
      </c>
      <c r="BC7" s="17">
        <f t="shared" si="33"/>
        <v>1500.00000000058</v>
      </c>
      <c r="BD7" s="17">
        <f t="shared" si="34"/>
        <v>17909.2000000087</v>
      </c>
      <c r="BE7" s="17">
        <f t="shared" si="35"/>
        <v>52200.0000000116</v>
      </c>
      <c r="BF7" s="17">
        <f t="shared" si="36"/>
        <v>51</v>
      </c>
      <c r="BG7" s="20">
        <f t="shared" si="37"/>
        <v>0.295387540530971</v>
      </c>
      <c r="BH7" s="20">
        <f t="shared" si="38"/>
        <v>0.0433053978960735</v>
      </c>
      <c r="BI7" s="20">
        <f t="shared" si="39"/>
        <v>0</v>
      </c>
      <c r="BJ7" s="20">
        <f t="shared" si="40"/>
        <v>0.0371780869978619</v>
      </c>
      <c r="BK7" s="20">
        <f t="shared" ref="BK7:BO7" si="51">IF(OR($AD7=0),"",AZ7/$AD7)</f>
        <v>0.054324145384991</v>
      </c>
      <c r="BL7" s="20">
        <f t="shared" si="51"/>
        <v>0.0475336272118781</v>
      </c>
      <c r="BM7" s="20">
        <f t="shared" si="51"/>
        <v>0.00321417860194482</v>
      </c>
      <c r="BN7" s="20">
        <f t="shared" si="51"/>
        <v>0.00848814771640862</v>
      </c>
      <c r="BO7" s="20">
        <f t="shared" si="51"/>
        <v>0.101343956721813</v>
      </c>
    </row>
    <row r="8" spans="1:67">
      <c r="A8" s="25">
        <v>43651</v>
      </c>
      <c r="B8" s="10">
        <v>18447.95</v>
      </c>
      <c r="C8" s="8">
        <v>97503.4</v>
      </c>
      <c r="D8" s="8">
        <v>66062.1</v>
      </c>
      <c r="E8" s="8">
        <v>65380.1</v>
      </c>
      <c r="F8" s="8">
        <v>8862.14</v>
      </c>
      <c r="G8" s="8">
        <v>121881.2</v>
      </c>
      <c r="H8" s="8">
        <v>5709.7</v>
      </c>
      <c r="I8" s="8">
        <v>2566.3</v>
      </c>
      <c r="J8" s="8">
        <v>967</v>
      </c>
      <c r="K8" s="8">
        <v>56</v>
      </c>
      <c r="L8" s="8">
        <v>99705.2</v>
      </c>
      <c r="M8" s="8">
        <v>61529.8</v>
      </c>
      <c r="N8" s="8">
        <v>82146.6</v>
      </c>
      <c r="O8" s="8">
        <v>110278.8</v>
      </c>
      <c r="P8" s="8">
        <v>6331.9</v>
      </c>
      <c r="Q8" s="8">
        <v>8370.3</v>
      </c>
      <c r="R8" s="8">
        <v>4905</v>
      </c>
      <c r="S8" s="8">
        <v>6114.9</v>
      </c>
      <c r="T8" s="8">
        <v>8091.4</v>
      </c>
      <c r="U8" s="8">
        <v>18903</v>
      </c>
      <c r="V8" s="8">
        <v>54337.7</v>
      </c>
      <c r="W8" s="8">
        <v>58034.9</v>
      </c>
      <c r="X8" s="8">
        <v>5838.2</v>
      </c>
      <c r="Y8" s="8">
        <v>5780.2</v>
      </c>
      <c r="Z8" s="15">
        <f t="shared" si="21"/>
        <v>69653.3</v>
      </c>
      <c r="AA8" s="8">
        <v>3916.9</v>
      </c>
      <c r="AB8" s="13">
        <v>8617</v>
      </c>
      <c r="AC8" s="7">
        <f t="shared" si="22"/>
        <v>12533.9</v>
      </c>
      <c r="AD8" s="16">
        <v>190961</v>
      </c>
      <c r="AE8" s="17">
        <f t="shared" ref="AE8:AI8" si="52">IF(OR(C9=""),"",(C9-C8)*80)</f>
        <v>0</v>
      </c>
      <c r="AF8" s="17">
        <f t="shared" si="52"/>
        <v>2647.9999999993</v>
      </c>
      <c r="AG8" s="17">
        <f t="shared" si="52"/>
        <v>3456.00000000035</v>
      </c>
      <c r="AH8" s="17">
        <f t="shared" si="52"/>
        <v>4.00000000008731</v>
      </c>
      <c r="AI8" s="17">
        <f t="shared" si="52"/>
        <v>2575.99999999977</v>
      </c>
      <c r="AJ8" s="17">
        <f t="shared" si="24"/>
        <v>8683.99999999951</v>
      </c>
      <c r="AK8" s="17">
        <f t="shared" ref="AK8:AN8" si="53">IF(OR(H9=""),"",(H9-H8)*80)</f>
        <v>0</v>
      </c>
      <c r="AL8" s="17">
        <f t="shared" si="53"/>
        <v>0</v>
      </c>
      <c r="AM8" s="17">
        <f t="shared" si="53"/>
        <v>0</v>
      </c>
      <c r="AN8" s="17">
        <f t="shared" si="53"/>
        <v>0</v>
      </c>
      <c r="AO8" s="17">
        <f t="shared" si="26"/>
        <v>0</v>
      </c>
      <c r="AP8" s="17">
        <f t="shared" ref="AP8:AS8" si="54">IF(OR(L9=""),"",(L9-L8)*100)</f>
        <v>2390.00000000087</v>
      </c>
      <c r="AQ8" s="17">
        <f t="shared" si="54"/>
        <v>0</v>
      </c>
      <c r="AR8" s="17">
        <f t="shared" si="54"/>
        <v>2859.99999999913</v>
      </c>
      <c r="AS8" s="17">
        <f t="shared" si="54"/>
        <v>1719.99999999971</v>
      </c>
      <c r="AT8" s="17">
        <f t="shared" si="28"/>
        <v>6969.99999999971</v>
      </c>
      <c r="AU8" s="17">
        <f t="shared" ref="AU8:AY8" si="55">IF(OR(P9=""),"",(P9-P8)*1000)</f>
        <v>0</v>
      </c>
      <c r="AV8" s="17">
        <f t="shared" si="55"/>
        <v>2100.00000000036</v>
      </c>
      <c r="AW8" s="17">
        <f t="shared" si="55"/>
        <v>5600.00000000036</v>
      </c>
      <c r="AX8" s="17">
        <f t="shared" si="55"/>
        <v>3700.00000000073</v>
      </c>
      <c r="AY8" s="17">
        <f t="shared" si="55"/>
        <v>0</v>
      </c>
      <c r="AZ8" s="17">
        <f t="shared" si="30"/>
        <v>11400.0000000015</v>
      </c>
      <c r="BA8" s="17">
        <f t="shared" si="31"/>
        <v>9000</v>
      </c>
      <c r="BB8" s="17">
        <f t="shared" si="32"/>
        <v>1064.00000000023</v>
      </c>
      <c r="BC8" s="17">
        <f t="shared" si="33"/>
        <v>1507.99999999988</v>
      </c>
      <c r="BD8" s="17">
        <f t="shared" si="34"/>
        <v>16774.0000000079</v>
      </c>
      <c r="BE8" s="17">
        <f t="shared" si="35"/>
        <v>55400.0000000087</v>
      </c>
      <c r="BF8" s="17">
        <f t="shared" si="36"/>
        <v>49.8000000000011</v>
      </c>
      <c r="BG8" s="20">
        <f t="shared" si="37"/>
        <v>0.290111593466775</v>
      </c>
      <c r="BH8" s="20">
        <f t="shared" si="38"/>
        <v>0.0454752541094753</v>
      </c>
      <c r="BI8" s="20">
        <f t="shared" si="39"/>
        <v>0</v>
      </c>
      <c r="BJ8" s="20">
        <f t="shared" si="40"/>
        <v>0.0364995993946393</v>
      </c>
      <c r="BK8" s="20">
        <f t="shared" ref="BK8:BO8" si="56">IF(OR($AD8=0),"",AZ8/$AD8)</f>
        <v>0.0596980535292623</v>
      </c>
      <c r="BL8" s="20">
        <f t="shared" si="56"/>
        <v>0.0471300422599379</v>
      </c>
      <c r="BM8" s="20">
        <f t="shared" si="56"/>
        <v>0.00557181832939832</v>
      </c>
      <c r="BN8" s="20">
        <f t="shared" si="56"/>
        <v>0.0078969004142201</v>
      </c>
      <c r="BO8" s="20">
        <f t="shared" si="56"/>
        <v>0.0878399254298414</v>
      </c>
    </row>
    <row r="9" spans="1:67">
      <c r="A9" s="25">
        <v>43652</v>
      </c>
      <c r="B9" s="10">
        <v>18453.49</v>
      </c>
      <c r="C9" s="8">
        <v>97503.4</v>
      </c>
      <c r="D9" s="8">
        <v>66095.2</v>
      </c>
      <c r="E9" s="8">
        <v>65423.3</v>
      </c>
      <c r="F9" s="8">
        <v>8862.19</v>
      </c>
      <c r="G9" s="8">
        <v>121913.4</v>
      </c>
      <c r="H9" s="8">
        <v>5709.7</v>
      </c>
      <c r="I9" s="8">
        <v>2566.3</v>
      </c>
      <c r="J9" s="8">
        <v>967</v>
      </c>
      <c r="K9" s="8">
        <v>56</v>
      </c>
      <c r="L9" s="8">
        <v>99729.1</v>
      </c>
      <c r="M9" s="8">
        <v>61529.8</v>
      </c>
      <c r="N9" s="8">
        <v>82175.2</v>
      </c>
      <c r="O9" s="8">
        <v>110296</v>
      </c>
      <c r="P9" s="8">
        <v>6331.9</v>
      </c>
      <c r="Q9" s="8">
        <v>8372.4</v>
      </c>
      <c r="R9" s="8">
        <v>4910.6</v>
      </c>
      <c r="S9" s="8">
        <v>6118.6</v>
      </c>
      <c r="T9" s="8">
        <v>8091.4</v>
      </c>
      <c r="U9" s="8">
        <v>18907.5</v>
      </c>
      <c r="V9" s="8">
        <v>54351</v>
      </c>
      <c r="W9" s="8">
        <v>58051.2</v>
      </c>
      <c r="X9" s="8">
        <v>5847.8</v>
      </c>
      <c r="Y9" s="8">
        <v>5792</v>
      </c>
      <c r="Z9" s="15">
        <f t="shared" si="21"/>
        <v>69691</v>
      </c>
      <c r="AA9" s="8">
        <v>3959.7</v>
      </c>
      <c r="AB9" s="13">
        <v>8624</v>
      </c>
      <c r="AC9" s="7">
        <f t="shared" si="22"/>
        <v>12583.7</v>
      </c>
      <c r="AD9" s="16">
        <v>198088</v>
      </c>
      <c r="AE9" s="17">
        <f t="shared" ref="AE9:AI9" si="57">IF(OR(C10=""),"",(C10-C9)*80)</f>
        <v>0</v>
      </c>
      <c r="AF9" s="17">
        <f t="shared" si="57"/>
        <v>1640</v>
      </c>
      <c r="AG9" s="17">
        <f t="shared" si="57"/>
        <v>2951.99999999953</v>
      </c>
      <c r="AH9" s="17">
        <f t="shared" si="57"/>
        <v>912.799999999988</v>
      </c>
      <c r="AI9" s="17">
        <f t="shared" si="57"/>
        <v>2400</v>
      </c>
      <c r="AJ9" s="17">
        <f t="shared" si="24"/>
        <v>7904.79999999952</v>
      </c>
      <c r="AK9" s="17">
        <f t="shared" ref="AK9:AN9" si="58">IF(OR(H10=""),"",(H10-H9)*80)</f>
        <v>0</v>
      </c>
      <c r="AL9" s="17">
        <f t="shared" si="58"/>
        <v>0</v>
      </c>
      <c r="AM9" s="17">
        <f t="shared" si="58"/>
        <v>0</v>
      </c>
      <c r="AN9" s="17">
        <f t="shared" si="58"/>
        <v>0</v>
      </c>
      <c r="AO9" s="17">
        <f t="shared" si="26"/>
        <v>0</v>
      </c>
      <c r="AP9" s="17">
        <f t="shared" ref="AP9:AS9" si="59">IF(OR(L10=""),"",(L10-L9)*100)</f>
        <v>2569.99999999971</v>
      </c>
      <c r="AQ9" s="17">
        <f t="shared" si="59"/>
        <v>9.99999999985448</v>
      </c>
      <c r="AR9" s="17">
        <f t="shared" si="59"/>
        <v>2819.99999999971</v>
      </c>
      <c r="AS9" s="17">
        <f t="shared" si="59"/>
        <v>1880.00000000029</v>
      </c>
      <c r="AT9" s="17">
        <f t="shared" si="28"/>
        <v>7279.99999999956</v>
      </c>
      <c r="AU9" s="17">
        <f t="shared" ref="AU9:AY9" si="60">IF(OR(P10=""),"",(P10-P9)*1000)</f>
        <v>700.000000000728</v>
      </c>
      <c r="AV9" s="17">
        <f t="shared" si="60"/>
        <v>0</v>
      </c>
      <c r="AW9" s="17">
        <f t="shared" si="60"/>
        <v>199.999999999818</v>
      </c>
      <c r="AX9" s="17">
        <f t="shared" si="60"/>
        <v>5299.99999999927</v>
      </c>
      <c r="AY9" s="17">
        <f t="shared" si="60"/>
        <v>7000</v>
      </c>
      <c r="AZ9" s="17">
        <f t="shared" si="30"/>
        <v>13199.9999999998</v>
      </c>
      <c r="BA9" s="17">
        <f t="shared" si="31"/>
        <v>9199.99999999709</v>
      </c>
      <c r="BB9" s="17">
        <f t="shared" si="32"/>
        <v>1072.00000000012</v>
      </c>
      <c r="BC9" s="17">
        <f t="shared" si="33"/>
        <v>1480</v>
      </c>
      <c r="BD9" s="17">
        <f t="shared" si="34"/>
        <v>14963.1999999879</v>
      </c>
      <c r="BE9" s="17">
        <f t="shared" si="35"/>
        <v>55099.999999984</v>
      </c>
      <c r="BF9" s="17">
        <f t="shared" si="36"/>
        <v>49.3999999999996</v>
      </c>
      <c r="BG9" s="20">
        <f t="shared" si="37"/>
        <v>0.27815920197076</v>
      </c>
      <c r="BH9" s="20">
        <f t="shared" si="38"/>
        <v>0.0399054965469868</v>
      </c>
      <c r="BI9" s="20">
        <f t="shared" si="39"/>
        <v>0</v>
      </c>
      <c r="BJ9" s="20">
        <f t="shared" si="40"/>
        <v>0.0367513428375245</v>
      </c>
      <c r="BK9" s="20">
        <f t="shared" ref="BK9:BO9" si="61">IF(OR($AD9=0),"",AZ9/$AD9)</f>
        <v>0.0666370501999102</v>
      </c>
      <c r="BL9" s="20">
        <f t="shared" si="61"/>
        <v>0.0464440046847719</v>
      </c>
      <c r="BM9" s="20">
        <f t="shared" si="61"/>
        <v>0.00541173619805398</v>
      </c>
      <c r="BN9" s="20">
        <f t="shared" si="61"/>
        <v>0.0074714268405961</v>
      </c>
      <c r="BO9" s="20">
        <f t="shared" si="61"/>
        <v>0.0755381446629169</v>
      </c>
    </row>
    <row r="10" spans="1:67">
      <c r="A10" s="25">
        <v>43653</v>
      </c>
      <c r="B10" s="10">
        <v>18459</v>
      </c>
      <c r="C10" s="8">
        <v>97503.4</v>
      </c>
      <c r="D10" s="8">
        <v>66115.7</v>
      </c>
      <c r="E10" s="8">
        <v>65460.2</v>
      </c>
      <c r="F10" s="8">
        <v>8873.6</v>
      </c>
      <c r="G10" s="8">
        <v>121943.4</v>
      </c>
      <c r="H10" s="8">
        <v>5709.7</v>
      </c>
      <c r="I10" s="8">
        <v>2566.3</v>
      </c>
      <c r="J10" s="8">
        <v>967</v>
      </c>
      <c r="K10" s="8">
        <v>56</v>
      </c>
      <c r="L10" s="8">
        <v>99754.8</v>
      </c>
      <c r="M10" s="8">
        <v>61529.9</v>
      </c>
      <c r="N10" s="8">
        <v>82203.4</v>
      </c>
      <c r="O10" s="8">
        <v>110314.8</v>
      </c>
      <c r="P10" s="8">
        <v>6332.6</v>
      </c>
      <c r="Q10" s="8">
        <v>8372.4</v>
      </c>
      <c r="R10" s="8">
        <v>4910.8</v>
      </c>
      <c r="S10" s="8">
        <v>6123.9</v>
      </c>
      <c r="T10" s="8">
        <v>8098.4</v>
      </c>
      <c r="U10" s="8">
        <v>18912.1</v>
      </c>
      <c r="V10" s="8">
        <v>54364.4</v>
      </c>
      <c r="W10" s="8">
        <v>58067.3</v>
      </c>
      <c r="X10" s="8">
        <v>5857.2</v>
      </c>
      <c r="Y10" s="8">
        <v>5803.5</v>
      </c>
      <c r="Z10" s="15">
        <f t="shared" si="21"/>
        <v>69728</v>
      </c>
      <c r="AA10" s="8">
        <v>4001.1</v>
      </c>
      <c r="AB10" s="13">
        <v>8632</v>
      </c>
      <c r="AC10" s="7">
        <f t="shared" si="22"/>
        <v>12633.1</v>
      </c>
      <c r="AD10" s="16">
        <v>205840</v>
      </c>
      <c r="AE10" s="17">
        <f t="shared" ref="AE10:AI10" si="62">IF(OR(C11=""),"",(C11-C10)*80)</f>
        <v>0</v>
      </c>
      <c r="AF10" s="17">
        <f t="shared" si="62"/>
        <v>1135.99999999977</v>
      </c>
      <c r="AG10" s="17">
        <f t="shared" si="62"/>
        <v>2512.00000000012</v>
      </c>
      <c r="AH10" s="17">
        <f t="shared" si="62"/>
        <v>1422.39999999991</v>
      </c>
      <c r="AI10" s="17">
        <f t="shared" si="62"/>
        <v>2456.00000000093</v>
      </c>
      <c r="AJ10" s="17">
        <f t="shared" si="24"/>
        <v>7526.40000000072</v>
      </c>
      <c r="AK10" s="17">
        <f t="shared" ref="AK10:AN10" si="63">IF(OR(H11=""),"",(H11-H10)*80)</f>
        <v>0</v>
      </c>
      <c r="AL10" s="17">
        <f t="shared" si="63"/>
        <v>0</v>
      </c>
      <c r="AM10" s="17">
        <f t="shared" si="63"/>
        <v>0</v>
      </c>
      <c r="AN10" s="17">
        <f t="shared" si="63"/>
        <v>0</v>
      </c>
      <c r="AO10" s="17">
        <f t="shared" si="26"/>
        <v>0</v>
      </c>
      <c r="AP10" s="17">
        <f t="shared" ref="AP10:AS10" si="64">IF(OR(L11=""),"",(L11-L10)*100)</f>
        <v>2919.99999999971</v>
      </c>
      <c r="AQ10" s="17">
        <f t="shared" si="64"/>
        <v>0</v>
      </c>
      <c r="AR10" s="17">
        <f t="shared" si="64"/>
        <v>2890.00000000087</v>
      </c>
      <c r="AS10" s="17">
        <f t="shared" si="64"/>
        <v>1919.99999999971</v>
      </c>
      <c r="AT10" s="17">
        <f t="shared" si="28"/>
        <v>7730.00000000029</v>
      </c>
      <c r="AU10" s="17">
        <f t="shared" ref="AU10:AY10" si="65">IF(OR(P11=""),"",(P11-P10)*1000)</f>
        <v>0</v>
      </c>
      <c r="AV10" s="17">
        <f t="shared" si="65"/>
        <v>0</v>
      </c>
      <c r="AW10" s="17">
        <f t="shared" si="65"/>
        <v>0</v>
      </c>
      <c r="AX10" s="17">
        <f t="shared" si="65"/>
        <v>5300.00000000018</v>
      </c>
      <c r="AY10" s="17">
        <f t="shared" si="65"/>
        <v>8800.00000000018</v>
      </c>
      <c r="AZ10" s="17">
        <f t="shared" si="30"/>
        <v>14100.0000000004</v>
      </c>
      <c r="BA10" s="17">
        <f t="shared" si="31"/>
        <v>9600.00000000582</v>
      </c>
      <c r="BB10" s="17">
        <f t="shared" si="32"/>
        <v>872.000000000116</v>
      </c>
      <c r="BC10" s="17">
        <f t="shared" si="33"/>
        <v>1480</v>
      </c>
      <c r="BD10" s="17">
        <f t="shared" si="34"/>
        <v>13491.5999999883</v>
      </c>
      <c r="BE10" s="17">
        <f t="shared" si="35"/>
        <v>54799.9999999956</v>
      </c>
      <c r="BF10" s="17">
        <f t="shared" si="36"/>
        <v>56.2999999999993</v>
      </c>
      <c r="BG10" s="20">
        <f t="shared" si="37"/>
        <v>0.266226195102971</v>
      </c>
      <c r="BH10" s="20">
        <f t="shared" si="38"/>
        <v>0.0365643218033459</v>
      </c>
      <c r="BI10" s="20">
        <f t="shared" si="39"/>
        <v>0</v>
      </c>
      <c r="BJ10" s="20">
        <f t="shared" si="40"/>
        <v>0.0375534395647119</v>
      </c>
      <c r="BK10" s="20">
        <f t="shared" ref="BK10:BO10" si="66">IF(OR($AD10=0),"",AZ10/$AD10)</f>
        <v>0.0684998056743119</v>
      </c>
      <c r="BL10" s="20">
        <f t="shared" si="66"/>
        <v>0.046638165565516</v>
      </c>
      <c r="BM10" s="20">
        <f t="shared" si="66"/>
        <v>0.0042363000388657</v>
      </c>
      <c r="BN10" s="20">
        <f t="shared" si="66"/>
        <v>0.00719005052467936</v>
      </c>
      <c r="BO10" s="20">
        <f t="shared" si="66"/>
        <v>0.0655441119315406</v>
      </c>
    </row>
    <row r="11" spans="1:67">
      <c r="A11" s="25">
        <v>43654</v>
      </c>
      <c r="B11" s="10">
        <v>18464.48</v>
      </c>
      <c r="C11" s="8">
        <v>97503.4</v>
      </c>
      <c r="D11" s="8">
        <v>66129.9</v>
      </c>
      <c r="E11" s="8">
        <v>65491.6</v>
      </c>
      <c r="F11" s="8">
        <v>8891.38</v>
      </c>
      <c r="G11" s="8">
        <v>121974.1</v>
      </c>
      <c r="H11" s="8">
        <v>5709.7</v>
      </c>
      <c r="I11" s="8">
        <v>2566.3</v>
      </c>
      <c r="J11" s="8">
        <v>967</v>
      </c>
      <c r="K11" s="8">
        <v>56</v>
      </c>
      <c r="L11" s="8">
        <v>99784</v>
      </c>
      <c r="M11" s="8">
        <v>61529.9</v>
      </c>
      <c r="N11" s="8">
        <v>82232.3</v>
      </c>
      <c r="O11" s="8">
        <v>110334</v>
      </c>
      <c r="P11" s="8">
        <v>6332.6</v>
      </c>
      <c r="Q11" s="8">
        <v>8372.4</v>
      </c>
      <c r="R11" s="8">
        <v>4910.8</v>
      </c>
      <c r="S11" s="8">
        <v>6129.2</v>
      </c>
      <c r="T11" s="8">
        <v>8107.2</v>
      </c>
      <c r="U11" s="8">
        <v>18916.9</v>
      </c>
      <c r="V11" s="8">
        <v>54375.3</v>
      </c>
      <c r="W11" s="8">
        <v>58083.6</v>
      </c>
      <c r="X11" s="8">
        <v>5866.4</v>
      </c>
      <c r="Y11" s="8">
        <v>5815</v>
      </c>
      <c r="Z11" s="15">
        <f t="shared" si="21"/>
        <v>69765</v>
      </c>
      <c r="AA11" s="8">
        <v>4042.4</v>
      </c>
      <c r="AB11" s="13">
        <v>8647</v>
      </c>
      <c r="AC11" s="7">
        <f t="shared" si="22"/>
        <v>12689.4</v>
      </c>
      <c r="AD11" s="16">
        <v>198055</v>
      </c>
      <c r="AE11" s="17">
        <f t="shared" ref="AE11:AI11" si="67">IF(OR(C12=""),"",(C12-C11)*80)</f>
        <v>0</v>
      </c>
      <c r="AF11" s="17">
        <f t="shared" si="67"/>
        <v>232.000000000698</v>
      </c>
      <c r="AG11" s="17">
        <f t="shared" si="67"/>
        <v>3000</v>
      </c>
      <c r="AH11" s="17">
        <f t="shared" si="67"/>
        <v>2129.60000000006</v>
      </c>
      <c r="AI11" s="17">
        <f t="shared" si="67"/>
        <v>2360</v>
      </c>
      <c r="AJ11" s="17">
        <f t="shared" si="24"/>
        <v>7721.60000000076</v>
      </c>
      <c r="AK11" s="17">
        <f t="shared" ref="AK11:AN11" si="68">IF(OR(H12=""),"",(H12-H11)*80)</f>
        <v>0</v>
      </c>
      <c r="AL11" s="17">
        <f t="shared" si="68"/>
        <v>0</v>
      </c>
      <c r="AM11" s="17">
        <f t="shared" si="68"/>
        <v>0</v>
      </c>
      <c r="AN11" s="17">
        <f t="shared" si="68"/>
        <v>0</v>
      </c>
      <c r="AO11" s="17">
        <f t="shared" si="26"/>
        <v>0</v>
      </c>
      <c r="AP11" s="17">
        <f t="shared" ref="AP11:AS11" si="69">IF(OR(L12=""),"",(L12-L11)*100)</f>
        <v>2539.99999999942</v>
      </c>
      <c r="AQ11" s="17">
        <f t="shared" si="69"/>
        <v>0</v>
      </c>
      <c r="AR11" s="17">
        <f t="shared" si="69"/>
        <v>2909.99999999913</v>
      </c>
      <c r="AS11" s="17">
        <f t="shared" si="69"/>
        <v>1919.99999999971</v>
      </c>
      <c r="AT11" s="17">
        <f t="shared" si="28"/>
        <v>7369.99999999825</v>
      </c>
      <c r="AU11" s="17">
        <f t="shared" ref="AU11:AY11" si="70">IF(OR(P12=""),"",(P12-P11)*1000)</f>
        <v>1000</v>
      </c>
      <c r="AV11" s="17">
        <f t="shared" si="70"/>
        <v>2500</v>
      </c>
      <c r="AW11" s="17">
        <f t="shared" si="70"/>
        <v>0</v>
      </c>
      <c r="AX11" s="17">
        <f t="shared" si="70"/>
        <v>5100.00000000036</v>
      </c>
      <c r="AY11" s="17">
        <f t="shared" si="70"/>
        <v>6000</v>
      </c>
      <c r="AZ11" s="17">
        <f t="shared" si="30"/>
        <v>14600.0000000004</v>
      </c>
      <c r="BA11" s="17">
        <f t="shared" si="31"/>
        <v>9399.99999999418</v>
      </c>
      <c r="BB11" s="17">
        <f t="shared" si="32"/>
        <v>943.999999999651</v>
      </c>
      <c r="BC11" s="17">
        <f t="shared" si="33"/>
        <v>1472.00000000012</v>
      </c>
      <c r="BD11" s="17">
        <f t="shared" si="34"/>
        <v>13892.4000000154</v>
      </c>
      <c r="BE11" s="17">
        <f t="shared" si="35"/>
        <v>55400.0000000087</v>
      </c>
      <c r="BF11" s="17">
        <f t="shared" si="36"/>
        <v>49.3000000000011</v>
      </c>
      <c r="BG11" s="20">
        <f t="shared" si="37"/>
        <v>0.279720279720324</v>
      </c>
      <c r="BH11" s="20">
        <f t="shared" si="38"/>
        <v>0.0389871500340853</v>
      </c>
      <c r="BI11" s="20">
        <f t="shared" si="39"/>
        <v>0</v>
      </c>
      <c r="BJ11" s="20">
        <f t="shared" si="40"/>
        <v>0.037211885587328</v>
      </c>
      <c r="BK11" s="20">
        <f t="shared" ref="BK11:BO11" si="71">IF(OR($AD11=0),"",AZ11/$AD11)</f>
        <v>0.0737168968215918</v>
      </c>
      <c r="BL11" s="20">
        <f t="shared" si="71"/>
        <v>0.0474615637070217</v>
      </c>
      <c r="BM11" s="20">
        <f t="shared" si="71"/>
        <v>0.00476635278079145</v>
      </c>
      <c r="BN11" s="20">
        <f t="shared" si="71"/>
        <v>0.0074322789124239</v>
      </c>
      <c r="BO11" s="20">
        <f t="shared" si="71"/>
        <v>0.0701441518770816</v>
      </c>
    </row>
    <row r="12" spans="1:67">
      <c r="A12" s="25">
        <v>43655</v>
      </c>
      <c r="B12" s="10">
        <v>18470.02</v>
      </c>
      <c r="C12" s="8">
        <v>97503.4</v>
      </c>
      <c r="D12" s="8">
        <v>66132.8</v>
      </c>
      <c r="E12" s="8">
        <v>65529.1</v>
      </c>
      <c r="F12" s="8">
        <v>8918</v>
      </c>
      <c r="G12" s="8">
        <v>122003.6</v>
      </c>
      <c r="H12" s="8">
        <v>5709.7</v>
      </c>
      <c r="I12" s="8">
        <v>2566.3</v>
      </c>
      <c r="J12" s="8">
        <v>967</v>
      </c>
      <c r="K12" s="8">
        <v>56</v>
      </c>
      <c r="L12" s="8">
        <v>99809.4</v>
      </c>
      <c r="M12" s="8">
        <v>61529.9</v>
      </c>
      <c r="N12" s="8">
        <v>82261.4</v>
      </c>
      <c r="O12" s="8">
        <v>110353.2</v>
      </c>
      <c r="P12" s="8">
        <v>6333.6</v>
      </c>
      <c r="Q12" s="8">
        <v>8374.9</v>
      </c>
      <c r="R12" s="8">
        <v>4910.8</v>
      </c>
      <c r="S12" s="8">
        <v>6134.3</v>
      </c>
      <c r="T12" s="8">
        <v>8113.2</v>
      </c>
      <c r="U12" s="8">
        <v>18921.6</v>
      </c>
      <c r="V12" s="8">
        <v>54387.1</v>
      </c>
      <c r="W12" s="8">
        <v>58099.5</v>
      </c>
      <c r="X12" s="8">
        <v>5875.8</v>
      </c>
      <c r="Y12" s="8">
        <v>5826.5</v>
      </c>
      <c r="Z12" s="15">
        <f t="shared" si="21"/>
        <v>69801.8</v>
      </c>
      <c r="AA12" s="8">
        <v>4082.7</v>
      </c>
      <c r="AB12" s="13">
        <v>8656</v>
      </c>
      <c r="AC12" s="7">
        <f t="shared" si="22"/>
        <v>12738.7</v>
      </c>
      <c r="AD12" s="16">
        <v>198133</v>
      </c>
      <c r="AE12" s="17">
        <f t="shared" ref="AE12:AI12" si="72">IF(OR(C13=""),"",(C13-C12)*80)</f>
        <v>0</v>
      </c>
      <c r="AF12" s="17">
        <f t="shared" si="72"/>
        <v>2120</v>
      </c>
      <c r="AG12" s="17">
        <f t="shared" si="72"/>
        <v>3016.00000000035</v>
      </c>
      <c r="AH12" s="17">
        <f t="shared" si="72"/>
        <v>666.399999999994</v>
      </c>
      <c r="AI12" s="17">
        <f t="shared" si="72"/>
        <v>2087.9999999993</v>
      </c>
      <c r="AJ12" s="17">
        <f t="shared" si="24"/>
        <v>7890.39999999964</v>
      </c>
      <c r="AK12" s="17">
        <f t="shared" ref="AK12:AN12" si="73">IF(OR(H13=""),"",(H13-H12)*80)</f>
        <v>0</v>
      </c>
      <c r="AL12" s="17">
        <f t="shared" si="73"/>
        <v>0</v>
      </c>
      <c r="AM12" s="17">
        <f t="shared" si="73"/>
        <v>0</v>
      </c>
      <c r="AN12" s="17">
        <f t="shared" si="73"/>
        <v>0</v>
      </c>
      <c r="AO12" s="17">
        <f t="shared" si="26"/>
        <v>0</v>
      </c>
      <c r="AP12" s="17">
        <f t="shared" ref="AP12:AS12" si="74">IF(OR(L13=""),"",(L13-L12)*100)</f>
        <v>2570.00000000116</v>
      </c>
      <c r="AQ12" s="17">
        <f t="shared" si="74"/>
        <v>0</v>
      </c>
      <c r="AR12" s="17">
        <f t="shared" si="74"/>
        <v>2900</v>
      </c>
      <c r="AS12" s="17">
        <f t="shared" si="74"/>
        <v>1910.00000000058</v>
      </c>
      <c r="AT12" s="17">
        <f t="shared" si="28"/>
        <v>7380.00000000175</v>
      </c>
      <c r="AU12" s="17">
        <f t="shared" ref="AU12:AY12" si="75">IF(OR(P13=""),"",(P13-P12)*1000)</f>
        <v>0</v>
      </c>
      <c r="AV12" s="17">
        <f t="shared" si="75"/>
        <v>7800.00000000109</v>
      </c>
      <c r="AW12" s="17">
        <f t="shared" si="75"/>
        <v>0</v>
      </c>
      <c r="AX12" s="17">
        <f t="shared" si="75"/>
        <v>5599.99999999945</v>
      </c>
      <c r="AY12" s="17">
        <f t="shared" si="75"/>
        <v>0</v>
      </c>
      <c r="AZ12" s="17">
        <f t="shared" si="30"/>
        <v>13400.0000000005</v>
      </c>
      <c r="BA12" s="17">
        <f t="shared" si="31"/>
        <v>9400.00000000146</v>
      </c>
      <c r="BB12" s="17">
        <f t="shared" si="32"/>
        <v>1032.00000000012</v>
      </c>
      <c r="BC12" s="17">
        <f t="shared" si="33"/>
        <v>1503.99999999965</v>
      </c>
      <c r="BD12" s="17">
        <f t="shared" si="34"/>
        <v>12493.6000000099</v>
      </c>
      <c r="BE12" s="17">
        <f t="shared" si="35"/>
        <v>53100.0000000131</v>
      </c>
      <c r="BF12" s="17">
        <f t="shared" si="36"/>
        <v>49.0999999999985</v>
      </c>
      <c r="BG12" s="20">
        <f t="shared" si="37"/>
        <v>0.268001796772941</v>
      </c>
      <c r="BH12" s="20">
        <f t="shared" si="38"/>
        <v>0.039823754750595</v>
      </c>
      <c r="BI12" s="20">
        <f t="shared" si="39"/>
        <v>0</v>
      </c>
      <c r="BJ12" s="20">
        <f t="shared" si="40"/>
        <v>0.0372477073481033</v>
      </c>
      <c r="BK12" s="20">
        <f t="shared" ref="BK12:BO12" si="76">IF(OR($AD12=0),"",AZ12/$AD12)</f>
        <v>0.0676313385453233</v>
      </c>
      <c r="BL12" s="20">
        <f t="shared" si="76"/>
        <v>0.047442879278068</v>
      </c>
      <c r="BM12" s="20">
        <f t="shared" si="76"/>
        <v>0.00520862249095363</v>
      </c>
      <c r="BN12" s="20">
        <f t="shared" si="76"/>
        <v>0.00759086068448795</v>
      </c>
      <c r="BO12" s="20">
        <f t="shared" si="76"/>
        <v>0.0630566336754096</v>
      </c>
    </row>
    <row r="13" spans="1:67">
      <c r="A13" s="25">
        <v>43656</v>
      </c>
      <c r="B13" s="10">
        <v>18475.33</v>
      </c>
      <c r="C13" s="8">
        <v>97503.4</v>
      </c>
      <c r="D13" s="8">
        <v>66159.3</v>
      </c>
      <c r="E13" s="8">
        <v>65566.8</v>
      </c>
      <c r="F13" s="8">
        <v>8926.33</v>
      </c>
      <c r="G13" s="8">
        <v>122029.7</v>
      </c>
      <c r="H13" s="8">
        <v>5709.7</v>
      </c>
      <c r="I13" s="8">
        <v>2566.3</v>
      </c>
      <c r="J13" s="8">
        <v>967</v>
      </c>
      <c r="K13" s="8">
        <v>56</v>
      </c>
      <c r="L13" s="8">
        <v>99835.1</v>
      </c>
      <c r="M13" s="8">
        <v>61529.9</v>
      </c>
      <c r="N13" s="8">
        <v>82290.4</v>
      </c>
      <c r="O13" s="8">
        <v>110372.3</v>
      </c>
      <c r="P13" s="8">
        <v>6333.6</v>
      </c>
      <c r="Q13" s="8">
        <v>8382.7</v>
      </c>
      <c r="R13" s="8">
        <v>4910.8</v>
      </c>
      <c r="S13" s="8">
        <v>6139.9</v>
      </c>
      <c r="T13" s="8">
        <v>8113.2</v>
      </c>
      <c r="U13" s="8">
        <v>18926.3</v>
      </c>
      <c r="V13" s="8">
        <v>54400</v>
      </c>
      <c r="W13" s="8">
        <v>58116.1</v>
      </c>
      <c r="X13" s="8">
        <v>5885.3</v>
      </c>
      <c r="Y13" s="8">
        <v>5838</v>
      </c>
      <c r="Z13" s="15">
        <f t="shared" si="21"/>
        <v>69839.4</v>
      </c>
      <c r="AA13" s="8">
        <v>4125.8</v>
      </c>
      <c r="AB13" s="13">
        <v>8662</v>
      </c>
      <c r="AC13" s="7">
        <f t="shared" si="22"/>
        <v>12787.8</v>
      </c>
      <c r="AD13" s="16">
        <v>207925</v>
      </c>
      <c r="AE13" s="17">
        <f t="shared" ref="AE13:AI13" si="77">IF(OR(C14=""),"",(C14-C13)*80)</f>
        <v>1560</v>
      </c>
      <c r="AF13" s="17">
        <f t="shared" si="77"/>
        <v>1760</v>
      </c>
      <c r="AG13" s="17">
        <f t="shared" si="77"/>
        <v>2224.00000000023</v>
      </c>
      <c r="AH13" s="17">
        <f t="shared" si="77"/>
        <v>1612.79999999999</v>
      </c>
      <c r="AI13" s="17">
        <f t="shared" si="77"/>
        <v>1304.00000000023</v>
      </c>
      <c r="AJ13" s="17">
        <f t="shared" si="24"/>
        <v>8460.80000000045</v>
      </c>
      <c r="AK13" s="17">
        <f t="shared" ref="AK13:AN13" si="78">IF(OR(H14=""),"",(H14-H13)*80)</f>
        <v>0</v>
      </c>
      <c r="AL13" s="17">
        <f t="shared" si="78"/>
        <v>0</v>
      </c>
      <c r="AM13" s="17">
        <f t="shared" si="78"/>
        <v>0</v>
      </c>
      <c r="AN13" s="17">
        <f t="shared" si="78"/>
        <v>0</v>
      </c>
      <c r="AO13" s="17">
        <f t="shared" si="26"/>
        <v>0</v>
      </c>
      <c r="AP13" s="17">
        <f t="shared" ref="AP13:AS13" si="79">IF(OR(L14=""),"",(L14-L13)*100)</f>
        <v>3029.99999999884</v>
      </c>
      <c r="AQ13" s="17">
        <f t="shared" si="79"/>
        <v>0</v>
      </c>
      <c r="AR13" s="17">
        <f t="shared" si="79"/>
        <v>2850</v>
      </c>
      <c r="AS13" s="17">
        <f t="shared" si="79"/>
        <v>1859.99999999913</v>
      </c>
      <c r="AT13" s="17">
        <f t="shared" si="28"/>
        <v>7739.99999999796</v>
      </c>
      <c r="AU13" s="17">
        <f t="shared" ref="AU13:AY13" si="80">IF(OR(P14=""),"",(P14-P13)*1000)</f>
        <v>0</v>
      </c>
      <c r="AV13" s="17">
        <f t="shared" si="80"/>
        <v>5799.99999999927</v>
      </c>
      <c r="AW13" s="17">
        <f t="shared" si="80"/>
        <v>1099.99999999945</v>
      </c>
      <c r="AX13" s="17">
        <f t="shared" si="80"/>
        <v>5200.00000000073</v>
      </c>
      <c r="AY13" s="17">
        <f t="shared" si="80"/>
        <v>0</v>
      </c>
      <c r="AZ13" s="17">
        <f t="shared" si="30"/>
        <v>12099.9999999995</v>
      </c>
      <c r="BA13" s="17">
        <f t="shared" si="31"/>
        <v>9800.00000000291</v>
      </c>
      <c r="BB13" s="17">
        <f t="shared" si="32"/>
        <v>1064.00000000023</v>
      </c>
      <c r="BC13" s="17">
        <f t="shared" si="33"/>
        <v>1444.00000000023</v>
      </c>
      <c r="BD13" s="17">
        <f t="shared" si="34"/>
        <v>13191.1999999726</v>
      </c>
      <c r="BE13" s="17">
        <f t="shared" si="35"/>
        <v>53799.9999999738</v>
      </c>
      <c r="BF13" s="17">
        <f t="shared" si="36"/>
        <v>50.3000000000011</v>
      </c>
      <c r="BG13" s="20">
        <f t="shared" si="37"/>
        <v>0.258747144402904</v>
      </c>
      <c r="BH13" s="20">
        <f t="shared" si="38"/>
        <v>0.0406915955272356</v>
      </c>
      <c r="BI13" s="20">
        <f t="shared" si="39"/>
        <v>0</v>
      </c>
      <c r="BJ13" s="20">
        <f t="shared" si="40"/>
        <v>0.0372249609234001</v>
      </c>
      <c r="BK13" s="20">
        <f t="shared" ref="BK13:BO13" si="81">IF(OR($AD13=0),"",AZ13/$AD13)</f>
        <v>0.0581940603582996</v>
      </c>
      <c r="BL13" s="20">
        <f t="shared" si="81"/>
        <v>0.0471323794637629</v>
      </c>
      <c r="BM13" s="20">
        <f t="shared" si="81"/>
        <v>0.00511722977035101</v>
      </c>
      <c r="BN13" s="20">
        <f t="shared" si="81"/>
        <v>0.00694481183119025</v>
      </c>
      <c r="BO13" s="20">
        <f t="shared" si="81"/>
        <v>0.0634421065286645</v>
      </c>
    </row>
    <row r="14" spans="1:67">
      <c r="A14" s="25">
        <v>43657</v>
      </c>
      <c r="B14" s="10">
        <v>18480.71</v>
      </c>
      <c r="C14" s="8">
        <v>97522.9</v>
      </c>
      <c r="D14" s="8">
        <v>66181.3</v>
      </c>
      <c r="E14" s="8">
        <v>65594.6</v>
      </c>
      <c r="F14" s="8">
        <v>8946.49</v>
      </c>
      <c r="G14" s="8">
        <v>122046</v>
      </c>
      <c r="H14" s="8">
        <v>5709.7</v>
      </c>
      <c r="I14" s="8">
        <v>2566.3</v>
      </c>
      <c r="J14" s="8">
        <v>967</v>
      </c>
      <c r="K14" s="8">
        <v>56</v>
      </c>
      <c r="L14" s="8">
        <v>99865.4</v>
      </c>
      <c r="M14" s="8">
        <v>61529.9</v>
      </c>
      <c r="N14" s="8">
        <v>82318.9</v>
      </c>
      <c r="O14" s="8">
        <v>110390.9</v>
      </c>
      <c r="P14" s="8">
        <v>6333.6</v>
      </c>
      <c r="Q14" s="8">
        <v>8388.5</v>
      </c>
      <c r="R14" s="8">
        <v>4911.9</v>
      </c>
      <c r="S14" s="8">
        <v>6145.1</v>
      </c>
      <c r="T14" s="8">
        <v>8113.2</v>
      </c>
      <c r="U14" s="8">
        <v>18931.2</v>
      </c>
      <c r="V14" s="8">
        <v>54413.3</v>
      </c>
      <c r="W14" s="8">
        <v>58132.1</v>
      </c>
      <c r="X14" s="8">
        <v>5894.3</v>
      </c>
      <c r="Y14" s="8">
        <v>5849.1</v>
      </c>
      <c r="Z14" s="15">
        <f t="shared" si="21"/>
        <v>69875.5</v>
      </c>
      <c r="AA14" s="8">
        <v>4168.1</v>
      </c>
      <c r="AB14" s="13">
        <v>8670</v>
      </c>
      <c r="AC14" s="7">
        <f t="shared" si="22"/>
        <v>12838.1</v>
      </c>
      <c r="AD14" s="16">
        <v>201884</v>
      </c>
      <c r="AE14" s="17">
        <f t="shared" ref="AE14:AI14" si="82">IF(OR(C15=""),"",(C15-C14)*80)</f>
        <v>32.0000000006985</v>
      </c>
      <c r="AF14" s="17">
        <f t="shared" si="82"/>
        <v>504.000000000233</v>
      </c>
      <c r="AG14" s="17">
        <f t="shared" si="82"/>
        <v>3160</v>
      </c>
      <c r="AH14" s="17">
        <f t="shared" si="82"/>
        <v>2240.80000000002</v>
      </c>
      <c r="AI14" s="17">
        <f t="shared" si="82"/>
        <v>2368.00000000047</v>
      </c>
      <c r="AJ14" s="17">
        <f t="shared" si="24"/>
        <v>8304.80000000141</v>
      </c>
      <c r="AK14" s="17">
        <f t="shared" ref="AK14:AN14" si="83">IF(OR(H15=""),"",(H15-H14)*80)</f>
        <v>0</v>
      </c>
      <c r="AL14" s="17">
        <f t="shared" si="83"/>
        <v>0</v>
      </c>
      <c r="AM14" s="17">
        <f t="shared" si="83"/>
        <v>0</v>
      </c>
      <c r="AN14" s="17">
        <f t="shared" si="83"/>
        <v>0</v>
      </c>
      <c r="AO14" s="17">
        <f t="shared" si="26"/>
        <v>0</v>
      </c>
      <c r="AP14" s="17">
        <f t="shared" ref="AP14:AS14" si="84">IF(OR(L15=""),"",(L15-L14)*100)</f>
        <v>2780.00000000029</v>
      </c>
      <c r="AQ14" s="17">
        <f t="shared" si="84"/>
        <v>0</v>
      </c>
      <c r="AR14" s="17">
        <f t="shared" si="84"/>
        <v>2920.00000000116</v>
      </c>
      <c r="AS14" s="17">
        <f t="shared" si="84"/>
        <v>1950</v>
      </c>
      <c r="AT14" s="17">
        <f t="shared" si="28"/>
        <v>7650.00000000146</v>
      </c>
      <c r="AU14" s="17">
        <f t="shared" ref="AU14:AY14" si="85">IF(OR(P15=""),"",(P15-P14)*1000)</f>
        <v>0</v>
      </c>
      <c r="AV14" s="17">
        <f t="shared" si="85"/>
        <v>5799.99999999927</v>
      </c>
      <c r="AW14" s="17">
        <f t="shared" si="85"/>
        <v>1800.00000000018</v>
      </c>
      <c r="AX14" s="17">
        <f t="shared" si="85"/>
        <v>5299.99999999927</v>
      </c>
      <c r="AY14" s="17">
        <f t="shared" si="85"/>
        <v>0</v>
      </c>
      <c r="AZ14" s="17">
        <f t="shared" si="30"/>
        <v>12899.9999999987</v>
      </c>
      <c r="BA14" s="17">
        <f t="shared" si="31"/>
        <v>9599.99999999854</v>
      </c>
      <c r="BB14" s="17">
        <f t="shared" si="32"/>
        <v>767.999999999884</v>
      </c>
      <c r="BC14" s="17">
        <f t="shared" si="33"/>
        <v>1475.99999999977</v>
      </c>
      <c r="BD14" s="17">
        <f t="shared" si="34"/>
        <v>13601.2000000031</v>
      </c>
      <c r="BE14" s="17">
        <f t="shared" si="35"/>
        <v>54300.0000000029</v>
      </c>
      <c r="BF14" s="17">
        <f t="shared" si="36"/>
        <v>50.2999999999993</v>
      </c>
      <c r="BG14" s="20">
        <f t="shared" si="37"/>
        <v>0.26896633710449</v>
      </c>
      <c r="BH14" s="20">
        <f t="shared" si="38"/>
        <v>0.0411364942244131</v>
      </c>
      <c r="BI14" s="20">
        <f t="shared" si="39"/>
        <v>0</v>
      </c>
      <c r="BJ14" s="20">
        <f t="shared" si="40"/>
        <v>0.0378930474926267</v>
      </c>
      <c r="BK14" s="20">
        <f t="shared" ref="BK14:BO14" si="86">IF(OR($AD14=0),"",AZ14/$AD14)</f>
        <v>0.0638980800855874</v>
      </c>
      <c r="BL14" s="20">
        <f t="shared" si="86"/>
        <v>0.0475520595985742</v>
      </c>
      <c r="BM14" s="20">
        <f t="shared" si="86"/>
        <v>0.00380416476788593</v>
      </c>
      <c r="BN14" s="20">
        <f t="shared" si="86"/>
        <v>0.00731112916328073</v>
      </c>
      <c r="BO14" s="20">
        <f t="shared" si="86"/>
        <v>0.0673713617721222</v>
      </c>
    </row>
    <row r="15" spans="1:67">
      <c r="A15" s="25">
        <v>43658</v>
      </c>
      <c r="B15" s="10">
        <v>18486.14</v>
      </c>
      <c r="C15" s="8">
        <v>97523.3</v>
      </c>
      <c r="D15" s="8">
        <v>66187.6</v>
      </c>
      <c r="E15" s="8">
        <v>65634.1</v>
      </c>
      <c r="F15" s="8">
        <v>8974.5</v>
      </c>
      <c r="G15" s="8">
        <v>122075.6</v>
      </c>
      <c r="H15" s="8">
        <v>5709.7</v>
      </c>
      <c r="I15" s="8">
        <v>2566.3</v>
      </c>
      <c r="J15" s="8">
        <v>967</v>
      </c>
      <c r="K15" s="8">
        <v>56</v>
      </c>
      <c r="L15" s="8">
        <v>99893.2</v>
      </c>
      <c r="M15" s="8">
        <v>61529.9</v>
      </c>
      <c r="N15" s="8">
        <v>82348.1</v>
      </c>
      <c r="O15" s="8">
        <v>110410.4</v>
      </c>
      <c r="P15" s="8">
        <v>6333.6</v>
      </c>
      <c r="Q15" s="8">
        <v>8394.3</v>
      </c>
      <c r="R15" s="8">
        <v>4913.7</v>
      </c>
      <c r="S15" s="8">
        <v>6150.4</v>
      </c>
      <c r="T15" s="8">
        <v>8113.2</v>
      </c>
      <c r="U15" s="8">
        <v>18936</v>
      </c>
      <c r="V15" s="8">
        <v>54422.9</v>
      </c>
      <c r="W15" s="8">
        <v>58148.3</v>
      </c>
      <c r="X15" s="8">
        <v>5903.6</v>
      </c>
      <c r="Y15" s="8">
        <v>5860.5</v>
      </c>
      <c r="Z15" s="15">
        <f t="shared" si="21"/>
        <v>69912.4</v>
      </c>
      <c r="AA15" s="8">
        <v>4211.4</v>
      </c>
      <c r="AB15" s="13">
        <v>8677</v>
      </c>
      <c r="AC15" s="7">
        <f t="shared" si="22"/>
        <v>12888.4</v>
      </c>
      <c r="AD15" s="16">
        <v>202814</v>
      </c>
      <c r="AE15" s="17">
        <f t="shared" ref="AE15:AI15" si="87">IF(OR(C16=""),"",(C16-C15)*80)</f>
        <v>0</v>
      </c>
      <c r="AF15" s="17">
        <f t="shared" si="87"/>
        <v>87.9999999993015</v>
      </c>
      <c r="AG15" s="17">
        <f t="shared" si="87"/>
        <v>3240</v>
      </c>
      <c r="AH15" s="17">
        <f t="shared" si="87"/>
        <v>2276.79999999993</v>
      </c>
      <c r="AI15" s="17">
        <f t="shared" si="87"/>
        <v>2375.99999999977</v>
      </c>
      <c r="AJ15" s="17">
        <f t="shared" si="24"/>
        <v>7980.799999999</v>
      </c>
      <c r="AK15" s="17">
        <f t="shared" ref="AK15:AN15" si="88">IF(OR(H16=""),"",(H16-H15)*80)</f>
        <v>0</v>
      </c>
      <c r="AL15" s="17">
        <f t="shared" si="88"/>
        <v>0</v>
      </c>
      <c r="AM15" s="17">
        <f t="shared" si="88"/>
        <v>0</v>
      </c>
      <c r="AN15" s="17">
        <f t="shared" si="88"/>
        <v>0</v>
      </c>
      <c r="AO15" s="17">
        <f t="shared" si="26"/>
        <v>0</v>
      </c>
      <c r="AP15" s="17">
        <f t="shared" ref="AP15:AS15" si="89">IF(OR(L16=""),"",(L16-L15)*100)</f>
        <v>2869.99999999971</v>
      </c>
      <c r="AQ15" s="17">
        <f t="shared" si="89"/>
        <v>0</v>
      </c>
      <c r="AR15" s="17">
        <f t="shared" si="89"/>
        <v>2919.99999999971</v>
      </c>
      <c r="AS15" s="17">
        <f t="shared" si="89"/>
        <v>1950</v>
      </c>
      <c r="AT15" s="17">
        <f t="shared" si="28"/>
        <v>7739.99999999942</v>
      </c>
      <c r="AU15" s="17">
        <f t="shared" ref="AU15:AY15" si="90">IF(OR(P16=""),"",(P16-P15)*1000)</f>
        <v>2399.99999999964</v>
      </c>
      <c r="AV15" s="17">
        <f t="shared" si="90"/>
        <v>5800.00000000109</v>
      </c>
      <c r="AW15" s="17">
        <f t="shared" si="90"/>
        <v>500</v>
      </c>
      <c r="AX15" s="17">
        <f t="shared" si="90"/>
        <v>4800.00000000018</v>
      </c>
      <c r="AY15" s="17">
        <f t="shared" si="90"/>
        <v>0</v>
      </c>
      <c r="AZ15" s="17">
        <f t="shared" si="30"/>
        <v>13500.0000000009</v>
      </c>
      <c r="BA15" s="17">
        <f t="shared" si="31"/>
        <v>9599.99999999854</v>
      </c>
      <c r="BB15" s="17">
        <f t="shared" si="32"/>
        <v>583.999999999651</v>
      </c>
      <c r="BC15" s="17">
        <f t="shared" si="33"/>
        <v>1464.00000000023</v>
      </c>
      <c r="BD15" s="17">
        <f t="shared" si="34"/>
        <v>15431.2000000124</v>
      </c>
      <c r="BE15" s="17">
        <f t="shared" si="35"/>
        <v>56300.0000000102</v>
      </c>
      <c r="BF15" s="17">
        <f t="shared" si="36"/>
        <v>51.2000000000007</v>
      </c>
      <c r="BG15" s="20">
        <f t="shared" si="37"/>
        <v>0.277594248917778</v>
      </c>
      <c r="BH15" s="20">
        <f t="shared" si="38"/>
        <v>0.0393503407062579</v>
      </c>
      <c r="BI15" s="20">
        <f t="shared" si="39"/>
        <v>0</v>
      </c>
      <c r="BJ15" s="20">
        <f t="shared" si="40"/>
        <v>0.038163045943571</v>
      </c>
      <c r="BK15" s="20">
        <f t="shared" ref="BK15:BO15" si="91">IF(OR($AD15=0),"",AZ15/$AD15)</f>
        <v>0.0665634522271683</v>
      </c>
      <c r="BL15" s="20">
        <f t="shared" si="91"/>
        <v>0.0473340104726426</v>
      </c>
      <c r="BM15" s="20">
        <f t="shared" si="91"/>
        <v>0.00287948563708448</v>
      </c>
      <c r="BN15" s="20">
        <f t="shared" si="91"/>
        <v>0.00721843659708025</v>
      </c>
      <c r="BO15" s="20">
        <f t="shared" si="91"/>
        <v>0.0760854773339732</v>
      </c>
    </row>
    <row r="16" spans="1:67">
      <c r="A16" s="25">
        <v>43659</v>
      </c>
      <c r="B16" s="10">
        <v>18491.77</v>
      </c>
      <c r="C16" s="8">
        <v>97523.3</v>
      </c>
      <c r="D16" s="8">
        <v>66188.7</v>
      </c>
      <c r="E16" s="8">
        <v>65674.6</v>
      </c>
      <c r="F16" s="8">
        <v>9002.96</v>
      </c>
      <c r="G16" s="8">
        <v>122105.3</v>
      </c>
      <c r="H16" s="8">
        <v>5709.7</v>
      </c>
      <c r="I16" s="8">
        <v>2566.3</v>
      </c>
      <c r="J16" s="8">
        <v>967</v>
      </c>
      <c r="K16" s="8">
        <v>56</v>
      </c>
      <c r="L16" s="8">
        <v>99921.9</v>
      </c>
      <c r="M16" s="8">
        <v>61529.9</v>
      </c>
      <c r="N16" s="8">
        <v>82377.3</v>
      </c>
      <c r="O16" s="8">
        <v>110429.9</v>
      </c>
      <c r="P16" s="8">
        <v>6336</v>
      </c>
      <c r="Q16" s="8">
        <v>8400.1</v>
      </c>
      <c r="R16" s="8">
        <v>4914.2</v>
      </c>
      <c r="S16" s="8">
        <v>6155.2</v>
      </c>
      <c r="T16" s="8">
        <v>8113.2</v>
      </c>
      <c r="U16" s="8">
        <v>18940.8</v>
      </c>
      <c r="V16" s="8">
        <v>54430.2</v>
      </c>
      <c r="W16" s="8">
        <v>58164.2</v>
      </c>
      <c r="X16" s="8">
        <v>5912.8</v>
      </c>
      <c r="Y16" s="8">
        <v>5872</v>
      </c>
      <c r="Z16" s="15">
        <f t="shared" si="21"/>
        <v>69949</v>
      </c>
      <c r="AA16" s="8">
        <v>4254.6</v>
      </c>
      <c r="AB16" s="13">
        <v>8685</v>
      </c>
      <c r="AC16" s="7">
        <f t="shared" si="22"/>
        <v>12939.6</v>
      </c>
      <c r="AD16" s="16">
        <v>206080</v>
      </c>
      <c r="AE16" s="17">
        <f t="shared" ref="AE16:AI16" si="92">IF(OR(C17=""),"",(C17-C16)*80)</f>
        <v>0</v>
      </c>
      <c r="AF16" s="17">
        <f t="shared" si="92"/>
        <v>0</v>
      </c>
      <c r="AG16" s="17">
        <f t="shared" si="92"/>
        <v>3031.99999999953</v>
      </c>
      <c r="AH16" s="17">
        <f t="shared" si="92"/>
        <v>2366.40000000014</v>
      </c>
      <c r="AI16" s="17">
        <f t="shared" si="92"/>
        <v>2320</v>
      </c>
      <c r="AJ16" s="17">
        <f t="shared" si="24"/>
        <v>7718.39999999967</v>
      </c>
      <c r="AK16" s="17">
        <f t="shared" ref="AK16:AN16" si="93">IF(OR(H17=""),"",(H17-H16)*80)</f>
        <v>0</v>
      </c>
      <c r="AL16" s="17">
        <f t="shared" si="93"/>
        <v>0</v>
      </c>
      <c r="AM16" s="17">
        <f t="shared" si="93"/>
        <v>0</v>
      </c>
      <c r="AN16" s="17">
        <f t="shared" si="93"/>
        <v>0</v>
      </c>
      <c r="AO16" s="17">
        <f t="shared" si="26"/>
        <v>0</v>
      </c>
      <c r="AP16" s="17">
        <f t="shared" ref="AP16:AS16" si="94">IF(OR(L17=""),"",(L17-L16)*100)</f>
        <v>2920.00000000116</v>
      </c>
      <c r="AQ16" s="17">
        <f t="shared" si="94"/>
        <v>0</v>
      </c>
      <c r="AR16" s="17">
        <f t="shared" si="94"/>
        <v>2859.99999999913</v>
      </c>
      <c r="AS16" s="17">
        <f t="shared" si="94"/>
        <v>2260.00000000058</v>
      </c>
      <c r="AT16" s="17">
        <f t="shared" si="28"/>
        <v>8040.00000000087</v>
      </c>
      <c r="AU16" s="17">
        <f t="shared" ref="AU16:AY16" si="95">IF(OR(P17=""),"",(P17-P16)*1000)</f>
        <v>1399.99999999964</v>
      </c>
      <c r="AV16" s="17">
        <f t="shared" si="95"/>
        <v>2699.99999999891</v>
      </c>
      <c r="AW16" s="17">
        <f t="shared" si="95"/>
        <v>2600.00000000036</v>
      </c>
      <c r="AX16" s="17">
        <f t="shared" si="95"/>
        <v>5000</v>
      </c>
      <c r="AY16" s="17">
        <f t="shared" si="95"/>
        <v>0</v>
      </c>
      <c r="AZ16" s="17">
        <f t="shared" si="30"/>
        <v>11699.9999999989</v>
      </c>
      <c r="BA16" s="17">
        <f t="shared" si="31"/>
        <v>9599.99999999854</v>
      </c>
      <c r="BB16" s="17">
        <f t="shared" si="32"/>
        <v>920</v>
      </c>
      <c r="BC16" s="17">
        <f t="shared" si="33"/>
        <v>1460</v>
      </c>
      <c r="BD16" s="17">
        <f t="shared" si="34"/>
        <v>15761.6000000064</v>
      </c>
      <c r="BE16" s="17">
        <f t="shared" si="35"/>
        <v>55200.0000000044</v>
      </c>
      <c r="BF16" s="17">
        <f t="shared" si="36"/>
        <v>48.8999999999996</v>
      </c>
      <c r="BG16" s="20">
        <f t="shared" si="37"/>
        <v>0.267857142857164</v>
      </c>
      <c r="BH16" s="20">
        <f t="shared" si="38"/>
        <v>0.0374534161490667</v>
      </c>
      <c r="BI16" s="20">
        <f t="shared" si="39"/>
        <v>0</v>
      </c>
      <c r="BJ16" s="20">
        <f t="shared" si="40"/>
        <v>0.0390139751552837</v>
      </c>
      <c r="BK16" s="20">
        <f t="shared" ref="BK16:BO16" si="96">IF(OR($AD16=0),"",AZ16/$AD16)</f>
        <v>0.0567740683229761</v>
      </c>
      <c r="BL16" s="20">
        <f t="shared" si="96"/>
        <v>0.04658385093167</v>
      </c>
      <c r="BM16" s="20">
        <f t="shared" si="96"/>
        <v>0.00446428571428571</v>
      </c>
      <c r="BN16" s="20">
        <f t="shared" si="96"/>
        <v>0.00708462732919255</v>
      </c>
      <c r="BO16" s="20">
        <f t="shared" si="96"/>
        <v>0.0764829192546893</v>
      </c>
    </row>
    <row r="17" spans="1:67">
      <c r="A17" s="25">
        <v>43660</v>
      </c>
      <c r="B17" s="10">
        <v>18497.29</v>
      </c>
      <c r="C17" s="8">
        <v>97523.3</v>
      </c>
      <c r="D17" s="8">
        <v>66188.7</v>
      </c>
      <c r="E17" s="8">
        <v>65712.5</v>
      </c>
      <c r="F17" s="8">
        <v>9032.54</v>
      </c>
      <c r="G17" s="8">
        <v>122134.3</v>
      </c>
      <c r="H17" s="8">
        <v>5709.7</v>
      </c>
      <c r="I17" s="8">
        <v>2566.3</v>
      </c>
      <c r="J17" s="8">
        <v>967</v>
      </c>
      <c r="K17" s="8">
        <v>56</v>
      </c>
      <c r="L17" s="8">
        <v>99951.1</v>
      </c>
      <c r="M17" s="8">
        <v>61529.9</v>
      </c>
      <c r="N17" s="8">
        <v>82405.9</v>
      </c>
      <c r="O17" s="8">
        <v>110452.5</v>
      </c>
      <c r="P17" s="8">
        <v>6337.4</v>
      </c>
      <c r="Q17" s="8">
        <v>8402.8</v>
      </c>
      <c r="R17" s="8">
        <v>4916.8</v>
      </c>
      <c r="S17" s="8">
        <v>6160.2</v>
      </c>
      <c r="T17" s="8">
        <v>8113.2</v>
      </c>
      <c r="U17" s="8">
        <v>18945.6</v>
      </c>
      <c r="V17" s="8">
        <v>54441.7</v>
      </c>
      <c r="W17" s="8">
        <v>58180.4</v>
      </c>
      <c r="X17" s="8">
        <v>5921.8</v>
      </c>
      <c r="Y17" s="8">
        <v>5883.3</v>
      </c>
      <c r="Z17" s="15">
        <f t="shared" si="21"/>
        <v>69985.5</v>
      </c>
      <c r="AA17" s="8">
        <v>4296.5</v>
      </c>
      <c r="AB17" s="13">
        <v>8692</v>
      </c>
      <c r="AC17" s="7">
        <f t="shared" si="22"/>
        <v>12988.5</v>
      </c>
      <c r="AD17" s="16">
        <v>207110</v>
      </c>
      <c r="AE17" s="17">
        <f t="shared" ref="AE17:AI17" si="97">IF(OR(C18=""),"",(C18-C17)*80)</f>
        <v>24.0000000002328</v>
      </c>
      <c r="AF17" s="17">
        <f t="shared" si="97"/>
        <v>0</v>
      </c>
      <c r="AG17" s="17">
        <f t="shared" si="97"/>
        <v>3031.99999999953</v>
      </c>
      <c r="AH17" s="17">
        <f t="shared" si="97"/>
        <v>2289.59999999992</v>
      </c>
      <c r="AI17" s="17">
        <f t="shared" si="97"/>
        <v>2287.9999999993</v>
      </c>
      <c r="AJ17" s="17">
        <f t="shared" si="24"/>
        <v>7633.59999999899</v>
      </c>
      <c r="AK17" s="17">
        <f t="shared" ref="AK17:AN17" si="98">IF(OR(H18=""),"",(H18-H17)*80)</f>
        <v>0</v>
      </c>
      <c r="AL17" s="17">
        <f t="shared" si="98"/>
        <v>0</v>
      </c>
      <c r="AM17" s="17">
        <f t="shared" si="98"/>
        <v>0</v>
      </c>
      <c r="AN17" s="17">
        <f t="shared" si="98"/>
        <v>0</v>
      </c>
      <c r="AO17" s="17">
        <f t="shared" si="26"/>
        <v>0</v>
      </c>
      <c r="AP17" s="17">
        <f t="shared" ref="AP17:AS17" si="99">IF(OR(L18=""),"",(L18-L17)*100)</f>
        <v>3179.99999999884</v>
      </c>
      <c r="AQ17" s="17">
        <f t="shared" si="99"/>
        <v>0</v>
      </c>
      <c r="AR17" s="17">
        <f t="shared" si="99"/>
        <v>2790.00000000087</v>
      </c>
      <c r="AS17" s="17">
        <f t="shared" si="99"/>
        <v>2450</v>
      </c>
      <c r="AT17" s="17">
        <f t="shared" si="28"/>
        <v>8419.99999999971</v>
      </c>
      <c r="AU17" s="17">
        <f t="shared" ref="AU17:AY17" si="100">IF(OR(P18=""),"",(P18-P17)*1000)</f>
        <v>0</v>
      </c>
      <c r="AV17" s="17">
        <f t="shared" si="100"/>
        <v>800.000000001091</v>
      </c>
      <c r="AW17" s="17">
        <f t="shared" si="100"/>
        <v>4199.99999999982</v>
      </c>
      <c r="AX17" s="17">
        <f t="shared" si="100"/>
        <v>5000</v>
      </c>
      <c r="AY17" s="17">
        <f t="shared" si="100"/>
        <v>0</v>
      </c>
      <c r="AZ17" s="17">
        <f t="shared" si="30"/>
        <v>10000.0000000009</v>
      </c>
      <c r="BA17" s="17">
        <f t="shared" si="31"/>
        <v>10200.0000000044</v>
      </c>
      <c r="BB17" s="17">
        <f t="shared" si="32"/>
        <v>1016.00000000035</v>
      </c>
      <c r="BC17" s="17">
        <f t="shared" si="33"/>
        <v>1420</v>
      </c>
      <c r="BD17" s="17">
        <f t="shared" si="34"/>
        <v>16010.3999999709</v>
      </c>
      <c r="BE17" s="17">
        <f t="shared" si="35"/>
        <v>54699.9999999753</v>
      </c>
      <c r="BF17" s="17">
        <f t="shared" si="36"/>
        <v>48.3999999999996</v>
      </c>
      <c r="BG17" s="20">
        <f t="shared" si="37"/>
        <v>0.264110858963716</v>
      </c>
      <c r="BH17" s="20">
        <f t="shared" si="38"/>
        <v>0.0368577084640963</v>
      </c>
      <c r="BI17" s="20">
        <f t="shared" si="39"/>
        <v>0</v>
      </c>
      <c r="BJ17" s="20">
        <f t="shared" si="40"/>
        <v>0.0406547245425122</v>
      </c>
      <c r="BK17" s="20">
        <f t="shared" ref="BK17:BO17" si="101">IF(OR($AD17=0),"",AZ17/$AD17)</f>
        <v>0.0482835208343436</v>
      </c>
      <c r="BL17" s="20">
        <f t="shared" si="101"/>
        <v>0.0492491912510471</v>
      </c>
      <c r="BM17" s="20">
        <f t="shared" si="101"/>
        <v>0.00490560571677055</v>
      </c>
      <c r="BN17" s="20">
        <f t="shared" si="101"/>
        <v>0.00685625995847617</v>
      </c>
      <c r="BO17" s="20">
        <f t="shared" si="101"/>
        <v>0.0773038481964702</v>
      </c>
    </row>
    <row r="18" spans="1:67">
      <c r="A18" s="25">
        <v>43661</v>
      </c>
      <c r="B18" s="10">
        <v>18502.76</v>
      </c>
      <c r="C18" s="8">
        <v>97523.6</v>
      </c>
      <c r="D18" s="8">
        <v>66188.7</v>
      </c>
      <c r="E18" s="8">
        <v>65750.4</v>
      </c>
      <c r="F18" s="8">
        <v>9061.16</v>
      </c>
      <c r="G18" s="8">
        <v>122162.9</v>
      </c>
      <c r="H18" s="8">
        <v>5709.7</v>
      </c>
      <c r="I18" s="8">
        <v>2566.3</v>
      </c>
      <c r="J18" s="8">
        <v>967</v>
      </c>
      <c r="K18" s="8">
        <v>56</v>
      </c>
      <c r="L18" s="8">
        <v>99982.9</v>
      </c>
      <c r="M18" s="8">
        <v>61529.9</v>
      </c>
      <c r="N18" s="8">
        <v>82433.8</v>
      </c>
      <c r="O18" s="8">
        <v>110477</v>
      </c>
      <c r="P18" s="8">
        <v>6337.4</v>
      </c>
      <c r="Q18" s="8">
        <v>8403.6</v>
      </c>
      <c r="R18" s="8">
        <v>4921</v>
      </c>
      <c r="S18" s="8">
        <v>6165.2</v>
      </c>
      <c r="T18" s="8">
        <v>8113.2</v>
      </c>
      <c r="U18" s="8">
        <v>18950.7</v>
      </c>
      <c r="V18" s="8">
        <v>54454.4</v>
      </c>
      <c r="W18" s="8">
        <v>58196.1</v>
      </c>
      <c r="X18" s="8">
        <v>5930.6</v>
      </c>
      <c r="Y18" s="8">
        <v>5894.3</v>
      </c>
      <c r="Z18" s="15">
        <f t="shared" si="21"/>
        <v>70021</v>
      </c>
      <c r="AA18" s="8">
        <v>4336.9</v>
      </c>
      <c r="AB18" s="13">
        <v>8700</v>
      </c>
      <c r="AC18" s="7">
        <f t="shared" si="22"/>
        <v>13036.9</v>
      </c>
      <c r="AD18" s="16">
        <v>206975</v>
      </c>
      <c r="AE18" s="17">
        <f t="shared" ref="AE18:AI18" si="102">IF(OR(C19=""),"",(C19-C18)*80)</f>
        <v>0</v>
      </c>
      <c r="AF18" s="17">
        <f t="shared" si="102"/>
        <v>8.00000000046566</v>
      </c>
      <c r="AG18" s="17">
        <f t="shared" si="102"/>
        <v>2296.00000000093</v>
      </c>
      <c r="AH18" s="17">
        <f t="shared" si="102"/>
        <v>2326.39999999999</v>
      </c>
      <c r="AI18" s="17">
        <f t="shared" si="102"/>
        <v>2256.00000000093</v>
      </c>
      <c r="AJ18" s="17">
        <f t="shared" si="24"/>
        <v>6886.40000000232</v>
      </c>
      <c r="AK18" s="17">
        <f t="shared" ref="AK18:AN18" si="103">IF(OR(H19=""),"",(H19-H18)*80)</f>
        <v>0</v>
      </c>
      <c r="AL18" s="17">
        <f t="shared" si="103"/>
        <v>0</v>
      </c>
      <c r="AM18" s="17">
        <f t="shared" si="103"/>
        <v>0</v>
      </c>
      <c r="AN18" s="17">
        <f t="shared" si="103"/>
        <v>0</v>
      </c>
      <c r="AO18" s="17">
        <f t="shared" si="26"/>
        <v>0</v>
      </c>
      <c r="AP18" s="17">
        <f t="shared" ref="AP18:AS18" si="104">IF(OR(L19=""),"",(L19-L18)*100)</f>
        <v>3140.00000000087</v>
      </c>
      <c r="AQ18" s="17">
        <f t="shared" si="104"/>
        <v>0</v>
      </c>
      <c r="AR18" s="17">
        <f t="shared" si="104"/>
        <v>2719.99999999971</v>
      </c>
      <c r="AS18" s="17">
        <f t="shared" si="104"/>
        <v>2369.99999999971</v>
      </c>
      <c r="AT18" s="17">
        <f t="shared" si="28"/>
        <v>8230.00000000029</v>
      </c>
      <c r="AU18" s="17">
        <f t="shared" ref="AU18:AY18" si="105">IF(OR(P19=""),"",(P19-P18)*1000)</f>
        <v>0</v>
      </c>
      <c r="AV18" s="17">
        <f t="shared" si="105"/>
        <v>0</v>
      </c>
      <c r="AW18" s="17">
        <f t="shared" si="105"/>
        <v>4399.99999999964</v>
      </c>
      <c r="AX18" s="17">
        <f t="shared" si="105"/>
        <v>5000</v>
      </c>
      <c r="AY18" s="17">
        <f t="shared" si="105"/>
        <v>0</v>
      </c>
      <c r="AZ18" s="17">
        <f t="shared" si="30"/>
        <v>9399.99999999964</v>
      </c>
      <c r="BA18" s="17">
        <f t="shared" si="31"/>
        <v>10400.0000000015</v>
      </c>
      <c r="BB18" s="17">
        <f t="shared" si="32"/>
        <v>1047.99999999988</v>
      </c>
      <c r="BC18" s="17">
        <f t="shared" si="33"/>
        <v>1455.99999999977</v>
      </c>
      <c r="BD18" s="17">
        <f t="shared" si="34"/>
        <v>16279.6000000228</v>
      </c>
      <c r="BE18" s="17">
        <f t="shared" si="35"/>
        <v>53700.0000000262</v>
      </c>
      <c r="BF18" s="17">
        <f t="shared" si="36"/>
        <v>48.8000000000011</v>
      </c>
      <c r="BG18" s="20">
        <f t="shared" si="37"/>
        <v>0.259451624592469</v>
      </c>
      <c r="BH18" s="20">
        <f t="shared" si="38"/>
        <v>0.0332716511656109</v>
      </c>
      <c r="BI18" s="20">
        <f t="shared" si="39"/>
        <v>0</v>
      </c>
      <c r="BJ18" s="20">
        <f t="shared" si="40"/>
        <v>0.0397632564319376</v>
      </c>
      <c r="BK18" s="20">
        <f t="shared" ref="BK18:BO18" si="106">IF(OR($AD18=0),"",AZ18/$AD18)</f>
        <v>0.0454161130571307</v>
      </c>
      <c r="BL18" s="20">
        <f t="shared" si="106"/>
        <v>0.0502476144461962</v>
      </c>
      <c r="BM18" s="20">
        <f t="shared" si="106"/>
        <v>0.00506341345573081</v>
      </c>
      <c r="BN18" s="20">
        <f t="shared" si="106"/>
        <v>0.00703466602246536</v>
      </c>
      <c r="BO18" s="20">
        <f t="shared" si="106"/>
        <v>0.078654910013397</v>
      </c>
    </row>
    <row r="19" spans="1:67">
      <c r="A19" s="25">
        <v>43662</v>
      </c>
      <c r="B19" s="10">
        <v>18508.13</v>
      </c>
      <c r="C19" s="8">
        <v>97523.6</v>
      </c>
      <c r="D19" s="8">
        <v>66188.8</v>
      </c>
      <c r="E19" s="8">
        <v>65779.1</v>
      </c>
      <c r="F19" s="8">
        <v>9090.24</v>
      </c>
      <c r="G19" s="8">
        <v>122191.1</v>
      </c>
      <c r="H19" s="8">
        <v>5709.7</v>
      </c>
      <c r="I19" s="8">
        <v>2566.3</v>
      </c>
      <c r="J19" s="8">
        <v>967</v>
      </c>
      <c r="K19" s="8">
        <v>56</v>
      </c>
      <c r="L19" s="8">
        <v>100014.3</v>
      </c>
      <c r="M19" s="8">
        <v>61529.9</v>
      </c>
      <c r="N19" s="8">
        <v>82461</v>
      </c>
      <c r="O19" s="8">
        <v>110500.7</v>
      </c>
      <c r="P19" s="8">
        <v>6337.4</v>
      </c>
      <c r="Q19" s="8">
        <v>8403.6</v>
      </c>
      <c r="R19" s="8">
        <v>4925.4</v>
      </c>
      <c r="S19" s="8">
        <v>6170.2</v>
      </c>
      <c r="T19" s="8">
        <v>8113.2</v>
      </c>
      <c r="U19" s="8">
        <v>18955.9</v>
      </c>
      <c r="V19" s="8">
        <v>54467.5</v>
      </c>
      <c r="W19" s="8">
        <v>58212.4</v>
      </c>
      <c r="X19" s="8">
        <v>5939.5</v>
      </c>
      <c r="Y19" s="8">
        <v>5905.5</v>
      </c>
      <c r="Z19" s="15">
        <f t="shared" si="21"/>
        <v>70057.4</v>
      </c>
      <c r="AA19" s="8">
        <v>4378.7</v>
      </c>
      <c r="AB19" s="13">
        <v>8707</v>
      </c>
      <c r="AC19" s="7">
        <f t="shared" si="22"/>
        <v>13085.7</v>
      </c>
      <c r="AD19" s="16">
        <v>208240</v>
      </c>
      <c r="AE19" s="17">
        <f t="shared" ref="AE19:AI19" si="107">IF(OR(C20=""),"",(C20-C19)*80)</f>
        <v>0</v>
      </c>
      <c r="AF19" s="17">
        <f t="shared" si="107"/>
        <v>0</v>
      </c>
      <c r="AG19" s="17">
        <f t="shared" si="107"/>
        <v>2720</v>
      </c>
      <c r="AH19" s="17">
        <f t="shared" si="107"/>
        <v>2364.00000000009</v>
      </c>
      <c r="AI19" s="17">
        <f t="shared" si="107"/>
        <v>2135.99999999977</v>
      </c>
      <c r="AJ19" s="17">
        <f t="shared" si="24"/>
        <v>7219.99999999985</v>
      </c>
      <c r="AK19" s="17">
        <f t="shared" ref="AK19:AN19" si="108">IF(OR(H20=""),"",(H20-H19)*80)</f>
        <v>0</v>
      </c>
      <c r="AL19" s="17">
        <f t="shared" si="108"/>
        <v>0</v>
      </c>
      <c r="AM19" s="17">
        <f t="shared" si="108"/>
        <v>0</v>
      </c>
      <c r="AN19" s="17">
        <f t="shared" si="108"/>
        <v>0</v>
      </c>
      <c r="AO19" s="17">
        <f t="shared" si="26"/>
        <v>0</v>
      </c>
      <c r="AP19" s="17">
        <f t="shared" ref="AP19:AS19" si="109">IF(OR(L20=""),"",(L20-L19)*100)</f>
        <v>3119.99999999971</v>
      </c>
      <c r="AQ19" s="17">
        <f t="shared" si="109"/>
        <v>0</v>
      </c>
      <c r="AR19" s="17">
        <f t="shared" si="109"/>
        <v>2660.00000000058</v>
      </c>
      <c r="AS19" s="17">
        <f t="shared" si="109"/>
        <v>2390.00000000087</v>
      </c>
      <c r="AT19" s="17">
        <f t="shared" si="28"/>
        <v>8170.00000000116</v>
      </c>
      <c r="AU19" s="17">
        <f t="shared" ref="AU19:AY19" si="110">IF(OR(P20=""),"",(P20-P19)*1000)</f>
        <v>0</v>
      </c>
      <c r="AV19" s="17">
        <f t="shared" si="110"/>
        <v>0</v>
      </c>
      <c r="AW19" s="17">
        <f t="shared" si="110"/>
        <v>4500</v>
      </c>
      <c r="AX19" s="17">
        <f t="shared" si="110"/>
        <v>5000</v>
      </c>
      <c r="AY19" s="17">
        <f t="shared" si="110"/>
        <v>0</v>
      </c>
      <c r="AZ19" s="17">
        <f t="shared" si="30"/>
        <v>9500</v>
      </c>
      <c r="BA19" s="17">
        <f t="shared" si="31"/>
        <v>10199.9999999971</v>
      </c>
      <c r="BB19" s="17">
        <f t="shared" si="32"/>
        <v>560</v>
      </c>
      <c r="BC19" s="17">
        <f t="shared" si="33"/>
        <v>1456.00000000035</v>
      </c>
      <c r="BD19" s="17">
        <f t="shared" si="34"/>
        <v>15993.9999999783</v>
      </c>
      <c r="BE19" s="17">
        <f t="shared" si="35"/>
        <v>53099.9999999767</v>
      </c>
      <c r="BF19" s="17">
        <f t="shared" si="36"/>
        <v>48.7999999999993</v>
      </c>
      <c r="BG19" s="20">
        <f t="shared" si="37"/>
        <v>0.254994237418252</v>
      </c>
      <c r="BH19" s="20">
        <f t="shared" si="38"/>
        <v>0.0346715328467146</v>
      </c>
      <c r="BI19" s="20">
        <f t="shared" si="39"/>
        <v>0</v>
      </c>
      <c r="BJ19" s="20">
        <f t="shared" si="40"/>
        <v>0.0392335766423414</v>
      </c>
      <c r="BK19" s="20">
        <f t="shared" ref="BK19:BO19" si="111">IF(OR($AD19=0),"",AZ19/$AD19)</f>
        <v>0.0456204379562044</v>
      </c>
      <c r="BL19" s="20">
        <f t="shared" si="111"/>
        <v>0.0489819439108581</v>
      </c>
      <c r="BM19" s="20">
        <f t="shared" si="111"/>
        <v>0.00268920476373415</v>
      </c>
      <c r="BN19" s="20">
        <f t="shared" si="111"/>
        <v>0.00699193238571048</v>
      </c>
      <c r="BO19" s="20">
        <f t="shared" si="111"/>
        <v>0.0768056089126885</v>
      </c>
    </row>
    <row r="20" spans="1:67">
      <c r="A20" s="25">
        <v>43663</v>
      </c>
      <c r="B20" s="10">
        <v>18513.44</v>
      </c>
      <c r="C20" s="8">
        <v>97523.6</v>
      </c>
      <c r="D20" s="8">
        <v>66188.8</v>
      </c>
      <c r="E20" s="8">
        <v>65813.1</v>
      </c>
      <c r="F20" s="8">
        <v>9119.79</v>
      </c>
      <c r="G20" s="8">
        <v>122217.8</v>
      </c>
      <c r="H20" s="8">
        <v>5709.7</v>
      </c>
      <c r="I20" s="8">
        <v>2566.3</v>
      </c>
      <c r="J20" s="8">
        <v>967</v>
      </c>
      <c r="K20" s="8">
        <v>56</v>
      </c>
      <c r="L20" s="8">
        <v>100045.5</v>
      </c>
      <c r="M20" s="8">
        <v>61529.9</v>
      </c>
      <c r="N20" s="8">
        <v>82487.6</v>
      </c>
      <c r="O20" s="8">
        <v>110524.6</v>
      </c>
      <c r="P20" s="8">
        <v>6337.4</v>
      </c>
      <c r="Q20" s="8">
        <v>8403.6</v>
      </c>
      <c r="R20" s="8">
        <v>4929.9</v>
      </c>
      <c r="S20" s="8">
        <v>6175.2</v>
      </c>
      <c r="T20" s="8">
        <v>8113.2</v>
      </c>
      <c r="U20" s="8">
        <v>18961</v>
      </c>
      <c r="V20" s="8">
        <v>54474.5</v>
      </c>
      <c r="W20" s="8">
        <v>58228.5</v>
      </c>
      <c r="X20" s="8">
        <v>5948.5</v>
      </c>
      <c r="Y20" s="8">
        <v>5916.8</v>
      </c>
      <c r="Z20" s="15">
        <f t="shared" si="21"/>
        <v>70093.8</v>
      </c>
      <c r="AA20" s="8">
        <v>4420.5</v>
      </c>
      <c r="AB20" s="13">
        <v>8714</v>
      </c>
      <c r="AC20" s="7">
        <f t="shared" si="22"/>
        <v>13134.5</v>
      </c>
      <c r="AD20" s="16">
        <v>209304</v>
      </c>
      <c r="AE20" s="17">
        <f t="shared" ref="AE20:AI20" si="112">IF(OR(C21=""),"",(C21-C20)*80)</f>
        <v>0</v>
      </c>
      <c r="AF20" s="17">
        <f t="shared" si="112"/>
        <v>1720</v>
      </c>
      <c r="AG20" s="17">
        <f t="shared" si="112"/>
        <v>3103.99999999907</v>
      </c>
      <c r="AH20" s="17">
        <f t="shared" si="112"/>
        <v>1051.19999999995</v>
      </c>
      <c r="AI20" s="17">
        <f t="shared" si="112"/>
        <v>2255.99999999977</v>
      </c>
      <c r="AJ20" s="17">
        <f t="shared" si="24"/>
        <v>8131.19999999879</v>
      </c>
      <c r="AK20" s="17">
        <f t="shared" ref="AK20:AN20" si="113">IF(OR(H21=""),"",(H21-H20)*80)</f>
        <v>0</v>
      </c>
      <c r="AL20" s="17">
        <f t="shared" si="113"/>
        <v>0</v>
      </c>
      <c r="AM20" s="17">
        <f t="shared" si="113"/>
        <v>0</v>
      </c>
      <c r="AN20" s="17">
        <f t="shared" si="113"/>
        <v>0</v>
      </c>
      <c r="AO20" s="17">
        <f t="shared" si="26"/>
        <v>0</v>
      </c>
      <c r="AP20" s="17">
        <f t="shared" ref="AP20:AS20" si="114">IF(OR(L21=""),"",(L21-L20)*100)</f>
        <v>3239.99999999942</v>
      </c>
      <c r="AQ20" s="17">
        <f t="shared" si="114"/>
        <v>0</v>
      </c>
      <c r="AR20" s="17">
        <f t="shared" si="114"/>
        <v>2639.99999999942</v>
      </c>
      <c r="AS20" s="17">
        <f t="shared" si="114"/>
        <v>2389.99999999942</v>
      </c>
      <c r="AT20" s="17">
        <f t="shared" si="28"/>
        <v>8269.99999999825</v>
      </c>
      <c r="AU20" s="17">
        <f t="shared" ref="AU20:AY20" si="115">IF(OR(P21=""),"",(P21-P20)*1000)</f>
        <v>0</v>
      </c>
      <c r="AV20" s="17">
        <f t="shared" si="115"/>
        <v>600.000000000364</v>
      </c>
      <c r="AW20" s="17">
        <f t="shared" si="115"/>
        <v>4000</v>
      </c>
      <c r="AX20" s="17">
        <f t="shared" si="115"/>
        <v>5000</v>
      </c>
      <c r="AY20" s="17">
        <f t="shared" si="115"/>
        <v>0</v>
      </c>
      <c r="AZ20" s="17">
        <f t="shared" si="30"/>
        <v>9600.00000000036</v>
      </c>
      <c r="BA20" s="17">
        <f t="shared" si="31"/>
        <v>10400.0000000015</v>
      </c>
      <c r="BB20" s="17">
        <f t="shared" si="32"/>
        <v>544.000000000233</v>
      </c>
      <c r="BC20" s="17">
        <f t="shared" si="33"/>
        <v>1475.99999999977</v>
      </c>
      <c r="BD20" s="17">
        <f t="shared" si="34"/>
        <v>14978.8000000026</v>
      </c>
      <c r="BE20" s="17">
        <f t="shared" si="35"/>
        <v>53400.0000000015</v>
      </c>
      <c r="BF20" s="17">
        <f t="shared" si="36"/>
        <v>49.3999999999996</v>
      </c>
      <c r="BG20" s="20">
        <f t="shared" si="37"/>
        <v>0.255131292283002</v>
      </c>
      <c r="BH20" s="20">
        <f t="shared" si="38"/>
        <v>0.0388487558766139</v>
      </c>
      <c r="BI20" s="20">
        <f t="shared" si="39"/>
        <v>0</v>
      </c>
      <c r="BJ20" s="20">
        <f t="shared" si="40"/>
        <v>0.0395119061269649</v>
      </c>
      <c r="BK20" s="20">
        <f t="shared" ref="BK20:BO20" si="116">IF(OR($AD20=0),"",AZ20/$AD20)</f>
        <v>0.0458662997362705</v>
      </c>
      <c r="BL20" s="20">
        <f t="shared" si="116"/>
        <v>0.0496884913809648</v>
      </c>
      <c r="BM20" s="20">
        <f t="shared" si="116"/>
        <v>0.00259909031838968</v>
      </c>
      <c r="BN20" s="20">
        <f t="shared" si="116"/>
        <v>0.00705194358445021</v>
      </c>
      <c r="BO20" s="20">
        <f t="shared" si="116"/>
        <v>0.0715648052593481</v>
      </c>
    </row>
    <row r="21" spans="1:67">
      <c r="A21" s="25">
        <v>43664</v>
      </c>
      <c r="B21" s="10">
        <v>18518.78</v>
      </c>
      <c r="C21" s="8">
        <v>97523.6</v>
      </c>
      <c r="D21" s="8">
        <v>66210.3</v>
      </c>
      <c r="E21" s="8">
        <v>65851.9</v>
      </c>
      <c r="F21" s="8">
        <v>9132.93</v>
      </c>
      <c r="G21" s="8">
        <v>122246</v>
      </c>
      <c r="H21" s="8">
        <v>5709.7</v>
      </c>
      <c r="I21" s="8">
        <v>2566.3</v>
      </c>
      <c r="J21" s="8">
        <v>967</v>
      </c>
      <c r="K21" s="8">
        <v>56</v>
      </c>
      <c r="L21" s="8">
        <v>100077.9</v>
      </c>
      <c r="M21" s="8">
        <v>61529.9</v>
      </c>
      <c r="N21" s="8">
        <v>82514</v>
      </c>
      <c r="O21" s="8">
        <v>110548.5</v>
      </c>
      <c r="P21" s="8">
        <v>6337.4</v>
      </c>
      <c r="Q21" s="8">
        <v>8404.2</v>
      </c>
      <c r="R21" s="8">
        <v>4933.9</v>
      </c>
      <c r="S21" s="8">
        <v>6180.2</v>
      </c>
      <c r="T21" s="8">
        <v>8113.2</v>
      </c>
      <c r="U21" s="8">
        <v>18966.2</v>
      </c>
      <c r="V21" s="8">
        <v>54481.3</v>
      </c>
      <c r="W21" s="8">
        <v>58245</v>
      </c>
      <c r="X21" s="8">
        <v>5957.5</v>
      </c>
      <c r="Y21" s="8">
        <v>5928.2</v>
      </c>
      <c r="Z21" s="15">
        <f t="shared" si="21"/>
        <v>70130.7</v>
      </c>
      <c r="AA21" s="8">
        <v>4463.9</v>
      </c>
      <c r="AB21" s="13">
        <v>8720</v>
      </c>
      <c r="AC21" s="7">
        <f t="shared" si="22"/>
        <v>13183.9</v>
      </c>
      <c r="AD21" s="16">
        <v>205876</v>
      </c>
      <c r="AE21" s="17">
        <f t="shared" ref="AE21:AI21" si="117">IF(OR(C22=""),"",(C22-C21)*80)</f>
        <v>0</v>
      </c>
      <c r="AF21" s="17">
        <f t="shared" si="117"/>
        <v>2951.99999999953</v>
      </c>
      <c r="AG21" s="17">
        <f t="shared" si="117"/>
        <v>3040</v>
      </c>
      <c r="AH21" s="17">
        <f t="shared" si="117"/>
        <v>4.79999999995925</v>
      </c>
      <c r="AI21" s="17">
        <f t="shared" si="117"/>
        <v>2415.99999999977</v>
      </c>
      <c r="AJ21" s="17">
        <f t="shared" si="24"/>
        <v>8412.79999999926</v>
      </c>
      <c r="AK21" s="17">
        <f t="shared" ref="AK21:AN21" si="118">IF(OR(H22=""),"",(H22-H21)*80)</f>
        <v>0</v>
      </c>
      <c r="AL21" s="17">
        <f t="shared" si="118"/>
        <v>0</v>
      </c>
      <c r="AM21" s="17">
        <f t="shared" si="118"/>
        <v>0</v>
      </c>
      <c r="AN21" s="17">
        <f t="shared" si="118"/>
        <v>0</v>
      </c>
      <c r="AO21" s="17">
        <f t="shared" si="26"/>
        <v>0</v>
      </c>
      <c r="AP21" s="17">
        <f t="shared" ref="AP21:AS21" si="119">IF(OR(L22=""),"",(L22-L21)*100)</f>
        <v>2930.00000000029</v>
      </c>
      <c r="AQ21" s="17">
        <f t="shared" si="119"/>
        <v>9.99999999985448</v>
      </c>
      <c r="AR21" s="17">
        <f t="shared" si="119"/>
        <v>2619.99999999971</v>
      </c>
      <c r="AS21" s="17">
        <f t="shared" si="119"/>
        <v>2310.00000000058</v>
      </c>
      <c r="AT21" s="17">
        <f t="shared" si="28"/>
        <v>7870.00000000044</v>
      </c>
      <c r="AU21" s="17">
        <f t="shared" ref="AU21:AY21" si="120">IF(OR(P22=""),"",(P22-P21)*1000)</f>
        <v>0</v>
      </c>
      <c r="AV21" s="17">
        <f t="shared" si="120"/>
        <v>7199.99999999891</v>
      </c>
      <c r="AW21" s="17">
        <f t="shared" si="120"/>
        <v>0</v>
      </c>
      <c r="AX21" s="17">
        <f t="shared" si="120"/>
        <v>5000</v>
      </c>
      <c r="AY21" s="17">
        <f t="shared" si="120"/>
        <v>0</v>
      </c>
      <c r="AZ21" s="17">
        <f t="shared" si="30"/>
        <v>12199.9999999989</v>
      </c>
      <c r="BA21" s="17">
        <f t="shared" si="31"/>
        <v>10000</v>
      </c>
      <c r="BB21" s="17">
        <f t="shared" si="32"/>
        <v>560</v>
      </c>
      <c r="BC21" s="17">
        <f t="shared" si="33"/>
        <v>1440</v>
      </c>
      <c r="BD21" s="17">
        <f t="shared" si="34"/>
        <v>9917.20000001013</v>
      </c>
      <c r="BE21" s="17">
        <f t="shared" si="35"/>
        <v>50400.0000000087</v>
      </c>
      <c r="BF21" s="17">
        <f t="shared" si="36"/>
        <v>48.8999999999996</v>
      </c>
      <c r="BG21" s="20">
        <f t="shared" si="37"/>
        <v>0.244807554061711</v>
      </c>
      <c r="BH21" s="20">
        <f t="shared" si="38"/>
        <v>0.0408634323573377</v>
      </c>
      <c r="BI21" s="20">
        <f t="shared" si="39"/>
        <v>0</v>
      </c>
      <c r="BJ21" s="20">
        <f t="shared" si="40"/>
        <v>0.0382268938584412</v>
      </c>
      <c r="BK21" s="20">
        <f t="shared" ref="BK21:BO21" si="121">IF(OR($AD21=0),"",AZ21/$AD21)</f>
        <v>0.0592589714196842</v>
      </c>
      <c r="BL21" s="20">
        <f t="shared" si="121"/>
        <v>0.0485729273931881</v>
      </c>
      <c r="BM21" s="20">
        <f t="shared" si="121"/>
        <v>0.00272008393401854</v>
      </c>
      <c r="BN21" s="20">
        <f t="shared" si="121"/>
        <v>0.00699450154461909</v>
      </c>
      <c r="BO21" s="20">
        <f t="shared" si="121"/>
        <v>0.0481707435544217</v>
      </c>
    </row>
    <row r="22" spans="1:67">
      <c r="A22" s="25">
        <v>43665</v>
      </c>
      <c r="B22" s="10">
        <v>18523.82</v>
      </c>
      <c r="C22" s="8">
        <v>97523.6</v>
      </c>
      <c r="D22" s="8">
        <v>66247.2</v>
      </c>
      <c r="E22" s="8">
        <v>65889.9</v>
      </c>
      <c r="F22" s="8">
        <v>9132.99</v>
      </c>
      <c r="G22" s="8">
        <v>122276.2</v>
      </c>
      <c r="H22" s="8">
        <v>5709.7</v>
      </c>
      <c r="I22" s="8">
        <v>2566.3</v>
      </c>
      <c r="J22" s="8">
        <v>967</v>
      </c>
      <c r="K22" s="8">
        <v>56</v>
      </c>
      <c r="L22" s="8">
        <v>100107.2</v>
      </c>
      <c r="M22" s="8">
        <v>61530</v>
      </c>
      <c r="N22" s="8">
        <v>82540.2</v>
      </c>
      <c r="O22" s="8">
        <v>110571.6</v>
      </c>
      <c r="P22" s="8">
        <v>6337.4</v>
      </c>
      <c r="Q22" s="8">
        <v>8411.4</v>
      </c>
      <c r="R22" s="8">
        <v>4933.9</v>
      </c>
      <c r="S22" s="8">
        <v>6185.2</v>
      </c>
      <c r="T22" s="8">
        <v>8113.2</v>
      </c>
      <c r="U22" s="8">
        <v>18971.2</v>
      </c>
      <c r="V22" s="8">
        <v>54488.3</v>
      </c>
      <c r="W22" s="8">
        <v>58261.1</v>
      </c>
      <c r="X22" s="8">
        <v>5966.3</v>
      </c>
      <c r="Y22" s="8">
        <v>5939.3</v>
      </c>
      <c r="Z22" s="15">
        <f t="shared" si="21"/>
        <v>70166.7</v>
      </c>
      <c r="AA22" s="8">
        <v>4505.8</v>
      </c>
      <c r="AB22" s="13">
        <v>8727</v>
      </c>
      <c r="AC22" s="7">
        <f t="shared" si="22"/>
        <v>13232.8</v>
      </c>
      <c r="AD22" s="16">
        <v>204154</v>
      </c>
      <c r="AE22" s="17">
        <f t="shared" ref="AE22:AI22" si="122">IF(OR(C23=""),"",(C23-C22)*80)</f>
        <v>0</v>
      </c>
      <c r="AF22" s="17">
        <f t="shared" si="122"/>
        <v>1368.00000000047</v>
      </c>
      <c r="AG22" s="17">
        <f t="shared" si="122"/>
        <v>2264.00000000023</v>
      </c>
      <c r="AH22" s="17">
        <f t="shared" si="122"/>
        <v>1195.20000000004</v>
      </c>
      <c r="AI22" s="17">
        <f t="shared" si="122"/>
        <v>2504.00000000023</v>
      </c>
      <c r="AJ22" s="17">
        <f t="shared" si="24"/>
        <v>7331.20000000097</v>
      </c>
      <c r="AK22" s="17">
        <f t="shared" ref="AK22:AN22" si="123">IF(OR(H23=""),"",(H23-H22)*80)</f>
        <v>0</v>
      </c>
      <c r="AL22" s="17">
        <f t="shared" si="123"/>
        <v>0</v>
      </c>
      <c r="AM22" s="17">
        <f t="shared" si="123"/>
        <v>0</v>
      </c>
      <c r="AN22" s="17">
        <f t="shared" si="123"/>
        <v>0</v>
      </c>
      <c r="AO22" s="17">
        <f t="shared" si="26"/>
        <v>0</v>
      </c>
      <c r="AP22" s="17">
        <f t="shared" ref="AP22:AS22" si="124">IF(OR(L23=""),"",(L23-L22)*100)</f>
        <v>2850</v>
      </c>
      <c r="AQ22" s="17">
        <f t="shared" si="124"/>
        <v>0</v>
      </c>
      <c r="AR22" s="17">
        <f t="shared" si="124"/>
        <v>2690.00000000087</v>
      </c>
      <c r="AS22" s="17">
        <f t="shared" si="124"/>
        <v>2319.99999999971</v>
      </c>
      <c r="AT22" s="17">
        <f t="shared" si="28"/>
        <v>7860.00000000058</v>
      </c>
      <c r="AU22" s="17">
        <f t="shared" ref="AU22:AY22" si="125">IF(OR(P23=""),"",(P23-P22)*1000)</f>
        <v>0</v>
      </c>
      <c r="AV22" s="17">
        <f t="shared" si="125"/>
        <v>7100.00000000036</v>
      </c>
      <c r="AW22" s="17">
        <f t="shared" si="125"/>
        <v>0</v>
      </c>
      <c r="AX22" s="17">
        <f t="shared" si="125"/>
        <v>5199.99999999982</v>
      </c>
      <c r="AY22" s="17">
        <f t="shared" si="125"/>
        <v>0</v>
      </c>
      <c r="AZ22" s="17">
        <f t="shared" si="30"/>
        <v>12300.0000000002</v>
      </c>
      <c r="BA22" s="17">
        <f t="shared" si="31"/>
        <v>9799.99999999563</v>
      </c>
      <c r="BB22" s="17">
        <f t="shared" si="32"/>
        <v>983.999999999651</v>
      </c>
      <c r="BC22" s="17">
        <f t="shared" si="33"/>
        <v>1440</v>
      </c>
      <c r="BD22" s="17">
        <f t="shared" si="34"/>
        <v>11084.8000000204</v>
      </c>
      <c r="BE22" s="17">
        <f t="shared" si="35"/>
        <v>50800.0000000175</v>
      </c>
      <c r="BF22" s="17">
        <f t="shared" si="36"/>
        <v>48.2000000000007</v>
      </c>
      <c r="BG22" s="20">
        <f t="shared" si="37"/>
        <v>0.24883176425648</v>
      </c>
      <c r="BH22" s="20">
        <f t="shared" si="38"/>
        <v>0.0359101462621402</v>
      </c>
      <c r="BI22" s="20">
        <f t="shared" si="39"/>
        <v>0</v>
      </c>
      <c r="BJ22" s="20">
        <f t="shared" si="40"/>
        <v>0.0385003477766812</v>
      </c>
      <c r="BK22" s="20">
        <f t="shared" ref="BK22:BO22" si="126">IF(OR($AD22=0),"",AZ22/$AD22)</f>
        <v>0.0602486358337343</v>
      </c>
      <c r="BL22" s="20">
        <f t="shared" si="126"/>
        <v>0.0480029781439288</v>
      </c>
      <c r="BM22" s="20">
        <f t="shared" si="126"/>
        <v>0.00481989086669696</v>
      </c>
      <c r="BN22" s="20">
        <f t="shared" si="126"/>
        <v>0.00705349882931512</v>
      </c>
      <c r="BO22" s="20">
        <f t="shared" si="126"/>
        <v>0.0542962665439837</v>
      </c>
    </row>
    <row r="23" spans="1:67">
      <c r="A23" s="25">
        <v>43666</v>
      </c>
      <c r="B23" s="10">
        <v>18528.9</v>
      </c>
      <c r="C23" s="8">
        <v>97523.6</v>
      </c>
      <c r="D23" s="8">
        <v>66264.3</v>
      </c>
      <c r="E23" s="8">
        <v>65918.2</v>
      </c>
      <c r="F23" s="8">
        <v>9147.93</v>
      </c>
      <c r="G23" s="8">
        <v>122307.5</v>
      </c>
      <c r="H23" s="8">
        <v>5709.7</v>
      </c>
      <c r="I23" s="8">
        <v>2566.3</v>
      </c>
      <c r="J23" s="8">
        <v>967</v>
      </c>
      <c r="K23" s="8">
        <v>56</v>
      </c>
      <c r="L23" s="8">
        <v>100135.7</v>
      </c>
      <c r="M23" s="8">
        <v>61530</v>
      </c>
      <c r="N23" s="8">
        <v>82567.1</v>
      </c>
      <c r="O23" s="8">
        <v>110594.8</v>
      </c>
      <c r="P23" s="8">
        <v>6337.4</v>
      </c>
      <c r="Q23" s="8">
        <v>8418.5</v>
      </c>
      <c r="R23" s="8">
        <v>4933.9</v>
      </c>
      <c r="S23" s="8">
        <v>6190.4</v>
      </c>
      <c r="T23" s="8">
        <v>8113.2</v>
      </c>
      <c r="U23" s="8">
        <v>18976.1</v>
      </c>
      <c r="V23" s="8">
        <v>54500.6</v>
      </c>
      <c r="W23" s="8">
        <v>58277.2</v>
      </c>
      <c r="X23" s="8">
        <v>5975.1</v>
      </c>
      <c r="Y23" s="8">
        <v>5950.4</v>
      </c>
      <c r="Z23" s="15">
        <f t="shared" si="21"/>
        <v>70202.7</v>
      </c>
      <c r="AA23" s="8">
        <v>4547</v>
      </c>
      <c r="AB23" s="13">
        <v>8734</v>
      </c>
      <c r="AC23" s="7">
        <f t="shared" si="22"/>
        <v>13281</v>
      </c>
      <c r="AD23" s="16">
        <v>201046</v>
      </c>
      <c r="AE23" s="17">
        <f t="shared" ref="AE23:AI23" si="127">IF(OR(C24=""),"",(C24-C23)*80)</f>
        <v>0</v>
      </c>
      <c r="AF23" s="17">
        <f t="shared" si="127"/>
        <v>3000</v>
      </c>
      <c r="AG23" s="17">
        <f t="shared" si="127"/>
        <v>3175.99999999977</v>
      </c>
      <c r="AH23" s="17">
        <f t="shared" si="127"/>
        <v>3.99999999994179</v>
      </c>
      <c r="AI23" s="17">
        <f t="shared" si="127"/>
        <v>2495.99999999977</v>
      </c>
      <c r="AJ23" s="17">
        <f t="shared" si="24"/>
        <v>8675.99999999948</v>
      </c>
      <c r="AK23" s="17">
        <f t="shared" ref="AK23:AN23" si="128">IF(OR(H24=""),"",(H24-H23)*80)</f>
        <v>0</v>
      </c>
      <c r="AL23" s="17">
        <f t="shared" si="128"/>
        <v>0</v>
      </c>
      <c r="AM23" s="17">
        <f t="shared" si="128"/>
        <v>0</v>
      </c>
      <c r="AN23" s="17">
        <f t="shared" si="128"/>
        <v>0</v>
      </c>
      <c r="AO23" s="17">
        <f t="shared" si="26"/>
        <v>0</v>
      </c>
      <c r="AP23" s="17">
        <f t="shared" ref="AP23:AS23" si="129">IF(OR(L24=""),"",(L24-L23)*100)</f>
        <v>2780.00000000029</v>
      </c>
      <c r="AQ23" s="17">
        <f t="shared" si="129"/>
        <v>0</v>
      </c>
      <c r="AR23" s="17">
        <f t="shared" si="129"/>
        <v>2819.99999999971</v>
      </c>
      <c r="AS23" s="17">
        <f t="shared" si="129"/>
        <v>2339.99999999942</v>
      </c>
      <c r="AT23" s="17">
        <f t="shared" si="28"/>
        <v>7939.99999999942</v>
      </c>
      <c r="AU23" s="17">
        <f t="shared" ref="AU23:AY23" si="130">IF(OR(P24=""),"",(P24-P23)*1000)</f>
        <v>0</v>
      </c>
      <c r="AV23" s="17">
        <f t="shared" si="130"/>
        <v>7700.00000000073</v>
      </c>
      <c r="AW23" s="17">
        <f t="shared" si="130"/>
        <v>0</v>
      </c>
      <c r="AX23" s="17">
        <f t="shared" si="130"/>
        <v>5100.00000000036</v>
      </c>
      <c r="AY23" s="17">
        <f t="shared" si="130"/>
        <v>0</v>
      </c>
      <c r="AZ23" s="17">
        <f t="shared" si="30"/>
        <v>12800.0000000011</v>
      </c>
      <c r="BA23" s="17">
        <f t="shared" si="31"/>
        <v>10000</v>
      </c>
      <c r="BB23" s="17">
        <f t="shared" si="32"/>
        <v>992.000000000116</v>
      </c>
      <c r="BC23" s="17">
        <f t="shared" si="33"/>
        <v>1475.99999999977</v>
      </c>
      <c r="BD23" s="17">
        <f t="shared" si="34"/>
        <v>11516.0000000016</v>
      </c>
      <c r="BE23" s="17">
        <f t="shared" si="35"/>
        <v>53400.0000000015</v>
      </c>
      <c r="BF23" s="17">
        <f t="shared" si="36"/>
        <v>47.2000000000007</v>
      </c>
      <c r="BG23" s="20">
        <f t="shared" si="37"/>
        <v>0.265610855227169</v>
      </c>
      <c r="BH23" s="20">
        <f t="shared" si="38"/>
        <v>0.0431543029953318</v>
      </c>
      <c r="BI23" s="20">
        <f t="shared" si="39"/>
        <v>0</v>
      </c>
      <c r="BJ23" s="20">
        <f t="shared" si="40"/>
        <v>0.0394934492603654</v>
      </c>
      <c r="BK23" s="20">
        <f t="shared" ref="BK23:BO23" si="131">IF(OR($AD23=0),"",AZ23/$AD23)</f>
        <v>0.0636670214776772</v>
      </c>
      <c r="BL23" s="20">
        <f t="shared" si="131"/>
        <v>0.0497398605294311</v>
      </c>
      <c r="BM23" s="20">
        <f t="shared" si="131"/>
        <v>0.00493419416452014</v>
      </c>
      <c r="BN23" s="20">
        <f t="shared" si="131"/>
        <v>0.00734160341414287</v>
      </c>
      <c r="BO23" s="20">
        <f t="shared" si="131"/>
        <v>0.0572804233857007</v>
      </c>
    </row>
    <row r="24" spans="1:67">
      <c r="A24" s="25">
        <v>43667</v>
      </c>
      <c r="B24" s="10">
        <v>18534.24</v>
      </c>
      <c r="C24" s="8">
        <v>97523.6</v>
      </c>
      <c r="D24" s="8">
        <v>66301.8</v>
      </c>
      <c r="E24" s="8">
        <v>65957.9</v>
      </c>
      <c r="F24" s="8">
        <v>9147.98</v>
      </c>
      <c r="G24" s="8">
        <v>122338.7</v>
      </c>
      <c r="H24" s="8">
        <v>5709.7</v>
      </c>
      <c r="I24" s="8">
        <v>2566.3</v>
      </c>
      <c r="J24" s="8">
        <v>967</v>
      </c>
      <c r="K24" s="8">
        <v>56</v>
      </c>
      <c r="L24" s="8">
        <v>100163.5</v>
      </c>
      <c r="M24" s="8">
        <v>61530</v>
      </c>
      <c r="N24" s="8">
        <v>82595.3</v>
      </c>
      <c r="O24" s="8">
        <v>110618.2</v>
      </c>
      <c r="P24" s="8">
        <v>6337.4</v>
      </c>
      <c r="Q24" s="8">
        <v>8426.2</v>
      </c>
      <c r="R24" s="8">
        <v>4933.9</v>
      </c>
      <c r="S24" s="8">
        <v>6195.5</v>
      </c>
      <c r="T24" s="8">
        <v>8113.2</v>
      </c>
      <c r="U24" s="8">
        <v>18981.1</v>
      </c>
      <c r="V24" s="8">
        <v>54513</v>
      </c>
      <c r="W24" s="8">
        <v>58293.5</v>
      </c>
      <c r="X24" s="8">
        <v>5984.2</v>
      </c>
      <c r="Y24" s="8">
        <v>5961.9</v>
      </c>
      <c r="Z24" s="15">
        <f t="shared" si="21"/>
        <v>70239.6</v>
      </c>
      <c r="AA24" s="8">
        <v>4588.2</v>
      </c>
      <c r="AB24" s="13">
        <v>8740</v>
      </c>
      <c r="AC24" s="7">
        <f t="shared" si="22"/>
        <v>13328.2</v>
      </c>
      <c r="AD24" s="16">
        <v>204380</v>
      </c>
      <c r="AE24" s="17">
        <f t="shared" ref="AE24:AI24" si="132">IF(OR(C25=""),"",(C25-C24)*80)</f>
        <v>0</v>
      </c>
      <c r="AF24" s="17">
        <f t="shared" si="132"/>
        <v>2400</v>
      </c>
      <c r="AG24" s="17">
        <f t="shared" si="132"/>
        <v>3192.0000000007</v>
      </c>
      <c r="AH24" s="17">
        <f t="shared" si="132"/>
        <v>449.600000000064</v>
      </c>
      <c r="AI24" s="17">
        <f t="shared" si="132"/>
        <v>2752.0000000007</v>
      </c>
      <c r="AJ24" s="17">
        <f t="shared" si="24"/>
        <v>8793.60000000146</v>
      </c>
      <c r="AK24" s="17">
        <f t="shared" ref="AK24:AN24" si="133">IF(OR(H25=""),"",(H25-H24)*80)</f>
        <v>0</v>
      </c>
      <c r="AL24" s="17">
        <f t="shared" si="133"/>
        <v>0</v>
      </c>
      <c r="AM24" s="17">
        <f t="shared" si="133"/>
        <v>0</v>
      </c>
      <c r="AN24" s="17">
        <f t="shared" si="133"/>
        <v>0</v>
      </c>
      <c r="AO24" s="17">
        <f t="shared" si="26"/>
        <v>0</v>
      </c>
      <c r="AP24" s="17">
        <f t="shared" ref="AP24:AS24" si="134">IF(OR(L25=""),"",(L25-L24)*100)</f>
        <v>2980.00000000029</v>
      </c>
      <c r="AQ24" s="17">
        <f t="shared" si="134"/>
        <v>0</v>
      </c>
      <c r="AR24" s="17">
        <f t="shared" si="134"/>
        <v>2830.00000000029</v>
      </c>
      <c r="AS24" s="17">
        <f t="shared" si="134"/>
        <v>2360.00000000058</v>
      </c>
      <c r="AT24" s="17">
        <f t="shared" si="28"/>
        <v>8170.00000000116</v>
      </c>
      <c r="AU24" s="17">
        <f t="shared" ref="AU24:AY24" si="135">IF(OR(P25=""),"",(P25-P24)*1000)</f>
        <v>0</v>
      </c>
      <c r="AV24" s="17">
        <f t="shared" si="135"/>
        <v>7500</v>
      </c>
      <c r="AW24" s="17">
        <f t="shared" si="135"/>
        <v>0</v>
      </c>
      <c r="AX24" s="17">
        <f t="shared" si="135"/>
        <v>300.000000000182</v>
      </c>
      <c r="AY24" s="17">
        <f t="shared" si="135"/>
        <v>8600.00000000036</v>
      </c>
      <c r="AZ24" s="17">
        <f t="shared" si="30"/>
        <v>16400.0000000005</v>
      </c>
      <c r="BA24" s="17">
        <f t="shared" si="31"/>
        <v>10400.0000000015</v>
      </c>
      <c r="BB24" s="17">
        <f t="shared" si="32"/>
        <v>1047.99999999988</v>
      </c>
      <c r="BC24" s="17">
        <f t="shared" si="33"/>
        <v>1480</v>
      </c>
      <c r="BD24" s="17">
        <f t="shared" si="34"/>
        <v>8008.39999996202</v>
      </c>
      <c r="BE24" s="17">
        <f t="shared" si="35"/>
        <v>54299.9999999665</v>
      </c>
      <c r="BF24" s="17">
        <f t="shared" si="36"/>
        <v>48.3999999999996</v>
      </c>
      <c r="BG24" s="20">
        <f t="shared" si="37"/>
        <v>0.265681573539322</v>
      </c>
      <c r="BH24" s="20">
        <f t="shared" si="38"/>
        <v>0.0430257363734292</v>
      </c>
      <c r="BI24" s="20">
        <f t="shared" si="39"/>
        <v>0</v>
      </c>
      <c r="BJ24" s="20">
        <f t="shared" si="40"/>
        <v>0.0399745571973831</v>
      </c>
      <c r="BK24" s="20">
        <f t="shared" ref="BK24:BO24" si="136">IF(OR($AD24=0),"",AZ24/$AD24)</f>
        <v>0.0802426851942487</v>
      </c>
      <c r="BL24" s="20">
        <f t="shared" si="136"/>
        <v>0.0508856052451387</v>
      </c>
      <c r="BM24" s="20">
        <f t="shared" si="136"/>
        <v>0.00512770329777808</v>
      </c>
      <c r="BN24" s="20">
        <f t="shared" si="136"/>
        <v>0.00724141305411488</v>
      </c>
      <c r="BO24" s="20">
        <f t="shared" si="136"/>
        <v>0.0391838731772288</v>
      </c>
    </row>
    <row r="25" spans="1:67">
      <c r="A25" s="25">
        <v>43668</v>
      </c>
      <c r="B25" s="10">
        <v>18539.67</v>
      </c>
      <c r="C25" s="8">
        <v>97523.6</v>
      </c>
      <c r="D25" s="8">
        <v>66331.8</v>
      </c>
      <c r="E25" s="8">
        <v>65997.8</v>
      </c>
      <c r="F25" s="8">
        <v>9153.6</v>
      </c>
      <c r="G25" s="8">
        <v>122373.1</v>
      </c>
      <c r="H25" s="8">
        <v>5709.7</v>
      </c>
      <c r="I25" s="8">
        <v>2566.3</v>
      </c>
      <c r="J25" s="8">
        <v>967</v>
      </c>
      <c r="K25" s="8">
        <v>56</v>
      </c>
      <c r="L25" s="8">
        <v>100193.3</v>
      </c>
      <c r="M25" s="8">
        <v>61530</v>
      </c>
      <c r="N25" s="8">
        <v>82623.6</v>
      </c>
      <c r="O25" s="8">
        <v>110641.8</v>
      </c>
      <c r="P25" s="8">
        <v>6337.4</v>
      </c>
      <c r="Q25" s="8">
        <v>8433.7</v>
      </c>
      <c r="R25" s="8">
        <v>4933.9</v>
      </c>
      <c r="S25" s="8">
        <v>6195.8</v>
      </c>
      <c r="T25" s="8">
        <v>8121.8</v>
      </c>
      <c r="U25" s="8">
        <v>18986.3</v>
      </c>
      <c r="V25" s="8">
        <v>54526.1</v>
      </c>
      <c r="W25" s="8">
        <v>58310.1</v>
      </c>
      <c r="X25" s="8">
        <v>5993.2</v>
      </c>
      <c r="Y25" s="8">
        <v>5973.3</v>
      </c>
      <c r="Z25" s="15">
        <f t="shared" si="21"/>
        <v>70276.6</v>
      </c>
      <c r="AA25" s="8">
        <v>4629.6</v>
      </c>
      <c r="AB25" s="13">
        <v>8747</v>
      </c>
      <c r="AC25" s="7">
        <f t="shared" si="22"/>
        <v>13376.6</v>
      </c>
      <c r="AD25" s="16">
        <v>202884</v>
      </c>
      <c r="AE25" s="17">
        <f t="shared" ref="AE25:AI25" si="137">IF(OR(C26=""),"",(C26-C25)*80)</f>
        <v>0</v>
      </c>
      <c r="AF25" s="17">
        <f t="shared" si="137"/>
        <v>871.999999999534</v>
      </c>
      <c r="AG25" s="17">
        <f t="shared" si="137"/>
        <v>2984.00000000023</v>
      </c>
      <c r="AH25" s="17">
        <f t="shared" si="137"/>
        <v>1554.40000000002</v>
      </c>
      <c r="AI25" s="17">
        <f t="shared" si="137"/>
        <v>2663.99999999907</v>
      </c>
      <c r="AJ25" s="17">
        <f t="shared" si="24"/>
        <v>8074.39999999886</v>
      </c>
      <c r="AK25" s="17">
        <f t="shared" ref="AK25:AN25" si="138">IF(OR(H26=""),"",(H26-H25)*80)</f>
        <v>0</v>
      </c>
      <c r="AL25" s="17">
        <f t="shared" si="138"/>
        <v>0</v>
      </c>
      <c r="AM25" s="17">
        <f t="shared" si="138"/>
        <v>0</v>
      </c>
      <c r="AN25" s="17">
        <f t="shared" si="138"/>
        <v>0</v>
      </c>
      <c r="AO25" s="17">
        <f t="shared" si="26"/>
        <v>0</v>
      </c>
      <c r="AP25" s="17">
        <f t="shared" ref="AP25:AS25" si="139">IF(OR(L26=""),"",(L26-L25)*100)</f>
        <v>2800</v>
      </c>
      <c r="AQ25" s="17">
        <f t="shared" si="139"/>
        <v>0</v>
      </c>
      <c r="AR25" s="17">
        <f t="shared" si="139"/>
        <v>2769.99999999971</v>
      </c>
      <c r="AS25" s="17">
        <f t="shared" si="139"/>
        <v>2309.99999999913</v>
      </c>
      <c r="AT25" s="17">
        <f t="shared" si="28"/>
        <v>7879.99999999884</v>
      </c>
      <c r="AU25" s="17">
        <f t="shared" ref="AU25:AY25" si="140">IF(OR(P26=""),"",(P26-P25)*1000)</f>
        <v>0</v>
      </c>
      <c r="AV25" s="17">
        <f t="shared" si="140"/>
        <v>4199.99999999891</v>
      </c>
      <c r="AW25" s="17">
        <f t="shared" si="140"/>
        <v>0</v>
      </c>
      <c r="AX25" s="17">
        <f t="shared" si="140"/>
        <v>1899.99999999964</v>
      </c>
      <c r="AY25" s="17">
        <f t="shared" si="140"/>
        <v>8899.99999999964</v>
      </c>
      <c r="AZ25" s="17">
        <f t="shared" si="30"/>
        <v>14999.9999999982</v>
      </c>
      <c r="BA25" s="17">
        <f t="shared" si="31"/>
        <v>10000</v>
      </c>
      <c r="BB25" s="17">
        <f t="shared" si="32"/>
        <v>1024.00000000023</v>
      </c>
      <c r="BC25" s="17">
        <f t="shared" si="33"/>
        <v>1408.00000000047</v>
      </c>
      <c r="BD25" s="17">
        <f t="shared" si="34"/>
        <v>10413.6000000136</v>
      </c>
      <c r="BE25" s="17">
        <f t="shared" si="35"/>
        <v>53800.0000000102</v>
      </c>
      <c r="BF25" s="17">
        <f t="shared" si="36"/>
        <v>55.1999999999989</v>
      </c>
      <c r="BG25" s="20">
        <f t="shared" si="37"/>
        <v>0.26517615977608</v>
      </c>
      <c r="BH25" s="20">
        <f t="shared" si="38"/>
        <v>0.0397981112359716</v>
      </c>
      <c r="BI25" s="20">
        <f t="shared" si="39"/>
        <v>0</v>
      </c>
      <c r="BJ25" s="20">
        <f t="shared" si="40"/>
        <v>0.0388399282348477</v>
      </c>
      <c r="BK25" s="20">
        <f t="shared" ref="BK25:BO25" si="141">IF(OR($AD25=0),"",AZ25/$AD25)</f>
        <v>0.0739338735434937</v>
      </c>
      <c r="BL25" s="20">
        <f t="shared" si="141"/>
        <v>0.0492892490290018</v>
      </c>
      <c r="BM25" s="20">
        <f t="shared" si="141"/>
        <v>0.00504721910057093</v>
      </c>
      <c r="BN25" s="20">
        <f t="shared" si="141"/>
        <v>0.00693992626328575</v>
      </c>
      <c r="BO25" s="20">
        <f t="shared" si="141"/>
        <v>0.0513278523689084</v>
      </c>
    </row>
    <row r="26" spans="1:67">
      <c r="A26" s="25">
        <v>43669</v>
      </c>
      <c r="B26" s="10">
        <v>18545.05</v>
      </c>
      <c r="C26" s="8">
        <v>97523.6</v>
      </c>
      <c r="D26" s="8">
        <v>66342.7</v>
      </c>
      <c r="E26" s="8">
        <v>66035.1</v>
      </c>
      <c r="F26" s="8">
        <v>9173.03</v>
      </c>
      <c r="G26" s="8">
        <v>122406.4</v>
      </c>
      <c r="H26" s="8">
        <v>5709.7</v>
      </c>
      <c r="I26" s="8">
        <v>2566.3</v>
      </c>
      <c r="J26" s="8">
        <v>967</v>
      </c>
      <c r="K26" s="8">
        <v>56</v>
      </c>
      <c r="L26" s="8">
        <v>100221.3</v>
      </c>
      <c r="M26" s="8">
        <v>61530</v>
      </c>
      <c r="N26" s="8">
        <v>82651.3</v>
      </c>
      <c r="O26" s="8">
        <v>110664.9</v>
      </c>
      <c r="P26" s="8">
        <v>6337.4</v>
      </c>
      <c r="Q26" s="8">
        <v>8437.9</v>
      </c>
      <c r="R26" s="8">
        <v>4933.9</v>
      </c>
      <c r="S26" s="8">
        <v>6197.7</v>
      </c>
      <c r="T26" s="8">
        <v>8130.7</v>
      </c>
      <c r="U26" s="8">
        <v>18991.3</v>
      </c>
      <c r="V26" s="8">
        <v>54538.9</v>
      </c>
      <c r="W26" s="8">
        <v>58325.8</v>
      </c>
      <c r="X26" s="8">
        <v>6001.7</v>
      </c>
      <c r="Y26" s="8">
        <v>5984.3</v>
      </c>
      <c r="Z26" s="15">
        <f t="shared" si="21"/>
        <v>70311.8</v>
      </c>
      <c r="AA26" s="8">
        <v>4668.8</v>
      </c>
      <c r="AB26" s="13">
        <v>8763</v>
      </c>
      <c r="AC26" s="7">
        <f t="shared" si="22"/>
        <v>13431.8</v>
      </c>
      <c r="AD26" s="16">
        <v>186664</v>
      </c>
      <c r="AE26" s="17">
        <f t="shared" ref="AE26:AI26" si="142">IF(OR(C27=""),"",(C27-C26)*80)</f>
        <v>0</v>
      </c>
      <c r="AF26" s="17">
        <f t="shared" si="142"/>
        <v>952.000000000698</v>
      </c>
      <c r="AG26" s="17">
        <f t="shared" si="142"/>
        <v>2680</v>
      </c>
      <c r="AH26" s="17">
        <f t="shared" si="142"/>
        <v>1394.39999999988</v>
      </c>
      <c r="AI26" s="17">
        <f t="shared" si="142"/>
        <v>2256.00000000093</v>
      </c>
      <c r="AJ26" s="17">
        <f t="shared" si="24"/>
        <v>7282.40000000151</v>
      </c>
      <c r="AK26" s="17">
        <f t="shared" ref="AK26:AN26" si="143">IF(OR(H27=""),"",(H27-H26)*80)</f>
        <v>0</v>
      </c>
      <c r="AL26" s="17">
        <f t="shared" si="143"/>
        <v>0</v>
      </c>
      <c r="AM26" s="17">
        <f t="shared" si="143"/>
        <v>0</v>
      </c>
      <c r="AN26" s="17">
        <f t="shared" si="143"/>
        <v>0</v>
      </c>
      <c r="AO26" s="17">
        <f t="shared" si="26"/>
        <v>0</v>
      </c>
      <c r="AP26" s="17">
        <f t="shared" ref="AP26:AS26" si="144">IF(OR(L27=""),"",(L27-L26)*100)</f>
        <v>2609.99999999913</v>
      </c>
      <c r="AQ26" s="17">
        <f t="shared" si="144"/>
        <v>0</v>
      </c>
      <c r="AR26" s="17">
        <f t="shared" si="144"/>
        <v>2630.00000000029</v>
      </c>
      <c r="AS26" s="17">
        <f t="shared" si="144"/>
        <v>2370.00000000116</v>
      </c>
      <c r="AT26" s="17">
        <f t="shared" si="28"/>
        <v>7610.00000000058</v>
      </c>
      <c r="AU26" s="17">
        <f t="shared" ref="AU26:AY26" si="145">IF(OR(P27=""),"",(P27-P26)*1000)</f>
        <v>0</v>
      </c>
      <c r="AV26" s="17">
        <f t="shared" si="145"/>
        <v>7700.00000000073</v>
      </c>
      <c r="AW26" s="17">
        <f t="shared" si="145"/>
        <v>0</v>
      </c>
      <c r="AX26" s="17">
        <f t="shared" si="145"/>
        <v>4900.00000000055</v>
      </c>
      <c r="AY26" s="17">
        <f t="shared" si="145"/>
        <v>0</v>
      </c>
      <c r="AZ26" s="17">
        <f t="shared" si="30"/>
        <v>12600.0000000013</v>
      </c>
      <c r="BA26" s="17">
        <f t="shared" si="31"/>
        <v>10400.0000000015</v>
      </c>
      <c r="BB26" s="17">
        <f t="shared" si="32"/>
        <v>1095.99999999977</v>
      </c>
      <c r="BC26" s="17">
        <f t="shared" si="33"/>
        <v>1480</v>
      </c>
      <c r="BD26" s="17">
        <f t="shared" si="34"/>
        <v>11131.599999994</v>
      </c>
      <c r="BE26" s="17">
        <f t="shared" si="35"/>
        <v>51599.9999999985</v>
      </c>
      <c r="BF26" s="17">
        <f t="shared" si="36"/>
        <v>49.9000000000015</v>
      </c>
      <c r="BG26" s="20">
        <f t="shared" si="37"/>
        <v>0.27643252046457</v>
      </c>
      <c r="BH26" s="20">
        <f t="shared" si="38"/>
        <v>0.0390134144773578</v>
      </c>
      <c r="BI26" s="20">
        <f t="shared" si="39"/>
        <v>0</v>
      </c>
      <c r="BJ26" s="20">
        <f t="shared" si="40"/>
        <v>0.0407684395491395</v>
      </c>
      <c r="BK26" s="20">
        <f t="shared" ref="BK26:BO26" si="146">IF(OR($AD26=0),"",AZ26/$AD26)</f>
        <v>0.0675009642994968</v>
      </c>
      <c r="BL26" s="20">
        <f t="shared" si="146"/>
        <v>0.0557150816440313</v>
      </c>
      <c r="BM26" s="20">
        <f t="shared" si="146"/>
        <v>0.00587151245017661</v>
      </c>
      <c r="BN26" s="20">
        <f t="shared" si="146"/>
        <v>0.00792868469549565</v>
      </c>
      <c r="BO26" s="20">
        <f t="shared" si="146"/>
        <v>0.0596344233488726</v>
      </c>
    </row>
    <row r="27" spans="1:67">
      <c r="A27" s="25">
        <v>43670</v>
      </c>
      <c r="B27" s="10">
        <v>18550.21</v>
      </c>
      <c r="C27" s="8">
        <v>97523.6</v>
      </c>
      <c r="D27" s="8">
        <v>66354.6</v>
      </c>
      <c r="E27" s="8">
        <v>66068.6</v>
      </c>
      <c r="F27" s="8">
        <v>9190.46</v>
      </c>
      <c r="G27" s="8">
        <v>122434.6</v>
      </c>
      <c r="H27" s="8">
        <v>5709.7</v>
      </c>
      <c r="I27" s="8">
        <v>2566.3</v>
      </c>
      <c r="J27" s="8">
        <v>967</v>
      </c>
      <c r="K27" s="8">
        <v>56</v>
      </c>
      <c r="L27" s="8">
        <v>100247.4</v>
      </c>
      <c r="M27" s="8">
        <v>61530</v>
      </c>
      <c r="N27" s="8">
        <v>82677.6</v>
      </c>
      <c r="O27" s="8">
        <v>110688.6</v>
      </c>
      <c r="P27" s="8">
        <v>6337.4</v>
      </c>
      <c r="Q27" s="8">
        <v>8445.6</v>
      </c>
      <c r="R27" s="8">
        <v>4933.9</v>
      </c>
      <c r="S27" s="8">
        <v>6202.6</v>
      </c>
      <c r="T27" s="8">
        <v>8130.7</v>
      </c>
      <c r="U27" s="8">
        <v>18996.5</v>
      </c>
      <c r="V27" s="8">
        <v>54552.6</v>
      </c>
      <c r="W27" s="8">
        <v>58342.3</v>
      </c>
      <c r="X27" s="8">
        <v>6010.7</v>
      </c>
      <c r="Y27" s="8">
        <v>5995.8</v>
      </c>
      <c r="Z27" s="15">
        <f t="shared" si="21"/>
        <v>70348.8</v>
      </c>
      <c r="AA27" s="8">
        <v>4710.7</v>
      </c>
      <c r="AB27" s="13">
        <v>8771</v>
      </c>
      <c r="AC27" s="7">
        <f t="shared" si="22"/>
        <v>13481.7</v>
      </c>
      <c r="AD27" s="16">
        <v>169593</v>
      </c>
      <c r="AE27" s="17">
        <f t="shared" ref="AE27:AI27" si="147">IF(OR(C28=""),"",(C28-C27)*80)</f>
        <v>0</v>
      </c>
      <c r="AF27" s="17">
        <f t="shared" si="147"/>
        <v>1903.99999999907</v>
      </c>
      <c r="AG27" s="17">
        <f t="shared" si="147"/>
        <v>2871.99999999953</v>
      </c>
      <c r="AH27" s="17">
        <f t="shared" si="147"/>
        <v>392.000000000116</v>
      </c>
      <c r="AI27" s="17">
        <f t="shared" si="147"/>
        <v>2191.99999999953</v>
      </c>
      <c r="AJ27" s="17">
        <f t="shared" si="24"/>
        <v>7359.99999999825</v>
      </c>
      <c r="AK27" s="17">
        <f t="shared" ref="AK27:AN27" si="148">IF(OR(H28=""),"",(H28-H27)*80)</f>
        <v>0</v>
      </c>
      <c r="AL27" s="17">
        <f t="shared" si="148"/>
        <v>0</v>
      </c>
      <c r="AM27" s="17">
        <f t="shared" si="148"/>
        <v>0</v>
      </c>
      <c r="AN27" s="17">
        <f t="shared" si="148"/>
        <v>0</v>
      </c>
      <c r="AO27" s="17">
        <f t="shared" si="26"/>
        <v>0</v>
      </c>
      <c r="AP27" s="17">
        <f t="shared" ref="AP27:AS27" si="149">IF(OR(L28=""),"",(L28-L27)*100)</f>
        <v>740.000000000873</v>
      </c>
      <c r="AQ27" s="17">
        <f t="shared" si="149"/>
        <v>0</v>
      </c>
      <c r="AR27" s="17">
        <f t="shared" si="149"/>
        <v>2589.99999999942</v>
      </c>
      <c r="AS27" s="17">
        <f t="shared" si="149"/>
        <v>2339.99999999942</v>
      </c>
      <c r="AT27" s="17">
        <f t="shared" si="28"/>
        <v>5669.99999999971</v>
      </c>
      <c r="AU27" s="17">
        <f t="shared" ref="AU27:AY27" si="150">IF(OR(P28=""),"",(P28-P27)*1000)</f>
        <v>0</v>
      </c>
      <c r="AV27" s="17">
        <f t="shared" si="150"/>
        <v>2899.99999999964</v>
      </c>
      <c r="AW27" s="17">
        <f t="shared" si="150"/>
        <v>3200.00000000073</v>
      </c>
      <c r="AX27" s="17">
        <f t="shared" si="150"/>
        <v>4699.99999999982</v>
      </c>
      <c r="AY27" s="17">
        <f t="shared" si="150"/>
        <v>0</v>
      </c>
      <c r="AZ27" s="17">
        <f t="shared" si="30"/>
        <v>10800.0000000002</v>
      </c>
      <c r="BA27" s="17">
        <f t="shared" si="31"/>
        <v>9199.99999999709</v>
      </c>
      <c r="BB27" s="17">
        <f t="shared" si="32"/>
        <v>752.000000000116</v>
      </c>
      <c r="BC27" s="17">
        <f t="shared" si="33"/>
        <v>1472.00000000012</v>
      </c>
      <c r="BD27" s="17">
        <f t="shared" si="34"/>
        <v>16446.0000000235</v>
      </c>
      <c r="BE27" s="17">
        <f t="shared" si="35"/>
        <v>51700.0000000189</v>
      </c>
      <c r="BF27" s="17">
        <f t="shared" si="36"/>
        <v>46.3999999999996</v>
      </c>
      <c r="BG27" s="20">
        <f t="shared" si="37"/>
        <v>0.30484748780916</v>
      </c>
      <c r="BH27" s="20">
        <f t="shared" si="38"/>
        <v>0.0433980176068485</v>
      </c>
      <c r="BI27" s="20">
        <f t="shared" si="39"/>
        <v>0</v>
      </c>
      <c r="BJ27" s="20">
        <f t="shared" si="40"/>
        <v>0.0334329836726735</v>
      </c>
      <c r="BK27" s="20">
        <f t="shared" ref="BK27:BO27" si="151">IF(OR($AD27=0),"",AZ27/$AD27)</f>
        <v>0.0636818736622395</v>
      </c>
      <c r="BL27" s="20">
        <f t="shared" si="151"/>
        <v>0.0542475220085563</v>
      </c>
      <c r="BM27" s="20">
        <f t="shared" si="151"/>
        <v>0.00443414527722321</v>
      </c>
      <c r="BN27" s="20">
        <f t="shared" si="151"/>
        <v>0.00867960352137244</v>
      </c>
      <c r="BO27" s="20">
        <f t="shared" si="151"/>
        <v>0.0969733420602469</v>
      </c>
    </row>
    <row r="28" spans="1:67">
      <c r="A28" s="25">
        <v>43671</v>
      </c>
      <c r="B28" s="10">
        <v>18555.38</v>
      </c>
      <c r="C28" s="8">
        <v>97523.6</v>
      </c>
      <c r="D28" s="8">
        <v>66378.4</v>
      </c>
      <c r="E28" s="8">
        <v>66104.5</v>
      </c>
      <c r="F28" s="8">
        <v>9195.36</v>
      </c>
      <c r="G28" s="8">
        <v>122462</v>
      </c>
      <c r="H28" s="8">
        <v>5709.7</v>
      </c>
      <c r="I28" s="8">
        <v>2566.3</v>
      </c>
      <c r="J28" s="8">
        <v>967</v>
      </c>
      <c r="K28" s="8">
        <v>56</v>
      </c>
      <c r="L28" s="8">
        <v>100254.8</v>
      </c>
      <c r="M28" s="8">
        <v>61530</v>
      </c>
      <c r="N28" s="8">
        <v>82703.5</v>
      </c>
      <c r="O28" s="8">
        <v>110712</v>
      </c>
      <c r="P28" s="8">
        <v>6337.4</v>
      </c>
      <c r="Q28" s="8">
        <v>8448.5</v>
      </c>
      <c r="R28" s="8">
        <v>4937.1</v>
      </c>
      <c r="S28" s="8">
        <v>6207.3</v>
      </c>
      <c r="T28" s="8">
        <v>8130.7</v>
      </c>
      <c r="U28" s="8">
        <v>19001.1</v>
      </c>
      <c r="V28" s="8">
        <v>54562</v>
      </c>
      <c r="W28" s="8">
        <v>58358.4</v>
      </c>
      <c r="X28" s="8">
        <v>6019.8</v>
      </c>
      <c r="Y28" s="8">
        <v>6007.4</v>
      </c>
      <c r="Z28" s="15">
        <f t="shared" si="21"/>
        <v>70385.6</v>
      </c>
      <c r="AA28" s="8">
        <v>4751.1</v>
      </c>
      <c r="AB28" s="13">
        <v>8777</v>
      </c>
      <c r="AC28" s="7">
        <f t="shared" si="22"/>
        <v>13528.1</v>
      </c>
      <c r="AD28" s="16">
        <v>188624</v>
      </c>
      <c r="AE28" s="17">
        <f t="shared" ref="AE28:AI28" si="152">IF(OR(C29=""),"",(C29-C28)*80)</f>
        <v>0</v>
      </c>
      <c r="AF28" s="17">
        <f t="shared" si="152"/>
        <v>208.000000000466</v>
      </c>
      <c r="AG28" s="17">
        <f t="shared" si="152"/>
        <v>2328.00000000047</v>
      </c>
      <c r="AH28" s="17">
        <f t="shared" si="152"/>
        <v>2035.1999999999</v>
      </c>
      <c r="AI28" s="17">
        <f t="shared" si="152"/>
        <v>2240</v>
      </c>
      <c r="AJ28" s="17">
        <f t="shared" si="24"/>
        <v>6811.20000000083</v>
      </c>
      <c r="AK28" s="17">
        <f t="shared" ref="AK28:AN28" si="153">IF(OR(H29=""),"",(H29-H28)*80)</f>
        <v>0</v>
      </c>
      <c r="AL28" s="17">
        <f t="shared" si="153"/>
        <v>0</v>
      </c>
      <c r="AM28" s="17">
        <f t="shared" si="153"/>
        <v>0</v>
      </c>
      <c r="AN28" s="17">
        <f t="shared" si="153"/>
        <v>0</v>
      </c>
      <c r="AO28" s="17">
        <f t="shared" si="26"/>
        <v>0</v>
      </c>
      <c r="AP28" s="17">
        <f t="shared" ref="AP28:AS28" si="154">IF(OR(L29=""),"",(L29-L28)*100)</f>
        <v>3500</v>
      </c>
      <c r="AQ28" s="17">
        <f t="shared" si="154"/>
        <v>0</v>
      </c>
      <c r="AR28" s="17">
        <f t="shared" si="154"/>
        <v>2539.99999999942</v>
      </c>
      <c r="AS28" s="17">
        <f t="shared" si="154"/>
        <v>2269.99999999971</v>
      </c>
      <c r="AT28" s="17">
        <f t="shared" si="28"/>
        <v>8309.99999999913</v>
      </c>
      <c r="AU28" s="17">
        <f t="shared" ref="AU28:AY28" si="155">IF(OR(P29=""),"",(P29-P28)*1000)</f>
        <v>0</v>
      </c>
      <c r="AV28" s="17">
        <f t="shared" si="155"/>
        <v>2200.00000000073</v>
      </c>
      <c r="AW28" s="17">
        <f t="shared" si="155"/>
        <v>4599.99999999945</v>
      </c>
      <c r="AX28" s="17">
        <f t="shared" si="155"/>
        <v>3800.00000000018</v>
      </c>
      <c r="AY28" s="17">
        <f t="shared" si="155"/>
        <v>0</v>
      </c>
      <c r="AZ28" s="17">
        <f t="shared" si="30"/>
        <v>10600.0000000004</v>
      </c>
      <c r="BA28" s="17">
        <f t="shared" si="31"/>
        <v>9200.00000000437</v>
      </c>
      <c r="BB28" s="17">
        <f t="shared" si="32"/>
        <v>592.000000000116</v>
      </c>
      <c r="BC28" s="17">
        <f t="shared" si="33"/>
        <v>1471.99999999953</v>
      </c>
      <c r="BD28" s="17">
        <f t="shared" si="34"/>
        <v>16414.7999999971</v>
      </c>
      <c r="BE28" s="17">
        <f t="shared" si="35"/>
        <v>53400.0000000015</v>
      </c>
      <c r="BF28" s="17">
        <f t="shared" si="36"/>
        <v>50.6999999999989</v>
      </c>
      <c r="BG28" s="20">
        <f t="shared" si="37"/>
        <v>0.28310289252694</v>
      </c>
      <c r="BH28" s="20">
        <f t="shared" si="38"/>
        <v>0.0361099329883834</v>
      </c>
      <c r="BI28" s="20">
        <f t="shared" si="39"/>
        <v>0</v>
      </c>
      <c r="BJ28" s="20">
        <f t="shared" si="40"/>
        <v>0.0440558995673887</v>
      </c>
      <c r="BK28" s="20">
        <f t="shared" ref="BK28:BO28" si="156">IF(OR($AD28=0),"",AZ28/$AD28)</f>
        <v>0.0561964543218274</v>
      </c>
      <c r="BL28" s="20">
        <f t="shared" si="156"/>
        <v>0.048774281109532</v>
      </c>
      <c r="BM28" s="20">
        <f t="shared" si="156"/>
        <v>0.00313851895835162</v>
      </c>
      <c r="BN28" s="20">
        <f t="shared" si="156"/>
        <v>0.00780388497751895</v>
      </c>
      <c r="BO28" s="20">
        <f t="shared" si="156"/>
        <v>0.0870239206039376</v>
      </c>
    </row>
    <row r="29" spans="1:67">
      <c r="A29" s="25">
        <v>43672</v>
      </c>
      <c r="B29" s="10">
        <v>18560.72</v>
      </c>
      <c r="C29" s="8">
        <v>97523.6</v>
      </c>
      <c r="D29" s="8">
        <v>66381</v>
      </c>
      <c r="E29" s="8">
        <v>66133.6</v>
      </c>
      <c r="F29" s="8">
        <v>9220.8</v>
      </c>
      <c r="G29" s="8">
        <v>122490</v>
      </c>
      <c r="H29" s="8">
        <v>5709.7</v>
      </c>
      <c r="I29" s="8">
        <v>2566.3</v>
      </c>
      <c r="J29" s="8">
        <v>967</v>
      </c>
      <c r="K29" s="8">
        <v>56</v>
      </c>
      <c r="L29" s="8">
        <v>100289.8</v>
      </c>
      <c r="M29" s="8">
        <v>61530</v>
      </c>
      <c r="N29" s="8">
        <v>82728.9</v>
      </c>
      <c r="O29" s="8">
        <v>110734.7</v>
      </c>
      <c r="P29" s="8">
        <v>6337.4</v>
      </c>
      <c r="Q29" s="8">
        <v>8450.7</v>
      </c>
      <c r="R29" s="8">
        <v>4941.7</v>
      </c>
      <c r="S29" s="8">
        <v>6211.1</v>
      </c>
      <c r="T29" s="8">
        <v>8130.7</v>
      </c>
      <c r="U29" s="8">
        <v>19005.7</v>
      </c>
      <c r="V29" s="8">
        <v>54569.4</v>
      </c>
      <c r="W29" s="8">
        <v>58374.7</v>
      </c>
      <c r="X29" s="8">
        <v>6028.8</v>
      </c>
      <c r="Y29" s="8">
        <v>6018.9</v>
      </c>
      <c r="Z29" s="15">
        <f t="shared" si="21"/>
        <v>70422.4</v>
      </c>
      <c r="AA29" s="8">
        <v>4793.8</v>
      </c>
      <c r="AB29" s="13">
        <v>8785</v>
      </c>
      <c r="AC29" s="7">
        <f t="shared" si="22"/>
        <v>13578.8</v>
      </c>
      <c r="AD29" s="16">
        <v>207046</v>
      </c>
      <c r="AE29" s="17">
        <f t="shared" ref="AE29:AI29" si="157">IF(OR(C30=""),"",(C30-C29)*80)</f>
        <v>0</v>
      </c>
      <c r="AF29" s="17">
        <f t="shared" si="157"/>
        <v>1551.99999999953</v>
      </c>
      <c r="AG29" s="17">
        <f t="shared" si="157"/>
        <v>2687.9999999993</v>
      </c>
      <c r="AH29" s="17">
        <f t="shared" si="157"/>
        <v>1172.00000000012</v>
      </c>
      <c r="AI29" s="17">
        <f t="shared" si="157"/>
        <v>2215.99999999977</v>
      </c>
      <c r="AJ29" s="17">
        <f t="shared" si="24"/>
        <v>7627.99999999872</v>
      </c>
      <c r="AK29" s="17">
        <f t="shared" ref="AK29:AN29" si="158">IF(OR(H30=""),"",(H30-H29)*80)</f>
        <v>0</v>
      </c>
      <c r="AL29" s="17">
        <f t="shared" si="158"/>
        <v>0</v>
      </c>
      <c r="AM29" s="17">
        <f t="shared" si="158"/>
        <v>0</v>
      </c>
      <c r="AN29" s="17">
        <f t="shared" si="158"/>
        <v>0</v>
      </c>
      <c r="AO29" s="17">
        <f t="shared" si="26"/>
        <v>0</v>
      </c>
      <c r="AP29" s="17">
        <f t="shared" ref="AP29:AS29" si="159">IF(OR(L30=""),"",(L30-L29)*100)</f>
        <v>2969.99999999971</v>
      </c>
      <c r="AQ29" s="17">
        <f t="shared" si="159"/>
        <v>0</v>
      </c>
      <c r="AR29" s="17">
        <f t="shared" si="159"/>
        <v>2770.00000000116</v>
      </c>
      <c r="AS29" s="17">
        <f t="shared" si="159"/>
        <v>2380.00000000029</v>
      </c>
      <c r="AT29" s="17">
        <f t="shared" si="28"/>
        <v>8120.00000000116</v>
      </c>
      <c r="AU29" s="17">
        <f t="shared" ref="AU29:AY29" si="160">IF(OR(P30=""),"",(P30-P29)*1000)</f>
        <v>0</v>
      </c>
      <c r="AV29" s="17">
        <f t="shared" si="160"/>
        <v>99.9999999985448</v>
      </c>
      <c r="AW29" s="17">
        <f t="shared" si="160"/>
        <v>4900.00000000055</v>
      </c>
      <c r="AX29" s="17">
        <f t="shared" si="160"/>
        <v>5099.99999999945</v>
      </c>
      <c r="AY29" s="17">
        <f t="shared" si="160"/>
        <v>0</v>
      </c>
      <c r="AZ29" s="17">
        <f t="shared" si="30"/>
        <v>10099.9999999985</v>
      </c>
      <c r="BA29" s="17">
        <f t="shared" si="31"/>
        <v>10000</v>
      </c>
      <c r="BB29" s="17">
        <f t="shared" si="32"/>
        <v>583.999999999651</v>
      </c>
      <c r="BC29" s="17">
        <f t="shared" si="33"/>
        <v>1468.00000000047</v>
      </c>
      <c r="BD29" s="17">
        <f t="shared" si="34"/>
        <v>17100.0000000015</v>
      </c>
      <c r="BE29" s="17">
        <f t="shared" si="35"/>
        <v>55000</v>
      </c>
      <c r="BF29" s="17">
        <f t="shared" si="36"/>
        <v>49.1000000000004</v>
      </c>
      <c r="BG29" s="20">
        <f t="shared" si="37"/>
        <v>0.265641451658086</v>
      </c>
      <c r="BH29" s="20">
        <f t="shared" si="38"/>
        <v>0.0368420544226825</v>
      </c>
      <c r="BI29" s="20">
        <f t="shared" si="39"/>
        <v>0</v>
      </c>
      <c r="BJ29" s="20">
        <f t="shared" si="40"/>
        <v>0.0392183379538903</v>
      </c>
      <c r="BK29" s="20">
        <f t="shared" ref="BK29:BO29" si="161">IF(OR($AD29=0),"",AZ29/$AD29)</f>
        <v>0.0487814302135687</v>
      </c>
      <c r="BL29" s="20">
        <f t="shared" si="161"/>
        <v>0.0482984457560156</v>
      </c>
      <c r="BM29" s="20">
        <f t="shared" si="161"/>
        <v>0.00282062923214962</v>
      </c>
      <c r="BN29" s="20">
        <f t="shared" si="161"/>
        <v>0.00709021183698534</v>
      </c>
      <c r="BO29" s="20">
        <f t="shared" si="161"/>
        <v>0.0825903422427937</v>
      </c>
    </row>
    <row r="30" spans="1:67">
      <c r="A30" s="25">
        <v>43673</v>
      </c>
      <c r="B30" s="10">
        <v>18566.22</v>
      </c>
      <c r="C30" s="8">
        <v>97523.6</v>
      </c>
      <c r="D30" s="8">
        <v>66400.4</v>
      </c>
      <c r="E30" s="8">
        <v>66167.2</v>
      </c>
      <c r="F30" s="8">
        <v>9235.45</v>
      </c>
      <c r="G30" s="8">
        <v>122517.7</v>
      </c>
      <c r="H30" s="8">
        <v>5709.7</v>
      </c>
      <c r="I30" s="8">
        <v>2566.3</v>
      </c>
      <c r="J30" s="8">
        <v>967</v>
      </c>
      <c r="K30" s="8">
        <v>56</v>
      </c>
      <c r="L30" s="8">
        <v>100319.5</v>
      </c>
      <c r="M30" s="8">
        <v>61530</v>
      </c>
      <c r="N30" s="8">
        <v>82756.6</v>
      </c>
      <c r="O30" s="8">
        <v>110758.5</v>
      </c>
      <c r="P30" s="8">
        <v>6337.4</v>
      </c>
      <c r="Q30" s="8">
        <v>8450.8</v>
      </c>
      <c r="R30" s="8">
        <v>4946.6</v>
      </c>
      <c r="S30" s="8">
        <v>6216.2</v>
      </c>
      <c r="T30" s="8">
        <v>8130.7</v>
      </c>
      <c r="U30" s="8">
        <v>19010.7</v>
      </c>
      <c r="V30" s="8">
        <v>54576.7</v>
      </c>
      <c r="W30" s="8">
        <v>58390.9</v>
      </c>
      <c r="X30" s="8">
        <v>6037.8</v>
      </c>
      <c r="Y30" s="8">
        <v>6030.4</v>
      </c>
      <c r="Z30" s="15">
        <f t="shared" si="21"/>
        <v>70459.1</v>
      </c>
      <c r="AA30" s="8">
        <v>4835.9</v>
      </c>
      <c r="AB30" s="13">
        <v>8792</v>
      </c>
      <c r="AC30" s="7">
        <f t="shared" si="22"/>
        <v>13627.9</v>
      </c>
      <c r="AD30" s="16">
        <v>204788</v>
      </c>
      <c r="AE30" s="17">
        <f t="shared" ref="AE30:AI30" si="162">IF(OR(C31=""),"",(C31-C30)*80)</f>
        <v>0</v>
      </c>
      <c r="AF30" s="17">
        <f t="shared" si="162"/>
        <v>0</v>
      </c>
      <c r="AG30" s="17">
        <f t="shared" si="162"/>
        <v>2240</v>
      </c>
      <c r="AH30" s="17">
        <f t="shared" si="162"/>
        <v>2266.39999999999</v>
      </c>
      <c r="AI30" s="17">
        <f t="shared" si="162"/>
        <v>2552.0000000007</v>
      </c>
      <c r="AJ30" s="17">
        <f t="shared" si="24"/>
        <v>7058.40000000069</v>
      </c>
      <c r="AK30" s="17">
        <f t="shared" ref="AK30:AN30" si="163">IF(OR(H31=""),"",(H31-H30)*80)</f>
        <v>0</v>
      </c>
      <c r="AL30" s="17">
        <f t="shared" si="163"/>
        <v>0</v>
      </c>
      <c r="AM30" s="17">
        <f t="shared" si="163"/>
        <v>0</v>
      </c>
      <c r="AN30" s="17">
        <f t="shared" si="163"/>
        <v>0</v>
      </c>
      <c r="AO30" s="17">
        <f t="shared" si="26"/>
        <v>0</v>
      </c>
      <c r="AP30" s="17">
        <f t="shared" ref="AP30:AS30" si="164">IF(OR(L31=""),"",(L31-L30)*100)</f>
        <v>3050</v>
      </c>
      <c r="AQ30" s="17">
        <f t="shared" si="164"/>
        <v>0</v>
      </c>
      <c r="AR30" s="17">
        <f t="shared" si="164"/>
        <v>2859.99999999913</v>
      </c>
      <c r="AS30" s="17">
        <f t="shared" si="164"/>
        <v>2410.00000000058</v>
      </c>
      <c r="AT30" s="17">
        <f t="shared" si="28"/>
        <v>8319.99999999971</v>
      </c>
      <c r="AU30" s="17">
        <f t="shared" ref="AU30:AY30" si="165">IF(OR(P31=""),"",(P31-P30)*1000)</f>
        <v>0</v>
      </c>
      <c r="AV30" s="17">
        <f t="shared" si="165"/>
        <v>0</v>
      </c>
      <c r="AW30" s="17">
        <f t="shared" si="165"/>
        <v>4500</v>
      </c>
      <c r="AX30" s="17">
        <f t="shared" si="165"/>
        <v>5000</v>
      </c>
      <c r="AY30" s="17">
        <f t="shared" si="165"/>
        <v>0</v>
      </c>
      <c r="AZ30" s="17">
        <f t="shared" si="30"/>
        <v>9500</v>
      </c>
      <c r="BA30" s="17">
        <f t="shared" si="31"/>
        <v>9799.99999999563</v>
      </c>
      <c r="BB30" s="17">
        <f t="shared" si="32"/>
        <v>616.000000000349</v>
      </c>
      <c r="BC30" s="17">
        <f t="shared" si="33"/>
        <v>1431.99999999953</v>
      </c>
      <c r="BD30" s="17">
        <f t="shared" si="34"/>
        <v>15573.5999999997</v>
      </c>
      <c r="BE30" s="17">
        <f t="shared" si="35"/>
        <v>52299.9999999956</v>
      </c>
      <c r="BF30" s="17">
        <f t="shared" si="36"/>
        <v>51.2000000000007</v>
      </c>
      <c r="BG30" s="20">
        <f t="shared" si="37"/>
        <v>0.255386057776802</v>
      </c>
      <c r="BH30" s="20">
        <f t="shared" si="38"/>
        <v>0.0344668632927744</v>
      </c>
      <c r="BI30" s="20">
        <f t="shared" si="39"/>
        <v>0</v>
      </c>
      <c r="BJ30" s="20">
        <f t="shared" si="40"/>
        <v>0.0406273805105754</v>
      </c>
      <c r="BK30" s="20">
        <f t="shared" ref="BK30:BO30" si="166">IF(OR($AD30=0),"",AZ30/$AD30)</f>
        <v>0.0463894368810673</v>
      </c>
      <c r="BL30" s="20">
        <f t="shared" si="166"/>
        <v>0.0478543664667638</v>
      </c>
      <c r="BM30" s="20">
        <f t="shared" si="166"/>
        <v>0.00300798874934249</v>
      </c>
      <c r="BN30" s="20">
        <f t="shared" si="166"/>
        <v>0.00699259722249123</v>
      </c>
      <c r="BO30" s="20">
        <f t="shared" si="166"/>
        <v>0.0760474246537869</v>
      </c>
    </row>
    <row r="31" spans="1:67">
      <c r="A31" s="25">
        <v>43674</v>
      </c>
      <c r="B31" s="10">
        <v>18571.45</v>
      </c>
      <c r="C31" s="8">
        <v>97523.6</v>
      </c>
      <c r="D31" s="8">
        <v>66400.4</v>
      </c>
      <c r="E31" s="8">
        <v>66195.2</v>
      </c>
      <c r="F31" s="8">
        <v>9263.78</v>
      </c>
      <c r="G31" s="8">
        <v>122549.6</v>
      </c>
      <c r="H31" s="8">
        <v>5709.7</v>
      </c>
      <c r="I31" s="8">
        <v>2566.3</v>
      </c>
      <c r="J31" s="8">
        <v>967</v>
      </c>
      <c r="K31" s="8">
        <v>56</v>
      </c>
      <c r="L31" s="8">
        <v>100350</v>
      </c>
      <c r="M31" s="8">
        <v>61530</v>
      </c>
      <c r="N31" s="8">
        <v>82785.2</v>
      </c>
      <c r="O31" s="8">
        <v>110782.6</v>
      </c>
      <c r="P31" s="8">
        <v>6337.4</v>
      </c>
      <c r="Q31" s="8">
        <v>8450.8</v>
      </c>
      <c r="R31" s="8">
        <v>4951.1</v>
      </c>
      <c r="S31" s="8">
        <v>6221.2</v>
      </c>
      <c r="T31" s="8">
        <v>8130.7</v>
      </c>
      <c r="U31" s="8">
        <v>19015.6</v>
      </c>
      <c r="V31" s="8">
        <v>54584.4</v>
      </c>
      <c r="W31" s="8">
        <v>58406.9</v>
      </c>
      <c r="X31" s="8">
        <v>6046.5</v>
      </c>
      <c r="Y31" s="8">
        <v>6041.5</v>
      </c>
      <c r="Z31" s="15">
        <f t="shared" si="21"/>
        <v>70494.9</v>
      </c>
      <c r="AA31" s="8">
        <v>4879.1</v>
      </c>
      <c r="AB31" s="13">
        <v>8800</v>
      </c>
      <c r="AC31" s="7">
        <f t="shared" si="22"/>
        <v>13679.1</v>
      </c>
      <c r="AD31" s="16">
        <v>181703</v>
      </c>
      <c r="AE31" s="17">
        <f t="shared" ref="AE31:AI31" si="167">IF(OR(C32=""),"",(C32-C31)*80)</f>
        <v>0</v>
      </c>
      <c r="AF31" s="17">
        <f t="shared" si="167"/>
        <v>1400</v>
      </c>
      <c r="AG31" s="17">
        <f t="shared" si="167"/>
        <v>2888.00000000047</v>
      </c>
      <c r="AH31" s="17">
        <f t="shared" si="167"/>
        <v>1052.79999999999</v>
      </c>
      <c r="AI31" s="17">
        <f t="shared" si="167"/>
        <v>2335.99999999977</v>
      </c>
      <c r="AJ31" s="17">
        <f t="shared" si="24"/>
        <v>7676.80000000022</v>
      </c>
      <c r="AK31" s="17">
        <f t="shared" ref="AK31:AN31" si="168">IF(OR(H32=""),"",(H32-H31)*80)</f>
        <v>0</v>
      </c>
      <c r="AL31" s="17">
        <f t="shared" si="168"/>
        <v>0</v>
      </c>
      <c r="AM31" s="17">
        <f t="shared" si="168"/>
        <v>0</v>
      </c>
      <c r="AN31" s="17">
        <f t="shared" si="168"/>
        <v>0</v>
      </c>
      <c r="AO31" s="17">
        <f t="shared" si="26"/>
        <v>0</v>
      </c>
      <c r="AP31" s="17">
        <f t="shared" ref="AP31:AS31" si="169">IF(OR(L32=""),"",(L32-L31)*100)</f>
        <v>2189.99999999942</v>
      </c>
      <c r="AQ31" s="17">
        <f t="shared" si="169"/>
        <v>0</v>
      </c>
      <c r="AR31" s="17">
        <f t="shared" si="169"/>
        <v>2530.00000000029</v>
      </c>
      <c r="AS31" s="17">
        <f t="shared" si="169"/>
        <v>2389.99999999942</v>
      </c>
      <c r="AT31" s="17">
        <f t="shared" si="28"/>
        <v>7109.99999999913</v>
      </c>
      <c r="AU31" s="17">
        <f t="shared" ref="AU31:AY31" si="170">IF(OR(P32=""),"",(P32-P31)*1000)</f>
        <v>0</v>
      </c>
      <c r="AV31" s="17">
        <f t="shared" si="170"/>
        <v>0</v>
      </c>
      <c r="AW31" s="17">
        <f t="shared" si="170"/>
        <v>4899.99999999964</v>
      </c>
      <c r="AX31" s="17">
        <f t="shared" si="170"/>
        <v>5000</v>
      </c>
      <c r="AY31" s="17">
        <f t="shared" si="170"/>
        <v>0</v>
      </c>
      <c r="AZ31" s="17">
        <f t="shared" si="30"/>
        <v>9899.99999999964</v>
      </c>
      <c r="BA31" s="17">
        <f t="shared" si="31"/>
        <v>9000</v>
      </c>
      <c r="BB31" s="17">
        <f t="shared" si="32"/>
        <v>567.999999999884</v>
      </c>
      <c r="BC31" s="17">
        <f t="shared" si="33"/>
        <v>1484.00000000023</v>
      </c>
      <c r="BD31" s="17">
        <f t="shared" si="34"/>
        <v>17461.199999998</v>
      </c>
      <c r="BE31" s="17">
        <f t="shared" si="35"/>
        <v>53199.9999999971</v>
      </c>
      <c r="BF31" s="17">
        <f t="shared" si="36"/>
        <v>51.1000000000004</v>
      </c>
      <c r="BG31" s="20">
        <f t="shared" si="37"/>
        <v>0.292785479601311</v>
      </c>
      <c r="BH31" s="20">
        <f t="shared" si="38"/>
        <v>0.0422491648459311</v>
      </c>
      <c r="BI31" s="20">
        <f t="shared" si="39"/>
        <v>0</v>
      </c>
      <c r="BJ31" s="20">
        <f t="shared" si="40"/>
        <v>0.03912978872115</v>
      </c>
      <c r="BK31" s="20">
        <f t="shared" ref="BK31:BO31" si="171">IF(OR($AD31=0),"",AZ31/$AD31)</f>
        <v>0.0544845159408465</v>
      </c>
      <c r="BL31" s="20">
        <f t="shared" si="171"/>
        <v>0.0495313781280441</v>
      </c>
      <c r="BM31" s="20">
        <f t="shared" si="171"/>
        <v>0.00312598030852481</v>
      </c>
      <c r="BN31" s="20">
        <f t="shared" si="171"/>
        <v>0.00816717390466989</v>
      </c>
      <c r="BO31" s="20">
        <f t="shared" si="171"/>
        <v>0.0960974777521449</v>
      </c>
    </row>
    <row r="32" spans="1:67">
      <c r="A32" s="25">
        <v>43675</v>
      </c>
      <c r="B32" s="10">
        <v>18576.77</v>
      </c>
      <c r="C32" s="8">
        <v>97523.6</v>
      </c>
      <c r="D32" s="8">
        <v>66417.9</v>
      </c>
      <c r="E32" s="8">
        <v>66231.3</v>
      </c>
      <c r="F32" s="8">
        <v>9276.94</v>
      </c>
      <c r="G32" s="8">
        <v>122578.8</v>
      </c>
      <c r="H32" s="8">
        <v>5709.7</v>
      </c>
      <c r="I32" s="8">
        <v>2566.3</v>
      </c>
      <c r="J32" s="8">
        <v>967</v>
      </c>
      <c r="K32" s="8">
        <v>56</v>
      </c>
      <c r="L32" s="8">
        <v>100371.9</v>
      </c>
      <c r="M32" s="8">
        <v>61530</v>
      </c>
      <c r="N32" s="8">
        <v>82810.5</v>
      </c>
      <c r="O32" s="8">
        <v>110806.5</v>
      </c>
      <c r="P32" s="8">
        <v>6337.4</v>
      </c>
      <c r="Q32" s="8">
        <v>8450.8</v>
      </c>
      <c r="R32" s="8">
        <v>4956</v>
      </c>
      <c r="S32" s="8">
        <v>6226.2</v>
      </c>
      <c r="T32" s="8">
        <v>8130.7</v>
      </c>
      <c r="U32" s="8">
        <v>19020.1</v>
      </c>
      <c r="V32" s="8">
        <v>54591.5</v>
      </c>
      <c r="W32" s="8">
        <v>58423.3</v>
      </c>
      <c r="X32" s="8">
        <v>6055.6</v>
      </c>
      <c r="Y32" s="8">
        <v>6053.1</v>
      </c>
      <c r="Z32" s="15">
        <f t="shared" si="21"/>
        <v>70532</v>
      </c>
      <c r="AA32" s="8">
        <v>4923.2</v>
      </c>
      <c r="AB32" s="13">
        <v>8807</v>
      </c>
      <c r="AC32" s="7">
        <f t="shared" si="22"/>
        <v>13730.2</v>
      </c>
      <c r="AD32" s="16">
        <v>192401</v>
      </c>
      <c r="AE32" s="17">
        <f t="shared" ref="AE32:AI32" si="172">IF(OR(C33=""),"",(C33-C32)*80)</f>
        <v>0</v>
      </c>
      <c r="AF32" s="17">
        <f t="shared" si="172"/>
        <v>1720</v>
      </c>
      <c r="AG32" s="17">
        <f t="shared" si="172"/>
        <v>2824.00000000023</v>
      </c>
      <c r="AH32" s="17">
        <f t="shared" si="172"/>
        <v>872.799999999988</v>
      </c>
      <c r="AI32" s="17">
        <f t="shared" si="172"/>
        <v>2184.00000000023</v>
      </c>
      <c r="AJ32" s="17">
        <f t="shared" si="24"/>
        <v>7600.80000000045</v>
      </c>
      <c r="AK32" s="17">
        <f t="shared" ref="AK32:AN32" si="173">IF(OR(H33=""),"",(H33-H32)*80)</f>
        <v>0</v>
      </c>
      <c r="AL32" s="17">
        <f t="shared" si="173"/>
        <v>0</v>
      </c>
      <c r="AM32" s="17">
        <f t="shared" si="173"/>
        <v>0</v>
      </c>
      <c r="AN32" s="17">
        <f t="shared" si="173"/>
        <v>0</v>
      </c>
      <c r="AO32" s="17">
        <f t="shared" si="26"/>
        <v>0</v>
      </c>
      <c r="AP32" s="17">
        <f t="shared" ref="AP32:AS32" si="174">IF(OR(L33=""),"",(L33-L32)*100)</f>
        <v>2620.00000000116</v>
      </c>
      <c r="AQ32" s="17">
        <f t="shared" si="174"/>
        <v>0</v>
      </c>
      <c r="AR32" s="17">
        <f t="shared" si="174"/>
        <v>2700</v>
      </c>
      <c r="AS32" s="17">
        <f t="shared" si="174"/>
        <v>2430.00000000029</v>
      </c>
      <c r="AT32" s="17">
        <f t="shared" si="28"/>
        <v>7750.00000000146</v>
      </c>
      <c r="AU32" s="17">
        <f t="shared" ref="AU32:AY32" si="175">IF(OR(P33=""),"",(P33-P32)*1000)</f>
        <v>0</v>
      </c>
      <c r="AV32" s="17">
        <f t="shared" si="175"/>
        <v>0</v>
      </c>
      <c r="AW32" s="17">
        <f t="shared" si="175"/>
        <v>4600.00000000036</v>
      </c>
      <c r="AX32" s="17">
        <f t="shared" si="175"/>
        <v>5000</v>
      </c>
      <c r="AY32" s="17">
        <f t="shared" si="175"/>
        <v>0</v>
      </c>
      <c r="AZ32" s="17">
        <f t="shared" si="30"/>
        <v>9600.00000000036</v>
      </c>
      <c r="BA32" s="17">
        <f t="shared" si="31"/>
        <v>9400.00000000146</v>
      </c>
      <c r="BB32" s="17">
        <f t="shared" si="32"/>
        <v>535.999999999767</v>
      </c>
      <c r="BC32" s="17">
        <f t="shared" si="33"/>
        <v>1452.00000000012</v>
      </c>
      <c r="BD32" s="17">
        <f t="shared" si="34"/>
        <v>15261.1999999949</v>
      </c>
      <c r="BE32" s="17">
        <f t="shared" si="35"/>
        <v>51599.9999999985</v>
      </c>
      <c r="BF32" s="17">
        <f t="shared" si="36"/>
        <v>50.5999999999985</v>
      </c>
      <c r="BG32" s="20">
        <f t="shared" si="37"/>
        <v>0.268189874272995</v>
      </c>
      <c r="BH32" s="20">
        <f t="shared" si="38"/>
        <v>0.0395049921777977</v>
      </c>
      <c r="BI32" s="20">
        <f t="shared" si="39"/>
        <v>0</v>
      </c>
      <c r="BJ32" s="20">
        <f t="shared" si="40"/>
        <v>0.0402804559227938</v>
      </c>
      <c r="BK32" s="20">
        <f t="shared" ref="BK32:BO32" si="176">IF(OR($AD32=0),"",AZ32/$AD32)</f>
        <v>0.049895790562421</v>
      </c>
      <c r="BL32" s="20">
        <f t="shared" si="176"/>
        <v>0.0488562949257096</v>
      </c>
      <c r="BM32" s="20">
        <f t="shared" si="176"/>
        <v>0.00278584830640052</v>
      </c>
      <c r="BN32" s="20">
        <f t="shared" si="176"/>
        <v>0.0075467383225665</v>
      </c>
      <c r="BO32" s="20">
        <f t="shared" si="176"/>
        <v>0.079319754055306</v>
      </c>
    </row>
    <row r="33" spans="1:67">
      <c r="A33" s="25">
        <v>43676</v>
      </c>
      <c r="B33" s="10">
        <v>18581.93</v>
      </c>
      <c r="C33" s="8">
        <v>97523.6</v>
      </c>
      <c r="D33" s="8">
        <v>66439.4</v>
      </c>
      <c r="E33" s="8">
        <v>66266.6</v>
      </c>
      <c r="F33" s="8">
        <v>9287.85</v>
      </c>
      <c r="G33" s="8">
        <v>122606.1</v>
      </c>
      <c r="H33" s="8">
        <v>5709.7</v>
      </c>
      <c r="I33" s="8">
        <v>2566.3</v>
      </c>
      <c r="J33" s="8">
        <v>967</v>
      </c>
      <c r="K33" s="8">
        <v>56</v>
      </c>
      <c r="L33" s="8">
        <v>100398.1</v>
      </c>
      <c r="M33" s="8">
        <v>61530</v>
      </c>
      <c r="N33" s="8">
        <v>82837.5</v>
      </c>
      <c r="O33" s="8">
        <v>110830.8</v>
      </c>
      <c r="P33" s="8">
        <v>6337.4</v>
      </c>
      <c r="Q33" s="8">
        <v>8450.8</v>
      </c>
      <c r="R33" s="8">
        <v>4960.6</v>
      </c>
      <c r="S33" s="8">
        <v>6231.2</v>
      </c>
      <c r="T33" s="8">
        <v>8130.7</v>
      </c>
      <c r="U33" s="8">
        <v>19024.8</v>
      </c>
      <c r="V33" s="8">
        <v>54598.2</v>
      </c>
      <c r="W33" s="8">
        <v>58439.4</v>
      </c>
      <c r="X33" s="8">
        <v>6064.5</v>
      </c>
      <c r="Y33" s="8">
        <v>6064.4</v>
      </c>
      <c r="Z33" s="15">
        <f t="shared" si="21"/>
        <v>70568.3</v>
      </c>
      <c r="AA33" s="8">
        <v>4966.8</v>
      </c>
      <c r="AB33" s="13">
        <v>8814</v>
      </c>
      <c r="AC33" s="7">
        <f t="shared" si="22"/>
        <v>13780.8</v>
      </c>
      <c r="AD33" s="16">
        <v>202714</v>
      </c>
      <c r="AE33" s="17">
        <f t="shared" ref="AE33:AI33" si="177">IF(OR(C34=""),"",(C34-C33)*80)</f>
        <v>0</v>
      </c>
      <c r="AF33" s="17">
        <f t="shared" si="177"/>
        <v>2912.0000000007</v>
      </c>
      <c r="AG33" s="17">
        <f t="shared" si="177"/>
        <v>2503.99999999907</v>
      </c>
      <c r="AH33" s="17">
        <f t="shared" si="177"/>
        <v>4.79999999995925</v>
      </c>
      <c r="AI33" s="17">
        <f t="shared" si="177"/>
        <v>2200</v>
      </c>
      <c r="AJ33" s="17">
        <f t="shared" si="24"/>
        <v>7620.79999999973</v>
      </c>
      <c r="AK33" s="17">
        <f t="shared" ref="AK33:AK34" si="178">IF(OR(H34=""),"",(H34-H33)*80)</f>
        <v>0</v>
      </c>
      <c r="AL33" s="17">
        <f t="shared" ref="AL33:AL34" si="179">IF(OR(I34=""),"",(I34-I33)*80)</f>
        <v>0</v>
      </c>
      <c r="AM33" s="17">
        <f t="shared" ref="AM33:AM34" si="180">IF(OR(J34=""),"",(J34-J33)*80)</f>
        <v>0</v>
      </c>
      <c r="AN33" s="17">
        <f t="shared" ref="AN33:AN34" si="181">IF(OR(K34=""),"",(K34-K33)*80)</f>
        <v>0</v>
      </c>
      <c r="AO33" s="17">
        <f t="shared" ref="AO33:AO34" si="182">IF(OR(AK33="",AL33=""),"",AK33+AL33+AM33+AN33)</f>
        <v>0</v>
      </c>
      <c r="AP33" s="17">
        <f t="shared" ref="AP33:AS33" si="183">IF(OR(L34=""),"",(L34-L33)*100)</f>
        <v>2909.99999999913</v>
      </c>
      <c r="AQ33" s="17">
        <f t="shared" si="183"/>
        <v>0</v>
      </c>
      <c r="AR33" s="17">
        <f t="shared" si="183"/>
        <v>2769.99999999971</v>
      </c>
      <c r="AS33" s="17">
        <f t="shared" si="183"/>
        <v>2369.99999999971</v>
      </c>
      <c r="AT33" s="17">
        <f t="shared" si="28"/>
        <v>8049.99999999854</v>
      </c>
      <c r="AU33" s="17">
        <f t="shared" ref="AU33:AY33" si="184">IF(OR(P34=""),"",(P34-P33)*1000)</f>
        <v>0</v>
      </c>
      <c r="AV33" s="17">
        <f t="shared" si="184"/>
        <v>2400.00000000146</v>
      </c>
      <c r="AW33" s="17">
        <f t="shared" si="184"/>
        <v>2899.99999999964</v>
      </c>
      <c r="AX33" s="17">
        <f t="shared" si="184"/>
        <v>4400.00000000055</v>
      </c>
      <c r="AY33" s="17">
        <f t="shared" si="184"/>
        <v>0</v>
      </c>
      <c r="AZ33" s="17">
        <f t="shared" si="30"/>
        <v>9700.00000000164</v>
      </c>
      <c r="BA33" s="17">
        <f t="shared" si="31"/>
        <v>10200.0000000044</v>
      </c>
      <c r="BB33" s="17">
        <f t="shared" si="32"/>
        <v>592.000000000116</v>
      </c>
      <c r="BC33" s="17">
        <f t="shared" si="33"/>
        <v>1415.99999999977</v>
      </c>
      <c r="BD33" s="17">
        <f t="shared" si="34"/>
        <v>14121.1999999784</v>
      </c>
      <c r="BE33" s="17">
        <f t="shared" si="35"/>
        <v>51699.9999999825</v>
      </c>
      <c r="BF33" s="17">
        <f t="shared" si="36"/>
        <v>46.2000000000007</v>
      </c>
      <c r="BG33" s="20">
        <f t="shared" si="37"/>
        <v>0.255039119153006</v>
      </c>
      <c r="BH33" s="20">
        <f t="shared" si="38"/>
        <v>0.037593851436012</v>
      </c>
      <c r="BI33" s="20">
        <f t="shared" si="39"/>
        <v>0</v>
      </c>
      <c r="BJ33" s="20">
        <f t="shared" si="40"/>
        <v>0.0397111201002326</v>
      </c>
      <c r="BK33" s="20">
        <f t="shared" ref="BK33:BO33" si="185">IF(OR($AD33=0),"",AZ33/$AD33)</f>
        <v>0.0478506664561976</v>
      </c>
      <c r="BL33" s="20">
        <f t="shared" si="185"/>
        <v>0.0503171956549837</v>
      </c>
      <c r="BM33" s="20">
        <f t="shared" si="185"/>
        <v>0.0029203705713474</v>
      </c>
      <c r="BN33" s="20">
        <f t="shared" si="185"/>
        <v>0.00698521069092301</v>
      </c>
      <c r="BO33" s="20">
        <f t="shared" si="185"/>
        <v>0.0696607042433102</v>
      </c>
    </row>
    <row r="34" spans="1:67">
      <c r="A34" s="25">
        <v>43677</v>
      </c>
      <c r="B34" s="7">
        <v>18587.1</v>
      </c>
      <c r="C34" s="8">
        <v>97523.6</v>
      </c>
      <c r="D34" s="8">
        <v>66475.8</v>
      </c>
      <c r="E34" s="8">
        <v>66297.9</v>
      </c>
      <c r="F34" s="8">
        <v>9287.91</v>
      </c>
      <c r="G34" s="8">
        <v>122633.6</v>
      </c>
      <c r="H34" s="8">
        <v>5709.7</v>
      </c>
      <c r="I34" s="8">
        <v>2566.3</v>
      </c>
      <c r="J34" s="8">
        <v>967</v>
      </c>
      <c r="K34" s="8">
        <v>56</v>
      </c>
      <c r="L34" s="8">
        <v>100427.2</v>
      </c>
      <c r="M34" s="8">
        <v>61530</v>
      </c>
      <c r="N34" s="8">
        <v>82865.2</v>
      </c>
      <c r="O34" s="8">
        <v>110854.5</v>
      </c>
      <c r="P34" s="8">
        <v>6337.4</v>
      </c>
      <c r="Q34" s="8">
        <v>8453.2</v>
      </c>
      <c r="R34" s="8">
        <v>4963.5</v>
      </c>
      <c r="S34" s="8">
        <v>6235.6</v>
      </c>
      <c r="T34" s="8">
        <v>8130.7</v>
      </c>
      <c r="U34" s="8">
        <v>19029.9</v>
      </c>
      <c r="V34" s="8">
        <v>54605.6</v>
      </c>
      <c r="W34" s="8">
        <v>58455.2</v>
      </c>
      <c r="X34" s="8">
        <v>6073.1</v>
      </c>
      <c r="Y34" s="8">
        <v>6075.4</v>
      </c>
      <c r="Z34" s="15">
        <f t="shared" si="21"/>
        <v>70603.7</v>
      </c>
      <c r="AA34" s="8">
        <v>5007</v>
      </c>
      <c r="AB34" s="13">
        <v>8820</v>
      </c>
      <c r="AC34" s="7">
        <f t="shared" si="22"/>
        <v>13827</v>
      </c>
      <c r="AD34" s="16">
        <v>206893</v>
      </c>
      <c r="AE34" s="17">
        <f t="shared" ref="AE34:AI34" si="186">IF(OR(C35=""),"",(C35-C34)*80)</f>
        <v>0</v>
      </c>
      <c r="AF34" s="17">
        <f t="shared" si="186"/>
        <v>2975.99999999977</v>
      </c>
      <c r="AG34" s="17">
        <f t="shared" si="186"/>
        <v>2976.00000000093</v>
      </c>
      <c r="AH34" s="17">
        <f t="shared" si="186"/>
        <v>3.99999999994179</v>
      </c>
      <c r="AI34" s="17">
        <f t="shared" si="186"/>
        <v>2423.99999999907</v>
      </c>
      <c r="AJ34" s="17">
        <f t="shared" si="24"/>
        <v>8379.99999999971</v>
      </c>
      <c r="AK34" s="17">
        <f t="shared" si="178"/>
        <v>0</v>
      </c>
      <c r="AL34" s="17">
        <f t="shared" si="179"/>
        <v>0</v>
      </c>
      <c r="AM34" s="17">
        <f t="shared" si="180"/>
        <v>0</v>
      </c>
      <c r="AN34" s="17">
        <f t="shared" si="181"/>
        <v>0</v>
      </c>
      <c r="AO34" s="17">
        <f t="shared" si="182"/>
        <v>0</v>
      </c>
      <c r="AP34" s="17">
        <f t="shared" ref="AP34:AS34" si="187">IF(OR(L35=""),"",(L35-L34)*100)</f>
        <v>3180.00000000029</v>
      </c>
      <c r="AQ34" s="17">
        <f t="shared" si="187"/>
        <v>0</v>
      </c>
      <c r="AR34" s="17">
        <f t="shared" si="187"/>
        <v>2869.99999999971</v>
      </c>
      <c r="AS34" s="17">
        <f t="shared" si="187"/>
        <v>2410.00000000058</v>
      </c>
      <c r="AT34" s="17">
        <f t="shared" si="28"/>
        <v>8460.00000000058</v>
      </c>
      <c r="AU34" s="17">
        <f t="shared" ref="AU34:AY34" si="188">IF(OR(P35=""),"",(P35-P34)*1000)</f>
        <v>0</v>
      </c>
      <c r="AV34" s="17">
        <f t="shared" si="188"/>
        <v>0</v>
      </c>
      <c r="AW34" s="17">
        <f t="shared" si="188"/>
        <v>4800.00000000018</v>
      </c>
      <c r="AX34" s="17">
        <f t="shared" si="188"/>
        <v>5500</v>
      </c>
      <c r="AY34" s="17">
        <f t="shared" si="188"/>
        <v>0</v>
      </c>
      <c r="AZ34" s="17">
        <f t="shared" si="30"/>
        <v>10300.0000000002</v>
      </c>
      <c r="BA34" s="17">
        <f t="shared" si="31"/>
        <v>10000</v>
      </c>
      <c r="BB34" s="17">
        <f t="shared" si="32"/>
        <v>576.000000000349</v>
      </c>
      <c r="BC34" s="17">
        <f t="shared" si="33"/>
        <v>1456.00000000035</v>
      </c>
      <c r="BD34" s="17">
        <f t="shared" si="34"/>
        <v>15428.0000000265</v>
      </c>
      <c r="BE34" s="17">
        <f t="shared" si="35"/>
        <v>54600.0000000276</v>
      </c>
      <c r="BF34" s="17">
        <f t="shared" si="36"/>
        <v>50.3999999999996</v>
      </c>
      <c r="BG34" s="20">
        <f t="shared" si="37"/>
        <v>0.263904530361238</v>
      </c>
      <c r="BH34" s="20">
        <f t="shared" si="38"/>
        <v>0.0405040286524905</v>
      </c>
      <c r="BI34" s="20">
        <f t="shared" si="39"/>
        <v>0</v>
      </c>
      <c r="BJ34" s="20">
        <f t="shared" si="40"/>
        <v>0.0408907019570531</v>
      </c>
      <c r="BK34" s="20">
        <f t="shared" ref="BK34:BO34" si="189">IF(OR($AD34=0),"",AZ34/$AD34)</f>
        <v>0.0497841879618942</v>
      </c>
      <c r="BL34" s="20">
        <f t="shared" si="189"/>
        <v>0.0483341630697994</v>
      </c>
      <c r="BM34" s="20">
        <f t="shared" si="189"/>
        <v>0.00278404779282213</v>
      </c>
      <c r="BN34" s="20">
        <f t="shared" si="189"/>
        <v>0.00703745414296448</v>
      </c>
      <c r="BO34" s="20">
        <f t="shared" si="189"/>
        <v>0.0745699467842144</v>
      </c>
    </row>
    <row r="35" spans="1:67">
      <c r="A35" s="25">
        <v>43678</v>
      </c>
      <c r="B35" s="10">
        <v>18592.56</v>
      </c>
      <c r="C35" s="11">
        <v>97523.6</v>
      </c>
      <c r="D35" s="11">
        <v>66513</v>
      </c>
      <c r="E35" s="11">
        <v>66335.1</v>
      </c>
      <c r="F35" s="11">
        <v>9287.96</v>
      </c>
      <c r="G35" s="11">
        <v>122663.9</v>
      </c>
      <c r="H35" s="8">
        <v>5709.7</v>
      </c>
      <c r="I35" s="8">
        <v>2566.3</v>
      </c>
      <c r="J35" s="8">
        <v>967</v>
      </c>
      <c r="K35" s="8">
        <v>56</v>
      </c>
      <c r="L35" s="11">
        <v>100459</v>
      </c>
      <c r="M35" s="11">
        <v>61530</v>
      </c>
      <c r="N35" s="11">
        <v>82893.9</v>
      </c>
      <c r="O35" s="11">
        <v>110878.6</v>
      </c>
      <c r="P35" s="11">
        <v>6337.4</v>
      </c>
      <c r="Q35" s="11">
        <v>8453.2</v>
      </c>
      <c r="R35" s="11">
        <v>4968.3</v>
      </c>
      <c r="S35" s="11">
        <v>6241.1</v>
      </c>
      <c r="T35" s="11">
        <v>8130.7</v>
      </c>
      <c r="U35" s="11">
        <v>19034.9</v>
      </c>
      <c r="V35" s="11">
        <v>54612.8</v>
      </c>
      <c r="W35" s="11">
        <v>58471.4</v>
      </c>
      <c r="X35" s="11">
        <v>6082</v>
      </c>
      <c r="Y35" s="11">
        <v>6086.7</v>
      </c>
      <c r="Z35" s="15">
        <f t="shared" si="21"/>
        <v>70640.1</v>
      </c>
      <c r="AA35" s="11">
        <v>5050.4</v>
      </c>
      <c r="AB35" s="3">
        <v>8827</v>
      </c>
      <c r="AC35" s="3">
        <f t="shared" si="22"/>
        <v>13877.4</v>
      </c>
      <c r="BE35" s="21" t="s">
        <v>44</v>
      </c>
      <c r="BF35" s="21" t="s">
        <v>19</v>
      </c>
      <c r="BG35" s="22">
        <f>SUM(BE4:BE34)</f>
        <v>1663500.00000002</v>
      </c>
      <c r="BH35" s="22">
        <f>SUM(AJ4:AJ34)</f>
        <v>242492.000000001</v>
      </c>
      <c r="BI35" s="22">
        <f>SUM(AO4:AO34)</f>
        <v>0</v>
      </c>
      <c r="BJ35" s="22">
        <f>SUM(AT4:AT34)</f>
        <v>239179.999999999</v>
      </c>
      <c r="BK35" s="22">
        <f t="shared" ref="BK35:BO35" si="190">SUM(AZ4:AZ34)</f>
        <v>357000.000000001</v>
      </c>
      <c r="BL35" s="22">
        <f t="shared" si="190"/>
        <v>301000</v>
      </c>
      <c r="BM35" s="22">
        <f t="shared" si="190"/>
        <v>24344.0000000002</v>
      </c>
      <c r="BN35" s="22">
        <f t="shared" si="190"/>
        <v>45496.0000000003</v>
      </c>
      <c r="BO35" s="22">
        <f t="shared" si="190"/>
        <v>453988.000000021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6168794</v>
      </c>
      <c r="BF36" s="21" t="s">
        <v>21</v>
      </c>
      <c r="BG36" s="23">
        <f>IF(OR(BG35=0),"",ROUND(BG35/$BE$36,3))</f>
        <v>0.27</v>
      </c>
      <c r="BH36" s="23">
        <f t="shared" ref="BH36:BO36" si="191">IF(OR(BH35=0),"",ROUND(BH35/$BE$36,4))</f>
        <v>0.0393</v>
      </c>
      <c r="BI36" s="23" t="str">
        <f t="shared" si="191"/>
        <v/>
      </c>
      <c r="BJ36" s="23">
        <f t="shared" si="191"/>
        <v>0.0388</v>
      </c>
      <c r="BK36" s="23">
        <f t="shared" si="191"/>
        <v>0.0579</v>
      </c>
      <c r="BL36" s="23">
        <f t="shared" si="191"/>
        <v>0.0488</v>
      </c>
      <c r="BM36" s="23">
        <f t="shared" si="191"/>
        <v>0.0039</v>
      </c>
      <c r="BN36" s="23">
        <f t="shared" si="191"/>
        <v>0.0074</v>
      </c>
      <c r="BO36" s="23">
        <f t="shared" si="191"/>
        <v>0.0736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tabSelected="1" workbookViewId="0">
      <pane xSplit="1" ySplit="3" topLeftCell="AH7" activePane="bottomRight" state="frozen"/>
      <selection/>
      <selection pane="topRight"/>
      <selection pane="bottomLeft"/>
      <selection pane="bottomRight" activeCell="BG35" sqref="BG35:BO35"/>
    </sheetView>
  </sheetViews>
  <sheetFormatPr defaultColWidth="9" defaultRowHeight="14.25"/>
  <cols>
    <col min="1" max="1" width="7.775" style="1" customWidth="1"/>
    <col min="2" max="2" width="9.44166666666667" style="2" customWidth="1"/>
    <col min="3" max="3" width="9.33333333333333" style="3" customWidth="1"/>
    <col min="4" max="4" width="8.775" style="3" customWidth="1"/>
    <col min="5" max="5" width="8.88333333333333" style="3" customWidth="1"/>
    <col min="6" max="6" width="7.44166666666667" style="3" customWidth="1"/>
    <col min="7" max="7" width="9.44166666666667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8.775" style="3" customWidth="1"/>
    <col min="13" max="13" width="8.66666666666667" style="3" customWidth="1"/>
    <col min="14" max="14" width="9.44166666666667" style="3" customWidth="1"/>
    <col min="15" max="15" width="9.88333333333333" style="3" customWidth="1"/>
    <col min="16" max="16" width="7.10833333333333" style="3" customWidth="1"/>
    <col min="17" max="17" width="7.44166666666667" style="3" customWidth="1"/>
    <col min="18" max="18" width="7.88333333333333" style="3" customWidth="1"/>
    <col min="19" max="19" width="7.775" style="3" customWidth="1"/>
    <col min="20" max="20" width="7.33333333333333" style="3" customWidth="1"/>
    <col min="21" max="21" width="9.88333333333333" style="3" customWidth="1"/>
    <col min="22" max="22" width="9.21666666666667" style="3" customWidth="1"/>
    <col min="23" max="23" width="9.66666666666667" style="3" customWidth="1"/>
    <col min="24" max="24" width="7.44166666666667" style="3" customWidth="1"/>
    <col min="25" max="25" width="8.21666666666667" style="3" customWidth="1"/>
    <col min="26" max="26" width="9.44166666666667" style="3" customWidth="1"/>
    <col min="27" max="28" width="7.44166666666667" style="3" customWidth="1"/>
    <col min="29" max="29" width="9" style="3" customWidth="1"/>
    <col min="30" max="30" width="10.1083333333333" style="3" customWidth="1"/>
    <col min="31" max="31" width="7.33333333333333" style="1" customWidth="1"/>
    <col min="32" max="32" width="5.44166666666667" style="1" customWidth="1"/>
    <col min="33" max="33" width="6.21666666666667" style="1" customWidth="1"/>
    <col min="34" max="34" width="5.66666666666667" style="1" customWidth="1"/>
    <col min="35" max="35" width="6.21666666666667" style="1" customWidth="1"/>
    <col min="36" max="36" width="6.66666666666667" style="1" customWidth="1"/>
    <col min="37" max="40" width="4" style="1" customWidth="1"/>
    <col min="41" max="41" width="6.66666666666667" style="1" customWidth="1"/>
    <col min="42" max="42" width="6.21666666666667" style="1" customWidth="1"/>
    <col min="43" max="43" width="4" style="1" customWidth="1"/>
    <col min="44" max="44" width="6.44166666666667" style="1" customWidth="1"/>
    <col min="45" max="45" width="7.10833333333333" style="1" customWidth="1"/>
    <col min="46" max="46" width="6.66666666666667" style="1" customWidth="1"/>
    <col min="47" max="47" width="6.44166666666667" style="1" customWidth="1"/>
    <col min="48" max="48" width="5.33333333333333" style="1" customWidth="1"/>
    <col min="49" max="50" width="5.44166666666667" style="1" customWidth="1"/>
    <col min="51" max="51" width="5.775" style="1" customWidth="1"/>
    <col min="52" max="53" width="6.66666666666667" style="1" customWidth="1"/>
    <col min="54" max="54" width="5.21666666666667" style="1" customWidth="1"/>
    <col min="55" max="55" width="6.66666666666667" style="1" customWidth="1"/>
    <col min="56" max="56" width="8.44166666666667" style="1" customWidth="1"/>
    <col min="57" max="57" width="10.6666666666667" style="1" customWidth="1"/>
    <col min="58" max="58" width="3.775" style="1" customWidth="1"/>
    <col min="59" max="59" width="6.88333333333333" style="1" customWidth="1"/>
    <col min="60" max="60" width="8.21666666666667" style="1" customWidth="1"/>
    <col min="61" max="61" width="8" style="1" customWidth="1"/>
    <col min="62" max="63" width="7.10833333333333" style="1" customWidth="1"/>
    <col min="64" max="64" width="6.66666666666667" style="1" customWidth="1"/>
    <col min="65" max="65" width="7.21666666666667" style="1" customWidth="1"/>
    <col min="66" max="66" width="7" style="1" customWidth="1"/>
    <col min="67" max="67" width="7.333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25">
        <v>43678</v>
      </c>
      <c r="B4" s="10">
        <v>18592.56</v>
      </c>
      <c r="C4" s="11">
        <v>97523.6</v>
      </c>
      <c r="D4" s="11">
        <v>66513</v>
      </c>
      <c r="E4" s="11">
        <v>66335.1</v>
      </c>
      <c r="F4" s="11">
        <v>9287.96</v>
      </c>
      <c r="G4" s="11">
        <v>122663.9</v>
      </c>
      <c r="H4" s="8">
        <v>5709.7</v>
      </c>
      <c r="I4" s="8">
        <v>2566.3</v>
      </c>
      <c r="J4" s="8">
        <v>967</v>
      </c>
      <c r="K4" s="8">
        <v>56</v>
      </c>
      <c r="L4" s="11">
        <v>100459</v>
      </c>
      <c r="M4" s="11">
        <v>61530</v>
      </c>
      <c r="N4" s="11">
        <v>82893.9</v>
      </c>
      <c r="O4" s="11">
        <v>110878.6</v>
      </c>
      <c r="P4" s="11">
        <v>6337.4</v>
      </c>
      <c r="Q4" s="11">
        <v>8453.2</v>
      </c>
      <c r="R4" s="11">
        <v>4968.3</v>
      </c>
      <c r="S4" s="11">
        <v>6241.1</v>
      </c>
      <c r="T4" s="11">
        <v>8130.7</v>
      </c>
      <c r="U4" s="11">
        <v>19034.9</v>
      </c>
      <c r="V4" s="11">
        <v>54612.8</v>
      </c>
      <c r="W4" s="11">
        <v>58471.4</v>
      </c>
      <c r="X4" s="11">
        <v>6082</v>
      </c>
      <c r="Y4" s="11">
        <v>6086.7</v>
      </c>
      <c r="Z4" s="15">
        <f t="shared" ref="Z4" si="0">IF(OR(W4=""),"",(W4+X4+Y4))</f>
        <v>70640.1</v>
      </c>
      <c r="AA4" s="11">
        <v>5050.4</v>
      </c>
      <c r="AB4" s="3">
        <v>8827</v>
      </c>
      <c r="AC4" s="3">
        <f t="shared" ref="AC4" si="1">IF(OR(AA4=""),"",(AA4+AB4))</f>
        <v>13877.4</v>
      </c>
      <c r="AD4" s="3">
        <v>204238</v>
      </c>
      <c r="AE4" s="17">
        <f t="shared" ref="AE4:AI4" si="2">IF(OR(C5=""),"",(C5-C4)*80)</f>
        <v>0</v>
      </c>
      <c r="AF4" s="17">
        <f t="shared" si="2"/>
        <v>3015.99999999977</v>
      </c>
      <c r="AG4" s="17">
        <f t="shared" si="2"/>
        <v>3295.99999999977</v>
      </c>
      <c r="AH4" s="17">
        <f t="shared" si="2"/>
        <v>4.80000000010477</v>
      </c>
      <c r="AI4" s="17">
        <f t="shared" si="2"/>
        <v>2520</v>
      </c>
      <c r="AJ4" s="17">
        <f t="shared" ref="AJ4" si="3">IF(OR(AE4="",AF4="",AG4=""),"",AE4+AF4+AG4+AH4+AI4)</f>
        <v>8836.79999999964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" si="5">IF(OR(AK4="",AL4=""),"",AK4+AL4+AM4+AN4)</f>
        <v>0</v>
      </c>
      <c r="AP4" s="17">
        <f t="shared" ref="AP4:AS4" si="6">IF(OR(L5=""),"",(L5-L4)*100)</f>
        <v>3050</v>
      </c>
      <c r="AQ4" s="17">
        <f t="shared" si="6"/>
        <v>0</v>
      </c>
      <c r="AR4" s="17">
        <f t="shared" si="6"/>
        <v>2880.00000000029</v>
      </c>
      <c r="AS4" s="17">
        <f t="shared" si="6"/>
        <v>2419.99999999971</v>
      </c>
      <c r="AT4" s="17">
        <f t="shared" ref="AT4" si="7">IF(OR(AP4="",AQ4=""),"",AP4+AQ4+AR4+AS4)</f>
        <v>8350</v>
      </c>
      <c r="AU4" s="17">
        <f t="shared" ref="AU4:AY4" si="8">IF(OR(P5=""),"",(P5-P4)*1000)</f>
        <v>0</v>
      </c>
      <c r="AV4" s="17">
        <f t="shared" si="8"/>
        <v>0</v>
      </c>
      <c r="AW4" s="17">
        <f t="shared" si="8"/>
        <v>4800.00000000018</v>
      </c>
      <c r="AX4" s="17">
        <f t="shared" si="8"/>
        <v>5099.99999999945</v>
      </c>
      <c r="AY4" s="17">
        <f t="shared" si="8"/>
        <v>0</v>
      </c>
      <c r="AZ4" s="17">
        <f t="shared" ref="AZ4" si="9">IF(OR(AU4="",AV4="",AW4=""),"",AU4+AV4+AW4+AX4+AY4)</f>
        <v>9899.99999999964</v>
      </c>
      <c r="BA4" s="17">
        <f t="shared" ref="BA4" si="10">IF(OR(U5=""),"",(U5-U4)*2000)</f>
        <v>10000</v>
      </c>
      <c r="BB4" s="17">
        <f t="shared" ref="BB4" si="11">IF(OR(V5=""),"",(V5-V4)*80)</f>
        <v>583.999999999651</v>
      </c>
      <c r="BC4" s="17">
        <f t="shared" ref="BC4:BC5" si="12">IF(OR(Z5=""),"",(Z5-Z4)*40)</f>
        <v>1463.99999999965</v>
      </c>
      <c r="BD4" s="17">
        <f t="shared" ref="BD4" si="13">IF(OR(BE4="",BC4=""),"",BE4-BC4-BB4-BA4-AZ4-AT4-AO4-AJ4)</f>
        <v>16565.1999999985</v>
      </c>
      <c r="BE4" s="17">
        <f t="shared" ref="BE4" si="14">IF(OR(B5=""),"",(B5-B4)*10000)</f>
        <v>55699.9999999971</v>
      </c>
      <c r="BF4" s="17">
        <f t="shared" ref="BF4:BF5" si="15">IF(OR(AC5=""),"",AC5-AC4)</f>
        <v>49.5</v>
      </c>
      <c r="BG4" s="20">
        <f t="shared" ref="BG4" si="16">IF(OR($AD4=0),"",BE4/$AD4)</f>
        <v>0.272721041138266</v>
      </c>
      <c r="BH4" s="20">
        <f t="shared" ref="BH4" si="17">IF(OR($AD4=0),"",AJ4/$AD4)</f>
        <v>0.0432671686953439</v>
      </c>
      <c r="BI4" s="20">
        <f t="shared" ref="BI4" si="18">IF(OR($AD4=0),"",AO4/$AD4)</f>
        <v>0</v>
      </c>
      <c r="BJ4" s="20">
        <f t="shared" ref="BJ4" si="19">IF(OR($AD4=0),"",AT4/$AD4)</f>
        <v>0.04088367492827</v>
      </c>
      <c r="BK4" s="20">
        <f t="shared" ref="BK4:BO4" si="20">IF(OR($AD4=0),"",AZ4/$AD4)</f>
        <v>0.0484728600945937</v>
      </c>
      <c r="BL4" s="20">
        <f t="shared" si="20"/>
        <v>0.0489624849440359</v>
      </c>
      <c r="BM4" s="20">
        <f t="shared" si="20"/>
        <v>0.00285940912072999</v>
      </c>
      <c r="BN4" s="20">
        <f t="shared" si="20"/>
        <v>0.00716810779580514</v>
      </c>
      <c r="BO4" s="20">
        <f t="shared" si="20"/>
        <v>0.081107335559487</v>
      </c>
    </row>
    <row r="5" spans="1:67">
      <c r="A5" s="25">
        <v>43679</v>
      </c>
      <c r="B5" s="10">
        <v>18598.13</v>
      </c>
      <c r="C5" s="8">
        <v>97523.6</v>
      </c>
      <c r="D5" s="8">
        <v>66550.7</v>
      </c>
      <c r="E5" s="8">
        <v>66376.3</v>
      </c>
      <c r="F5" s="8">
        <v>9288.02</v>
      </c>
      <c r="G5" s="8">
        <v>122695.4</v>
      </c>
      <c r="H5" s="8">
        <v>5709.7</v>
      </c>
      <c r="I5" s="8">
        <v>2566.3</v>
      </c>
      <c r="J5" s="8">
        <v>967</v>
      </c>
      <c r="K5" s="8">
        <v>56</v>
      </c>
      <c r="L5" s="8">
        <v>100489.5</v>
      </c>
      <c r="M5" s="8">
        <v>61530</v>
      </c>
      <c r="N5" s="8">
        <v>82922.7</v>
      </c>
      <c r="O5" s="8">
        <v>110902.8</v>
      </c>
      <c r="P5" s="8">
        <v>6337.4</v>
      </c>
      <c r="Q5" s="8">
        <v>8453.2</v>
      </c>
      <c r="R5" s="8">
        <v>4973.1</v>
      </c>
      <c r="S5" s="8">
        <v>6246.2</v>
      </c>
      <c r="T5" s="8">
        <v>8130.7</v>
      </c>
      <c r="U5" s="8">
        <v>19039.9</v>
      </c>
      <c r="V5" s="8">
        <v>54620.1</v>
      </c>
      <c r="W5" s="8">
        <v>58487.6</v>
      </c>
      <c r="X5" s="8">
        <v>6090.9</v>
      </c>
      <c r="Y5" s="8">
        <v>6098.2</v>
      </c>
      <c r="Z5" s="15">
        <f t="shared" ref="Z5:Z35" si="21">IF(OR(W5=""),"",(W5+X5+Y5))</f>
        <v>70676.7</v>
      </c>
      <c r="AA5" s="8">
        <v>5092.9</v>
      </c>
      <c r="AB5" s="13">
        <v>8834</v>
      </c>
      <c r="AC5" s="7">
        <f t="shared" ref="AC5:AC35" si="22">IF(OR(AA5=""),"",(AA5+AB5))</f>
        <v>13926.9</v>
      </c>
      <c r="AD5" s="16">
        <v>203929</v>
      </c>
      <c r="AE5" s="17">
        <f t="shared" ref="AE5:AI5" si="23">IF(OR(C6=""),"",(C6-C5)*80)</f>
        <v>0</v>
      </c>
      <c r="AF5" s="17">
        <f t="shared" si="23"/>
        <v>1064.00000000023</v>
      </c>
      <c r="AG5" s="17">
        <f t="shared" si="23"/>
        <v>2600</v>
      </c>
      <c r="AH5" s="17">
        <f t="shared" si="23"/>
        <v>1476.79999999993</v>
      </c>
      <c r="AI5" s="17">
        <f t="shared" si="23"/>
        <v>2352.0000000007</v>
      </c>
      <c r="AJ5" s="17">
        <f t="shared" ref="AJ5:AJ34" si="24">IF(OR(AE5="",AF5="",AG5=""),"",AE5+AF5+AG5+AH5+AI5)</f>
        <v>7492.80000000086</v>
      </c>
      <c r="AK5" s="17">
        <f t="shared" ref="AK5:AN5" si="25">IF(OR(H6=""),"",(H6-H5)*80)</f>
        <v>0</v>
      </c>
      <c r="AL5" s="17">
        <f t="shared" si="25"/>
        <v>0</v>
      </c>
      <c r="AM5" s="17">
        <f t="shared" si="25"/>
        <v>0</v>
      </c>
      <c r="AN5" s="17">
        <f t="shared" si="25"/>
        <v>0</v>
      </c>
      <c r="AO5" s="17">
        <f t="shared" ref="AO5:AO34" si="26">IF(OR(AK5="",AL5=""),"",AK5+AL5+AM5+AN5)</f>
        <v>0</v>
      </c>
      <c r="AP5" s="17">
        <f t="shared" ref="AP5:AS5" si="27">IF(OR(L6=""),"",(L6-L5)*100)</f>
        <v>3089.99999999942</v>
      </c>
      <c r="AQ5" s="17">
        <f t="shared" si="27"/>
        <v>0</v>
      </c>
      <c r="AR5" s="17">
        <f t="shared" si="27"/>
        <v>2910.00000000058</v>
      </c>
      <c r="AS5" s="17">
        <f t="shared" si="27"/>
        <v>2409.99999999913</v>
      </c>
      <c r="AT5" s="17">
        <f t="shared" ref="AT5:AT34" si="28">IF(OR(AP5="",AQ5=""),"",AP5+AQ5+AR5+AS5)</f>
        <v>8409.99999999913</v>
      </c>
      <c r="AU5" s="17">
        <f t="shared" ref="AU5:AY5" si="29">IF(OR(P6=""),"",(P6-P5)*1000)</f>
        <v>0</v>
      </c>
      <c r="AV5" s="17">
        <f t="shared" si="29"/>
        <v>0</v>
      </c>
      <c r="AW5" s="17">
        <f t="shared" si="29"/>
        <v>4899.99999999964</v>
      </c>
      <c r="AX5" s="17">
        <f t="shared" si="29"/>
        <v>5100.00000000036</v>
      </c>
      <c r="AY5" s="17">
        <f t="shared" si="29"/>
        <v>0</v>
      </c>
      <c r="AZ5" s="17">
        <f t="shared" ref="AZ5:AZ34" si="30">IF(OR(AU5="",AV5="",AW5=""),"",AU5+AV5+AW5+AX5+AY5)</f>
        <v>10000</v>
      </c>
      <c r="BA5" s="17">
        <f t="shared" ref="BA5:BA34" si="31">IF(OR(U6=""),"",(U6-U5)*2000)</f>
        <v>10000</v>
      </c>
      <c r="BB5" s="17">
        <f t="shared" ref="BB5:BB34" si="32">IF(OR(V6=""),"",(V6-V5)*80)</f>
        <v>552.000000000116</v>
      </c>
      <c r="BC5" s="17">
        <f t="shared" si="12"/>
        <v>1452.00000000012</v>
      </c>
      <c r="BD5" s="17">
        <f t="shared" ref="BD5:BD34" si="33">IF(OR(BE5="",BC5=""),"",BE5-BC5-BB5-BA5-AZ5-AT5-AO5-AJ5)</f>
        <v>16493.1999999867</v>
      </c>
      <c r="BE5" s="17">
        <f t="shared" ref="BE5:BE34" si="34">IF(OR(B6=""),"",(B6-B5)*10000)</f>
        <v>54399.9999999869</v>
      </c>
      <c r="BF5" s="17">
        <f t="shared" si="15"/>
        <v>50</v>
      </c>
      <c r="BG5" s="20">
        <f t="shared" ref="BG5:BG34" si="35">IF(OR($AD5=0),"",BE5/$AD5)</f>
        <v>0.266759509437044</v>
      </c>
      <c r="BH5" s="20">
        <f t="shared" ref="BH5:BH34" si="36">IF(OR($AD5=0),"",AJ5/$AD5)</f>
        <v>0.0367421994910035</v>
      </c>
      <c r="BI5" s="20">
        <f t="shared" ref="BI5:BI34" si="37">IF(OR($AD5=0),"",AO5/$AD5)</f>
        <v>0</v>
      </c>
      <c r="BJ5" s="20">
        <f t="shared" ref="BJ5:BJ34" si="38">IF(OR($AD5=0),"",AT5/$AD5)</f>
        <v>0.0412398432787839</v>
      </c>
      <c r="BK5" s="20">
        <f t="shared" ref="BK5:BO5" si="39">IF(OR($AD5=0),"",AZ5/$AD5)</f>
        <v>0.0490366745288802</v>
      </c>
      <c r="BL5" s="20">
        <f t="shared" si="39"/>
        <v>0.0490366745288802</v>
      </c>
      <c r="BM5" s="20">
        <f t="shared" si="39"/>
        <v>0.00270682443399476</v>
      </c>
      <c r="BN5" s="20">
        <f t="shared" si="39"/>
        <v>0.00712012514159397</v>
      </c>
      <c r="BO5" s="20">
        <f t="shared" si="39"/>
        <v>0.0808771680339073</v>
      </c>
    </row>
    <row r="6" spans="1:67">
      <c r="A6" s="25">
        <v>43680</v>
      </c>
      <c r="B6" s="10">
        <v>18603.57</v>
      </c>
      <c r="C6" s="8">
        <v>97523.6</v>
      </c>
      <c r="D6" s="8">
        <v>66564</v>
      </c>
      <c r="E6" s="8">
        <v>66408.8</v>
      </c>
      <c r="F6" s="8">
        <v>9306.48</v>
      </c>
      <c r="G6" s="8">
        <v>122724.8</v>
      </c>
      <c r="H6" s="8">
        <v>5709.7</v>
      </c>
      <c r="I6" s="8">
        <v>2566.3</v>
      </c>
      <c r="J6" s="8">
        <v>967</v>
      </c>
      <c r="K6" s="8">
        <v>56</v>
      </c>
      <c r="L6" s="8">
        <v>100520.4</v>
      </c>
      <c r="M6" s="8">
        <v>61530</v>
      </c>
      <c r="N6" s="8">
        <v>82951.8</v>
      </c>
      <c r="O6" s="8">
        <v>110926.9</v>
      </c>
      <c r="P6" s="8">
        <v>6337.4</v>
      </c>
      <c r="Q6" s="8">
        <v>8453.2</v>
      </c>
      <c r="R6" s="8">
        <v>4978</v>
      </c>
      <c r="S6" s="8">
        <v>6251.3</v>
      </c>
      <c r="T6" s="8">
        <v>8130.7</v>
      </c>
      <c r="U6" s="8">
        <v>19044.9</v>
      </c>
      <c r="V6" s="8">
        <v>54627</v>
      </c>
      <c r="W6" s="8">
        <v>58503.9</v>
      </c>
      <c r="X6" s="8">
        <v>6099.5</v>
      </c>
      <c r="Y6" s="8">
        <v>6109.6</v>
      </c>
      <c r="Z6" s="15">
        <f t="shared" si="21"/>
        <v>70713</v>
      </c>
      <c r="AA6" s="8">
        <v>5135.9</v>
      </c>
      <c r="AB6" s="13">
        <v>8841</v>
      </c>
      <c r="AC6" s="7">
        <f t="shared" si="22"/>
        <v>13976.9</v>
      </c>
      <c r="AD6" s="16">
        <v>206057</v>
      </c>
      <c r="AE6" s="17">
        <f t="shared" ref="AE6:AI6" si="40">IF(OR(C7=""),"",(C7-C6)*80)</f>
        <v>0</v>
      </c>
      <c r="AF6" s="17">
        <f t="shared" si="40"/>
        <v>2871.99999999953</v>
      </c>
      <c r="AG6" s="17">
        <f t="shared" si="40"/>
        <v>3287.9999999993</v>
      </c>
      <c r="AH6" s="17">
        <f t="shared" si="40"/>
        <v>31.9999999999709</v>
      </c>
      <c r="AI6" s="17">
        <f t="shared" si="40"/>
        <v>2567.9999999993</v>
      </c>
      <c r="AJ6" s="17">
        <f t="shared" si="24"/>
        <v>8759.99999999811</v>
      </c>
      <c r="AK6" s="17">
        <f t="shared" ref="AK6:AN6" si="41">IF(OR(H7=""),"",(H7-H6)*80)</f>
        <v>0</v>
      </c>
      <c r="AL6" s="17">
        <f t="shared" si="41"/>
        <v>0</v>
      </c>
      <c r="AM6" s="17">
        <f t="shared" si="41"/>
        <v>0</v>
      </c>
      <c r="AN6" s="17">
        <f t="shared" si="41"/>
        <v>0</v>
      </c>
      <c r="AO6" s="17">
        <f t="shared" si="26"/>
        <v>0</v>
      </c>
      <c r="AP6" s="17">
        <f t="shared" ref="AP6:AS6" si="42">IF(OR(L7=""),"",(L7-L6)*100)</f>
        <v>3110.00000000058</v>
      </c>
      <c r="AQ6" s="17">
        <f t="shared" si="42"/>
        <v>0</v>
      </c>
      <c r="AR6" s="17">
        <f t="shared" si="42"/>
        <v>2869.99999999971</v>
      </c>
      <c r="AS6" s="17">
        <f t="shared" si="42"/>
        <v>2400</v>
      </c>
      <c r="AT6" s="17">
        <f t="shared" si="28"/>
        <v>8380.00000000029</v>
      </c>
      <c r="AU6" s="17">
        <f t="shared" ref="AU6:AY6" si="43">IF(OR(P7=""),"",(P7-P6)*1000)</f>
        <v>0</v>
      </c>
      <c r="AV6" s="17">
        <f t="shared" si="43"/>
        <v>99.9999999985448</v>
      </c>
      <c r="AW6" s="17">
        <f t="shared" si="43"/>
        <v>4500</v>
      </c>
      <c r="AX6" s="17">
        <f t="shared" si="43"/>
        <v>5199.99999999982</v>
      </c>
      <c r="AY6" s="17">
        <f t="shared" si="43"/>
        <v>0</v>
      </c>
      <c r="AZ6" s="17">
        <f t="shared" si="30"/>
        <v>9799.99999999836</v>
      </c>
      <c r="BA6" s="17">
        <f t="shared" si="31"/>
        <v>10199.9999999971</v>
      </c>
      <c r="BB6" s="17">
        <f t="shared" si="32"/>
        <v>672.000000000116</v>
      </c>
      <c r="BC6" s="17">
        <f t="shared" ref="BC6:BC34" si="44">IF(OR(Z7=""),"",(Z7-Z6)*40)</f>
        <v>1415.99999999977</v>
      </c>
      <c r="BD6" s="17">
        <f t="shared" si="33"/>
        <v>15872.0000000266</v>
      </c>
      <c r="BE6" s="17">
        <f t="shared" si="34"/>
        <v>55100.0000000204</v>
      </c>
      <c r="BF6" s="17">
        <f t="shared" ref="BF6:BF34" si="45">IF(OR(AC7=""),"",AC7-AC6)</f>
        <v>48.5</v>
      </c>
      <c r="BG6" s="20">
        <f t="shared" si="35"/>
        <v>0.267401738354049</v>
      </c>
      <c r="BH6" s="20">
        <f t="shared" si="36"/>
        <v>0.042512508674775</v>
      </c>
      <c r="BI6" s="20">
        <f t="shared" si="37"/>
        <v>0</v>
      </c>
      <c r="BJ6" s="20">
        <f t="shared" si="38"/>
        <v>0.0406683587551032</v>
      </c>
      <c r="BK6" s="20">
        <f t="shared" ref="BK6:BO6" si="46">IF(OR($AD6=0),"",AZ6/$AD6)</f>
        <v>0.0475596558233807</v>
      </c>
      <c r="BL6" s="20">
        <f t="shared" si="46"/>
        <v>0.0495008662651455</v>
      </c>
      <c r="BM6" s="20">
        <f t="shared" si="46"/>
        <v>0.00326123354217579</v>
      </c>
      <c r="BN6" s="20">
        <f t="shared" si="46"/>
        <v>0.00687188496386809</v>
      </c>
      <c r="BO6" s="20">
        <f t="shared" si="46"/>
        <v>0.0770272303296012</v>
      </c>
    </row>
    <row r="7" spans="1:67">
      <c r="A7" s="25">
        <v>43681</v>
      </c>
      <c r="B7" s="10">
        <v>18609.08</v>
      </c>
      <c r="C7" s="8">
        <v>97523.6</v>
      </c>
      <c r="D7" s="8">
        <v>66599.9</v>
      </c>
      <c r="E7" s="8">
        <v>66449.9</v>
      </c>
      <c r="F7" s="8">
        <v>9306.88</v>
      </c>
      <c r="G7" s="8">
        <v>122756.9</v>
      </c>
      <c r="H7" s="8">
        <v>5709.7</v>
      </c>
      <c r="I7" s="8">
        <v>2566.3</v>
      </c>
      <c r="J7" s="8">
        <v>967</v>
      </c>
      <c r="K7" s="8">
        <v>56</v>
      </c>
      <c r="L7" s="8">
        <v>100551.5</v>
      </c>
      <c r="M7" s="8">
        <v>61530</v>
      </c>
      <c r="N7" s="8">
        <v>82980.5</v>
      </c>
      <c r="O7" s="8">
        <v>110950.9</v>
      </c>
      <c r="P7" s="8">
        <v>6337.4</v>
      </c>
      <c r="Q7" s="8">
        <v>8453.3</v>
      </c>
      <c r="R7" s="8">
        <v>4982.5</v>
      </c>
      <c r="S7" s="8">
        <v>6256.5</v>
      </c>
      <c r="T7" s="8">
        <v>8130.7</v>
      </c>
      <c r="U7" s="8">
        <v>19050</v>
      </c>
      <c r="V7" s="8">
        <v>54635.4</v>
      </c>
      <c r="W7" s="8">
        <v>58519.6</v>
      </c>
      <c r="X7" s="8">
        <v>6108.3</v>
      </c>
      <c r="Y7" s="8">
        <v>6120.5</v>
      </c>
      <c r="Z7" s="15">
        <f t="shared" si="21"/>
        <v>70748.4</v>
      </c>
      <c r="AA7" s="8">
        <v>5177.4</v>
      </c>
      <c r="AB7" s="13">
        <v>8848</v>
      </c>
      <c r="AC7" s="7">
        <f t="shared" si="22"/>
        <v>14025.4</v>
      </c>
      <c r="AD7" s="16">
        <v>201446</v>
      </c>
      <c r="AE7" s="17">
        <f t="shared" ref="AE7:AI7" si="47">IF(OR(C8=""),"",(C8-C7)*80)</f>
        <v>0</v>
      </c>
      <c r="AF7" s="17">
        <f t="shared" si="47"/>
        <v>40</v>
      </c>
      <c r="AG7" s="17">
        <f t="shared" si="47"/>
        <v>3160</v>
      </c>
      <c r="AH7" s="17">
        <f t="shared" si="47"/>
        <v>2170.40000000008</v>
      </c>
      <c r="AI7" s="17">
        <f t="shared" si="47"/>
        <v>2656.00000000093</v>
      </c>
      <c r="AJ7" s="17">
        <f t="shared" si="24"/>
        <v>8026.40000000101</v>
      </c>
      <c r="AK7" s="17">
        <f t="shared" ref="AK7:AN7" si="48">IF(OR(H8=""),"",(H8-H7)*80)</f>
        <v>0</v>
      </c>
      <c r="AL7" s="17">
        <f t="shared" si="48"/>
        <v>0</v>
      </c>
      <c r="AM7" s="17">
        <f t="shared" si="48"/>
        <v>0</v>
      </c>
      <c r="AN7" s="17">
        <f t="shared" si="48"/>
        <v>0</v>
      </c>
      <c r="AO7" s="17">
        <f t="shared" si="26"/>
        <v>0</v>
      </c>
      <c r="AP7" s="17">
        <f t="shared" ref="AP7:AS7" si="49">IF(OR(L8=""),"",(L8-L7)*100)</f>
        <v>3080.00000000029</v>
      </c>
      <c r="AQ7" s="17">
        <f t="shared" si="49"/>
        <v>0</v>
      </c>
      <c r="AR7" s="17">
        <f t="shared" si="49"/>
        <v>2850</v>
      </c>
      <c r="AS7" s="17">
        <f t="shared" si="49"/>
        <v>2400</v>
      </c>
      <c r="AT7" s="17">
        <f t="shared" si="28"/>
        <v>8330.00000000029</v>
      </c>
      <c r="AU7" s="17">
        <f t="shared" ref="AU7:AY7" si="50">IF(OR(P8=""),"",(P8-P7)*1000)</f>
        <v>0</v>
      </c>
      <c r="AV7" s="17">
        <f t="shared" si="50"/>
        <v>0</v>
      </c>
      <c r="AW7" s="17">
        <f t="shared" si="50"/>
        <v>4600.00000000036</v>
      </c>
      <c r="AX7" s="17">
        <f t="shared" si="50"/>
        <v>5100.00000000036</v>
      </c>
      <c r="AY7" s="17">
        <f t="shared" si="50"/>
        <v>0</v>
      </c>
      <c r="AZ7" s="17">
        <f t="shared" si="30"/>
        <v>9700.00000000073</v>
      </c>
      <c r="BA7" s="17">
        <f t="shared" si="31"/>
        <v>10199.9999999971</v>
      </c>
      <c r="BB7" s="17">
        <f t="shared" si="32"/>
        <v>720</v>
      </c>
      <c r="BC7" s="17">
        <f t="shared" si="44"/>
        <v>1440.00000000058</v>
      </c>
      <c r="BD7" s="17">
        <f t="shared" si="33"/>
        <v>16783.5999999683</v>
      </c>
      <c r="BE7" s="17">
        <f t="shared" si="34"/>
        <v>55199.999999968</v>
      </c>
      <c r="BF7" s="17">
        <f t="shared" si="45"/>
        <v>49.5</v>
      </c>
      <c r="BG7" s="20">
        <f t="shared" si="35"/>
        <v>0.274018843759459</v>
      </c>
      <c r="BH7" s="20">
        <f t="shared" si="36"/>
        <v>0.0398439283976898</v>
      </c>
      <c r="BI7" s="20">
        <f t="shared" si="37"/>
        <v>0</v>
      </c>
      <c r="BJ7" s="20">
        <f t="shared" si="38"/>
        <v>0.0413510320383641</v>
      </c>
      <c r="BK7" s="20">
        <f t="shared" ref="BK7:BO7" si="51">IF(OR($AD7=0),"",AZ7/$AD7)</f>
        <v>0.0481518620374727</v>
      </c>
      <c r="BL7" s="20">
        <f t="shared" si="51"/>
        <v>0.0506339167816541</v>
      </c>
      <c r="BM7" s="20">
        <f t="shared" si="51"/>
        <v>0.00357415883164719</v>
      </c>
      <c r="BN7" s="20">
        <f t="shared" si="51"/>
        <v>0.00714831766329727</v>
      </c>
      <c r="BO7" s="20">
        <f t="shared" si="51"/>
        <v>0.0833156280093339</v>
      </c>
    </row>
    <row r="8" spans="1:67">
      <c r="A8" s="25">
        <v>43682</v>
      </c>
      <c r="B8" s="10">
        <v>18614.6</v>
      </c>
      <c r="C8" s="8">
        <v>97523.6</v>
      </c>
      <c r="D8" s="8">
        <v>66600.4</v>
      </c>
      <c r="E8" s="8">
        <v>66489.4</v>
      </c>
      <c r="F8" s="8">
        <v>9334.01</v>
      </c>
      <c r="G8" s="8">
        <v>122790.1</v>
      </c>
      <c r="H8" s="8">
        <v>5709.7</v>
      </c>
      <c r="I8" s="8">
        <v>2566.3</v>
      </c>
      <c r="J8" s="8">
        <v>967</v>
      </c>
      <c r="K8" s="8">
        <v>56</v>
      </c>
      <c r="L8" s="8">
        <v>100582.3</v>
      </c>
      <c r="M8" s="8">
        <v>61530</v>
      </c>
      <c r="N8" s="8">
        <v>83009</v>
      </c>
      <c r="O8" s="8">
        <v>110974.9</v>
      </c>
      <c r="P8" s="8">
        <v>6337.4</v>
      </c>
      <c r="Q8" s="8">
        <v>8453.3</v>
      </c>
      <c r="R8" s="8">
        <v>4987.1</v>
      </c>
      <c r="S8" s="8">
        <v>6261.6</v>
      </c>
      <c r="T8" s="8">
        <v>8130.7</v>
      </c>
      <c r="U8" s="8">
        <v>19055.1</v>
      </c>
      <c r="V8" s="8">
        <v>54644.4</v>
      </c>
      <c r="W8" s="8">
        <v>58535.8</v>
      </c>
      <c r="X8" s="8">
        <v>6116.9</v>
      </c>
      <c r="Y8" s="8">
        <v>6131.7</v>
      </c>
      <c r="Z8" s="15">
        <f t="shared" si="21"/>
        <v>70784.4</v>
      </c>
      <c r="AA8" s="8">
        <v>5219.9</v>
      </c>
      <c r="AB8" s="13">
        <v>8855</v>
      </c>
      <c r="AC8" s="7">
        <f t="shared" si="22"/>
        <v>14074.9</v>
      </c>
      <c r="AD8" s="16">
        <v>187054</v>
      </c>
      <c r="AE8" s="17">
        <f t="shared" ref="AE8:AI8" si="52">IF(OR(C9=""),"",(C9-C8)*80)</f>
        <v>0</v>
      </c>
      <c r="AF8" s="17">
        <f t="shared" si="52"/>
        <v>216.000000000931</v>
      </c>
      <c r="AG8" s="17">
        <f t="shared" si="52"/>
        <v>2456.00000000093</v>
      </c>
      <c r="AH8" s="17">
        <f t="shared" si="52"/>
        <v>2038.39999999997</v>
      </c>
      <c r="AI8" s="17">
        <f t="shared" si="52"/>
        <v>2127.9999999993</v>
      </c>
      <c r="AJ8" s="17">
        <f t="shared" si="24"/>
        <v>6838.40000000113</v>
      </c>
      <c r="AK8" s="17">
        <f t="shared" ref="AK8:AN8" si="53">IF(OR(H9=""),"",(H9-H8)*80)</f>
        <v>0</v>
      </c>
      <c r="AL8" s="17">
        <f t="shared" si="53"/>
        <v>0</v>
      </c>
      <c r="AM8" s="17">
        <f t="shared" si="53"/>
        <v>0</v>
      </c>
      <c r="AN8" s="17">
        <f t="shared" si="53"/>
        <v>0</v>
      </c>
      <c r="AO8" s="17">
        <f t="shared" si="26"/>
        <v>0</v>
      </c>
      <c r="AP8" s="17">
        <f t="shared" ref="AP8:AS8" si="54">IF(OR(L9=""),"",(L9-L8)*100)</f>
        <v>2130.00000000029</v>
      </c>
      <c r="AQ8" s="17">
        <f t="shared" si="54"/>
        <v>0</v>
      </c>
      <c r="AR8" s="17">
        <f t="shared" si="54"/>
        <v>2830.00000000029</v>
      </c>
      <c r="AS8" s="17">
        <f t="shared" si="54"/>
        <v>1900</v>
      </c>
      <c r="AT8" s="17">
        <f t="shared" si="28"/>
        <v>6860.00000000058</v>
      </c>
      <c r="AU8" s="17">
        <f t="shared" ref="AU8:AY8" si="55">IF(OR(P9=""),"",(P9-P8)*1000)</f>
        <v>0</v>
      </c>
      <c r="AV8" s="17">
        <f t="shared" si="55"/>
        <v>2000</v>
      </c>
      <c r="AW8" s="17">
        <f t="shared" si="55"/>
        <v>4599.99999999945</v>
      </c>
      <c r="AX8" s="17">
        <f t="shared" si="55"/>
        <v>3599.99999999945</v>
      </c>
      <c r="AY8" s="17">
        <f t="shared" si="55"/>
        <v>0</v>
      </c>
      <c r="AZ8" s="17">
        <f t="shared" si="30"/>
        <v>10199.9999999989</v>
      </c>
      <c r="BA8" s="17">
        <f t="shared" si="31"/>
        <v>8200.00000000437</v>
      </c>
      <c r="BB8" s="17">
        <f t="shared" si="32"/>
        <v>800</v>
      </c>
      <c r="BC8" s="17">
        <f t="shared" si="44"/>
        <v>1443.99999999965</v>
      </c>
      <c r="BD8" s="17">
        <f t="shared" si="33"/>
        <v>16557.5999999968</v>
      </c>
      <c r="BE8" s="17">
        <f t="shared" si="34"/>
        <v>50900.0000000015</v>
      </c>
      <c r="BF8" s="17">
        <f t="shared" si="45"/>
        <v>47.2000000000007</v>
      </c>
      <c r="BG8" s="20">
        <f t="shared" si="35"/>
        <v>0.272113935013426</v>
      </c>
      <c r="BH8" s="20">
        <f t="shared" si="36"/>
        <v>0.0365584269783118</v>
      </c>
      <c r="BI8" s="20">
        <f t="shared" si="37"/>
        <v>0</v>
      </c>
      <c r="BJ8" s="20">
        <f t="shared" si="38"/>
        <v>0.0366739016540709</v>
      </c>
      <c r="BK8" s="20">
        <f t="shared" ref="BK8:BO8" si="56">IF(OR($AD8=0),"",AZ8/$AD8)</f>
        <v>0.0545297079987539</v>
      </c>
      <c r="BL8" s="20">
        <f t="shared" si="56"/>
        <v>0.0438376083911831</v>
      </c>
      <c r="BM8" s="20">
        <f t="shared" si="56"/>
        <v>0.00427683984303998</v>
      </c>
      <c r="BN8" s="20">
        <f t="shared" si="56"/>
        <v>0.00771969591668529</v>
      </c>
      <c r="BO8" s="20">
        <f t="shared" si="56"/>
        <v>0.0885177542313814</v>
      </c>
    </row>
    <row r="9" spans="1:67">
      <c r="A9" s="25">
        <v>43683</v>
      </c>
      <c r="B9" s="10">
        <v>18619.69</v>
      </c>
      <c r="C9" s="8">
        <v>97523.6</v>
      </c>
      <c r="D9" s="8">
        <v>66603.1</v>
      </c>
      <c r="E9" s="8">
        <v>66520.1</v>
      </c>
      <c r="F9" s="8">
        <v>9359.49</v>
      </c>
      <c r="G9" s="8">
        <v>122816.7</v>
      </c>
      <c r="H9" s="8">
        <v>5709.7</v>
      </c>
      <c r="I9" s="8">
        <v>2566.3</v>
      </c>
      <c r="J9" s="8">
        <v>967</v>
      </c>
      <c r="K9" s="8">
        <v>56</v>
      </c>
      <c r="L9" s="8">
        <v>100603.6</v>
      </c>
      <c r="M9" s="8">
        <v>61530</v>
      </c>
      <c r="N9" s="8">
        <v>83037.3</v>
      </c>
      <c r="O9" s="8">
        <v>110993.9</v>
      </c>
      <c r="P9" s="8">
        <v>6337.4</v>
      </c>
      <c r="Q9" s="8">
        <v>8455.3</v>
      </c>
      <c r="R9" s="8">
        <v>4991.7</v>
      </c>
      <c r="S9" s="8">
        <v>6265.2</v>
      </c>
      <c r="T9" s="8">
        <v>8130.7</v>
      </c>
      <c r="U9" s="8">
        <v>19059.2</v>
      </c>
      <c r="V9" s="8">
        <v>54654.4</v>
      </c>
      <c r="W9" s="8">
        <v>58551.8</v>
      </c>
      <c r="X9" s="8">
        <v>6125.6</v>
      </c>
      <c r="Y9" s="8">
        <v>6143.1</v>
      </c>
      <c r="Z9" s="15">
        <f t="shared" si="21"/>
        <v>70820.5</v>
      </c>
      <c r="AA9" s="8">
        <v>5259.1</v>
      </c>
      <c r="AB9" s="13">
        <v>8863</v>
      </c>
      <c r="AC9" s="7">
        <f t="shared" si="22"/>
        <v>14122.1</v>
      </c>
      <c r="AD9" s="16">
        <v>175000</v>
      </c>
      <c r="AE9" s="17">
        <f t="shared" ref="AE9:AI9" si="57">IF(OR(C10=""),"",(C10-C9)*80)</f>
        <v>0</v>
      </c>
      <c r="AF9" s="17">
        <f t="shared" si="57"/>
        <v>2103.99999999907</v>
      </c>
      <c r="AG9" s="17">
        <f t="shared" si="57"/>
        <v>2687.9999999993</v>
      </c>
      <c r="AH9" s="17">
        <f t="shared" si="57"/>
        <v>364.000000000087</v>
      </c>
      <c r="AI9" s="17">
        <f t="shared" si="57"/>
        <v>2160</v>
      </c>
      <c r="AJ9" s="17">
        <f t="shared" si="24"/>
        <v>7315.99999999846</v>
      </c>
      <c r="AK9" s="17">
        <f t="shared" ref="AK9:AN9" si="58">IF(OR(H10=""),"",(H10-H9)*80)</f>
        <v>0</v>
      </c>
      <c r="AL9" s="17">
        <f t="shared" si="58"/>
        <v>0</v>
      </c>
      <c r="AM9" s="17">
        <f t="shared" si="58"/>
        <v>0</v>
      </c>
      <c r="AN9" s="17">
        <f t="shared" si="58"/>
        <v>0</v>
      </c>
      <c r="AO9" s="17">
        <f t="shared" si="26"/>
        <v>0</v>
      </c>
      <c r="AP9" s="17">
        <f t="shared" ref="AP9:AS9" si="59">IF(OR(L10=""),"",(L10-L9)*100)</f>
        <v>1619.99999999971</v>
      </c>
      <c r="AQ9" s="17">
        <f t="shared" si="59"/>
        <v>0</v>
      </c>
      <c r="AR9" s="17">
        <f t="shared" si="59"/>
        <v>2900</v>
      </c>
      <c r="AS9" s="17">
        <f t="shared" si="59"/>
        <v>2130.00000000029</v>
      </c>
      <c r="AT9" s="17">
        <f t="shared" si="28"/>
        <v>6650</v>
      </c>
      <c r="AU9" s="17">
        <f t="shared" ref="AU9:AY9" si="60">IF(OR(P10=""),"",(P10-P9)*1000)</f>
        <v>0</v>
      </c>
      <c r="AV9" s="17">
        <f t="shared" si="60"/>
        <v>2700.00000000073</v>
      </c>
      <c r="AW9" s="17">
        <f t="shared" si="60"/>
        <v>3300.00000000018</v>
      </c>
      <c r="AX9" s="17">
        <f t="shared" si="60"/>
        <v>5300.00000000018</v>
      </c>
      <c r="AY9" s="17">
        <f t="shared" si="60"/>
        <v>0</v>
      </c>
      <c r="AZ9" s="17">
        <f t="shared" si="30"/>
        <v>11300.0000000011</v>
      </c>
      <c r="BA9" s="17">
        <f t="shared" si="31"/>
        <v>8199.99999999709</v>
      </c>
      <c r="BB9" s="17">
        <f t="shared" si="32"/>
        <v>1047.99999999988</v>
      </c>
      <c r="BC9" s="17">
        <f t="shared" si="44"/>
        <v>1424.00000000023</v>
      </c>
      <c r="BD9" s="17">
        <f t="shared" si="33"/>
        <v>14562.0000000323</v>
      </c>
      <c r="BE9" s="17">
        <f t="shared" si="34"/>
        <v>50500.0000000291</v>
      </c>
      <c r="BF9" s="17">
        <f t="shared" si="45"/>
        <v>55.8999999999996</v>
      </c>
      <c r="BG9" s="20">
        <f t="shared" si="35"/>
        <v>0.288571428571595</v>
      </c>
      <c r="BH9" s="20">
        <f t="shared" si="36"/>
        <v>0.0418057142857055</v>
      </c>
      <c r="BI9" s="20">
        <f t="shared" si="37"/>
        <v>0</v>
      </c>
      <c r="BJ9" s="20">
        <f t="shared" si="38"/>
        <v>0.038</v>
      </c>
      <c r="BK9" s="20">
        <f t="shared" ref="BK9:BO9" si="61">IF(OR($AD9=0),"",AZ9/$AD9)</f>
        <v>0.0645714285714348</v>
      </c>
      <c r="BL9" s="20">
        <f t="shared" si="61"/>
        <v>0.0468571428571262</v>
      </c>
      <c r="BM9" s="20">
        <f t="shared" si="61"/>
        <v>0.00598857142857076</v>
      </c>
      <c r="BN9" s="20">
        <f t="shared" si="61"/>
        <v>0.00813714285714419</v>
      </c>
      <c r="BO9" s="20">
        <f t="shared" si="61"/>
        <v>0.0832114285716134</v>
      </c>
    </row>
    <row r="10" spans="1:67">
      <c r="A10" s="25">
        <v>43684</v>
      </c>
      <c r="B10" s="10">
        <v>18624.74</v>
      </c>
      <c r="C10" s="8">
        <v>97523.6</v>
      </c>
      <c r="D10" s="8">
        <v>66629.4</v>
      </c>
      <c r="E10" s="8">
        <v>66553.7</v>
      </c>
      <c r="F10" s="8">
        <v>9364.04</v>
      </c>
      <c r="G10" s="8">
        <v>122843.7</v>
      </c>
      <c r="H10" s="8">
        <v>5709.7</v>
      </c>
      <c r="I10" s="8">
        <v>2566.3</v>
      </c>
      <c r="J10" s="8">
        <v>967</v>
      </c>
      <c r="K10" s="8">
        <v>56</v>
      </c>
      <c r="L10" s="8">
        <v>100619.8</v>
      </c>
      <c r="M10" s="8">
        <v>61530</v>
      </c>
      <c r="N10" s="8">
        <v>83066.3</v>
      </c>
      <c r="O10" s="8">
        <v>111015.2</v>
      </c>
      <c r="P10" s="8">
        <v>6337.4</v>
      </c>
      <c r="Q10" s="8">
        <v>8458</v>
      </c>
      <c r="R10" s="8">
        <v>4995</v>
      </c>
      <c r="S10" s="8">
        <v>6270.5</v>
      </c>
      <c r="T10" s="8">
        <v>8130.7</v>
      </c>
      <c r="U10" s="8">
        <v>19063.3</v>
      </c>
      <c r="V10" s="8">
        <v>54667.5</v>
      </c>
      <c r="W10" s="8">
        <v>58568</v>
      </c>
      <c r="X10" s="8">
        <v>6134</v>
      </c>
      <c r="Y10" s="8">
        <v>6154.1</v>
      </c>
      <c r="Z10" s="15">
        <f t="shared" si="21"/>
        <v>70856.1</v>
      </c>
      <c r="AA10" s="8">
        <v>5300</v>
      </c>
      <c r="AB10" s="13">
        <v>8878</v>
      </c>
      <c r="AC10" s="7">
        <f t="shared" si="22"/>
        <v>14178</v>
      </c>
      <c r="AD10" s="16">
        <v>160108</v>
      </c>
      <c r="AE10" s="17">
        <f t="shared" ref="AE10:AI10" si="62">IF(OR(C11=""),"",(C11-C10)*80)</f>
        <v>0</v>
      </c>
      <c r="AF10" s="17">
        <f t="shared" si="62"/>
        <v>2136.00000000093</v>
      </c>
      <c r="AG10" s="17">
        <f t="shared" si="62"/>
        <v>2344.00000000023</v>
      </c>
      <c r="AH10" s="17">
        <f t="shared" si="62"/>
        <v>3.99999999994179</v>
      </c>
      <c r="AI10" s="17">
        <f t="shared" si="62"/>
        <v>1984.00000000023</v>
      </c>
      <c r="AJ10" s="17">
        <f t="shared" si="24"/>
        <v>6468.00000000134</v>
      </c>
      <c r="AK10" s="17">
        <f t="shared" ref="AK10:AN10" si="63">IF(OR(H11=""),"",(H11-H10)*80)</f>
        <v>0</v>
      </c>
      <c r="AL10" s="17">
        <f t="shared" si="63"/>
        <v>0</v>
      </c>
      <c r="AM10" s="17">
        <f t="shared" si="63"/>
        <v>0</v>
      </c>
      <c r="AN10" s="17">
        <f t="shared" si="63"/>
        <v>0</v>
      </c>
      <c r="AO10" s="17">
        <f t="shared" si="26"/>
        <v>0</v>
      </c>
      <c r="AP10" s="17">
        <f t="shared" ref="AP10:AS10" si="64">IF(OR(L11=""),"",(L11-L10)*100)</f>
        <v>1419.99999999971</v>
      </c>
      <c r="AQ10" s="17">
        <f t="shared" si="64"/>
        <v>0</v>
      </c>
      <c r="AR10" s="17">
        <f t="shared" si="64"/>
        <v>2569.99999999971</v>
      </c>
      <c r="AS10" s="17">
        <f t="shared" si="64"/>
        <v>2050</v>
      </c>
      <c r="AT10" s="17">
        <f t="shared" si="28"/>
        <v>6039.99999999942</v>
      </c>
      <c r="AU10" s="17">
        <f t="shared" ref="AU10:AY10" si="65">IF(OR(P11=""),"",(P11-P10)*1000)</f>
        <v>0</v>
      </c>
      <c r="AV10" s="17">
        <f t="shared" si="65"/>
        <v>100.000000000364</v>
      </c>
      <c r="AW10" s="17">
        <f t="shared" si="65"/>
        <v>4399.99999999964</v>
      </c>
      <c r="AX10" s="17">
        <f t="shared" si="65"/>
        <v>5000</v>
      </c>
      <c r="AY10" s="17">
        <f t="shared" si="65"/>
        <v>0</v>
      </c>
      <c r="AZ10" s="17">
        <f t="shared" si="30"/>
        <v>9500</v>
      </c>
      <c r="BA10" s="17">
        <f t="shared" si="31"/>
        <v>7800.00000000291</v>
      </c>
      <c r="BB10" s="17">
        <f t="shared" si="32"/>
        <v>1055.99999999977</v>
      </c>
      <c r="BC10" s="17">
        <f t="shared" si="44"/>
        <v>1407.99999999988</v>
      </c>
      <c r="BD10" s="17">
        <f t="shared" si="33"/>
        <v>17627.9999999763</v>
      </c>
      <c r="BE10" s="17">
        <f t="shared" si="34"/>
        <v>49899.9999999796</v>
      </c>
      <c r="BF10" s="17">
        <f t="shared" si="45"/>
        <v>48.3999999999996</v>
      </c>
      <c r="BG10" s="20">
        <f t="shared" si="35"/>
        <v>0.311664626377068</v>
      </c>
      <c r="BH10" s="20">
        <f t="shared" si="36"/>
        <v>0.0403977315312248</v>
      </c>
      <c r="BI10" s="20">
        <f t="shared" si="37"/>
        <v>0</v>
      </c>
      <c r="BJ10" s="20">
        <f t="shared" si="38"/>
        <v>0.0377245359382381</v>
      </c>
      <c r="BK10" s="20">
        <f t="shared" ref="BK10:BO10" si="66">IF(OR($AD10=0),"",AZ10/$AD10)</f>
        <v>0.0593349489094861</v>
      </c>
      <c r="BL10" s="20">
        <f t="shared" si="66"/>
        <v>0.0487171159467541</v>
      </c>
      <c r="BM10" s="20">
        <f t="shared" si="66"/>
        <v>0.00659554800509511</v>
      </c>
      <c r="BN10" s="20">
        <f t="shared" si="66"/>
        <v>0.00879406400679469</v>
      </c>
      <c r="BO10" s="20">
        <f t="shared" si="66"/>
        <v>0.110100682039475</v>
      </c>
    </row>
    <row r="11" spans="1:67">
      <c r="A11" s="25">
        <v>43685</v>
      </c>
      <c r="B11" s="10">
        <v>18629.73</v>
      </c>
      <c r="C11" s="8">
        <v>97523.6</v>
      </c>
      <c r="D11" s="8">
        <v>66656.1</v>
      </c>
      <c r="E11" s="8">
        <v>66583</v>
      </c>
      <c r="F11" s="8">
        <v>9364.09</v>
      </c>
      <c r="G11" s="8">
        <v>122868.5</v>
      </c>
      <c r="H11" s="8">
        <v>5709.7</v>
      </c>
      <c r="I11" s="8">
        <v>2566.3</v>
      </c>
      <c r="J11" s="8">
        <v>967</v>
      </c>
      <c r="K11" s="8">
        <v>56</v>
      </c>
      <c r="L11" s="8">
        <v>100634</v>
      </c>
      <c r="M11" s="8">
        <v>61530</v>
      </c>
      <c r="N11" s="8">
        <v>83092</v>
      </c>
      <c r="O11" s="8">
        <v>111035.7</v>
      </c>
      <c r="P11" s="8">
        <v>6337.4</v>
      </c>
      <c r="Q11" s="8">
        <v>8458.1</v>
      </c>
      <c r="R11" s="8">
        <v>4999.4</v>
      </c>
      <c r="S11" s="8">
        <v>6275.5</v>
      </c>
      <c r="T11" s="8">
        <v>8130.7</v>
      </c>
      <c r="U11" s="8">
        <v>19067.2</v>
      </c>
      <c r="V11" s="8">
        <v>54680.7</v>
      </c>
      <c r="W11" s="8">
        <v>58583.8</v>
      </c>
      <c r="X11" s="8">
        <v>6142.5</v>
      </c>
      <c r="Y11" s="8">
        <v>6165</v>
      </c>
      <c r="Z11" s="15">
        <f t="shared" si="21"/>
        <v>70891.3</v>
      </c>
      <c r="AA11" s="8">
        <v>5341.4</v>
      </c>
      <c r="AB11" s="13">
        <v>8885</v>
      </c>
      <c r="AC11" s="7">
        <f t="shared" si="22"/>
        <v>14226.4</v>
      </c>
      <c r="AD11" s="16">
        <v>152892</v>
      </c>
      <c r="AE11" s="17">
        <f t="shared" ref="AE11:AI11" si="67">IF(OR(C12=""),"",(C12-C11)*80)</f>
        <v>0</v>
      </c>
      <c r="AF11" s="17">
        <f t="shared" si="67"/>
        <v>2215.99999999977</v>
      </c>
      <c r="AG11" s="17">
        <f t="shared" si="67"/>
        <v>2080</v>
      </c>
      <c r="AH11" s="17">
        <f t="shared" si="67"/>
        <v>263.999999999942</v>
      </c>
      <c r="AI11" s="17">
        <f t="shared" si="67"/>
        <v>1904.00000000023</v>
      </c>
      <c r="AJ11" s="17">
        <f t="shared" si="24"/>
        <v>6463.99999999994</v>
      </c>
      <c r="AK11" s="17">
        <f t="shared" ref="AK11:AN11" si="68">IF(OR(H12=""),"",(H12-H11)*80)</f>
        <v>0</v>
      </c>
      <c r="AL11" s="17">
        <f t="shared" si="68"/>
        <v>0</v>
      </c>
      <c r="AM11" s="17">
        <f t="shared" si="68"/>
        <v>0</v>
      </c>
      <c r="AN11" s="17">
        <f t="shared" si="68"/>
        <v>0</v>
      </c>
      <c r="AO11" s="17">
        <f t="shared" si="26"/>
        <v>0</v>
      </c>
      <c r="AP11" s="17">
        <f t="shared" ref="AP11:AS11" si="69">IF(OR(L12=""),"",(L12-L11)*100)</f>
        <v>1410.00000000058</v>
      </c>
      <c r="AQ11" s="17">
        <f t="shared" si="69"/>
        <v>0</v>
      </c>
      <c r="AR11" s="17">
        <f t="shared" si="69"/>
        <v>2739.99999999942</v>
      </c>
      <c r="AS11" s="17">
        <f t="shared" si="69"/>
        <v>1740.00000000087</v>
      </c>
      <c r="AT11" s="17">
        <f t="shared" si="28"/>
        <v>5890.00000000087</v>
      </c>
      <c r="AU11" s="17">
        <f t="shared" ref="AU11:AY11" si="70">IF(OR(P12=""),"",(P12-P11)*1000)</f>
        <v>0</v>
      </c>
      <c r="AV11" s="17">
        <f t="shared" si="70"/>
        <v>6500</v>
      </c>
      <c r="AW11" s="17">
        <f t="shared" si="70"/>
        <v>800.000000000182</v>
      </c>
      <c r="AX11" s="17">
        <f t="shared" si="70"/>
        <v>5199.99999999982</v>
      </c>
      <c r="AY11" s="17">
        <f t="shared" si="70"/>
        <v>0</v>
      </c>
      <c r="AZ11" s="17">
        <f t="shared" si="30"/>
        <v>12500</v>
      </c>
      <c r="BA11" s="17">
        <f t="shared" si="31"/>
        <v>7199.99999999709</v>
      </c>
      <c r="BB11" s="17">
        <f t="shared" si="32"/>
        <v>1072.00000000012</v>
      </c>
      <c r="BC11" s="17">
        <f t="shared" si="44"/>
        <v>1403.99999999965</v>
      </c>
      <c r="BD11" s="17">
        <f t="shared" si="33"/>
        <v>12970.0000000023</v>
      </c>
      <c r="BE11" s="17">
        <f t="shared" si="34"/>
        <v>47500</v>
      </c>
      <c r="BF11" s="17">
        <f t="shared" si="45"/>
        <v>48.1000000000004</v>
      </c>
      <c r="BG11" s="20">
        <f t="shared" si="35"/>
        <v>0.310676817622897</v>
      </c>
      <c r="BH11" s="20">
        <f t="shared" si="36"/>
        <v>0.0422782094550398</v>
      </c>
      <c r="BI11" s="20">
        <f t="shared" si="37"/>
        <v>0</v>
      </c>
      <c r="BJ11" s="20">
        <f t="shared" si="38"/>
        <v>0.038523925385245</v>
      </c>
      <c r="BK11" s="20">
        <f t="shared" ref="BK11:BO11" si="71">IF(OR($AD11=0),"",AZ11/$AD11)</f>
        <v>0.0817570572691835</v>
      </c>
      <c r="BL11" s="20">
        <f t="shared" si="71"/>
        <v>0.0470920649870306</v>
      </c>
      <c r="BM11" s="20">
        <f t="shared" si="71"/>
        <v>0.00701148523140594</v>
      </c>
      <c r="BN11" s="20">
        <f t="shared" si="71"/>
        <v>0.0091829526724724</v>
      </c>
      <c r="BO11" s="20">
        <f t="shared" si="71"/>
        <v>0.08483112262252</v>
      </c>
    </row>
    <row r="12" spans="1:67">
      <c r="A12" s="25">
        <v>43686</v>
      </c>
      <c r="B12" s="10">
        <v>18634.48</v>
      </c>
      <c r="C12" s="8">
        <v>97523.6</v>
      </c>
      <c r="D12" s="8">
        <v>66683.8</v>
      </c>
      <c r="E12" s="8">
        <v>66609</v>
      </c>
      <c r="F12" s="8">
        <v>9367.39</v>
      </c>
      <c r="G12" s="8">
        <v>122892.3</v>
      </c>
      <c r="H12" s="8">
        <v>5709.7</v>
      </c>
      <c r="I12" s="8">
        <v>2566.3</v>
      </c>
      <c r="J12" s="8">
        <v>967</v>
      </c>
      <c r="K12" s="8">
        <v>56</v>
      </c>
      <c r="L12" s="8">
        <v>100648.1</v>
      </c>
      <c r="M12" s="8">
        <v>61530</v>
      </c>
      <c r="N12" s="8">
        <v>83119.4</v>
      </c>
      <c r="O12" s="8">
        <v>111053.1</v>
      </c>
      <c r="P12" s="8">
        <v>6337.4</v>
      </c>
      <c r="Q12" s="8">
        <v>8464.6</v>
      </c>
      <c r="R12" s="8">
        <v>5000.2</v>
      </c>
      <c r="S12" s="8">
        <v>6280.7</v>
      </c>
      <c r="T12" s="8">
        <v>8130.7</v>
      </c>
      <c r="U12" s="8">
        <v>19070.8</v>
      </c>
      <c r="V12" s="8">
        <v>54694.1</v>
      </c>
      <c r="W12" s="8">
        <v>58599.7</v>
      </c>
      <c r="X12" s="8">
        <v>6150.9</v>
      </c>
      <c r="Y12" s="8">
        <v>6175.8</v>
      </c>
      <c r="Z12" s="15">
        <f t="shared" si="21"/>
        <v>70926.4</v>
      </c>
      <c r="AA12" s="8">
        <v>5383.5</v>
      </c>
      <c r="AB12" s="13">
        <v>8891</v>
      </c>
      <c r="AC12" s="7">
        <f t="shared" si="22"/>
        <v>14274.5</v>
      </c>
      <c r="AD12" s="16">
        <v>137513</v>
      </c>
      <c r="AE12" s="17">
        <f t="shared" ref="AE12:AI12" si="72">IF(OR(C13=""),"",(C13-C12)*80)</f>
        <v>0</v>
      </c>
      <c r="AF12" s="17">
        <f t="shared" si="72"/>
        <v>584.000000000233</v>
      </c>
      <c r="AG12" s="17">
        <f t="shared" si="72"/>
        <v>3024.00000000023</v>
      </c>
      <c r="AH12" s="17">
        <f t="shared" si="72"/>
        <v>0.800000000017462</v>
      </c>
      <c r="AI12" s="17">
        <f t="shared" si="72"/>
        <v>2271.99999999953</v>
      </c>
      <c r="AJ12" s="17">
        <f t="shared" si="24"/>
        <v>5880.80000000002</v>
      </c>
      <c r="AK12" s="17">
        <f t="shared" ref="AK12:AN12" si="73">IF(OR(H13=""),"",(H13-H12)*80)</f>
        <v>0</v>
      </c>
      <c r="AL12" s="17">
        <f t="shared" si="73"/>
        <v>0</v>
      </c>
      <c r="AM12" s="17">
        <f t="shared" si="73"/>
        <v>0</v>
      </c>
      <c r="AN12" s="17">
        <f t="shared" si="73"/>
        <v>0</v>
      </c>
      <c r="AO12" s="17">
        <f t="shared" si="26"/>
        <v>0</v>
      </c>
      <c r="AP12" s="17">
        <f t="shared" ref="AP12:AS12" si="74">IF(OR(L13=""),"",(L13-L12)*100)</f>
        <v>1109.99999999913</v>
      </c>
      <c r="AQ12" s="17">
        <f t="shared" si="74"/>
        <v>9.99999999985448</v>
      </c>
      <c r="AR12" s="17">
        <f t="shared" si="74"/>
        <v>2720.00000000116</v>
      </c>
      <c r="AS12" s="17">
        <f t="shared" si="74"/>
        <v>1929.99999999884</v>
      </c>
      <c r="AT12" s="17">
        <f t="shared" si="28"/>
        <v>5769.99999999898</v>
      </c>
      <c r="AU12" s="17">
        <f t="shared" ref="AU12:AY12" si="75">IF(OR(P13=""),"",(P13-P12)*1000)</f>
        <v>0</v>
      </c>
      <c r="AV12" s="17">
        <f t="shared" si="75"/>
        <v>7399.99999999964</v>
      </c>
      <c r="AW12" s="17">
        <f t="shared" si="75"/>
        <v>4199.99999999982</v>
      </c>
      <c r="AX12" s="17">
        <f t="shared" si="75"/>
        <v>0</v>
      </c>
      <c r="AY12" s="17">
        <f t="shared" si="75"/>
        <v>0</v>
      </c>
      <c r="AZ12" s="17">
        <f t="shared" si="30"/>
        <v>11599.9999999995</v>
      </c>
      <c r="BA12" s="17">
        <f t="shared" si="31"/>
        <v>7400.00000000146</v>
      </c>
      <c r="BB12" s="17">
        <f t="shared" si="32"/>
        <v>1040</v>
      </c>
      <c r="BC12" s="17">
        <f t="shared" si="44"/>
        <v>1424.00000000023</v>
      </c>
      <c r="BD12" s="17">
        <f t="shared" si="33"/>
        <v>12885.2000000217</v>
      </c>
      <c r="BE12" s="17">
        <f t="shared" si="34"/>
        <v>46000.0000000218</v>
      </c>
      <c r="BF12" s="17">
        <f t="shared" si="45"/>
        <v>48.2999999999993</v>
      </c>
      <c r="BG12" s="20">
        <f t="shared" si="35"/>
        <v>0.334513827783714</v>
      </c>
      <c r="BH12" s="20">
        <f t="shared" si="36"/>
        <v>0.0427654112702073</v>
      </c>
      <c r="BI12" s="20">
        <f t="shared" si="37"/>
        <v>0</v>
      </c>
      <c r="BJ12" s="20">
        <f t="shared" si="38"/>
        <v>0.0419596692676255</v>
      </c>
      <c r="BK12" s="20">
        <f t="shared" ref="BK12:BO12" si="76">IF(OR($AD12=0),"",AZ12/$AD12)</f>
        <v>0.0843556609193273</v>
      </c>
      <c r="BL12" s="20">
        <f t="shared" si="76"/>
        <v>0.0538130940347564</v>
      </c>
      <c r="BM12" s="20">
        <f t="shared" si="76"/>
        <v>0.00756292132380211</v>
      </c>
      <c r="BN12" s="20">
        <f t="shared" si="76"/>
        <v>0.010355384581823</v>
      </c>
      <c r="BO12" s="20">
        <f t="shared" si="76"/>
        <v>0.0937016863861721</v>
      </c>
    </row>
    <row r="13" spans="1:67">
      <c r="A13" s="25">
        <v>43687</v>
      </c>
      <c r="B13" s="10">
        <v>18639.08</v>
      </c>
      <c r="C13" s="8">
        <v>97523.6</v>
      </c>
      <c r="D13" s="8">
        <v>66691.1</v>
      </c>
      <c r="E13" s="8">
        <v>66646.8</v>
      </c>
      <c r="F13" s="8">
        <v>9367.4</v>
      </c>
      <c r="G13" s="8">
        <v>122920.7</v>
      </c>
      <c r="H13" s="8">
        <v>5709.7</v>
      </c>
      <c r="I13" s="8">
        <v>2566.3</v>
      </c>
      <c r="J13" s="8">
        <v>967</v>
      </c>
      <c r="K13" s="8">
        <v>56</v>
      </c>
      <c r="L13" s="8">
        <v>100659.2</v>
      </c>
      <c r="M13" s="8">
        <v>61530.1</v>
      </c>
      <c r="N13" s="8">
        <v>83146.6</v>
      </c>
      <c r="O13" s="8">
        <v>111072.4</v>
      </c>
      <c r="P13" s="8">
        <v>6337.4</v>
      </c>
      <c r="Q13" s="8">
        <v>8472</v>
      </c>
      <c r="R13" s="8">
        <v>5004.4</v>
      </c>
      <c r="S13" s="8">
        <v>6280.7</v>
      </c>
      <c r="T13" s="8">
        <v>8130.7</v>
      </c>
      <c r="U13" s="8">
        <v>19074.5</v>
      </c>
      <c r="V13" s="8">
        <v>54707.1</v>
      </c>
      <c r="W13" s="8">
        <v>58615.7</v>
      </c>
      <c r="X13" s="8">
        <v>6159.5</v>
      </c>
      <c r="Y13" s="8">
        <v>6186.8</v>
      </c>
      <c r="Z13" s="15">
        <f t="shared" si="21"/>
        <v>70962</v>
      </c>
      <c r="AA13" s="8">
        <v>5424.8</v>
      </c>
      <c r="AB13" s="13">
        <v>8898</v>
      </c>
      <c r="AC13" s="7">
        <f t="shared" si="22"/>
        <v>14322.8</v>
      </c>
      <c r="AD13" s="16">
        <v>147220</v>
      </c>
      <c r="AE13" s="17">
        <f t="shared" ref="AE13:AI13" si="77">IF(OR(C14=""),"",(C14-C13)*80)</f>
        <v>0</v>
      </c>
      <c r="AF13" s="17">
        <f t="shared" si="77"/>
        <v>863.999999999069</v>
      </c>
      <c r="AG13" s="17">
        <f t="shared" si="77"/>
        <v>2607.9999999993</v>
      </c>
      <c r="AH13" s="17">
        <f t="shared" si="77"/>
        <v>8.0000000000291</v>
      </c>
      <c r="AI13" s="17">
        <f t="shared" si="77"/>
        <v>2415.99999999977</v>
      </c>
      <c r="AJ13" s="17">
        <f t="shared" si="24"/>
        <v>5895.99999999817</v>
      </c>
      <c r="AK13" s="17">
        <f t="shared" ref="AK13:AN13" si="78">IF(OR(H14=""),"",(H14-H13)*80)</f>
        <v>0</v>
      </c>
      <c r="AL13" s="17">
        <f t="shared" si="78"/>
        <v>0</v>
      </c>
      <c r="AM13" s="17">
        <f t="shared" si="78"/>
        <v>0</v>
      </c>
      <c r="AN13" s="17">
        <f t="shared" si="78"/>
        <v>0</v>
      </c>
      <c r="AO13" s="17">
        <f t="shared" si="26"/>
        <v>0</v>
      </c>
      <c r="AP13" s="17">
        <f t="shared" ref="AP13:AS13" si="79">IF(OR(L14=""),"",(L14-L13)*100)</f>
        <v>1460.00000000058</v>
      </c>
      <c r="AQ13" s="17">
        <f t="shared" si="79"/>
        <v>0</v>
      </c>
      <c r="AR13" s="17">
        <f t="shared" si="79"/>
        <v>2789.99999999942</v>
      </c>
      <c r="AS13" s="17">
        <f t="shared" si="79"/>
        <v>1670.00000000116</v>
      </c>
      <c r="AT13" s="17">
        <f t="shared" si="28"/>
        <v>5920.00000000116</v>
      </c>
      <c r="AU13" s="17">
        <f t="shared" ref="AU13:AY13" si="80">IF(OR(P14=""),"",(P14-P13)*1000)</f>
        <v>0</v>
      </c>
      <c r="AV13" s="17">
        <f t="shared" si="80"/>
        <v>7600.00000000036</v>
      </c>
      <c r="AW13" s="17">
        <f t="shared" si="80"/>
        <v>4100.00000000036</v>
      </c>
      <c r="AX13" s="17">
        <f t="shared" si="80"/>
        <v>0</v>
      </c>
      <c r="AY13" s="17">
        <f t="shared" si="80"/>
        <v>0</v>
      </c>
      <c r="AZ13" s="17">
        <f t="shared" si="30"/>
        <v>11700.0000000007</v>
      </c>
      <c r="BA13" s="17">
        <f t="shared" si="31"/>
        <v>7599.99999999854</v>
      </c>
      <c r="BB13" s="17">
        <f t="shared" si="32"/>
        <v>1056.00000000035</v>
      </c>
      <c r="BC13" s="17">
        <f t="shared" si="44"/>
        <v>1415.99999999977</v>
      </c>
      <c r="BD13" s="17">
        <f t="shared" si="33"/>
        <v>12911.9999999795</v>
      </c>
      <c r="BE13" s="17">
        <f t="shared" si="34"/>
        <v>46499.9999999782</v>
      </c>
      <c r="BF13" s="17">
        <f t="shared" si="45"/>
        <v>49.3000000000011</v>
      </c>
      <c r="BG13" s="20">
        <f t="shared" si="35"/>
        <v>0.315853824208519</v>
      </c>
      <c r="BH13" s="20">
        <f t="shared" si="36"/>
        <v>0.0400489063985747</v>
      </c>
      <c r="BI13" s="20">
        <f t="shared" si="37"/>
        <v>0</v>
      </c>
      <c r="BJ13" s="20">
        <f t="shared" si="38"/>
        <v>0.0402119277272189</v>
      </c>
      <c r="BK13" s="20">
        <f t="shared" ref="BK13:BO13" si="81">IF(OR($AD13=0),"",AZ13/$AD13)</f>
        <v>0.0794728977041212</v>
      </c>
      <c r="BL13" s="20">
        <f t="shared" si="81"/>
        <v>0.0516234207308691</v>
      </c>
      <c r="BM13" s="20">
        <f t="shared" si="81"/>
        <v>0.00717293845945082</v>
      </c>
      <c r="BN13" s="20">
        <f t="shared" si="81"/>
        <v>0.00961825838880429</v>
      </c>
      <c r="BO13" s="20">
        <f t="shared" si="81"/>
        <v>0.08770547479948</v>
      </c>
    </row>
    <row r="14" spans="1:67">
      <c r="A14" s="25">
        <v>43688</v>
      </c>
      <c r="B14" s="10">
        <v>18643.73</v>
      </c>
      <c r="C14" s="8">
        <v>97523.6</v>
      </c>
      <c r="D14" s="8">
        <v>66701.9</v>
      </c>
      <c r="E14" s="8">
        <v>66679.4</v>
      </c>
      <c r="F14" s="8">
        <v>9367.5</v>
      </c>
      <c r="G14" s="8">
        <v>122950.9</v>
      </c>
      <c r="H14" s="8">
        <v>5709.7</v>
      </c>
      <c r="I14" s="8">
        <v>2566.3</v>
      </c>
      <c r="J14" s="8">
        <v>967</v>
      </c>
      <c r="K14" s="8">
        <v>56</v>
      </c>
      <c r="L14" s="8">
        <v>100673.8</v>
      </c>
      <c r="M14" s="8">
        <v>61530.1</v>
      </c>
      <c r="N14" s="8">
        <v>83174.5</v>
      </c>
      <c r="O14" s="8">
        <v>111089.1</v>
      </c>
      <c r="P14" s="8">
        <v>6337.4</v>
      </c>
      <c r="Q14" s="8">
        <v>8479.6</v>
      </c>
      <c r="R14" s="8">
        <v>5008.5</v>
      </c>
      <c r="S14" s="8">
        <v>6280.7</v>
      </c>
      <c r="T14" s="8">
        <v>8130.7</v>
      </c>
      <c r="U14" s="8">
        <v>19078.3</v>
      </c>
      <c r="V14" s="8">
        <v>54720.3</v>
      </c>
      <c r="W14" s="8">
        <v>58631.6</v>
      </c>
      <c r="X14" s="8">
        <v>6168</v>
      </c>
      <c r="Y14" s="8">
        <v>6197.8</v>
      </c>
      <c r="Z14" s="15">
        <f t="shared" si="21"/>
        <v>70997.4</v>
      </c>
      <c r="AA14" s="8">
        <v>5467</v>
      </c>
      <c r="AB14" s="13">
        <v>8905.1</v>
      </c>
      <c r="AC14" s="7">
        <f t="shared" si="22"/>
        <v>14372.1</v>
      </c>
      <c r="AD14" s="16">
        <v>144524</v>
      </c>
      <c r="AE14" s="17">
        <f t="shared" ref="AE14:AI14" si="82">IF(OR(C15=""),"",(C15-C14)*80)</f>
        <v>0</v>
      </c>
      <c r="AF14" s="17">
        <f t="shared" si="82"/>
        <v>312.000000000698</v>
      </c>
      <c r="AG14" s="17">
        <f t="shared" si="82"/>
        <v>3264.00000000023</v>
      </c>
      <c r="AH14" s="17">
        <f t="shared" si="82"/>
        <v>4.79999999995925</v>
      </c>
      <c r="AI14" s="17">
        <f t="shared" si="82"/>
        <v>2480</v>
      </c>
      <c r="AJ14" s="17">
        <f t="shared" si="24"/>
        <v>6060.80000000089</v>
      </c>
      <c r="AK14" s="17">
        <f t="shared" ref="AK14:AN14" si="83">IF(OR(H15=""),"",(H15-H14)*80)</f>
        <v>0</v>
      </c>
      <c r="AL14" s="17">
        <f t="shared" si="83"/>
        <v>0</v>
      </c>
      <c r="AM14" s="17">
        <f t="shared" si="83"/>
        <v>0</v>
      </c>
      <c r="AN14" s="17">
        <f t="shared" si="83"/>
        <v>0</v>
      </c>
      <c r="AO14" s="17">
        <f t="shared" si="26"/>
        <v>0</v>
      </c>
      <c r="AP14" s="17">
        <f t="shared" ref="AP14:AS14" si="84">IF(OR(L15=""),"",(L15-L14)*100)</f>
        <v>2459.99999999913</v>
      </c>
      <c r="AQ14" s="17">
        <f t="shared" si="84"/>
        <v>0</v>
      </c>
      <c r="AR14" s="17">
        <f t="shared" si="84"/>
        <v>2850</v>
      </c>
      <c r="AS14" s="17">
        <f t="shared" si="84"/>
        <v>869.999999999709</v>
      </c>
      <c r="AT14" s="17">
        <f t="shared" si="28"/>
        <v>6179.99999999884</v>
      </c>
      <c r="AU14" s="17">
        <f t="shared" ref="AU14:AY14" si="85">IF(OR(P15=""),"",(P15-P14)*1000)</f>
        <v>0</v>
      </c>
      <c r="AV14" s="17">
        <f t="shared" si="85"/>
        <v>7000</v>
      </c>
      <c r="AW14" s="17">
        <f t="shared" si="85"/>
        <v>4699.99999999982</v>
      </c>
      <c r="AX14" s="17">
        <f t="shared" si="85"/>
        <v>0</v>
      </c>
      <c r="AY14" s="17">
        <f t="shared" si="85"/>
        <v>0</v>
      </c>
      <c r="AZ14" s="17">
        <f t="shared" si="30"/>
        <v>11699.9999999998</v>
      </c>
      <c r="BA14" s="17">
        <f t="shared" si="31"/>
        <v>7400.00000000146</v>
      </c>
      <c r="BB14" s="17">
        <f t="shared" si="32"/>
        <v>775.999999999767</v>
      </c>
      <c r="BC14" s="17">
        <f t="shared" si="44"/>
        <v>1424.00000000023</v>
      </c>
      <c r="BD14" s="17">
        <f t="shared" si="33"/>
        <v>13559.1999999903</v>
      </c>
      <c r="BE14" s="17">
        <f t="shared" si="34"/>
        <v>47099.9999999913</v>
      </c>
      <c r="BF14" s="17">
        <f t="shared" si="45"/>
        <v>51.2999999999993</v>
      </c>
      <c r="BG14" s="20">
        <f t="shared" si="35"/>
        <v>0.325897428800692</v>
      </c>
      <c r="BH14" s="20">
        <f t="shared" si="36"/>
        <v>0.0419362873986389</v>
      </c>
      <c r="BI14" s="20">
        <f t="shared" si="37"/>
        <v>0</v>
      </c>
      <c r="BJ14" s="20">
        <f t="shared" si="38"/>
        <v>0.0427610639063328</v>
      </c>
      <c r="BK14" s="20">
        <f t="shared" ref="BK14:BO14" si="86">IF(OR($AD14=0),"",AZ14/$AD14)</f>
        <v>0.0809554122498673</v>
      </c>
      <c r="BL14" s="20">
        <f t="shared" si="86"/>
        <v>0.0512025684315509</v>
      </c>
      <c r="BM14" s="20">
        <f t="shared" si="86"/>
        <v>0.00536935041930591</v>
      </c>
      <c r="BN14" s="20">
        <f t="shared" si="86"/>
        <v>0.00985303479007108</v>
      </c>
      <c r="BO14" s="20">
        <f t="shared" si="86"/>
        <v>0.0938197116049256</v>
      </c>
    </row>
    <row r="15" spans="1:67">
      <c r="A15" s="25">
        <v>43689</v>
      </c>
      <c r="B15" s="10">
        <v>18648.44</v>
      </c>
      <c r="C15" s="8">
        <v>97523.6</v>
      </c>
      <c r="D15" s="8">
        <v>66705.8</v>
      </c>
      <c r="E15" s="8">
        <v>66720.2</v>
      </c>
      <c r="F15" s="8">
        <v>9367.56</v>
      </c>
      <c r="G15" s="8">
        <v>122981.9</v>
      </c>
      <c r="H15" s="8">
        <v>5709.7</v>
      </c>
      <c r="I15" s="8">
        <v>2566.3</v>
      </c>
      <c r="J15" s="8">
        <v>967</v>
      </c>
      <c r="K15" s="8">
        <v>56</v>
      </c>
      <c r="L15" s="8">
        <v>100698.4</v>
      </c>
      <c r="M15" s="8">
        <v>61530.1</v>
      </c>
      <c r="N15" s="8">
        <v>83203</v>
      </c>
      <c r="O15" s="8">
        <v>111097.8</v>
      </c>
      <c r="P15" s="8">
        <v>6337.4</v>
      </c>
      <c r="Q15" s="8">
        <v>8486.6</v>
      </c>
      <c r="R15" s="8">
        <v>5013.2</v>
      </c>
      <c r="S15" s="8">
        <v>6280.7</v>
      </c>
      <c r="T15" s="8">
        <v>8130.7</v>
      </c>
      <c r="U15" s="8">
        <v>19082</v>
      </c>
      <c r="V15" s="8">
        <v>54730</v>
      </c>
      <c r="W15" s="8">
        <v>58647.7</v>
      </c>
      <c r="X15" s="8">
        <v>6176.6</v>
      </c>
      <c r="Y15" s="8">
        <v>6208.7</v>
      </c>
      <c r="Z15" s="15">
        <f t="shared" si="21"/>
        <v>71033</v>
      </c>
      <c r="AA15" s="8">
        <v>5511.4</v>
      </c>
      <c r="AB15" s="13">
        <v>8912</v>
      </c>
      <c r="AC15" s="7">
        <f t="shared" si="22"/>
        <v>14423.4</v>
      </c>
      <c r="AD15" s="16">
        <v>154222</v>
      </c>
      <c r="AE15" s="17">
        <f t="shared" ref="AE15:AI15" si="87">IF(OR(C16=""),"",(C16-C15)*80)</f>
        <v>0</v>
      </c>
      <c r="AF15" s="17">
        <f t="shared" si="87"/>
        <v>1640</v>
      </c>
      <c r="AG15" s="17">
        <f t="shared" si="87"/>
        <v>2632.0000000007</v>
      </c>
      <c r="AH15" s="17">
        <f t="shared" si="87"/>
        <v>3.20000000006985</v>
      </c>
      <c r="AI15" s="17">
        <f t="shared" si="87"/>
        <v>1952.0000000007</v>
      </c>
      <c r="AJ15" s="17">
        <f t="shared" si="24"/>
        <v>6227.20000000147</v>
      </c>
      <c r="AK15" s="17">
        <f t="shared" ref="AK15:AN15" si="88">IF(OR(H16=""),"",(H16-H15)*80)</f>
        <v>0</v>
      </c>
      <c r="AL15" s="17">
        <f t="shared" si="88"/>
        <v>0</v>
      </c>
      <c r="AM15" s="17">
        <f t="shared" si="88"/>
        <v>0</v>
      </c>
      <c r="AN15" s="17">
        <f t="shared" si="88"/>
        <v>0</v>
      </c>
      <c r="AO15" s="17">
        <f t="shared" si="26"/>
        <v>0</v>
      </c>
      <c r="AP15" s="17">
        <f t="shared" ref="AP15:AS15" si="89">IF(OR(L16=""),"",(L16-L15)*100)</f>
        <v>840.000000000873</v>
      </c>
      <c r="AQ15" s="17">
        <f t="shared" si="89"/>
        <v>0</v>
      </c>
      <c r="AR15" s="17">
        <f t="shared" si="89"/>
        <v>2810.00000000058</v>
      </c>
      <c r="AS15" s="17">
        <f t="shared" si="89"/>
        <v>2319.99999999971</v>
      </c>
      <c r="AT15" s="17">
        <f t="shared" si="28"/>
        <v>5970.00000000116</v>
      </c>
      <c r="AU15" s="17">
        <f t="shared" ref="AU15:AY15" si="90">IF(OR(P16=""),"",(P16-P15)*1000)</f>
        <v>0</v>
      </c>
      <c r="AV15" s="17">
        <f t="shared" si="90"/>
        <v>6799.99999999927</v>
      </c>
      <c r="AW15" s="17">
        <f t="shared" si="90"/>
        <v>4500</v>
      </c>
      <c r="AX15" s="17">
        <f t="shared" si="90"/>
        <v>0</v>
      </c>
      <c r="AY15" s="17">
        <f t="shared" si="90"/>
        <v>0</v>
      </c>
      <c r="AZ15" s="17">
        <f t="shared" si="30"/>
        <v>11299.9999999993</v>
      </c>
      <c r="BA15" s="17">
        <f t="shared" si="31"/>
        <v>7599.99999999854</v>
      </c>
      <c r="BB15" s="17">
        <f t="shared" si="32"/>
        <v>615.999999999767</v>
      </c>
      <c r="BC15" s="17">
        <f t="shared" si="44"/>
        <v>1424.00000000023</v>
      </c>
      <c r="BD15" s="17">
        <f t="shared" si="33"/>
        <v>12662.800000017</v>
      </c>
      <c r="BE15" s="17">
        <f t="shared" si="34"/>
        <v>45800.0000000175</v>
      </c>
      <c r="BF15" s="17">
        <f t="shared" si="45"/>
        <v>54.5</v>
      </c>
      <c r="BG15" s="20">
        <f t="shared" si="35"/>
        <v>0.296974491317824</v>
      </c>
      <c r="BH15" s="20">
        <f t="shared" si="36"/>
        <v>0.0403781561644997</v>
      </c>
      <c r="BI15" s="20">
        <f t="shared" si="37"/>
        <v>0</v>
      </c>
      <c r="BJ15" s="20">
        <f t="shared" si="38"/>
        <v>0.0387104304184952</v>
      </c>
      <c r="BK15" s="20">
        <f t="shared" ref="BK15:BO15" si="91">IF(OR($AD15=0),"",AZ15/$AD15)</f>
        <v>0.0732709989495615</v>
      </c>
      <c r="BL15" s="20">
        <f t="shared" si="91"/>
        <v>0.0492796099129732</v>
      </c>
      <c r="BM15" s="20">
        <f t="shared" si="91"/>
        <v>0.00399424206662971</v>
      </c>
      <c r="BN15" s="20">
        <f t="shared" si="91"/>
        <v>0.00923344269948667</v>
      </c>
      <c r="BO15" s="20">
        <f t="shared" si="91"/>
        <v>0.0821076111061782</v>
      </c>
    </row>
    <row r="16" spans="1:67">
      <c r="A16" s="25">
        <v>43690</v>
      </c>
      <c r="B16" s="10">
        <v>18653.02</v>
      </c>
      <c r="C16" s="8">
        <v>97523.6</v>
      </c>
      <c r="D16" s="8">
        <v>66726.3</v>
      </c>
      <c r="E16" s="8">
        <v>66753.1</v>
      </c>
      <c r="F16" s="8">
        <v>9367.6</v>
      </c>
      <c r="G16" s="8">
        <v>123006.3</v>
      </c>
      <c r="H16" s="8">
        <v>5709.7</v>
      </c>
      <c r="I16" s="8">
        <v>2566.3</v>
      </c>
      <c r="J16" s="8">
        <v>967</v>
      </c>
      <c r="K16" s="8">
        <v>56</v>
      </c>
      <c r="L16" s="8">
        <v>100706.8</v>
      </c>
      <c r="M16" s="8">
        <v>61530.1</v>
      </c>
      <c r="N16" s="8">
        <v>83231.1</v>
      </c>
      <c r="O16" s="8">
        <v>111121</v>
      </c>
      <c r="P16" s="8">
        <v>6337.4</v>
      </c>
      <c r="Q16" s="8">
        <v>8493.4</v>
      </c>
      <c r="R16" s="8">
        <v>5017.7</v>
      </c>
      <c r="S16" s="8">
        <v>6280.7</v>
      </c>
      <c r="T16" s="8">
        <v>8130.7</v>
      </c>
      <c r="U16" s="8">
        <v>19085.8</v>
      </c>
      <c r="V16" s="8">
        <v>54737.7</v>
      </c>
      <c r="W16" s="8">
        <v>58663.9</v>
      </c>
      <c r="X16" s="8">
        <v>6185.1</v>
      </c>
      <c r="Y16" s="8">
        <v>6219.6</v>
      </c>
      <c r="Z16" s="15">
        <f t="shared" si="21"/>
        <v>71068.6</v>
      </c>
      <c r="AA16" s="8">
        <v>5557.9</v>
      </c>
      <c r="AB16" s="13">
        <v>8920</v>
      </c>
      <c r="AC16" s="7">
        <f t="shared" si="22"/>
        <v>14477.9</v>
      </c>
      <c r="AD16" s="16">
        <v>172453</v>
      </c>
      <c r="AE16" s="17">
        <f t="shared" ref="AE16:AI16" si="92">IF(OR(C17=""),"",(C17-C16)*80)</f>
        <v>0</v>
      </c>
      <c r="AF16" s="17">
        <f t="shared" si="92"/>
        <v>2920</v>
      </c>
      <c r="AG16" s="17">
        <f t="shared" si="92"/>
        <v>2063.99999999907</v>
      </c>
      <c r="AH16" s="17">
        <f t="shared" si="92"/>
        <v>5.59999999997672</v>
      </c>
      <c r="AI16" s="17">
        <f t="shared" si="92"/>
        <v>1544.00000000023</v>
      </c>
      <c r="AJ16" s="17">
        <f t="shared" si="24"/>
        <v>6533.59999999928</v>
      </c>
      <c r="AK16" s="17">
        <f t="shared" ref="AK16:AN16" si="93">IF(OR(H17=""),"",(H17-H16)*80)</f>
        <v>0</v>
      </c>
      <c r="AL16" s="17">
        <f t="shared" si="93"/>
        <v>0</v>
      </c>
      <c r="AM16" s="17">
        <f t="shared" si="93"/>
        <v>0</v>
      </c>
      <c r="AN16" s="17">
        <f t="shared" si="93"/>
        <v>0</v>
      </c>
      <c r="AO16" s="17">
        <f t="shared" si="26"/>
        <v>0</v>
      </c>
      <c r="AP16" s="17">
        <f t="shared" ref="AP16:AS16" si="94">IF(OR(L17=""),"",(L17-L16)*100)</f>
        <v>1539.99999999942</v>
      </c>
      <c r="AQ16" s="17">
        <f t="shared" si="94"/>
        <v>0</v>
      </c>
      <c r="AR16" s="17">
        <f t="shared" si="94"/>
        <v>2809.99999999913</v>
      </c>
      <c r="AS16" s="17">
        <f t="shared" si="94"/>
        <v>2269.99999999971</v>
      </c>
      <c r="AT16" s="17">
        <f t="shared" si="28"/>
        <v>6619.99999999825</v>
      </c>
      <c r="AU16" s="17">
        <f t="shared" ref="AU16:AY16" si="95">IF(OR(P17=""),"",(P17-P16)*1000)</f>
        <v>0</v>
      </c>
      <c r="AV16" s="17">
        <f t="shared" si="95"/>
        <v>6899.99999999964</v>
      </c>
      <c r="AW16" s="17">
        <f t="shared" si="95"/>
        <v>4400.00000000055</v>
      </c>
      <c r="AX16" s="17">
        <f t="shared" si="95"/>
        <v>300.000000000182</v>
      </c>
      <c r="AY16" s="17">
        <f t="shared" si="95"/>
        <v>0</v>
      </c>
      <c r="AZ16" s="17">
        <f t="shared" si="30"/>
        <v>11600.0000000004</v>
      </c>
      <c r="BA16" s="17">
        <f t="shared" si="31"/>
        <v>8000</v>
      </c>
      <c r="BB16" s="17">
        <f t="shared" si="32"/>
        <v>616.000000000349</v>
      </c>
      <c r="BC16" s="17">
        <f t="shared" si="44"/>
        <v>1367.99999999988</v>
      </c>
      <c r="BD16" s="17">
        <f t="shared" si="33"/>
        <v>11562.4000000121</v>
      </c>
      <c r="BE16" s="17">
        <f t="shared" si="34"/>
        <v>46300.0000000102</v>
      </c>
      <c r="BF16" s="17">
        <f t="shared" si="45"/>
        <v>47.5</v>
      </c>
      <c r="BG16" s="20">
        <f t="shared" si="35"/>
        <v>0.26847894788731</v>
      </c>
      <c r="BH16" s="20">
        <f t="shared" si="36"/>
        <v>0.0378862646634114</v>
      </c>
      <c r="BI16" s="20">
        <f t="shared" si="37"/>
        <v>0</v>
      </c>
      <c r="BJ16" s="20">
        <f t="shared" si="38"/>
        <v>0.0383872707346248</v>
      </c>
      <c r="BK16" s="20">
        <f t="shared" ref="BK16:BO16" si="96">IF(OR($AD16=0),"",AZ16/$AD16)</f>
        <v>0.0672647040063111</v>
      </c>
      <c r="BL16" s="20">
        <f t="shared" si="96"/>
        <v>0.0463894510388338</v>
      </c>
      <c r="BM16" s="20">
        <f t="shared" si="96"/>
        <v>0.00357198772999223</v>
      </c>
      <c r="BN16" s="20">
        <f t="shared" si="96"/>
        <v>0.0079325961276399</v>
      </c>
      <c r="BO16" s="20">
        <f t="shared" si="96"/>
        <v>0.0670466735864964</v>
      </c>
    </row>
    <row r="17" spans="1:67">
      <c r="A17" s="25">
        <v>43691</v>
      </c>
      <c r="B17" s="10">
        <v>18657.65</v>
      </c>
      <c r="C17" s="8">
        <v>97523.6</v>
      </c>
      <c r="D17" s="8">
        <v>66762.8</v>
      </c>
      <c r="E17" s="8">
        <v>66778.9</v>
      </c>
      <c r="F17" s="8">
        <v>9367.67</v>
      </c>
      <c r="G17" s="8">
        <v>123025.6</v>
      </c>
      <c r="H17" s="8">
        <v>5709.7</v>
      </c>
      <c r="I17" s="8">
        <v>2566.3</v>
      </c>
      <c r="J17" s="8">
        <v>967</v>
      </c>
      <c r="K17" s="8">
        <v>56</v>
      </c>
      <c r="L17" s="8">
        <v>100722.2</v>
      </c>
      <c r="M17" s="8">
        <v>61530.1</v>
      </c>
      <c r="N17" s="8">
        <v>83259.2</v>
      </c>
      <c r="O17" s="8">
        <v>111143.7</v>
      </c>
      <c r="P17" s="8">
        <v>6337.4</v>
      </c>
      <c r="Q17" s="8">
        <v>8500.3</v>
      </c>
      <c r="R17" s="8">
        <v>5022.1</v>
      </c>
      <c r="S17" s="8">
        <v>6281</v>
      </c>
      <c r="T17" s="8">
        <v>8130.7</v>
      </c>
      <c r="U17" s="8">
        <v>19089.8</v>
      </c>
      <c r="V17" s="8">
        <v>54745.4</v>
      </c>
      <c r="W17" s="8">
        <v>58679.2</v>
      </c>
      <c r="X17" s="8">
        <v>6193.4</v>
      </c>
      <c r="Y17" s="8">
        <v>6230.2</v>
      </c>
      <c r="Z17" s="15">
        <f t="shared" si="21"/>
        <v>71102.8</v>
      </c>
      <c r="AA17" s="8">
        <v>5599.4</v>
      </c>
      <c r="AB17" s="13">
        <v>8926</v>
      </c>
      <c r="AC17" s="7">
        <f t="shared" si="22"/>
        <v>14525.4</v>
      </c>
      <c r="AD17" s="16">
        <v>191556</v>
      </c>
      <c r="AE17" s="17">
        <f t="shared" ref="AE17:AI17" si="97">IF(OR(C18=""),"",(C18-C17)*80)</f>
        <v>0</v>
      </c>
      <c r="AF17" s="17">
        <f t="shared" si="97"/>
        <v>2911.99999999953</v>
      </c>
      <c r="AG17" s="17">
        <f t="shared" si="97"/>
        <v>2872.0000000007</v>
      </c>
      <c r="AH17" s="17">
        <f t="shared" si="97"/>
        <v>4.79999999995925</v>
      </c>
      <c r="AI17" s="17">
        <f t="shared" si="97"/>
        <v>2567.9999999993</v>
      </c>
      <c r="AJ17" s="17">
        <f t="shared" si="24"/>
        <v>8356.79999999949</v>
      </c>
      <c r="AK17" s="17">
        <f t="shared" ref="AK17:AN17" si="98">IF(OR(H18=""),"",(H18-H17)*80)</f>
        <v>0</v>
      </c>
      <c r="AL17" s="17">
        <f t="shared" si="98"/>
        <v>0</v>
      </c>
      <c r="AM17" s="17">
        <f t="shared" si="98"/>
        <v>0</v>
      </c>
      <c r="AN17" s="17">
        <f t="shared" si="98"/>
        <v>0</v>
      </c>
      <c r="AO17" s="17">
        <f t="shared" si="26"/>
        <v>0</v>
      </c>
      <c r="AP17" s="17">
        <f t="shared" ref="AP17:AS17" si="99">IF(OR(L18=""),"",(L18-L17)*100)</f>
        <v>2340.00000000087</v>
      </c>
      <c r="AQ17" s="17">
        <f t="shared" si="99"/>
        <v>9.99999999985448</v>
      </c>
      <c r="AR17" s="17">
        <f t="shared" si="99"/>
        <v>2960.00000000058</v>
      </c>
      <c r="AS17" s="17">
        <f t="shared" si="99"/>
        <v>2410.00000000058</v>
      </c>
      <c r="AT17" s="17">
        <f t="shared" si="28"/>
        <v>7720.00000000189</v>
      </c>
      <c r="AU17" s="17">
        <f t="shared" ref="AU17:AY17" si="100">IF(OR(P18=""),"",(P18-P17)*1000)</f>
        <v>0</v>
      </c>
      <c r="AV17" s="17">
        <f t="shared" si="100"/>
        <v>0</v>
      </c>
      <c r="AW17" s="17">
        <f t="shared" si="100"/>
        <v>4699.99999999982</v>
      </c>
      <c r="AX17" s="17">
        <f t="shared" si="100"/>
        <v>5300.00000000018</v>
      </c>
      <c r="AY17" s="17">
        <f t="shared" si="100"/>
        <v>0</v>
      </c>
      <c r="AZ17" s="17">
        <f t="shared" si="30"/>
        <v>10000</v>
      </c>
      <c r="BA17" s="17">
        <f t="shared" si="31"/>
        <v>9400.00000000146</v>
      </c>
      <c r="BB17" s="17">
        <f t="shared" si="32"/>
        <v>800</v>
      </c>
      <c r="BC17" s="17">
        <f t="shared" si="44"/>
        <v>1440</v>
      </c>
      <c r="BD17" s="17">
        <f t="shared" si="33"/>
        <v>16183.1999999913</v>
      </c>
      <c r="BE17" s="17">
        <f t="shared" si="34"/>
        <v>53899.9999999942</v>
      </c>
      <c r="BF17" s="17">
        <f t="shared" si="45"/>
        <v>52.7000000000007</v>
      </c>
      <c r="BG17" s="20">
        <f t="shared" si="35"/>
        <v>0.281379857587307</v>
      </c>
      <c r="BH17" s="20">
        <f t="shared" si="36"/>
        <v>0.0436258848587332</v>
      </c>
      <c r="BI17" s="20">
        <f t="shared" si="37"/>
        <v>0</v>
      </c>
      <c r="BJ17" s="20">
        <f t="shared" si="38"/>
        <v>0.0403015306229087</v>
      </c>
      <c r="BK17" s="20">
        <f t="shared" ref="BK17:BO17" si="101">IF(OR($AD17=0),"",AZ17/$AD17)</f>
        <v>0.0522040552110088</v>
      </c>
      <c r="BL17" s="20">
        <f t="shared" si="101"/>
        <v>0.0490718118983559</v>
      </c>
      <c r="BM17" s="20">
        <f t="shared" si="101"/>
        <v>0.0041763244168807</v>
      </c>
      <c r="BN17" s="20">
        <f t="shared" si="101"/>
        <v>0.00751738395038527</v>
      </c>
      <c r="BO17" s="20">
        <f t="shared" si="101"/>
        <v>0.0844828666290345</v>
      </c>
    </row>
    <row r="18" spans="1:67">
      <c r="A18" s="25">
        <v>43692</v>
      </c>
      <c r="B18" s="10">
        <v>18663.04</v>
      </c>
      <c r="C18" s="8">
        <v>97523.6</v>
      </c>
      <c r="D18" s="8">
        <v>66799.2</v>
      </c>
      <c r="E18" s="8">
        <v>66814.8</v>
      </c>
      <c r="F18" s="8">
        <v>9367.73</v>
      </c>
      <c r="G18" s="8">
        <v>123057.7</v>
      </c>
      <c r="H18" s="8">
        <v>5709.7</v>
      </c>
      <c r="I18" s="8">
        <v>2566.3</v>
      </c>
      <c r="J18" s="8">
        <v>967</v>
      </c>
      <c r="K18" s="8">
        <v>56</v>
      </c>
      <c r="L18" s="8">
        <v>100745.6</v>
      </c>
      <c r="M18" s="8">
        <v>61530.2</v>
      </c>
      <c r="N18" s="8">
        <v>83288.8</v>
      </c>
      <c r="O18" s="8">
        <v>111167.8</v>
      </c>
      <c r="P18" s="8">
        <v>6337.4</v>
      </c>
      <c r="Q18" s="8">
        <v>8500.3</v>
      </c>
      <c r="R18" s="8">
        <v>5026.8</v>
      </c>
      <c r="S18" s="8">
        <v>6286.3</v>
      </c>
      <c r="T18" s="8">
        <v>8130.7</v>
      </c>
      <c r="U18" s="8">
        <v>19094.5</v>
      </c>
      <c r="V18" s="8">
        <v>54755.4</v>
      </c>
      <c r="W18" s="8">
        <v>58695.5</v>
      </c>
      <c r="X18" s="8">
        <v>6202.1</v>
      </c>
      <c r="Y18" s="8">
        <v>6241.2</v>
      </c>
      <c r="Z18" s="15">
        <f t="shared" si="21"/>
        <v>71138.8</v>
      </c>
      <c r="AA18" s="8">
        <v>5644.1</v>
      </c>
      <c r="AB18" s="13">
        <v>8934</v>
      </c>
      <c r="AC18" s="7">
        <f t="shared" si="22"/>
        <v>14578.1</v>
      </c>
      <c r="AD18" s="16">
        <v>175279</v>
      </c>
      <c r="AE18" s="17">
        <f t="shared" ref="AE18:AI18" si="102">IF(OR(C19=""),"",(C19-C18)*80)</f>
        <v>0</v>
      </c>
      <c r="AF18" s="17">
        <f t="shared" si="102"/>
        <v>2032.0000000007</v>
      </c>
      <c r="AG18" s="17">
        <f t="shared" si="102"/>
        <v>2784.00000000023</v>
      </c>
      <c r="AH18" s="17">
        <f t="shared" si="102"/>
        <v>4.00000000008731</v>
      </c>
      <c r="AI18" s="17">
        <f t="shared" si="102"/>
        <v>2312.0000000007</v>
      </c>
      <c r="AJ18" s="17">
        <f t="shared" si="24"/>
        <v>7132.00000000172</v>
      </c>
      <c r="AK18" s="17">
        <f t="shared" ref="AK18:AN18" si="103">IF(OR(H19=""),"",(H19-H18)*80)</f>
        <v>0</v>
      </c>
      <c r="AL18" s="17">
        <f t="shared" si="103"/>
        <v>0</v>
      </c>
      <c r="AM18" s="17">
        <f t="shared" si="103"/>
        <v>0</v>
      </c>
      <c r="AN18" s="17">
        <f t="shared" si="103"/>
        <v>0</v>
      </c>
      <c r="AO18" s="17">
        <f t="shared" si="26"/>
        <v>0</v>
      </c>
      <c r="AP18" s="17">
        <f t="shared" ref="AP18:AS18" si="104">IF(OR(L19=""),"",(L19-L18)*100)</f>
        <v>1989.99999999942</v>
      </c>
      <c r="AQ18" s="17">
        <f t="shared" si="104"/>
        <v>0</v>
      </c>
      <c r="AR18" s="17">
        <f t="shared" si="104"/>
        <v>2869.99999999971</v>
      </c>
      <c r="AS18" s="17">
        <f t="shared" si="104"/>
        <v>1950</v>
      </c>
      <c r="AT18" s="17">
        <f t="shared" si="28"/>
        <v>6809.99999999913</v>
      </c>
      <c r="AU18" s="17">
        <f t="shared" ref="AU18:AY18" si="105">IF(OR(P19=""),"",(P19-P18)*1000)</f>
        <v>0</v>
      </c>
      <c r="AV18" s="17">
        <f t="shared" si="105"/>
        <v>0</v>
      </c>
      <c r="AW18" s="17">
        <f t="shared" si="105"/>
        <v>4500</v>
      </c>
      <c r="AX18" s="17">
        <f t="shared" si="105"/>
        <v>4899.99999999964</v>
      </c>
      <c r="AY18" s="17">
        <f t="shared" si="105"/>
        <v>0</v>
      </c>
      <c r="AZ18" s="17">
        <f t="shared" si="30"/>
        <v>9399.99999999964</v>
      </c>
      <c r="BA18" s="17">
        <f t="shared" si="31"/>
        <v>8199.99999999709</v>
      </c>
      <c r="BB18" s="17">
        <f t="shared" si="32"/>
        <v>1023.99999999965</v>
      </c>
      <c r="BC18" s="17">
        <f t="shared" si="44"/>
        <v>1367.99999999988</v>
      </c>
      <c r="BD18" s="17">
        <f t="shared" si="33"/>
        <v>17265.9999999927</v>
      </c>
      <c r="BE18" s="17">
        <f t="shared" si="34"/>
        <v>51199.9999999898</v>
      </c>
      <c r="BF18" s="17">
        <f t="shared" si="45"/>
        <v>48.1000000000004</v>
      </c>
      <c r="BG18" s="20">
        <f t="shared" si="35"/>
        <v>0.292105728581232</v>
      </c>
      <c r="BH18" s="20">
        <f t="shared" si="36"/>
        <v>0.0406894151609817</v>
      </c>
      <c r="BI18" s="20">
        <f t="shared" si="37"/>
        <v>0</v>
      </c>
      <c r="BJ18" s="20">
        <f t="shared" si="38"/>
        <v>0.0388523439773112</v>
      </c>
      <c r="BK18" s="20">
        <f t="shared" ref="BK18:BO18" si="106">IF(OR($AD18=0),"",AZ18/$AD18)</f>
        <v>0.0536287861067192</v>
      </c>
      <c r="BL18" s="20">
        <f t="shared" si="106"/>
        <v>0.0467825580930807</v>
      </c>
      <c r="BM18" s="20">
        <f t="shared" si="106"/>
        <v>0.00584211457162382</v>
      </c>
      <c r="BN18" s="20">
        <f t="shared" si="106"/>
        <v>0.00780469993553069</v>
      </c>
      <c r="BO18" s="20">
        <f t="shared" si="106"/>
        <v>0.098505810735985</v>
      </c>
    </row>
    <row r="19" spans="1:67">
      <c r="A19" s="25">
        <v>43693</v>
      </c>
      <c r="B19" s="10">
        <v>18668.16</v>
      </c>
      <c r="C19" s="8">
        <v>97523.6</v>
      </c>
      <c r="D19" s="8">
        <v>66824.6</v>
      </c>
      <c r="E19" s="8">
        <v>66849.6</v>
      </c>
      <c r="F19" s="8">
        <v>9367.78</v>
      </c>
      <c r="G19" s="8">
        <v>123086.6</v>
      </c>
      <c r="H19" s="8">
        <v>5709.7</v>
      </c>
      <c r="I19" s="8">
        <v>2566.3</v>
      </c>
      <c r="J19" s="8">
        <v>967</v>
      </c>
      <c r="K19" s="8">
        <v>56</v>
      </c>
      <c r="L19" s="8">
        <v>100765.5</v>
      </c>
      <c r="M19" s="8">
        <v>61530.2</v>
      </c>
      <c r="N19" s="8">
        <v>83317.5</v>
      </c>
      <c r="O19" s="8">
        <v>111187.3</v>
      </c>
      <c r="P19" s="8">
        <v>6337.4</v>
      </c>
      <c r="Q19" s="8">
        <v>8500.3</v>
      </c>
      <c r="R19" s="8">
        <v>5031.3</v>
      </c>
      <c r="S19" s="8">
        <v>6291.2</v>
      </c>
      <c r="T19" s="8">
        <v>8130.7</v>
      </c>
      <c r="U19" s="8">
        <v>19098.6</v>
      </c>
      <c r="V19" s="8">
        <v>54768.2</v>
      </c>
      <c r="W19" s="8">
        <v>58711.2</v>
      </c>
      <c r="X19" s="8">
        <v>6210.3</v>
      </c>
      <c r="Y19" s="8">
        <v>6251.5</v>
      </c>
      <c r="Z19" s="15">
        <f t="shared" si="21"/>
        <v>71173</v>
      </c>
      <c r="AA19" s="8">
        <v>5686.2</v>
      </c>
      <c r="AB19" s="13">
        <v>8940</v>
      </c>
      <c r="AC19" s="7">
        <f t="shared" si="22"/>
        <v>14626.2</v>
      </c>
      <c r="AD19" s="16">
        <v>204670</v>
      </c>
      <c r="AE19" s="17">
        <f t="shared" ref="AE19:AI19" si="107">IF(OR(C20=""),"",(C20-C19)*80)</f>
        <v>0</v>
      </c>
      <c r="AF19" s="17">
        <f t="shared" si="107"/>
        <v>1671.99999999953</v>
      </c>
      <c r="AG19" s="17">
        <f t="shared" si="107"/>
        <v>2831.99999999953</v>
      </c>
      <c r="AH19" s="17">
        <f t="shared" si="107"/>
        <v>871.999999999971</v>
      </c>
      <c r="AI19" s="17">
        <f t="shared" si="107"/>
        <v>2415.99999999977</v>
      </c>
      <c r="AJ19" s="17">
        <f t="shared" si="24"/>
        <v>7791.99999999881</v>
      </c>
      <c r="AK19" s="17">
        <f t="shared" ref="AK19:AN19" si="108">IF(OR(H20=""),"",(H20-H19)*80)</f>
        <v>0</v>
      </c>
      <c r="AL19" s="17">
        <f t="shared" si="108"/>
        <v>0</v>
      </c>
      <c r="AM19" s="17">
        <f t="shared" si="108"/>
        <v>0</v>
      </c>
      <c r="AN19" s="17">
        <f t="shared" si="108"/>
        <v>0</v>
      </c>
      <c r="AO19" s="17">
        <f t="shared" si="26"/>
        <v>0</v>
      </c>
      <c r="AP19" s="17">
        <f t="shared" ref="AP19:AS19" si="109">IF(OR(L20=""),"",(L20-L19)*100)</f>
        <v>2889.99999999942</v>
      </c>
      <c r="AQ19" s="17">
        <f t="shared" si="109"/>
        <v>0</v>
      </c>
      <c r="AR19" s="17">
        <f t="shared" si="109"/>
        <v>2930.00000000029</v>
      </c>
      <c r="AS19" s="17">
        <f t="shared" si="109"/>
        <v>2259.99999999913</v>
      </c>
      <c r="AT19" s="17">
        <f t="shared" si="28"/>
        <v>8079.99999999884</v>
      </c>
      <c r="AU19" s="17">
        <f t="shared" ref="AU19:AY19" si="110">IF(OR(P20=""),"",(P20-P19)*1000)</f>
        <v>0</v>
      </c>
      <c r="AV19" s="17">
        <f t="shared" si="110"/>
        <v>0</v>
      </c>
      <c r="AW19" s="17">
        <f t="shared" si="110"/>
        <v>4699.99999999982</v>
      </c>
      <c r="AX19" s="17">
        <f t="shared" si="110"/>
        <v>5199.99999999982</v>
      </c>
      <c r="AY19" s="17">
        <f t="shared" si="110"/>
        <v>0</v>
      </c>
      <c r="AZ19" s="17">
        <f t="shared" si="30"/>
        <v>9899.99999999964</v>
      </c>
      <c r="BA19" s="17">
        <f t="shared" si="31"/>
        <v>10200.0000000044</v>
      </c>
      <c r="BB19" s="17">
        <f t="shared" si="32"/>
        <v>1048.00000000047</v>
      </c>
      <c r="BC19" s="17">
        <f t="shared" si="44"/>
        <v>1412.00000000012</v>
      </c>
      <c r="BD19" s="17">
        <f t="shared" si="33"/>
        <v>16167.999999989</v>
      </c>
      <c r="BE19" s="17">
        <f t="shared" si="34"/>
        <v>54599.9999999913</v>
      </c>
      <c r="BF19" s="17">
        <f t="shared" si="45"/>
        <v>47.2999999999993</v>
      </c>
      <c r="BG19" s="20">
        <f t="shared" si="35"/>
        <v>0.266770899496708</v>
      </c>
      <c r="BH19" s="20">
        <f t="shared" si="36"/>
        <v>0.0380710411882484</v>
      </c>
      <c r="BI19" s="20">
        <f t="shared" si="37"/>
        <v>0</v>
      </c>
      <c r="BJ19" s="20">
        <f t="shared" si="38"/>
        <v>0.0394781843943853</v>
      </c>
      <c r="BK19" s="20">
        <f t="shared" ref="BK19:BO19" si="111">IF(OR($AD19=0),"",AZ19/$AD19)</f>
        <v>0.0483705477109476</v>
      </c>
      <c r="BL19" s="20">
        <f t="shared" si="111"/>
        <v>0.0498363218840297</v>
      </c>
      <c r="BM19" s="20">
        <f t="shared" si="111"/>
        <v>0.00512043777788863</v>
      </c>
      <c r="BN19" s="20">
        <f t="shared" si="111"/>
        <v>0.0068989104411986</v>
      </c>
      <c r="BO19" s="20">
        <f t="shared" si="111"/>
        <v>0.07899545610001</v>
      </c>
    </row>
    <row r="20" spans="1:67">
      <c r="A20" s="25">
        <v>43694</v>
      </c>
      <c r="B20" s="10">
        <v>18673.62</v>
      </c>
      <c r="C20" s="8">
        <v>97523.6</v>
      </c>
      <c r="D20" s="8">
        <v>66845.5</v>
      </c>
      <c r="E20" s="8">
        <v>66885</v>
      </c>
      <c r="F20" s="8">
        <v>9378.68</v>
      </c>
      <c r="G20" s="8">
        <v>123116.8</v>
      </c>
      <c r="H20" s="8">
        <v>5709.7</v>
      </c>
      <c r="I20" s="8">
        <v>2566.3</v>
      </c>
      <c r="J20" s="8">
        <v>967</v>
      </c>
      <c r="K20" s="8">
        <v>56</v>
      </c>
      <c r="L20" s="8">
        <v>100794.4</v>
      </c>
      <c r="M20" s="8">
        <v>61530.2</v>
      </c>
      <c r="N20" s="8">
        <v>83346.8</v>
      </c>
      <c r="O20" s="8">
        <v>111209.9</v>
      </c>
      <c r="P20" s="8">
        <v>6337.4</v>
      </c>
      <c r="Q20" s="8">
        <v>8500.3</v>
      </c>
      <c r="R20" s="8">
        <v>5036</v>
      </c>
      <c r="S20" s="8">
        <v>6296.4</v>
      </c>
      <c r="T20" s="8">
        <v>8130.7</v>
      </c>
      <c r="U20" s="8">
        <v>19103.7</v>
      </c>
      <c r="V20" s="8">
        <v>54781.3</v>
      </c>
      <c r="W20" s="8">
        <v>58727.3</v>
      </c>
      <c r="X20" s="8">
        <v>6218.8</v>
      </c>
      <c r="Y20" s="8">
        <v>6262.2</v>
      </c>
      <c r="Z20" s="15">
        <f t="shared" si="21"/>
        <v>71208.3</v>
      </c>
      <c r="AA20" s="8">
        <v>5726.5</v>
      </c>
      <c r="AB20" s="13">
        <v>8947</v>
      </c>
      <c r="AC20" s="7">
        <f t="shared" si="22"/>
        <v>14673.5</v>
      </c>
      <c r="AD20" s="16">
        <v>207881</v>
      </c>
      <c r="AE20" s="17">
        <f t="shared" ref="AE20:AI20" si="112">IF(OR(C21=""),"",(C21-C20)*80)</f>
        <v>0</v>
      </c>
      <c r="AF20" s="17">
        <f t="shared" si="112"/>
        <v>3111.99999999953</v>
      </c>
      <c r="AG20" s="17">
        <f t="shared" si="112"/>
        <v>2864.00000000023</v>
      </c>
      <c r="AH20" s="17">
        <f t="shared" si="112"/>
        <v>4.79999999995925</v>
      </c>
      <c r="AI20" s="17">
        <f t="shared" si="112"/>
        <v>2327.9999999993</v>
      </c>
      <c r="AJ20" s="17">
        <f t="shared" si="24"/>
        <v>8308.79999999903</v>
      </c>
      <c r="AK20" s="17">
        <f t="shared" ref="AK20:AN20" si="113">IF(OR(H21=""),"",(H21-H20)*80)</f>
        <v>0</v>
      </c>
      <c r="AL20" s="17">
        <f t="shared" si="113"/>
        <v>0</v>
      </c>
      <c r="AM20" s="17">
        <f t="shared" si="113"/>
        <v>0</v>
      </c>
      <c r="AN20" s="17">
        <f t="shared" si="113"/>
        <v>0</v>
      </c>
      <c r="AO20" s="17">
        <f t="shared" si="26"/>
        <v>0</v>
      </c>
      <c r="AP20" s="17">
        <f t="shared" ref="AP20:AS20" si="114">IF(OR(L21=""),"",(L21-L20)*100)</f>
        <v>3100</v>
      </c>
      <c r="AQ20" s="17">
        <f t="shared" si="114"/>
        <v>0</v>
      </c>
      <c r="AR20" s="17">
        <f t="shared" si="114"/>
        <v>2880.00000000029</v>
      </c>
      <c r="AS20" s="17">
        <f t="shared" si="114"/>
        <v>2360.00000000058</v>
      </c>
      <c r="AT20" s="17">
        <f t="shared" si="28"/>
        <v>8340.00000000087</v>
      </c>
      <c r="AU20" s="17">
        <f t="shared" ref="AU20:AY20" si="115">IF(OR(P21=""),"",(P21-P20)*1000)</f>
        <v>0</v>
      </c>
      <c r="AV20" s="17">
        <f t="shared" si="115"/>
        <v>0</v>
      </c>
      <c r="AW20" s="17">
        <f t="shared" si="115"/>
        <v>4500</v>
      </c>
      <c r="AX20" s="17">
        <f t="shared" si="115"/>
        <v>4700.00000000073</v>
      </c>
      <c r="AY20" s="17">
        <f t="shared" si="115"/>
        <v>0</v>
      </c>
      <c r="AZ20" s="17">
        <f t="shared" si="30"/>
        <v>9200.00000000073</v>
      </c>
      <c r="BA20" s="17">
        <f t="shared" si="31"/>
        <v>10199.9999999971</v>
      </c>
      <c r="BB20" s="17">
        <f t="shared" si="32"/>
        <v>1007.99999999988</v>
      </c>
      <c r="BC20" s="17">
        <f t="shared" si="44"/>
        <v>1440</v>
      </c>
      <c r="BD20" s="17">
        <f t="shared" si="33"/>
        <v>16203.200000014</v>
      </c>
      <c r="BE20" s="17">
        <f t="shared" si="34"/>
        <v>54700.0000000116</v>
      </c>
      <c r="BF20" s="17">
        <f t="shared" si="45"/>
        <v>47.2000000000007</v>
      </c>
      <c r="BG20" s="20">
        <f t="shared" si="35"/>
        <v>0.263131310701852</v>
      </c>
      <c r="BH20" s="20">
        <f t="shared" si="36"/>
        <v>0.0399690207378213</v>
      </c>
      <c r="BI20" s="20">
        <f t="shared" si="37"/>
        <v>0</v>
      </c>
      <c r="BJ20" s="20">
        <f t="shared" si="38"/>
        <v>0.0401191066042634</v>
      </c>
      <c r="BK20" s="20">
        <f t="shared" ref="BK20:BO20" si="116">IF(OR($AD20=0),"",AZ20/$AD20)</f>
        <v>0.0442560888200496</v>
      </c>
      <c r="BL20" s="20">
        <f t="shared" si="116"/>
        <v>0.0490665332569936</v>
      </c>
      <c r="BM20" s="20">
        <f t="shared" si="116"/>
        <v>0.00484892799245666</v>
      </c>
      <c r="BN20" s="20">
        <f t="shared" si="116"/>
        <v>0.0069270399892246</v>
      </c>
      <c r="BO20" s="20">
        <f t="shared" si="116"/>
        <v>0.0779445933010426</v>
      </c>
    </row>
    <row r="21" spans="1:67">
      <c r="A21" s="25">
        <v>43695</v>
      </c>
      <c r="B21" s="10">
        <v>18679.09</v>
      </c>
      <c r="C21" s="8">
        <v>97523.6</v>
      </c>
      <c r="D21" s="8">
        <v>66884.4</v>
      </c>
      <c r="E21" s="8">
        <v>66920.8</v>
      </c>
      <c r="F21" s="8">
        <v>9378.74</v>
      </c>
      <c r="G21" s="8">
        <v>123145.9</v>
      </c>
      <c r="H21" s="8">
        <v>5709.7</v>
      </c>
      <c r="I21" s="8">
        <v>2566.3</v>
      </c>
      <c r="J21" s="8">
        <v>967</v>
      </c>
      <c r="K21" s="8">
        <v>56</v>
      </c>
      <c r="L21" s="8">
        <v>100825.4</v>
      </c>
      <c r="M21" s="8">
        <v>61530.2</v>
      </c>
      <c r="N21" s="8">
        <v>83375.6</v>
      </c>
      <c r="O21" s="8">
        <v>111233.5</v>
      </c>
      <c r="P21" s="8">
        <v>6337.4</v>
      </c>
      <c r="Q21" s="8">
        <v>8500.3</v>
      </c>
      <c r="R21" s="8">
        <v>5040.5</v>
      </c>
      <c r="S21" s="8">
        <v>6301.1</v>
      </c>
      <c r="T21" s="8">
        <v>8130.7</v>
      </c>
      <c r="U21" s="8">
        <v>19108.8</v>
      </c>
      <c r="V21" s="8">
        <v>54793.9</v>
      </c>
      <c r="W21" s="8">
        <v>58743.7</v>
      </c>
      <c r="X21" s="8">
        <v>6227.5</v>
      </c>
      <c r="Y21" s="8">
        <v>6273.1</v>
      </c>
      <c r="Z21" s="15">
        <f t="shared" si="21"/>
        <v>71244.3</v>
      </c>
      <c r="AA21" s="8">
        <v>5768.7</v>
      </c>
      <c r="AB21" s="13">
        <v>8952</v>
      </c>
      <c r="AC21" s="7">
        <f t="shared" si="22"/>
        <v>14720.7</v>
      </c>
      <c r="AD21" s="16">
        <v>207061</v>
      </c>
      <c r="AE21" s="17">
        <f t="shared" ref="AE21:AI30" si="117">IF(OR(C22=""),"",(C22-C21)*80)</f>
        <v>0</v>
      </c>
      <c r="AF21" s="17">
        <f t="shared" si="117"/>
        <v>3056.00000000093</v>
      </c>
      <c r="AG21" s="17">
        <f t="shared" si="117"/>
        <v>3184.00000000023</v>
      </c>
      <c r="AH21" s="17">
        <f t="shared" si="117"/>
        <v>4.00000000008731</v>
      </c>
      <c r="AI21" s="17">
        <f t="shared" si="117"/>
        <v>2440</v>
      </c>
      <c r="AJ21" s="17">
        <f t="shared" si="24"/>
        <v>8684.00000000125</v>
      </c>
      <c r="AK21" s="17">
        <f t="shared" ref="AK21:AN21" si="118">IF(OR(H22=""),"",(H22-H21)*80)</f>
        <v>0</v>
      </c>
      <c r="AL21" s="17">
        <f t="shared" si="118"/>
        <v>0</v>
      </c>
      <c r="AM21" s="17">
        <f t="shared" si="118"/>
        <v>0</v>
      </c>
      <c r="AN21" s="17">
        <f t="shared" si="118"/>
        <v>0</v>
      </c>
      <c r="AO21" s="17">
        <f t="shared" si="26"/>
        <v>0</v>
      </c>
      <c r="AP21" s="17">
        <f t="shared" ref="AP21:AS21" si="119">IF(OR(L22=""),"",(L22-L21)*100)</f>
        <v>3120.00000000116</v>
      </c>
      <c r="AQ21" s="17">
        <f t="shared" si="119"/>
        <v>0</v>
      </c>
      <c r="AR21" s="17">
        <f t="shared" si="119"/>
        <v>2939.99999999942</v>
      </c>
      <c r="AS21" s="17">
        <f t="shared" si="119"/>
        <v>2350</v>
      </c>
      <c r="AT21" s="17">
        <f t="shared" si="28"/>
        <v>8410.00000000058</v>
      </c>
      <c r="AU21" s="17">
        <f t="shared" ref="AU21:AY21" si="120">IF(OR(P22=""),"",(P22-P21)*1000)</f>
        <v>0</v>
      </c>
      <c r="AV21" s="17">
        <f t="shared" si="120"/>
        <v>0</v>
      </c>
      <c r="AW21" s="17">
        <f t="shared" si="120"/>
        <v>4300.00000000018</v>
      </c>
      <c r="AX21" s="17">
        <f t="shared" si="120"/>
        <v>5000</v>
      </c>
      <c r="AY21" s="17">
        <f t="shared" si="120"/>
        <v>0</v>
      </c>
      <c r="AZ21" s="17">
        <f t="shared" si="30"/>
        <v>9300.00000000018</v>
      </c>
      <c r="BA21" s="17">
        <f t="shared" si="31"/>
        <v>10400.0000000015</v>
      </c>
      <c r="BB21" s="17">
        <f t="shared" si="32"/>
        <v>1023.99999999965</v>
      </c>
      <c r="BC21" s="17">
        <f t="shared" si="44"/>
        <v>1423.99999999965</v>
      </c>
      <c r="BD21" s="17">
        <f t="shared" si="33"/>
        <v>15258.0000000045</v>
      </c>
      <c r="BE21" s="17">
        <f t="shared" si="34"/>
        <v>54500.0000000073</v>
      </c>
      <c r="BF21" s="17">
        <f t="shared" si="45"/>
        <v>49.7999999999993</v>
      </c>
      <c r="BG21" s="20">
        <f t="shared" si="35"/>
        <v>0.263207460603432</v>
      </c>
      <c r="BH21" s="20">
        <f t="shared" si="36"/>
        <v>0.0419393318877106</v>
      </c>
      <c r="BI21" s="20">
        <f t="shared" si="37"/>
        <v>0</v>
      </c>
      <c r="BJ21" s="20">
        <f t="shared" si="38"/>
        <v>0.0406160503426555</v>
      </c>
      <c r="BK21" s="20">
        <f t="shared" ref="BK21:BO21" si="121">IF(OR($AD21=0),"",AZ21/$AD21)</f>
        <v>0.0449143006167273</v>
      </c>
      <c r="BL21" s="20">
        <f t="shared" si="121"/>
        <v>0.0502267447757011</v>
      </c>
      <c r="BM21" s="20">
        <f t="shared" si="121"/>
        <v>0.0049454025625282</v>
      </c>
      <c r="BN21" s="20">
        <f t="shared" si="121"/>
        <v>0.00687720043851643</v>
      </c>
      <c r="BO21" s="20">
        <f t="shared" si="121"/>
        <v>0.073688429979593</v>
      </c>
    </row>
    <row r="22" spans="1:67">
      <c r="A22" s="25">
        <v>43696</v>
      </c>
      <c r="B22" s="10">
        <v>18684.54</v>
      </c>
      <c r="C22" s="8">
        <v>97523.6</v>
      </c>
      <c r="D22" s="8">
        <v>66922.6</v>
      </c>
      <c r="E22" s="8">
        <v>66960.6</v>
      </c>
      <c r="F22" s="8">
        <v>9378.79</v>
      </c>
      <c r="G22" s="8">
        <v>123176.4</v>
      </c>
      <c r="H22" s="8">
        <v>5709.7</v>
      </c>
      <c r="I22" s="8">
        <v>2566.3</v>
      </c>
      <c r="J22" s="8">
        <v>967</v>
      </c>
      <c r="K22" s="8">
        <v>56</v>
      </c>
      <c r="L22" s="8">
        <v>100856.6</v>
      </c>
      <c r="M22" s="8">
        <v>61530.2</v>
      </c>
      <c r="N22" s="8">
        <v>83405</v>
      </c>
      <c r="O22" s="8">
        <v>111257</v>
      </c>
      <c r="P22" s="8">
        <v>6337.4</v>
      </c>
      <c r="Q22" s="8">
        <v>8500.3</v>
      </c>
      <c r="R22" s="8">
        <v>5044.8</v>
      </c>
      <c r="S22" s="8">
        <v>6306.1</v>
      </c>
      <c r="T22" s="8">
        <v>8130.7</v>
      </c>
      <c r="U22" s="8">
        <v>19114</v>
      </c>
      <c r="V22" s="8">
        <v>54806.7</v>
      </c>
      <c r="W22" s="8">
        <v>58760</v>
      </c>
      <c r="X22" s="8">
        <v>6236</v>
      </c>
      <c r="Y22" s="8">
        <v>6283.9</v>
      </c>
      <c r="Z22" s="15">
        <f t="shared" si="21"/>
        <v>71279.9</v>
      </c>
      <c r="AA22" s="8">
        <v>5811.5</v>
      </c>
      <c r="AB22" s="13">
        <v>8959</v>
      </c>
      <c r="AC22" s="7">
        <f t="shared" si="22"/>
        <v>14770.5</v>
      </c>
      <c r="AD22" s="16">
        <v>208198</v>
      </c>
      <c r="AE22" s="17">
        <f t="shared" si="117"/>
        <v>0</v>
      </c>
      <c r="AF22" s="17">
        <f t="shared" ref="AF22:AI22" si="122">IF(OR(D23=""),"",(D23-D22)*80)</f>
        <v>831.999999999534</v>
      </c>
      <c r="AG22" s="17">
        <f t="shared" si="122"/>
        <v>2215.99999999977</v>
      </c>
      <c r="AH22" s="17">
        <f t="shared" si="122"/>
        <v>1545.59999999998</v>
      </c>
      <c r="AI22" s="17">
        <f t="shared" si="122"/>
        <v>2304.00000000023</v>
      </c>
      <c r="AJ22" s="17">
        <f t="shared" si="24"/>
        <v>6897.59999999951</v>
      </c>
      <c r="AK22" s="17">
        <f t="shared" ref="AK22:AN22" si="123">IF(OR(H23=""),"",(H23-H22)*80)</f>
        <v>0</v>
      </c>
      <c r="AL22" s="17">
        <f t="shared" si="123"/>
        <v>0</v>
      </c>
      <c r="AM22" s="17">
        <f t="shared" si="123"/>
        <v>0</v>
      </c>
      <c r="AN22" s="17">
        <f t="shared" si="123"/>
        <v>0</v>
      </c>
      <c r="AO22" s="17">
        <f t="shared" si="26"/>
        <v>0</v>
      </c>
      <c r="AP22" s="17">
        <f t="shared" ref="AP22:AS22" si="124">IF(OR(L23=""),"",(L23-L22)*100)</f>
        <v>2959.99999999913</v>
      </c>
      <c r="AQ22" s="17">
        <f t="shared" si="124"/>
        <v>0</v>
      </c>
      <c r="AR22" s="17">
        <f t="shared" si="124"/>
        <v>2810.00000000058</v>
      </c>
      <c r="AS22" s="17">
        <f t="shared" si="124"/>
        <v>2369.99999999971</v>
      </c>
      <c r="AT22" s="17">
        <f t="shared" si="28"/>
        <v>8139.99999999942</v>
      </c>
      <c r="AU22" s="17">
        <f t="shared" ref="AU22:AY22" si="125">IF(OR(P23=""),"",(P23-P22)*1000)</f>
        <v>0</v>
      </c>
      <c r="AV22" s="17">
        <f t="shared" si="125"/>
        <v>0</v>
      </c>
      <c r="AW22" s="17">
        <f t="shared" si="125"/>
        <v>4899.99999999964</v>
      </c>
      <c r="AX22" s="17">
        <f t="shared" si="125"/>
        <v>4799.99999999927</v>
      </c>
      <c r="AY22" s="17">
        <f t="shared" si="125"/>
        <v>0</v>
      </c>
      <c r="AZ22" s="17">
        <f t="shared" si="30"/>
        <v>9699.99999999891</v>
      </c>
      <c r="BA22" s="17">
        <f t="shared" si="31"/>
        <v>10000</v>
      </c>
      <c r="BB22" s="17">
        <f t="shared" si="32"/>
        <v>808.000000000466</v>
      </c>
      <c r="BC22" s="17">
        <f t="shared" si="44"/>
        <v>1380.00000000058</v>
      </c>
      <c r="BD22" s="17">
        <f t="shared" si="33"/>
        <v>15874.3999999895</v>
      </c>
      <c r="BE22" s="17">
        <f t="shared" si="34"/>
        <v>52799.9999999884</v>
      </c>
      <c r="BF22" s="17">
        <f t="shared" si="45"/>
        <v>49.2999999999993</v>
      </c>
      <c r="BG22" s="20">
        <f t="shared" si="35"/>
        <v>0.253604741640114</v>
      </c>
      <c r="BH22" s="20">
        <f t="shared" si="36"/>
        <v>0.0331300012488089</v>
      </c>
      <c r="BI22" s="20">
        <f t="shared" si="37"/>
        <v>0</v>
      </c>
      <c r="BJ22" s="20">
        <f t="shared" si="38"/>
        <v>0.0390973976695233</v>
      </c>
      <c r="BK22" s="20">
        <f t="shared" ref="BK22:BO22" si="126">IF(OR($AD22=0),"",AZ22/$AD22)</f>
        <v>0.0465902650361623</v>
      </c>
      <c r="BL22" s="20">
        <f t="shared" si="126"/>
        <v>0.0480312010682139</v>
      </c>
      <c r="BM22" s="20">
        <f t="shared" si="126"/>
        <v>0.00388092104631392</v>
      </c>
      <c r="BN22" s="20">
        <f t="shared" si="126"/>
        <v>0.00662830574741632</v>
      </c>
      <c r="BO22" s="20">
        <f t="shared" si="126"/>
        <v>0.0762466498236749</v>
      </c>
    </row>
    <row r="23" spans="1:67">
      <c r="A23" s="25">
        <v>43697</v>
      </c>
      <c r="B23" s="10">
        <v>18689.82</v>
      </c>
      <c r="C23" s="8">
        <v>97523.6</v>
      </c>
      <c r="D23" s="8">
        <v>66933</v>
      </c>
      <c r="E23" s="8">
        <v>66988.3</v>
      </c>
      <c r="F23" s="8">
        <v>9398.11</v>
      </c>
      <c r="G23" s="8">
        <v>123205.2</v>
      </c>
      <c r="H23" s="8">
        <v>5709.7</v>
      </c>
      <c r="I23" s="8">
        <v>2566.3</v>
      </c>
      <c r="J23" s="8">
        <v>967</v>
      </c>
      <c r="K23" s="8">
        <v>56</v>
      </c>
      <c r="L23" s="8">
        <v>100886.2</v>
      </c>
      <c r="M23" s="8">
        <v>61530.2</v>
      </c>
      <c r="N23" s="8">
        <v>83433.1</v>
      </c>
      <c r="O23" s="8">
        <v>111280.7</v>
      </c>
      <c r="P23" s="8">
        <v>6337.4</v>
      </c>
      <c r="Q23" s="8">
        <v>8500.3</v>
      </c>
      <c r="R23" s="8">
        <v>5049.7</v>
      </c>
      <c r="S23" s="8">
        <v>6310.9</v>
      </c>
      <c r="T23" s="8">
        <v>8130.7</v>
      </c>
      <c r="U23" s="8">
        <v>19119</v>
      </c>
      <c r="V23" s="8">
        <v>54816.8</v>
      </c>
      <c r="W23" s="8">
        <v>58775.8</v>
      </c>
      <c r="X23" s="8">
        <v>6244.3</v>
      </c>
      <c r="Y23" s="8">
        <v>6294.3</v>
      </c>
      <c r="Z23" s="15">
        <f t="shared" si="21"/>
        <v>71314.4</v>
      </c>
      <c r="AA23" s="8">
        <v>5854.8</v>
      </c>
      <c r="AB23" s="13">
        <v>8965</v>
      </c>
      <c r="AC23" s="7">
        <f t="shared" si="22"/>
        <v>14819.8</v>
      </c>
      <c r="AD23" s="16">
        <v>181804</v>
      </c>
      <c r="AE23" s="17">
        <f t="shared" si="117"/>
        <v>0</v>
      </c>
      <c r="AF23" s="17">
        <f t="shared" ref="AF23:AI23" si="127">IF(OR(D24=""),"",(D24-D23)*80)</f>
        <v>128.000000000466</v>
      </c>
      <c r="AG23" s="17">
        <f t="shared" si="127"/>
        <v>3015.99999999977</v>
      </c>
      <c r="AH23" s="17">
        <f t="shared" si="127"/>
        <v>1938.39999999997</v>
      </c>
      <c r="AI23" s="17">
        <f t="shared" si="127"/>
        <v>2312.0000000007</v>
      </c>
      <c r="AJ23" s="17">
        <f t="shared" si="24"/>
        <v>7394.4000000009</v>
      </c>
      <c r="AK23" s="17">
        <f t="shared" ref="AK23:AN23" si="128">IF(OR(H24=""),"",(H24-H23)*80)</f>
        <v>0</v>
      </c>
      <c r="AL23" s="17">
        <f t="shared" si="128"/>
        <v>0</v>
      </c>
      <c r="AM23" s="17">
        <f t="shared" si="128"/>
        <v>0</v>
      </c>
      <c r="AN23" s="17">
        <f t="shared" si="128"/>
        <v>0</v>
      </c>
      <c r="AO23" s="17">
        <f t="shared" si="26"/>
        <v>0</v>
      </c>
      <c r="AP23" s="17">
        <f t="shared" ref="AP23:AS23" si="129">IF(OR(L24=""),"",(L24-L23)*100)</f>
        <v>2769.99999999971</v>
      </c>
      <c r="AQ23" s="17">
        <f t="shared" si="129"/>
        <v>0</v>
      </c>
      <c r="AR23" s="17">
        <f t="shared" si="129"/>
        <v>2629.99999999884</v>
      </c>
      <c r="AS23" s="17">
        <f t="shared" si="129"/>
        <v>2500</v>
      </c>
      <c r="AT23" s="17">
        <f t="shared" si="28"/>
        <v>7899.99999999854</v>
      </c>
      <c r="AU23" s="17">
        <f t="shared" ref="AU23:AY23" si="130">IF(OR(P24=""),"",(P24-P23)*1000)</f>
        <v>0</v>
      </c>
      <c r="AV23" s="17">
        <f t="shared" si="130"/>
        <v>300.000000001091</v>
      </c>
      <c r="AW23" s="17">
        <f t="shared" si="130"/>
        <v>3699.99999999982</v>
      </c>
      <c r="AX23" s="17">
        <f t="shared" si="130"/>
        <v>4900.00000000055</v>
      </c>
      <c r="AY23" s="17">
        <f t="shared" si="130"/>
        <v>0</v>
      </c>
      <c r="AZ23" s="17">
        <f t="shared" si="30"/>
        <v>8900.00000000146</v>
      </c>
      <c r="BA23" s="17">
        <f t="shared" si="31"/>
        <v>9599.99999999854</v>
      </c>
      <c r="BB23" s="17">
        <f t="shared" si="32"/>
        <v>615.999999999767</v>
      </c>
      <c r="BC23" s="17">
        <f t="shared" si="44"/>
        <v>1423.99999999965</v>
      </c>
      <c r="BD23" s="17">
        <f t="shared" si="33"/>
        <v>16665.6000000011</v>
      </c>
      <c r="BE23" s="17">
        <f t="shared" si="34"/>
        <v>52500</v>
      </c>
      <c r="BF23" s="17">
        <f t="shared" si="45"/>
        <v>50.9000000000015</v>
      </c>
      <c r="BG23" s="20">
        <f t="shared" si="35"/>
        <v>0.288772524256892</v>
      </c>
      <c r="BH23" s="20">
        <f t="shared" si="36"/>
        <v>0.0406723724450556</v>
      </c>
      <c r="BI23" s="20">
        <f t="shared" si="37"/>
        <v>0</v>
      </c>
      <c r="BJ23" s="20">
        <f t="shared" si="38"/>
        <v>0.0434533893643624</v>
      </c>
      <c r="BK23" s="20">
        <f t="shared" ref="BK23:BO23" si="131">IF(OR($AD23=0),"",AZ23/$AD23)</f>
        <v>0.048953818397843</v>
      </c>
      <c r="BL23" s="20">
        <f t="shared" si="131"/>
        <v>0.0528041187212523</v>
      </c>
      <c r="BM23" s="20">
        <f t="shared" si="131"/>
        <v>0.00338826428461292</v>
      </c>
      <c r="BN23" s="20">
        <f t="shared" si="131"/>
        <v>0.00783261094365168</v>
      </c>
      <c r="BO23" s="20">
        <f t="shared" si="131"/>
        <v>0.0916679501001141</v>
      </c>
    </row>
    <row r="24" spans="1:67">
      <c r="A24" s="25">
        <v>43698</v>
      </c>
      <c r="B24" s="10">
        <v>18695.07</v>
      </c>
      <c r="C24" s="8">
        <v>97523.6</v>
      </c>
      <c r="D24" s="8">
        <v>66934.6</v>
      </c>
      <c r="E24" s="8">
        <v>67026</v>
      </c>
      <c r="F24" s="8">
        <v>9422.34</v>
      </c>
      <c r="G24" s="8">
        <v>123234.1</v>
      </c>
      <c r="H24" s="8">
        <v>5709.7</v>
      </c>
      <c r="I24" s="8">
        <v>2566.3</v>
      </c>
      <c r="J24" s="8">
        <v>967</v>
      </c>
      <c r="K24" s="8">
        <v>56</v>
      </c>
      <c r="L24" s="8">
        <v>100913.9</v>
      </c>
      <c r="M24" s="8">
        <v>61530.2</v>
      </c>
      <c r="N24" s="8">
        <v>83459.4</v>
      </c>
      <c r="O24" s="8">
        <v>111305.7</v>
      </c>
      <c r="P24" s="8">
        <v>6337.4</v>
      </c>
      <c r="Q24" s="8">
        <v>8500.6</v>
      </c>
      <c r="R24" s="8">
        <v>5053.4</v>
      </c>
      <c r="S24" s="8">
        <v>6315.8</v>
      </c>
      <c r="T24" s="8">
        <v>8130.7</v>
      </c>
      <c r="U24" s="8">
        <v>19123.8</v>
      </c>
      <c r="V24" s="8">
        <v>54824.5</v>
      </c>
      <c r="W24" s="8">
        <v>58792.1</v>
      </c>
      <c r="X24" s="8">
        <v>6252.9</v>
      </c>
      <c r="Y24" s="8">
        <v>6305</v>
      </c>
      <c r="Z24" s="15">
        <f t="shared" si="21"/>
        <v>71350</v>
      </c>
      <c r="AA24" s="8">
        <v>5899.7</v>
      </c>
      <c r="AB24" s="13">
        <v>8971</v>
      </c>
      <c r="AC24" s="7">
        <f t="shared" si="22"/>
        <v>14870.7</v>
      </c>
      <c r="AD24" s="16">
        <v>164541</v>
      </c>
      <c r="AE24" s="17">
        <f t="shared" si="117"/>
        <v>0</v>
      </c>
      <c r="AF24" s="17">
        <f t="shared" ref="AF24:AI24" si="132">IF(OR(D25=""),"",(D25-D24)*80)</f>
        <v>2551.99999999953</v>
      </c>
      <c r="AG24" s="17">
        <f t="shared" si="132"/>
        <v>2671.99999999953</v>
      </c>
      <c r="AH24" s="17">
        <f t="shared" si="132"/>
        <v>18.3999999999651</v>
      </c>
      <c r="AI24" s="17">
        <f t="shared" si="132"/>
        <v>2183.99999999907</v>
      </c>
      <c r="AJ24" s="17">
        <f t="shared" si="24"/>
        <v>7426.3999999981</v>
      </c>
      <c r="AK24" s="17">
        <f t="shared" ref="AK24:AN24" si="133">IF(OR(H25=""),"",(H25-H24)*80)</f>
        <v>0</v>
      </c>
      <c r="AL24" s="17">
        <f t="shared" si="133"/>
        <v>0</v>
      </c>
      <c r="AM24" s="17">
        <f t="shared" si="133"/>
        <v>0</v>
      </c>
      <c r="AN24" s="17">
        <f t="shared" si="133"/>
        <v>0</v>
      </c>
      <c r="AO24" s="17">
        <f t="shared" si="26"/>
        <v>0</v>
      </c>
      <c r="AP24" s="17">
        <f t="shared" ref="AP24:AS24" si="134">IF(OR(L25=""),"",(L25-L24)*100)</f>
        <v>1990.00000000087</v>
      </c>
      <c r="AQ24" s="17">
        <f t="shared" si="134"/>
        <v>0</v>
      </c>
      <c r="AR24" s="17">
        <f t="shared" si="134"/>
        <v>2450</v>
      </c>
      <c r="AS24" s="17">
        <f t="shared" si="134"/>
        <v>1690.00000000087</v>
      </c>
      <c r="AT24" s="17">
        <f t="shared" si="28"/>
        <v>6130.00000000175</v>
      </c>
      <c r="AU24" s="17">
        <f t="shared" ref="AU24:AY24" si="135">IF(OR(P25=""),"",(P25-P24)*1000)</f>
        <v>0</v>
      </c>
      <c r="AV24" s="17">
        <f t="shared" si="135"/>
        <v>3699.99999999891</v>
      </c>
      <c r="AW24" s="17">
        <f t="shared" si="135"/>
        <v>1900.00000000055</v>
      </c>
      <c r="AX24" s="17">
        <f t="shared" si="135"/>
        <v>5300.00000000018</v>
      </c>
      <c r="AY24" s="17">
        <f t="shared" si="135"/>
        <v>0</v>
      </c>
      <c r="AZ24" s="17">
        <f t="shared" si="30"/>
        <v>10899.9999999996</v>
      </c>
      <c r="BA24" s="17">
        <f t="shared" si="31"/>
        <v>7800.00000000291</v>
      </c>
      <c r="BB24" s="17">
        <f t="shared" si="32"/>
        <v>584.000000000233</v>
      </c>
      <c r="BC24" s="17">
        <f t="shared" si="44"/>
        <v>1407.99999999988</v>
      </c>
      <c r="BD24" s="17">
        <f t="shared" si="33"/>
        <v>14651.5999999917</v>
      </c>
      <c r="BE24" s="17">
        <f t="shared" si="34"/>
        <v>48899.9999999942</v>
      </c>
      <c r="BF24" s="17">
        <f t="shared" si="45"/>
        <v>57.3999999999996</v>
      </c>
      <c r="BG24" s="20">
        <f t="shared" si="35"/>
        <v>0.297190365926998</v>
      </c>
      <c r="BH24" s="20">
        <f t="shared" si="36"/>
        <v>0.0451340395402854</v>
      </c>
      <c r="BI24" s="20">
        <f t="shared" si="37"/>
        <v>0</v>
      </c>
      <c r="BJ24" s="20">
        <f t="shared" si="38"/>
        <v>0.0372551522113136</v>
      </c>
      <c r="BK24" s="20">
        <f t="shared" ref="BK24:BO24" si="136">IF(OR($AD24=0),"",AZ24/$AD24)</f>
        <v>0.0662448872925267</v>
      </c>
      <c r="BL24" s="20">
        <f t="shared" si="136"/>
        <v>0.0474045982460475</v>
      </c>
      <c r="BM24" s="20">
        <f t="shared" si="136"/>
        <v>0.00354926735585801</v>
      </c>
      <c r="BN24" s="20">
        <f t="shared" si="136"/>
        <v>0.00855713773466725</v>
      </c>
      <c r="BO24" s="20">
        <f t="shared" si="136"/>
        <v>0.0890452835462995</v>
      </c>
    </row>
    <row r="25" spans="1:67">
      <c r="A25" s="25">
        <v>43699</v>
      </c>
      <c r="B25" s="10">
        <v>18699.96</v>
      </c>
      <c r="C25" s="8">
        <v>97523.6</v>
      </c>
      <c r="D25" s="8">
        <v>66966.5</v>
      </c>
      <c r="E25" s="8">
        <v>67059.4</v>
      </c>
      <c r="F25" s="8">
        <v>9422.57</v>
      </c>
      <c r="G25" s="8">
        <v>123261.4</v>
      </c>
      <c r="H25" s="8">
        <v>5709.7</v>
      </c>
      <c r="I25" s="8">
        <v>2566.3</v>
      </c>
      <c r="J25" s="8">
        <v>967</v>
      </c>
      <c r="K25" s="8">
        <v>56</v>
      </c>
      <c r="L25" s="8">
        <v>100933.8</v>
      </c>
      <c r="M25" s="8">
        <v>61530.2</v>
      </c>
      <c r="N25" s="8">
        <v>83483.9</v>
      </c>
      <c r="O25" s="8">
        <v>111322.6</v>
      </c>
      <c r="P25" s="8">
        <v>6337.4</v>
      </c>
      <c r="Q25" s="8">
        <v>8504.3</v>
      </c>
      <c r="R25" s="8">
        <v>5055.3</v>
      </c>
      <c r="S25" s="8">
        <v>6321.1</v>
      </c>
      <c r="T25" s="8">
        <v>8130.7</v>
      </c>
      <c r="U25" s="8">
        <v>19127.7</v>
      </c>
      <c r="V25" s="8">
        <v>54831.8</v>
      </c>
      <c r="W25" s="8">
        <v>58808.3</v>
      </c>
      <c r="X25" s="8">
        <v>6261.2</v>
      </c>
      <c r="Y25" s="8">
        <v>6315.7</v>
      </c>
      <c r="Z25" s="15">
        <f t="shared" si="21"/>
        <v>71385.2</v>
      </c>
      <c r="AA25" s="8">
        <v>5942.1</v>
      </c>
      <c r="AB25" s="13">
        <v>8986</v>
      </c>
      <c r="AC25" s="7">
        <f t="shared" si="22"/>
        <v>14928.1</v>
      </c>
      <c r="AD25" s="16">
        <v>173639</v>
      </c>
      <c r="AE25" s="17">
        <f t="shared" si="117"/>
        <v>0</v>
      </c>
      <c r="AF25" s="17">
        <f t="shared" ref="AF25:AI25" si="137">IF(OR(D26=""),"",(D26-D25)*80)</f>
        <v>2455.99999999977</v>
      </c>
      <c r="AG25" s="17">
        <f t="shared" si="137"/>
        <v>2104.00000000023</v>
      </c>
      <c r="AH25" s="17">
        <f t="shared" si="137"/>
        <v>386.399999999994</v>
      </c>
      <c r="AI25" s="17">
        <f t="shared" si="137"/>
        <v>2232.0000000007</v>
      </c>
      <c r="AJ25" s="17">
        <f t="shared" si="24"/>
        <v>7178.40000000069</v>
      </c>
      <c r="AK25" s="17">
        <f t="shared" ref="AK25:AN25" si="138">IF(OR(H26=""),"",(H26-H25)*80)</f>
        <v>0</v>
      </c>
      <c r="AL25" s="17">
        <f t="shared" si="138"/>
        <v>0</v>
      </c>
      <c r="AM25" s="17">
        <f t="shared" si="138"/>
        <v>0</v>
      </c>
      <c r="AN25" s="17">
        <f t="shared" si="138"/>
        <v>0</v>
      </c>
      <c r="AO25" s="17">
        <f t="shared" si="26"/>
        <v>0</v>
      </c>
      <c r="AP25" s="17">
        <f t="shared" ref="AP25:AS25" si="139">IF(OR(L26=""),"",(L26-L25)*100)</f>
        <v>1730.00000000029</v>
      </c>
      <c r="AQ25" s="17">
        <f t="shared" si="139"/>
        <v>10.0000000005821</v>
      </c>
      <c r="AR25" s="17">
        <f t="shared" si="139"/>
        <v>2820.00000000116</v>
      </c>
      <c r="AS25" s="17">
        <f t="shared" si="139"/>
        <v>2039.99999999942</v>
      </c>
      <c r="AT25" s="17">
        <f t="shared" si="28"/>
        <v>6600.00000000146</v>
      </c>
      <c r="AU25" s="17">
        <f t="shared" ref="AU25:AY25" si="140">IF(OR(P26=""),"",(P26-P25)*1000)</f>
        <v>0</v>
      </c>
      <c r="AV25" s="17">
        <f t="shared" si="140"/>
        <v>6300.00000000109</v>
      </c>
      <c r="AW25" s="17">
        <f t="shared" si="140"/>
        <v>4199.99999999982</v>
      </c>
      <c r="AX25" s="17">
        <f t="shared" si="140"/>
        <v>599.999999999454</v>
      </c>
      <c r="AY25" s="17">
        <f t="shared" si="140"/>
        <v>0</v>
      </c>
      <c r="AZ25" s="17">
        <f t="shared" si="30"/>
        <v>11100.0000000004</v>
      </c>
      <c r="BA25" s="17">
        <f t="shared" si="31"/>
        <v>8599.99999999854</v>
      </c>
      <c r="BB25" s="17">
        <f t="shared" si="32"/>
        <v>607.999999999884</v>
      </c>
      <c r="BC25" s="17">
        <f t="shared" si="44"/>
        <v>1415.99999999977</v>
      </c>
      <c r="BD25" s="17">
        <f t="shared" si="33"/>
        <v>13597.5999999978</v>
      </c>
      <c r="BE25" s="17">
        <f t="shared" si="34"/>
        <v>49099.9999999985</v>
      </c>
      <c r="BF25" s="17">
        <f t="shared" si="45"/>
        <v>50.3999999999996</v>
      </c>
      <c r="BG25" s="20">
        <f t="shared" si="35"/>
        <v>0.282770575734706</v>
      </c>
      <c r="BH25" s="20">
        <f t="shared" si="36"/>
        <v>0.0413409429909219</v>
      </c>
      <c r="BI25" s="20">
        <f t="shared" si="37"/>
        <v>0</v>
      </c>
      <c r="BJ25" s="20">
        <f t="shared" si="38"/>
        <v>0.0380098940906217</v>
      </c>
      <c r="BK25" s="20">
        <f t="shared" ref="BK25:BO25" si="141">IF(OR($AD25=0),"",AZ25/$AD25)</f>
        <v>0.063925730970579</v>
      </c>
      <c r="BL25" s="20">
        <f t="shared" si="141"/>
        <v>0.0495280438150332</v>
      </c>
      <c r="BM25" s="20">
        <f t="shared" si="141"/>
        <v>0.00350151751622552</v>
      </c>
      <c r="BN25" s="20">
        <f t="shared" si="141"/>
        <v>0.00815485000489387</v>
      </c>
      <c r="BO25" s="20">
        <f t="shared" si="141"/>
        <v>0.0783095963464304</v>
      </c>
    </row>
    <row r="26" spans="1:67">
      <c r="A26" s="25">
        <v>43700</v>
      </c>
      <c r="B26" s="10">
        <v>18704.87</v>
      </c>
      <c r="C26" s="8">
        <v>97523.6</v>
      </c>
      <c r="D26" s="8">
        <v>66997.2</v>
      </c>
      <c r="E26" s="8">
        <v>67085.7</v>
      </c>
      <c r="F26" s="8">
        <v>9427.4</v>
      </c>
      <c r="G26" s="8">
        <v>123289.3</v>
      </c>
      <c r="H26" s="8">
        <v>5709.7</v>
      </c>
      <c r="I26" s="8">
        <v>2566.3</v>
      </c>
      <c r="J26" s="8">
        <v>967</v>
      </c>
      <c r="K26" s="8">
        <v>56</v>
      </c>
      <c r="L26" s="8">
        <v>100951.1</v>
      </c>
      <c r="M26" s="8">
        <v>61530.3</v>
      </c>
      <c r="N26" s="8">
        <v>83512.1</v>
      </c>
      <c r="O26" s="8">
        <v>111343</v>
      </c>
      <c r="P26" s="8">
        <v>6337.4</v>
      </c>
      <c r="Q26" s="8">
        <v>8510.6</v>
      </c>
      <c r="R26" s="8">
        <v>5059.5</v>
      </c>
      <c r="S26" s="8">
        <v>6321.7</v>
      </c>
      <c r="T26" s="8">
        <v>8130.7</v>
      </c>
      <c r="U26" s="8">
        <v>19132</v>
      </c>
      <c r="V26" s="8">
        <v>54839.4</v>
      </c>
      <c r="W26" s="8">
        <v>58824.5</v>
      </c>
      <c r="X26" s="8">
        <v>6269.7</v>
      </c>
      <c r="Y26" s="8">
        <v>6326.4</v>
      </c>
      <c r="Z26" s="15">
        <f t="shared" si="21"/>
        <v>71420.6</v>
      </c>
      <c r="AA26" s="8">
        <v>5986.5</v>
      </c>
      <c r="AB26" s="13">
        <v>8992</v>
      </c>
      <c r="AC26" s="7">
        <f t="shared" si="22"/>
        <v>14978.5</v>
      </c>
      <c r="AD26" s="16">
        <v>179191</v>
      </c>
      <c r="AE26" s="17">
        <f t="shared" si="117"/>
        <v>0</v>
      </c>
      <c r="AF26" s="17">
        <f t="shared" ref="AF26:AI26" si="142">IF(OR(D27=""),"",(D27-D26)*80)</f>
        <v>2968.00000000047</v>
      </c>
      <c r="AG26" s="17">
        <f t="shared" si="142"/>
        <v>2280</v>
      </c>
      <c r="AH26" s="17">
        <f t="shared" si="142"/>
        <v>8.0000000000291</v>
      </c>
      <c r="AI26" s="17">
        <f t="shared" si="142"/>
        <v>2167.9999999993</v>
      </c>
      <c r="AJ26" s="17">
        <f t="shared" si="24"/>
        <v>7423.9999999998</v>
      </c>
      <c r="AK26" s="17">
        <f t="shared" ref="AK26:AN26" si="143">IF(OR(H27=""),"",(H27-H26)*80)</f>
        <v>0</v>
      </c>
      <c r="AL26" s="17">
        <f t="shared" si="143"/>
        <v>0</v>
      </c>
      <c r="AM26" s="17">
        <f t="shared" si="143"/>
        <v>0</v>
      </c>
      <c r="AN26" s="17">
        <f t="shared" si="143"/>
        <v>0</v>
      </c>
      <c r="AO26" s="17">
        <f t="shared" si="26"/>
        <v>0</v>
      </c>
      <c r="AP26" s="17">
        <f t="shared" ref="AP26:AS26" si="144">IF(OR(L27=""),"",(L27-L26)*100)</f>
        <v>1739.99999999942</v>
      </c>
      <c r="AQ26" s="17">
        <f t="shared" si="144"/>
        <v>9.99999999985448</v>
      </c>
      <c r="AR26" s="17">
        <f t="shared" si="144"/>
        <v>2839.99999999942</v>
      </c>
      <c r="AS26" s="17">
        <f t="shared" si="144"/>
        <v>2169.99999999971</v>
      </c>
      <c r="AT26" s="17">
        <f t="shared" si="28"/>
        <v>6759.9999999984</v>
      </c>
      <c r="AU26" s="17">
        <f t="shared" ref="AU26:AY26" si="145">IF(OR(P27=""),"",(P27-P26)*1000)</f>
        <v>0</v>
      </c>
      <c r="AV26" s="17">
        <f t="shared" si="145"/>
        <v>7500</v>
      </c>
      <c r="AW26" s="17">
        <f t="shared" si="145"/>
        <v>4399.99999999964</v>
      </c>
      <c r="AX26" s="17">
        <f t="shared" si="145"/>
        <v>100.000000000364</v>
      </c>
      <c r="AY26" s="17">
        <f t="shared" si="145"/>
        <v>0</v>
      </c>
      <c r="AZ26" s="17">
        <f t="shared" si="30"/>
        <v>12000</v>
      </c>
      <c r="BA26" s="17">
        <f t="shared" si="31"/>
        <v>8599.99999999854</v>
      </c>
      <c r="BB26" s="17">
        <f t="shared" si="32"/>
        <v>615.999999999767</v>
      </c>
      <c r="BC26" s="17">
        <f t="shared" si="44"/>
        <v>1424.00000000081</v>
      </c>
      <c r="BD26" s="17">
        <f t="shared" si="33"/>
        <v>12276.0000000012</v>
      </c>
      <c r="BE26" s="17">
        <f t="shared" si="34"/>
        <v>49099.9999999985</v>
      </c>
      <c r="BF26" s="17">
        <f t="shared" si="45"/>
        <v>51.5</v>
      </c>
      <c r="BG26" s="20">
        <f t="shared" si="35"/>
        <v>0.274009297341934</v>
      </c>
      <c r="BH26" s="20">
        <f t="shared" si="36"/>
        <v>0.0414306522090942</v>
      </c>
      <c r="BI26" s="20">
        <f t="shared" si="37"/>
        <v>0</v>
      </c>
      <c r="BJ26" s="20">
        <f t="shared" si="38"/>
        <v>0.0377251089619367</v>
      </c>
      <c r="BK26" s="20">
        <f t="shared" ref="BK26:BO26" si="146">IF(OR($AD26=0),"",AZ26/$AD26)</f>
        <v>0.0669676490448739</v>
      </c>
      <c r="BL26" s="20">
        <f t="shared" si="146"/>
        <v>0.0479934818154848</v>
      </c>
      <c r="BM26" s="20">
        <f t="shared" si="146"/>
        <v>0.00343767265096889</v>
      </c>
      <c r="BN26" s="20">
        <f t="shared" si="146"/>
        <v>0.00794682768666292</v>
      </c>
      <c r="BO26" s="20">
        <f t="shared" si="146"/>
        <v>0.0685079049729128</v>
      </c>
    </row>
    <row r="27" spans="1:67">
      <c r="A27" s="25">
        <v>43701</v>
      </c>
      <c r="B27" s="10">
        <v>18709.78</v>
      </c>
      <c r="C27" s="8">
        <v>97523.6</v>
      </c>
      <c r="D27" s="8">
        <v>67034.3</v>
      </c>
      <c r="E27" s="8">
        <v>67114.2</v>
      </c>
      <c r="F27" s="8">
        <v>9427.5</v>
      </c>
      <c r="G27" s="8">
        <v>123316.4</v>
      </c>
      <c r="H27" s="8">
        <v>5709.7</v>
      </c>
      <c r="I27" s="8">
        <v>2566.3</v>
      </c>
      <c r="J27" s="8">
        <v>967</v>
      </c>
      <c r="K27" s="8">
        <v>56</v>
      </c>
      <c r="L27" s="8">
        <v>100968.5</v>
      </c>
      <c r="M27" s="8">
        <v>61530.4</v>
      </c>
      <c r="N27" s="8">
        <v>83540.5</v>
      </c>
      <c r="O27" s="8">
        <v>111364.7</v>
      </c>
      <c r="P27" s="8">
        <v>6337.4</v>
      </c>
      <c r="Q27" s="8">
        <v>8518.1</v>
      </c>
      <c r="R27" s="8">
        <v>5063.9</v>
      </c>
      <c r="S27" s="8">
        <v>6321.8</v>
      </c>
      <c r="T27" s="8">
        <v>8130.7</v>
      </c>
      <c r="U27" s="8">
        <v>19136.3</v>
      </c>
      <c r="V27" s="8">
        <v>54847.1</v>
      </c>
      <c r="W27" s="8">
        <v>58840.9</v>
      </c>
      <c r="X27" s="8">
        <v>6278.3</v>
      </c>
      <c r="Y27" s="8">
        <v>6337</v>
      </c>
      <c r="Z27" s="15">
        <f t="shared" si="21"/>
        <v>71456.2</v>
      </c>
      <c r="AA27" s="8">
        <v>6031</v>
      </c>
      <c r="AB27" s="13">
        <v>8999</v>
      </c>
      <c r="AC27" s="7">
        <f t="shared" si="22"/>
        <v>15030</v>
      </c>
      <c r="AD27" s="16">
        <v>172622</v>
      </c>
      <c r="AE27" s="17">
        <f t="shared" si="117"/>
        <v>0</v>
      </c>
      <c r="AF27" s="17">
        <f t="shared" ref="AF27:AI27" si="147">IF(OR(D28=""),"",(D28-D27)*80)</f>
        <v>2904.00000000023</v>
      </c>
      <c r="AG27" s="17">
        <f t="shared" si="147"/>
        <v>2144.00000000023</v>
      </c>
      <c r="AH27" s="17">
        <f t="shared" si="147"/>
        <v>5.59999999997672</v>
      </c>
      <c r="AI27" s="17">
        <f t="shared" si="147"/>
        <v>2088.00000000047</v>
      </c>
      <c r="AJ27" s="17">
        <f t="shared" si="24"/>
        <v>7141.60000000091</v>
      </c>
      <c r="AK27" s="17">
        <f t="shared" ref="AK27:AN27" si="148">IF(OR(H28=""),"",(H28-H27)*80)</f>
        <v>0</v>
      </c>
      <c r="AL27" s="17">
        <f t="shared" si="148"/>
        <v>0</v>
      </c>
      <c r="AM27" s="17">
        <f t="shared" si="148"/>
        <v>0</v>
      </c>
      <c r="AN27" s="17">
        <f t="shared" si="148"/>
        <v>0</v>
      </c>
      <c r="AO27" s="17">
        <f t="shared" si="26"/>
        <v>0</v>
      </c>
      <c r="AP27" s="17">
        <f t="shared" ref="AP27:AS27" si="149">IF(OR(L28=""),"",(L28-L27)*100)</f>
        <v>1660.00000000058</v>
      </c>
      <c r="AQ27" s="17">
        <f t="shared" si="149"/>
        <v>0</v>
      </c>
      <c r="AR27" s="17">
        <f t="shared" si="149"/>
        <v>2880.00000000029</v>
      </c>
      <c r="AS27" s="17">
        <f t="shared" si="149"/>
        <v>2110.00000000058</v>
      </c>
      <c r="AT27" s="17">
        <f t="shared" si="28"/>
        <v>6650.00000000146</v>
      </c>
      <c r="AU27" s="17">
        <f t="shared" ref="AU27:AY27" si="150">IF(OR(P28=""),"",(P28-P27)*1000)</f>
        <v>0</v>
      </c>
      <c r="AV27" s="17">
        <f t="shared" si="150"/>
        <v>6699.99999999891</v>
      </c>
      <c r="AW27" s="17">
        <f t="shared" si="150"/>
        <v>4500</v>
      </c>
      <c r="AX27" s="17">
        <f t="shared" si="150"/>
        <v>0</v>
      </c>
      <c r="AY27" s="17">
        <f t="shared" si="150"/>
        <v>0</v>
      </c>
      <c r="AZ27" s="17">
        <f t="shared" si="30"/>
        <v>11199.9999999989</v>
      </c>
      <c r="BA27" s="17">
        <f t="shared" si="31"/>
        <v>8200.00000000437</v>
      </c>
      <c r="BB27" s="17">
        <f t="shared" si="32"/>
        <v>632.000000000116</v>
      </c>
      <c r="BC27" s="17">
        <f t="shared" si="44"/>
        <v>1403.99999999907</v>
      </c>
      <c r="BD27" s="17">
        <f t="shared" si="33"/>
        <v>11872.4000000228</v>
      </c>
      <c r="BE27" s="17">
        <f t="shared" si="34"/>
        <v>47100.0000000276</v>
      </c>
      <c r="BF27" s="17">
        <f t="shared" si="45"/>
        <v>50.7999999999993</v>
      </c>
      <c r="BG27" s="20">
        <f t="shared" si="35"/>
        <v>0.272850505729441</v>
      </c>
      <c r="BH27" s="20">
        <f t="shared" si="36"/>
        <v>0.0413713199939805</v>
      </c>
      <c r="BI27" s="20">
        <f t="shared" si="37"/>
        <v>0</v>
      </c>
      <c r="BJ27" s="20">
        <f t="shared" si="38"/>
        <v>0.0385234790467116</v>
      </c>
      <c r="BK27" s="20">
        <f t="shared" ref="BK27:BO27" si="151">IF(OR($AD27=0),"",AZ27/$AD27)</f>
        <v>0.064881648920757</v>
      </c>
      <c r="BL27" s="20">
        <f t="shared" si="151"/>
        <v>0.0475026358170127</v>
      </c>
      <c r="BM27" s="20">
        <f t="shared" si="151"/>
        <v>0.00366117876052946</v>
      </c>
      <c r="BN27" s="20">
        <f t="shared" si="151"/>
        <v>0.00813337813256172</v>
      </c>
      <c r="BO27" s="20">
        <f t="shared" si="151"/>
        <v>0.0687768650578885</v>
      </c>
    </row>
    <row r="28" spans="1:67">
      <c r="A28" s="25">
        <v>43702</v>
      </c>
      <c r="B28" s="10">
        <v>18714.49</v>
      </c>
      <c r="C28" s="8">
        <v>97523.6</v>
      </c>
      <c r="D28" s="8">
        <v>67070.6</v>
      </c>
      <c r="E28" s="8">
        <v>67141</v>
      </c>
      <c r="F28" s="8">
        <v>9427.57</v>
      </c>
      <c r="G28" s="8">
        <v>123342.5</v>
      </c>
      <c r="H28" s="8">
        <v>5709.7</v>
      </c>
      <c r="I28" s="8">
        <v>2566.3</v>
      </c>
      <c r="J28" s="8">
        <v>967</v>
      </c>
      <c r="K28" s="8">
        <v>56</v>
      </c>
      <c r="L28" s="8">
        <v>100985.1</v>
      </c>
      <c r="M28" s="8">
        <v>61530.4</v>
      </c>
      <c r="N28" s="8">
        <v>83569.3</v>
      </c>
      <c r="O28" s="8">
        <v>111385.8</v>
      </c>
      <c r="P28" s="8">
        <v>6337.4</v>
      </c>
      <c r="Q28" s="8">
        <v>8524.8</v>
      </c>
      <c r="R28" s="8">
        <v>5068.4</v>
      </c>
      <c r="S28" s="8">
        <v>6321.8</v>
      </c>
      <c r="T28" s="8">
        <v>8130.7</v>
      </c>
      <c r="U28" s="8">
        <v>19140.4</v>
      </c>
      <c r="V28" s="8">
        <v>54855</v>
      </c>
      <c r="W28" s="8">
        <v>58857.2</v>
      </c>
      <c r="X28" s="8">
        <v>6286.6</v>
      </c>
      <c r="Y28" s="8">
        <v>6347.5</v>
      </c>
      <c r="Z28" s="15">
        <f t="shared" si="21"/>
        <v>71491.3</v>
      </c>
      <c r="AA28" s="8">
        <v>6075.8</v>
      </c>
      <c r="AB28" s="13">
        <v>9005</v>
      </c>
      <c r="AC28" s="7">
        <f t="shared" si="22"/>
        <v>15080.8</v>
      </c>
      <c r="AD28" s="16">
        <v>166734</v>
      </c>
      <c r="AE28" s="17">
        <f t="shared" si="117"/>
        <v>0</v>
      </c>
      <c r="AF28" s="17">
        <f t="shared" ref="AF28:AI28" si="152">IF(OR(D29=""),"",(D29-D28)*80)</f>
        <v>3007.9999999993</v>
      </c>
      <c r="AG28" s="17">
        <f t="shared" si="152"/>
        <v>1831.99999999953</v>
      </c>
      <c r="AH28" s="17">
        <f t="shared" si="152"/>
        <v>4.79999999995925</v>
      </c>
      <c r="AI28" s="17">
        <f t="shared" si="152"/>
        <v>2048.00000000047</v>
      </c>
      <c r="AJ28" s="17">
        <f t="shared" si="24"/>
        <v>6892.79999999926</v>
      </c>
      <c r="AK28" s="17">
        <f t="shared" ref="AK28:AN28" si="153">IF(OR(H29=""),"",(H29-H28)*80)</f>
        <v>0</v>
      </c>
      <c r="AL28" s="17">
        <f t="shared" si="153"/>
        <v>0</v>
      </c>
      <c r="AM28" s="17">
        <f t="shared" si="153"/>
        <v>0</v>
      </c>
      <c r="AN28" s="17">
        <f t="shared" si="153"/>
        <v>0</v>
      </c>
      <c r="AO28" s="17">
        <f t="shared" si="26"/>
        <v>0</v>
      </c>
      <c r="AP28" s="17">
        <f t="shared" ref="AP28:AS28" si="154">IF(OR(L29=""),"",(L29-L28)*100)</f>
        <v>1450</v>
      </c>
      <c r="AQ28" s="17">
        <f t="shared" si="154"/>
        <v>0</v>
      </c>
      <c r="AR28" s="17">
        <f t="shared" si="154"/>
        <v>2909.99999999913</v>
      </c>
      <c r="AS28" s="17">
        <f t="shared" si="154"/>
        <v>2139.99999999942</v>
      </c>
      <c r="AT28" s="17">
        <f t="shared" si="28"/>
        <v>6499.99999999854</v>
      </c>
      <c r="AU28" s="17">
        <f t="shared" ref="AU28:AY28" si="155">IF(OR(P29=""),"",(P29-P28)*1000)</f>
        <v>0</v>
      </c>
      <c r="AV28" s="17">
        <f t="shared" si="155"/>
        <v>6700.00000000073</v>
      </c>
      <c r="AW28" s="17">
        <f t="shared" si="155"/>
        <v>4500</v>
      </c>
      <c r="AX28" s="17">
        <f t="shared" si="155"/>
        <v>0</v>
      </c>
      <c r="AY28" s="17">
        <f t="shared" si="155"/>
        <v>0</v>
      </c>
      <c r="AZ28" s="17">
        <f t="shared" si="30"/>
        <v>11200.0000000007</v>
      </c>
      <c r="BA28" s="17">
        <f t="shared" si="31"/>
        <v>8199.99999999709</v>
      </c>
      <c r="BB28" s="17">
        <f t="shared" si="32"/>
        <v>615.999999999767</v>
      </c>
      <c r="BC28" s="17">
        <f t="shared" si="44"/>
        <v>1448.00000000047</v>
      </c>
      <c r="BD28" s="17">
        <f t="shared" si="33"/>
        <v>12843.1999999721</v>
      </c>
      <c r="BE28" s="17">
        <f t="shared" si="34"/>
        <v>47699.999999968</v>
      </c>
      <c r="BF28" s="17">
        <f t="shared" si="45"/>
        <v>51.2000000000007</v>
      </c>
      <c r="BG28" s="20">
        <f t="shared" si="35"/>
        <v>0.286084421893363</v>
      </c>
      <c r="BH28" s="20">
        <f t="shared" si="36"/>
        <v>0.0413400986001611</v>
      </c>
      <c r="BI28" s="20">
        <f t="shared" si="37"/>
        <v>0</v>
      </c>
      <c r="BJ28" s="20">
        <f t="shared" si="38"/>
        <v>0.0389842503628447</v>
      </c>
      <c r="BK28" s="20">
        <f t="shared" ref="BK28:BO28" si="156">IF(OR($AD28=0),"",AZ28/$AD28)</f>
        <v>0.0671728621636902</v>
      </c>
      <c r="BL28" s="20">
        <f t="shared" si="156"/>
        <v>0.0491801312269668</v>
      </c>
      <c r="BM28" s="20">
        <f t="shared" si="156"/>
        <v>0.00369450741900133</v>
      </c>
      <c r="BN28" s="20">
        <f t="shared" si="156"/>
        <v>0.00868449146545075</v>
      </c>
      <c r="BO28" s="20">
        <f t="shared" si="156"/>
        <v>0.0770280806552481</v>
      </c>
    </row>
    <row r="29" spans="1:67">
      <c r="A29" s="25">
        <v>43703</v>
      </c>
      <c r="B29" s="10">
        <v>18719.26</v>
      </c>
      <c r="C29" s="8">
        <v>97523.6</v>
      </c>
      <c r="D29" s="8">
        <v>67108.2</v>
      </c>
      <c r="E29" s="8">
        <v>67163.9</v>
      </c>
      <c r="F29" s="8">
        <v>9427.63</v>
      </c>
      <c r="G29" s="8">
        <v>123368.1</v>
      </c>
      <c r="H29" s="8">
        <v>5709.7</v>
      </c>
      <c r="I29" s="8">
        <v>2566.3</v>
      </c>
      <c r="J29" s="8">
        <v>967</v>
      </c>
      <c r="K29" s="8">
        <v>56</v>
      </c>
      <c r="L29" s="8">
        <v>100999.6</v>
      </c>
      <c r="M29" s="8">
        <v>61530.4</v>
      </c>
      <c r="N29" s="8">
        <v>83598.4</v>
      </c>
      <c r="O29" s="8">
        <v>111407.2</v>
      </c>
      <c r="P29" s="8">
        <v>6337.4</v>
      </c>
      <c r="Q29" s="8">
        <v>8531.5</v>
      </c>
      <c r="R29" s="8">
        <v>5072.9</v>
      </c>
      <c r="S29" s="8">
        <v>6321.8</v>
      </c>
      <c r="T29" s="8">
        <v>8130.7</v>
      </c>
      <c r="U29" s="8">
        <v>19144.5</v>
      </c>
      <c r="V29" s="8">
        <v>54862.7</v>
      </c>
      <c r="W29" s="8">
        <v>58873.9</v>
      </c>
      <c r="X29" s="8">
        <v>6295.3</v>
      </c>
      <c r="Y29" s="8">
        <v>6358.3</v>
      </c>
      <c r="Z29" s="15">
        <f t="shared" si="21"/>
        <v>71527.5</v>
      </c>
      <c r="AA29" s="8">
        <v>6121</v>
      </c>
      <c r="AB29" s="13">
        <v>9011</v>
      </c>
      <c r="AC29" s="7">
        <f t="shared" si="22"/>
        <v>15132</v>
      </c>
      <c r="AD29" s="16">
        <v>191183</v>
      </c>
      <c r="AE29" s="17">
        <f t="shared" si="117"/>
        <v>0</v>
      </c>
      <c r="AF29" s="17">
        <f t="shared" ref="AF29:AI29" si="157">IF(OR(D30=""),"",(D30-D29)*80)</f>
        <v>2960</v>
      </c>
      <c r="AG29" s="17">
        <f t="shared" si="157"/>
        <v>2784.00000000023</v>
      </c>
      <c r="AH29" s="17">
        <f t="shared" si="157"/>
        <v>4.00000000008731</v>
      </c>
      <c r="AI29" s="17">
        <f t="shared" si="157"/>
        <v>2271.99999999953</v>
      </c>
      <c r="AJ29" s="17">
        <f t="shared" si="24"/>
        <v>8019.99999999985</v>
      </c>
      <c r="AK29" s="17">
        <f t="shared" ref="AK29:AN29" si="158">IF(OR(H30=""),"",(H30-H29)*80)</f>
        <v>0</v>
      </c>
      <c r="AL29" s="17">
        <f t="shared" si="158"/>
        <v>0</v>
      </c>
      <c r="AM29" s="17">
        <f t="shared" si="158"/>
        <v>0</v>
      </c>
      <c r="AN29" s="17">
        <f t="shared" si="158"/>
        <v>0</v>
      </c>
      <c r="AO29" s="17">
        <f t="shared" si="26"/>
        <v>0</v>
      </c>
      <c r="AP29" s="17">
        <f t="shared" ref="AP29:AS29" si="159">IF(OR(L30=""),"",(L30-L29)*100)</f>
        <v>2429.99999999884</v>
      </c>
      <c r="AQ29" s="17">
        <f t="shared" si="159"/>
        <v>0</v>
      </c>
      <c r="AR29" s="17">
        <f t="shared" si="159"/>
        <v>2890.00000000087</v>
      </c>
      <c r="AS29" s="17">
        <f t="shared" si="159"/>
        <v>2360.00000000058</v>
      </c>
      <c r="AT29" s="17">
        <f t="shared" si="28"/>
        <v>7680.00000000029</v>
      </c>
      <c r="AU29" s="17">
        <f t="shared" ref="AU29:AY29" si="160">IF(OR(P30=""),"",(P30-P29)*1000)</f>
        <v>0</v>
      </c>
      <c r="AV29" s="17">
        <f t="shared" si="160"/>
        <v>7100.00000000036</v>
      </c>
      <c r="AW29" s="17">
        <f t="shared" si="160"/>
        <v>4700.00000000073</v>
      </c>
      <c r="AX29" s="17">
        <f t="shared" si="160"/>
        <v>0</v>
      </c>
      <c r="AY29" s="17">
        <f t="shared" si="160"/>
        <v>0</v>
      </c>
      <c r="AZ29" s="17">
        <f t="shared" si="30"/>
        <v>11800.0000000011</v>
      </c>
      <c r="BA29" s="17">
        <f t="shared" si="31"/>
        <v>9599.99999999854</v>
      </c>
      <c r="BB29" s="17">
        <f t="shared" si="32"/>
        <v>624.000000000233</v>
      </c>
      <c r="BC29" s="17">
        <f t="shared" si="44"/>
        <v>1412.00000000012</v>
      </c>
      <c r="BD29" s="17">
        <f t="shared" si="33"/>
        <v>11164.0000000246</v>
      </c>
      <c r="BE29" s="17">
        <f t="shared" si="34"/>
        <v>50300.0000000247</v>
      </c>
      <c r="BF29" s="17">
        <f t="shared" si="45"/>
        <v>50.5</v>
      </c>
      <c r="BG29" s="20">
        <f t="shared" si="35"/>
        <v>0.263098706475077</v>
      </c>
      <c r="BH29" s="20">
        <f t="shared" si="36"/>
        <v>0.0419493364995834</v>
      </c>
      <c r="BI29" s="20">
        <f t="shared" si="37"/>
        <v>0</v>
      </c>
      <c r="BJ29" s="20">
        <f t="shared" si="38"/>
        <v>0.0401709357003514</v>
      </c>
      <c r="BK29" s="20">
        <f t="shared" ref="BK29:BO29" si="161">IF(OR($AD29=0),"",AZ29/$AD29)</f>
        <v>0.0617209689146059</v>
      </c>
      <c r="BL29" s="20">
        <f t="shared" si="161"/>
        <v>0.0502136696254298</v>
      </c>
      <c r="BM29" s="20">
        <f t="shared" si="161"/>
        <v>0.00326388852565465</v>
      </c>
      <c r="BN29" s="20">
        <f t="shared" si="161"/>
        <v>0.00738559390740869</v>
      </c>
      <c r="BO29" s="20">
        <f t="shared" si="161"/>
        <v>0.0583943133020436</v>
      </c>
    </row>
    <row r="30" spans="1:67">
      <c r="A30" s="25">
        <v>43704</v>
      </c>
      <c r="B30" s="10">
        <v>18724.29</v>
      </c>
      <c r="C30" s="8">
        <v>97523.6</v>
      </c>
      <c r="D30" s="8">
        <v>67145.2</v>
      </c>
      <c r="E30" s="8">
        <v>67198.7</v>
      </c>
      <c r="F30" s="8">
        <v>9427.68</v>
      </c>
      <c r="G30" s="8">
        <v>123396.5</v>
      </c>
      <c r="H30" s="8">
        <v>5709.7</v>
      </c>
      <c r="I30" s="8">
        <v>2566.3</v>
      </c>
      <c r="J30" s="8">
        <v>967</v>
      </c>
      <c r="K30" s="8">
        <v>56</v>
      </c>
      <c r="L30" s="8">
        <v>101023.9</v>
      </c>
      <c r="M30" s="8">
        <v>61530.4</v>
      </c>
      <c r="N30" s="8">
        <v>83627.3</v>
      </c>
      <c r="O30" s="8">
        <v>111430.8</v>
      </c>
      <c r="P30" s="8">
        <v>6337.4</v>
      </c>
      <c r="Q30" s="8">
        <v>8538.6</v>
      </c>
      <c r="R30" s="8">
        <v>5077.6</v>
      </c>
      <c r="S30" s="8">
        <v>6321.8</v>
      </c>
      <c r="T30" s="8">
        <v>8130.7</v>
      </c>
      <c r="U30" s="8">
        <v>19149.3</v>
      </c>
      <c r="V30" s="8">
        <v>54870.5</v>
      </c>
      <c r="W30" s="8">
        <v>58890.3</v>
      </c>
      <c r="X30" s="8">
        <v>6303.7</v>
      </c>
      <c r="Y30" s="8">
        <v>6368.8</v>
      </c>
      <c r="Z30" s="15">
        <f t="shared" si="21"/>
        <v>71562.8</v>
      </c>
      <c r="AA30" s="8">
        <v>6166.5</v>
      </c>
      <c r="AB30" s="13">
        <v>9016</v>
      </c>
      <c r="AC30" s="7">
        <f t="shared" si="22"/>
        <v>15182.5</v>
      </c>
      <c r="AD30" s="16">
        <v>205498</v>
      </c>
      <c r="AE30" s="17">
        <f t="shared" si="117"/>
        <v>0</v>
      </c>
      <c r="AF30" s="17">
        <f t="shared" ref="AF30:AI30" si="162">IF(OR(D31=""),"",(D31-D30)*80)</f>
        <v>2975.99999999977</v>
      </c>
      <c r="AG30" s="17">
        <f t="shared" si="162"/>
        <v>3184.00000000023</v>
      </c>
      <c r="AH30" s="17">
        <f t="shared" si="162"/>
        <v>3.99999999994179</v>
      </c>
      <c r="AI30" s="17">
        <f t="shared" si="162"/>
        <v>2215.99999999977</v>
      </c>
      <c r="AJ30" s="17">
        <f t="shared" si="24"/>
        <v>8379.99999999971</v>
      </c>
      <c r="AK30" s="17">
        <f t="shared" ref="AK30:AN30" si="163">IF(OR(H31=""),"",(H31-H30)*80)</f>
        <v>0</v>
      </c>
      <c r="AL30" s="17">
        <f t="shared" si="163"/>
        <v>0</v>
      </c>
      <c r="AM30" s="17">
        <f t="shared" si="163"/>
        <v>0</v>
      </c>
      <c r="AN30" s="17">
        <f t="shared" si="163"/>
        <v>0</v>
      </c>
      <c r="AO30" s="17">
        <f t="shared" si="26"/>
        <v>0</v>
      </c>
      <c r="AP30" s="17">
        <f t="shared" ref="AP30:AS30" si="164">IF(OR(L31=""),"",(L31-L30)*100)</f>
        <v>2910.00000000058</v>
      </c>
      <c r="AQ30" s="17">
        <f t="shared" si="164"/>
        <v>0</v>
      </c>
      <c r="AR30" s="17">
        <f t="shared" si="164"/>
        <v>2900</v>
      </c>
      <c r="AS30" s="17">
        <f t="shared" si="164"/>
        <v>2200</v>
      </c>
      <c r="AT30" s="17">
        <f t="shared" si="28"/>
        <v>8010.00000000058</v>
      </c>
      <c r="AU30" s="17">
        <f t="shared" ref="AU30:AY30" si="165">IF(OR(P31=""),"",(P31-P30)*1000)</f>
        <v>0</v>
      </c>
      <c r="AV30" s="17">
        <f t="shared" si="165"/>
        <v>6699.99999999891</v>
      </c>
      <c r="AW30" s="17">
        <f t="shared" si="165"/>
        <v>4699.99999999982</v>
      </c>
      <c r="AX30" s="17">
        <f t="shared" si="165"/>
        <v>0</v>
      </c>
      <c r="AY30" s="17">
        <f t="shared" si="165"/>
        <v>0</v>
      </c>
      <c r="AZ30" s="17">
        <f t="shared" si="30"/>
        <v>11399.9999999987</v>
      </c>
      <c r="BA30" s="17">
        <f t="shared" si="31"/>
        <v>9800.00000000291</v>
      </c>
      <c r="BB30" s="17">
        <f t="shared" si="32"/>
        <v>592.000000000116</v>
      </c>
      <c r="BC30" s="17">
        <f t="shared" si="44"/>
        <v>1403.99999999965</v>
      </c>
      <c r="BD30" s="17">
        <f t="shared" si="33"/>
        <v>10313.9999999779</v>
      </c>
      <c r="BE30" s="17">
        <f t="shared" si="34"/>
        <v>49899.9999999796</v>
      </c>
      <c r="BF30" s="17">
        <f t="shared" si="45"/>
        <v>52.1000000000004</v>
      </c>
      <c r="BG30" s="20">
        <f t="shared" si="35"/>
        <v>0.24282474768601</v>
      </c>
      <c r="BH30" s="20">
        <f t="shared" si="36"/>
        <v>0.0407789856835575</v>
      </c>
      <c r="BI30" s="20">
        <f t="shared" si="37"/>
        <v>0</v>
      </c>
      <c r="BJ30" s="20">
        <f t="shared" si="38"/>
        <v>0.0389784815424023</v>
      </c>
      <c r="BK30" s="20">
        <f t="shared" ref="BK30:BO30" si="166">IF(OR($AD30=0),"",AZ30/$AD30)</f>
        <v>0.0554749924573413</v>
      </c>
      <c r="BL30" s="20">
        <f t="shared" si="166"/>
        <v>0.0476890286036989</v>
      </c>
      <c r="BM30" s="20">
        <f t="shared" si="166"/>
        <v>0.00288080662585581</v>
      </c>
      <c r="BN30" s="20">
        <f t="shared" si="166"/>
        <v>0.00683218328158742</v>
      </c>
      <c r="BO30" s="20">
        <f t="shared" si="166"/>
        <v>0.0501902694915665</v>
      </c>
    </row>
    <row r="31" spans="1:67">
      <c r="A31" s="25">
        <v>43705</v>
      </c>
      <c r="B31" s="10">
        <v>18729.28</v>
      </c>
      <c r="C31" s="8">
        <v>97523.6</v>
      </c>
      <c r="D31" s="8">
        <v>67182.4</v>
      </c>
      <c r="E31" s="8">
        <v>67238.5</v>
      </c>
      <c r="F31" s="8">
        <v>9427.73</v>
      </c>
      <c r="G31" s="8">
        <v>123424.2</v>
      </c>
      <c r="H31" s="8">
        <v>5709.7</v>
      </c>
      <c r="I31" s="8">
        <v>2566.3</v>
      </c>
      <c r="J31" s="8">
        <v>967</v>
      </c>
      <c r="K31" s="8">
        <v>56</v>
      </c>
      <c r="L31" s="8">
        <v>101053</v>
      </c>
      <c r="M31" s="8">
        <v>61530.4</v>
      </c>
      <c r="N31" s="8">
        <v>83656.3</v>
      </c>
      <c r="O31" s="8">
        <v>111452.8</v>
      </c>
      <c r="P31" s="8">
        <v>6337.4</v>
      </c>
      <c r="Q31" s="8">
        <v>8545.3</v>
      </c>
      <c r="R31" s="8">
        <v>5082.3</v>
      </c>
      <c r="S31" s="8">
        <v>6321.8</v>
      </c>
      <c r="T31" s="8">
        <v>8130.7</v>
      </c>
      <c r="U31" s="8">
        <v>19154.2</v>
      </c>
      <c r="V31" s="8">
        <v>54877.9</v>
      </c>
      <c r="W31" s="8">
        <v>58906.6</v>
      </c>
      <c r="X31" s="8">
        <v>6312.1</v>
      </c>
      <c r="Y31" s="8">
        <v>6379.2</v>
      </c>
      <c r="Z31" s="15">
        <f t="shared" si="21"/>
        <v>71597.9</v>
      </c>
      <c r="AA31" s="8">
        <v>6212.6</v>
      </c>
      <c r="AB31" s="13">
        <v>9022</v>
      </c>
      <c r="AC31" s="7">
        <f t="shared" si="22"/>
        <v>15234.6</v>
      </c>
      <c r="AD31" s="16">
        <v>196331</v>
      </c>
      <c r="AE31" s="17">
        <f>IF(OR(C32=""),"",(C32-C31)*80)</f>
        <v>0</v>
      </c>
      <c r="AF31" s="17">
        <f t="shared" ref="AF31:AI31" si="167">IF(OR(D32=""),"",(D32-D31)*80)</f>
        <v>640</v>
      </c>
      <c r="AG31" s="17">
        <f t="shared" si="167"/>
        <v>2904.00000000023</v>
      </c>
      <c r="AH31" s="17">
        <f t="shared" si="167"/>
        <v>1761.60000000003</v>
      </c>
      <c r="AI31" s="17">
        <f t="shared" si="167"/>
        <v>2560</v>
      </c>
      <c r="AJ31" s="17">
        <f>IF(OR(AE31="",AF31="",AG31=""),"",AE31+AF31+AG31+AH31+AI31)</f>
        <v>7865.60000000027</v>
      </c>
      <c r="AK31" s="17">
        <f t="shared" ref="AK31:AN31" si="168">IF(OR(H32=""),"",(H32-H31)*80)</f>
        <v>0</v>
      </c>
      <c r="AL31" s="17">
        <f t="shared" si="168"/>
        <v>0</v>
      </c>
      <c r="AM31" s="17">
        <f t="shared" si="168"/>
        <v>0</v>
      </c>
      <c r="AN31" s="17">
        <f t="shared" si="168"/>
        <v>0</v>
      </c>
      <c r="AO31" s="17">
        <f t="shared" si="26"/>
        <v>0</v>
      </c>
      <c r="AP31" s="17">
        <f t="shared" ref="AP31:AS31" si="169">IF(OR(L32=""),"",(L32-L31)*100)</f>
        <v>2800</v>
      </c>
      <c r="AQ31" s="17">
        <f t="shared" si="169"/>
        <v>0</v>
      </c>
      <c r="AR31" s="17">
        <f t="shared" si="169"/>
        <v>2959.99999999913</v>
      </c>
      <c r="AS31" s="17">
        <f t="shared" si="169"/>
        <v>2080.00000000029</v>
      </c>
      <c r="AT31" s="17">
        <f t="shared" si="28"/>
        <v>7839.99999999942</v>
      </c>
      <c r="AU31" s="17">
        <f t="shared" ref="AU31:AY31" si="170">IF(OR(P32=""),"",(P32-P31)*1000)</f>
        <v>0</v>
      </c>
      <c r="AV31" s="17">
        <f t="shared" si="170"/>
        <v>7200.00000000073</v>
      </c>
      <c r="AW31" s="17">
        <f t="shared" si="170"/>
        <v>4800.00000000018</v>
      </c>
      <c r="AX31" s="17">
        <f t="shared" si="170"/>
        <v>0</v>
      </c>
      <c r="AY31" s="17">
        <f t="shared" si="170"/>
        <v>0</v>
      </c>
      <c r="AZ31" s="17">
        <f t="shared" si="30"/>
        <v>12000.0000000009</v>
      </c>
      <c r="BA31" s="17">
        <f t="shared" si="31"/>
        <v>9799.99999999563</v>
      </c>
      <c r="BB31" s="17">
        <f t="shared" si="32"/>
        <v>583.999999999651</v>
      </c>
      <c r="BC31" s="17">
        <f t="shared" si="44"/>
        <v>1488.00000000047</v>
      </c>
      <c r="BD31" s="17">
        <f t="shared" si="33"/>
        <v>11422.4000000255</v>
      </c>
      <c r="BE31" s="17">
        <f t="shared" si="34"/>
        <v>51000.0000000218</v>
      </c>
      <c r="BF31" s="17">
        <f t="shared" si="45"/>
        <v>51.3999999999996</v>
      </c>
      <c r="BG31" s="20">
        <f t="shared" si="35"/>
        <v>0.259765396193275</v>
      </c>
      <c r="BH31" s="20">
        <f t="shared" si="36"/>
        <v>0.0400629549077847</v>
      </c>
      <c r="BI31" s="20">
        <f t="shared" si="37"/>
        <v>0</v>
      </c>
      <c r="BJ31" s="20">
        <f t="shared" si="38"/>
        <v>0.0399325628657696</v>
      </c>
      <c r="BK31" s="20">
        <f t="shared" ref="BK31:BO31" si="171">IF(OR($AD31=0),"",AZ31/$AD31)</f>
        <v>0.0611212696925137</v>
      </c>
      <c r="BL31" s="20">
        <f t="shared" si="171"/>
        <v>0.0499157035821935</v>
      </c>
      <c r="BM31" s="20">
        <f t="shared" si="171"/>
        <v>0.002974568458367</v>
      </c>
      <c r="BN31" s="20">
        <f t="shared" si="171"/>
        <v>0.0075790374418735</v>
      </c>
      <c r="BO31" s="20">
        <f t="shared" si="171"/>
        <v>0.0581792992447728</v>
      </c>
    </row>
    <row r="32" spans="1:67">
      <c r="A32" s="25">
        <v>43706</v>
      </c>
      <c r="B32" s="10">
        <v>18734.38</v>
      </c>
      <c r="C32" s="8">
        <v>97523.6</v>
      </c>
      <c r="D32" s="8">
        <v>67190.4</v>
      </c>
      <c r="E32" s="8">
        <v>67274.8</v>
      </c>
      <c r="F32" s="8">
        <v>9449.75</v>
      </c>
      <c r="G32" s="8">
        <v>123456.2</v>
      </c>
      <c r="H32" s="8">
        <v>5709.7</v>
      </c>
      <c r="I32" s="8">
        <v>2566.3</v>
      </c>
      <c r="J32" s="8">
        <v>967</v>
      </c>
      <c r="K32" s="8">
        <v>56</v>
      </c>
      <c r="L32" s="8">
        <v>101081</v>
      </c>
      <c r="M32" s="8">
        <v>61530.4</v>
      </c>
      <c r="N32" s="8">
        <v>83685.9</v>
      </c>
      <c r="O32" s="8">
        <v>111473.6</v>
      </c>
      <c r="P32" s="8">
        <v>6337.4</v>
      </c>
      <c r="Q32" s="8">
        <v>8552.5</v>
      </c>
      <c r="R32" s="8">
        <v>5087.1</v>
      </c>
      <c r="S32" s="8">
        <v>6321.8</v>
      </c>
      <c r="T32" s="8">
        <v>8130.7</v>
      </c>
      <c r="U32" s="8">
        <v>19159.1</v>
      </c>
      <c r="V32" s="8">
        <v>54885.2</v>
      </c>
      <c r="W32" s="8">
        <v>58923.4</v>
      </c>
      <c r="X32" s="8">
        <v>6320.8</v>
      </c>
      <c r="Y32" s="8">
        <v>6390.9</v>
      </c>
      <c r="Z32" s="15">
        <f t="shared" si="21"/>
        <v>71635.1</v>
      </c>
      <c r="AA32" s="8">
        <v>6258</v>
      </c>
      <c r="AB32" s="13">
        <v>9028</v>
      </c>
      <c r="AC32" s="7">
        <f t="shared" si="22"/>
        <v>15286</v>
      </c>
      <c r="AD32" s="16">
        <v>183379</v>
      </c>
      <c r="AE32" s="17">
        <f>IF(OR(C33=""),"",(C33-C32)*80)</f>
        <v>0</v>
      </c>
      <c r="AF32" s="17">
        <f t="shared" ref="AE32:AI32" si="172">IF(OR(D33=""),"",(D33-D32)*80)</f>
        <v>2560</v>
      </c>
      <c r="AG32" s="17">
        <f t="shared" si="172"/>
        <v>2600</v>
      </c>
      <c r="AH32" s="17">
        <f t="shared" si="172"/>
        <v>4.79999999995925</v>
      </c>
      <c r="AI32" s="17">
        <f t="shared" si="172"/>
        <v>2255.99999999977</v>
      </c>
      <c r="AJ32" s="17">
        <f t="shared" si="24"/>
        <v>7420.79999999973</v>
      </c>
      <c r="AK32" s="17">
        <f t="shared" ref="AK32:AN32" si="173">IF(OR(H33=""),"",(H33-H32)*80)</f>
        <v>0</v>
      </c>
      <c r="AL32" s="17">
        <f t="shared" si="173"/>
        <v>0</v>
      </c>
      <c r="AM32" s="17">
        <f t="shared" si="173"/>
        <v>0</v>
      </c>
      <c r="AN32" s="17">
        <f t="shared" si="173"/>
        <v>0</v>
      </c>
      <c r="AO32" s="17">
        <f t="shared" si="26"/>
        <v>0</v>
      </c>
      <c r="AP32" s="17">
        <f t="shared" ref="AP32:AS32" si="174">IF(OR(L33=""),"",(L33-L32)*100)</f>
        <v>2380.00000000029</v>
      </c>
      <c r="AQ32" s="17">
        <f t="shared" si="174"/>
        <v>0</v>
      </c>
      <c r="AR32" s="17">
        <f t="shared" si="174"/>
        <v>2990.00000000087</v>
      </c>
      <c r="AS32" s="17">
        <f t="shared" si="174"/>
        <v>1779.99999999884</v>
      </c>
      <c r="AT32" s="17">
        <f t="shared" si="28"/>
        <v>7150</v>
      </c>
      <c r="AU32" s="17">
        <f t="shared" ref="AU32:AY32" si="175">IF(OR(P33=""),"",(P33-P32)*1000)</f>
        <v>2500</v>
      </c>
      <c r="AV32" s="17">
        <f t="shared" si="175"/>
        <v>899.999999999636</v>
      </c>
      <c r="AW32" s="17">
        <f t="shared" si="175"/>
        <v>4599.99999999945</v>
      </c>
      <c r="AX32" s="17">
        <f t="shared" si="175"/>
        <v>0</v>
      </c>
      <c r="AY32" s="17">
        <f t="shared" si="175"/>
        <v>2100.00000000036</v>
      </c>
      <c r="AZ32" s="17">
        <f t="shared" si="30"/>
        <v>10099.9999999995</v>
      </c>
      <c r="BA32" s="17">
        <f t="shared" si="31"/>
        <v>8600.00000000582</v>
      </c>
      <c r="BB32" s="17">
        <f t="shared" si="32"/>
        <v>568.000000000466</v>
      </c>
      <c r="BC32" s="17">
        <f t="shared" si="44"/>
        <v>1420</v>
      </c>
      <c r="BD32" s="17">
        <f t="shared" si="33"/>
        <v>14841.1999999785</v>
      </c>
      <c r="BE32" s="17">
        <f t="shared" si="34"/>
        <v>50099.999999984</v>
      </c>
      <c r="BF32" s="17">
        <f t="shared" si="45"/>
        <v>52.7000000000007</v>
      </c>
      <c r="BG32" s="20">
        <f t="shared" si="35"/>
        <v>0.273204674471908</v>
      </c>
      <c r="BH32" s="20">
        <f t="shared" si="36"/>
        <v>0.0404670109445451</v>
      </c>
      <c r="BI32" s="20">
        <f t="shared" si="37"/>
        <v>0</v>
      </c>
      <c r="BJ32" s="20">
        <f t="shared" si="38"/>
        <v>0.0389902878737478</v>
      </c>
      <c r="BK32" s="20">
        <f t="shared" ref="BK32:BO32" si="176">IF(OR($AD32=0),"",AZ32/$AD32)</f>
        <v>0.0550771898636128</v>
      </c>
      <c r="BL32" s="20">
        <f t="shared" si="176"/>
        <v>0.0468974091908333</v>
      </c>
      <c r="BM32" s="20">
        <f t="shared" si="176"/>
        <v>0.00309741028144153</v>
      </c>
      <c r="BN32" s="20">
        <f t="shared" si="176"/>
        <v>0.00774352570359747</v>
      </c>
      <c r="BO32" s="20">
        <f t="shared" si="176"/>
        <v>0.0809318406141299</v>
      </c>
    </row>
    <row r="33" spans="1:67">
      <c r="A33" s="25">
        <v>43707</v>
      </c>
      <c r="B33" s="10">
        <v>18739.39</v>
      </c>
      <c r="C33" s="8">
        <v>97523.6</v>
      </c>
      <c r="D33" s="8">
        <v>67222.4</v>
      </c>
      <c r="E33" s="8">
        <v>67307.3</v>
      </c>
      <c r="F33" s="8">
        <v>9449.81</v>
      </c>
      <c r="G33" s="8">
        <v>123484.4</v>
      </c>
      <c r="H33" s="8">
        <v>5709.7</v>
      </c>
      <c r="I33" s="8">
        <v>2566.3</v>
      </c>
      <c r="J33" s="8">
        <v>967</v>
      </c>
      <c r="K33" s="8">
        <v>56</v>
      </c>
      <c r="L33" s="8">
        <v>101104.8</v>
      </c>
      <c r="M33" s="8">
        <v>61530.4</v>
      </c>
      <c r="N33" s="8">
        <v>83715.8</v>
      </c>
      <c r="O33" s="8">
        <v>111491.4</v>
      </c>
      <c r="P33" s="8">
        <v>6339.9</v>
      </c>
      <c r="Q33" s="8">
        <v>8553.4</v>
      </c>
      <c r="R33" s="8">
        <v>5091.7</v>
      </c>
      <c r="S33" s="8">
        <v>6321.8</v>
      </c>
      <c r="T33" s="8">
        <v>8132.8</v>
      </c>
      <c r="U33" s="8">
        <v>19163.4</v>
      </c>
      <c r="V33" s="8">
        <v>54892.3</v>
      </c>
      <c r="W33" s="8">
        <v>58940.1</v>
      </c>
      <c r="X33" s="8">
        <v>6329.5</v>
      </c>
      <c r="Y33" s="8">
        <v>6401</v>
      </c>
      <c r="Z33" s="15">
        <f t="shared" si="21"/>
        <v>71670.6</v>
      </c>
      <c r="AA33" s="8">
        <v>6304.7</v>
      </c>
      <c r="AB33" s="13">
        <v>9034</v>
      </c>
      <c r="AC33" s="7">
        <f t="shared" si="22"/>
        <v>15338.7</v>
      </c>
      <c r="AD33" s="16">
        <v>200985</v>
      </c>
      <c r="AE33" s="17">
        <f t="shared" ref="AE33:AI33" si="177">IF(OR(C34=""),"",(C34-C33)*80)</f>
        <v>0</v>
      </c>
      <c r="AF33" s="17">
        <f t="shared" si="177"/>
        <v>3000</v>
      </c>
      <c r="AG33" s="17">
        <f t="shared" si="177"/>
        <v>2607.9999999993</v>
      </c>
      <c r="AH33" s="17">
        <f t="shared" si="177"/>
        <v>4.00000000008731</v>
      </c>
      <c r="AI33" s="17">
        <f t="shared" si="177"/>
        <v>2280</v>
      </c>
      <c r="AJ33" s="17">
        <f t="shared" si="24"/>
        <v>7891.99999999939</v>
      </c>
      <c r="AK33" s="17">
        <f t="shared" ref="AK33:AN33" si="178">IF(OR(H34=""),"",(H34-H33)*80)</f>
        <v>0</v>
      </c>
      <c r="AL33" s="17">
        <f t="shared" si="178"/>
        <v>0</v>
      </c>
      <c r="AM33" s="17">
        <f t="shared" si="178"/>
        <v>0</v>
      </c>
      <c r="AN33" s="17">
        <f t="shared" si="178"/>
        <v>0</v>
      </c>
      <c r="AO33" s="17">
        <f t="shared" si="26"/>
        <v>0</v>
      </c>
      <c r="AP33" s="17">
        <f t="shared" ref="AP33:AS33" si="179">IF(OR(L34=""),"",(L34-L33)*100)</f>
        <v>2830.00000000029</v>
      </c>
      <c r="AQ33" s="17">
        <f t="shared" si="179"/>
        <v>0</v>
      </c>
      <c r="AR33" s="17">
        <f t="shared" si="179"/>
        <v>2900</v>
      </c>
      <c r="AS33" s="17">
        <f t="shared" si="179"/>
        <v>2340.00000000087</v>
      </c>
      <c r="AT33" s="17">
        <f t="shared" si="28"/>
        <v>8070.00000000116</v>
      </c>
      <c r="AU33" s="17">
        <f t="shared" ref="AU33:AY33" si="180">IF(OR(P34=""),"",(P34-P33)*1000)</f>
        <v>0</v>
      </c>
      <c r="AV33" s="17">
        <f t="shared" si="180"/>
        <v>7399.99999999964</v>
      </c>
      <c r="AW33" s="17">
        <f t="shared" si="180"/>
        <v>4699.99999999982</v>
      </c>
      <c r="AX33" s="17">
        <f t="shared" si="180"/>
        <v>99.9999999994543</v>
      </c>
      <c r="AY33" s="17">
        <f t="shared" si="180"/>
        <v>0</v>
      </c>
      <c r="AZ33" s="17">
        <f t="shared" si="30"/>
        <v>12199.9999999989</v>
      </c>
      <c r="BA33" s="17">
        <f t="shared" si="31"/>
        <v>9799.99999999563</v>
      </c>
      <c r="BB33" s="17">
        <f t="shared" si="32"/>
        <v>543.999999999651</v>
      </c>
      <c r="BC33" s="17">
        <f t="shared" si="44"/>
        <v>1427.9999999993</v>
      </c>
      <c r="BD33" s="17">
        <f t="shared" si="33"/>
        <v>10166.0000000263</v>
      </c>
      <c r="BE33" s="17">
        <f t="shared" si="34"/>
        <v>50100.0000000204</v>
      </c>
      <c r="BF33" s="17">
        <f t="shared" si="45"/>
        <v>52.7999999999993</v>
      </c>
      <c r="BG33" s="20">
        <f t="shared" si="35"/>
        <v>0.249272333756352</v>
      </c>
      <c r="BH33" s="20">
        <f t="shared" si="36"/>
        <v>0.0392666119362111</v>
      </c>
      <c r="BI33" s="20">
        <f t="shared" si="37"/>
        <v>0</v>
      </c>
      <c r="BJ33" s="20">
        <f t="shared" si="38"/>
        <v>0.0401522501679288</v>
      </c>
      <c r="BK33" s="20">
        <f t="shared" ref="BK33:BO33" si="181">IF(OR($AD33=0),"",AZ33/$AD33)</f>
        <v>0.060701047341836</v>
      </c>
      <c r="BL33" s="20">
        <f t="shared" si="181"/>
        <v>0.0487598577008017</v>
      </c>
      <c r="BM33" s="20">
        <f t="shared" si="181"/>
        <v>0.00270666965196234</v>
      </c>
      <c r="BN33" s="20">
        <f t="shared" si="181"/>
        <v>0.00710500783640223</v>
      </c>
      <c r="BO33" s="20">
        <f t="shared" si="181"/>
        <v>0.0505808891212097</v>
      </c>
    </row>
    <row r="34" spans="1:67">
      <c r="A34" s="25">
        <v>43708</v>
      </c>
      <c r="B34" s="7">
        <v>18744.4</v>
      </c>
      <c r="C34" s="8">
        <v>97523.6</v>
      </c>
      <c r="D34" s="8">
        <v>67259.9</v>
      </c>
      <c r="E34" s="8">
        <v>67339.9</v>
      </c>
      <c r="F34" s="8">
        <v>9449.86</v>
      </c>
      <c r="G34" s="8">
        <v>123512.9</v>
      </c>
      <c r="H34" s="8">
        <v>5709.7</v>
      </c>
      <c r="I34" s="8">
        <v>2566.3</v>
      </c>
      <c r="J34" s="8">
        <v>967</v>
      </c>
      <c r="K34" s="8">
        <v>56</v>
      </c>
      <c r="L34" s="8">
        <v>101133.1</v>
      </c>
      <c r="M34" s="8">
        <v>61530.4</v>
      </c>
      <c r="N34" s="8">
        <v>83744.8</v>
      </c>
      <c r="O34" s="8">
        <v>111514.8</v>
      </c>
      <c r="P34" s="8">
        <v>6339.9</v>
      </c>
      <c r="Q34" s="8">
        <v>8560.8</v>
      </c>
      <c r="R34" s="8">
        <v>5096.4</v>
      </c>
      <c r="S34" s="8">
        <v>6321.9</v>
      </c>
      <c r="T34" s="8">
        <v>8132.8</v>
      </c>
      <c r="U34" s="8">
        <v>19168.3</v>
      </c>
      <c r="V34" s="8">
        <v>54899.1</v>
      </c>
      <c r="W34" s="8">
        <v>58956.7</v>
      </c>
      <c r="X34" s="8">
        <v>6338.1</v>
      </c>
      <c r="Y34" s="8">
        <v>6411.5</v>
      </c>
      <c r="Z34" s="15">
        <f t="shared" si="21"/>
        <v>71706.3</v>
      </c>
      <c r="AA34" s="8">
        <v>6351.5</v>
      </c>
      <c r="AB34" s="13">
        <v>9040</v>
      </c>
      <c r="AC34" s="7">
        <f t="shared" si="22"/>
        <v>15391.5</v>
      </c>
      <c r="AD34" s="16">
        <v>205207</v>
      </c>
      <c r="AE34" s="17">
        <f t="shared" ref="AE34:AI34" si="182">IF(OR(C35=""),"",(C35-C34)*80)</f>
        <v>0</v>
      </c>
      <c r="AF34" s="17">
        <f t="shared" si="182"/>
        <v>2960</v>
      </c>
      <c r="AG34" s="17">
        <f t="shared" si="182"/>
        <v>2976.00000000093</v>
      </c>
      <c r="AH34" s="17">
        <f t="shared" si="182"/>
        <v>3.19999999992433</v>
      </c>
      <c r="AI34" s="17">
        <f t="shared" si="182"/>
        <v>2520</v>
      </c>
      <c r="AJ34" s="17">
        <f t="shared" si="24"/>
        <v>8459.20000000086</v>
      </c>
      <c r="AK34" s="17">
        <f t="shared" ref="AK34:AN34" si="183">IF(OR(H35=""),"",(H35-H34)*80)</f>
        <v>0</v>
      </c>
      <c r="AL34" s="17">
        <f t="shared" si="183"/>
        <v>0</v>
      </c>
      <c r="AM34" s="17">
        <f t="shared" si="183"/>
        <v>0</v>
      </c>
      <c r="AN34" s="17">
        <f t="shared" si="183"/>
        <v>0</v>
      </c>
      <c r="AO34" s="17">
        <f t="shared" si="26"/>
        <v>0</v>
      </c>
      <c r="AP34" s="17">
        <f t="shared" ref="AP34:AS34" si="184">IF(OR(L35=""),"",(L35-L34)*100)</f>
        <v>2900</v>
      </c>
      <c r="AQ34" s="17">
        <f t="shared" si="184"/>
        <v>0</v>
      </c>
      <c r="AR34" s="17">
        <f t="shared" si="184"/>
        <v>2919.99999999971</v>
      </c>
      <c r="AS34" s="17">
        <f t="shared" si="184"/>
        <v>2300</v>
      </c>
      <c r="AT34" s="17">
        <f t="shared" si="28"/>
        <v>8119.99999999971</v>
      </c>
      <c r="AU34" s="17">
        <f t="shared" ref="AU34:AY34" si="185">IF(OR(P35=""),"",(P35-P34)*1000)</f>
        <v>0</v>
      </c>
      <c r="AV34" s="17">
        <f t="shared" si="185"/>
        <v>6500</v>
      </c>
      <c r="AW34" s="17">
        <f t="shared" si="185"/>
        <v>4900.00000000055</v>
      </c>
      <c r="AX34" s="17">
        <f t="shared" si="185"/>
        <v>0</v>
      </c>
      <c r="AY34" s="17">
        <f t="shared" si="185"/>
        <v>0</v>
      </c>
      <c r="AZ34" s="17">
        <f t="shared" si="30"/>
        <v>11400.0000000005</v>
      </c>
      <c r="BA34" s="17">
        <f t="shared" si="31"/>
        <v>10000</v>
      </c>
      <c r="BB34" s="17">
        <f t="shared" si="32"/>
        <v>600</v>
      </c>
      <c r="BC34" s="17">
        <f t="shared" si="44"/>
        <v>1424.00000000023</v>
      </c>
      <c r="BD34" s="17">
        <f t="shared" si="33"/>
        <v>11296.7999999725</v>
      </c>
      <c r="BE34" s="17">
        <f t="shared" si="34"/>
        <v>51299.9999999738</v>
      </c>
      <c r="BF34" s="17">
        <f t="shared" si="45"/>
        <v>51.8999999999996</v>
      </c>
      <c r="BG34" s="20">
        <f t="shared" si="35"/>
        <v>0.24999147202568</v>
      </c>
      <c r="BH34" s="20">
        <f t="shared" si="36"/>
        <v>0.0412227653052813</v>
      </c>
      <c r="BI34" s="20">
        <f t="shared" si="37"/>
        <v>0</v>
      </c>
      <c r="BJ34" s="20">
        <f t="shared" si="38"/>
        <v>0.0395698002504774</v>
      </c>
      <c r="BK34" s="20">
        <f t="shared" ref="BK34:BO34" si="186">IF(OR($AD34=0),"",AZ34/$AD34)</f>
        <v>0.0555536604501822</v>
      </c>
      <c r="BL34" s="20">
        <f t="shared" si="186"/>
        <v>0.0487312810966488</v>
      </c>
      <c r="BM34" s="20">
        <f t="shared" si="186"/>
        <v>0.00292387686579892</v>
      </c>
      <c r="BN34" s="20">
        <f t="shared" si="186"/>
        <v>0.00693933442816392</v>
      </c>
      <c r="BO34" s="20">
        <f t="shared" si="186"/>
        <v>0.055050753629128</v>
      </c>
    </row>
    <row r="35" spans="1:67">
      <c r="A35" s="25">
        <v>43709</v>
      </c>
      <c r="B35" s="10">
        <v>18749.53</v>
      </c>
      <c r="C35" s="11">
        <v>97523.6</v>
      </c>
      <c r="D35" s="11">
        <v>67296.9</v>
      </c>
      <c r="E35" s="11">
        <v>67377.1</v>
      </c>
      <c r="F35" s="11">
        <v>9449.9</v>
      </c>
      <c r="G35" s="11">
        <v>123544.4</v>
      </c>
      <c r="H35" s="8">
        <v>5709.7</v>
      </c>
      <c r="I35" s="8">
        <v>2566.3</v>
      </c>
      <c r="J35" s="8">
        <v>967</v>
      </c>
      <c r="K35" s="8">
        <v>56</v>
      </c>
      <c r="L35" s="11">
        <v>101162.1</v>
      </c>
      <c r="M35" s="11">
        <v>61530.4</v>
      </c>
      <c r="N35" s="11">
        <v>83774</v>
      </c>
      <c r="O35" s="11">
        <v>111537.8</v>
      </c>
      <c r="P35" s="11">
        <v>6339.9</v>
      </c>
      <c r="Q35" s="11">
        <v>8567.3</v>
      </c>
      <c r="R35" s="11">
        <v>5101.3</v>
      </c>
      <c r="S35" s="11">
        <v>6321.9</v>
      </c>
      <c r="T35" s="11">
        <v>8132.8</v>
      </c>
      <c r="U35" s="11">
        <v>19173.3</v>
      </c>
      <c r="V35" s="11">
        <v>54906.6</v>
      </c>
      <c r="W35" s="11">
        <v>58973.3</v>
      </c>
      <c r="X35" s="11">
        <v>6346.6</v>
      </c>
      <c r="Y35" s="11">
        <v>6422</v>
      </c>
      <c r="Z35" s="15">
        <f t="shared" si="21"/>
        <v>71741.9</v>
      </c>
      <c r="AA35" s="11">
        <v>6397.4</v>
      </c>
      <c r="AB35" s="3">
        <v>9046</v>
      </c>
      <c r="AC35" s="3">
        <f t="shared" si="22"/>
        <v>15443.4</v>
      </c>
      <c r="BE35" s="21" t="s">
        <v>44</v>
      </c>
      <c r="BF35" s="21" t="s">
        <v>19</v>
      </c>
      <c r="BG35" s="22">
        <f>SUM(BE4:BE34)</f>
        <v>1569699.99999998</v>
      </c>
      <c r="BH35" s="22">
        <f>SUM(AJ4:AJ34)</f>
        <v>229467.2</v>
      </c>
      <c r="BI35" s="22">
        <f>SUM(AO4:AO34)</f>
        <v>0</v>
      </c>
      <c r="BJ35" s="22">
        <f>SUM(AT4:AT34)</f>
        <v>224280.000000001</v>
      </c>
      <c r="BK35" s="22">
        <f t="shared" ref="BK35:BO35" si="187">SUM(AZ4:AZ34)</f>
        <v>332499.999999998</v>
      </c>
      <c r="BL35" s="22">
        <f t="shared" si="187"/>
        <v>276799.999999996</v>
      </c>
      <c r="BM35" s="22">
        <f t="shared" si="187"/>
        <v>23503.9999999997</v>
      </c>
      <c r="BN35" s="22">
        <f t="shared" si="187"/>
        <v>44071.9999999995</v>
      </c>
      <c r="BO35" s="22">
        <f t="shared" si="187"/>
        <v>439076.799999982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5662415</v>
      </c>
      <c r="BF36" s="21" t="s">
        <v>21</v>
      </c>
      <c r="BG36" s="23">
        <f>IF(OR(BG35=0),"",ROUND(BG35/$BE$36,3))</f>
        <v>0.277</v>
      </c>
      <c r="BH36" s="23">
        <f t="shared" ref="BH36:BO36" si="188">IF(OR(BH35=0),"",ROUND(BH35/$BE$36,4))</f>
        <v>0.0405</v>
      </c>
      <c r="BI36" s="23" t="str">
        <f t="shared" si="188"/>
        <v/>
      </c>
      <c r="BJ36" s="23">
        <f t="shared" si="188"/>
        <v>0.0396</v>
      </c>
      <c r="BK36" s="23">
        <f t="shared" si="188"/>
        <v>0.0587</v>
      </c>
      <c r="BL36" s="23">
        <f t="shared" si="188"/>
        <v>0.0489</v>
      </c>
      <c r="BM36" s="23">
        <f t="shared" si="188"/>
        <v>0.0042</v>
      </c>
      <c r="BN36" s="23">
        <f t="shared" si="188"/>
        <v>0.0078</v>
      </c>
      <c r="BO36" s="23">
        <f t="shared" si="188"/>
        <v>0.0775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110" zoomScaleNormal="110" workbookViewId="0">
      <pane xSplit="1" ySplit="3" topLeftCell="AL10" activePane="bottomRight" state="frozen"/>
      <selection/>
      <selection pane="topRight"/>
      <selection pane="bottomLeft"/>
      <selection pane="bottomRight" activeCell="BF23" sqref="BF23"/>
    </sheetView>
  </sheetViews>
  <sheetFormatPr defaultColWidth="9" defaultRowHeight="14.25"/>
  <cols>
    <col min="1" max="1" width="7.775" style="1" customWidth="1"/>
    <col min="2" max="2" width="9.21666666666667" style="2" customWidth="1"/>
    <col min="3" max="3" width="9.21666666666667" style="3" customWidth="1"/>
    <col min="4" max="4" width="10.2166666666667" style="3" customWidth="1"/>
    <col min="5" max="5" width="9.44166666666667" style="3" customWidth="1"/>
    <col min="6" max="6" width="7.44166666666667" style="3" customWidth="1"/>
    <col min="7" max="7" width="9.44166666666667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9" style="3" customWidth="1"/>
    <col min="13" max="13" width="9.21666666666667" style="3" customWidth="1"/>
    <col min="14" max="14" width="9.10833333333333" style="3" customWidth="1"/>
    <col min="15" max="15" width="10.4416666666667" style="3" customWidth="1"/>
    <col min="16" max="16" width="7.88333333333333" style="3" customWidth="1"/>
    <col min="17" max="17" width="8.10833333333333" style="3" customWidth="1"/>
    <col min="18" max="18" width="8.33333333333333" style="3" customWidth="1"/>
    <col min="19" max="19" width="8" style="3" customWidth="1"/>
    <col min="20" max="20" width="8.21666666666667" style="3" customWidth="1"/>
    <col min="21" max="21" width="9.10833333333333" style="3" customWidth="1"/>
    <col min="22" max="22" width="9" style="3" customWidth="1"/>
    <col min="23" max="23" width="9.44166666666667" style="3" customWidth="1"/>
    <col min="24" max="24" width="7.44166666666667" style="3" customWidth="1"/>
    <col min="25" max="25" width="8.21666666666667" style="3" customWidth="1"/>
    <col min="26" max="26" width="9.775" style="3" customWidth="1"/>
    <col min="27" max="28" width="7.44166666666667" style="3" customWidth="1"/>
    <col min="29" max="29" width="8.66666666666667" style="3" customWidth="1"/>
    <col min="30" max="30" width="8" style="3" customWidth="1"/>
    <col min="31" max="31" width="4" style="1" customWidth="1"/>
    <col min="32" max="32" width="6.10833333333333" style="1" customWidth="1"/>
    <col min="33" max="34" width="5.88333333333333" style="1" customWidth="1"/>
    <col min="35" max="35" width="5.44166666666667" style="1" customWidth="1"/>
    <col min="36" max="36" width="6.775" style="1" customWidth="1"/>
    <col min="37" max="40" width="4" style="1" customWidth="1"/>
    <col min="41" max="42" width="6.66666666666667" style="1" customWidth="1"/>
    <col min="43" max="43" width="4" style="1" customWidth="1"/>
    <col min="44" max="44" width="6" style="1" customWidth="1"/>
    <col min="45" max="45" width="5.775" style="1" customWidth="1"/>
    <col min="46" max="46" width="6.66666666666667" style="1" customWidth="1"/>
    <col min="47" max="50" width="5.44166666666667" style="1" customWidth="1"/>
    <col min="51" max="51" width="8.775" style="1" customWidth="1"/>
    <col min="52" max="52" width="8.44166666666667" style="1" customWidth="1"/>
    <col min="53" max="55" width="6.66666666666667" style="1" customWidth="1"/>
    <col min="56" max="56" width="8.10833333333333" style="1" customWidth="1"/>
    <col min="57" max="57" width="7" style="1" customWidth="1"/>
    <col min="58" max="58" width="6.66666666666667" style="1" customWidth="1"/>
    <col min="59" max="59" width="8.44166666666667" style="1" customWidth="1"/>
    <col min="60" max="60" width="6.66666666666667" style="1" customWidth="1"/>
    <col min="61" max="61" width="7" style="1" customWidth="1"/>
    <col min="62" max="62" width="7.775" style="1" customWidth="1"/>
    <col min="63" max="63" width="8" style="1" customWidth="1"/>
    <col min="64" max="64" width="7.21666666666667" style="1" customWidth="1"/>
    <col min="65" max="65" width="6.66666666666667" style="1" customWidth="1"/>
    <col min="66" max="66" width="7.44166666666667" style="1" customWidth="1"/>
    <col min="67" max="67" width="6.66666666666667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'8'!A35</f>
        <v>43709</v>
      </c>
      <c r="B4" s="10">
        <v>18749.53</v>
      </c>
      <c r="C4" s="11">
        <v>97523.6</v>
      </c>
      <c r="D4" s="11">
        <v>67296.9</v>
      </c>
      <c r="E4" s="11">
        <v>67377.1</v>
      </c>
      <c r="F4" s="11">
        <v>9449.9</v>
      </c>
      <c r="G4" s="11">
        <v>123544.4</v>
      </c>
      <c r="H4" s="8">
        <v>5709.7</v>
      </c>
      <c r="I4" s="8">
        <v>2566.3</v>
      </c>
      <c r="J4" s="8">
        <v>967</v>
      </c>
      <c r="K4" s="8">
        <v>56</v>
      </c>
      <c r="L4" s="11">
        <v>101162.1</v>
      </c>
      <c r="M4" s="11">
        <v>61530.4</v>
      </c>
      <c r="N4" s="11">
        <v>83774</v>
      </c>
      <c r="O4" s="11">
        <v>111537.8</v>
      </c>
      <c r="P4" s="11">
        <v>6339.9</v>
      </c>
      <c r="Q4" s="11">
        <v>8567.3</v>
      </c>
      <c r="R4" s="11">
        <v>5101.3</v>
      </c>
      <c r="S4" s="11">
        <v>6321.9</v>
      </c>
      <c r="T4" s="11">
        <v>8132.8</v>
      </c>
      <c r="U4" s="11">
        <v>19173.3</v>
      </c>
      <c r="V4" s="11">
        <v>54906.6</v>
      </c>
      <c r="W4" s="11">
        <v>58973.3</v>
      </c>
      <c r="X4" s="11">
        <v>6346.6</v>
      </c>
      <c r="Y4" s="11">
        <v>6422</v>
      </c>
      <c r="Z4" s="15">
        <f t="shared" ref="Z4" si="0">IF(OR(W4=""),"",(W4+X4+Y4))</f>
        <v>71741.9</v>
      </c>
      <c r="AA4" s="11">
        <v>6397.4</v>
      </c>
      <c r="AB4" s="13">
        <v>9046</v>
      </c>
      <c r="AC4" s="7">
        <f t="shared" ref="AC4:AC34" si="1">IF(OR(AA4=""),"",(AA4+AB4))</f>
        <v>15443.4</v>
      </c>
      <c r="AD4" s="16">
        <v>203204</v>
      </c>
      <c r="AE4" s="17">
        <f t="shared" ref="AE4:AI4" si="2">IF(OR(C5=""),"",(C5-C4)*80)</f>
        <v>0</v>
      </c>
      <c r="AF4" s="17">
        <f t="shared" si="2"/>
        <v>848.000000000466</v>
      </c>
      <c r="AG4" s="17">
        <f t="shared" si="2"/>
        <v>2303.99999999907</v>
      </c>
      <c r="AH4" s="17">
        <f t="shared" si="2"/>
        <v>1568.00000000003</v>
      </c>
      <c r="AI4" s="17">
        <f t="shared" si="2"/>
        <v>2552.0000000007</v>
      </c>
      <c r="AJ4" s="17">
        <f t="shared" ref="AJ4:AJ34" si="3">IF(OR(AE4="",AF4="",AG4=""),"",AE4+AF4+AG4+AH4+AI4)</f>
        <v>7272.00000000026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:AO34" si="5">IF(OR(AK4="",AL4=""),"",AK4+AL4+AM4+AN4)</f>
        <v>0</v>
      </c>
      <c r="AP4" s="17">
        <f t="shared" ref="AP4:AS4" si="6">IF(OR(L5=""),"",(L5-L4)*100)</f>
        <v>3000</v>
      </c>
      <c r="AQ4" s="17">
        <f t="shared" si="6"/>
        <v>0</v>
      </c>
      <c r="AR4" s="17">
        <f t="shared" si="6"/>
        <v>2939.99999999942</v>
      </c>
      <c r="AS4" s="17">
        <f t="shared" si="6"/>
        <v>2350</v>
      </c>
      <c r="AT4" s="17">
        <f t="shared" ref="AT4:AT34" si="7">IF(OR(AP4="",AQ4=""),"",AP4+AQ4+AR4+AS4)</f>
        <v>8289.99999999942</v>
      </c>
      <c r="AU4" s="17">
        <f t="shared" ref="AU4:AY4" si="8">IF(OR(P5=""),"",(P5-P4)*1000)</f>
        <v>0</v>
      </c>
      <c r="AV4" s="17">
        <f t="shared" si="8"/>
        <v>1800.00000000109</v>
      </c>
      <c r="AW4" s="17">
        <f t="shared" si="8"/>
        <v>4199.99999999982</v>
      </c>
      <c r="AX4" s="17">
        <f t="shared" si="8"/>
        <v>0</v>
      </c>
      <c r="AY4" s="17">
        <f t="shared" si="8"/>
        <v>6599.99999999945</v>
      </c>
      <c r="AZ4" s="17">
        <f t="shared" ref="AZ4:AZ34" si="9">IF(OR(AU4="",AV4="",AW4=""),"",AU4+AV4+AW4+AX4+AY4)</f>
        <v>12600.0000000004</v>
      </c>
      <c r="BA4" s="17">
        <f t="shared" ref="BA4:BA34" si="10">IF(OR(U5=""),"",(U5-U4)*2000)</f>
        <v>10200.0000000044</v>
      </c>
      <c r="BB4" s="17">
        <f t="shared" ref="BB4:BB34" si="11">IF(OR(V5=""),"",(V5-V4)*80)</f>
        <v>552.000000000116</v>
      </c>
      <c r="BC4" s="17">
        <f>IF(OR(Z5=""),"",(Z5-Z4)*40)</f>
        <v>1420</v>
      </c>
      <c r="BD4" s="17">
        <f t="shared" ref="BD4:BD34" si="12">IF(OR(BE4="",BC4=""),"",BE4-BC4-BB4-BA4-AZ4-AT4-AO4-AJ4)</f>
        <v>11366.0000000144</v>
      </c>
      <c r="BE4" s="17">
        <f t="shared" ref="BE4:BE34" si="13">IF(OR(B5=""),"",(B5-B4)*10000)</f>
        <v>51700.0000000189</v>
      </c>
      <c r="BF4" s="17">
        <f t="shared" ref="BF4:BF34" si="14">IF(OR(AC5=""),"",AC5-AC4)</f>
        <v>50.7000000000007</v>
      </c>
      <c r="BG4" s="20">
        <f t="shared" ref="BG4:BG34" si="15">IF(OR($AD4=0),"",BE4/$AD4)</f>
        <v>0.254424125509433</v>
      </c>
      <c r="BH4" s="20">
        <f t="shared" ref="BH4:BH34" si="16">IF(OR($AD4=0),"",AJ4/$AD4)</f>
        <v>0.0357866971122629</v>
      </c>
      <c r="BI4" s="20">
        <f t="shared" ref="BI4:BI34" si="17">IF(OR($AD4=0),"",AO4/$AD4)</f>
        <v>0</v>
      </c>
      <c r="BJ4" s="20">
        <f t="shared" ref="BJ4:BJ34" si="18">IF(OR($AD4=0),"",AT4/$AD4)</f>
        <v>0.0407964410149378</v>
      </c>
      <c r="BK4" s="20">
        <f t="shared" ref="BK4:BO4" si="19">IF(OR($AD4=0),"",AZ4/$AD4)</f>
        <v>0.0620066534123362</v>
      </c>
      <c r="BL4" s="20">
        <f t="shared" si="19"/>
        <v>0.050195862286197</v>
      </c>
      <c r="BM4" s="20">
        <f t="shared" si="19"/>
        <v>0.00271648195901713</v>
      </c>
      <c r="BN4" s="20">
        <f t="shared" si="19"/>
        <v>0.0069880514163107</v>
      </c>
      <c r="BO4" s="20">
        <f t="shared" si="19"/>
        <v>0.0559339383083718</v>
      </c>
    </row>
    <row r="5" spans="1:67">
      <c r="A5" s="9">
        <f t="shared" ref="A5:A34" si="20">A4+1</f>
        <v>43710</v>
      </c>
      <c r="B5" s="10">
        <v>18754.7</v>
      </c>
      <c r="C5" s="8">
        <v>97523.6</v>
      </c>
      <c r="D5" s="8">
        <v>67307.5</v>
      </c>
      <c r="E5" s="8">
        <v>67405.9</v>
      </c>
      <c r="F5" s="8">
        <v>9469.5</v>
      </c>
      <c r="G5" s="8">
        <v>123576.3</v>
      </c>
      <c r="H5" s="8">
        <v>5709.7</v>
      </c>
      <c r="I5" s="8">
        <v>2566.3</v>
      </c>
      <c r="J5" s="8">
        <v>967</v>
      </c>
      <c r="K5" s="8">
        <v>56</v>
      </c>
      <c r="L5" s="8">
        <v>101192.1</v>
      </c>
      <c r="M5" s="8">
        <v>61530.4</v>
      </c>
      <c r="N5" s="8">
        <v>83803.4</v>
      </c>
      <c r="O5" s="8">
        <v>111561.3</v>
      </c>
      <c r="P5" s="8">
        <v>6339.9</v>
      </c>
      <c r="Q5" s="8">
        <v>8569.1</v>
      </c>
      <c r="R5" s="8">
        <v>5105.5</v>
      </c>
      <c r="S5" s="11">
        <v>6321.9</v>
      </c>
      <c r="T5" s="8">
        <v>8139.4</v>
      </c>
      <c r="U5" s="8">
        <v>19178.4</v>
      </c>
      <c r="V5" s="8">
        <v>54913.5</v>
      </c>
      <c r="W5" s="8">
        <v>58989.8</v>
      </c>
      <c r="X5" s="8">
        <v>6355.1</v>
      </c>
      <c r="Y5" s="8">
        <v>6432.5</v>
      </c>
      <c r="Z5" s="15">
        <f t="shared" ref="Z5:Z35" si="21">IF(OR(W5=""),"",(W5+X5+Y5))</f>
        <v>71777.4</v>
      </c>
      <c r="AA5" s="8">
        <v>6443.1</v>
      </c>
      <c r="AB5" s="13">
        <v>9051</v>
      </c>
      <c r="AC5" s="7">
        <f t="shared" si="1"/>
        <v>15494.1</v>
      </c>
      <c r="AD5" s="16">
        <v>186425</v>
      </c>
      <c r="AE5" s="17">
        <f t="shared" ref="AE5:AI5" si="22">IF(OR(C6=""),"",(C6-C5)*80)</f>
        <v>0</v>
      </c>
      <c r="AF5" s="17">
        <f t="shared" si="22"/>
        <v>3008.00000000047</v>
      </c>
      <c r="AG5" s="17">
        <f t="shared" si="22"/>
        <v>3008.00000000047</v>
      </c>
      <c r="AH5" s="17">
        <f t="shared" si="22"/>
        <v>2160</v>
      </c>
      <c r="AI5" s="17">
        <f t="shared" si="22"/>
        <v>2384.00000000023</v>
      </c>
      <c r="AJ5" s="17">
        <f t="shared" si="3"/>
        <v>10560.0000000012</v>
      </c>
      <c r="AK5" s="17">
        <f t="shared" ref="AK5:AN5" si="23">IF(OR(H6=""),"",(H6-H5)*80)</f>
        <v>0</v>
      </c>
      <c r="AL5" s="17">
        <f t="shared" si="23"/>
        <v>0</v>
      </c>
      <c r="AM5" s="17">
        <f t="shared" si="23"/>
        <v>0</v>
      </c>
      <c r="AN5" s="17">
        <f t="shared" si="23"/>
        <v>0</v>
      </c>
      <c r="AO5" s="17">
        <f t="shared" si="5"/>
        <v>0</v>
      </c>
      <c r="AP5" s="17">
        <f t="shared" ref="AP5:AS5" si="24">IF(OR(L6=""),"",(L6-L5)*100)</f>
        <v>2079.99999999884</v>
      </c>
      <c r="AQ5" s="17">
        <f t="shared" si="24"/>
        <v>0</v>
      </c>
      <c r="AR5" s="17">
        <f t="shared" si="24"/>
        <v>2960.00000000058</v>
      </c>
      <c r="AS5" s="17">
        <f t="shared" si="24"/>
        <v>2359.99999999913</v>
      </c>
      <c r="AT5" s="17">
        <f t="shared" si="7"/>
        <v>7399.99999999854</v>
      </c>
      <c r="AU5" s="17">
        <f t="shared" ref="AU5:AY5" si="25">IF(OR(P6=""),"",(P6-P5)*1000)</f>
        <v>0</v>
      </c>
      <c r="AV5" s="17">
        <f t="shared" si="25"/>
        <v>6699.99999999891</v>
      </c>
      <c r="AW5" s="17">
        <f t="shared" si="25"/>
        <v>0</v>
      </c>
      <c r="AX5" s="17">
        <f t="shared" si="25"/>
        <v>0</v>
      </c>
      <c r="AY5" s="17">
        <f t="shared" si="25"/>
        <v>9500</v>
      </c>
      <c r="AZ5" s="17">
        <f t="shared" si="9"/>
        <v>16199.9999999989</v>
      </c>
      <c r="BA5" s="17">
        <f t="shared" si="10"/>
        <v>8799.99999999563</v>
      </c>
      <c r="BB5" s="17">
        <f t="shared" si="11"/>
        <v>607.999999999884</v>
      </c>
      <c r="BC5" s="17">
        <f t="shared" ref="BC5:BC6" si="26">IF(OR(Z6=""),"",(Z6-Z5)*40)</f>
        <v>1448.00000000047</v>
      </c>
      <c r="BD5" s="17">
        <f t="shared" si="12"/>
        <v>4583.99999999667</v>
      </c>
      <c r="BE5" s="17">
        <f t="shared" si="13"/>
        <v>49599.9999999913</v>
      </c>
      <c r="BF5" s="17">
        <f t="shared" si="14"/>
        <v>52.1000000000004</v>
      </c>
      <c r="BG5" s="20">
        <f t="shared" si="15"/>
        <v>0.266058736757362</v>
      </c>
      <c r="BH5" s="20">
        <f t="shared" si="16"/>
        <v>0.0566447633096482</v>
      </c>
      <c r="BI5" s="20">
        <f t="shared" si="17"/>
        <v>0</v>
      </c>
      <c r="BJ5" s="20">
        <f t="shared" si="18"/>
        <v>0.0396942470162186</v>
      </c>
      <c r="BK5" s="20">
        <f t="shared" ref="BK5:BO5" si="27">IF(OR($AD5=0),"",AZ5/$AD5)</f>
        <v>0.0868982164409221</v>
      </c>
      <c r="BL5" s="20">
        <f t="shared" si="27"/>
        <v>0.0472039694246782</v>
      </c>
      <c r="BM5" s="20">
        <f t="shared" si="27"/>
        <v>0.00326136516025149</v>
      </c>
      <c r="BN5" s="20">
        <f t="shared" si="27"/>
        <v>0.00776719860533976</v>
      </c>
      <c r="BO5" s="20">
        <f t="shared" si="27"/>
        <v>0.024588976800304</v>
      </c>
    </row>
    <row r="6" spans="1:67">
      <c r="A6" s="9">
        <f t="shared" si="20"/>
        <v>43711</v>
      </c>
      <c r="B6" s="10">
        <v>18759.66</v>
      </c>
      <c r="C6" s="8">
        <v>97523.6</v>
      </c>
      <c r="D6" s="8">
        <v>67345.1</v>
      </c>
      <c r="E6" s="8">
        <v>67443.5</v>
      </c>
      <c r="F6" s="8">
        <v>9496.5</v>
      </c>
      <c r="G6" s="8">
        <v>123606.1</v>
      </c>
      <c r="H6" s="8">
        <v>5709.7</v>
      </c>
      <c r="I6" s="8">
        <v>2566.3</v>
      </c>
      <c r="J6" s="8">
        <v>967</v>
      </c>
      <c r="K6" s="8">
        <v>56</v>
      </c>
      <c r="L6" s="8">
        <v>101212.9</v>
      </c>
      <c r="M6" s="8">
        <v>61530.4</v>
      </c>
      <c r="N6" s="8">
        <v>83833</v>
      </c>
      <c r="O6" s="8">
        <v>111584.9</v>
      </c>
      <c r="P6" s="8">
        <v>6339.9</v>
      </c>
      <c r="Q6" s="8">
        <v>8575.8</v>
      </c>
      <c r="R6" s="8">
        <v>5105.5</v>
      </c>
      <c r="S6" s="8">
        <v>6321.9</v>
      </c>
      <c r="T6" s="8">
        <v>8148.9</v>
      </c>
      <c r="U6" s="8">
        <v>19182.8</v>
      </c>
      <c r="V6" s="8">
        <v>54921.1</v>
      </c>
      <c r="W6" s="8">
        <v>59006.4</v>
      </c>
      <c r="X6" s="8">
        <v>6363.8</v>
      </c>
      <c r="Y6" s="8">
        <v>6443.4</v>
      </c>
      <c r="Z6" s="15">
        <f t="shared" si="21"/>
        <v>71813.6</v>
      </c>
      <c r="AA6" s="8">
        <v>6489.2</v>
      </c>
      <c r="AB6" s="13">
        <v>9057</v>
      </c>
      <c r="AC6" s="7">
        <f t="shared" si="1"/>
        <v>15546.2</v>
      </c>
      <c r="AD6" s="16">
        <v>201304</v>
      </c>
      <c r="AE6" s="17">
        <f t="shared" ref="AE6:AI6" si="28">IF(OR(C7=""),"",(C7-C6)*80)</f>
        <v>0</v>
      </c>
      <c r="AF6" s="17">
        <f t="shared" si="28"/>
        <v>80</v>
      </c>
      <c r="AG6" s="17">
        <f t="shared" si="28"/>
        <v>2855.99999999977</v>
      </c>
      <c r="AH6" s="17">
        <f t="shared" si="28"/>
        <v>188.800000000047</v>
      </c>
      <c r="AI6" s="17">
        <f t="shared" si="28"/>
        <v>2640</v>
      </c>
      <c r="AJ6" s="17">
        <f t="shared" si="3"/>
        <v>5764.79999999981</v>
      </c>
      <c r="AK6" s="17">
        <f t="shared" ref="AK6:AN6" si="29">IF(OR(H7=""),"",(H7-H6)*80)</f>
        <v>0</v>
      </c>
      <c r="AL6" s="17">
        <f t="shared" si="29"/>
        <v>0</v>
      </c>
      <c r="AM6" s="17">
        <f t="shared" si="29"/>
        <v>0</v>
      </c>
      <c r="AN6" s="17">
        <f t="shared" si="29"/>
        <v>0</v>
      </c>
      <c r="AO6" s="17">
        <f t="shared" si="5"/>
        <v>0</v>
      </c>
      <c r="AP6" s="17">
        <f t="shared" ref="AP6:AS6" si="30">IF(OR(L7=""),"",(L7-L6)*100)</f>
        <v>3000</v>
      </c>
      <c r="AQ6" s="17">
        <f t="shared" si="30"/>
        <v>9.99999999985448</v>
      </c>
      <c r="AR6" s="17">
        <f t="shared" si="30"/>
        <v>2939.99999999942</v>
      </c>
      <c r="AS6" s="17">
        <f t="shared" si="30"/>
        <v>2340.00000000087</v>
      </c>
      <c r="AT6" s="17">
        <f t="shared" si="7"/>
        <v>8290.00000000015</v>
      </c>
      <c r="AU6" s="17">
        <f t="shared" ref="AU6:AY6" si="31">IF(OR(P7=""),"",(P7-P6)*1000)</f>
        <v>0</v>
      </c>
      <c r="AV6" s="17">
        <f t="shared" si="31"/>
        <v>6800.00000000109</v>
      </c>
      <c r="AW6" s="17">
        <f t="shared" si="31"/>
        <v>0</v>
      </c>
      <c r="AX6" s="17">
        <f t="shared" si="31"/>
        <v>0</v>
      </c>
      <c r="AY6" s="17">
        <f t="shared" si="31"/>
        <v>9600.00000000036</v>
      </c>
      <c r="AZ6" s="17">
        <f t="shared" si="9"/>
        <v>16400.0000000015</v>
      </c>
      <c r="BA6" s="17">
        <f t="shared" si="10"/>
        <v>10200.0000000044</v>
      </c>
      <c r="BB6" s="17">
        <f t="shared" si="11"/>
        <v>584.000000000233</v>
      </c>
      <c r="BC6" s="17">
        <f t="shared" si="26"/>
        <v>1447.99999999988</v>
      </c>
      <c r="BD6" s="17">
        <f t="shared" si="12"/>
        <v>8313.19999997955</v>
      </c>
      <c r="BE6" s="17">
        <f t="shared" si="13"/>
        <v>50999.9999999854</v>
      </c>
      <c r="BF6" s="17">
        <f t="shared" si="14"/>
        <v>54.5</v>
      </c>
      <c r="BG6" s="20">
        <f t="shared" si="15"/>
        <v>0.253348169931971</v>
      </c>
      <c r="BH6" s="20">
        <f t="shared" si="16"/>
        <v>0.0286372849024352</v>
      </c>
      <c r="BI6" s="20">
        <f t="shared" si="17"/>
        <v>0</v>
      </c>
      <c r="BJ6" s="20">
        <f t="shared" si="18"/>
        <v>0.0411814966418956</v>
      </c>
      <c r="BK6" s="20">
        <f t="shared" ref="BK6:BO6" si="32">IF(OR($AD6=0),"",AZ6/$AD6)</f>
        <v>0.0814688232722721</v>
      </c>
      <c r="BL6" s="20">
        <f t="shared" si="32"/>
        <v>0.0506696339864303</v>
      </c>
      <c r="BM6" s="20">
        <f t="shared" si="32"/>
        <v>0.00290108492628181</v>
      </c>
      <c r="BN6" s="20">
        <f t="shared" si="32"/>
        <v>0.00719310098159939</v>
      </c>
      <c r="BO6" s="20">
        <f t="shared" si="32"/>
        <v>0.0412967452210565</v>
      </c>
    </row>
    <row r="7" spans="1:67">
      <c r="A7" s="9">
        <f t="shared" si="20"/>
        <v>43712</v>
      </c>
      <c r="B7" s="10">
        <v>18764.76</v>
      </c>
      <c r="C7" s="8">
        <v>97523.6</v>
      </c>
      <c r="D7" s="8">
        <v>67346.1</v>
      </c>
      <c r="E7" s="8">
        <v>67479.2</v>
      </c>
      <c r="F7" s="8">
        <v>9498.86</v>
      </c>
      <c r="G7" s="8">
        <v>123639.1</v>
      </c>
      <c r="H7" s="8">
        <v>5709.7</v>
      </c>
      <c r="I7" s="8">
        <v>2566.3</v>
      </c>
      <c r="J7" s="8">
        <v>967</v>
      </c>
      <c r="K7" s="8">
        <v>56</v>
      </c>
      <c r="L7" s="8">
        <v>101242.9</v>
      </c>
      <c r="M7" s="8">
        <v>61530.5</v>
      </c>
      <c r="N7" s="8">
        <v>83862.4</v>
      </c>
      <c r="O7" s="8">
        <v>111608.3</v>
      </c>
      <c r="P7" s="8">
        <v>6339.9</v>
      </c>
      <c r="Q7" s="8">
        <v>8582.6</v>
      </c>
      <c r="R7" s="8">
        <v>5105.5</v>
      </c>
      <c r="S7" s="8">
        <v>6321.9</v>
      </c>
      <c r="T7" s="8">
        <v>8158.5</v>
      </c>
      <c r="U7" s="8">
        <v>19187.9</v>
      </c>
      <c r="V7" s="8">
        <v>54928.4</v>
      </c>
      <c r="W7" s="8">
        <v>59023.2</v>
      </c>
      <c r="X7" s="8">
        <v>6372.5</v>
      </c>
      <c r="Y7" s="8">
        <v>6454.1</v>
      </c>
      <c r="Z7" s="15">
        <f t="shared" si="21"/>
        <v>71849.8</v>
      </c>
      <c r="AA7" s="8">
        <v>6536.7</v>
      </c>
      <c r="AB7" s="13">
        <v>9064</v>
      </c>
      <c r="AC7" s="7">
        <f t="shared" si="1"/>
        <v>15600.7</v>
      </c>
      <c r="AD7" s="16">
        <v>202874</v>
      </c>
      <c r="AE7" s="17">
        <f t="shared" ref="AE7:AI7" si="33">IF(OR(C8=""),"",(C8-C7)*80)</f>
        <v>0</v>
      </c>
      <c r="AF7" s="17">
        <f t="shared" si="33"/>
        <v>311.999999999534</v>
      </c>
      <c r="AG7" s="17">
        <f t="shared" si="33"/>
        <v>2800</v>
      </c>
      <c r="AH7" s="17">
        <f t="shared" si="33"/>
        <v>2003.19999999992</v>
      </c>
      <c r="AI7" s="17">
        <f t="shared" si="33"/>
        <v>2431.99999999953</v>
      </c>
      <c r="AJ7" s="17">
        <f t="shared" si="3"/>
        <v>7547.19999999899</v>
      </c>
      <c r="AK7" s="17">
        <f t="shared" ref="AK7:AN7" si="34">IF(OR(H8=""),"",(H8-H7)*80)</f>
        <v>0</v>
      </c>
      <c r="AL7" s="17">
        <f t="shared" si="34"/>
        <v>0</v>
      </c>
      <c r="AM7" s="17">
        <f t="shared" si="34"/>
        <v>0</v>
      </c>
      <c r="AN7" s="17">
        <f t="shared" si="34"/>
        <v>0</v>
      </c>
      <c r="AO7" s="17">
        <f t="shared" si="5"/>
        <v>0</v>
      </c>
      <c r="AP7" s="17">
        <f t="shared" ref="AP7:AS7" si="35">IF(OR(L8=""),"",(L8-L7)*100)</f>
        <v>2930.00000000029</v>
      </c>
      <c r="AQ7" s="17">
        <f t="shared" si="35"/>
        <v>0</v>
      </c>
      <c r="AR7" s="17">
        <f t="shared" si="35"/>
        <v>2870.00000000116</v>
      </c>
      <c r="AS7" s="17">
        <f t="shared" si="35"/>
        <v>1980.00000000029</v>
      </c>
      <c r="AT7" s="17">
        <f t="shared" si="7"/>
        <v>7780.00000000175</v>
      </c>
      <c r="AU7" s="17">
        <f t="shared" ref="AU7:AY7" si="36">IF(OR(P8=""),"",(P8-P7)*1000)</f>
        <v>3600.00000000036</v>
      </c>
      <c r="AV7" s="17">
        <f t="shared" si="36"/>
        <v>0</v>
      </c>
      <c r="AW7" s="17">
        <f t="shared" si="36"/>
        <v>600.000000000364</v>
      </c>
      <c r="AX7" s="17">
        <f t="shared" si="36"/>
        <v>0</v>
      </c>
      <c r="AY7" s="17">
        <f t="shared" si="36"/>
        <v>9199.99999999982</v>
      </c>
      <c r="AZ7" s="17">
        <f t="shared" si="9"/>
        <v>13400.0000000005</v>
      </c>
      <c r="BA7" s="17">
        <f t="shared" si="10"/>
        <v>10199.9999999971</v>
      </c>
      <c r="BB7" s="17">
        <f t="shared" si="11"/>
        <v>583.999999999651</v>
      </c>
      <c r="BC7" s="17">
        <f t="shared" ref="BC7:BC34" si="37">IF(OR(Z8=""),"",(Z8-Z7)*40)</f>
        <v>1395.99999999977</v>
      </c>
      <c r="BD7" s="17">
        <f t="shared" si="12"/>
        <v>11292.8000000138</v>
      </c>
      <c r="BE7" s="17">
        <f t="shared" si="13"/>
        <v>52200.0000000116</v>
      </c>
      <c r="BF7" s="17">
        <f t="shared" si="14"/>
        <v>53.0999999999985</v>
      </c>
      <c r="BG7" s="20">
        <f t="shared" si="15"/>
        <v>0.25730256218151</v>
      </c>
      <c r="BH7" s="20">
        <f t="shared" si="16"/>
        <v>0.0372014156570038</v>
      </c>
      <c r="BI7" s="20">
        <f t="shared" si="17"/>
        <v>0</v>
      </c>
      <c r="BJ7" s="20">
        <f t="shared" si="18"/>
        <v>0.0383489259343324</v>
      </c>
      <c r="BK7" s="20">
        <f t="shared" ref="BK7:BO7" si="38">IF(OR($AD7=0),"",AZ7/$AD7)</f>
        <v>0.0660508492956246</v>
      </c>
      <c r="BL7" s="20">
        <f t="shared" si="38"/>
        <v>0.0502775121503844</v>
      </c>
      <c r="BM7" s="20">
        <f t="shared" si="38"/>
        <v>0.0028786340290015</v>
      </c>
      <c r="BN7" s="20">
        <f t="shared" si="38"/>
        <v>0.00688111832960245</v>
      </c>
      <c r="BO7" s="20">
        <f t="shared" si="38"/>
        <v>0.0556641067855607</v>
      </c>
    </row>
    <row r="8" spans="1:67">
      <c r="A8" s="9">
        <f t="shared" si="20"/>
        <v>43713</v>
      </c>
      <c r="B8" s="10">
        <v>18769.98</v>
      </c>
      <c r="C8" s="8">
        <v>97523.6</v>
      </c>
      <c r="D8" s="8">
        <v>67350</v>
      </c>
      <c r="E8" s="8">
        <v>67514.2</v>
      </c>
      <c r="F8" s="8">
        <v>9523.9</v>
      </c>
      <c r="G8" s="8">
        <v>123669.5</v>
      </c>
      <c r="H8" s="8">
        <v>5709.7</v>
      </c>
      <c r="I8" s="8">
        <v>2566.3</v>
      </c>
      <c r="J8" s="8">
        <v>967</v>
      </c>
      <c r="K8" s="8">
        <v>56</v>
      </c>
      <c r="L8" s="8">
        <v>101272.2</v>
      </c>
      <c r="M8" s="8">
        <v>61530.5</v>
      </c>
      <c r="N8" s="8">
        <v>83891.1</v>
      </c>
      <c r="O8" s="8">
        <v>111628.1</v>
      </c>
      <c r="P8" s="8">
        <v>6343.5</v>
      </c>
      <c r="Q8" s="8">
        <v>8582.6</v>
      </c>
      <c r="R8" s="8">
        <v>5106.1</v>
      </c>
      <c r="S8" s="8">
        <v>6321.9</v>
      </c>
      <c r="T8" s="8">
        <v>8167.7</v>
      </c>
      <c r="U8" s="8">
        <v>19193</v>
      </c>
      <c r="V8" s="8">
        <v>54935.7</v>
      </c>
      <c r="W8" s="8">
        <v>59039.6</v>
      </c>
      <c r="X8" s="8">
        <v>6380.8</v>
      </c>
      <c r="Y8" s="8">
        <v>6464.3</v>
      </c>
      <c r="Z8" s="15">
        <f t="shared" si="21"/>
        <v>71884.7</v>
      </c>
      <c r="AA8" s="8">
        <v>6583.8</v>
      </c>
      <c r="AB8" s="13">
        <v>9070</v>
      </c>
      <c r="AC8" s="7">
        <f t="shared" si="1"/>
        <v>15653.8</v>
      </c>
      <c r="AD8" s="16">
        <v>200531</v>
      </c>
      <c r="AE8" s="17">
        <f t="shared" ref="AE8:AI8" si="39">IF(OR(C9=""),"",(C9-C8)*80)</f>
        <v>0</v>
      </c>
      <c r="AF8" s="17">
        <f t="shared" si="39"/>
        <v>288.000000000466</v>
      </c>
      <c r="AG8" s="17">
        <f t="shared" si="39"/>
        <v>2392.0000000007</v>
      </c>
      <c r="AH8" s="17">
        <f t="shared" si="39"/>
        <v>2098.39999999997</v>
      </c>
      <c r="AI8" s="17">
        <f t="shared" si="39"/>
        <v>2375.99999999977</v>
      </c>
      <c r="AJ8" s="17">
        <f t="shared" si="3"/>
        <v>7154.4000000009</v>
      </c>
      <c r="AK8" s="17">
        <f t="shared" ref="AK8:AN8" si="40">IF(OR(H9=""),"",(H9-H8)*80)</f>
        <v>0</v>
      </c>
      <c r="AL8" s="17">
        <f t="shared" si="40"/>
        <v>0</v>
      </c>
      <c r="AM8" s="17">
        <f t="shared" si="40"/>
        <v>0</v>
      </c>
      <c r="AN8" s="17">
        <f t="shared" si="40"/>
        <v>0</v>
      </c>
      <c r="AO8" s="17">
        <f t="shared" si="5"/>
        <v>0</v>
      </c>
      <c r="AP8" s="17">
        <f t="shared" ref="AP8:AS8" si="41">IF(OR(L9=""),"",(L9-L8)*100)</f>
        <v>2860.00000000058</v>
      </c>
      <c r="AQ8" s="17">
        <f t="shared" si="41"/>
        <v>0</v>
      </c>
      <c r="AR8" s="17">
        <f t="shared" si="41"/>
        <v>2950</v>
      </c>
      <c r="AS8" s="17">
        <f t="shared" si="41"/>
        <v>2179.99999999884</v>
      </c>
      <c r="AT8" s="17">
        <f t="shared" si="7"/>
        <v>7989.99999999942</v>
      </c>
      <c r="AU8" s="17">
        <f t="shared" ref="AU8:AY8" si="42">IF(OR(P9=""),"",(P9-P8)*1000)</f>
        <v>0</v>
      </c>
      <c r="AV8" s="17">
        <f t="shared" si="42"/>
        <v>0</v>
      </c>
      <c r="AW8" s="17">
        <f t="shared" si="42"/>
        <v>4599.99999999945</v>
      </c>
      <c r="AX8" s="17">
        <f t="shared" si="42"/>
        <v>0</v>
      </c>
      <c r="AY8" s="17">
        <f t="shared" si="42"/>
        <v>8600.00000000036</v>
      </c>
      <c r="AZ8" s="17">
        <f t="shared" si="9"/>
        <v>13199.9999999998</v>
      </c>
      <c r="BA8" s="17">
        <f t="shared" si="10"/>
        <v>9599.99999999854</v>
      </c>
      <c r="BB8" s="17">
        <f t="shared" si="11"/>
        <v>608.000000000466</v>
      </c>
      <c r="BC8" s="17">
        <f t="shared" si="37"/>
        <v>1420</v>
      </c>
      <c r="BD8" s="17">
        <f t="shared" si="12"/>
        <v>12327.5999999965</v>
      </c>
      <c r="BE8" s="17">
        <f t="shared" si="13"/>
        <v>52299.9999999956</v>
      </c>
      <c r="BF8" s="17">
        <f t="shared" si="14"/>
        <v>60.2000000000007</v>
      </c>
      <c r="BG8" s="20">
        <f t="shared" si="15"/>
        <v>0.26080755593896</v>
      </c>
      <c r="BH8" s="20">
        <f t="shared" si="16"/>
        <v>0.0356772768300208</v>
      </c>
      <c r="BI8" s="20">
        <f t="shared" si="17"/>
        <v>0</v>
      </c>
      <c r="BJ8" s="20">
        <f t="shared" si="18"/>
        <v>0.039844213612855</v>
      </c>
      <c r="BK8" s="20">
        <f t="shared" ref="BK8:BO8" si="43">IF(OR($AD8=0),"",AZ8/$AD8)</f>
        <v>0.0658252340037192</v>
      </c>
      <c r="BL8" s="20">
        <f t="shared" si="43"/>
        <v>0.0478728974572437</v>
      </c>
      <c r="BM8" s="20">
        <f t="shared" si="43"/>
        <v>0.00303195017229489</v>
      </c>
      <c r="BN8" s="20">
        <f t="shared" si="43"/>
        <v>0.00708119941555171</v>
      </c>
      <c r="BO8" s="20">
        <f t="shared" si="43"/>
        <v>0.0614747844472749</v>
      </c>
    </row>
    <row r="9" spans="1:67">
      <c r="A9" s="9">
        <f t="shared" si="20"/>
        <v>43714</v>
      </c>
      <c r="B9" s="10">
        <v>18775.21</v>
      </c>
      <c r="C9" s="8">
        <v>97523.6</v>
      </c>
      <c r="D9" s="8">
        <v>67353.6</v>
      </c>
      <c r="E9" s="8">
        <v>67544.1</v>
      </c>
      <c r="F9" s="8">
        <v>9550.13</v>
      </c>
      <c r="G9" s="8">
        <v>123699.2</v>
      </c>
      <c r="H9" s="8">
        <v>5709.7</v>
      </c>
      <c r="I9" s="8">
        <v>2566.3</v>
      </c>
      <c r="J9" s="8">
        <v>967</v>
      </c>
      <c r="K9" s="8">
        <v>56</v>
      </c>
      <c r="L9" s="8">
        <v>101300.8</v>
      </c>
      <c r="M9" s="8">
        <v>61530.5</v>
      </c>
      <c r="N9" s="8">
        <v>83920.6</v>
      </c>
      <c r="O9" s="8">
        <v>111649.9</v>
      </c>
      <c r="P9" s="8">
        <v>6343.5</v>
      </c>
      <c r="Q9" s="8">
        <v>8582.6</v>
      </c>
      <c r="R9" s="8">
        <v>5110.7</v>
      </c>
      <c r="S9" s="8">
        <v>6321.9</v>
      </c>
      <c r="T9" s="8">
        <v>8176.3</v>
      </c>
      <c r="U9" s="8">
        <v>19197.8</v>
      </c>
      <c r="V9" s="8">
        <v>54943.3</v>
      </c>
      <c r="W9" s="8">
        <v>59056.1</v>
      </c>
      <c r="X9" s="8">
        <v>6389.1</v>
      </c>
      <c r="Y9" s="8">
        <v>6475</v>
      </c>
      <c r="Z9" s="15">
        <f t="shared" si="21"/>
        <v>71920.2</v>
      </c>
      <c r="AA9" s="8">
        <v>6630</v>
      </c>
      <c r="AB9" s="13">
        <v>9084</v>
      </c>
      <c r="AC9" s="7">
        <f t="shared" si="1"/>
        <v>15714</v>
      </c>
      <c r="AD9" s="16">
        <v>195157</v>
      </c>
      <c r="AE9" s="17">
        <f t="shared" ref="AE9:AI9" si="44">IF(OR(C10=""),"",(C10-C9)*80)</f>
        <v>0</v>
      </c>
      <c r="AF9" s="17">
        <f t="shared" si="44"/>
        <v>391.999999999534</v>
      </c>
      <c r="AG9" s="17">
        <f t="shared" si="44"/>
        <v>2383.99999999907</v>
      </c>
      <c r="AH9" s="17">
        <f t="shared" si="44"/>
        <v>2058.40000000011</v>
      </c>
      <c r="AI9" s="17">
        <f t="shared" si="44"/>
        <v>2424.00000000023</v>
      </c>
      <c r="AJ9" s="17">
        <f t="shared" si="3"/>
        <v>7258.39999999895</v>
      </c>
      <c r="AK9" s="17">
        <f t="shared" ref="AK9:AN9" si="45">IF(OR(H10=""),"",(H10-H9)*80)</f>
        <v>0</v>
      </c>
      <c r="AL9" s="17">
        <f t="shared" si="45"/>
        <v>0</v>
      </c>
      <c r="AM9" s="17">
        <f t="shared" si="45"/>
        <v>0</v>
      </c>
      <c r="AN9" s="17">
        <f t="shared" si="45"/>
        <v>0</v>
      </c>
      <c r="AO9" s="17">
        <f t="shared" si="5"/>
        <v>0</v>
      </c>
      <c r="AP9" s="17">
        <f t="shared" ref="AP9:AS9" si="46">IF(OR(L10=""),"",(L10-L9)*100)</f>
        <v>2659.99999999913</v>
      </c>
      <c r="AQ9" s="17">
        <f t="shared" si="46"/>
        <v>0</v>
      </c>
      <c r="AR9" s="17">
        <f t="shared" si="46"/>
        <v>2950</v>
      </c>
      <c r="AS9" s="17">
        <f t="shared" si="46"/>
        <v>2060.00000000058</v>
      </c>
      <c r="AT9" s="17">
        <f t="shared" si="7"/>
        <v>7669.99999999971</v>
      </c>
      <c r="AU9" s="17">
        <f t="shared" ref="AU9:AY9" si="47">IF(OR(P10=""),"",(P10-P9)*1000)</f>
        <v>2300.00000000018</v>
      </c>
      <c r="AV9" s="17">
        <f t="shared" si="47"/>
        <v>100.000000000364</v>
      </c>
      <c r="AW9" s="17">
        <f t="shared" si="47"/>
        <v>2000</v>
      </c>
      <c r="AX9" s="17">
        <f t="shared" si="47"/>
        <v>0</v>
      </c>
      <c r="AY9" s="17">
        <f t="shared" si="47"/>
        <v>9099.99999999945</v>
      </c>
      <c r="AZ9" s="17">
        <f t="shared" si="9"/>
        <v>13500</v>
      </c>
      <c r="BA9" s="17">
        <f t="shared" si="10"/>
        <v>9400.00000000146</v>
      </c>
      <c r="BB9" s="17">
        <f t="shared" si="11"/>
        <v>591.999999999534</v>
      </c>
      <c r="BC9" s="17">
        <f t="shared" si="37"/>
        <v>1452.00000000012</v>
      </c>
      <c r="BD9" s="17">
        <f t="shared" si="12"/>
        <v>12327.6000000119</v>
      </c>
      <c r="BE9" s="17">
        <f t="shared" si="13"/>
        <v>52200.0000000116</v>
      </c>
      <c r="BF9" s="17">
        <f t="shared" si="14"/>
        <v>54.7000000000007</v>
      </c>
      <c r="BG9" s="20">
        <f t="shared" si="15"/>
        <v>0.267476954452116</v>
      </c>
      <c r="BH9" s="20">
        <f t="shared" si="16"/>
        <v>0.0371926192757572</v>
      </c>
      <c r="BI9" s="20">
        <f t="shared" si="17"/>
        <v>0</v>
      </c>
      <c r="BJ9" s="20">
        <f t="shared" si="18"/>
        <v>0.0393016904338543</v>
      </c>
      <c r="BK9" s="20">
        <f t="shared" ref="BK9:BO9" si="48">IF(OR($AD9=0),"",AZ9/$AD9)</f>
        <v>0.069175074427256</v>
      </c>
      <c r="BL9" s="20">
        <f t="shared" si="48"/>
        <v>0.0481663481197264</v>
      </c>
      <c r="BM9" s="20">
        <f t="shared" si="48"/>
        <v>0.00303345511562247</v>
      </c>
      <c r="BN9" s="20">
        <f t="shared" si="48"/>
        <v>0.00744016356062102</v>
      </c>
      <c r="BO9" s="20">
        <f t="shared" si="48"/>
        <v>0.0631676035192787</v>
      </c>
    </row>
    <row r="10" spans="1:67">
      <c r="A10" s="9">
        <f t="shared" si="20"/>
        <v>43715</v>
      </c>
      <c r="B10" s="10">
        <v>18780.43</v>
      </c>
      <c r="C10" s="8">
        <v>97523.6</v>
      </c>
      <c r="D10" s="8">
        <v>67358.5</v>
      </c>
      <c r="E10" s="8">
        <v>67573.9</v>
      </c>
      <c r="F10" s="8">
        <v>9575.86</v>
      </c>
      <c r="G10" s="8">
        <v>123729.5</v>
      </c>
      <c r="H10" s="8">
        <v>5709.7</v>
      </c>
      <c r="I10" s="8">
        <v>2566.3</v>
      </c>
      <c r="J10" s="8">
        <v>967</v>
      </c>
      <c r="K10" s="8">
        <v>56</v>
      </c>
      <c r="L10" s="8">
        <v>101327.4</v>
      </c>
      <c r="M10" s="8">
        <v>61530.5</v>
      </c>
      <c r="N10" s="8">
        <v>83950.1</v>
      </c>
      <c r="O10" s="8">
        <v>111670.5</v>
      </c>
      <c r="P10" s="8">
        <v>6345.8</v>
      </c>
      <c r="Q10" s="8">
        <v>8582.7</v>
      </c>
      <c r="R10" s="8">
        <v>5112.7</v>
      </c>
      <c r="S10" s="8">
        <v>6321.9</v>
      </c>
      <c r="T10" s="8">
        <v>8185.4</v>
      </c>
      <c r="U10" s="8">
        <v>19202.5</v>
      </c>
      <c r="V10" s="8">
        <v>54950.7</v>
      </c>
      <c r="W10" s="8">
        <v>59072.6</v>
      </c>
      <c r="X10" s="8">
        <v>6397.8</v>
      </c>
      <c r="Y10" s="8">
        <v>6486.1</v>
      </c>
      <c r="Z10" s="15">
        <f t="shared" si="21"/>
        <v>71956.5</v>
      </c>
      <c r="AA10" s="8">
        <v>6677.7</v>
      </c>
      <c r="AB10" s="13">
        <v>9091</v>
      </c>
      <c r="AC10" s="7">
        <f t="shared" si="1"/>
        <v>15768.7</v>
      </c>
      <c r="AD10" s="16">
        <v>202023</v>
      </c>
      <c r="AE10" s="17">
        <f t="shared" ref="AE10:AI10" si="49">IF(OR(C11=""),"",(C11-C10)*80)</f>
        <v>0</v>
      </c>
      <c r="AF10" s="17">
        <f t="shared" si="49"/>
        <v>175.999999999767</v>
      </c>
      <c r="AG10" s="17">
        <f t="shared" si="49"/>
        <v>2288.00000000047</v>
      </c>
      <c r="AH10" s="17">
        <f t="shared" si="49"/>
        <v>2215.1999999999</v>
      </c>
      <c r="AI10" s="17">
        <f t="shared" si="49"/>
        <v>2328.00000000047</v>
      </c>
      <c r="AJ10" s="17">
        <f t="shared" si="3"/>
        <v>7007.20000000059</v>
      </c>
      <c r="AK10" s="17">
        <f t="shared" ref="AK10:AN10" si="50">IF(OR(H11=""),"",(H11-H10)*80)</f>
        <v>0</v>
      </c>
      <c r="AL10" s="17">
        <f t="shared" si="50"/>
        <v>0</v>
      </c>
      <c r="AM10" s="17">
        <f t="shared" si="50"/>
        <v>0</v>
      </c>
      <c r="AN10" s="17">
        <f t="shared" si="50"/>
        <v>0</v>
      </c>
      <c r="AO10" s="17">
        <f t="shared" si="5"/>
        <v>0</v>
      </c>
      <c r="AP10" s="17">
        <f t="shared" ref="AP10:AS10" si="51">IF(OR(L11=""),"",(L11-L10)*100)</f>
        <v>2840.00000000087</v>
      </c>
      <c r="AQ10" s="17">
        <f t="shared" si="51"/>
        <v>0</v>
      </c>
      <c r="AR10" s="17">
        <f t="shared" si="51"/>
        <v>2950</v>
      </c>
      <c r="AS10" s="17">
        <f t="shared" si="51"/>
        <v>2419.99999999971</v>
      </c>
      <c r="AT10" s="17">
        <f t="shared" si="7"/>
        <v>8210.00000000058</v>
      </c>
      <c r="AU10" s="17">
        <f t="shared" ref="AU10:AY10" si="52">IF(OR(P11=""),"",(P11-P10)*1000)</f>
        <v>0</v>
      </c>
      <c r="AV10" s="17">
        <f t="shared" si="52"/>
        <v>7399.99999999964</v>
      </c>
      <c r="AW10" s="17">
        <f t="shared" si="52"/>
        <v>400.000000000546</v>
      </c>
      <c r="AX10" s="17">
        <f t="shared" si="52"/>
        <v>0</v>
      </c>
      <c r="AY10" s="17">
        <f t="shared" si="52"/>
        <v>9300.00000000109</v>
      </c>
      <c r="AZ10" s="17">
        <f t="shared" si="9"/>
        <v>17100.0000000013</v>
      </c>
      <c r="BA10" s="17">
        <f t="shared" si="10"/>
        <v>10000</v>
      </c>
      <c r="BB10" s="17">
        <f t="shared" si="11"/>
        <v>584.000000000233</v>
      </c>
      <c r="BC10" s="17">
        <f t="shared" si="37"/>
        <v>1448.00000000047</v>
      </c>
      <c r="BD10" s="17">
        <f t="shared" si="12"/>
        <v>6850.79999998667</v>
      </c>
      <c r="BE10" s="17">
        <f t="shared" si="13"/>
        <v>51199.9999999898</v>
      </c>
      <c r="BF10" s="17">
        <f t="shared" si="14"/>
        <v>52.7999999999993</v>
      </c>
      <c r="BG10" s="20">
        <f t="shared" si="15"/>
        <v>0.253436489904564</v>
      </c>
      <c r="BH10" s="20">
        <f t="shared" si="16"/>
        <v>0.0346851596105423</v>
      </c>
      <c r="BI10" s="20">
        <f t="shared" si="17"/>
        <v>0</v>
      </c>
      <c r="BJ10" s="20">
        <f t="shared" si="18"/>
        <v>0.0406389371507233</v>
      </c>
      <c r="BK10" s="20">
        <f t="shared" ref="BK10:BO10" si="53">IF(OR($AD10=0),"",AZ10/$AD10)</f>
        <v>0.0846438276829929</v>
      </c>
      <c r="BL10" s="20">
        <f t="shared" si="53"/>
        <v>0.0494993144344951</v>
      </c>
      <c r="BM10" s="20">
        <f t="shared" si="53"/>
        <v>0.00289075996297567</v>
      </c>
      <c r="BN10" s="20">
        <f t="shared" si="53"/>
        <v>0.00716750073011719</v>
      </c>
      <c r="BO10" s="20">
        <f t="shared" si="53"/>
        <v>0.0339109903327179</v>
      </c>
    </row>
    <row r="11" spans="1:67">
      <c r="A11" s="9">
        <f t="shared" si="20"/>
        <v>43716</v>
      </c>
      <c r="B11" s="10">
        <v>18785.55</v>
      </c>
      <c r="C11" s="8">
        <v>97523.6</v>
      </c>
      <c r="D11" s="8">
        <v>67360.7</v>
      </c>
      <c r="E11" s="8">
        <v>67602.5</v>
      </c>
      <c r="F11" s="8">
        <v>9603.55</v>
      </c>
      <c r="G11" s="8">
        <v>123758.6</v>
      </c>
      <c r="H11" s="8">
        <v>5709.7</v>
      </c>
      <c r="I11" s="8">
        <v>2566.3</v>
      </c>
      <c r="J11" s="8">
        <v>967</v>
      </c>
      <c r="K11" s="8">
        <v>56</v>
      </c>
      <c r="L11" s="8">
        <v>101355.8</v>
      </c>
      <c r="M11" s="8">
        <v>61530.5</v>
      </c>
      <c r="N11" s="8">
        <v>83979.6</v>
      </c>
      <c r="O11" s="8">
        <v>111694.7</v>
      </c>
      <c r="P11" s="8">
        <v>6345.8</v>
      </c>
      <c r="Q11" s="8">
        <v>8590.1</v>
      </c>
      <c r="R11" s="8">
        <v>5113.1</v>
      </c>
      <c r="S11" s="8">
        <v>6321.9</v>
      </c>
      <c r="T11" s="8">
        <v>8194.7</v>
      </c>
      <c r="U11" s="8">
        <v>19207.5</v>
      </c>
      <c r="V11" s="8">
        <v>54958</v>
      </c>
      <c r="W11" s="8">
        <v>59089.3</v>
      </c>
      <c r="X11" s="8">
        <v>6406.4</v>
      </c>
      <c r="Y11" s="8">
        <v>6497</v>
      </c>
      <c r="Z11" s="15">
        <f t="shared" si="21"/>
        <v>71992.7</v>
      </c>
      <c r="AA11" s="8">
        <v>6725.5</v>
      </c>
      <c r="AB11" s="13">
        <v>9096</v>
      </c>
      <c r="AC11" s="7">
        <f t="shared" si="1"/>
        <v>15821.5</v>
      </c>
      <c r="AD11" s="16">
        <v>205573</v>
      </c>
      <c r="AE11" s="17">
        <f t="shared" ref="AE11:AI11" si="54">IF(OR(C12=""),"",(C12-C11)*80)</f>
        <v>0</v>
      </c>
      <c r="AF11" s="17">
        <f t="shared" si="54"/>
        <v>2944.00000000023</v>
      </c>
      <c r="AG11" s="17">
        <f t="shared" si="54"/>
        <v>3344.00000000023</v>
      </c>
      <c r="AH11" s="17">
        <f t="shared" si="54"/>
        <v>4.00000000008731</v>
      </c>
      <c r="AI11" s="17">
        <f t="shared" si="54"/>
        <v>2551.99999999953</v>
      </c>
      <c r="AJ11" s="17">
        <f t="shared" si="3"/>
        <v>8844.00000000009</v>
      </c>
      <c r="AK11" s="17">
        <f t="shared" ref="AK11:AN11" si="55">IF(OR(H12=""),"",(H12-H11)*80)</f>
        <v>0</v>
      </c>
      <c r="AL11" s="17">
        <f t="shared" si="55"/>
        <v>0</v>
      </c>
      <c r="AM11" s="17">
        <f t="shared" si="55"/>
        <v>0</v>
      </c>
      <c r="AN11" s="17">
        <f t="shared" si="55"/>
        <v>0</v>
      </c>
      <c r="AO11" s="17">
        <f t="shared" si="5"/>
        <v>0</v>
      </c>
      <c r="AP11" s="17">
        <f t="shared" ref="AP11:AS11" si="56">IF(OR(L12=""),"",(L12-L11)*100)</f>
        <v>3069.99999999971</v>
      </c>
      <c r="AQ11" s="17">
        <f t="shared" si="56"/>
        <v>0</v>
      </c>
      <c r="AR11" s="17">
        <f t="shared" si="56"/>
        <v>2900</v>
      </c>
      <c r="AS11" s="17">
        <f t="shared" si="56"/>
        <v>2400</v>
      </c>
      <c r="AT11" s="17">
        <f t="shared" si="7"/>
        <v>8369.99999999971</v>
      </c>
      <c r="AU11" s="17">
        <f t="shared" ref="AU11:AY11" si="57">IF(OR(P12=""),"",(P12-P11)*1000)</f>
        <v>99.9999999994543</v>
      </c>
      <c r="AV11" s="17">
        <f t="shared" si="57"/>
        <v>1000</v>
      </c>
      <c r="AW11" s="17">
        <f t="shared" si="57"/>
        <v>4199.99999999982</v>
      </c>
      <c r="AX11" s="17">
        <f t="shared" si="57"/>
        <v>0</v>
      </c>
      <c r="AY11" s="17">
        <f t="shared" si="57"/>
        <v>8399.99999999964</v>
      </c>
      <c r="AZ11" s="17">
        <f t="shared" si="9"/>
        <v>13699.9999999989</v>
      </c>
      <c r="BA11" s="17">
        <f t="shared" si="10"/>
        <v>9800.00000000291</v>
      </c>
      <c r="BB11" s="17">
        <f t="shared" si="11"/>
        <v>600</v>
      </c>
      <c r="BC11" s="17">
        <f t="shared" si="37"/>
        <v>1435.99999999977</v>
      </c>
      <c r="BD11" s="17">
        <f t="shared" si="12"/>
        <v>11149.9999999928</v>
      </c>
      <c r="BE11" s="17">
        <f t="shared" si="13"/>
        <v>53899.9999999942</v>
      </c>
      <c r="BF11" s="17">
        <f t="shared" si="14"/>
        <v>52.7999999999993</v>
      </c>
      <c r="BG11" s="20">
        <f t="shared" si="15"/>
        <v>0.262193965160766</v>
      </c>
      <c r="BH11" s="20">
        <f t="shared" si="16"/>
        <v>0.0430212138753634</v>
      </c>
      <c r="BI11" s="20">
        <f t="shared" si="17"/>
        <v>0</v>
      </c>
      <c r="BJ11" s="20">
        <f t="shared" si="18"/>
        <v>0.0407154636066006</v>
      </c>
      <c r="BK11" s="20">
        <f t="shared" ref="BK11:BO11" si="58">IF(OR($AD11=0),"",AZ11/$AD11)</f>
        <v>0.0666429930000482</v>
      </c>
      <c r="BL11" s="20">
        <f t="shared" si="58"/>
        <v>0.0476716300292495</v>
      </c>
      <c r="BM11" s="20">
        <f t="shared" si="58"/>
        <v>0.00291867122627972</v>
      </c>
      <c r="BN11" s="20">
        <f t="shared" si="58"/>
        <v>0.00698535313489499</v>
      </c>
      <c r="BO11" s="20">
        <f t="shared" si="58"/>
        <v>0.0542386402883297</v>
      </c>
    </row>
    <row r="12" spans="1:67">
      <c r="A12" s="9">
        <f t="shared" si="20"/>
        <v>43717</v>
      </c>
      <c r="B12" s="10">
        <v>18790.94</v>
      </c>
      <c r="C12" s="8">
        <v>97523.6</v>
      </c>
      <c r="D12" s="8">
        <v>67397.5</v>
      </c>
      <c r="E12" s="8">
        <v>67644.3</v>
      </c>
      <c r="F12" s="8">
        <v>9603.6</v>
      </c>
      <c r="G12" s="8">
        <v>123790.5</v>
      </c>
      <c r="H12" s="8">
        <v>5709.7</v>
      </c>
      <c r="I12" s="8">
        <v>2566.3</v>
      </c>
      <c r="J12" s="8">
        <v>967</v>
      </c>
      <c r="K12" s="8">
        <v>56</v>
      </c>
      <c r="L12" s="8">
        <v>101386.5</v>
      </c>
      <c r="M12" s="8">
        <v>61530.5</v>
      </c>
      <c r="N12" s="8">
        <v>84008.6</v>
      </c>
      <c r="O12" s="8">
        <v>111718.7</v>
      </c>
      <c r="P12" s="8">
        <v>6345.9</v>
      </c>
      <c r="Q12" s="8">
        <v>8591.1</v>
      </c>
      <c r="R12" s="8">
        <v>5117.3</v>
      </c>
      <c r="S12" s="8">
        <v>6321.9</v>
      </c>
      <c r="T12" s="8">
        <v>8203.1</v>
      </c>
      <c r="U12" s="8">
        <v>19212.4</v>
      </c>
      <c r="V12" s="8">
        <v>54965.5</v>
      </c>
      <c r="W12" s="8">
        <v>59106</v>
      </c>
      <c r="X12" s="8">
        <v>6414.9</v>
      </c>
      <c r="Y12" s="8">
        <v>6507.7</v>
      </c>
      <c r="Z12" s="15">
        <f t="shared" si="21"/>
        <v>72028.6</v>
      </c>
      <c r="AA12" s="8">
        <v>6772.3</v>
      </c>
      <c r="AB12" s="13">
        <v>9102</v>
      </c>
      <c r="AC12" s="7">
        <f t="shared" si="1"/>
        <v>15874.3</v>
      </c>
      <c r="AD12" s="16">
        <v>207727</v>
      </c>
      <c r="AE12" s="17">
        <f t="shared" ref="AE12:AI12" si="59">IF(OR(C13=""),"",(C13-C12)*80)</f>
        <v>0</v>
      </c>
      <c r="AF12" s="17">
        <f t="shared" si="59"/>
        <v>1615.99999999977</v>
      </c>
      <c r="AG12" s="17">
        <f t="shared" si="59"/>
        <v>2831.99999999953</v>
      </c>
      <c r="AH12" s="17">
        <f t="shared" si="59"/>
        <v>1034.40000000002</v>
      </c>
      <c r="AI12" s="17">
        <f t="shared" si="59"/>
        <v>2351.99999999953</v>
      </c>
      <c r="AJ12" s="17">
        <f t="shared" si="3"/>
        <v>7834.39999999886</v>
      </c>
      <c r="AK12" s="17">
        <f t="shared" ref="AK12:AN12" si="60">IF(OR(H13=""),"",(H13-H12)*80)</f>
        <v>0</v>
      </c>
      <c r="AL12" s="17">
        <f t="shared" si="60"/>
        <v>0</v>
      </c>
      <c r="AM12" s="17">
        <f t="shared" si="60"/>
        <v>0</v>
      </c>
      <c r="AN12" s="17">
        <f t="shared" si="60"/>
        <v>0</v>
      </c>
      <c r="AO12" s="17">
        <f t="shared" si="5"/>
        <v>0</v>
      </c>
      <c r="AP12" s="17">
        <f t="shared" ref="AP12:AS12" si="61">IF(OR(L13=""),"",(L13-L12)*100)</f>
        <v>3160.00000000058</v>
      </c>
      <c r="AQ12" s="17">
        <f t="shared" si="61"/>
        <v>0</v>
      </c>
      <c r="AR12" s="17">
        <f t="shared" si="61"/>
        <v>2900</v>
      </c>
      <c r="AS12" s="17">
        <f t="shared" si="61"/>
        <v>2480.00000000029</v>
      </c>
      <c r="AT12" s="17">
        <f t="shared" si="7"/>
        <v>8540.00000000087</v>
      </c>
      <c r="AU12" s="17">
        <f t="shared" ref="AU12:AY12" si="62">IF(OR(P13=""),"",(P13-P12)*1000)</f>
        <v>0</v>
      </c>
      <c r="AV12" s="17">
        <f t="shared" si="62"/>
        <v>8000</v>
      </c>
      <c r="AW12" s="17">
        <f t="shared" si="62"/>
        <v>0</v>
      </c>
      <c r="AX12" s="17">
        <f t="shared" si="62"/>
        <v>0</v>
      </c>
      <c r="AY12" s="17">
        <f t="shared" si="62"/>
        <v>9299.99999999927</v>
      </c>
      <c r="AZ12" s="17">
        <f t="shared" si="9"/>
        <v>17299.9999999993</v>
      </c>
      <c r="BA12" s="17">
        <f t="shared" si="10"/>
        <v>9799.99999999563</v>
      </c>
      <c r="BB12" s="17">
        <f t="shared" si="11"/>
        <v>592.000000000116</v>
      </c>
      <c r="BC12" s="17">
        <f t="shared" si="37"/>
        <v>1435.99999999977</v>
      </c>
      <c r="BD12" s="17">
        <f t="shared" si="12"/>
        <v>5797.60000001566</v>
      </c>
      <c r="BE12" s="17">
        <f t="shared" si="13"/>
        <v>51300.0000000102</v>
      </c>
      <c r="BF12" s="17">
        <f t="shared" si="14"/>
        <v>53.1000000000004</v>
      </c>
      <c r="BG12" s="20">
        <f t="shared" si="15"/>
        <v>0.246958748742389</v>
      </c>
      <c r="BH12" s="20">
        <f t="shared" si="16"/>
        <v>0.0377148854024699</v>
      </c>
      <c r="BI12" s="20">
        <f t="shared" si="17"/>
        <v>0</v>
      </c>
      <c r="BJ12" s="20">
        <f t="shared" si="18"/>
        <v>0.0411116513500935</v>
      </c>
      <c r="BK12" s="20">
        <f t="shared" ref="BK12:BO12" si="63">IF(OR($AD12=0),"",AZ12/$AD12)</f>
        <v>0.0832823850534561</v>
      </c>
      <c r="BL12" s="20">
        <f t="shared" si="63"/>
        <v>0.0471773048279503</v>
      </c>
      <c r="BM12" s="20">
        <f t="shared" si="63"/>
        <v>0.00284989433246577</v>
      </c>
      <c r="BN12" s="20">
        <f t="shared" si="63"/>
        <v>0.0069129193605057</v>
      </c>
      <c r="BO12" s="20">
        <f t="shared" si="63"/>
        <v>0.0279097084154475</v>
      </c>
    </row>
    <row r="13" spans="1:67">
      <c r="A13" s="9">
        <f t="shared" si="20"/>
        <v>43718</v>
      </c>
      <c r="B13" s="10">
        <v>18796.07</v>
      </c>
      <c r="C13" s="8">
        <v>97523.6</v>
      </c>
      <c r="D13" s="8">
        <v>67417.7</v>
      </c>
      <c r="E13" s="8">
        <v>67679.7</v>
      </c>
      <c r="F13" s="8">
        <v>9616.53</v>
      </c>
      <c r="G13" s="8">
        <v>123819.9</v>
      </c>
      <c r="H13" s="8">
        <v>5709.7</v>
      </c>
      <c r="I13" s="8">
        <v>2566.3</v>
      </c>
      <c r="J13" s="8">
        <v>967</v>
      </c>
      <c r="K13" s="8">
        <v>56</v>
      </c>
      <c r="L13" s="8">
        <v>101418.1</v>
      </c>
      <c r="M13" s="8">
        <v>61530.5</v>
      </c>
      <c r="N13" s="8">
        <v>84037.6</v>
      </c>
      <c r="O13" s="8">
        <v>111743.5</v>
      </c>
      <c r="P13" s="8">
        <v>6345.9</v>
      </c>
      <c r="Q13" s="8">
        <v>8599.1</v>
      </c>
      <c r="R13" s="8">
        <v>5117.3</v>
      </c>
      <c r="S13" s="8">
        <v>6321.9</v>
      </c>
      <c r="T13" s="8">
        <v>8212.4</v>
      </c>
      <c r="U13" s="8">
        <v>19217.3</v>
      </c>
      <c r="V13" s="8">
        <v>54972.9</v>
      </c>
      <c r="W13" s="8">
        <v>59122.4</v>
      </c>
      <c r="X13" s="8">
        <v>6423.5</v>
      </c>
      <c r="Y13" s="8">
        <v>6518.6</v>
      </c>
      <c r="Z13" s="15">
        <f t="shared" si="21"/>
        <v>72064.5</v>
      </c>
      <c r="AA13" s="8">
        <v>6819.4</v>
      </c>
      <c r="AB13" s="13">
        <v>9108</v>
      </c>
      <c r="AC13" s="7">
        <f t="shared" si="1"/>
        <v>15927.4</v>
      </c>
      <c r="AD13" s="16">
        <v>181582</v>
      </c>
      <c r="AE13" s="17">
        <f t="shared" ref="AE13:AI13" si="64">IF(OR(C14=""),"",(C14-C13)*80)</f>
        <v>0</v>
      </c>
      <c r="AF13" s="17">
        <f t="shared" si="64"/>
        <v>240</v>
      </c>
      <c r="AG13" s="17">
        <f t="shared" si="64"/>
        <v>2144.00000000023</v>
      </c>
      <c r="AH13" s="17">
        <f t="shared" si="64"/>
        <v>1953.60000000001</v>
      </c>
      <c r="AI13" s="17">
        <f t="shared" si="64"/>
        <v>2088.00000000047</v>
      </c>
      <c r="AJ13" s="17">
        <f t="shared" si="3"/>
        <v>6425.6000000007</v>
      </c>
      <c r="AK13" s="17">
        <f t="shared" ref="AK13:AN13" si="65">IF(OR(H14=""),"",(H14-H13)*80)</f>
        <v>0</v>
      </c>
      <c r="AL13" s="17">
        <f t="shared" si="65"/>
        <v>0</v>
      </c>
      <c r="AM13" s="17">
        <f t="shared" si="65"/>
        <v>0</v>
      </c>
      <c r="AN13" s="17">
        <f t="shared" si="65"/>
        <v>0</v>
      </c>
      <c r="AO13" s="17">
        <f t="shared" si="5"/>
        <v>0</v>
      </c>
      <c r="AP13" s="17">
        <f t="shared" ref="AP13:AS13" si="66">IF(OR(L14=""),"",(L14-L13)*100)</f>
        <v>2300</v>
      </c>
      <c r="AQ13" s="17">
        <f t="shared" si="66"/>
        <v>0</v>
      </c>
      <c r="AR13" s="17">
        <f t="shared" si="66"/>
        <v>2689.99999999942</v>
      </c>
      <c r="AS13" s="17">
        <f t="shared" si="66"/>
        <v>2200</v>
      </c>
      <c r="AT13" s="17">
        <f t="shared" si="7"/>
        <v>7189.99999999942</v>
      </c>
      <c r="AU13" s="17">
        <f t="shared" ref="AU13:AY13" si="67">IF(OR(P14=""),"",(P14-P13)*1000)</f>
        <v>0</v>
      </c>
      <c r="AV13" s="17">
        <f t="shared" si="67"/>
        <v>7899.99999999964</v>
      </c>
      <c r="AW13" s="17">
        <f t="shared" si="67"/>
        <v>0</v>
      </c>
      <c r="AX13" s="17">
        <f t="shared" si="67"/>
        <v>0</v>
      </c>
      <c r="AY13" s="17">
        <f t="shared" si="67"/>
        <v>9300.00000000109</v>
      </c>
      <c r="AZ13" s="17">
        <f t="shared" si="9"/>
        <v>17200.0000000007</v>
      </c>
      <c r="BA13" s="17">
        <f t="shared" si="10"/>
        <v>8800.00000000291</v>
      </c>
      <c r="BB13" s="17">
        <f t="shared" si="11"/>
        <v>607.999999999884</v>
      </c>
      <c r="BC13" s="17">
        <f t="shared" si="37"/>
        <v>1411.99999999953</v>
      </c>
      <c r="BD13" s="17">
        <f t="shared" si="12"/>
        <v>6364.39999998955</v>
      </c>
      <c r="BE13" s="17">
        <f t="shared" si="13"/>
        <v>47999.9999999927</v>
      </c>
      <c r="BF13" s="17">
        <f t="shared" si="14"/>
        <v>57.6000000000004</v>
      </c>
      <c r="BG13" s="20">
        <f t="shared" si="15"/>
        <v>0.264343382053247</v>
      </c>
      <c r="BH13" s="20">
        <f t="shared" si="16"/>
        <v>0.0353867674108706</v>
      </c>
      <c r="BI13" s="20">
        <f t="shared" si="17"/>
        <v>0</v>
      </c>
      <c r="BJ13" s="20">
        <f t="shared" si="18"/>
        <v>0.0395964357700621</v>
      </c>
      <c r="BK13" s="20">
        <f t="shared" ref="BK13:BO13" si="68">IF(OR($AD13=0),"",AZ13/$AD13)</f>
        <v>0.0947230452357653</v>
      </c>
      <c r="BL13" s="20">
        <f t="shared" si="68"/>
        <v>0.048462953376452</v>
      </c>
      <c r="BM13" s="20">
        <f t="shared" si="68"/>
        <v>0.00334834950600766</v>
      </c>
      <c r="BN13" s="20">
        <f t="shared" si="68"/>
        <v>0.0077761011553983</v>
      </c>
      <c r="BO13" s="20">
        <f t="shared" si="68"/>
        <v>0.0350497295986912</v>
      </c>
    </row>
    <row r="14" spans="1:67">
      <c r="A14" s="9">
        <f t="shared" si="20"/>
        <v>43719</v>
      </c>
      <c r="B14" s="10">
        <v>18800.87</v>
      </c>
      <c r="C14" s="8">
        <v>97523.6</v>
      </c>
      <c r="D14" s="8">
        <v>67420.7</v>
      </c>
      <c r="E14" s="8">
        <v>67706.5</v>
      </c>
      <c r="F14" s="8">
        <v>9640.95</v>
      </c>
      <c r="G14" s="8">
        <v>123846</v>
      </c>
      <c r="H14" s="8">
        <v>5709.7</v>
      </c>
      <c r="I14" s="8">
        <v>2566.3</v>
      </c>
      <c r="J14" s="8">
        <v>967</v>
      </c>
      <c r="K14" s="8">
        <v>56</v>
      </c>
      <c r="L14" s="8">
        <v>101441.1</v>
      </c>
      <c r="M14" s="8">
        <v>61530.5</v>
      </c>
      <c r="N14" s="8">
        <v>84064.5</v>
      </c>
      <c r="O14" s="8">
        <v>111765.5</v>
      </c>
      <c r="P14" s="8">
        <v>6345.9</v>
      </c>
      <c r="Q14" s="8">
        <v>8607</v>
      </c>
      <c r="R14" s="8">
        <v>5117.3</v>
      </c>
      <c r="S14" s="8">
        <v>6321.9</v>
      </c>
      <c r="T14" s="8">
        <v>8221.7</v>
      </c>
      <c r="U14" s="8">
        <v>19221.7</v>
      </c>
      <c r="V14" s="8">
        <v>54980.5</v>
      </c>
      <c r="W14" s="8">
        <v>59138.7</v>
      </c>
      <c r="X14" s="8">
        <v>6431.9</v>
      </c>
      <c r="Y14" s="8">
        <v>6529.2</v>
      </c>
      <c r="Z14" s="15">
        <f t="shared" si="21"/>
        <v>72099.8</v>
      </c>
      <c r="AA14" s="8">
        <v>6870</v>
      </c>
      <c r="AB14" s="13">
        <v>9115</v>
      </c>
      <c r="AC14" s="7">
        <f t="shared" si="1"/>
        <v>15985</v>
      </c>
      <c r="AD14" s="16">
        <v>167200</v>
      </c>
      <c r="AE14" s="17">
        <f t="shared" ref="AE14:AI14" si="69">IF(OR(C15=""),"",(C15-C14)*80)</f>
        <v>0</v>
      </c>
      <c r="AF14" s="17">
        <f t="shared" si="69"/>
        <v>3015.99999999977</v>
      </c>
      <c r="AG14" s="17">
        <f t="shared" si="69"/>
        <v>2455.99999999977</v>
      </c>
      <c r="AH14" s="17">
        <f t="shared" si="69"/>
        <v>3.99999999994179</v>
      </c>
      <c r="AI14" s="17">
        <f t="shared" si="69"/>
        <v>2031.99999999953</v>
      </c>
      <c r="AJ14" s="17">
        <f t="shared" si="3"/>
        <v>7507.99999999901</v>
      </c>
      <c r="AK14" s="17">
        <f t="shared" ref="AK14:AN14" si="70">IF(OR(H15=""),"",(H15-H14)*80)</f>
        <v>0</v>
      </c>
      <c r="AL14" s="17">
        <f t="shared" si="70"/>
        <v>0</v>
      </c>
      <c r="AM14" s="17">
        <f t="shared" si="70"/>
        <v>0</v>
      </c>
      <c r="AN14" s="17">
        <f t="shared" si="70"/>
        <v>0</v>
      </c>
      <c r="AO14" s="17">
        <f t="shared" si="5"/>
        <v>0</v>
      </c>
      <c r="AP14" s="17">
        <f t="shared" ref="AP14:AS14" si="71">IF(OR(L15=""),"",(L15-L14)*100)</f>
        <v>1689.99999999942</v>
      </c>
      <c r="AQ14" s="17">
        <f t="shared" si="71"/>
        <v>0</v>
      </c>
      <c r="AR14" s="17">
        <f t="shared" si="71"/>
        <v>2710.00000000058</v>
      </c>
      <c r="AS14" s="17">
        <f t="shared" si="71"/>
        <v>1560.00000000058</v>
      </c>
      <c r="AT14" s="17">
        <f t="shared" si="7"/>
        <v>5960.00000000058</v>
      </c>
      <c r="AU14" s="17">
        <f t="shared" ref="AU14:AY14" si="72">IF(OR(P15=""),"",(P15-P14)*1000)</f>
        <v>0</v>
      </c>
      <c r="AV14" s="17">
        <f t="shared" si="72"/>
        <v>7600.00000000036</v>
      </c>
      <c r="AW14" s="17">
        <f t="shared" si="72"/>
        <v>500</v>
      </c>
      <c r="AX14" s="17">
        <f t="shared" si="72"/>
        <v>0</v>
      </c>
      <c r="AY14" s="17">
        <f t="shared" si="72"/>
        <v>9599.99999999854</v>
      </c>
      <c r="AZ14" s="17">
        <f t="shared" si="9"/>
        <v>17699.9999999989</v>
      </c>
      <c r="BA14" s="17">
        <f t="shared" si="10"/>
        <v>8199.99999999709</v>
      </c>
      <c r="BB14" s="17">
        <f t="shared" si="11"/>
        <v>600</v>
      </c>
      <c r="BC14" s="17">
        <f t="shared" si="37"/>
        <v>1476.00000000035</v>
      </c>
      <c r="BD14" s="17">
        <f t="shared" si="12"/>
        <v>8056.00000001134</v>
      </c>
      <c r="BE14" s="17">
        <f t="shared" si="13"/>
        <v>49500.0000000073</v>
      </c>
      <c r="BF14" s="17">
        <f t="shared" si="14"/>
        <v>52.6000000000004</v>
      </c>
      <c r="BG14" s="20">
        <f t="shared" si="15"/>
        <v>0.296052631578991</v>
      </c>
      <c r="BH14" s="20">
        <f t="shared" si="16"/>
        <v>0.0449043062200898</v>
      </c>
      <c r="BI14" s="20">
        <f t="shared" si="17"/>
        <v>0</v>
      </c>
      <c r="BJ14" s="20">
        <f t="shared" si="18"/>
        <v>0.0356459330143575</v>
      </c>
      <c r="BK14" s="20">
        <f t="shared" ref="BK14:BO14" si="73">IF(OR($AD14=0),"",AZ14/$AD14)</f>
        <v>0.105861244019132</v>
      </c>
      <c r="BL14" s="20">
        <f t="shared" si="73"/>
        <v>0.0490430622009395</v>
      </c>
      <c r="BM14" s="20">
        <f t="shared" si="73"/>
        <v>0.00358851674641148</v>
      </c>
      <c r="BN14" s="20">
        <f t="shared" si="73"/>
        <v>0.00882775119617434</v>
      </c>
      <c r="BO14" s="20">
        <f t="shared" si="73"/>
        <v>0.048181818181886</v>
      </c>
    </row>
    <row r="15" spans="1:67">
      <c r="A15" s="9">
        <f t="shared" si="20"/>
        <v>43720</v>
      </c>
      <c r="B15" s="10">
        <v>18805.82</v>
      </c>
      <c r="C15" s="8">
        <v>97523.6</v>
      </c>
      <c r="D15" s="8">
        <v>67458.4</v>
      </c>
      <c r="E15" s="8">
        <v>67737.2</v>
      </c>
      <c r="F15" s="8">
        <v>9641</v>
      </c>
      <c r="G15" s="8">
        <v>123871.4</v>
      </c>
      <c r="H15" s="8">
        <v>5709.7</v>
      </c>
      <c r="I15" s="8">
        <v>2566.3</v>
      </c>
      <c r="J15" s="8">
        <v>967</v>
      </c>
      <c r="K15" s="8">
        <v>56</v>
      </c>
      <c r="L15" s="8">
        <v>101458</v>
      </c>
      <c r="M15" s="8">
        <v>61530.5</v>
      </c>
      <c r="N15" s="8">
        <v>84091.6</v>
      </c>
      <c r="O15" s="8">
        <v>111781.1</v>
      </c>
      <c r="P15" s="8">
        <v>6345.9</v>
      </c>
      <c r="Q15" s="8">
        <v>8614.6</v>
      </c>
      <c r="R15" s="8">
        <v>5117.8</v>
      </c>
      <c r="S15" s="8">
        <v>6321.9</v>
      </c>
      <c r="T15" s="8">
        <v>8231.3</v>
      </c>
      <c r="U15" s="8">
        <v>19225.8</v>
      </c>
      <c r="V15" s="8">
        <v>54988</v>
      </c>
      <c r="W15" s="8">
        <v>59155.7</v>
      </c>
      <c r="X15" s="8">
        <v>6440.6</v>
      </c>
      <c r="Y15" s="8">
        <v>6540.4</v>
      </c>
      <c r="Z15" s="15">
        <f t="shared" si="21"/>
        <v>72136.7</v>
      </c>
      <c r="AA15" s="8">
        <v>6917.6</v>
      </c>
      <c r="AB15" s="13">
        <v>9120</v>
      </c>
      <c r="AC15" s="7">
        <f t="shared" si="1"/>
        <v>16037.6</v>
      </c>
      <c r="AD15" s="16">
        <v>177964</v>
      </c>
      <c r="AE15" s="17">
        <f t="shared" ref="AE15:AI15" si="74">IF(OR(C16=""),"",(C16-C15)*80)</f>
        <v>0</v>
      </c>
      <c r="AF15" s="17">
        <f t="shared" si="74"/>
        <v>2928.00000000047</v>
      </c>
      <c r="AG15" s="17">
        <f t="shared" si="74"/>
        <v>2480</v>
      </c>
      <c r="AH15" s="17">
        <f t="shared" si="74"/>
        <v>4.79999999995925</v>
      </c>
      <c r="AI15" s="17">
        <f t="shared" si="74"/>
        <v>2120</v>
      </c>
      <c r="AJ15" s="17">
        <f t="shared" si="3"/>
        <v>7532.80000000042</v>
      </c>
      <c r="AK15" s="17">
        <f t="shared" ref="AK15:AN15" si="75">IF(OR(H16=""),"",(H16-H15)*80)</f>
        <v>0</v>
      </c>
      <c r="AL15" s="17">
        <f t="shared" si="75"/>
        <v>0</v>
      </c>
      <c r="AM15" s="17">
        <f t="shared" si="75"/>
        <v>0</v>
      </c>
      <c r="AN15" s="17">
        <f t="shared" si="75"/>
        <v>0</v>
      </c>
      <c r="AO15" s="17">
        <f t="shared" si="5"/>
        <v>0</v>
      </c>
      <c r="AP15" s="17">
        <f t="shared" ref="AP15:AS15" si="76">IF(OR(L16=""),"",(L16-L15)*100)</f>
        <v>1780.00000000029</v>
      </c>
      <c r="AQ15" s="17">
        <f t="shared" si="76"/>
        <v>0</v>
      </c>
      <c r="AR15" s="17">
        <f t="shared" si="76"/>
        <v>2839.99999999942</v>
      </c>
      <c r="AS15" s="17">
        <f t="shared" si="76"/>
        <v>1909.99999999913</v>
      </c>
      <c r="AT15" s="17">
        <f t="shared" si="7"/>
        <v>6529.99999999884</v>
      </c>
      <c r="AU15" s="17">
        <f t="shared" ref="AU15:AY15" si="77">IF(OR(P16=""),"",(P16-P15)*1000)</f>
        <v>0</v>
      </c>
      <c r="AV15" s="17">
        <f t="shared" si="77"/>
        <v>1500</v>
      </c>
      <c r="AW15" s="17">
        <f t="shared" si="77"/>
        <v>3899.99999999964</v>
      </c>
      <c r="AX15" s="17">
        <f t="shared" si="77"/>
        <v>0</v>
      </c>
      <c r="AY15" s="17">
        <f t="shared" si="77"/>
        <v>8600.00000000036</v>
      </c>
      <c r="AZ15" s="17">
        <f t="shared" si="9"/>
        <v>14000</v>
      </c>
      <c r="BA15" s="17">
        <f t="shared" si="10"/>
        <v>8200.00000000437</v>
      </c>
      <c r="BB15" s="17">
        <f t="shared" si="11"/>
        <v>624.000000000233</v>
      </c>
      <c r="BC15" s="17">
        <f t="shared" si="37"/>
        <v>1420.00000000058</v>
      </c>
      <c r="BD15" s="17">
        <f t="shared" si="12"/>
        <v>12493.200000013</v>
      </c>
      <c r="BE15" s="17">
        <f t="shared" si="13"/>
        <v>50800.0000000175</v>
      </c>
      <c r="BF15" s="17">
        <f t="shared" si="14"/>
        <v>54.7999999999993</v>
      </c>
      <c r="BG15" s="20">
        <f t="shared" si="15"/>
        <v>0.285450990087981</v>
      </c>
      <c r="BH15" s="20">
        <f t="shared" si="16"/>
        <v>0.0423276617742938</v>
      </c>
      <c r="BI15" s="20">
        <f t="shared" si="17"/>
        <v>0</v>
      </c>
      <c r="BJ15" s="20">
        <f t="shared" si="18"/>
        <v>0.0366928142770383</v>
      </c>
      <c r="BK15" s="20">
        <f t="shared" ref="BK15:BO15" si="78">IF(OR($AD15=0),"",AZ15/$AD15)</f>
        <v>0.078667595693511</v>
      </c>
      <c r="BL15" s="20">
        <f t="shared" si="78"/>
        <v>0.0460767346205096</v>
      </c>
      <c r="BM15" s="20">
        <f t="shared" si="78"/>
        <v>0.00350632712234066</v>
      </c>
      <c r="BN15" s="20">
        <f t="shared" si="78"/>
        <v>0.00797914184891653</v>
      </c>
      <c r="BO15" s="20">
        <f t="shared" si="78"/>
        <v>0.0702007147513712</v>
      </c>
    </row>
    <row r="16" spans="1:67">
      <c r="A16" s="9">
        <f t="shared" si="20"/>
        <v>43721</v>
      </c>
      <c r="B16" s="10">
        <v>18810.9</v>
      </c>
      <c r="C16" s="8">
        <v>97523.6</v>
      </c>
      <c r="D16" s="8">
        <v>67495</v>
      </c>
      <c r="E16" s="8">
        <v>67768.2</v>
      </c>
      <c r="F16" s="8">
        <v>9641.06</v>
      </c>
      <c r="G16" s="8">
        <v>123897.9</v>
      </c>
      <c r="H16" s="8">
        <v>5709.7</v>
      </c>
      <c r="I16" s="8">
        <v>2566.3</v>
      </c>
      <c r="J16" s="8">
        <v>967</v>
      </c>
      <c r="K16" s="8">
        <v>56</v>
      </c>
      <c r="L16" s="8">
        <v>101475.8</v>
      </c>
      <c r="M16" s="8">
        <v>61530.5</v>
      </c>
      <c r="N16" s="8">
        <v>84120</v>
      </c>
      <c r="O16" s="8">
        <v>111800.2</v>
      </c>
      <c r="P16" s="8">
        <v>6345.9</v>
      </c>
      <c r="Q16" s="8">
        <v>8616.1</v>
      </c>
      <c r="R16" s="8">
        <v>5121.7</v>
      </c>
      <c r="S16" s="8">
        <v>6321.9</v>
      </c>
      <c r="T16" s="8">
        <v>8239.9</v>
      </c>
      <c r="U16" s="8">
        <v>19229.9</v>
      </c>
      <c r="V16" s="8">
        <v>54995.8</v>
      </c>
      <c r="W16" s="8">
        <v>59172.1</v>
      </c>
      <c r="X16" s="8">
        <v>6449</v>
      </c>
      <c r="Y16" s="8">
        <v>6551.1</v>
      </c>
      <c r="Z16" s="15">
        <f t="shared" si="21"/>
        <v>72172.2</v>
      </c>
      <c r="AA16" s="8">
        <v>6965.4</v>
      </c>
      <c r="AB16" s="13">
        <v>9127</v>
      </c>
      <c r="AC16" s="7">
        <f t="shared" si="1"/>
        <v>16092.4</v>
      </c>
      <c r="AD16" s="16">
        <v>205769</v>
      </c>
      <c r="AE16" s="17">
        <f t="shared" ref="AE16:AI16" si="79">IF(OR(C17=""),"",(C17-C16)*80)</f>
        <v>0</v>
      </c>
      <c r="AF16" s="17">
        <f t="shared" si="79"/>
        <v>2904.00000000023</v>
      </c>
      <c r="AG16" s="17">
        <f t="shared" si="79"/>
        <v>2544.00000000023</v>
      </c>
      <c r="AH16" s="17">
        <f t="shared" si="79"/>
        <v>3.20000000006985</v>
      </c>
      <c r="AI16" s="17">
        <f t="shared" si="79"/>
        <v>2416.00000000093</v>
      </c>
      <c r="AJ16" s="17">
        <f t="shared" si="3"/>
        <v>7867.20000000147</v>
      </c>
      <c r="AK16" s="17">
        <f t="shared" ref="AK16:AN16" si="80">IF(OR(H17=""),"",(H17-H16)*80)</f>
        <v>0</v>
      </c>
      <c r="AL16" s="17">
        <f t="shared" si="80"/>
        <v>0</v>
      </c>
      <c r="AM16" s="17">
        <f t="shared" si="80"/>
        <v>0</v>
      </c>
      <c r="AN16" s="17">
        <f t="shared" si="80"/>
        <v>0</v>
      </c>
      <c r="AO16" s="17">
        <f t="shared" si="5"/>
        <v>0</v>
      </c>
      <c r="AP16" s="17">
        <f t="shared" ref="AP16:AS16" si="81">IF(OR(L17=""),"",(L17-L16)*100)</f>
        <v>2950</v>
      </c>
      <c r="AQ16" s="17">
        <f t="shared" si="81"/>
        <v>0</v>
      </c>
      <c r="AR16" s="17">
        <f t="shared" si="81"/>
        <v>2839.99999999942</v>
      </c>
      <c r="AS16" s="17">
        <f t="shared" si="81"/>
        <v>2140.00000000087</v>
      </c>
      <c r="AT16" s="17">
        <f t="shared" si="7"/>
        <v>7930.00000000029</v>
      </c>
      <c r="AU16" s="17">
        <f t="shared" ref="AU16:AY16" si="82">IF(OR(P17=""),"",(P17-P16)*1000)</f>
        <v>0</v>
      </c>
      <c r="AV16" s="17">
        <f t="shared" si="82"/>
        <v>7199.99999999891</v>
      </c>
      <c r="AW16" s="17">
        <f t="shared" si="82"/>
        <v>0</v>
      </c>
      <c r="AX16" s="17">
        <f t="shared" si="82"/>
        <v>0</v>
      </c>
      <c r="AY16" s="17">
        <f t="shared" si="82"/>
        <v>9100.00000000036</v>
      </c>
      <c r="AZ16" s="17">
        <f t="shared" si="9"/>
        <v>16299.9999999993</v>
      </c>
      <c r="BA16" s="17">
        <f t="shared" si="10"/>
        <v>9399.99999999418</v>
      </c>
      <c r="BB16" s="17">
        <f t="shared" si="11"/>
        <v>631.999999999534</v>
      </c>
      <c r="BC16" s="17">
        <f t="shared" si="37"/>
        <v>1391.99999999953</v>
      </c>
      <c r="BD16" s="17">
        <f t="shared" si="12"/>
        <v>5878.79999999263</v>
      </c>
      <c r="BE16" s="17">
        <f t="shared" si="13"/>
        <v>49399.9999999869</v>
      </c>
      <c r="BF16" s="17">
        <f t="shared" si="14"/>
        <v>52.7000000000007</v>
      </c>
      <c r="BG16" s="20">
        <f t="shared" si="15"/>
        <v>0.240075035598107</v>
      </c>
      <c r="BH16" s="20">
        <f t="shared" si="16"/>
        <v>0.0382331643736494</v>
      </c>
      <c r="BI16" s="20">
        <f t="shared" si="17"/>
        <v>0</v>
      </c>
      <c r="BJ16" s="20">
        <f t="shared" si="18"/>
        <v>0.0385383609776025</v>
      </c>
      <c r="BK16" s="20">
        <f t="shared" ref="BK16:BO16" si="83">IF(OR($AD16=0),"",AZ16/$AD16)</f>
        <v>0.0792150421103241</v>
      </c>
      <c r="BL16" s="20">
        <f t="shared" si="83"/>
        <v>0.0456822942231054</v>
      </c>
      <c r="BM16" s="20">
        <f t="shared" si="83"/>
        <v>0.00307140531372332</v>
      </c>
      <c r="BN16" s="20">
        <f t="shared" si="83"/>
        <v>0.00676486739984903</v>
      </c>
      <c r="BO16" s="20">
        <f t="shared" si="83"/>
        <v>0.0285699011998534</v>
      </c>
    </row>
    <row r="17" spans="1:67">
      <c r="A17" s="9">
        <f t="shared" si="20"/>
        <v>43722</v>
      </c>
      <c r="B17" s="10">
        <v>18815.84</v>
      </c>
      <c r="C17" s="8">
        <v>97523.6</v>
      </c>
      <c r="D17" s="8">
        <v>67531.3</v>
      </c>
      <c r="E17" s="8">
        <v>67800</v>
      </c>
      <c r="F17" s="8">
        <v>9641.1</v>
      </c>
      <c r="G17" s="8">
        <v>123928.1</v>
      </c>
      <c r="H17" s="8">
        <v>5709.7</v>
      </c>
      <c r="I17" s="8">
        <v>2566.3</v>
      </c>
      <c r="J17" s="8">
        <v>967</v>
      </c>
      <c r="K17" s="8">
        <v>56</v>
      </c>
      <c r="L17" s="8">
        <v>101505.3</v>
      </c>
      <c r="M17" s="8">
        <v>61530.5</v>
      </c>
      <c r="N17" s="8">
        <v>84148.4</v>
      </c>
      <c r="O17" s="8">
        <v>111821.6</v>
      </c>
      <c r="P17" s="8">
        <v>6345.9</v>
      </c>
      <c r="Q17" s="8">
        <v>8623.3</v>
      </c>
      <c r="R17" s="8">
        <v>5121.7</v>
      </c>
      <c r="S17" s="8">
        <v>6321.9</v>
      </c>
      <c r="T17" s="8">
        <v>8249</v>
      </c>
      <c r="U17" s="8">
        <v>19234.6</v>
      </c>
      <c r="V17" s="8">
        <v>55003.7</v>
      </c>
      <c r="W17" s="8">
        <v>59188.4</v>
      </c>
      <c r="X17" s="8">
        <v>6457.2</v>
      </c>
      <c r="Y17" s="8">
        <v>6561.4</v>
      </c>
      <c r="Z17" s="15">
        <f t="shared" si="21"/>
        <v>72207</v>
      </c>
      <c r="AA17" s="8">
        <v>7013.1</v>
      </c>
      <c r="AB17" s="13">
        <v>9132</v>
      </c>
      <c r="AC17" s="7">
        <f t="shared" si="1"/>
        <v>16145.1</v>
      </c>
      <c r="AD17" s="16">
        <v>205580</v>
      </c>
      <c r="AE17" s="17">
        <f t="shared" ref="AE17:AI17" si="84">IF(OR(C18=""),"",(C18-C17)*80)</f>
        <v>0</v>
      </c>
      <c r="AF17" s="17">
        <f t="shared" si="84"/>
        <v>3064.00000000023</v>
      </c>
      <c r="AG17" s="17">
        <f t="shared" si="84"/>
        <v>2871.99999999953</v>
      </c>
      <c r="AH17" s="17">
        <f t="shared" si="84"/>
        <v>0</v>
      </c>
      <c r="AI17" s="17">
        <f t="shared" si="84"/>
        <v>2527.9999999993</v>
      </c>
      <c r="AJ17" s="17">
        <f t="shared" si="3"/>
        <v>8463.99999999907</v>
      </c>
      <c r="AK17" s="17">
        <f t="shared" ref="AK17:AN17" si="85">IF(OR(H18=""),"",(H18-H17)*80)</f>
        <v>0</v>
      </c>
      <c r="AL17" s="17">
        <f t="shared" si="85"/>
        <v>0</v>
      </c>
      <c r="AM17" s="17">
        <f t="shared" si="85"/>
        <v>0</v>
      </c>
      <c r="AN17" s="17">
        <f t="shared" si="85"/>
        <v>0</v>
      </c>
      <c r="AO17" s="17">
        <f t="shared" si="5"/>
        <v>0</v>
      </c>
      <c r="AP17" s="17">
        <f t="shared" ref="AP17:AS17" si="86">IF(OR(L18=""),"",(L18-L17)*100)</f>
        <v>2969.99999999971</v>
      </c>
      <c r="AQ17" s="17">
        <f t="shared" si="86"/>
        <v>0</v>
      </c>
      <c r="AR17" s="17">
        <f t="shared" si="86"/>
        <v>2860.00000000058</v>
      </c>
      <c r="AS17" s="17">
        <f t="shared" si="86"/>
        <v>2300</v>
      </c>
      <c r="AT17" s="17">
        <f t="shared" si="7"/>
        <v>8130.00000000029</v>
      </c>
      <c r="AU17" s="17">
        <f t="shared" ref="AU17:AY17" si="87">IF(OR(P18=""),"",(P18-P17)*1000)</f>
        <v>0</v>
      </c>
      <c r="AV17" s="17">
        <f t="shared" si="87"/>
        <v>7200.00000000073</v>
      </c>
      <c r="AW17" s="17">
        <f t="shared" si="87"/>
        <v>0</v>
      </c>
      <c r="AX17" s="17">
        <f t="shared" si="87"/>
        <v>0</v>
      </c>
      <c r="AY17" s="17">
        <f t="shared" si="87"/>
        <v>8799.99999999927</v>
      </c>
      <c r="AZ17" s="17">
        <f t="shared" si="9"/>
        <v>16000</v>
      </c>
      <c r="BA17" s="17">
        <f t="shared" si="10"/>
        <v>9800.00000000291</v>
      </c>
      <c r="BB17" s="17">
        <f t="shared" si="11"/>
        <v>608.000000000466</v>
      </c>
      <c r="BC17" s="17">
        <f t="shared" si="37"/>
        <v>1436.00000000035</v>
      </c>
      <c r="BD17" s="17">
        <f t="shared" si="12"/>
        <v>5762.00000000128</v>
      </c>
      <c r="BE17" s="17">
        <f t="shared" si="13"/>
        <v>50200.0000000044</v>
      </c>
      <c r="BF17" s="17">
        <f t="shared" si="14"/>
        <v>53.7999999999993</v>
      </c>
      <c r="BG17" s="20">
        <f t="shared" si="15"/>
        <v>0.244187177741047</v>
      </c>
      <c r="BH17" s="20">
        <f t="shared" si="16"/>
        <v>0.0411713201673269</v>
      </c>
      <c r="BI17" s="20">
        <f t="shared" si="17"/>
        <v>0</v>
      </c>
      <c r="BJ17" s="20">
        <f t="shared" si="18"/>
        <v>0.0395466485066655</v>
      </c>
      <c r="BK17" s="20">
        <f t="shared" ref="BK17:BO17" si="88">IF(OR($AD17=0),"",AZ17/$AD17)</f>
        <v>0.0778285825469404</v>
      </c>
      <c r="BL17" s="20">
        <f t="shared" si="88"/>
        <v>0.0476700068100151</v>
      </c>
      <c r="BM17" s="20">
        <f t="shared" si="88"/>
        <v>0.002957486136786</v>
      </c>
      <c r="BN17" s="20">
        <f t="shared" si="88"/>
        <v>0.0069851152835896</v>
      </c>
      <c r="BO17" s="20">
        <f t="shared" si="88"/>
        <v>0.0280280182897231</v>
      </c>
    </row>
    <row r="18" spans="1:67">
      <c r="A18" s="9">
        <f t="shared" si="20"/>
        <v>43723</v>
      </c>
      <c r="B18" s="10">
        <v>18820.86</v>
      </c>
      <c r="C18" s="8">
        <v>97523.6</v>
      </c>
      <c r="D18" s="8">
        <v>67569.6</v>
      </c>
      <c r="E18" s="8">
        <v>67835.9</v>
      </c>
      <c r="F18" s="8">
        <v>9641.1</v>
      </c>
      <c r="G18" s="8">
        <v>123959.7</v>
      </c>
      <c r="H18" s="8">
        <v>5709.7</v>
      </c>
      <c r="I18" s="8">
        <v>2566.3</v>
      </c>
      <c r="J18" s="8">
        <v>967</v>
      </c>
      <c r="K18" s="8">
        <v>56</v>
      </c>
      <c r="L18" s="8">
        <v>101535</v>
      </c>
      <c r="M18" s="8">
        <v>61530.5</v>
      </c>
      <c r="N18" s="8">
        <v>84177</v>
      </c>
      <c r="O18" s="8">
        <v>111844.6</v>
      </c>
      <c r="P18" s="8">
        <v>6345.9</v>
      </c>
      <c r="Q18" s="8">
        <v>8630.5</v>
      </c>
      <c r="R18" s="8">
        <v>5121.7</v>
      </c>
      <c r="S18" s="8">
        <v>6321.9</v>
      </c>
      <c r="T18" s="8">
        <v>8257.8</v>
      </c>
      <c r="U18" s="8">
        <v>19239.5</v>
      </c>
      <c r="V18" s="8">
        <v>55011.3</v>
      </c>
      <c r="W18" s="8">
        <v>59205.1</v>
      </c>
      <c r="X18" s="8">
        <v>6465.7</v>
      </c>
      <c r="Y18" s="8">
        <v>6572.1</v>
      </c>
      <c r="Z18" s="15">
        <f t="shared" si="21"/>
        <v>72242.9</v>
      </c>
      <c r="AA18" s="8">
        <v>7060.9</v>
      </c>
      <c r="AB18" s="13">
        <v>9138</v>
      </c>
      <c r="AC18" s="7">
        <f t="shared" si="1"/>
        <v>16198.9</v>
      </c>
      <c r="AD18" s="16">
        <v>204204</v>
      </c>
      <c r="AE18" s="17">
        <f t="shared" ref="AE18:AI18" si="89">IF(OR(C19=""),"",(C19-C18)*80)</f>
        <v>0</v>
      </c>
      <c r="AF18" s="17">
        <f t="shared" si="89"/>
        <v>3087.9999999993</v>
      </c>
      <c r="AG18" s="17">
        <f t="shared" si="89"/>
        <v>2536.00000000093</v>
      </c>
      <c r="AH18" s="17">
        <f t="shared" si="89"/>
        <v>0</v>
      </c>
      <c r="AI18" s="17">
        <f t="shared" si="89"/>
        <v>2640</v>
      </c>
      <c r="AJ18" s="17">
        <f t="shared" si="3"/>
        <v>8264.00000000023</v>
      </c>
      <c r="AK18" s="17">
        <f t="shared" ref="AK18:AN18" si="90">IF(OR(H19=""),"",(H19-H18)*80)</f>
        <v>0</v>
      </c>
      <c r="AL18" s="17">
        <f t="shared" si="90"/>
        <v>0</v>
      </c>
      <c r="AM18" s="17">
        <f t="shared" si="90"/>
        <v>0</v>
      </c>
      <c r="AN18" s="17">
        <f t="shared" si="90"/>
        <v>0</v>
      </c>
      <c r="AO18" s="17">
        <f t="shared" si="5"/>
        <v>0</v>
      </c>
      <c r="AP18" s="17">
        <f t="shared" ref="AP18:AS18" si="91">IF(OR(L19=""),"",(L19-L18)*100)</f>
        <v>3030.00000000029</v>
      </c>
      <c r="AQ18" s="17">
        <f t="shared" si="91"/>
        <v>0</v>
      </c>
      <c r="AR18" s="17">
        <f t="shared" si="91"/>
        <v>2939.99999999942</v>
      </c>
      <c r="AS18" s="17">
        <f t="shared" si="91"/>
        <v>2389.99999999942</v>
      </c>
      <c r="AT18" s="17">
        <f t="shared" si="7"/>
        <v>8359.99999999913</v>
      </c>
      <c r="AU18" s="17">
        <f t="shared" ref="AU18:AY18" si="92">IF(OR(P19=""),"",(P19-P18)*1000)</f>
        <v>3900.00000000055</v>
      </c>
      <c r="AV18" s="17">
        <f t="shared" si="92"/>
        <v>7100.00000000036</v>
      </c>
      <c r="AW18" s="17">
        <f t="shared" si="92"/>
        <v>0</v>
      </c>
      <c r="AX18" s="17">
        <f t="shared" si="92"/>
        <v>0</v>
      </c>
      <c r="AY18" s="17">
        <f t="shared" si="92"/>
        <v>0</v>
      </c>
      <c r="AZ18" s="17">
        <f t="shared" si="9"/>
        <v>11000.0000000009</v>
      </c>
      <c r="BA18" s="17">
        <f t="shared" si="10"/>
        <v>10000</v>
      </c>
      <c r="BB18" s="17">
        <f t="shared" si="11"/>
        <v>607.999999999884</v>
      </c>
      <c r="BC18" s="17">
        <f t="shared" si="37"/>
        <v>1440</v>
      </c>
      <c r="BD18" s="17">
        <f t="shared" si="12"/>
        <v>8228.00000000858</v>
      </c>
      <c r="BE18" s="17">
        <f t="shared" si="13"/>
        <v>47900.0000000087</v>
      </c>
      <c r="BF18" s="17">
        <f t="shared" si="14"/>
        <v>55.3000000000011</v>
      </c>
      <c r="BG18" s="20">
        <f t="shared" si="15"/>
        <v>0.234569352216454</v>
      </c>
      <c r="BH18" s="20">
        <f t="shared" si="16"/>
        <v>0.0404693345869828</v>
      </c>
      <c r="BI18" s="20">
        <f t="shared" si="17"/>
        <v>0</v>
      </c>
      <c r="BJ18" s="20">
        <f t="shared" si="18"/>
        <v>0.0409394527041543</v>
      </c>
      <c r="BK18" s="20">
        <f t="shared" ref="BK18:BO18" si="93">IF(OR($AD18=0),"",AZ18/$AD18)</f>
        <v>0.0538677009265289</v>
      </c>
      <c r="BL18" s="20">
        <f t="shared" si="93"/>
        <v>0.0489706372059313</v>
      </c>
      <c r="BM18" s="20">
        <f t="shared" si="93"/>
        <v>0.00297741474212005</v>
      </c>
      <c r="BN18" s="20">
        <f t="shared" si="93"/>
        <v>0.00705177175765411</v>
      </c>
      <c r="BO18" s="20">
        <f t="shared" si="93"/>
        <v>0.0402930402930823</v>
      </c>
    </row>
    <row r="19" spans="1:67">
      <c r="A19" s="9">
        <f t="shared" si="20"/>
        <v>43724</v>
      </c>
      <c r="B19" s="10">
        <v>18825.65</v>
      </c>
      <c r="C19" s="8">
        <v>97523.6</v>
      </c>
      <c r="D19" s="8">
        <v>67608.2</v>
      </c>
      <c r="E19" s="8">
        <v>67867.6</v>
      </c>
      <c r="F19" s="8">
        <v>9641.1</v>
      </c>
      <c r="G19" s="8">
        <v>123992.7</v>
      </c>
      <c r="H19" s="8">
        <v>5709.7</v>
      </c>
      <c r="I19" s="8">
        <v>2566.3</v>
      </c>
      <c r="J19" s="8">
        <v>967</v>
      </c>
      <c r="K19" s="8">
        <v>56</v>
      </c>
      <c r="L19" s="8">
        <v>101565.3</v>
      </c>
      <c r="M19" s="8">
        <v>61530.5</v>
      </c>
      <c r="N19" s="8">
        <v>84206.4</v>
      </c>
      <c r="O19" s="8">
        <v>111868.5</v>
      </c>
      <c r="P19" s="8">
        <v>6349.8</v>
      </c>
      <c r="Q19" s="8">
        <v>8637.6</v>
      </c>
      <c r="R19" s="8">
        <v>5121.7</v>
      </c>
      <c r="S19" s="8">
        <v>6321.9</v>
      </c>
      <c r="T19" s="8">
        <v>8257.8</v>
      </c>
      <c r="U19" s="8">
        <v>19244.5</v>
      </c>
      <c r="V19" s="8">
        <v>55018.9</v>
      </c>
      <c r="W19" s="8">
        <v>59221.9</v>
      </c>
      <c r="X19" s="8">
        <v>6474.2</v>
      </c>
      <c r="Y19" s="8">
        <v>6582.8</v>
      </c>
      <c r="Z19" s="15">
        <f t="shared" si="21"/>
        <v>72278.9</v>
      </c>
      <c r="AA19" s="8">
        <v>7110.2</v>
      </c>
      <c r="AB19" s="13">
        <v>9144</v>
      </c>
      <c r="AC19" s="7">
        <f t="shared" si="1"/>
        <v>16254.2</v>
      </c>
      <c r="AD19" s="16">
        <v>208526</v>
      </c>
      <c r="AE19" s="17">
        <f t="shared" ref="AE19:AI19" si="94">IF(OR(C20=""),"",(C20-C19)*80)</f>
        <v>0</v>
      </c>
      <c r="AF19" s="17">
        <f t="shared" si="94"/>
        <v>2640</v>
      </c>
      <c r="AG19" s="17">
        <f t="shared" si="94"/>
        <v>3087.9999999993</v>
      </c>
      <c r="AH19" s="17">
        <f t="shared" si="94"/>
        <v>0</v>
      </c>
      <c r="AI19" s="17">
        <f t="shared" si="94"/>
        <v>2615.99999999977</v>
      </c>
      <c r="AJ19" s="17">
        <f t="shared" si="3"/>
        <v>8343.99999999907</v>
      </c>
      <c r="AK19" s="17">
        <f t="shared" ref="AK19:AN19" si="95">IF(OR(H20=""),"",(H20-H19)*80)</f>
        <v>0</v>
      </c>
      <c r="AL19" s="17">
        <f t="shared" si="95"/>
        <v>0</v>
      </c>
      <c r="AM19" s="17">
        <f t="shared" si="95"/>
        <v>0</v>
      </c>
      <c r="AN19" s="17">
        <f t="shared" si="95"/>
        <v>0</v>
      </c>
      <c r="AO19" s="17">
        <f t="shared" si="5"/>
        <v>0</v>
      </c>
      <c r="AP19" s="17">
        <f t="shared" ref="AP19:AS19" si="96">IF(OR(L20=""),"",(L20-L19)*100)</f>
        <v>3150</v>
      </c>
      <c r="AQ19" s="17">
        <f t="shared" si="96"/>
        <v>0</v>
      </c>
      <c r="AR19" s="17">
        <f t="shared" si="96"/>
        <v>2900</v>
      </c>
      <c r="AS19" s="17">
        <f t="shared" si="96"/>
        <v>2319.99999999971</v>
      </c>
      <c r="AT19" s="17">
        <f t="shared" si="7"/>
        <v>8369.99999999971</v>
      </c>
      <c r="AU19" s="17">
        <f t="shared" ref="AU19:AY19" si="97">IF(OR(P20=""),"",(P20-P19)*1000)</f>
        <v>699.999999999818</v>
      </c>
      <c r="AV19" s="17">
        <f t="shared" si="97"/>
        <v>7600.00000000036</v>
      </c>
      <c r="AW19" s="17">
        <f t="shared" si="97"/>
        <v>0</v>
      </c>
      <c r="AX19" s="17">
        <f t="shared" si="97"/>
        <v>0</v>
      </c>
      <c r="AY19" s="17">
        <f t="shared" si="97"/>
        <v>6600.00000000036</v>
      </c>
      <c r="AZ19" s="17">
        <f t="shared" si="9"/>
        <v>14900.0000000005</v>
      </c>
      <c r="BA19" s="17">
        <f t="shared" si="10"/>
        <v>9599.99999999854</v>
      </c>
      <c r="BB19" s="17">
        <f t="shared" si="11"/>
        <v>632.000000000116</v>
      </c>
      <c r="BC19" s="17">
        <f t="shared" si="37"/>
        <v>1387.9999999993</v>
      </c>
      <c r="BD19" s="17">
        <f t="shared" si="12"/>
        <v>6165.99999998962</v>
      </c>
      <c r="BE19" s="17">
        <f t="shared" si="13"/>
        <v>49399.9999999869</v>
      </c>
      <c r="BF19" s="17">
        <f t="shared" si="14"/>
        <v>54.1999999999989</v>
      </c>
      <c r="BG19" s="20">
        <f t="shared" si="15"/>
        <v>0.236900914034638</v>
      </c>
      <c r="BH19" s="20">
        <f t="shared" si="16"/>
        <v>0.0400141948725774</v>
      </c>
      <c r="BI19" s="20">
        <f t="shared" si="17"/>
        <v>0</v>
      </c>
      <c r="BJ19" s="20">
        <f t="shared" si="18"/>
        <v>0.0401388795641777</v>
      </c>
      <c r="BK19" s="20">
        <f t="shared" ref="BK19:BO19" si="98">IF(OR($AD19=0),"",AZ19/$AD19)</f>
        <v>0.0714539194153273</v>
      </c>
      <c r="BL19" s="20">
        <f t="shared" si="98"/>
        <v>0.0460374245897324</v>
      </c>
      <c r="BM19" s="20">
        <f t="shared" si="98"/>
        <v>0.00303079711882507</v>
      </c>
      <c r="BN19" s="20">
        <f t="shared" si="98"/>
        <v>0.00665624430526314</v>
      </c>
      <c r="BO19" s="20">
        <f t="shared" si="98"/>
        <v>0.0295694541687349</v>
      </c>
    </row>
    <row r="20" spans="1:67">
      <c r="A20" s="9">
        <f t="shared" si="20"/>
        <v>43725</v>
      </c>
      <c r="B20" s="10">
        <v>18830.59</v>
      </c>
      <c r="C20" s="8">
        <v>97523.6</v>
      </c>
      <c r="D20" s="8">
        <v>67641.2</v>
      </c>
      <c r="E20" s="8">
        <v>67906.2</v>
      </c>
      <c r="F20" s="8">
        <v>9641.1</v>
      </c>
      <c r="G20" s="8">
        <v>124025.4</v>
      </c>
      <c r="H20" s="8">
        <v>5709.7</v>
      </c>
      <c r="I20" s="8">
        <v>2566.3</v>
      </c>
      <c r="J20" s="8">
        <v>967</v>
      </c>
      <c r="K20" s="8">
        <v>56</v>
      </c>
      <c r="L20" s="8">
        <v>101596.8</v>
      </c>
      <c r="M20" s="8">
        <v>61530.5</v>
      </c>
      <c r="N20" s="8">
        <v>84235.4</v>
      </c>
      <c r="O20" s="8">
        <v>111891.7</v>
      </c>
      <c r="P20" s="8">
        <v>6350.5</v>
      </c>
      <c r="Q20" s="8">
        <v>8645.2</v>
      </c>
      <c r="R20" s="8">
        <v>5121.7</v>
      </c>
      <c r="S20" s="8">
        <v>6321.9</v>
      </c>
      <c r="T20" s="8">
        <v>8264.4</v>
      </c>
      <c r="U20" s="8">
        <v>19249.3</v>
      </c>
      <c r="V20" s="8">
        <v>55026.8</v>
      </c>
      <c r="W20" s="8">
        <v>59238.1</v>
      </c>
      <c r="X20" s="8">
        <v>6482.3</v>
      </c>
      <c r="Y20" s="8">
        <v>6593.2</v>
      </c>
      <c r="Z20" s="15">
        <f t="shared" si="21"/>
        <v>72313.6</v>
      </c>
      <c r="AA20" s="8">
        <v>7158.4</v>
      </c>
      <c r="AB20" s="13">
        <v>9150</v>
      </c>
      <c r="AC20" s="7">
        <f t="shared" si="1"/>
        <v>16308.4</v>
      </c>
      <c r="AD20" s="16">
        <v>202834</v>
      </c>
      <c r="AE20" s="17">
        <f t="shared" ref="AE20:AI20" si="99">IF(OR(C21=""),"",(C21-C20)*80)</f>
        <v>0</v>
      </c>
      <c r="AF20" s="17">
        <f t="shared" si="99"/>
        <v>55.9999999997672</v>
      </c>
      <c r="AG20" s="17">
        <f t="shared" si="99"/>
        <v>2560</v>
      </c>
      <c r="AH20" s="17">
        <f t="shared" si="99"/>
        <v>2510.39999999994</v>
      </c>
      <c r="AI20" s="17">
        <f t="shared" si="99"/>
        <v>2552.0000000007</v>
      </c>
      <c r="AJ20" s="17">
        <f t="shared" si="3"/>
        <v>7678.4000000004</v>
      </c>
      <c r="AK20" s="17">
        <f t="shared" ref="AK20:AN20" si="100">IF(OR(H21=""),"",(H21-H20)*80)</f>
        <v>0</v>
      </c>
      <c r="AL20" s="17">
        <f t="shared" si="100"/>
        <v>0</v>
      </c>
      <c r="AM20" s="17">
        <f t="shared" si="100"/>
        <v>0</v>
      </c>
      <c r="AN20" s="17">
        <f t="shared" si="100"/>
        <v>0</v>
      </c>
      <c r="AO20" s="17">
        <f t="shared" si="5"/>
        <v>0</v>
      </c>
      <c r="AP20" s="17">
        <f t="shared" ref="AP20:AS20" si="101">IF(OR(L21=""),"",(L21-L20)*100)</f>
        <v>3019.99999999971</v>
      </c>
      <c r="AQ20" s="17">
        <f t="shared" si="101"/>
        <v>0</v>
      </c>
      <c r="AR20" s="17">
        <f t="shared" si="101"/>
        <v>2860.00000000058</v>
      </c>
      <c r="AS20" s="17">
        <f t="shared" si="101"/>
        <v>2280.00000000029</v>
      </c>
      <c r="AT20" s="17">
        <f t="shared" si="7"/>
        <v>8160.00000000058</v>
      </c>
      <c r="AU20" s="17">
        <f t="shared" ref="AU20:AY20" si="102">IF(OR(P21=""),"",(P21-P20)*1000)</f>
        <v>0</v>
      </c>
      <c r="AV20" s="17">
        <f t="shared" si="102"/>
        <v>7699.99999999891</v>
      </c>
      <c r="AW20" s="17">
        <f t="shared" si="102"/>
        <v>0</v>
      </c>
      <c r="AX20" s="17">
        <f t="shared" si="102"/>
        <v>0</v>
      </c>
      <c r="AY20" s="17">
        <f t="shared" si="102"/>
        <v>8800.00000000109</v>
      </c>
      <c r="AZ20" s="17">
        <f t="shared" si="9"/>
        <v>16500</v>
      </c>
      <c r="BA20" s="17">
        <f t="shared" si="10"/>
        <v>9599.99999999854</v>
      </c>
      <c r="BB20" s="17">
        <f t="shared" si="11"/>
        <v>623.999999999651</v>
      </c>
      <c r="BC20" s="17">
        <f t="shared" si="37"/>
        <v>1404.00000000023</v>
      </c>
      <c r="BD20" s="17">
        <f t="shared" si="12"/>
        <v>5833.59999999622</v>
      </c>
      <c r="BE20" s="17">
        <f t="shared" si="13"/>
        <v>49799.9999999956</v>
      </c>
      <c r="BF20" s="17">
        <f t="shared" si="14"/>
        <v>53.6000000000004</v>
      </c>
      <c r="BG20" s="20">
        <f t="shared" si="15"/>
        <v>0.245520967885047</v>
      </c>
      <c r="BH20" s="20">
        <f t="shared" si="16"/>
        <v>0.0378555863415424</v>
      </c>
      <c r="BI20" s="20">
        <f t="shared" si="17"/>
        <v>0</v>
      </c>
      <c r="BJ20" s="20">
        <f t="shared" si="18"/>
        <v>0.040229941725749</v>
      </c>
      <c r="BK20" s="20">
        <f t="shared" ref="BK20:BO20" si="103">IF(OR($AD20=0),"",AZ20/$AD20)</f>
        <v>0.0813473086366191</v>
      </c>
      <c r="BL20" s="20">
        <f t="shared" si="103"/>
        <v>0.047329343206753</v>
      </c>
      <c r="BM20" s="20">
        <f t="shared" si="103"/>
        <v>0.00307640730843769</v>
      </c>
      <c r="BN20" s="20">
        <f t="shared" si="103"/>
        <v>0.00692191644398983</v>
      </c>
      <c r="BO20" s="20">
        <f t="shared" si="103"/>
        <v>0.028760464221956</v>
      </c>
    </row>
    <row r="21" spans="1:67">
      <c r="A21" s="9">
        <f t="shared" si="20"/>
        <v>43726</v>
      </c>
      <c r="B21" s="10">
        <v>18835.57</v>
      </c>
      <c r="C21" s="8">
        <v>97523.6</v>
      </c>
      <c r="D21" s="8">
        <v>67641.9</v>
      </c>
      <c r="E21" s="8">
        <v>67938.2</v>
      </c>
      <c r="F21" s="8">
        <v>9672.48</v>
      </c>
      <c r="G21" s="8">
        <v>124057.3</v>
      </c>
      <c r="H21" s="8">
        <v>5709.7</v>
      </c>
      <c r="I21" s="8">
        <v>2566.3</v>
      </c>
      <c r="J21" s="8">
        <v>967</v>
      </c>
      <c r="K21" s="8">
        <v>56</v>
      </c>
      <c r="L21" s="8">
        <v>101627</v>
      </c>
      <c r="M21" s="8">
        <v>61530.5</v>
      </c>
      <c r="N21" s="8">
        <v>84264</v>
      </c>
      <c r="O21" s="8">
        <v>111914.5</v>
      </c>
      <c r="P21" s="8">
        <v>6350.5</v>
      </c>
      <c r="Q21" s="8">
        <v>8652.9</v>
      </c>
      <c r="R21" s="8">
        <v>5121.7</v>
      </c>
      <c r="S21" s="8">
        <v>6321.9</v>
      </c>
      <c r="T21" s="8">
        <v>8273.2</v>
      </c>
      <c r="U21" s="8">
        <v>19254.1</v>
      </c>
      <c r="V21" s="8">
        <v>55034.6</v>
      </c>
      <c r="W21" s="8">
        <v>59254.4</v>
      </c>
      <c r="X21" s="8">
        <v>6490.6</v>
      </c>
      <c r="Y21" s="8">
        <v>6603.7</v>
      </c>
      <c r="Z21" s="15">
        <f t="shared" si="21"/>
        <v>72348.7</v>
      </c>
      <c r="AA21" s="8">
        <v>7206</v>
      </c>
      <c r="AB21" s="13">
        <v>9156</v>
      </c>
      <c r="AC21" s="7">
        <f t="shared" si="1"/>
        <v>16362</v>
      </c>
      <c r="AD21" s="16">
        <v>201694</v>
      </c>
      <c r="AE21" s="17">
        <f t="shared" ref="AE21:AI21" si="104">IF(OR(C22=""),"",(C22-C21)*80)</f>
        <v>0</v>
      </c>
      <c r="AF21" s="17">
        <f t="shared" si="104"/>
        <v>384.000000000233</v>
      </c>
      <c r="AG21" s="17">
        <f t="shared" si="104"/>
        <v>2960</v>
      </c>
      <c r="AH21" s="17">
        <f t="shared" si="104"/>
        <v>2070.40000000008</v>
      </c>
      <c r="AI21" s="17">
        <f t="shared" si="104"/>
        <v>2104.00000000023</v>
      </c>
      <c r="AJ21" s="17">
        <f t="shared" si="3"/>
        <v>7518.40000000055</v>
      </c>
      <c r="AK21" s="17">
        <f t="shared" ref="AK21:AN21" si="105">IF(OR(H22=""),"",(H22-H21)*80)</f>
        <v>0</v>
      </c>
      <c r="AL21" s="17">
        <f t="shared" si="105"/>
        <v>0</v>
      </c>
      <c r="AM21" s="17">
        <f t="shared" si="105"/>
        <v>0</v>
      </c>
      <c r="AN21" s="17">
        <f t="shared" si="105"/>
        <v>0</v>
      </c>
      <c r="AO21" s="17">
        <f t="shared" si="5"/>
        <v>0</v>
      </c>
      <c r="AP21" s="17">
        <f t="shared" ref="AP21:AS21" si="106">IF(OR(L22=""),"",(L22-L21)*100)</f>
        <v>2880.00000000029</v>
      </c>
      <c r="AQ21" s="17">
        <f t="shared" si="106"/>
        <v>0</v>
      </c>
      <c r="AR21" s="17">
        <f t="shared" si="106"/>
        <v>2939.99999999942</v>
      </c>
      <c r="AS21" s="17">
        <f t="shared" si="106"/>
        <v>2200</v>
      </c>
      <c r="AT21" s="17">
        <f t="shared" si="7"/>
        <v>8019.99999999971</v>
      </c>
      <c r="AU21" s="17">
        <f t="shared" ref="AU21:AY21" si="107">IF(OR(P22=""),"",(P22-P21)*1000)</f>
        <v>0</v>
      </c>
      <c r="AV21" s="17">
        <f t="shared" si="107"/>
        <v>1600.00000000036</v>
      </c>
      <c r="AW21" s="17">
        <f t="shared" si="107"/>
        <v>3500</v>
      </c>
      <c r="AX21" s="17">
        <f t="shared" si="107"/>
        <v>0</v>
      </c>
      <c r="AY21" s="17">
        <f t="shared" si="107"/>
        <v>9099.99999999854</v>
      </c>
      <c r="AZ21" s="17">
        <f t="shared" si="9"/>
        <v>14199.9999999989</v>
      </c>
      <c r="BA21" s="17">
        <f t="shared" si="10"/>
        <v>9800.00000000291</v>
      </c>
      <c r="BB21" s="17">
        <f t="shared" si="11"/>
        <v>576.000000000349</v>
      </c>
      <c r="BC21" s="17">
        <f t="shared" si="37"/>
        <v>1447.99999999988</v>
      </c>
      <c r="BD21" s="17">
        <f t="shared" si="12"/>
        <v>10737.5999999933</v>
      </c>
      <c r="BE21" s="17">
        <f t="shared" si="13"/>
        <v>52299.9999999956</v>
      </c>
      <c r="BF21" s="17">
        <f t="shared" si="14"/>
        <v>53</v>
      </c>
      <c r="BG21" s="20">
        <f t="shared" si="15"/>
        <v>0.259303697680623</v>
      </c>
      <c r="BH21" s="20">
        <f t="shared" si="16"/>
        <v>0.0372762699931607</v>
      </c>
      <c r="BI21" s="20">
        <f t="shared" si="17"/>
        <v>0</v>
      </c>
      <c r="BJ21" s="20">
        <f t="shared" si="18"/>
        <v>0.0397632056481586</v>
      </c>
      <c r="BK21" s="20">
        <f t="shared" ref="BK21:BO21" si="108">IF(OR($AD21=0),"",AZ21/$AD21)</f>
        <v>0.0704036808234202</v>
      </c>
      <c r="BL21" s="20">
        <f t="shared" si="108"/>
        <v>0.0485884557795617</v>
      </c>
      <c r="BM21" s="20">
        <f t="shared" si="108"/>
        <v>0.00285581127847308</v>
      </c>
      <c r="BN21" s="20">
        <f t="shared" si="108"/>
        <v>0.00717919224171212</v>
      </c>
      <c r="BO21" s="20">
        <f t="shared" si="108"/>
        <v>0.0532370819161369</v>
      </c>
    </row>
    <row r="22" spans="1:67">
      <c r="A22" s="9">
        <f t="shared" si="20"/>
        <v>43727</v>
      </c>
      <c r="B22" s="10">
        <v>18840.8</v>
      </c>
      <c r="C22" s="8">
        <v>97523.6</v>
      </c>
      <c r="D22" s="8">
        <v>67646.7</v>
      </c>
      <c r="E22" s="8">
        <v>67975.2</v>
      </c>
      <c r="F22" s="8">
        <v>9698.36</v>
      </c>
      <c r="G22" s="8">
        <v>124083.6</v>
      </c>
      <c r="H22" s="8">
        <v>5709.7</v>
      </c>
      <c r="I22" s="8">
        <v>2566.3</v>
      </c>
      <c r="J22" s="8">
        <v>967</v>
      </c>
      <c r="K22" s="8">
        <v>56</v>
      </c>
      <c r="L22" s="8">
        <v>101655.8</v>
      </c>
      <c r="M22" s="8">
        <v>61530.5</v>
      </c>
      <c r="N22" s="8">
        <v>84293.4</v>
      </c>
      <c r="O22" s="8">
        <v>111936.5</v>
      </c>
      <c r="P22" s="8">
        <v>6350.5</v>
      </c>
      <c r="Q22" s="8">
        <v>8654.5</v>
      </c>
      <c r="R22" s="8">
        <v>5125.2</v>
      </c>
      <c r="S22" s="8">
        <v>6321.9</v>
      </c>
      <c r="T22" s="8">
        <v>8282.3</v>
      </c>
      <c r="U22" s="8">
        <v>19259</v>
      </c>
      <c r="V22" s="8">
        <v>55041.8</v>
      </c>
      <c r="W22" s="8">
        <v>59271.1</v>
      </c>
      <c r="X22" s="8">
        <v>6499.1</v>
      </c>
      <c r="Y22" s="8">
        <v>6614.7</v>
      </c>
      <c r="Z22" s="15">
        <f t="shared" si="21"/>
        <v>72384.9</v>
      </c>
      <c r="AA22" s="8">
        <v>7254</v>
      </c>
      <c r="AB22" s="13">
        <v>9161</v>
      </c>
      <c r="AC22" s="7">
        <f t="shared" si="1"/>
        <v>16415</v>
      </c>
      <c r="AD22" s="16">
        <v>200258</v>
      </c>
      <c r="AE22" s="17">
        <f t="shared" ref="AE22:AI22" si="109">IF(OR(C23=""),"",(C23-C22)*80)</f>
        <v>0</v>
      </c>
      <c r="AF22" s="17">
        <f t="shared" si="109"/>
        <v>960</v>
      </c>
      <c r="AG22" s="17">
        <f t="shared" si="109"/>
        <v>2832.0000000007</v>
      </c>
      <c r="AH22" s="17">
        <f t="shared" si="109"/>
        <v>1659.19999999998</v>
      </c>
      <c r="AI22" s="17">
        <f t="shared" si="109"/>
        <v>2271.99999999953</v>
      </c>
      <c r="AJ22" s="17">
        <f t="shared" si="3"/>
        <v>7723.20000000022</v>
      </c>
      <c r="AK22" s="17">
        <f t="shared" ref="AK22:AN22" si="110">IF(OR(H23=""),"",(H23-H22)*80)</f>
        <v>0</v>
      </c>
      <c r="AL22" s="17">
        <f t="shared" si="110"/>
        <v>0</v>
      </c>
      <c r="AM22" s="17">
        <f t="shared" si="110"/>
        <v>0</v>
      </c>
      <c r="AN22" s="17">
        <f t="shared" si="110"/>
        <v>0</v>
      </c>
      <c r="AO22" s="17">
        <f t="shared" si="5"/>
        <v>0</v>
      </c>
      <c r="AP22" s="17">
        <f t="shared" ref="AP22:AS22" si="111">IF(OR(L23=""),"",(L23-L22)*100)</f>
        <v>2739.99999999942</v>
      </c>
      <c r="AQ22" s="17">
        <f t="shared" si="111"/>
        <v>0</v>
      </c>
      <c r="AR22" s="17">
        <f t="shared" si="111"/>
        <v>2880.00000000029</v>
      </c>
      <c r="AS22" s="17">
        <f t="shared" si="111"/>
        <v>2269.99999999971</v>
      </c>
      <c r="AT22" s="17">
        <f t="shared" si="7"/>
        <v>7889.99999999942</v>
      </c>
      <c r="AU22" s="17">
        <f t="shared" ref="AU22:AY22" si="112">IF(OR(P23=""),"",(P23-P22)*1000)</f>
        <v>0</v>
      </c>
      <c r="AV22" s="17">
        <f t="shared" si="112"/>
        <v>0</v>
      </c>
      <c r="AW22" s="17">
        <f t="shared" si="112"/>
        <v>4600.00000000036</v>
      </c>
      <c r="AX22" s="17">
        <f t="shared" si="112"/>
        <v>0</v>
      </c>
      <c r="AY22" s="17">
        <f t="shared" si="112"/>
        <v>8400.00000000146</v>
      </c>
      <c r="AZ22" s="17">
        <f t="shared" si="9"/>
        <v>13000.0000000018</v>
      </c>
      <c r="BA22" s="17">
        <f t="shared" si="10"/>
        <v>9400.00000000146</v>
      </c>
      <c r="BB22" s="17">
        <f t="shared" si="11"/>
        <v>607.999999999884</v>
      </c>
      <c r="BC22" s="17">
        <f t="shared" si="37"/>
        <v>1444.00000000023</v>
      </c>
      <c r="BD22" s="17">
        <f t="shared" si="12"/>
        <v>12334.800000013</v>
      </c>
      <c r="BE22" s="17">
        <f t="shared" si="13"/>
        <v>52400.000000016</v>
      </c>
      <c r="BF22" s="17">
        <f t="shared" si="14"/>
        <v>56.2999999999993</v>
      </c>
      <c r="BG22" s="20">
        <f t="shared" si="15"/>
        <v>0.261662455432572</v>
      </c>
      <c r="BH22" s="20">
        <f t="shared" si="16"/>
        <v>0.0385662495380969</v>
      </c>
      <c r="BI22" s="20">
        <f t="shared" si="17"/>
        <v>0</v>
      </c>
      <c r="BJ22" s="20">
        <f t="shared" si="18"/>
        <v>0.0393991750641643</v>
      </c>
      <c r="BK22" s="20">
        <f t="shared" ref="BK22:BO22" si="113">IF(OR($AD22=0),"",AZ22/$AD22)</f>
        <v>0.0649162580271541</v>
      </c>
      <c r="BL22" s="20">
        <f t="shared" si="113"/>
        <v>0.0469394481119429</v>
      </c>
      <c r="BM22" s="20">
        <f t="shared" si="113"/>
        <v>0.00303608345234589</v>
      </c>
      <c r="BN22" s="20">
        <f t="shared" si="113"/>
        <v>0.00721069819932404</v>
      </c>
      <c r="BO22" s="20">
        <f t="shared" si="113"/>
        <v>0.0615945430395439</v>
      </c>
    </row>
    <row r="23" spans="1:67">
      <c r="A23" s="9">
        <f t="shared" si="20"/>
        <v>43728</v>
      </c>
      <c r="B23" s="10">
        <v>18846.04</v>
      </c>
      <c r="C23" s="8">
        <v>97523.6</v>
      </c>
      <c r="D23" s="8">
        <v>67658.7</v>
      </c>
      <c r="E23" s="8">
        <v>68010.6</v>
      </c>
      <c r="F23" s="8">
        <v>9719.1</v>
      </c>
      <c r="G23" s="8">
        <v>124112</v>
      </c>
      <c r="H23" s="8">
        <v>5709.7</v>
      </c>
      <c r="I23" s="8">
        <v>2566.3</v>
      </c>
      <c r="J23" s="8">
        <v>967</v>
      </c>
      <c r="K23" s="8">
        <v>56</v>
      </c>
      <c r="L23" s="8">
        <v>101683.2</v>
      </c>
      <c r="M23" s="8">
        <v>61530.5</v>
      </c>
      <c r="N23" s="8">
        <v>84322.2</v>
      </c>
      <c r="O23" s="8">
        <v>111959.2</v>
      </c>
      <c r="P23" s="8">
        <v>6350.5</v>
      </c>
      <c r="Q23" s="8">
        <v>8654.5</v>
      </c>
      <c r="R23" s="8">
        <v>5129.8</v>
      </c>
      <c r="S23" s="8">
        <v>6321.9</v>
      </c>
      <c r="T23" s="8">
        <v>8290.7</v>
      </c>
      <c r="U23" s="8">
        <v>19263.7</v>
      </c>
      <c r="V23" s="8">
        <v>55049.4</v>
      </c>
      <c r="W23" s="8">
        <v>59287.9</v>
      </c>
      <c r="X23" s="8">
        <v>6507.6</v>
      </c>
      <c r="Y23" s="8">
        <v>6625.5</v>
      </c>
      <c r="Z23" s="15">
        <f t="shared" si="21"/>
        <v>72421</v>
      </c>
      <c r="AA23" s="8">
        <v>7303.3</v>
      </c>
      <c r="AB23" s="13">
        <v>9168</v>
      </c>
      <c r="AC23" s="7">
        <f t="shared" si="1"/>
        <v>16471.3</v>
      </c>
      <c r="AD23" s="16">
        <v>206415</v>
      </c>
      <c r="AE23" s="17">
        <f t="shared" ref="AE23:AI23" si="114">IF(OR(C24=""),"",(C24-C23)*80)</f>
        <v>0</v>
      </c>
      <c r="AF23" s="17">
        <f t="shared" si="114"/>
        <v>144.000000000233</v>
      </c>
      <c r="AG23" s="17">
        <f t="shared" si="114"/>
        <v>2087.9999999993</v>
      </c>
      <c r="AH23" s="17">
        <f t="shared" si="114"/>
        <v>2088.7999999999</v>
      </c>
      <c r="AI23" s="17">
        <f t="shared" si="114"/>
        <v>2071.99999999953</v>
      </c>
      <c r="AJ23" s="17">
        <f t="shared" si="3"/>
        <v>6392.79999999897</v>
      </c>
      <c r="AK23" s="17">
        <f t="shared" ref="AK23:AN23" si="115">IF(OR(H24=""),"",(H24-H23)*80)</f>
        <v>0</v>
      </c>
      <c r="AL23" s="17">
        <f t="shared" si="115"/>
        <v>0</v>
      </c>
      <c r="AM23" s="17">
        <f t="shared" si="115"/>
        <v>0</v>
      </c>
      <c r="AN23" s="17">
        <f t="shared" si="115"/>
        <v>0</v>
      </c>
      <c r="AO23" s="17">
        <f t="shared" si="5"/>
        <v>0</v>
      </c>
      <c r="AP23" s="17">
        <f t="shared" ref="AP23:AS23" si="116">IF(OR(L24=""),"",(L24-L23)*100)</f>
        <v>2930.00000000029</v>
      </c>
      <c r="AQ23" s="17">
        <f t="shared" si="116"/>
        <v>0</v>
      </c>
      <c r="AR23" s="17">
        <f t="shared" si="116"/>
        <v>2769.99999999971</v>
      </c>
      <c r="AS23" s="17">
        <f t="shared" si="116"/>
        <v>2219.99999999971</v>
      </c>
      <c r="AT23" s="17">
        <f t="shared" si="7"/>
        <v>7919.99999999971</v>
      </c>
      <c r="AU23" s="17">
        <f t="shared" ref="AU23:AY23" si="117">IF(OR(P24=""),"",(P24-P23)*1000)</f>
        <v>0</v>
      </c>
      <c r="AV23" s="17">
        <f t="shared" si="117"/>
        <v>0</v>
      </c>
      <c r="AW23" s="17">
        <f t="shared" si="117"/>
        <v>4399.99999999964</v>
      </c>
      <c r="AX23" s="17">
        <f t="shared" si="117"/>
        <v>0</v>
      </c>
      <c r="AY23" s="17">
        <f t="shared" si="117"/>
        <v>8599.99999999854</v>
      </c>
      <c r="AZ23" s="17">
        <f t="shared" si="9"/>
        <v>12999.9999999982</v>
      </c>
      <c r="BA23" s="17">
        <f t="shared" si="10"/>
        <v>9400.00000000146</v>
      </c>
      <c r="BB23" s="17">
        <f t="shared" si="11"/>
        <v>583.999999999651</v>
      </c>
      <c r="BC23" s="17">
        <f t="shared" si="37"/>
        <v>1400</v>
      </c>
      <c r="BD23" s="17">
        <f t="shared" si="12"/>
        <v>12603.1999999758</v>
      </c>
      <c r="BE23" s="17">
        <f t="shared" si="13"/>
        <v>51299.9999999738</v>
      </c>
      <c r="BF23" s="17">
        <f t="shared" si="14"/>
        <v>60.5</v>
      </c>
      <c r="BG23" s="20">
        <f t="shared" si="15"/>
        <v>0.248528449967172</v>
      </c>
      <c r="BH23" s="20">
        <f t="shared" si="16"/>
        <v>0.0309706174454326</v>
      </c>
      <c r="BI23" s="20">
        <f t="shared" si="17"/>
        <v>0</v>
      </c>
      <c r="BJ23" s="20">
        <f t="shared" si="18"/>
        <v>0.0383693045563535</v>
      </c>
      <c r="BK23" s="20">
        <f t="shared" ref="BK23:BO23" si="118">IF(OR($AD23=0),"",AZ23/$AD23)</f>
        <v>0.0629799190950182</v>
      </c>
      <c r="BL23" s="20">
        <f t="shared" si="118"/>
        <v>0.0455393261148727</v>
      </c>
      <c r="BM23" s="20">
        <f t="shared" si="118"/>
        <v>0.00282925175011337</v>
      </c>
      <c r="BN23" s="20">
        <f t="shared" si="118"/>
        <v>0.00678245282561829</v>
      </c>
      <c r="BO23" s="20">
        <f t="shared" si="118"/>
        <v>0.0610575781797633</v>
      </c>
    </row>
    <row r="24" spans="1:67">
      <c r="A24" s="9">
        <f t="shared" si="20"/>
        <v>43729</v>
      </c>
      <c r="B24" s="10">
        <v>18851.17</v>
      </c>
      <c r="C24" s="8">
        <v>97523.6</v>
      </c>
      <c r="D24" s="8">
        <v>67660.5</v>
      </c>
      <c r="E24" s="8">
        <v>68036.7</v>
      </c>
      <c r="F24" s="8">
        <v>9745.21</v>
      </c>
      <c r="G24" s="8">
        <v>124137.9</v>
      </c>
      <c r="H24" s="8">
        <v>5709.7</v>
      </c>
      <c r="I24" s="8">
        <v>2566.3</v>
      </c>
      <c r="J24" s="8">
        <v>967</v>
      </c>
      <c r="K24" s="8">
        <v>56</v>
      </c>
      <c r="L24" s="8">
        <v>101712.5</v>
      </c>
      <c r="M24" s="8">
        <v>61530.5</v>
      </c>
      <c r="N24" s="8">
        <v>84349.9</v>
      </c>
      <c r="O24" s="8">
        <v>111981.4</v>
      </c>
      <c r="P24" s="8">
        <v>6350.5</v>
      </c>
      <c r="Q24" s="8">
        <v>8654.5</v>
      </c>
      <c r="R24" s="8">
        <v>5134.2</v>
      </c>
      <c r="S24" s="8">
        <v>6321.9</v>
      </c>
      <c r="T24" s="8">
        <v>8299.3</v>
      </c>
      <c r="U24" s="8">
        <v>19268.4</v>
      </c>
      <c r="V24" s="8">
        <v>55056.7</v>
      </c>
      <c r="W24" s="8">
        <v>59304.4</v>
      </c>
      <c r="X24" s="8">
        <v>6515.7</v>
      </c>
      <c r="Y24" s="8">
        <v>6635.9</v>
      </c>
      <c r="Z24" s="15">
        <f t="shared" si="21"/>
        <v>72456</v>
      </c>
      <c r="AA24" s="8">
        <v>7349.8</v>
      </c>
      <c r="AB24" s="13">
        <v>9182</v>
      </c>
      <c r="AC24" s="7">
        <f t="shared" si="1"/>
        <v>16531.8</v>
      </c>
      <c r="AD24" s="16">
        <v>206820</v>
      </c>
      <c r="AE24" s="17">
        <f t="shared" ref="AE24:AI24" si="119">IF(OR(C25=""),"",(C25-C24)*80)</f>
        <v>0</v>
      </c>
      <c r="AF24" s="17">
        <f t="shared" si="119"/>
        <v>304.000000000233</v>
      </c>
      <c r="AG24" s="17">
        <f t="shared" si="119"/>
        <v>2208.00000000047</v>
      </c>
      <c r="AH24" s="17">
        <f t="shared" si="119"/>
        <v>2039.20000000013</v>
      </c>
      <c r="AI24" s="17">
        <f t="shared" si="119"/>
        <v>2328.00000000047</v>
      </c>
      <c r="AJ24" s="17">
        <f t="shared" si="3"/>
        <v>6879.20000000129</v>
      </c>
      <c r="AK24" s="17">
        <f t="shared" ref="AK24:AN24" si="120">IF(OR(H25=""),"",(H25-H24)*80)</f>
        <v>0</v>
      </c>
      <c r="AL24" s="17">
        <f t="shared" si="120"/>
        <v>0</v>
      </c>
      <c r="AM24" s="17">
        <f t="shared" si="120"/>
        <v>0</v>
      </c>
      <c r="AN24" s="17">
        <f t="shared" si="120"/>
        <v>0</v>
      </c>
      <c r="AO24" s="17">
        <f t="shared" si="5"/>
        <v>0</v>
      </c>
      <c r="AP24" s="17">
        <f t="shared" ref="AP24:AS24" si="121">IF(OR(L25=""),"",(L25-L24)*100)</f>
        <v>3069.99999999971</v>
      </c>
      <c r="AQ24" s="17">
        <f t="shared" si="121"/>
        <v>0</v>
      </c>
      <c r="AR24" s="17">
        <f t="shared" si="121"/>
        <v>2870.00000000116</v>
      </c>
      <c r="AS24" s="17">
        <f t="shared" si="121"/>
        <v>2230.00000000029</v>
      </c>
      <c r="AT24" s="17">
        <f t="shared" si="7"/>
        <v>8170.00000000116</v>
      </c>
      <c r="AU24" s="17">
        <f t="shared" ref="AU24:AY24" si="122">IF(OR(P25=""),"",(P25-P24)*1000)</f>
        <v>0</v>
      </c>
      <c r="AV24" s="17">
        <f t="shared" si="122"/>
        <v>0</v>
      </c>
      <c r="AW24" s="17">
        <f t="shared" si="122"/>
        <v>4300.00000000018</v>
      </c>
      <c r="AX24" s="17">
        <f t="shared" si="122"/>
        <v>0</v>
      </c>
      <c r="AY24" s="17">
        <f t="shared" si="122"/>
        <v>8300.00000000109</v>
      </c>
      <c r="AZ24" s="17">
        <f t="shared" si="9"/>
        <v>12600.0000000013</v>
      </c>
      <c r="BA24" s="17">
        <f t="shared" si="10"/>
        <v>9599.99999999854</v>
      </c>
      <c r="BB24" s="17">
        <f t="shared" si="11"/>
        <v>584.000000000233</v>
      </c>
      <c r="BC24" s="17">
        <f t="shared" si="37"/>
        <v>1423.99999999965</v>
      </c>
      <c r="BD24" s="17">
        <f t="shared" si="12"/>
        <v>11842.8000000037</v>
      </c>
      <c r="BE24" s="17">
        <f t="shared" si="13"/>
        <v>51100.0000000058</v>
      </c>
      <c r="BF24" s="17">
        <f t="shared" si="14"/>
        <v>55.2000000000007</v>
      </c>
      <c r="BG24" s="20">
        <f t="shared" si="15"/>
        <v>0.247074750991228</v>
      </c>
      <c r="BH24" s="20">
        <f t="shared" si="16"/>
        <v>0.0332617735228764</v>
      </c>
      <c r="BI24" s="20">
        <f t="shared" si="17"/>
        <v>0</v>
      </c>
      <c r="BJ24" s="20">
        <f t="shared" si="18"/>
        <v>0.0395029494246261</v>
      </c>
      <c r="BK24" s="20">
        <f t="shared" ref="BK24:BO24" si="123">IF(OR($AD24=0),"",AZ24/$AD24)</f>
        <v>0.0609225413403021</v>
      </c>
      <c r="BL24" s="20">
        <f t="shared" si="123"/>
        <v>0.0464171743545041</v>
      </c>
      <c r="BM24" s="20">
        <f t="shared" si="123"/>
        <v>0.00282371143990056</v>
      </c>
      <c r="BN24" s="20">
        <f t="shared" si="123"/>
        <v>0.00688521419591747</v>
      </c>
      <c r="BO24" s="20">
        <f t="shared" si="123"/>
        <v>0.0572613867131015</v>
      </c>
    </row>
    <row r="25" spans="1:67">
      <c r="A25" s="9">
        <f t="shared" si="20"/>
        <v>43730</v>
      </c>
      <c r="B25" s="10">
        <v>18856.28</v>
      </c>
      <c r="C25" s="8">
        <v>97523.6</v>
      </c>
      <c r="D25" s="8">
        <v>67664.3</v>
      </c>
      <c r="E25" s="8">
        <v>68064.3</v>
      </c>
      <c r="F25" s="8">
        <v>9770.7</v>
      </c>
      <c r="G25" s="8">
        <v>124167</v>
      </c>
      <c r="H25" s="8">
        <v>5709.7</v>
      </c>
      <c r="I25" s="8">
        <v>2566.3</v>
      </c>
      <c r="J25" s="8">
        <v>967</v>
      </c>
      <c r="K25" s="8">
        <v>56</v>
      </c>
      <c r="L25" s="8">
        <v>101743.2</v>
      </c>
      <c r="M25" s="8">
        <v>61530.5</v>
      </c>
      <c r="N25" s="8">
        <v>84378.6</v>
      </c>
      <c r="O25" s="8">
        <v>112003.7</v>
      </c>
      <c r="P25" s="8">
        <v>6350.5</v>
      </c>
      <c r="Q25" s="8">
        <v>8654.5</v>
      </c>
      <c r="R25" s="8">
        <v>5138.5</v>
      </c>
      <c r="S25" s="8">
        <v>6321.9</v>
      </c>
      <c r="T25" s="8">
        <v>8307.6</v>
      </c>
      <c r="U25" s="8">
        <v>19273.2</v>
      </c>
      <c r="V25" s="8">
        <v>55064</v>
      </c>
      <c r="W25" s="8">
        <v>59321.2</v>
      </c>
      <c r="X25" s="8">
        <v>6524</v>
      </c>
      <c r="Y25" s="8">
        <v>6646.4</v>
      </c>
      <c r="Z25" s="15">
        <f t="shared" si="21"/>
        <v>72491.6</v>
      </c>
      <c r="AA25" s="8">
        <v>7399</v>
      </c>
      <c r="AB25" s="13">
        <v>9188</v>
      </c>
      <c r="AC25" s="7">
        <f t="shared" si="1"/>
        <v>16587</v>
      </c>
      <c r="AD25" s="16">
        <v>206046</v>
      </c>
      <c r="AE25" s="17">
        <f t="shared" ref="AE25:AI25" si="124">IF(OR(C26=""),"",(C26-C25)*80)</f>
        <v>0</v>
      </c>
      <c r="AF25" s="17">
        <f t="shared" si="124"/>
        <v>111.999999999534</v>
      </c>
      <c r="AG25" s="17">
        <f t="shared" si="124"/>
        <v>2280</v>
      </c>
      <c r="AH25" s="17">
        <f t="shared" si="124"/>
        <v>2208.7999999999</v>
      </c>
      <c r="AI25" s="17">
        <f t="shared" si="124"/>
        <v>2215.99999999977</v>
      </c>
      <c r="AJ25" s="17">
        <f t="shared" si="3"/>
        <v>6816.7999999992</v>
      </c>
      <c r="AK25" s="17">
        <f t="shared" ref="AK25:AN25" si="125">IF(OR(H26=""),"",(H26-H25)*80)</f>
        <v>0</v>
      </c>
      <c r="AL25" s="17">
        <f t="shared" si="125"/>
        <v>0</v>
      </c>
      <c r="AM25" s="17">
        <f t="shared" si="125"/>
        <v>0</v>
      </c>
      <c r="AN25" s="17">
        <f t="shared" si="125"/>
        <v>0</v>
      </c>
      <c r="AO25" s="17">
        <f t="shared" si="5"/>
        <v>0</v>
      </c>
      <c r="AP25" s="17">
        <f t="shared" ref="AP25:AS25" si="126">IF(OR(L26=""),"",(L26-L25)*100)</f>
        <v>3140.00000000087</v>
      </c>
      <c r="AQ25" s="17">
        <f t="shared" si="126"/>
        <v>0</v>
      </c>
      <c r="AR25" s="17">
        <f t="shared" si="126"/>
        <v>2909.99999999913</v>
      </c>
      <c r="AS25" s="17">
        <f t="shared" si="126"/>
        <v>2290.00000000087</v>
      </c>
      <c r="AT25" s="17">
        <f t="shared" si="7"/>
        <v>8340.00000000087</v>
      </c>
      <c r="AU25" s="17">
        <f t="shared" ref="AU25:AY25" si="127">IF(OR(P26=""),"",(P26-P25)*1000)</f>
        <v>0</v>
      </c>
      <c r="AV25" s="17">
        <f t="shared" si="127"/>
        <v>4700.00000000073</v>
      </c>
      <c r="AW25" s="17">
        <f t="shared" si="127"/>
        <v>1699.99999999982</v>
      </c>
      <c r="AX25" s="17">
        <f t="shared" si="127"/>
        <v>0</v>
      </c>
      <c r="AY25" s="17">
        <f t="shared" si="127"/>
        <v>9000</v>
      </c>
      <c r="AZ25" s="17">
        <f t="shared" si="9"/>
        <v>15400.0000000005</v>
      </c>
      <c r="BA25" s="17">
        <f t="shared" si="10"/>
        <v>9799.99999999563</v>
      </c>
      <c r="BB25" s="17">
        <f t="shared" si="11"/>
        <v>567.999999999884</v>
      </c>
      <c r="BC25" s="17">
        <f t="shared" si="37"/>
        <v>1412.00000000012</v>
      </c>
      <c r="BD25" s="17">
        <f t="shared" si="12"/>
        <v>7663.20000000374</v>
      </c>
      <c r="BE25" s="17">
        <f t="shared" si="13"/>
        <v>50000</v>
      </c>
      <c r="BF25" s="17">
        <f t="shared" si="14"/>
        <v>53.7000000000007</v>
      </c>
      <c r="BG25" s="20">
        <f t="shared" si="15"/>
        <v>0.242664259437213</v>
      </c>
      <c r="BH25" s="20">
        <f t="shared" si="16"/>
        <v>0.033083874474628</v>
      </c>
      <c r="BI25" s="20">
        <f t="shared" si="17"/>
        <v>0</v>
      </c>
      <c r="BJ25" s="20">
        <f t="shared" si="18"/>
        <v>0.0404763984741314</v>
      </c>
      <c r="BK25" s="20">
        <f t="shared" ref="BK25:BO25" si="128">IF(OR($AD25=0),"",AZ25/$AD25)</f>
        <v>0.0747405919066643</v>
      </c>
      <c r="BL25" s="20">
        <f t="shared" si="128"/>
        <v>0.0475621948496726</v>
      </c>
      <c r="BM25" s="20">
        <f t="shared" si="128"/>
        <v>0.00275666598720618</v>
      </c>
      <c r="BN25" s="20">
        <f t="shared" si="128"/>
        <v>0.00685283868650746</v>
      </c>
      <c r="BO25" s="20">
        <f t="shared" si="128"/>
        <v>0.0371916950584032</v>
      </c>
    </row>
    <row r="26" spans="1:67">
      <c r="A26" s="9">
        <f t="shared" si="20"/>
        <v>43731</v>
      </c>
      <c r="B26" s="10">
        <v>18861.28</v>
      </c>
      <c r="C26" s="8">
        <v>97523.6</v>
      </c>
      <c r="D26" s="8">
        <v>67665.7</v>
      </c>
      <c r="E26" s="8">
        <v>68092.8</v>
      </c>
      <c r="F26" s="8">
        <v>9798.31</v>
      </c>
      <c r="G26" s="8">
        <v>124194.7</v>
      </c>
      <c r="H26" s="8">
        <v>5709.7</v>
      </c>
      <c r="I26" s="8">
        <v>2566.3</v>
      </c>
      <c r="J26" s="8">
        <v>967</v>
      </c>
      <c r="K26" s="8">
        <v>56</v>
      </c>
      <c r="L26" s="8">
        <v>101774.6</v>
      </c>
      <c r="M26" s="8">
        <v>61530.5</v>
      </c>
      <c r="N26" s="8">
        <v>84407.7</v>
      </c>
      <c r="O26" s="8">
        <v>112026.6</v>
      </c>
      <c r="P26" s="8">
        <v>6350.5</v>
      </c>
      <c r="Q26" s="8">
        <v>8659.2</v>
      </c>
      <c r="R26" s="8">
        <v>5140.2</v>
      </c>
      <c r="S26" s="8">
        <v>6321.9</v>
      </c>
      <c r="T26" s="8">
        <v>8316.6</v>
      </c>
      <c r="U26" s="8">
        <v>19278.1</v>
      </c>
      <c r="V26" s="8">
        <v>55071.1</v>
      </c>
      <c r="W26" s="8">
        <v>59337.6</v>
      </c>
      <c r="X26" s="8">
        <v>6532.3</v>
      </c>
      <c r="Y26" s="8">
        <v>6657</v>
      </c>
      <c r="Z26" s="15">
        <f t="shared" si="21"/>
        <v>72526.9</v>
      </c>
      <c r="AA26" s="8">
        <v>7446.7</v>
      </c>
      <c r="AB26" s="13">
        <v>9194</v>
      </c>
      <c r="AC26" s="7">
        <f t="shared" si="1"/>
        <v>16640.7</v>
      </c>
      <c r="AD26" s="16">
        <v>205866</v>
      </c>
      <c r="AE26" s="17">
        <f t="shared" ref="AE26:AI26" si="129">IF(OR(C27=""),"",(C27-C26)*80)</f>
        <v>0</v>
      </c>
      <c r="AF26" s="17">
        <f t="shared" si="129"/>
        <v>880</v>
      </c>
      <c r="AG26" s="17">
        <f t="shared" si="129"/>
        <v>2640</v>
      </c>
      <c r="AH26" s="17">
        <f t="shared" si="129"/>
        <v>1671.2000000001</v>
      </c>
      <c r="AI26" s="17">
        <f t="shared" si="129"/>
        <v>2504.00000000023</v>
      </c>
      <c r="AJ26" s="17">
        <f t="shared" si="3"/>
        <v>7695.20000000033</v>
      </c>
      <c r="AK26" s="17">
        <f t="shared" ref="AK26:AN26" si="130">IF(OR(H27=""),"",(H27-H26)*80)</f>
        <v>0</v>
      </c>
      <c r="AL26" s="17">
        <f t="shared" si="130"/>
        <v>0</v>
      </c>
      <c r="AM26" s="17">
        <f t="shared" si="130"/>
        <v>0</v>
      </c>
      <c r="AN26" s="17">
        <f t="shared" si="130"/>
        <v>0</v>
      </c>
      <c r="AO26" s="17">
        <f t="shared" si="5"/>
        <v>0</v>
      </c>
      <c r="AP26" s="17">
        <f t="shared" ref="AP26:AS26" si="131">IF(OR(L27=""),"",(L27-L26)*100)</f>
        <v>3079.99999999884</v>
      </c>
      <c r="AQ26" s="17">
        <f t="shared" si="131"/>
        <v>0</v>
      </c>
      <c r="AR26" s="17">
        <f t="shared" si="131"/>
        <v>2900</v>
      </c>
      <c r="AS26" s="17">
        <f t="shared" si="131"/>
        <v>2200</v>
      </c>
      <c r="AT26" s="17">
        <f t="shared" si="7"/>
        <v>8179.99999999884</v>
      </c>
      <c r="AU26" s="17">
        <f t="shared" ref="AU26:AY26" si="132">IF(OR(P27=""),"",(P27-P26)*1000)</f>
        <v>500</v>
      </c>
      <c r="AV26" s="17">
        <f t="shared" si="132"/>
        <v>0</v>
      </c>
      <c r="AW26" s="17">
        <f t="shared" si="132"/>
        <v>3699.99999999982</v>
      </c>
      <c r="AX26" s="17">
        <f t="shared" si="132"/>
        <v>0</v>
      </c>
      <c r="AY26" s="17">
        <f t="shared" si="132"/>
        <v>8699.99999999891</v>
      </c>
      <c r="AZ26" s="17">
        <f t="shared" si="9"/>
        <v>12899.9999999987</v>
      </c>
      <c r="BA26" s="17">
        <f t="shared" si="10"/>
        <v>9600.00000000582</v>
      </c>
      <c r="BB26" s="17">
        <f t="shared" si="11"/>
        <v>552.000000000116</v>
      </c>
      <c r="BC26" s="17">
        <f t="shared" si="37"/>
        <v>1432.00000000012</v>
      </c>
      <c r="BD26" s="17">
        <f t="shared" si="12"/>
        <v>11540.8000000193</v>
      </c>
      <c r="BE26" s="17">
        <f t="shared" si="13"/>
        <v>51900.0000000233</v>
      </c>
      <c r="BF26" s="17">
        <f t="shared" si="14"/>
        <v>55.2000000000007</v>
      </c>
      <c r="BG26" s="20">
        <f t="shared" si="15"/>
        <v>0.2521057386845</v>
      </c>
      <c r="BH26" s="20">
        <f t="shared" si="16"/>
        <v>0.0373796547268628</v>
      </c>
      <c r="BI26" s="20">
        <f t="shared" si="17"/>
        <v>0</v>
      </c>
      <c r="BJ26" s="20">
        <f t="shared" si="18"/>
        <v>0.0397345846327166</v>
      </c>
      <c r="BK26" s="20">
        <f t="shared" ref="BK26:BO26" si="133">IF(OR($AD26=0),"",AZ26/$AD26)</f>
        <v>0.0626621200198125</v>
      </c>
      <c r="BL26" s="20">
        <f t="shared" si="133"/>
        <v>0.0466322753636143</v>
      </c>
      <c r="BM26" s="20">
        <f t="shared" si="133"/>
        <v>0.00268135583340676</v>
      </c>
      <c r="BN26" s="20">
        <f t="shared" si="133"/>
        <v>0.00695598107506881</v>
      </c>
      <c r="BO26" s="20">
        <f t="shared" si="133"/>
        <v>0.0560597670330183</v>
      </c>
    </row>
    <row r="27" spans="1:67">
      <c r="A27" s="9">
        <f t="shared" si="20"/>
        <v>43732</v>
      </c>
      <c r="B27" s="10">
        <v>18866.47</v>
      </c>
      <c r="C27" s="8">
        <v>97523.6</v>
      </c>
      <c r="D27" s="8">
        <v>67676.7</v>
      </c>
      <c r="E27" s="8">
        <v>68125.8</v>
      </c>
      <c r="F27" s="8">
        <v>9819.2</v>
      </c>
      <c r="G27" s="8">
        <v>124226</v>
      </c>
      <c r="H27" s="8">
        <v>5709.7</v>
      </c>
      <c r="I27" s="8">
        <v>2566.3</v>
      </c>
      <c r="J27" s="8">
        <v>967</v>
      </c>
      <c r="K27" s="8">
        <v>56</v>
      </c>
      <c r="L27" s="8">
        <v>101805.4</v>
      </c>
      <c r="M27" s="8">
        <v>61530.5</v>
      </c>
      <c r="N27" s="8">
        <v>84436.7</v>
      </c>
      <c r="O27" s="8">
        <v>112048.6</v>
      </c>
      <c r="P27" s="8">
        <v>6351</v>
      </c>
      <c r="Q27" s="8">
        <v>8659.2</v>
      </c>
      <c r="R27" s="8">
        <v>5143.9</v>
      </c>
      <c r="S27" s="8">
        <v>6321.9</v>
      </c>
      <c r="T27" s="8">
        <v>8325.3</v>
      </c>
      <c r="U27" s="8">
        <v>19282.9</v>
      </c>
      <c r="V27" s="8">
        <v>55078</v>
      </c>
      <c r="W27" s="8">
        <v>59354.5</v>
      </c>
      <c r="X27" s="8">
        <v>6540.7</v>
      </c>
      <c r="Y27" s="8">
        <v>6667.5</v>
      </c>
      <c r="Z27" s="15">
        <f t="shared" si="21"/>
        <v>72562.7</v>
      </c>
      <c r="AA27" s="8">
        <v>7495.9</v>
      </c>
      <c r="AB27" s="13">
        <v>9200</v>
      </c>
      <c r="AC27" s="7">
        <f t="shared" si="1"/>
        <v>16695.9</v>
      </c>
      <c r="AD27" s="16">
        <v>204832</v>
      </c>
      <c r="AE27" s="17">
        <f t="shared" ref="AE27:AI27" si="134">IF(OR(C28=""),"",(C28-C27)*80)</f>
        <v>0</v>
      </c>
      <c r="AF27" s="17">
        <f t="shared" si="134"/>
        <v>240</v>
      </c>
      <c r="AG27" s="17">
        <f t="shared" si="134"/>
        <v>2920</v>
      </c>
      <c r="AH27" s="17">
        <f t="shared" si="134"/>
        <v>2135.99999999991</v>
      </c>
      <c r="AI27" s="17">
        <f t="shared" si="134"/>
        <v>2440</v>
      </c>
      <c r="AJ27" s="17">
        <f t="shared" si="3"/>
        <v>7735.99999999991</v>
      </c>
      <c r="AK27" s="17">
        <f t="shared" ref="AK27:AN27" si="135">IF(OR(H28=""),"",(H28-H27)*80)</f>
        <v>0</v>
      </c>
      <c r="AL27" s="17">
        <f t="shared" si="135"/>
        <v>0</v>
      </c>
      <c r="AM27" s="17">
        <f t="shared" si="135"/>
        <v>0</v>
      </c>
      <c r="AN27" s="17">
        <f t="shared" si="135"/>
        <v>0</v>
      </c>
      <c r="AO27" s="17">
        <f t="shared" si="5"/>
        <v>0</v>
      </c>
      <c r="AP27" s="17">
        <f t="shared" ref="AP27:AS27" si="136">IF(OR(L28=""),"",(L28-L27)*100)</f>
        <v>2980.00000000029</v>
      </c>
      <c r="AQ27" s="17">
        <f t="shared" si="136"/>
        <v>0</v>
      </c>
      <c r="AR27" s="17">
        <f t="shared" si="136"/>
        <v>2900</v>
      </c>
      <c r="AS27" s="17">
        <f t="shared" si="136"/>
        <v>2239.99999999942</v>
      </c>
      <c r="AT27" s="17">
        <f t="shared" si="7"/>
        <v>8119.99999999971</v>
      </c>
      <c r="AU27" s="17">
        <f t="shared" ref="AU27:AY27" si="137">IF(OR(P28=""),"",(P28-P27)*1000)</f>
        <v>0</v>
      </c>
      <c r="AV27" s="17">
        <f t="shared" si="137"/>
        <v>0</v>
      </c>
      <c r="AW27" s="17">
        <f t="shared" si="137"/>
        <v>4400.00000000055</v>
      </c>
      <c r="AX27" s="17">
        <f t="shared" si="137"/>
        <v>0</v>
      </c>
      <c r="AY27" s="17">
        <f t="shared" si="137"/>
        <v>8500</v>
      </c>
      <c r="AZ27" s="17">
        <f t="shared" si="9"/>
        <v>12900.0000000005</v>
      </c>
      <c r="BA27" s="17">
        <f t="shared" si="10"/>
        <v>9799.99999999563</v>
      </c>
      <c r="BB27" s="17">
        <f t="shared" si="11"/>
        <v>584.000000000233</v>
      </c>
      <c r="BC27" s="17">
        <f t="shared" si="37"/>
        <v>1404.00000000023</v>
      </c>
      <c r="BD27" s="17">
        <f t="shared" si="12"/>
        <v>11555.999999995</v>
      </c>
      <c r="BE27" s="17">
        <f t="shared" si="13"/>
        <v>52099.9999999913</v>
      </c>
      <c r="BF27" s="17">
        <f t="shared" si="14"/>
        <v>53.5</v>
      </c>
      <c r="BG27" s="20">
        <f t="shared" si="15"/>
        <v>0.254354788314283</v>
      </c>
      <c r="BH27" s="20">
        <f t="shared" si="16"/>
        <v>0.0377675363224492</v>
      </c>
      <c r="BI27" s="20">
        <f t="shared" si="17"/>
        <v>0</v>
      </c>
      <c r="BJ27" s="20">
        <f t="shared" si="18"/>
        <v>0.0396422433994674</v>
      </c>
      <c r="BK27" s="20">
        <f t="shared" ref="BK27:BO27" si="138">IF(OR($AD27=0),"",AZ27/$AD27)</f>
        <v>0.0629784408686169</v>
      </c>
      <c r="BL27" s="20">
        <f t="shared" si="138"/>
        <v>0.0478440868614066</v>
      </c>
      <c r="BM27" s="20">
        <f t="shared" si="138"/>
        <v>0.00285111701296786</v>
      </c>
      <c r="BN27" s="20">
        <f t="shared" si="138"/>
        <v>0.00685439775035264</v>
      </c>
      <c r="BO27" s="20">
        <f t="shared" si="138"/>
        <v>0.0564169660990226</v>
      </c>
    </row>
    <row r="28" spans="1:67">
      <c r="A28" s="9">
        <f t="shared" si="20"/>
        <v>43733</v>
      </c>
      <c r="B28" s="10">
        <v>18871.68</v>
      </c>
      <c r="C28" s="8">
        <v>97523.6</v>
      </c>
      <c r="D28" s="8">
        <v>67679.7</v>
      </c>
      <c r="E28" s="8">
        <v>68162.3</v>
      </c>
      <c r="F28" s="8">
        <v>9845.9</v>
      </c>
      <c r="G28" s="8">
        <v>124256.5</v>
      </c>
      <c r="H28" s="8">
        <v>5709.7</v>
      </c>
      <c r="I28" s="8">
        <v>2566.3</v>
      </c>
      <c r="J28" s="8">
        <v>967</v>
      </c>
      <c r="K28" s="8">
        <v>56</v>
      </c>
      <c r="L28" s="8">
        <v>101835.2</v>
      </c>
      <c r="M28" s="8">
        <v>61530.5</v>
      </c>
      <c r="N28" s="8">
        <v>84465.7</v>
      </c>
      <c r="O28" s="8">
        <v>112071</v>
      </c>
      <c r="P28" s="8">
        <v>6351</v>
      </c>
      <c r="Q28" s="8">
        <v>8659.2</v>
      </c>
      <c r="R28" s="8">
        <v>5148.3</v>
      </c>
      <c r="S28" s="8">
        <v>6321.9</v>
      </c>
      <c r="T28" s="8">
        <v>8333.8</v>
      </c>
      <c r="U28" s="8">
        <v>19287.8</v>
      </c>
      <c r="V28" s="8">
        <v>55085.3</v>
      </c>
      <c r="W28" s="8">
        <v>59371.1</v>
      </c>
      <c r="X28" s="8">
        <v>6548.9</v>
      </c>
      <c r="Y28" s="8">
        <v>6677.8</v>
      </c>
      <c r="Z28" s="15">
        <f t="shared" si="21"/>
        <v>72597.8</v>
      </c>
      <c r="AA28" s="8">
        <v>7544.4</v>
      </c>
      <c r="AB28" s="13">
        <v>9205</v>
      </c>
      <c r="AC28" s="7">
        <f t="shared" si="1"/>
        <v>16749.4</v>
      </c>
      <c r="AD28" s="16">
        <v>204167</v>
      </c>
      <c r="AE28" s="17">
        <f t="shared" ref="AE28:AI28" si="139">IF(OR(C29=""),"",(C29-C28)*80)</f>
        <v>0</v>
      </c>
      <c r="AF28" s="17">
        <f t="shared" si="139"/>
        <v>528.000000000466</v>
      </c>
      <c r="AG28" s="17">
        <f t="shared" si="139"/>
        <v>3071.99999999953</v>
      </c>
      <c r="AH28" s="17">
        <f t="shared" si="139"/>
        <v>1962.40000000005</v>
      </c>
      <c r="AI28" s="17">
        <f t="shared" si="139"/>
        <v>2544.00000000023</v>
      </c>
      <c r="AJ28" s="17">
        <f t="shared" si="3"/>
        <v>8106.40000000029</v>
      </c>
      <c r="AK28" s="17">
        <f t="shared" ref="AK28:AN28" si="140">IF(OR(H29=""),"",(H29-H28)*80)</f>
        <v>0</v>
      </c>
      <c r="AL28" s="17">
        <f t="shared" si="140"/>
        <v>0</v>
      </c>
      <c r="AM28" s="17">
        <f t="shared" si="140"/>
        <v>0</v>
      </c>
      <c r="AN28" s="17">
        <f t="shared" si="140"/>
        <v>0</v>
      </c>
      <c r="AO28" s="17">
        <f t="shared" si="5"/>
        <v>0</v>
      </c>
      <c r="AP28" s="17">
        <f t="shared" ref="AP28:AS28" si="141">IF(OR(L29=""),"",(L29-L28)*100)</f>
        <v>3000</v>
      </c>
      <c r="AQ28" s="17">
        <f t="shared" si="141"/>
        <v>0</v>
      </c>
      <c r="AR28" s="17">
        <f t="shared" si="141"/>
        <v>2910.00000000058</v>
      </c>
      <c r="AS28" s="17">
        <f t="shared" si="141"/>
        <v>2319.99999999971</v>
      </c>
      <c r="AT28" s="17">
        <f t="shared" si="7"/>
        <v>8230.00000000029</v>
      </c>
      <c r="AU28" s="17">
        <f t="shared" ref="AU28:AY28" si="142">IF(OR(P29=""),"",(P29-P28)*1000)</f>
        <v>0</v>
      </c>
      <c r="AV28" s="17">
        <f t="shared" si="142"/>
        <v>0</v>
      </c>
      <c r="AW28" s="17">
        <f t="shared" si="142"/>
        <v>4500</v>
      </c>
      <c r="AX28" s="17">
        <f t="shared" si="142"/>
        <v>0</v>
      </c>
      <c r="AY28" s="17">
        <f t="shared" si="142"/>
        <v>9100.00000000036</v>
      </c>
      <c r="AZ28" s="17">
        <f t="shared" si="9"/>
        <v>13600.0000000004</v>
      </c>
      <c r="BA28" s="17">
        <f t="shared" si="10"/>
        <v>10000</v>
      </c>
      <c r="BB28" s="17">
        <f t="shared" si="11"/>
        <v>591.999999999534</v>
      </c>
      <c r="BC28" s="17">
        <f t="shared" si="37"/>
        <v>1447.99999999988</v>
      </c>
      <c r="BD28" s="17">
        <f t="shared" si="12"/>
        <v>12123.5999999982</v>
      </c>
      <c r="BE28" s="17">
        <f t="shared" si="13"/>
        <v>54099.9999999985</v>
      </c>
      <c r="BF28" s="17">
        <f t="shared" si="14"/>
        <v>55.2999999999993</v>
      </c>
      <c r="BG28" s="20">
        <f t="shared" si="15"/>
        <v>0.264979159217692</v>
      </c>
      <c r="BH28" s="20">
        <f t="shared" si="16"/>
        <v>0.0397047515024479</v>
      </c>
      <c r="BI28" s="20">
        <f t="shared" si="17"/>
        <v>0</v>
      </c>
      <c r="BJ28" s="20">
        <f t="shared" si="18"/>
        <v>0.0403101382691634</v>
      </c>
      <c r="BK28" s="20">
        <f t="shared" ref="BK28:BO28" si="143">IF(OR($AD28=0),"",AZ28/$AD28)</f>
        <v>0.066612136143453</v>
      </c>
      <c r="BL28" s="20">
        <f t="shared" si="143"/>
        <v>0.0489795118701847</v>
      </c>
      <c r="BM28" s="20">
        <f t="shared" si="143"/>
        <v>0.00289958710271265</v>
      </c>
      <c r="BN28" s="20">
        <f t="shared" si="143"/>
        <v>0.00709223331880217</v>
      </c>
      <c r="BO28" s="20">
        <f t="shared" si="143"/>
        <v>0.0593808010109282</v>
      </c>
    </row>
    <row r="29" spans="1:67">
      <c r="A29" s="9">
        <f t="shared" si="20"/>
        <v>43734</v>
      </c>
      <c r="B29" s="10">
        <v>18877.09</v>
      </c>
      <c r="C29" s="8">
        <v>97523.6</v>
      </c>
      <c r="D29" s="8">
        <v>67686.3</v>
      </c>
      <c r="E29" s="8">
        <v>68200.7</v>
      </c>
      <c r="F29" s="8">
        <v>9870.43</v>
      </c>
      <c r="G29" s="8">
        <v>124288.3</v>
      </c>
      <c r="H29" s="8">
        <v>5709.7</v>
      </c>
      <c r="I29" s="8">
        <v>2566.3</v>
      </c>
      <c r="J29" s="8">
        <v>967</v>
      </c>
      <c r="K29" s="8">
        <v>56</v>
      </c>
      <c r="L29" s="8">
        <v>101865.2</v>
      </c>
      <c r="M29" s="8">
        <v>61530.5</v>
      </c>
      <c r="N29" s="8">
        <v>84494.8</v>
      </c>
      <c r="O29" s="8">
        <v>112094.2</v>
      </c>
      <c r="P29" s="8">
        <v>6351</v>
      </c>
      <c r="Q29" s="8">
        <v>8659.2</v>
      </c>
      <c r="R29" s="8">
        <v>5152.8</v>
      </c>
      <c r="S29" s="8">
        <v>6321.9</v>
      </c>
      <c r="T29" s="8">
        <v>8342.9</v>
      </c>
      <c r="U29" s="8">
        <v>19292.8</v>
      </c>
      <c r="V29" s="8">
        <v>55092.7</v>
      </c>
      <c r="W29" s="8">
        <v>59388.1</v>
      </c>
      <c r="X29" s="8">
        <v>6557.4</v>
      </c>
      <c r="Y29" s="8">
        <v>6688.5</v>
      </c>
      <c r="Z29" s="15">
        <f t="shared" si="21"/>
        <v>72634</v>
      </c>
      <c r="AA29" s="8">
        <v>7593.7</v>
      </c>
      <c r="AB29" s="13">
        <v>9211</v>
      </c>
      <c r="AC29" s="7">
        <f t="shared" si="1"/>
        <v>16804.7</v>
      </c>
      <c r="AD29" s="16">
        <v>201858</v>
      </c>
      <c r="AE29" s="17">
        <f t="shared" ref="AE29:AI29" si="144">IF(OR(C30=""),"",(C30-C29)*80)</f>
        <v>0</v>
      </c>
      <c r="AF29" s="17">
        <f t="shared" si="144"/>
        <v>344.000000000233</v>
      </c>
      <c r="AG29" s="17">
        <f t="shared" si="144"/>
        <v>2024.00000000023</v>
      </c>
      <c r="AH29" s="17">
        <f t="shared" si="144"/>
        <v>2011.19999999995</v>
      </c>
      <c r="AI29" s="17">
        <f t="shared" si="144"/>
        <v>2327.9999999993</v>
      </c>
      <c r="AJ29" s="17">
        <f t="shared" si="3"/>
        <v>6707.19999999972</v>
      </c>
      <c r="AK29" s="17">
        <f t="shared" ref="AK29:AN29" si="145">IF(OR(H30=""),"",(H30-H29)*80)</f>
        <v>0</v>
      </c>
      <c r="AL29" s="17">
        <f t="shared" si="145"/>
        <v>0</v>
      </c>
      <c r="AM29" s="17">
        <f t="shared" si="145"/>
        <v>0</v>
      </c>
      <c r="AN29" s="17">
        <f t="shared" si="145"/>
        <v>0</v>
      </c>
      <c r="AO29" s="17">
        <f t="shared" si="5"/>
        <v>0</v>
      </c>
      <c r="AP29" s="17">
        <f t="shared" ref="AP29:AS29" si="146">IF(OR(L30=""),"",(L30-L29)*100)</f>
        <v>2819.99999999971</v>
      </c>
      <c r="AQ29" s="17">
        <f t="shared" si="146"/>
        <v>0</v>
      </c>
      <c r="AR29" s="17">
        <f t="shared" si="146"/>
        <v>2919.99999999971</v>
      </c>
      <c r="AS29" s="17">
        <f t="shared" si="146"/>
        <v>2210.00000000058</v>
      </c>
      <c r="AT29" s="17">
        <f t="shared" si="7"/>
        <v>7950</v>
      </c>
      <c r="AU29" s="17">
        <f t="shared" ref="AU29:AY29" si="147">IF(OR(P30=""),"",(P30-P29)*1000)</f>
        <v>0</v>
      </c>
      <c r="AV29" s="17">
        <f t="shared" si="147"/>
        <v>1799.99999999927</v>
      </c>
      <c r="AW29" s="17">
        <f t="shared" si="147"/>
        <v>3500</v>
      </c>
      <c r="AX29" s="17">
        <f t="shared" si="147"/>
        <v>0</v>
      </c>
      <c r="AY29" s="17">
        <f t="shared" si="147"/>
        <v>8800.00000000109</v>
      </c>
      <c r="AZ29" s="17">
        <f t="shared" si="9"/>
        <v>14100.0000000004</v>
      </c>
      <c r="BA29" s="17">
        <f t="shared" si="10"/>
        <v>9400.00000000146</v>
      </c>
      <c r="BB29" s="17">
        <f t="shared" si="11"/>
        <v>512.000000000116</v>
      </c>
      <c r="BC29" s="17">
        <f t="shared" si="37"/>
        <v>1427.99999999988</v>
      </c>
      <c r="BD29" s="17">
        <f t="shared" si="12"/>
        <v>11102.7999999883</v>
      </c>
      <c r="BE29" s="17">
        <f t="shared" si="13"/>
        <v>51199.9999999898</v>
      </c>
      <c r="BF29" s="17">
        <f t="shared" si="14"/>
        <v>53.2000000000007</v>
      </c>
      <c r="BG29" s="20">
        <f t="shared" si="15"/>
        <v>0.253643650486926</v>
      </c>
      <c r="BH29" s="20">
        <f t="shared" si="16"/>
        <v>0.0332273182137925</v>
      </c>
      <c r="BI29" s="20">
        <f t="shared" si="17"/>
        <v>0</v>
      </c>
      <c r="BJ29" s="20">
        <f t="shared" si="18"/>
        <v>0.0393841215111613</v>
      </c>
      <c r="BK29" s="20">
        <f t="shared" ref="BK29:BO29" si="148">IF(OR($AD29=0),"",AZ29/$AD29)</f>
        <v>0.0698510834348917</v>
      </c>
      <c r="BL29" s="20">
        <f t="shared" si="148"/>
        <v>0.0465673889566005</v>
      </c>
      <c r="BM29" s="20">
        <f t="shared" si="148"/>
        <v>0.00253643650487034</v>
      </c>
      <c r="BN29" s="20">
        <f t="shared" si="148"/>
        <v>0.00707427993936274</v>
      </c>
      <c r="BO29" s="20">
        <f t="shared" si="148"/>
        <v>0.0550030219262465</v>
      </c>
    </row>
    <row r="30" spans="1:67">
      <c r="A30" s="9">
        <f t="shared" si="20"/>
        <v>43735</v>
      </c>
      <c r="B30" s="10">
        <v>18882.21</v>
      </c>
      <c r="C30" s="8">
        <v>97523.6</v>
      </c>
      <c r="D30" s="8">
        <v>67690.6</v>
      </c>
      <c r="E30" s="8">
        <v>68226</v>
      </c>
      <c r="F30" s="8">
        <v>9895.57</v>
      </c>
      <c r="G30" s="8">
        <v>124317.4</v>
      </c>
      <c r="H30" s="8">
        <v>5709.7</v>
      </c>
      <c r="I30" s="8">
        <v>2566.3</v>
      </c>
      <c r="J30" s="8">
        <v>967</v>
      </c>
      <c r="K30" s="8">
        <v>56</v>
      </c>
      <c r="L30" s="8">
        <v>101893.4</v>
      </c>
      <c r="M30" s="8">
        <v>61530.5</v>
      </c>
      <c r="N30" s="8">
        <v>84524</v>
      </c>
      <c r="O30" s="8">
        <v>112116.3</v>
      </c>
      <c r="P30" s="8">
        <v>6351</v>
      </c>
      <c r="Q30" s="8">
        <v>8661</v>
      </c>
      <c r="R30" s="8">
        <v>5156.3</v>
      </c>
      <c r="S30" s="8">
        <v>6321.9</v>
      </c>
      <c r="T30" s="8">
        <v>8351.7</v>
      </c>
      <c r="U30" s="8">
        <v>19297.5</v>
      </c>
      <c r="V30" s="8">
        <v>55099.1</v>
      </c>
      <c r="W30" s="8">
        <v>59404.8</v>
      </c>
      <c r="X30" s="8">
        <v>6565.9</v>
      </c>
      <c r="Y30" s="8">
        <v>6699</v>
      </c>
      <c r="Z30" s="15">
        <f t="shared" si="21"/>
        <v>72669.7</v>
      </c>
      <c r="AA30" s="8">
        <v>7640.9</v>
      </c>
      <c r="AB30" s="13">
        <v>9217</v>
      </c>
      <c r="AC30" s="7">
        <f t="shared" si="1"/>
        <v>16857.9</v>
      </c>
      <c r="AD30" s="16">
        <v>203373</v>
      </c>
      <c r="AE30" s="17">
        <f t="shared" ref="AE30:AI30" si="149">IF(OR(C31=""),"",(C31-C30)*80)</f>
        <v>0</v>
      </c>
      <c r="AF30" s="17">
        <f t="shared" si="149"/>
        <v>967.999999999302</v>
      </c>
      <c r="AG30" s="17">
        <f t="shared" si="149"/>
        <v>2271.99999999953</v>
      </c>
      <c r="AH30" s="17">
        <f t="shared" si="149"/>
        <v>1594.40000000002</v>
      </c>
      <c r="AI30" s="17">
        <f t="shared" si="149"/>
        <v>2408.00000000047</v>
      </c>
      <c r="AJ30" s="17">
        <f t="shared" si="3"/>
        <v>7242.39999999932</v>
      </c>
      <c r="AK30" s="17">
        <f t="shared" ref="AK30:AN30" si="150">IF(OR(H31=""),"",(H31-H30)*80)</f>
        <v>0</v>
      </c>
      <c r="AL30" s="17">
        <f t="shared" si="150"/>
        <v>0</v>
      </c>
      <c r="AM30" s="17">
        <f t="shared" si="150"/>
        <v>0</v>
      </c>
      <c r="AN30" s="17">
        <f t="shared" si="150"/>
        <v>0</v>
      </c>
      <c r="AO30" s="17">
        <f t="shared" si="5"/>
        <v>0</v>
      </c>
      <c r="AP30" s="17">
        <f t="shared" ref="AP30:AS30" si="151">IF(OR(L31=""),"",(L31-L30)*100)</f>
        <v>3170.00000000116</v>
      </c>
      <c r="AQ30" s="17">
        <f t="shared" si="151"/>
        <v>9.99999999985448</v>
      </c>
      <c r="AR30" s="17">
        <f t="shared" si="151"/>
        <v>2910.00000000058</v>
      </c>
      <c r="AS30" s="17">
        <f t="shared" si="151"/>
        <v>2239.99999999942</v>
      </c>
      <c r="AT30" s="17">
        <f t="shared" si="7"/>
        <v>8330.00000000102</v>
      </c>
      <c r="AU30" s="17">
        <f t="shared" ref="AU30:AY30" si="152">IF(OR(P31=""),"",(P31-P30)*1000)</f>
        <v>0</v>
      </c>
      <c r="AV30" s="17">
        <f t="shared" si="152"/>
        <v>0</v>
      </c>
      <c r="AW30" s="17">
        <f t="shared" si="152"/>
        <v>4500</v>
      </c>
      <c r="AX30" s="17">
        <f t="shared" si="152"/>
        <v>0</v>
      </c>
      <c r="AY30" s="17">
        <f t="shared" si="152"/>
        <v>8599.99999999854</v>
      </c>
      <c r="AZ30" s="17">
        <f t="shared" si="9"/>
        <v>13099.9999999985</v>
      </c>
      <c r="BA30" s="17">
        <f t="shared" si="10"/>
        <v>10000</v>
      </c>
      <c r="BB30" s="17">
        <f t="shared" si="11"/>
        <v>544.000000000233</v>
      </c>
      <c r="BC30" s="17">
        <f t="shared" si="37"/>
        <v>1440</v>
      </c>
      <c r="BD30" s="17">
        <f t="shared" si="12"/>
        <v>12043.6000000052</v>
      </c>
      <c r="BE30" s="17">
        <f t="shared" si="13"/>
        <v>52700.0000000044</v>
      </c>
      <c r="BF30" s="17">
        <f t="shared" si="14"/>
        <v>54.6999999999971</v>
      </c>
      <c r="BG30" s="20">
        <f t="shared" si="15"/>
        <v>0.259129776322345</v>
      </c>
      <c r="BH30" s="20">
        <f t="shared" si="16"/>
        <v>0.0356114135111314</v>
      </c>
      <c r="BI30" s="20">
        <f t="shared" si="17"/>
        <v>0</v>
      </c>
      <c r="BJ30" s="20">
        <f t="shared" si="18"/>
        <v>0.0409592227090175</v>
      </c>
      <c r="BK30" s="20">
        <f t="shared" ref="BK30:BO30" si="153">IF(OR($AD30=0),"",AZ30/$AD30)</f>
        <v>0.0644136635639861</v>
      </c>
      <c r="BL30" s="20">
        <f t="shared" si="153"/>
        <v>0.049170735545033</v>
      </c>
      <c r="BM30" s="20">
        <f t="shared" si="153"/>
        <v>0.00267488801365094</v>
      </c>
      <c r="BN30" s="20">
        <f t="shared" si="153"/>
        <v>0.00708058591848475</v>
      </c>
      <c r="BO30" s="20">
        <f t="shared" si="153"/>
        <v>0.0592192670610418</v>
      </c>
    </row>
    <row r="31" spans="1:67">
      <c r="A31" s="9">
        <f t="shared" si="20"/>
        <v>43736</v>
      </c>
      <c r="B31" s="10">
        <v>18887.48</v>
      </c>
      <c r="C31" s="8">
        <v>97523.6</v>
      </c>
      <c r="D31" s="8">
        <v>67702.7</v>
      </c>
      <c r="E31" s="8">
        <v>68254.4</v>
      </c>
      <c r="F31" s="8">
        <v>9915.5</v>
      </c>
      <c r="G31" s="8">
        <v>124347.5</v>
      </c>
      <c r="H31" s="8">
        <v>5709.7</v>
      </c>
      <c r="I31" s="8">
        <v>2566.3</v>
      </c>
      <c r="J31" s="8">
        <v>967</v>
      </c>
      <c r="K31" s="8">
        <v>56</v>
      </c>
      <c r="L31" s="8">
        <v>101925.1</v>
      </c>
      <c r="M31" s="8">
        <v>61530.6</v>
      </c>
      <c r="N31" s="8">
        <v>84553.1</v>
      </c>
      <c r="O31" s="8">
        <v>112138.7</v>
      </c>
      <c r="P31" s="8">
        <v>6351</v>
      </c>
      <c r="Q31" s="8">
        <v>8661</v>
      </c>
      <c r="R31" s="8">
        <v>5160.8</v>
      </c>
      <c r="S31" s="8">
        <v>6321.9</v>
      </c>
      <c r="T31" s="8">
        <v>8360.3</v>
      </c>
      <c r="U31" s="8">
        <v>19302.5</v>
      </c>
      <c r="V31" s="8">
        <v>55105.9</v>
      </c>
      <c r="W31" s="8">
        <v>59421.9</v>
      </c>
      <c r="X31" s="8">
        <v>6574.3</v>
      </c>
      <c r="Y31" s="8">
        <v>6709.5</v>
      </c>
      <c r="Z31" s="15">
        <f t="shared" si="21"/>
        <v>72705.7</v>
      </c>
      <c r="AA31" s="8">
        <v>7690.6</v>
      </c>
      <c r="AB31" s="13">
        <v>9222</v>
      </c>
      <c r="AC31" s="7">
        <f t="shared" si="1"/>
        <v>16912.6</v>
      </c>
      <c r="AD31" s="16">
        <v>206099</v>
      </c>
      <c r="AE31" s="17">
        <f t="shared" ref="AE31:AI31" si="154">IF(OR(C32=""),"",(C32-C31)*80)</f>
        <v>0</v>
      </c>
      <c r="AF31" s="17">
        <f t="shared" si="154"/>
        <v>2968.00000000047</v>
      </c>
      <c r="AG31" s="17">
        <f t="shared" si="154"/>
        <v>2696.00000000093</v>
      </c>
      <c r="AH31" s="17">
        <f t="shared" si="154"/>
        <v>8.0000000000291</v>
      </c>
      <c r="AI31" s="17">
        <f t="shared" si="154"/>
        <v>2520</v>
      </c>
      <c r="AJ31" s="17">
        <f t="shared" si="3"/>
        <v>8192.00000000143</v>
      </c>
      <c r="AK31" s="17">
        <f t="shared" ref="AK31:AN31" si="155">IF(OR(H32=""),"",(H32-H31)*80)</f>
        <v>0</v>
      </c>
      <c r="AL31" s="17">
        <f t="shared" si="155"/>
        <v>0</v>
      </c>
      <c r="AM31" s="17">
        <f t="shared" si="155"/>
        <v>0</v>
      </c>
      <c r="AN31" s="17">
        <f t="shared" si="155"/>
        <v>0</v>
      </c>
      <c r="AO31" s="17">
        <f t="shared" si="5"/>
        <v>0</v>
      </c>
      <c r="AP31" s="17">
        <f t="shared" ref="AP31:AS31" si="156">IF(OR(L32=""),"",(L32-L31)*100)</f>
        <v>3069.99999999971</v>
      </c>
      <c r="AQ31" s="17">
        <f t="shared" si="156"/>
        <v>0</v>
      </c>
      <c r="AR31" s="17">
        <f t="shared" si="156"/>
        <v>2839.99999999942</v>
      </c>
      <c r="AS31" s="17">
        <f t="shared" si="156"/>
        <v>2240.00000000087</v>
      </c>
      <c r="AT31" s="17">
        <f t="shared" si="7"/>
        <v>8150</v>
      </c>
      <c r="AU31" s="17">
        <f t="shared" ref="AU31:AY31" si="157">IF(OR(P32=""),"",(P32-P31)*1000)</f>
        <v>0</v>
      </c>
      <c r="AV31" s="17">
        <f t="shared" si="157"/>
        <v>0</v>
      </c>
      <c r="AW31" s="17">
        <f t="shared" si="157"/>
        <v>4300.00000000018</v>
      </c>
      <c r="AX31" s="17">
        <f t="shared" si="157"/>
        <v>0</v>
      </c>
      <c r="AY31" s="17">
        <f t="shared" si="157"/>
        <v>8400.00000000146</v>
      </c>
      <c r="AZ31" s="17">
        <f t="shared" si="9"/>
        <v>12700.0000000016</v>
      </c>
      <c r="BA31" s="17">
        <f t="shared" si="10"/>
        <v>9599.99999999854</v>
      </c>
      <c r="BB31" s="17">
        <f t="shared" si="11"/>
        <v>520</v>
      </c>
      <c r="BC31" s="17">
        <f t="shared" si="37"/>
        <v>1395.99999999977</v>
      </c>
      <c r="BD31" s="17">
        <f t="shared" si="12"/>
        <v>11142.0000000175</v>
      </c>
      <c r="BE31" s="17">
        <f t="shared" si="13"/>
        <v>51700.0000000189</v>
      </c>
      <c r="BF31" s="17">
        <f t="shared" si="14"/>
        <v>53.8000000000029</v>
      </c>
      <c r="BG31" s="20">
        <f t="shared" si="15"/>
        <v>0.250850319506737</v>
      </c>
      <c r="BH31" s="20">
        <f t="shared" si="16"/>
        <v>0.0397478881508471</v>
      </c>
      <c r="BI31" s="20">
        <f t="shared" si="17"/>
        <v>0</v>
      </c>
      <c r="BJ31" s="20">
        <f t="shared" si="18"/>
        <v>0.039544102591473</v>
      </c>
      <c r="BK31" s="20">
        <f t="shared" ref="BK31:BO31" si="158">IF(OR($AD31=0),"",AZ31/$AD31)</f>
        <v>0.0616208715229168</v>
      </c>
      <c r="BL31" s="20">
        <f t="shared" si="158"/>
        <v>0.0465795564267587</v>
      </c>
      <c r="BM31" s="20">
        <f t="shared" si="158"/>
        <v>0.00252305930644981</v>
      </c>
      <c r="BN31" s="20">
        <f t="shared" si="158"/>
        <v>0.00677344383039106</v>
      </c>
      <c r="BO31" s="20">
        <f t="shared" si="158"/>
        <v>0.0540613976779001</v>
      </c>
    </row>
    <row r="32" spans="1:67">
      <c r="A32" s="9">
        <f t="shared" si="20"/>
        <v>43737</v>
      </c>
      <c r="B32" s="10">
        <v>18892.65</v>
      </c>
      <c r="C32" s="8">
        <v>97523.6</v>
      </c>
      <c r="D32" s="8">
        <v>67739.8</v>
      </c>
      <c r="E32" s="8">
        <v>68288.1</v>
      </c>
      <c r="F32" s="8">
        <v>9915.6</v>
      </c>
      <c r="G32" s="8">
        <v>124379</v>
      </c>
      <c r="H32" s="8">
        <v>5709.7</v>
      </c>
      <c r="I32" s="8">
        <v>2566.3</v>
      </c>
      <c r="J32" s="8">
        <v>967</v>
      </c>
      <c r="K32" s="8">
        <v>56</v>
      </c>
      <c r="L32" s="8">
        <v>101955.8</v>
      </c>
      <c r="M32" s="8">
        <v>61530.6</v>
      </c>
      <c r="N32" s="8">
        <v>84581.5</v>
      </c>
      <c r="O32" s="8">
        <v>112161.1</v>
      </c>
      <c r="P32" s="8">
        <v>6351</v>
      </c>
      <c r="Q32" s="8">
        <v>8661</v>
      </c>
      <c r="R32" s="8">
        <v>5165.1</v>
      </c>
      <c r="S32" s="8">
        <v>6321.9</v>
      </c>
      <c r="T32" s="8">
        <v>8368.7</v>
      </c>
      <c r="U32" s="8">
        <v>19307.3</v>
      </c>
      <c r="V32" s="8">
        <v>55112.4</v>
      </c>
      <c r="W32" s="8">
        <v>59438.4</v>
      </c>
      <c r="X32" s="8">
        <v>6582.5</v>
      </c>
      <c r="Y32" s="8">
        <v>6719.7</v>
      </c>
      <c r="Z32" s="15">
        <f t="shared" si="21"/>
        <v>72740.6</v>
      </c>
      <c r="AA32" s="8">
        <v>7738.4</v>
      </c>
      <c r="AB32" s="13">
        <v>9228</v>
      </c>
      <c r="AC32" s="7">
        <f t="shared" si="1"/>
        <v>16966.4</v>
      </c>
      <c r="AD32" s="16">
        <v>204648</v>
      </c>
      <c r="AE32" s="17">
        <f t="shared" ref="AE32:AI32" si="159">IF(OR(C33=""),"",(C33-C32)*80)</f>
        <v>0</v>
      </c>
      <c r="AF32" s="17">
        <f t="shared" si="159"/>
        <v>815.999999999767</v>
      </c>
      <c r="AG32" s="17">
        <f t="shared" si="159"/>
        <v>2231.99999999953</v>
      </c>
      <c r="AH32" s="17">
        <f t="shared" si="159"/>
        <v>1488.00000000003</v>
      </c>
      <c r="AI32" s="17">
        <f t="shared" si="159"/>
        <v>2544.00000000023</v>
      </c>
      <c r="AJ32" s="17">
        <f t="shared" si="3"/>
        <v>7079.99999999956</v>
      </c>
      <c r="AK32" s="17">
        <f t="shared" ref="AK32:AN32" si="160">IF(OR(H33=""),"",(H33-H32)*80)</f>
        <v>0</v>
      </c>
      <c r="AL32" s="17">
        <f t="shared" si="160"/>
        <v>0</v>
      </c>
      <c r="AM32" s="17">
        <f t="shared" si="160"/>
        <v>0</v>
      </c>
      <c r="AN32" s="17">
        <f t="shared" si="160"/>
        <v>0</v>
      </c>
      <c r="AO32" s="17">
        <f t="shared" si="5"/>
        <v>0</v>
      </c>
      <c r="AP32" s="17">
        <f t="shared" ref="AP32:AS32" si="161">IF(OR(L33=""),"",(L33-L32)*100)</f>
        <v>3030.00000000029</v>
      </c>
      <c r="AQ32" s="17">
        <f t="shared" si="161"/>
        <v>0</v>
      </c>
      <c r="AR32" s="17">
        <f t="shared" si="161"/>
        <v>2900</v>
      </c>
      <c r="AS32" s="17">
        <f t="shared" si="161"/>
        <v>2139.99999999942</v>
      </c>
      <c r="AT32" s="17">
        <f t="shared" si="7"/>
        <v>8069.99999999971</v>
      </c>
      <c r="AU32" s="17">
        <f t="shared" ref="AU32:AY32" si="162">IF(OR(P33=""),"",(P33-P32)*1000)</f>
        <v>0</v>
      </c>
      <c r="AV32" s="17">
        <f t="shared" si="162"/>
        <v>6700.00000000073</v>
      </c>
      <c r="AW32" s="17">
        <f t="shared" si="162"/>
        <v>199.999999999818</v>
      </c>
      <c r="AX32" s="17">
        <f t="shared" si="162"/>
        <v>0</v>
      </c>
      <c r="AY32" s="17">
        <f t="shared" si="162"/>
        <v>9299.99999999927</v>
      </c>
      <c r="AZ32" s="17">
        <f t="shared" si="9"/>
        <v>16199.9999999998</v>
      </c>
      <c r="BA32" s="17">
        <f t="shared" si="10"/>
        <v>9800.00000000291</v>
      </c>
      <c r="BB32" s="17">
        <f t="shared" si="11"/>
        <v>520</v>
      </c>
      <c r="BC32" s="17">
        <f t="shared" si="37"/>
        <v>1412.0000000007</v>
      </c>
      <c r="BD32" s="17">
        <f t="shared" si="12"/>
        <v>7217.99999998566</v>
      </c>
      <c r="BE32" s="17">
        <f t="shared" si="13"/>
        <v>50299.9999999884</v>
      </c>
      <c r="BF32" s="17">
        <f t="shared" si="14"/>
        <v>54.2999999999993</v>
      </c>
      <c r="BG32" s="20">
        <f t="shared" si="15"/>
        <v>0.245787889449144</v>
      </c>
      <c r="BH32" s="20">
        <f t="shared" si="16"/>
        <v>0.0345959892107402</v>
      </c>
      <c r="BI32" s="20">
        <f t="shared" si="17"/>
        <v>0</v>
      </c>
      <c r="BJ32" s="20">
        <f t="shared" si="18"/>
        <v>0.03943356397326</v>
      </c>
      <c r="BK32" s="20">
        <f t="shared" ref="BK32:BO32" si="163">IF(OR($AD32=0),"",AZ32/$AD32)</f>
        <v>0.0791603142957655</v>
      </c>
      <c r="BL32" s="20">
        <f t="shared" si="163"/>
        <v>0.0478871037097988</v>
      </c>
      <c r="BM32" s="20">
        <f t="shared" si="163"/>
        <v>0.00254094836011102</v>
      </c>
      <c r="BN32" s="20">
        <f t="shared" si="163"/>
        <v>0.00689965208553564</v>
      </c>
      <c r="BO32" s="20">
        <f t="shared" si="163"/>
        <v>0.0352703178139325</v>
      </c>
    </row>
    <row r="33" spans="1:67">
      <c r="A33" s="9">
        <f t="shared" si="20"/>
        <v>43738</v>
      </c>
      <c r="B33" s="10">
        <v>18897.68</v>
      </c>
      <c r="C33" s="8">
        <v>97523.6</v>
      </c>
      <c r="D33" s="8">
        <v>67750</v>
      </c>
      <c r="E33" s="8">
        <v>68316</v>
      </c>
      <c r="F33" s="8">
        <v>9934.2</v>
      </c>
      <c r="G33" s="8">
        <v>124410.8</v>
      </c>
      <c r="H33" s="8">
        <v>5709.7</v>
      </c>
      <c r="I33" s="8">
        <v>2566.3</v>
      </c>
      <c r="J33" s="8">
        <v>967</v>
      </c>
      <c r="K33" s="8">
        <v>56</v>
      </c>
      <c r="L33" s="8">
        <v>101986.1</v>
      </c>
      <c r="M33" s="8">
        <v>61530.6</v>
      </c>
      <c r="N33" s="8">
        <v>84610.5</v>
      </c>
      <c r="O33" s="8">
        <v>112182.5</v>
      </c>
      <c r="P33" s="8">
        <v>6351</v>
      </c>
      <c r="Q33" s="8">
        <v>8667.7</v>
      </c>
      <c r="R33" s="8">
        <v>5165.3</v>
      </c>
      <c r="S33" s="8">
        <v>6321.9</v>
      </c>
      <c r="T33" s="8">
        <v>8378</v>
      </c>
      <c r="U33" s="8">
        <v>19312.2</v>
      </c>
      <c r="V33" s="8">
        <v>55118.9</v>
      </c>
      <c r="W33" s="8">
        <v>59455</v>
      </c>
      <c r="X33" s="8">
        <v>6590.8</v>
      </c>
      <c r="Y33" s="8">
        <v>6730.1</v>
      </c>
      <c r="Z33" s="15">
        <f t="shared" si="21"/>
        <v>72775.9</v>
      </c>
      <c r="AA33" s="8">
        <v>7786.7</v>
      </c>
      <c r="AB33" s="13">
        <v>9234</v>
      </c>
      <c r="AC33" s="7">
        <f t="shared" si="1"/>
        <v>17020.7</v>
      </c>
      <c r="AD33" s="16">
        <v>203989</v>
      </c>
      <c r="AE33" s="17">
        <f t="shared" ref="AE33:AI33" si="164">IF(OR(C34=""),"",(C34-C33)*80)</f>
        <v>0</v>
      </c>
      <c r="AF33" s="17">
        <f t="shared" si="164"/>
        <v>304.000000000233</v>
      </c>
      <c r="AG33" s="17">
        <f t="shared" si="164"/>
        <v>2151.99999999953</v>
      </c>
      <c r="AH33" s="17">
        <f t="shared" si="164"/>
        <v>2172.79999999999</v>
      </c>
      <c r="AI33" s="17">
        <f t="shared" si="164"/>
        <v>2527.9999999993</v>
      </c>
      <c r="AJ33" s="17">
        <f t="shared" si="3"/>
        <v>7156.79999999906</v>
      </c>
      <c r="AK33" s="17">
        <f t="shared" ref="AK33:AN33" si="165">IF(OR(H34=""),"",(H34-H33)*80)</f>
        <v>0</v>
      </c>
      <c r="AL33" s="17">
        <f t="shared" si="165"/>
        <v>0</v>
      </c>
      <c r="AM33" s="17">
        <f t="shared" si="165"/>
        <v>0</v>
      </c>
      <c r="AN33" s="17">
        <f t="shared" si="165"/>
        <v>0</v>
      </c>
      <c r="AO33" s="17">
        <f t="shared" si="5"/>
        <v>0</v>
      </c>
      <c r="AP33" s="17">
        <f t="shared" ref="AP33:AS33" si="166">IF(OR(L34=""),"",(L34-L33)*100)</f>
        <v>3050</v>
      </c>
      <c r="AQ33" s="17">
        <f t="shared" si="166"/>
        <v>9.99999999985448</v>
      </c>
      <c r="AR33" s="17">
        <f t="shared" si="166"/>
        <v>2869.99999999971</v>
      </c>
      <c r="AS33" s="17">
        <f t="shared" si="166"/>
        <v>2130.00000000029</v>
      </c>
      <c r="AT33" s="17">
        <f t="shared" si="7"/>
        <v>8059.99999999985</v>
      </c>
      <c r="AU33" s="17">
        <f t="shared" ref="AU33:AY33" si="167">IF(OR(P34=""),"",(P34-P33)*1000)</f>
        <v>0</v>
      </c>
      <c r="AV33" s="17">
        <f t="shared" si="167"/>
        <v>3500</v>
      </c>
      <c r="AW33" s="17">
        <f t="shared" si="167"/>
        <v>2500</v>
      </c>
      <c r="AX33" s="17">
        <f t="shared" si="167"/>
        <v>0</v>
      </c>
      <c r="AY33" s="17">
        <f t="shared" si="167"/>
        <v>9100.00000000036</v>
      </c>
      <c r="AZ33" s="17">
        <f t="shared" si="9"/>
        <v>15100.0000000004</v>
      </c>
      <c r="BA33" s="17">
        <f t="shared" si="10"/>
        <v>11400.0000000015</v>
      </c>
      <c r="BB33" s="17">
        <f t="shared" si="11"/>
        <v>552.000000000116</v>
      </c>
      <c r="BC33" s="17">
        <f t="shared" si="37"/>
        <v>1420</v>
      </c>
      <c r="BD33" s="17">
        <f t="shared" si="12"/>
        <v>8111.20000000206</v>
      </c>
      <c r="BE33" s="17">
        <f t="shared" si="13"/>
        <v>51800.0000000029</v>
      </c>
      <c r="BF33" s="17">
        <f t="shared" si="14"/>
        <v>52.7000000000007</v>
      </c>
      <c r="BG33" s="20">
        <f t="shared" si="15"/>
        <v>0.25393526121508</v>
      </c>
      <c r="BH33" s="20">
        <f t="shared" si="16"/>
        <v>0.0350842447386823</v>
      </c>
      <c r="BI33" s="20">
        <f t="shared" si="17"/>
        <v>0</v>
      </c>
      <c r="BJ33" s="20">
        <f t="shared" si="18"/>
        <v>0.0395119344670539</v>
      </c>
      <c r="BK33" s="20">
        <f t="shared" ref="BK33:BO33" si="168">IF(OR($AD33=0),"",AZ33/$AD33)</f>
        <v>0.0740235993117294</v>
      </c>
      <c r="BL33" s="20">
        <f t="shared" si="168"/>
        <v>0.0558853663678015</v>
      </c>
      <c r="BM33" s="20">
        <f t="shared" si="168"/>
        <v>0.00270602826623061</v>
      </c>
      <c r="BN33" s="20">
        <f t="shared" si="168"/>
        <v>0.00696115967037438</v>
      </c>
      <c r="BO33" s="20">
        <f t="shared" si="168"/>
        <v>0.0397629283932078</v>
      </c>
    </row>
    <row r="34" spans="1:67">
      <c r="A34" s="9">
        <f t="shared" si="20"/>
        <v>43739</v>
      </c>
      <c r="B34" s="7">
        <v>18902.86</v>
      </c>
      <c r="C34" s="8">
        <v>97523.6</v>
      </c>
      <c r="D34" s="8">
        <v>67753.8</v>
      </c>
      <c r="E34" s="8">
        <v>68342.9</v>
      </c>
      <c r="F34" s="8">
        <v>9961.36</v>
      </c>
      <c r="G34" s="8">
        <v>124442.4</v>
      </c>
      <c r="H34" s="8">
        <v>5709.7</v>
      </c>
      <c r="I34" s="8">
        <v>2566.3</v>
      </c>
      <c r="J34" s="8">
        <v>967</v>
      </c>
      <c r="K34" s="8">
        <v>56</v>
      </c>
      <c r="L34" s="8">
        <v>102016.6</v>
      </c>
      <c r="M34" s="8">
        <v>61530.7</v>
      </c>
      <c r="N34" s="8">
        <v>84639.2</v>
      </c>
      <c r="O34" s="8">
        <v>112203.8</v>
      </c>
      <c r="P34" s="8">
        <v>6351</v>
      </c>
      <c r="Q34" s="8">
        <v>8671.2</v>
      </c>
      <c r="R34" s="8">
        <v>5167.8</v>
      </c>
      <c r="S34" s="8">
        <v>6321.9</v>
      </c>
      <c r="T34" s="8">
        <v>8387.1</v>
      </c>
      <c r="U34" s="8">
        <v>19317.9</v>
      </c>
      <c r="V34" s="8">
        <v>55125.8</v>
      </c>
      <c r="W34" s="8">
        <v>59471.6</v>
      </c>
      <c r="X34" s="8">
        <v>6599.2</v>
      </c>
      <c r="Y34" s="8">
        <v>6740.6</v>
      </c>
      <c r="Z34" s="15">
        <f t="shared" si="21"/>
        <v>72811.4</v>
      </c>
      <c r="AA34" s="8">
        <v>7834.4</v>
      </c>
      <c r="AB34" s="13">
        <v>9239</v>
      </c>
      <c r="AC34" s="7">
        <f t="shared" si="1"/>
        <v>17073.4</v>
      </c>
      <c r="AD34" s="16"/>
      <c r="AE34" s="17" t="str">
        <f t="shared" ref="AE34:AI34" si="169">IF(OR(C35=""),"",(C35-C34)*80)</f>
        <v/>
      </c>
      <c r="AF34" s="17" t="str">
        <f t="shared" si="169"/>
        <v/>
      </c>
      <c r="AG34" s="17" t="str">
        <f t="shared" si="169"/>
        <v/>
      </c>
      <c r="AH34" s="17" t="str">
        <f t="shared" si="169"/>
        <v/>
      </c>
      <c r="AI34" s="17" t="str">
        <f t="shared" si="169"/>
        <v/>
      </c>
      <c r="AJ34" s="17" t="str">
        <f t="shared" si="3"/>
        <v/>
      </c>
      <c r="AK34" s="17" t="str">
        <f t="shared" ref="AK34:AN34" si="170">IF(OR(H35=""),"",(H35-H34)*80)</f>
        <v/>
      </c>
      <c r="AL34" s="17" t="str">
        <f t="shared" si="170"/>
        <v/>
      </c>
      <c r="AM34" s="17" t="str">
        <f t="shared" si="170"/>
        <v/>
      </c>
      <c r="AN34" s="17" t="str">
        <f t="shared" si="170"/>
        <v/>
      </c>
      <c r="AO34" s="17" t="str">
        <f t="shared" si="5"/>
        <v/>
      </c>
      <c r="AP34" s="17" t="str">
        <f t="shared" ref="AP34:AS34" si="171">IF(OR(L35=""),"",(L35-L34)*100)</f>
        <v/>
      </c>
      <c r="AQ34" s="17" t="str">
        <f t="shared" si="171"/>
        <v/>
      </c>
      <c r="AR34" s="17" t="str">
        <f t="shared" si="171"/>
        <v/>
      </c>
      <c r="AS34" s="17" t="str">
        <f t="shared" si="171"/>
        <v/>
      </c>
      <c r="AT34" s="17" t="str">
        <f t="shared" si="7"/>
        <v/>
      </c>
      <c r="AU34" s="17" t="str">
        <f t="shared" ref="AU34:AY34" si="172">IF(OR(P35=""),"",(P35-P34)*1000)</f>
        <v/>
      </c>
      <c r="AV34" s="17" t="str">
        <f t="shared" si="172"/>
        <v/>
      </c>
      <c r="AW34" s="17" t="str">
        <f t="shared" si="172"/>
        <v/>
      </c>
      <c r="AX34" s="17" t="str">
        <f t="shared" si="172"/>
        <v/>
      </c>
      <c r="AY34" s="17" t="str">
        <f t="shared" si="172"/>
        <v/>
      </c>
      <c r="AZ34" s="17" t="str">
        <f t="shared" si="9"/>
        <v/>
      </c>
      <c r="BA34" s="17" t="str">
        <f t="shared" si="10"/>
        <v/>
      </c>
      <c r="BB34" s="17" t="str">
        <f t="shared" si="11"/>
        <v/>
      </c>
      <c r="BC34" s="17" t="str">
        <f t="shared" si="37"/>
        <v/>
      </c>
      <c r="BD34" s="17" t="str">
        <f t="shared" si="12"/>
        <v/>
      </c>
      <c r="BE34" s="17" t="str">
        <f t="shared" si="13"/>
        <v/>
      </c>
      <c r="BF34" s="17" t="str">
        <f t="shared" si="14"/>
        <v/>
      </c>
      <c r="BG34" s="20" t="str">
        <f t="shared" si="15"/>
        <v/>
      </c>
      <c r="BH34" s="20" t="str">
        <f t="shared" si="16"/>
        <v/>
      </c>
      <c r="BI34" s="20" t="str">
        <f t="shared" si="17"/>
        <v/>
      </c>
      <c r="BJ34" s="20" t="str">
        <f t="shared" si="18"/>
        <v/>
      </c>
      <c r="BK34" s="20" t="str">
        <f t="shared" ref="BK34:BO34" si="173">IF(OR($AD34=0),"",AZ34/$AD34)</f>
        <v/>
      </c>
      <c r="BL34" s="20" t="str">
        <f t="shared" si="173"/>
        <v/>
      </c>
      <c r="BM34" s="20" t="str">
        <f t="shared" si="173"/>
        <v/>
      </c>
      <c r="BN34" s="20" t="str">
        <f t="shared" si="173"/>
        <v/>
      </c>
      <c r="BO34" s="20" t="str">
        <f t="shared" si="173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5" t="str">
        <f t="shared" si="21"/>
        <v/>
      </c>
      <c r="AA35" s="11"/>
      <c r="BE35" s="21" t="s">
        <v>44</v>
      </c>
      <c r="BF35" s="21" t="s">
        <v>19</v>
      </c>
      <c r="BG35" s="22">
        <f>SUM(BE4:BE34)</f>
        <v>1533300.00000002</v>
      </c>
      <c r="BH35" s="22">
        <f>SUM(AJ4:AJ34)</f>
        <v>226572.8</v>
      </c>
      <c r="BI35" s="22">
        <f>SUM(AO4:AO34)</f>
        <v>0</v>
      </c>
      <c r="BJ35" s="22">
        <f>SUM(AT4:AT34)</f>
        <v>238599.999999999</v>
      </c>
      <c r="BK35" s="22">
        <f t="shared" ref="BK35:BO35" si="174">SUM(AZ4:AZ34)</f>
        <v>435800.000000002</v>
      </c>
      <c r="BL35" s="22">
        <f t="shared" si="174"/>
        <v>289200.000000004</v>
      </c>
      <c r="BM35" s="22">
        <f t="shared" si="174"/>
        <v>17536.0000000003</v>
      </c>
      <c r="BN35" s="22">
        <f t="shared" si="174"/>
        <v>42780.0000000006</v>
      </c>
      <c r="BO35" s="22">
        <f t="shared" si="174"/>
        <v>282811.200000011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6014542</v>
      </c>
      <c r="BF36" s="21" t="s">
        <v>21</v>
      </c>
      <c r="BG36" s="23">
        <f>IF(OR(BG35=0),"",ROUND(BG35/$BE$36,3))</f>
        <v>0.255</v>
      </c>
      <c r="BH36" s="23">
        <f t="shared" ref="BH36:BO36" si="175">IF(OR(BH35=0),"",ROUND(BH35/$BE$36,4))</f>
        <v>0.0377</v>
      </c>
      <c r="BI36" s="23" t="str">
        <f t="shared" si="175"/>
        <v/>
      </c>
      <c r="BJ36" s="23">
        <f t="shared" si="175"/>
        <v>0.0397</v>
      </c>
      <c r="BK36" s="23">
        <f t="shared" si="175"/>
        <v>0.0725</v>
      </c>
      <c r="BL36" s="23">
        <f t="shared" si="175"/>
        <v>0.0481</v>
      </c>
      <c r="BM36" s="23">
        <f t="shared" si="175"/>
        <v>0.0029</v>
      </c>
      <c r="BN36" s="23">
        <f t="shared" si="175"/>
        <v>0.0071</v>
      </c>
      <c r="BO36" s="23">
        <f t="shared" si="175"/>
        <v>0.047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B4" activePane="bottomRight" state="frozen"/>
      <selection/>
      <selection pane="topRight"/>
      <selection pane="bottomLeft"/>
      <selection pane="bottomRight" activeCell="BE34" sqref="BE34"/>
    </sheetView>
  </sheetViews>
  <sheetFormatPr defaultColWidth="9" defaultRowHeight="14.25"/>
  <cols>
    <col min="1" max="1" width="8" style="1" customWidth="1"/>
    <col min="2" max="2" width="9.55833333333333" style="2" customWidth="1"/>
    <col min="3" max="3" width="8.33333333333333" style="3" customWidth="1"/>
    <col min="4" max="4" width="8.21666666666667" style="3" customWidth="1"/>
    <col min="5" max="5" width="8.10833333333333" style="3" customWidth="1"/>
    <col min="6" max="6" width="8.33333333333333" style="3" customWidth="1"/>
    <col min="7" max="7" width="9.33333333333333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9.88333333333333" style="3" customWidth="1"/>
    <col min="13" max="14" width="8.33333333333333" style="3" customWidth="1"/>
    <col min="15" max="15" width="9.55833333333333" style="3" customWidth="1"/>
    <col min="16" max="20" width="6.66666666666667" style="3" customWidth="1"/>
    <col min="21" max="23" width="8.66666666666667" style="3" customWidth="1"/>
    <col min="24" max="24" width="7.44166666666667" style="3" customWidth="1"/>
    <col min="25" max="25" width="8.21666666666667" style="3" customWidth="1"/>
    <col min="26" max="26" width="9.10833333333333" style="3" customWidth="1"/>
    <col min="27" max="28" width="7.44166666666667" style="3" customWidth="1"/>
    <col min="29" max="29" width="9.21666666666667" style="3" customWidth="1"/>
    <col min="30" max="30" width="7.55833333333333" style="3" customWidth="1"/>
    <col min="31" max="31" width="5.66666666666667" style="1" customWidth="1"/>
    <col min="32" max="32" width="5.88333333333333" style="1" customWidth="1"/>
    <col min="33" max="33" width="5.21666666666667" style="1" customWidth="1"/>
    <col min="34" max="34" width="5.44166666666667" style="1" customWidth="1"/>
    <col min="35" max="35" width="6.33333333333333" style="1" customWidth="1"/>
    <col min="36" max="36" width="6.66666666666667" style="1" customWidth="1"/>
    <col min="37" max="40" width="4" style="1" customWidth="1"/>
    <col min="41" max="41" width="4.10833333333333" style="1" customWidth="1"/>
    <col min="42" max="42" width="5.10833333333333" style="1" customWidth="1"/>
    <col min="43" max="43" width="4" style="1" customWidth="1"/>
    <col min="44" max="44" width="5.21666666666667" style="1" customWidth="1"/>
    <col min="45" max="45" width="5.33333333333333" style="1" customWidth="1"/>
    <col min="46" max="46" width="6.66666666666667" style="1" customWidth="1"/>
    <col min="47" max="49" width="5.44166666666667" style="1" customWidth="1"/>
    <col min="50" max="50" width="6.44166666666667" style="1" customWidth="1"/>
    <col min="51" max="51" width="6.10833333333333" style="1" customWidth="1"/>
    <col min="52" max="53" width="6.66666666666667" style="1" customWidth="1"/>
    <col min="54" max="54" width="5.44166666666667" style="1" customWidth="1"/>
    <col min="55" max="55" width="6.66666666666667" style="1" customWidth="1"/>
    <col min="56" max="56" width="8.10833333333333" style="1" customWidth="1"/>
    <col min="57" max="57" width="6.775" style="1" customWidth="1"/>
    <col min="58" max="58" width="4.33333333333333" style="1" customWidth="1"/>
    <col min="59" max="59" width="7.10833333333333" style="1" customWidth="1"/>
    <col min="60" max="60" width="6.66666666666667" style="1" customWidth="1"/>
    <col min="61" max="61" width="7.33333333333333" style="1" customWidth="1"/>
    <col min="62" max="62" width="7.775" style="1" customWidth="1"/>
    <col min="63" max="63" width="7.66666666666667" style="1" customWidth="1"/>
    <col min="64" max="64" width="7.10833333333333" style="1" customWidth="1"/>
    <col min="65" max="65" width="7.33333333333333" style="1" customWidth="1"/>
    <col min="66" max="66" width="7.88333333333333" style="1" customWidth="1"/>
    <col min="67" max="67" width="6.558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'9'!A34</f>
        <v>43739</v>
      </c>
      <c r="B4" s="7">
        <v>18902.86</v>
      </c>
      <c r="C4" s="8">
        <v>97523.6</v>
      </c>
      <c r="D4" s="8">
        <v>67753.8</v>
      </c>
      <c r="E4" s="8">
        <v>68342.9</v>
      </c>
      <c r="F4" s="8">
        <v>9961.36</v>
      </c>
      <c r="G4" s="8">
        <v>124442.4</v>
      </c>
      <c r="H4" s="8">
        <v>5709.7</v>
      </c>
      <c r="I4" s="8">
        <v>2566.3</v>
      </c>
      <c r="J4" s="8">
        <v>967</v>
      </c>
      <c r="K4" s="8">
        <v>56</v>
      </c>
      <c r="L4" s="8">
        <v>102016.6</v>
      </c>
      <c r="M4" s="8">
        <v>61530.7</v>
      </c>
      <c r="N4" s="8">
        <v>84639.2</v>
      </c>
      <c r="O4" s="8">
        <v>112203.8</v>
      </c>
      <c r="P4" s="8">
        <v>6351</v>
      </c>
      <c r="Q4" s="8">
        <v>8671.2</v>
      </c>
      <c r="R4" s="8">
        <v>5167.8</v>
      </c>
      <c r="S4" s="8">
        <v>6321.9</v>
      </c>
      <c r="T4" s="8">
        <v>8387.1</v>
      </c>
      <c r="U4" s="8">
        <v>19317.9</v>
      </c>
      <c r="V4" s="8">
        <v>55125.8</v>
      </c>
      <c r="W4" s="8">
        <v>59471.6</v>
      </c>
      <c r="X4" s="8">
        <v>6599.2</v>
      </c>
      <c r="Y4" s="8">
        <v>6740.6</v>
      </c>
      <c r="Z4" s="15">
        <f t="shared" ref="Z4" si="0">IF(OR(W4=""),"",(W4+X4+Y4))</f>
        <v>72811.4</v>
      </c>
      <c r="AA4" s="8">
        <v>7834.4</v>
      </c>
      <c r="AB4" s="13">
        <v>9239</v>
      </c>
      <c r="AC4" s="7">
        <f t="shared" ref="AC4" si="1">IF(OR(AA4=""),"",(AA4+AB4))</f>
        <v>17073.4</v>
      </c>
      <c r="AD4" s="16">
        <v>199972</v>
      </c>
      <c r="AE4" s="17">
        <f t="shared" ref="AE4:AI4" si="2">IF(OR(C5=""),"",(C5-C4)*80)</f>
        <v>0</v>
      </c>
      <c r="AF4" s="17">
        <f t="shared" si="2"/>
        <v>640</v>
      </c>
      <c r="AG4" s="17">
        <f t="shared" si="2"/>
        <v>2216.00000000093</v>
      </c>
      <c r="AH4" s="17">
        <f t="shared" si="2"/>
        <v>2353.60000000001</v>
      </c>
      <c r="AI4" s="17">
        <f t="shared" si="2"/>
        <v>2568.00000000047</v>
      </c>
      <c r="AJ4" s="17">
        <f t="shared" ref="AJ4:AJ34" si="3">IF(OR(AE4="",AF4="",AG4=""),"",AE4+AF4+AG4+AH4+AI4)</f>
        <v>7777.6000000014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:AO34" si="5">IF(OR(AK4="",AL4=""),"",AK4+AL4+AM4+AN4)</f>
        <v>0</v>
      </c>
      <c r="AP4" s="17">
        <f t="shared" ref="AP4:AS4" si="6">IF(OR(L5=""),"",(L5-L4)*100)</f>
        <v>2959.99999999913</v>
      </c>
      <c r="AQ4" s="17">
        <f t="shared" si="6"/>
        <v>0</v>
      </c>
      <c r="AR4" s="17">
        <f t="shared" si="6"/>
        <v>2950</v>
      </c>
      <c r="AS4" s="17">
        <f t="shared" si="6"/>
        <v>2239.99999999942</v>
      </c>
      <c r="AT4" s="17">
        <f t="shared" ref="AT4:AT34" si="7">IF(OR(AP4="",AQ4=""),"",AP4+AQ4+AR4+AS4)</f>
        <v>8149.99999999854</v>
      </c>
      <c r="AU4" s="17">
        <f t="shared" ref="AU4:AY4" si="8">IF(OR(P5=""),"",(P5-P4)*1000)</f>
        <v>0</v>
      </c>
      <c r="AV4" s="17">
        <f t="shared" si="8"/>
        <v>0</v>
      </c>
      <c r="AW4" s="17">
        <f t="shared" si="8"/>
        <v>4699.99999999982</v>
      </c>
      <c r="AX4" s="17">
        <f t="shared" si="8"/>
        <v>0</v>
      </c>
      <c r="AY4" s="17">
        <f t="shared" si="8"/>
        <v>9100.00000000036</v>
      </c>
      <c r="AZ4" s="17">
        <f t="shared" ref="AZ4:AZ34" si="9">IF(OR(AU4="",AV4="",AW4=""),"",AU4+AV4+AW4+AX4+AY4)</f>
        <v>13800.0000000002</v>
      </c>
      <c r="BA4" s="17">
        <f t="shared" ref="BA4:BA34" si="10">IF(OR(U5=""),"",(U5-U4)*2000)</f>
        <v>8199.99999999709</v>
      </c>
      <c r="BB4" s="17">
        <f t="shared" ref="BB4:BB34" si="11">IF(OR(V5=""),"",(V5-V4)*80)</f>
        <v>527.999999999884</v>
      </c>
      <c r="BC4" s="17">
        <f>IF(OR(Z5=""),"",(Z5-Z4)*40)</f>
        <v>1423.99999999965</v>
      </c>
      <c r="BD4" s="17">
        <f t="shared" ref="BD4:BD34" si="12">IF(OR(BE4="",BC4=""),"",BE4-BC4-BB4-BA4-AZ4-AT4-AO4-AJ4)</f>
        <v>13420.3999999843</v>
      </c>
      <c r="BE4" s="17">
        <f t="shared" ref="BE4:BE34" si="13">IF(OR(B5=""),"",(B5-B4)*10000)</f>
        <v>53299.9999999811</v>
      </c>
      <c r="BF4" s="17">
        <f t="shared" ref="BF4:BF34" si="14">IF(OR(AC5=""),"",AC5-AC4)</f>
        <v>57</v>
      </c>
      <c r="BG4" s="20">
        <f t="shared" ref="BG4:BG34" si="15">IF(OR($AD4=0),"",BE4/$AD4)</f>
        <v>0.266537315224037</v>
      </c>
      <c r="BH4" s="20">
        <f t="shared" ref="BH4:BH34" si="16">IF(OR($AD4=0),"",AJ4/$AD4)</f>
        <v>0.0388934450823185</v>
      </c>
      <c r="BI4" s="20">
        <f t="shared" ref="BI4:BI34" si="17">IF(OR($AD4=0),"",AO4/$AD4)</f>
        <v>0</v>
      </c>
      <c r="BJ4" s="20">
        <f t="shared" ref="BJ4:BJ34" si="18">IF(OR($AD4=0),"",AT4/$AD4)</f>
        <v>0.0407557057988046</v>
      </c>
      <c r="BK4" s="20">
        <f t="shared" ref="BK4:BO4" si="19">IF(OR($AD4=0),"",AZ4/$AD4)</f>
        <v>0.0690096613525903</v>
      </c>
      <c r="BL4" s="20">
        <f t="shared" si="19"/>
        <v>0.041005740803698</v>
      </c>
      <c r="BM4" s="20">
        <f t="shared" si="19"/>
        <v>0.00264036965175066</v>
      </c>
      <c r="BN4" s="20">
        <f t="shared" si="19"/>
        <v>0.00712099693956979</v>
      </c>
      <c r="BO4" s="20">
        <f t="shared" si="19"/>
        <v>0.067111395595305</v>
      </c>
    </row>
    <row r="5" spans="1:67">
      <c r="A5" s="9">
        <f t="shared" ref="A5:A35" si="20">A4+1</f>
        <v>43740</v>
      </c>
      <c r="B5" s="10">
        <v>18908.19</v>
      </c>
      <c r="C5" s="8">
        <v>97523.6</v>
      </c>
      <c r="D5" s="8">
        <v>67761.8</v>
      </c>
      <c r="E5" s="8">
        <v>68370.6</v>
      </c>
      <c r="F5" s="8">
        <v>9990.78</v>
      </c>
      <c r="G5" s="8">
        <v>124474.5</v>
      </c>
      <c r="H5" s="8">
        <v>5709.7</v>
      </c>
      <c r="I5" s="8">
        <v>2566.3</v>
      </c>
      <c r="J5" s="8">
        <v>967</v>
      </c>
      <c r="K5" s="8">
        <v>56</v>
      </c>
      <c r="L5" s="8">
        <v>102046.2</v>
      </c>
      <c r="M5" s="8">
        <v>61530.7</v>
      </c>
      <c r="N5" s="8">
        <v>84668.7</v>
      </c>
      <c r="O5" s="8">
        <v>112226.2</v>
      </c>
      <c r="P5" s="8">
        <v>6351</v>
      </c>
      <c r="Q5" s="8">
        <v>8671.2</v>
      </c>
      <c r="R5" s="8">
        <v>5172.5</v>
      </c>
      <c r="S5" s="8">
        <v>6321.9</v>
      </c>
      <c r="T5" s="8">
        <v>8396.2</v>
      </c>
      <c r="U5" s="8">
        <v>19322</v>
      </c>
      <c r="V5" s="8">
        <v>55132.4</v>
      </c>
      <c r="W5" s="8">
        <v>59488.4</v>
      </c>
      <c r="X5" s="8">
        <v>6607.5</v>
      </c>
      <c r="Y5" s="8">
        <v>6751.1</v>
      </c>
      <c r="Z5" s="15">
        <f t="shared" ref="Z5:Z35" si="21">IF(OR(W5=""),"",(W5+X5+Y5))</f>
        <v>72847</v>
      </c>
      <c r="AA5" s="8">
        <v>7884.4</v>
      </c>
      <c r="AB5" s="13">
        <v>9246</v>
      </c>
      <c r="AC5" s="7">
        <f t="shared" ref="AC5:AC35" si="22">IF(OR(AA5=""),"",(AA5+AB5))</f>
        <v>17130.4</v>
      </c>
      <c r="AD5" s="16">
        <v>166351</v>
      </c>
      <c r="AE5" s="17">
        <f t="shared" ref="AE5:AI5" si="23">IF(OR(C6=""),"",(C6-C5)*80)</f>
        <v>0</v>
      </c>
      <c r="AF5" s="17">
        <f t="shared" si="23"/>
        <v>2744.00000000023</v>
      </c>
      <c r="AG5" s="17">
        <f t="shared" si="23"/>
        <v>1783.99999999907</v>
      </c>
      <c r="AH5" s="17">
        <f t="shared" si="23"/>
        <v>1.59999999988941</v>
      </c>
      <c r="AI5" s="17">
        <f t="shared" si="23"/>
        <v>2384.00000000023</v>
      </c>
      <c r="AJ5" s="17">
        <f t="shared" si="3"/>
        <v>6913.59999999942</v>
      </c>
      <c r="AK5" s="17">
        <f t="shared" ref="AK5:AN5" si="24">IF(OR(H6=""),"",(H6-H5)*80)</f>
        <v>0</v>
      </c>
      <c r="AL5" s="17">
        <f t="shared" si="24"/>
        <v>0</v>
      </c>
      <c r="AM5" s="17">
        <f t="shared" si="24"/>
        <v>0</v>
      </c>
      <c r="AN5" s="17">
        <f t="shared" si="24"/>
        <v>0</v>
      </c>
      <c r="AO5" s="17">
        <f t="shared" si="5"/>
        <v>0</v>
      </c>
      <c r="AP5" s="17">
        <f t="shared" ref="AP5:AS5" si="25">IF(OR(L6=""),"",(L6-L5)*100)</f>
        <v>1540.00000000087</v>
      </c>
      <c r="AQ5" s="17">
        <f t="shared" si="25"/>
        <v>0</v>
      </c>
      <c r="AR5" s="17">
        <f t="shared" si="25"/>
        <v>2650</v>
      </c>
      <c r="AS5" s="17">
        <f t="shared" si="25"/>
        <v>1410.00000000058</v>
      </c>
      <c r="AT5" s="17">
        <f t="shared" si="7"/>
        <v>5600.00000000146</v>
      </c>
      <c r="AU5" s="17">
        <f t="shared" ref="AU5:AY5" si="26">IF(OR(P6=""),"",(P6-P5)*1000)</f>
        <v>0</v>
      </c>
      <c r="AV5" s="17">
        <f t="shared" si="26"/>
        <v>0</v>
      </c>
      <c r="AW5" s="17">
        <f t="shared" si="26"/>
        <v>4600.00000000036</v>
      </c>
      <c r="AX5" s="17">
        <f t="shared" si="26"/>
        <v>0</v>
      </c>
      <c r="AY5" s="17">
        <f t="shared" si="26"/>
        <v>8099.99999999854</v>
      </c>
      <c r="AZ5" s="17">
        <f t="shared" si="9"/>
        <v>12699.9999999989</v>
      </c>
      <c r="BA5" s="17">
        <f t="shared" si="10"/>
        <v>7199.99999999709</v>
      </c>
      <c r="BB5" s="17">
        <f t="shared" si="11"/>
        <v>520</v>
      </c>
      <c r="BC5" s="17">
        <f t="shared" ref="BC5:BC34" si="27">IF(OR(Z6=""),"",(Z6-Z5)*40)</f>
        <v>1387.99999999988</v>
      </c>
      <c r="BD5" s="17">
        <f t="shared" si="12"/>
        <v>14178.4000000251</v>
      </c>
      <c r="BE5" s="17">
        <f t="shared" si="13"/>
        <v>48500.0000000218</v>
      </c>
      <c r="BF5" s="17">
        <f t="shared" si="14"/>
        <v>54</v>
      </c>
      <c r="BG5" s="20">
        <f t="shared" si="15"/>
        <v>0.291552199866678</v>
      </c>
      <c r="BH5" s="20">
        <f t="shared" si="16"/>
        <v>0.0415603152370555</v>
      </c>
      <c r="BI5" s="20">
        <f t="shared" si="17"/>
        <v>0</v>
      </c>
      <c r="BJ5" s="20">
        <f t="shared" si="18"/>
        <v>0.0336637591598575</v>
      </c>
      <c r="BK5" s="20">
        <f t="shared" ref="BK5:BO5" si="28">IF(OR($AD5=0),"",AZ5/$AD5)</f>
        <v>0.076344596666079</v>
      </c>
      <c r="BL5" s="20">
        <f t="shared" si="28"/>
        <v>0.0432819760626452</v>
      </c>
      <c r="BM5" s="20">
        <f t="shared" si="28"/>
        <v>0.00312592049341453</v>
      </c>
      <c r="BN5" s="20">
        <f t="shared" si="28"/>
        <v>0.00834380316319038</v>
      </c>
      <c r="BO5" s="20">
        <f t="shared" si="28"/>
        <v>0.0852318290844363</v>
      </c>
    </row>
    <row r="6" spans="1:67">
      <c r="A6" s="9">
        <f t="shared" si="20"/>
        <v>43741</v>
      </c>
      <c r="B6" s="10">
        <v>18913.04</v>
      </c>
      <c r="C6" s="8">
        <v>97523.6</v>
      </c>
      <c r="D6" s="8">
        <v>67796.1</v>
      </c>
      <c r="E6" s="8">
        <v>68392.9</v>
      </c>
      <c r="F6" s="8">
        <v>9990.8</v>
      </c>
      <c r="G6" s="8">
        <v>124504.3</v>
      </c>
      <c r="H6" s="8">
        <v>5709.7</v>
      </c>
      <c r="I6" s="8">
        <v>2566.3</v>
      </c>
      <c r="J6" s="8">
        <v>967</v>
      </c>
      <c r="K6" s="8">
        <v>56</v>
      </c>
      <c r="L6" s="8">
        <v>102061.6</v>
      </c>
      <c r="M6" s="8">
        <v>61530.7</v>
      </c>
      <c r="N6" s="8">
        <v>84695.2</v>
      </c>
      <c r="O6" s="8">
        <v>112240.3</v>
      </c>
      <c r="P6" s="8">
        <v>6351</v>
      </c>
      <c r="Q6" s="8">
        <v>8671.2</v>
      </c>
      <c r="R6" s="8">
        <v>5177.1</v>
      </c>
      <c r="S6" s="8">
        <v>6321.9</v>
      </c>
      <c r="T6" s="8">
        <v>8404.3</v>
      </c>
      <c r="U6" s="8">
        <v>19325.6</v>
      </c>
      <c r="V6" s="8">
        <v>55138.9</v>
      </c>
      <c r="W6" s="8">
        <v>59504.7</v>
      </c>
      <c r="X6" s="8">
        <v>6615.6</v>
      </c>
      <c r="Y6" s="8">
        <v>6761.4</v>
      </c>
      <c r="Z6" s="15">
        <f t="shared" si="21"/>
        <v>72881.7</v>
      </c>
      <c r="AA6" s="8">
        <v>7933.4</v>
      </c>
      <c r="AB6" s="13">
        <v>9251</v>
      </c>
      <c r="AC6" s="7">
        <f t="shared" si="22"/>
        <v>17184.4</v>
      </c>
      <c r="AD6" s="16">
        <v>155753</v>
      </c>
      <c r="AE6" s="17">
        <f t="shared" ref="AE6:AI6" si="29">IF(OR(C7=""),"",(C7-C6)*80)</f>
        <v>0</v>
      </c>
      <c r="AF6" s="17">
        <f t="shared" si="29"/>
        <v>2687.9999999993</v>
      </c>
      <c r="AG6" s="17">
        <f t="shared" si="29"/>
        <v>2384.00000000023</v>
      </c>
      <c r="AH6" s="17">
        <f t="shared" si="29"/>
        <v>178.400000000111</v>
      </c>
      <c r="AI6" s="17">
        <f t="shared" si="29"/>
        <v>1384.00000000023</v>
      </c>
      <c r="AJ6" s="17">
        <f t="shared" si="3"/>
        <v>6634.39999999988</v>
      </c>
      <c r="AK6" s="17">
        <f t="shared" ref="AK6:AN6" si="30">IF(OR(H7=""),"",(H7-H6)*80)</f>
        <v>0</v>
      </c>
      <c r="AL6" s="17">
        <f t="shared" si="30"/>
        <v>0</v>
      </c>
      <c r="AM6" s="17">
        <f t="shared" si="30"/>
        <v>0</v>
      </c>
      <c r="AN6" s="17">
        <f t="shared" si="30"/>
        <v>0</v>
      </c>
      <c r="AO6" s="17">
        <f t="shared" si="5"/>
        <v>0</v>
      </c>
      <c r="AP6" s="17">
        <f t="shared" ref="AP6:AS6" si="31">IF(OR(L7=""),"",(L7-L6)*100)</f>
        <v>1279.99999999884</v>
      </c>
      <c r="AQ6" s="17">
        <f t="shared" si="31"/>
        <v>0</v>
      </c>
      <c r="AR6" s="17">
        <f t="shared" si="31"/>
        <v>2819.99999999971</v>
      </c>
      <c r="AS6" s="17">
        <f t="shared" si="31"/>
        <v>1330.00000000029</v>
      </c>
      <c r="AT6" s="17">
        <f t="shared" si="7"/>
        <v>5429.99999999884</v>
      </c>
      <c r="AU6" s="17">
        <f t="shared" ref="AU6:AY6" si="32">IF(OR(P7=""),"",(P7-P6)*1000)</f>
        <v>0</v>
      </c>
      <c r="AV6" s="17">
        <f t="shared" si="32"/>
        <v>0</v>
      </c>
      <c r="AW6" s="17">
        <f t="shared" si="32"/>
        <v>3099.99999999945</v>
      </c>
      <c r="AX6" s="17">
        <f t="shared" si="32"/>
        <v>0</v>
      </c>
      <c r="AY6" s="17">
        <f t="shared" si="32"/>
        <v>8400.00000000146</v>
      </c>
      <c r="AZ6" s="17">
        <f t="shared" si="9"/>
        <v>11500.0000000009</v>
      </c>
      <c r="BA6" s="17">
        <f t="shared" si="10"/>
        <v>8200.00000000437</v>
      </c>
      <c r="BB6" s="17">
        <f t="shared" si="11"/>
        <v>535.999999999767</v>
      </c>
      <c r="BC6" s="17">
        <f t="shared" si="27"/>
        <v>1420</v>
      </c>
      <c r="BD6" s="17">
        <f t="shared" si="12"/>
        <v>14479.5999999933</v>
      </c>
      <c r="BE6" s="17">
        <f t="shared" si="13"/>
        <v>48199.9999999971</v>
      </c>
      <c r="BF6" s="17">
        <f t="shared" si="14"/>
        <v>55.1999999999971</v>
      </c>
      <c r="BG6" s="20">
        <f t="shared" si="15"/>
        <v>0.309464344185968</v>
      </c>
      <c r="BH6" s="20">
        <f t="shared" si="16"/>
        <v>0.0425956482379144</v>
      </c>
      <c r="BI6" s="20">
        <f t="shared" si="17"/>
        <v>0</v>
      </c>
      <c r="BJ6" s="20">
        <f t="shared" si="18"/>
        <v>0.0348628918865051</v>
      </c>
      <c r="BK6" s="20">
        <f t="shared" ref="BK6:BO6" si="33">IF(OR($AD6=0),"",AZ6/$AD6)</f>
        <v>0.0738348539033014</v>
      </c>
      <c r="BL6" s="20">
        <f t="shared" si="33"/>
        <v>0.0526474610441171</v>
      </c>
      <c r="BM6" s="20">
        <f t="shared" si="33"/>
        <v>0.00344134623409993</v>
      </c>
      <c r="BN6" s="20">
        <f t="shared" si="33"/>
        <v>0.00911699935153737</v>
      </c>
      <c r="BO6" s="20">
        <f t="shared" si="33"/>
        <v>0.0929651435284928</v>
      </c>
    </row>
    <row r="7" spans="1:67">
      <c r="A7" s="9">
        <f t="shared" si="20"/>
        <v>43742</v>
      </c>
      <c r="B7" s="10">
        <v>18917.86</v>
      </c>
      <c r="C7" s="8">
        <v>97523.6</v>
      </c>
      <c r="D7" s="8">
        <v>67829.7</v>
      </c>
      <c r="E7" s="8">
        <v>68422.7</v>
      </c>
      <c r="F7" s="8">
        <v>9993.03</v>
      </c>
      <c r="G7" s="8">
        <v>124521.6</v>
      </c>
      <c r="H7" s="8">
        <v>5709.7</v>
      </c>
      <c r="I7" s="8">
        <v>2566.3</v>
      </c>
      <c r="J7" s="8">
        <v>967</v>
      </c>
      <c r="K7" s="8">
        <v>56</v>
      </c>
      <c r="L7" s="8">
        <v>102074.4</v>
      </c>
      <c r="M7" s="8">
        <v>61530.7</v>
      </c>
      <c r="N7" s="8">
        <v>84723.4</v>
      </c>
      <c r="O7" s="8">
        <v>112253.6</v>
      </c>
      <c r="P7" s="8">
        <v>6351</v>
      </c>
      <c r="Q7" s="8">
        <v>8671.2</v>
      </c>
      <c r="R7" s="8">
        <v>5180.2</v>
      </c>
      <c r="S7" s="8">
        <v>6321.9</v>
      </c>
      <c r="T7" s="8">
        <v>8412.7</v>
      </c>
      <c r="U7" s="8">
        <v>19329.7</v>
      </c>
      <c r="V7" s="8">
        <v>55145.6</v>
      </c>
      <c r="W7" s="8">
        <v>59521.3</v>
      </c>
      <c r="X7" s="8">
        <v>6624</v>
      </c>
      <c r="Y7" s="8">
        <v>6771.9</v>
      </c>
      <c r="Z7" s="15">
        <f t="shared" si="21"/>
        <v>72917.2</v>
      </c>
      <c r="AA7" s="8">
        <v>7982.6</v>
      </c>
      <c r="AB7" s="13">
        <v>9257</v>
      </c>
      <c r="AC7" s="7">
        <f t="shared" si="22"/>
        <v>17239.6</v>
      </c>
      <c r="AD7" s="16">
        <v>156285</v>
      </c>
      <c r="AE7" s="17">
        <f t="shared" ref="AE7:AI7" si="34">IF(OR(C8=""),"",(C8-C7)*80)</f>
        <v>0</v>
      </c>
      <c r="AF7" s="17">
        <f t="shared" si="34"/>
        <v>2552.0000000007</v>
      </c>
      <c r="AG7" s="17">
        <f t="shared" si="34"/>
        <v>2015.99999999977</v>
      </c>
      <c r="AH7" s="17">
        <f t="shared" si="34"/>
        <v>4.79999999995925</v>
      </c>
      <c r="AI7" s="17">
        <f t="shared" si="34"/>
        <v>2031.99999999953</v>
      </c>
      <c r="AJ7" s="17">
        <f t="shared" si="3"/>
        <v>6604.79999999996</v>
      </c>
      <c r="AK7" s="17">
        <f t="shared" ref="AK7:AN7" si="35">IF(OR(H8=""),"",(H8-H7)*80)</f>
        <v>0</v>
      </c>
      <c r="AL7" s="17">
        <f t="shared" si="35"/>
        <v>0</v>
      </c>
      <c r="AM7" s="17">
        <f t="shared" si="35"/>
        <v>0</v>
      </c>
      <c r="AN7" s="17">
        <f t="shared" si="35"/>
        <v>0</v>
      </c>
      <c r="AO7" s="17">
        <f t="shared" si="5"/>
        <v>0</v>
      </c>
      <c r="AP7" s="17">
        <f t="shared" ref="AP7:AS7" si="36">IF(OR(L8=""),"",(L8-L7)*100)</f>
        <v>1390.00000000087</v>
      </c>
      <c r="AQ7" s="17">
        <f t="shared" si="36"/>
        <v>0</v>
      </c>
      <c r="AR7" s="17">
        <f t="shared" si="36"/>
        <v>2670.00000000116</v>
      </c>
      <c r="AS7" s="17">
        <f t="shared" si="36"/>
        <v>1309.99999999913</v>
      </c>
      <c r="AT7" s="17">
        <f t="shared" si="7"/>
        <v>5370.00000000116</v>
      </c>
      <c r="AU7" s="17">
        <f t="shared" ref="AU7:AY7" si="37">IF(OR(P8=""),"",(P8-P7)*1000)</f>
        <v>0</v>
      </c>
      <c r="AV7" s="17">
        <f t="shared" si="37"/>
        <v>0</v>
      </c>
      <c r="AW7" s="17">
        <f t="shared" si="37"/>
        <v>4500</v>
      </c>
      <c r="AX7" s="17">
        <f t="shared" si="37"/>
        <v>0</v>
      </c>
      <c r="AY7" s="17">
        <f t="shared" si="37"/>
        <v>8599.99999999854</v>
      </c>
      <c r="AZ7" s="17">
        <f t="shared" si="9"/>
        <v>13099.9999999985</v>
      </c>
      <c r="BA7" s="17">
        <f t="shared" si="10"/>
        <v>6000</v>
      </c>
      <c r="BB7" s="17">
        <f t="shared" si="11"/>
        <v>552.000000000116</v>
      </c>
      <c r="BC7" s="17">
        <f t="shared" si="27"/>
        <v>1424.00000000023</v>
      </c>
      <c r="BD7" s="17">
        <f t="shared" si="12"/>
        <v>13549.1999999985</v>
      </c>
      <c r="BE7" s="17">
        <f t="shared" si="13"/>
        <v>46599.9999999985</v>
      </c>
      <c r="BF7" s="17">
        <f t="shared" si="14"/>
        <v>55.3000000000029</v>
      </c>
      <c r="BG7" s="20">
        <f t="shared" si="15"/>
        <v>0.29817320920113</v>
      </c>
      <c r="BH7" s="20">
        <f t="shared" si="16"/>
        <v>0.0422612534792204</v>
      </c>
      <c r="BI7" s="20">
        <f t="shared" si="17"/>
        <v>0</v>
      </c>
      <c r="BJ7" s="20">
        <f t="shared" si="18"/>
        <v>0.03436030329207</v>
      </c>
      <c r="BK7" s="20">
        <f t="shared" ref="BK7:BO7" si="38">IF(OR($AD7=0),"",AZ7/$AD7)</f>
        <v>0.0838212240458044</v>
      </c>
      <c r="BL7" s="20">
        <f t="shared" si="38"/>
        <v>0.0383914003263269</v>
      </c>
      <c r="BM7" s="20">
        <f t="shared" si="38"/>
        <v>0.00353200883002282</v>
      </c>
      <c r="BN7" s="20">
        <f t="shared" si="38"/>
        <v>0.00911155901078307</v>
      </c>
      <c r="BO7" s="20">
        <f t="shared" si="38"/>
        <v>0.086695460216902</v>
      </c>
    </row>
    <row r="8" spans="1:67">
      <c r="A8" s="9">
        <f t="shared" si="20"/>
        <v>43743</v>
      </c>
      <c r="B8" s="10">
        <v>18922.52</v>
      </c>
      <c r="C8" s="8">
        <v>97523.6</v>
      </c>
      <c r="D8" s="8">
        <v>67861.6</v>
      </c>
      <c r="E8" s="8">
        <v>68447.9</v>
      </c>
      <c r="F8" s="8">
        <v>9993.09</v>
      </c>
      <c r="G8" s="8">
        <v>124547</v>
      </c>
      <c r="H8" s="8">
        <v>5709.7</v>
      </c>
      <c r="I8" s="8">
        <v>2566.3</v>
      </c>
      <c r="J8" s="8">
        <v>967</v>
      </c>
      <c r="K8" s="8">
        <v>56</v>
      </c>
      <c r="L8" s="8">
        <v>102088.3</v>
      </c>
      <c r="M8" s="8">
        <v>61530.7</v>
      </c>
      <c r="N8" s="8">
        <v>84750.1</v>
      </c>
      <c r="O8" s="8">
        <v>112266.7</v>
      </c>
      <c r="P8" s="8">
        <v>6351</v>
      </c>
      <c r="Q8" s="8">
        <v>8671.2</v>
      </c>
      <c r="R8" s="8">
        <v>5184.7</v>
      </c>
      <c r="S8" s="8">
        <v>6321.9</v>
      </c>
      <c r="T8" s="8">
        <v>8421.3</v>
      </c>
      <c r="U8" s="8">
        <v>19332.7</v>
      </c>
      <c r="V8" s="8">
        <v>55152.5</v>
      </c>
      <c r="W8" s="8">
        <v>59538.1</v>
      </c>
      <c r="X8" s="8">
        <v>6632.4</v>
      </c>
      <c r="Y8" s="8">
        <v>6782.3</v>
      </c>
      <c r="Z8" s="15">
        <f t="shared" si="21"/>
        <v>72952.8</v>
      </c>
      <c r="AA8" s="8">
        <v>8030.9</v>
      </c>
      <c r="AB8" s="13">
        <v>9264</v>
      </c>
      <c r="AC8" s="7">
        <f t="shared" si="22"/>
        <v>17294.9</v>
      </c>
      <c r="AD8" s="16">
        <v>168258</v>
      </c>
      <c r="AE8" s="17">
        <f t="shared" ref="AE8:AI8" si="39">IF(OR(C9=""),"",(C9-C8)*80)</f>
        <v>0</v>
      </c>
      <c r="AF8" s="17">
        <f t="shared" si="39"/>
        <v>2343.99999999907</v>
      </c>
      <c r="AG8" s="17">
        <f t="shared" si="39"/>
        <v>2736.00000000093</v>
      </c>
      <c r="AH8" s="17">
        <f t="shared" si="39"/>
        <v>3.99999999994179</v>
      </c>
      <c r="AI8" s="17">
        <f t="shared" si="39"/>
        <v>2175.99999999977</v>
      </c>
      <c r="AJ8" s="17">
        <f t="shared" si="3"/>
        <v>7259.99999999971</v>
      </c>
      <c r="AK8" s="17">
        <f t="shared" ref="AK8:AN8" si="40">IF(OR(H9=""),"",(H9-H8)*80)</f>
        <v>0</v>
      </c>
      <c r="AL8" s="17">
        <f t="shared" si="40"/>
        <v>0</v>
      </c>
      <c r="AM8" s="17">
        <f t="shared" si="40"/>
        <v>0</v>
      </c>
      <c r="AN8" s="17">
        <f t="shared" si="40"/>
        <v>0</v>
      </c>
      <c r="AO8" s="17">
        <f t="shared" si="5"/>
        <v>0</v>
      </c>
      <c r="AP8" s="17">
        <f t="shared" ref="AP8:AS8" si="41">IF(OR(L9=""),"",(L9-L8)*100)</f>
        <v>2050</v>
      </c>
      <c r="AQ8" s="17">
        <f t="shared" si="41"/>
        <v>0</v>
      </c>
      <c r="AR8" s="17">
        <f t="shared" si="41"/>
        <v>2359.99999999913</v>
      </c>
      <c r="AS8" s="17">
        <f t="shared" si="41"/>
        <v>1750</v>
      </c>
      <c r="AT8" s="17">
        <f t="shared" si="7"/>
        <v>6159.99999999913</v>
      </c>
      <c r="AU8" s="17">
        <f t="shared" ref="AU8:AY8" si="42">IF(OR(P9=""),"",(P9-P8)*1000)</f>
        <v>0</v>
      </c>
      <c r="AV8" s="17">
        <f t="shared" si="42"/>
        <v>0</v>
      </c>
      <c r="AW8" s="17">
        <f t="shared" si="42"/>
        <v>4500</v>
      </c>
      <c r="AX8" s="17">
        <f t="shared" si="42"/>
        <v>2100.00000000036</v>
      </c>
      <c r="AY8" s="17">
        <f t="shared" si="42"/>
        <v>8600.00000000036</v>
      </c>
      <c r="AZ8" s="17">
        <f t="shared" si="9"/>
        <v>15200.0000000007</v>
      </c>
      <c r="BA8" s="17">
        <f t="shared" si="10"/>
        <v>7400.00000000146</v>
      </c>
      <c r="BB8" s="17">
        <f t="shared" si="11"/>
        <v>560</v>
      </c>
      <c r="BC8" s="17">
        <f t="shared" si="27"/>
        <v>1447.99999999988</v>
      </c>
      <c r="BD8" s="17">
        <f t="shared" si="12"/>
        <v>11371.999999986</v>
      </c>
      <c r="BE8" s="17">
        <f t="shared" si="13"/>
        <v>49399.9999999869</v>
      </c>
      <c r="BF8" s="17">
        <f t="shared" si="14"/>
        <v>63.2999999999993</v>
      </c>
      <c r="BG8" s="20">
        <f t="shared" si="15"/>
        <v>0.29359673834223</v>
      </c>
      <c r="BH8" s="20">
        <f t="shared" si="16"/>
        <v>0.0431480226794548</v>
      </c>
      <c r="BI8" s="20">
        <f t="shared" si="17"/>
        <v>0</v>
      </c>
      <c r="BJ8" s="20">
        <f t="shared" si="18"/>
        <v>0.0366104434855943</v>
      </c>
      <c r="BK8" s="20">
        <f t="shared" ref="BK8:BO8" si="43">IF(OR($AD8=0),"",AZ8/$AD8)</f>
        <v>0.0903374579514836</v>
      </c>
      <c r="BL8" s="20">
        <f t="shared" si="43"/>
        <v>0.0439800782132288</v>
      </c>
      <c r="BM8" s="20">
        <f t="shared" si="43"/>
        <v>0.0033282221350545</v>
      </c>
      <c r="BN8" s="20">
        <f t="shared" si="43"/>
        <v>0.00860583152064023</v>
      </c>
      <c r="BO8" s="20">
        <f t="shared" si="43"/>
        <v>0.0675866823567735</v>
      </c>
    </row>
    <row r="9" spans="1:67">
      <c r="A9" s="9">
        <f t="shared" si="20"/>
        <v>43744</v>
      </c>
      <c r="B9" s="10">
        <v>18927.46</v>
      </c>
      <c r="C9" s="8">
        <v>97523.6</v>
      </c>
      <c r="D9" s="8">
        <v>67890.9</v>
      </c>
      <c r="E9" s="8">
        <v>68482.1</v>
      </c>
      <c r="F9" s="8">
        <v>9993.14</v>
      </c>
      <c r="G9" s="8">
        <v>124574.2</v>
      </c>
      <c r="H9" s="8">
        <v>5709.7</v>
      </c>
      <c r="I9" s="8">
        <v>2566.3</v>
      </c>
      <c r="J9" s="8">
        <v>967</v>
      </c>
      <c r="K9" s="8">
        <v>56</v>
      </c>
      <c r="L9" s="8">
        <v>102108.8</v>
      </c>
      <c r="M9" s="8">
        <v>61530.7</v>
      </c>
      <c r="N9" s="8">
        <v>84773.7</v>
      </c>
      <c r="O9" s="8">
        <v>112284.2</v>
      </c>
      <c r="P9" s="8">
        <v>6351</v>
      </c>
      <c r="Q9" s="8">
        <v>8671.2</v>
      </c>
      <c r="R9" s="8">
        <v>5189.2</v>
      </c>
      <c r="S9" s="8">
        <v>6324</v>
      </c>
      <c r="T9" s="8">
        <v>8429.9</v>
      </c>
      <c r="U9" s="8">
        <v>19336.4</v>
      </c>
      <c r="V9" s="8">
        <v>55159.5</v>
      </c>
      <c r="W9" s="8">
        <v>59555.5</v>
      </c>
      <c r="X9" s="8">
        <v>6640.7</v>
      </c>
      <c r="Y9" s="8">
        <v>6792.8</v>
      </c>
      <c r="Z9" s="15">
        <f t="shared" si="21"/>
        <v>72989</v>
      </c>
      <c r="AA9" s="8">
        <v>8080.2</v>
      </c>
      <c r="AB9" s="13">
        <v>9278</v>
      </c>
      <c r="AC9" s="7">
        <f t="shared" si="22"/>
        <v>17358.2</v>
      </c>
      <c r="AD9" s="16">
        <v>186089</v>
      </c>
      <c r="AE9" s="17">
        <f t="shared" ref="AE9:AI9" si="44">IF(OR(C10=""),"",(C10-C9)*80)</f>
        <v>0</v>
      </c>
      <c r="AF9" s="17">
        <f t="shared" si="44"/>
        <v>2544.00000000023</v>
      </c>
      <c r="AG9" s="17">
        <f t="shared" si="44"/>
        <v>2751.99999999953</v>
      </c>
      <c r="AH9" s="17">
        <f t="shared" si="44"/>
        <v>4.80000000010477</v>
      </c>
      <c r="AI9" s="17">
        <f t="shared" si="44"/>
        <v>2344.00000000023</v>
      </c>
      <c r="AJ9" s="17">
        <f t="shared" si="3"/>
        <v>7644.8000000001</v>
      </c>
      <c r="AK9" s="17">
        <f t="shared" ref="AK9:AN9" si="45">IF(OR(H10=""),"",(H10-H9)*80)</f>
        <v>0</v>
      </c>
      <c r="AL9" s="17">
        <f t="shared" si="45"/>
        <v>0</v>
      </c>
      <c r="AM9" s="17">
        <f t="shared" si="45"/>
        <v>0</v>
      </c>
      <c r="AN9" s="17">
        <f t="shared" si="45"/>
        <v>0</v>
      </c>
      <c r="AO9" s="17">
        <f t="shared" si="5"/>
        <v>0</v>
      </c>
      <c r="AP9" s="17">
        <f t="shared" ref="AP9:AS9" si="46">IF(OR(L10=""),"",(L10-L9)*100)</f>
        <v>2150</v>
      </c>
      <c r="AQ9" s="17">
        <f t="shared" si="46"/>
        <v>0</v>
      </c>
      <c r="AR9" s="17">
        <f t="shared" si="46"/>
        <v>2790.00000000087</v>
      </c>
      <c r="AS9" s="17">
        <f t="shared" si="46"/>
        <v>1730.00000000029</v>
      </c>
      <c r="AT9" s="17">
        <f t="shared" si="7"/>
        <v>6670.00000000116</v>
      </c>
      <c r="AU9" s="17">
        <f t="shared" ref="AU9:AY9" si="47">IF(OR(P10=""),"",(P10-P9)*1000)</f>
        <v>0</v>
      </c>
      <c r="AV9" s="17">
        <f t="shared" si="47"/>
        <v>0</v>
      </c>
      <c r="AW9" s="17">
        <f t="shared" si="47"/>
        <v>4500</v>
      </c>
      <c r="AX9" s="17">
        <f t="shared" si="47"/>
        <v>0</v>
      </c>
      <c r="AY9" s="17">
        <f t="shared" si="47"/>
        <v>8800.00000000109</v>
      </c>
      <c r="AZ9" s="17">
        <f t="shared" si="9"/>
        <v>13300.0000000011</v>
      </c>
      <c r="BA9" s="17">
        <f t="shared" si="10"/>
        <v>7799.99999999563</v>
      </c>
      <c r="BB9" s="17">
        <f t="shared" si="11"/>
        <v>535.999999999767</v>
      </c>
      <c r="BC9" s="17">
        <f t="shared" si="27"/>
        <v>1444.00000000023</v>
      </c>
      <c r="BD9" s="17">
        <f t="shared" si="12"/>
        <v>12705.2000000224</v>
      </c>
      <c r="BE9" s="17">
        <f t="shared" si="13"/>
        <v>50100.0000000204</v>
      </c>
      <c r="BF9" s="17">
        <f t="shared" si="14"/>
        <v>55.3999999999978</v>
      </c>
      <c r="BG9" s="20">
        <f t="shared" si="15"/>
        <v>0.269226015508818</v>
      </c>
      <c r="BH9" s="20">
        <f t="shared" si="16"/>
        <v>0.0410814180311577</v>
      </c>
      <c r="BI9" s="20">
        <f t="shared" si="17"/>
        <v>0</v>
      </c>
      <c r="BJ9" s="20">
        <f t="shared" si="18"/>
        <v>0.0358430643401876</v>
      </c>
      <c r="BK9" s="20">
        <f t="shared" ref="BK9:BO9" si="48">IF(OR($AD9=0),"",AZ9/$AD9)</f>
        <v>0.0714711777697827</v>
      </c>
      <c r="BL9" s="20">
        <f t="shared" si="48"/>
        <v>0.0419154275642066</v>
      </c>
      <c r="BM9" s="20">
        <f t="shared" si="48"/>
        <v>0.0028803422018484</v>
      </c>
      <c r="BN9" s="20">
        <f t="shared" si="48"/>
        <v>0.00775972787214845</v>
      </c>
      <c r="BO9" s="20">
        <f t="shared" si="48"/>
        <v>0.0682748577294863</v>
      </c>
    </row>
    <row r="10" spans="1:67">
      <c r="A10" s="9">
        <f t="shared" si="20"/>
        <v>43745</v>
      </c>
      <c r="B10" s="10">
        <v>18932.47</v>
      </c>
      <c r="C10" s="8">
        <v>97523.6</v>
      </c>
      <c r="D10" s="8">
        <v>67922.7</v>
      </c>
      <c r="E10" s="8">
        <v>68516.5</v>
      </c>
      <c r="F10" s="8">
        <v>9993.2</v>
      </c>
      <c r="G10" s="8">
        <v>124603.5</v>
      </c>
      <c r="H10" s="8">
        <v>5709.7</v>
      </c>
      <c r="I10" s="8">
        <v>2566.3</v>
      </c>
      <c r="J10" s="8">
        <v>967</v>
      </c>
      <c r="K10" s="8">
        <v>56</v>
      </c>
      <c r="L10" s="8">
        <v>102130.3</v>
      </c>
      <c r="M10" s="8">
        <v>61530.7</v>
      </c>
      <c r="N10" s="8">
        <v>84801.6</v>
      </c>
      <c r="O10" s="8">
        <v>112301.5</v>
      </c>
      <c r="P10" s="8">
        <v>6351</v>
      </c>
      <c r="Q10" s="8">
        <v>8671.2</v>
      </c>
      <c r="R10" s="8">
        <v>5193.7</v>
      </c>
      <c r="S10" s="8">
        <v>6324</v>
      </c>
      <c r="T10" s="8">
        <v>8438.7</v>
      </c>
      <c r="U10" s="8">
        <v>19340.3</v>
      </c>
      <c r="V10" s="8">
        <v>55166.2</v>
      </c>
      <c r="W10" s="8">
        <v>59572.6</v>
      </c>
      <c r="X10" s="8">
        <v>6649.2</v>
      </c>
      <c r="Y10" s="8">
        <v>6803.3</v>
      </c>
      <c r="Z10" s="15">
        <f t="shared" si="21"/>
        <v>73025.1</v>
      </c>
      <c r="AA10" s="8">
        <v>8129.6</v>
      </c>
      <c r="AB10" s="13">
        <v>9284</v>
      </c>
      <c r="AC10" s="7">
        <f t="shared" si="22"/>
        <v>17413.6</v>
      </c>
      <c r="AD10" s="16">
        <v>208161</v>
      </c>
      <c r="AE10" s="17">
        <f t="shared" ref="AE10:AI10" si="49">IF(OR(C11=""),"",(C11-C10)*80)</f>
        <v>0</v>
      </c>
      <c r="AF10" s="17">
        <f t="shared" si="49"/>
        <v>3095.99999999977</v>
      </c>
      <c r="AG10" s="17">
        <f t="shared" si="49"/>
        <v>2528.00000000047</v>
      </c>
      <c r="AH10" s="17">
        <f t="shared" si="49"/>
        <v>4.79999999995925</v>
      </c>
      <c r="AI10" s="17">
        <f t="shared" si="49"/>
        <v>2135.99999999977</v>
      </c>
      <c r="AJ10" s="17">
        <f t="shared" si="3"/>
        <v>7764.79999999996</v>
      </c>
      <c r="AK10" s="17">
        <f t="shared" ref="AK10:AN10" si="50">IF(OR(H11=""),"",(H11-H10)*80)</f>
        <v>0</v>
      </c>
      <c r="AL10" s="17">
        <f t="shared" si="50"/>
        <v>0</v>
      </c>
      <c r="AM10" s="17">
        <f t="shared" si="50"/>
        <v>0</v>
      </c>
      <c r="AN10" s="17">
        <f t="shared" si="50"/>
        <v>0</v>
      </c>
      <c r="AO10" s="17">
        <f t="shared" si="5"/>
        <v>0</v>
      </c>
      <c r="AP10" s="17">
        <f t="shared" ref="AP10:AS10" si="51">IF(OR(L11=""),"",(L11-L10)*100)</f>
        <v>3100</v>
      </c>
      <c r="AQ10" s="17">
        <f t="shared" si="51"/>
        <v>0</v>
      </c>
      <c r="AR10" s="17">
        <f t="shared" si="51"/>
        <v>2889.99999999942</v>
      </c>
      <c r="AS10" s="17">
        <f t="shared" si="51"/>
        <v>1860.00000000058</v>
      </c>
      <c r="AT10" s="17">
        <f t="shared" si="7"/>
        <v>7850</v>
      </c>
      <c r="AU10" s="17">
        <f t="shared" ref="AU10:AY10" si="52">IF(OR(P11=""),"",(P11-P10)*1000)</f>
        <v>0</v>
      </c>
      <c r="AV10" s="17">
        <f t="shared" si="52"/>
        <v>0</v>
      </c>
      <c r="AW10" s="17">
        <f t="shared" si="52"/>
        <v>4600.00000000036</v>
      </c>
      <c r="AX10" s="17">
        <f t="shared" si="52"/>
        <v>0</v>
      </c>
      <c r="AY10" s="17">
        <f t="shared" si="52"/>
        <v>8299.99999999927</v>
      </c>
      <c r="AZ10" s="17">
        <f t="shared" si="9"/>
        <v>12899.9999999996</v>
      </c>
      <c r="BA10" s="17">
        <f t="shared" si="10"/>
        <v>9800.00000000291</v>
      </c>
      <c r="BB10" s="17">
        <f t="shared" si="11"/>
        <v>600</v>
      </c>
      <c r="BC10" s="17">
        <f t="shared" si="27"/>
        <v>1475.99999999977</v>
      </c>
      <c r="BD10" s="17">
        <f t="shared" si="12"/>
        <v>11609.1999999686</v>
      </c>
      <c r="BE10" s="17">
        <f t="shared" si="13"/>
        <v>51999.9999999709</v>
      </c>
      <c r="BF10" s="17">
        <f t="shared" si="14"/>
        <v>55.4000000000015</v>
      </c>
      <c r="BG10" s="20">
        <f t="shared" si="15"/>
        <v>0.249806640052512</v>
      </c>
      <c r="BH10" s="20">
        <f t="shared" si="16"/>
        <v>0.0373018961284773</v>
      </c>
      <c r="BI10" s="20">
        <f t="shared" si="17"/>
        <v>0</v>
      </c>
      <c r="BJ10" s="20">
        <f t="shared" si="18"/>
        <v>0.0377111947002561</v>
      </c>
      <c r="BK10" s="20">
        <f t="shared" ref="BK10:BO10" si="53">IF(OR($AD10=0),"",AZ10/$AD10)</f>
        <v>0.0619712626284445</v>
      </c>
      <c r="BL10" s="20">
        <f t="shared" si="53"/>
        <v>0.0470789437022445</v>
      </c>
      <c r="BM10" s="20">
        <f t="shared" si="53"/>
        <v>0.00288238430829983</v>
      </c>
      <c r="BN10" s="20">
        <f t="shared" si="53"/>
        <v>0.00709066539841645</v>
      </c>
      <c r="BO10" s="20">
        <f t="shared" si="53"/>
        <v>0.0557702931863732</v>
      </c>
    </row>
    <row r="11" spans="1:67">
      <c r="A11" s="9">
        <f t="shared" si="20"/>
        <v>43746</v>
      </c>
      <c r="B11" s="10">
        <v>18937.67</v>
      </c>
      <c r="C11" s="8">
        <v>97523.6</v>
      </c>
      <c r="D11" s="8">
        <v>67961.4</v>
      </c>
      <c r="E11" s="8">
        <v>68548.1</v>
      </c>
      <c r="F11" s="8">
        <v>9993.26</v>
      </c>
      <c r="G11" s="8">
        <v>124630.2</v>
      </c>
      <c r="H11" s="8">
        <v>5709.7</v>
      </c>
      <c r="I11" s="8">
        <v>2566.3</v>
      </c>
      <c r="J11" s="8">
        <v>967</v>
      </c>
      <c r="K11" s="8">
        <v>56</v>
      </c>
      <c r="L11" s="8">
        <v>102161.3</v>
      </c>
      <c r="M11" s="8">
        <v>61530.7</v>
      </c>
      <c r="N11" s="8">
        <v>84830.5</v>
      </c>
      <c r="O11" s="8">
        <v>112320.1</v>
      </c>
      <c r="P11" s="8">
        <v>6351</v>
      </c>
      <c r="Q11" s="8">
        <v>8671.2</v>
      </c>
      <c r="R11" s="8">
        <v>5198.3</v>
      </c>
      <c r="S11" s="8">
        <v>6324</v>
      </c>
      <c r="T11" s="8">
        <v>8447</v>
      </c>
      <c r="U11" s="8">
        <v>19345.2</v>
      </c>
      <c r="V11" s="8">
        <v>55173.7</v>
      </c>
      <c r="W11" s="8">
        <v>59589.8</v>
      </c>
      <c r="X11" s="8">
        <v>6657.9</v>
      </c>
      <c r="Y11" s="8">
        <v>6814.3</v>
      </c>
      <c r="Z11" s="15">
        <f t="shared" si="21"/>
        <v>73062</v>
      </c>
      <c r="AA11" s="8">
        <v>8179</v>
      </c>
      <c r="AB11" s="13">
        <v>9290</v>
      </c>
      <c r="AC11" s="7">
        <f t="shared" si="22"/>
        <v>17469</v>
      </c>
      <c r="AD11" s="16">
        <v>206245</v>
      </c>
      <c r="AE11" s="17">
        <f t="shared" ref="AE11:AI11" si="54">IF(OR(C12=""),"",(C12-C11)*80)</f>
        <v>0</v>
      </c>
      <c r="AF11" s="17">
        <f t="shared" si="54"/>
        <v>3024.00000000023</v>
      </c>
      <c r="AG11" s="17">
        <f t="shared" si="54"/>
        <v>2511.99999999953</v>
      </c>
      <c r="AH11" s="17">
        <f t="shared" si="54"/>
        <v>3.99999999994179</v>
      </c>
      <c r="AI11" s="17">
        <f t="shared" si="54"/>
        <v>2120</v>
      </c>
      <c r="AJ11" s="17">
        <f t="shared" si="3"/>
        <v>7659.99999999971</v>
      </c>
      <c r="AK11" s="17">
        <f t="shared" ref="AK11:AN11" si="55">IF(OR(H12=""),"",(H12-H11)*80)</f>
        <v>0</v>
      </c>
      <c r="AL11" s="17">
        <f t="shared" si="55"/>
        <v>0</v>
      </c>
      <c r="AM11" s="17">
        <f t="shared" si="55"/>
        <v>0</v>
      </c>
      <c r="AN11" s="17">
        <f t="shared" si="55"/>
        <v>0</v>
      </c>
      <c r="AO11" s="17">
        <f t="shared" si="5"/>
        <v>0</v>
      </c>
      <c r="AP11" s="17">
        <f t="shared" ref="AP11:AS11" si="56">IF(OR(L12=""),"",(L12-L11)*100)</f>
        <v>2900</v>
      </c>
      <c r="AQ11" s="17">
        <f t="shared" si="56"/>
        <v>0</v>
      </c>
      <c r="AR11" s="17">
        <f t="shared" si="56"/>
        <v>2769.99999999971</v>
      </c>
      <c r="AS11" s="17">
        <f t="shared" si="56"/>
        <v>1769.99999999971</v>
      </c>
      <c r="AT11" s="17">
        <f t="shared" si="7"/>
        <v>7439.99999999942</v>
      </c>
      <c r="AU11" s="17">
        <f t="shared" ref="AU11:AY11" si="57">IF(OR(P12=""),"",(P12-P11)*1000)</f>
        <v>0</v>
      </c>
      <c r="AV11" s="17">
        <f t="shared" si="57"/>
        <v>0</v>
      </c>
      <c r="AW11" s="17">
        <f t="shared" si="57"/>
        <v>4500</v>
      </c>
      <c r="AX11" s="17">
        <f t="shared" si="57"/>
        <v>0</v>
      </c>
      <c r="AY11" s="17">
        <f t="shared" si="57"/>
        <v>8299.99999999927</v>
      </c>
      <c r="AZ11" s="17">
        <f t="shared" si="9"/>
        <v>12799.9999999993</v>
      </c>
      <c r="BA11" s="17">
        <f t="shared" si="10"/>
        <v>11000</v>
      </c>
      <c r="BB11" s="17">
        <f t="shared" si="11"/>
        <v>592.000000000116</v>
      </c>
      <c r="BC11" s="17">
        <f t="shared" si="27"/>
        <v>1435.99999999977</v>
      </c>
      <c r="BD11" s="17">
        <f t="shared" si="12"/>
        <v>10472.0000000323</v>
      </c>
      <c r="BE11" s="17">
        <f t="shared" si="13"/>
        <v>51400.0000000306</v>
      </c>
      <c r="BF11" s="17">
        <f t="shared" si="14"/>
        <v>52.5999999999985</v>
      </c>
      <c r="BG11" s="20">
        <f t="shared" si="15"/>
        <v>0.249218162864702</v>
      </c>
      <c r="BH11" s="20">
        <f t="shared" si="16"/>
        <v>0.0371402943101637</v>
      </c>
      <c r="BI11" s="20">
        <f t="shared" si="17"/>
        <v>0</v>
      </c>
      <c r="BJ11" s="20">
        <f t="shared" si="18"/>
        <v>0.0360736017842829</v>
      </c>
      <c r="BK11" s="20">
        <f t="shared" ref="BK11:BO11" si="58">IF(OR($AD11=0),"",AZ11/$AD11)</f>
        <v>0.062062110596617</v>
      </c>
      <c r="BL11" s="20">
        <f t="shared" si="58"/>
        <v>0.0533346262939708</v>
      </c>
      <c r="BM11" s="20">
        <f t="shared" si="58"/>
        <v>0.00287037261509426</v>
      </c>
      <c r="BN11" s="20">
        <f t="shared" si="58"/>
        <v>0.00696259303255724</v>
      </c>
      <c r="BO11" s="20">
        <f t="shared" si="58"/>
        <v>0.0507745642320167</v>
      </c>
    </row>
    <row r="12" spans="1:67">
      <c r="A12" s="9">
        <f t="shared" si="20"/>
        <v>43747</v>
      </c>
      <c r="B12" s="10">
        <v>18942.81</v>
      </c>
      <c r="C12" s="8">
        <v>97523.6</v>
      </c>
      <c r="D12" s="8">
        <v>67999.2</v>
      </c>
      <c r="E12" s="8">
        <v>68579.5</v>
      </c>
      <c r="F12" s="8">
        <v>9993.31</v>
      </c>
      <c r="G12" s="8">
        <v>124656.7</v>
      </c>
      <c r="H12" s="8">
        <v>5709.7</v>
      </c>
      <c r="I12" s="8">
        <v>2566.3</v>
      </c>
      <c r="J12" s="8">
        <v>967</v>
      </c>
      <c r="K12" s="8">
        <v>56</v>
      </c>
      <c r="L12" s="8">
        <v>102190.3</v>
      </c>
      <c r="M12" s="8">
        <v>61530.7</v>
      </c>
      <c r="N12" s="8">
        <v>84858.2</v>
      </c>
      <c r="O12" s="8">
        <v>112337.8</v>
      </c>
      <c r="P12" s="8">
        <v>6351</v>
      </c>
      <c r="Q12" s="8">
        <v>8671.2</v>
      </c>
      <c r="R12" s="8">
        <v>5202.8</v>
      </c>
      <c r="S12" s="8">
        <v>6324</v>
      </c>
      <c r="T12" s="8">
        <v>8455.3</v>
      </c>
      <c r="U12" s="8">
        <v>19350.7</v>
      </c>
      <c r="V12" s="8">
        <v>55181.1</v>
      </c>
      <c r="W12" s="8">
        <v>59606.7</v>
      </c>
      <c r="X12" s="8">
        <v>6666.3</v>
      </c>
      <c r="Y12" s="8">
        <v>6824.9</v>
      </c>
      <c r="Z12" s="15">
        <f t="shared" si="21"/>
        <v>73097.9</v>
      </c>
      <c r="AA12" s="8">
        <v>8226.6</v>
      </c>
      <c r="AB12" s="13">
        <v>9295</v>
      </c>
      <c r="AC12" s="7">
        <f t="shared" si="22"/>
        <v>17521.6</v>
      </c>
      <c r="AD12" s="16">
        <v>206082</v>
      </c>
      <c r="AE12" s="17">
        <f t="shared" ref="AE12:AI12" si="59">IF(OR(C13=""),"",(C13-C12)*80)</f>
        <v>0</v>
      </c>
      <c r="AF12" s="17">
        <f t="shared" si="59"/>
        <v>2904.00000000023</v>
      </c>
      <c r="AG12" s="17">
        <f t="shared" si="59"/>
        <v>2128.00000000047</v>
      </c>
      <c r="AH12" s="17">
        <f t="shared" si="59"/>
        <v>4.80000000010477</v>
      </c>
      <c r="AI12" s="17">
        <f t="shared" si="59"/>
        <v>2375.99999999977</v>
      </c>
      <c r="AJ12" s="17">
        <f t="shared" si="3"/>
        <v>7412.80000000057</v>
      </c>
      <c r="AK12" s="17">
        <f t="shared" ref="AK12:AN12" si="60">IF(OR(H13=""),"",(H13-H12)*80)</f>
        <v>0</v>
      </c>
      <c r="AL12" s="17">
        <f t="shared" si="60"/>
        <v>0</v>
      </c>
      <c r="AM12" s="17">
        <f t="shared" si="60"/>
        <v>0</v>
      </c>
      <c r="AN12" s="17">
        <f t="shared" si="60"/>
        <v>0</v>
      </c>
      <c r="AO12" s="17">
        <f t="shared" si="5"/>
        <v>0</v>
      </c>
      <c r="AP12" s="17">
        <f t="shared" ref="AP12:AS12" si="61">IF(OR(L13=""),"",(L13-L12)*100)</f>
        <v>2869.99999999971</v>
      </c>
      <c r="AQ12" s="17">
        <f t="shared" si="61"/>
        <v>10.0000000005821</v>
      </c>
      <c r="AR12" s="17">
        <f t="shared" si="61"/>
        <v>2890.00000000087</v>
      </c>
      <c r="AS12" s="17">
        <f t="shared" si="61"/>
        <v>1859.99999999913</v>
      </c>
      <c r="AT12" s="17">
        <f t="shared" si="7"/>
        <v>7630.00000000029</v>
      </c>
      <c r="AU12" s="17">
        <f t="shared" ref="AU12:AY12" si="62">IF(OR(P13=""),"",(P13-P12)*1000)</f>
        <v>0</v>
      </c>
      <c r="AV12" s="17">
        <f t="shared" si="62"/>
        <v>3000</v>
      </c>
      <c r="AW12" s="17">
        <f t="shared" si="62"/>
        <v>4300.00000000018</v>
      </c>
      <c r="AX12" s="17">
        <f t="shared" si="62"/>
        <v>0</v>
      </c>
      <c r="AY12" s="17">
        <f t="shared" si="62"/>
        <v>8100.00000000036</v>
      </c>
      <c r="AZ12" s="17">
        <f t="shared" si="9"/>
        <v>15400.0000000005</v>
      </c>
      <c r="BA12" s="17">
        <f t="shared" si="10"/>
        <v>8599.99999999854</v>
      </c>
      <c r="BB12" s="17">
        <f t="shared" si="11"/>
        <v>576.000000000349</v>
      </c>
      <c r="BC12" s="17">
        <f t="shared" si="27"/>
        <v>1468.00000000047</v>
      </c>
      <c r="BD12" s="17">
        <f t="shared" si="12"/>
        <v>9413.19999999196</v>
      </c>
      <c r="BE12" s="17">
        <f t="shared" si="13"/>
        <v>50499.9999999927</v>
      </c>
      <c r="BF12" s="17">
        <f t="shared" si="14"/>
        <v>56</v>
      </c>
      <c r="BG12" s="20">
        <f t="shared" si="15"/>
        <v>0.245048087654394</v>
      </c>
      <c r="BH12" s="20">
        <f t="shared" si="16"/>
        <v>0.0359701478052453</v>
      </c>
      <c r="BI12" s="20">
        <f t="shared" si="17"/>
        <v>0</v>
      </c>
      <c r="BJ12" s="20">
        <f t="shared" si="18"/>
        <v>0.037024097204027</v>
      </c>
      <c r="BK12" s="20">
        <f t="shared" ref="BK12:BO12" si="63">IF(OR($AD12=0),"",AZ12/$AD12)</f>
        <v>0.0747275356411552</v>
      </c>
      <c r="BL12" s="20">
        <f t="shared" si="63"/>
        <v>0.0417309614619353</v>
      </c>
      <c r="BM12" s="20">
        <f t="shared" si="63"/>
        <v>0.00279500393047597</v>
      </c>
      <c r="BN12" s="20">
        <f t="shared" si="63"/>
        <v>0.00712337807280823</v>
      </c>
      <c r="BO12" s="20">
        <f t="shared" si="63"/>
        <v>0.0456769635387465</v>
      </c>
    </row>
    <row r="13" spans="1:67">
      <c r="A13" s="9">
        <f t="shared" si="20"/>
        <v>43748</v>
      </c>
      <c r="B13" s="10">
        <v>18947.86</v>
      </c>
      <c r="C13" s="8">
        <v>97523.6</v>
      </c>
      <c r="D13" s="8">
        <v>68035.5</v>
      </c>
      <c r="E13" s="8">
        <v>68606.1</v>
      </c>
      <c r="F13" s="8">
        <v>9993.37</v>
      </c>
      <c r="G13" s="8">
        <v>124686.4</v>
      </c>
      <c r="H13" s="8">
        <v>5709.7</v>
      </c>
      <c r="I13" s="8">
        <v>2566.3</v>
      </c>
      <c r="J13" s="8">
        <v>967</v>
      </c>
      <c r="K13" s="8">
        <v>56</v>
      </c>
      <c r="L13" s="8">
        <v>102219</v>
      </c>
      <c r="M13" s="8">
        <v>61530.8</v>
      </c>
      <c r="N13" s="8">
        <v>84887.1</v>
      </c>
      <c r="O13" s="8">
        <v>112356.4</v>
      </c>
      <c r="P13" s="8">
        <v>6351</v>
      </c>
      <c r="Q13" s="8">
        <v>8674.2</v>
      </c>
      <c r="R13" s="8">
        <v>5207.1</v>
      </c>
      <c r="S13" s="8">
        <v>6324</v>
      </c>
      <c r="T13" s="8">
        <v>8463.4</v>
      </c>
      <c r="U13" s="8">
        <v>19355</v>
      </c>
      <c r="V13" s="8">
        <v>55188.3</v>
      </c>
      <c r="W13" s="8">
        <v>59624</v>
      </c>
      <c r="X13" s="8">
        <v>6675</v>
      </c>
      <c r="Y13" s="8">
        <v>6835.6</v>
      </c>
      <c r="Z13" s="15">
        <f t="shared" si="21"/>
        <v>73134.6</v>
      </c>
      <c r="AA13" s="8">
        <v>8275.6</v>
      </c>
      <c r="AB13" s="13">
        <v>9302</v>
      </c>
      <c r="AC13" s="7">
        <f t="shared" si="22"/>
        <v>17577.6</v>
      </c>
      <c r="AD13" s="16">
        <v>206503</v>
      </c>
      <c r="AE13" s="17">
        <f t="shared" ref="AE13:AI13" si="64">IF(OR(C14=""),"",(C14-C13)*80)</f>
        <v>0</v>
      </c>
      <c r="AF13" s="17">
        <f t="shared" si="64"/>
        <v>2944.00000000023</v>
      </c>
      <c r="AG13" s="17">
        <f t="shared" si="64"/>
        <v>2327.9999999993</v>
      </c>
      <c r="AH13" s="17">
        <f t="shared" si="64"/>
        <v>3.99999999994179</v>
      </c>
      <c r="AI13" s="17">
        <f t="shared" si="64"/>
        <v>2328.00000000047</v>
      </c>
      <c r="AJ13" s="17">
        <f t="shared" si="3"/>
        <v>7603.99999999994</v>
      </c>
      <c r="AK13" s="17">
        <f t="shared" ref="AK13:AN13" si="65">IF(OR(H14=""),"",(H14-H13)*80)</f>
        <v>0</v>
      </c>
      <c r="AL13" s="17">
        <f t="shared" si="65"/>
        <v>0</v>
      </c>
      <c r="AM13" s="17">
        <f t="shared" si="65"/>
        <v>0</v>
      </c>
      <c r="AN13" s="17">
        <f t="shared" si="65"/>
        <v>0</v>
      </c>
      <c r="AO13" s="17">
        <f t="shared" si="5"/>
        <v>0</v>
      </c>
      <c r="AP13" s="17">
        <f t="shared" ref="AP13:AS13" si="66">IF(OR(L14=""),"",(L14-L13)*100)</f>
        <v>2939.99999999942</v>
      </c>
      <c r="AQ13" s="17">
        <f t="shared" si="66"/>
        <v>0</v>
      </c>
      <c r="AR13" s="17">
        <f t="shared" si="66"/>
        <v>2859.99999999913</v>
      </c>
      <c r="AS13" s="17">
        <f t="shared" si="66"/>
        <v>1830.00000000029</v>
      </c>
      <c r="AT13" s="17">
        <f t="shared" si="7"/>
        <v>7629.99999999884</v>
      </c>
      <c r="AU13" s="17">
        <f t="shared" ref="AU13:AY13" si="67">IF(OR(P14=""),"",(P14-P13)*1000)</f>
        <v>0</v>
      </c>
      <c r="AV13" s="17">
        <f t="shared" si="67"/>
        <v>4199.99999999891</v>
      </c>
      <c r="AW13" s="17">
        <f t="shared" si="67"/>
        <v>4899.99999999964</v>
      </c>
      <c r="AX13" s="17">
        <f t="shared" si="67"/>
        <v>0</v>
      </c>
      <c r="AY13" s="17">
        <f t="shared" si="67"/>
        <v>0</v>
      </c>
      <c r="AZ13" s="17">
        <f t="shared" si="9"/>
        <v>9099.99999999854</v>
      </c>
      <c r="BA13" s="17">
        <f t="shared" si="10"/>
        <v>9800.00000000291</v>
      </c>
      <c r="BB13" s="17">
        <f t="shared" si="11"/>
        <v>575.999999999767</v>
      </c>
      <c r="BC13" s="17">
        <f t="shared" si="27"/>
        <v>1423.99999999965</v>
      </c>
      <c r="BD13" s="17">
        <f t="shared" si="12"/>
        <v>14066.0000000047</v>
      </c>
      <c r="BE13" s="17">
        <f t="shared" si="13"/>
        <v>50200.0000000044</v>
      </c>
      <c r="BF13" s="17">
        <f t="shared" si="14"/>
        <v>52.6000000000022</v>
      </c>
      <c r="BG13" s="20">
        <f t="shared" si="15"/>
        <v>0.243095741950501</v>
      </c>
      <c r="BH13" s="20">
        <f t="shared" si="16"/>
        <v>0.036822709597439</v>
      </c>
      <c r="BI13" s="20">
        <f t="shared" si="17"/>
        <v>0</v>
      </c>
      <c r="BJ13" s="20">
        <f t="shared" si="18"/>
        <v>0.0369486157586032</v>
      </c>
      <c r="BK13" s="20">
        <f t="shared" ref="BK13:BO13" si="68">IF(OR($AD13=0),"",AZ13/$AD13)</f>
        <v>0.0440671564093429</v>
      </c>
      <c r="BL13" s="20">
        <f t="shared" si="68"/>
        <v>0.0474569376716218</v>
      </c>
      <c r="BM13" s="20">
        <f t="shared" si="68"/>
        <v>0.00278930572437092</v>
      </c>
      <c r="BN13" s="20">
        <f t="shared" si="68"/>
        <v>0.00689578359636253</v>
      </c>
      <c r="BO13" s="20">
        <f t="shared" si="68"/>
        <v>0.068115233192761</v>
      </c>
    </row>
    <row r="14" spans="1:67">
      <c r="A14" s="9">
        <f t="shared" si="20"/>
        <v>43749</v>
      </c>
      <c r="B14" s="10">
        <v>18952.88</v>
      </c>
      <c r="C14" s="8">
        <v>97523.6</v>
      </c>
      <c r="D14" s="8">
        <v>68072.3</v>
      </c>
      <c r="E14" s="8">
        <v>68635.2</v>
      </c>
      <c r="F14" s="8">
        <v>9993.42</v>
      </c>
      <c r="G14" s="8">
        <v>124715.5</v>
      </c>
      <c r="H14" s="8">
        <v>5709.7</v>
      </c>
      <c r="I14" s="8">
        <v>2566.3</v>
      </c>
      <c r="J14" s="8">
        <v>967</v>
      </c>
      <c r="K14" s="8">
        <v>56</v>
      </c>
      <c r="L14" s="8">
        <v>102248.4</v>
      </c>
      <c r="M14" s="8">
        <v>61530.8</v>
      </c>
      <c r="N14" s="8">
        <v>84915.7</v>
      </c>
      <c r="O14" s="8">
        <v>112374.7</v>
      </c>
      <c r="P14" s="8">
        <v>6351</v>
      </c>
      <c r="Q14" s="8">
        <v>8678.4</v>
      </c>
      <c r="R14" s="8">
        <v>5212</v>
      </c>
      <c r="S14" s="8">
        <v>6324</v>
      </c>
      <c r="T14" s="8">
        <v>8463.4</v>
      </c>
      <c r="U14" s="8">
        <v>19359.9</v>
      </c>
      <c r="V14" s="8">
        <v>55195.5</v>
      </c>
      <c r="W14" s="8">
        <v>59640.8</v>
      </c>
      <c r="X14" s="8">
        <v>6683.4</v>
      </c>
      <c r="Y14" s="8">
        <v>6846</v>
      </c>
      <c r="Z14" s="15">
        <f t="shared" si="21"/>
        <v>73170.2</v>
      </c>
      <c r="AA14" s="8">
        <v>8323.2</v>
      </c>
      <c r="AB14" s="13">
        <v>9307</v>
      </c>
      <c r="AC14" s="7">
        <f t="shared" si="22"/>
        <v>17630.2</v>
      </c>
      <c r="AD14" s="16">
        <v>207174</v>
      </c>
      <c r="AE14" s="17">
        <f t="shared" ref="AE14:AI14" si="69">IF(OR(C15=""),"",(C15-C14)*80)</f>
        <v>0</v>
      </c>
      <c r="AF14" s="17">
        <f t="shared" si="69"/>
        <v>3015.99999999977</v>
      </c>
      <c r="AG14" s="17">
        <f t="shared" si="69"/>
        <v>2680</v>
      </c>
      <c r="AH14" s="17">
        <f t="shared" si="69"/>
        <v>4.79999999995925</v>
      </c>
      <c r="AI14" s="17">
        <f t="shared" si="69"/>
        <v>2544.00000000023</v>
      </c>
      <c r="AJ14" s="17">
        <f t="shared" si="3"/>
        <v>8244.79999999996</v>
      </c>
      <c r="AK14" s="17">
        <f t="shared" ref="AK14:AN14" si="70">IF(OR(H15=""),"",(H15-H14)*80)</f>
        <v>0</v>
      </c>
      <c r="AL14" s="17">
        <f t="shared" si="70"/>
        <v>0</v>
      </c>
      <c r="AM14" s="17">
        <f t="shared" si="70"/>
        <v>0</v>
      </c>
      <c r="AN14" s="17">
        <f t="shared" si="70"/>
        <v>0</v>
      </c>
      <c r="AO14" s="17">
        <f t="shared" si="5"/>
        <v>0</v>
      </c>
      <c r="AP14" s="17">
        <f t="shared" ref="AP14:AS14" si="71">IF(OR(L15=""),"",(L15-L14)*100)</f>
        <v>2920.00000000116</v>
      </c>
      <c r="AQ14" s="17">
        <f t="shared" si="71"/>
        <v>0</v>
      </c>
      <c r="AR14" s="17">
        <f t="shared" si="71"/>
        <v>2869.99999999971</v>
      </c>
      <c r="AS14" s="17">
        <f t="shared" si="71"/>
        <v>1680.00000000029</v>
      </c>
      <c r="AT14" s="17">
        <f t="shared" si="7"/>
        <v>7470.00000000116</v>
      </c>
      <c r="AU14" s="17">
        <f t="shared" ref="AU14:AY14" si="72">IF(OR(P15=""),"",(P15-P14)*1000)</f>
        <v>0</v>
      </c>
      <c r="AV14" s="17">
        <f t="shared" si="72"/>
        <v>7500</v>
      </c>
      <c r="AW14" s="17">
        <f t="shared" si="72"/>
        <v>4600.00000000036</v>
      </c>
      <c r="AX14" s="17">
        <f t="shared" si="72"/>
        <v>0</v>
      </c>
      <c r="AY14" s="17">
        <f t="shared" si="72"/>
        <v>0</v>
      </c>
      <c r="AZ14" s="17">
        <f t="shared" si="9"/>
        <v>12100.0000000004</v>
      </c>
      <c r="BA14" s="17">
        <f t="shared" si="10"/>
        <v>10000</v>
      </c>
      <c r="BB14" s="17">
        <f t="shared" si="11"/>
        <v>527.999999999884</v>
      </c>
      <c r="BC14" s="17">
        <f t="shared" si="27"/>
        <v>1448.00000000047</v>
      </c>
      <c r="BD14" s="17">
        <f t="shared" si="12"/>
        <v>10909.1999999953</v>
      </c>
      <c r="BE14" s="17">
        <f t="shared" si="13"/>
        <v>50699.9999999971</v>
      </c>
      <c r="BF14" s="17">
        <f t="shared" si="14"/>
        <v>54.8999999999978</v>
      </c>
      <c r="BG14" s="20">
        <f t="shared" si="15"/>
        <v>0.2447218280286</v>
      </c>
      <c r="BH14" s="20">
        <f t="shared" si="16"/>
        <v>0.0397964995607555</v>
      </c>
      <c r="BI14" s="20">
        <f t="shared" si="17"/>
        <v>0</v>
      </c>
      <c r="BJ14" s="20">
        <f t="shared" si="18"/>
        <v>0.0360566480349907</v>
      </c>
      <c r="BK14" s="20">
        <f t="shared" ref="BK14:BO14" si="73">IF(OR($AD14=0),"",AZ14/$AD14)</f>
        <v>0.0584050122119589</v>
      </c>
      <c r="BL14" s="20">
        <f t="shared" si="73"/>
        <v>0.0482686051338488</v>
      </c>
      <c r="BM14" s="20">
        <f t="shared" si="73"/>
        <v>0.00254858235106666</v>
      </c>
      <c r="BN14" s="20">
        <f t="shared" si="73"/>
        <v>0.00698929402338356</v>
      </c>
      <c r="BO14" s="20">
        <f t="shared" si="73"/>
        <v>0.0526571867125955</v>
      </c>
    </row>
    <row r="15" spans="1:67">
      <c r="A15" s="9">
        <f t="shared" si="20"/>
        <v>43750</v>
      </c>
      <c r="B15" s="10">
        <v>18957.95</v>
      </c>
      <c r="C15" s="8">
        <v>97523.6</v>
      </c>
      <c r="D15" s="8">
        <v>68110</v>
      </c>
      <c r="E15" s="8">
        <v>68668.7</v>
      </c>
      <c r="F15" s="8">
        <v>9993.48</v>
      </c>
      <c r="G15" s="8">
        <v>124747.3</v>
      </c>
      <c r="H15" s="8">
        <v>5709.7</v>
      </c>
      <c r="I15" s="8">
        <v>2566.3</v>
      </c>
      <c r="J15" s="8">
        <v>967</v>
      </c>
      <c r="K15" s="8">
        <v>56</v>
      </c>
      <c r="L15" s="8">
        <v>102277.6</v>
      </c>
      <c r="M15" s="8">
        <v>61530.8</v>
      </c>
      <c r="N15" s="8">
        <v>84944.4</v>
      </c>
      <c r="O15" s="8">
        <v>112391.5</v>
      </c>
      <c r="P15" s="8">
        <v>6351</v>
      </c>
      <c r="Q15" s="8">
        <v>8685.9</v>
      </c>
      <c r="R15" s="8">
        <v>5216.6</v>
      </c>
      <c r="S15" s="8">
        <v>6324</v>
      </c>
      <c r="T15" s="8">
        <v>8463.4</v>
      </c>
      <c r="U15" s="8">
        <v>19364.9</v>
      </c>
      <c r="V15" s="8">
        <v>55202.1</v>
      </c>
      <c r="W15" s="8">
        <v>59657.9</v>
      </c>
      <c r="X15" s="8">
        <v>6691.9</v>
      </c>
      <c r="Y15" s="8">
        <v>6856.6</v>
      </c>
      <c r="Z15" s="15">
        <f t="shared" si="21"/>
        <v>73206.4</v>
      </c>
      <c r="AA15" s="8">
        <v>8372.1</v>
      </c>
      <c r="AB15" s="13">
        <v>9313</v>
      </c>
      <c r="AC15" s="7">
        <f t="shared" si="22"/>
        <v>17685.1</v>
      </c>
      <c r="AD15" s="16">
        <v>207024</v>
      </c>
      <c r="AE15" s="17">
        <f t="shared" ref="AE15:AI15" si="74">IF(OR(C16=""),"",(C16-C15)*80)</f>
        <v>0</v>
      </c>
      <c r="AF15" s="17">
        <f t="shared" si="74"/>
        <v>3064.00000000023</v>
      </c>
      <c r="AG15" s="17">
        <f t="shared" si="74"/>
        <v>3032.0000000007</v>
      </c>
      <c r="AH15" s="17">
        <f t="shared" si="74"/>
        <v>4.00000000008731</v>
      </c>
      <c r="AI15" s="17">
        <f t="shared" si="74"/>
        <v>2480</v>
      </c>
      <c r="AJ15" s="17">
        <f t="shared" si="3"/>
        <v>8580.00000000102</v>
      </c>
      <c r="AK15" s="17">
        <f t="shared" ref="AK15:AN15" si="75">IF(OR(H16=""),"",(H16-H15)*80)</f>
        <v>0</v>
      </c>
      <c r="AL15" s="17">
        <f t="shared" si="75"/>
        <v>0</v>
      </c>
      <c r="AM15" s="17">
        <f t="shared" si="75"/>
        <v>0</v>
      </c>
      <c r="AN15" s="17">
        <f t="shared" si="75"/>
        <v>0</v>
      </c>
      <c r="AO15" s="17">
        <f t="shared" si="5"/>
        <v>0</v>
      </c>
      <c r="AP15" s="17">
        <f t="shared" ref="AP15:AS15" si="76">IF(OR(L16=""),"",(L16-L15)*100)</f>
        <v>2979.99999999884</v>
      </c>
      <c r="AQ15" s="17">
        <f t="shared" si="76"/>
        <v>0</v>
      </c>
      <c r="AR15" s="17">
        <f t="shared" si="76"/>
        <v>2900</v>
      </c>
      <c r="AS15" s="17">
        <f t="shared" si="76"/>
        <v>1689.99999999942</v>
      </c>
      <c r="AT15" s="17">
        <f t="shared" si="7"/>
        <v>7569.99999999825</v>
      </c>
      <c r="AU15" s="17">
        <f t="shared" ref="AU15:AY15" si="77">IF(OR(P16=""),"",(P16-P15)*1000)</f>
        <v>0</v>
      </c>
      <c r="AV15" s="17">
        <f t="shared" si="77"/>
        <v>7500</v>
      </c>
      <c r="AW15" s="17">
        <f t="shared" si="77"/>
        <v>4799.99999999927</v>
      </c>
      <c r="AX15" s="17">
        <f t="shared" si="77"/>
        <v>0</v>
      </c>
      <c r="AY15" s="17">
        <f t="shared" si="77"/>
        <v>0</v>
      </c>
      <c r="AZ15" s="17">
        <f t="shared" si="9"/>
        <v>12299.9999999993</v>
      </c>
      <c r="BA15" s="17">
        <f t="shared" si="10"/>
        <v>9799.99999999563</v>
      </c>
      <c r="BB15" s="17">
        <f t="shared" si="11"/>
        <v>616.000000000349</v>
      </c>
      <c r="BC15" s="17">
        <f t="shared" si="27"/>
        <v>1451.99999999953</v>
      </c>
      <c r="BD15" s="17">
        <f t="shared" si="12"/>
        <v>11482.0000000088</v>
      </c>
      <c r="BE15" s="17">
        <f t="shared" si="13"/>
        <v>51800.0000000029</v>
      </c>
      <c r="BF15" s="17">
        <f t="shared" si="14"/>
        <v>53.8000000000029</v>
      </c>
      <c r="BG15" s="20">
        <f t="shared" si="15"/>
        <v>0.250212535744662</v>
      </c>
      <c r="BH15" s="20">
        <f t="shared" si="16"/>
        <v>0.0414444702063578</v>
      </c>
      <c r="BI15" s="20">
        <f t="shared" si="17"/>
        <v>0</v>
      </c>
      <c r="BJ15" s="20">
        <f t="shared" si="18"/>
        <v>0.0365658087951071</v>
      </c>
      <c r="BK15" s="20">
        <f t="shared" ref="BK15:BO15" si="78">IF(OR($AD15=0),"",AZ15/$AD15)</f>
        <v>0.0594134013447681</v>
      </c>
      <c r="BL15" s="20">
        <f t="shared" si="78"/>
        <v>0.0473375067624799</v>
      </c>
      <c r="BM15" s="20">
        <f t="shared" si="78"/>
        <v>0.00297550042507318</v>
      </c>
      <c r="BN15" s="20">
        <f t="shared" si="78"/>
        <v>0.00701367957338055</v>
      </c>
      <c r="BO15" s="20">
        <f t="shared" si="78"/>
        <v>0.0554621686374954</v>
      </c>
    </row>
    <row r="16" spans="1:67">
      <c r="A16" s="9">
        <f t="shared" si="20"/>
        <v>43751</v>
      </c>
      <c r="B16" s="10">
        <v>18963.13</v>
      </c>
      <c r="C16" s="8">
        <v>97523.6</v>
      </c>
      <c r="D16" s="8">
        <v>68148.3</v>
      </c>
      <c r="E16" s="8">
        <v>68706.6</v>
      </c>
      <c r="F16" s="8">
        <v>9993.53</v>
      </c>
      <c r="G16" s="8">
        <v>124778.3</v>
      </c>
      <c r="H16" s="8">
        <v>5709.7</v>
      </c>
      <c r="I16" s="8">
        <v>2566.3</v>
      </c>
      <c r="J16" s="8">
        <v>967</v>
      </c>
      <c r="K16" s="8">
        <v>56</v>
      </c>
      <c r="L16" s="8">
        <v>102307.4</v>
      </c>
      <c r="M16" s="8">
        <v>61530.8</v>
      </c>
      <c r="N16" s="8">
        <v>84973.4</v>
      </c>
      <c r="O16" s="8">
        <v>112408.4</v>
      </c>
      <c r="P16" s="8">
        <v>6351</v>
      </c>
      <c r="Q16" s="8">
        <v>8693.4</v>
      </c>
      <c r="R16" s="8">
        <v>5221.4</v>
      </c>
      <c r="S16" s="8">
        <v>6324</v>
      </c>
      <c r="T16" s="8">
        <v>8463.4</v>
      </c>
      <c r="U16" s="8">
        <v>19369.8</v>
      </c>
      <c r="V16" s="8">
        <v>55209.8</v>
      </c>
      <c r="W16" s="8">
        <v>59674.9</v>
      </c>
      <c r="X16" s="8">
        <v>6700.5</v>
      </c>
      <c r="Y16" s="8">
        <v>6867.3</v>
      </c>
      <c r="Z16" s="15">
        <f t="shared" si="21"/>
        <v>73242.7</v>
      </c>
      <c r="AA16" s="8">
        <v>8419.9</v>
      </c>
      <c r="AB16" s="13">
        <v>9319</v>
      </c>
      <c r="AC16" s="7">
        <f t="shared" si="22"/>
        <v>17738.9</v>
      </c>
      <c r="AD16" s="16">
        <v>202092</v>
      </c>
      <c r="AE16" s="17">
        <f t="shared" ref="AE16:AI16" si="79">IF(OR(C17=""),"",(C17-C16)*80)</f>
        <v>0</v>
      </c>
      <c r="AF16" s="17">
        <f t="shared" si="79"/>
        <v>3031.99999999953</v>
      </c>
      <c r="AG16" s="17">
        <f t="shared" si="79"/>
        <v>3191.99999999953</v>
      </c>
      <c r="AH16" s="17">
        <f t="shared" si="79"/>
        <v>4.79999999995925</v>
      </c>
      <c r="AI16" s="17">
        <f t="shared" si="79"/>
        <v>2591.99999999953</v>
      </c>
      <c r="AJ16" s="17">
        <f t="shared" si="3"/>
        <v>8820.79999999856</v>
      </c>
      <c r="AK16" s="17">
        <f t="shared" ref="AK16:AN16" si="80">IF(OR(H17=""),"",(H17-H16)*80)</f>
        <v>0</v>
      </c>
      <c r="AL16" s="17">
        <f t="shared" si="80"/>
        <v>0</v>
      </c>
      <c r="AM16" s="17">
        <f t="shared" si="80"/>
        <v>0</v>
      </c>
      <c r="AN16" s="17">
        <f t="shared" si="80"/>
        <v>0</v>
      </c>
      <c r="AO16" s="17">
        <f t="shared" si="5"/>
        <v>0</v>
      </c>
      <c r="AP16" s="17">
        <f t="shared" ref="AP16:AS16" si="81">IF(OR(L17=""),"",(L17-L16)*100)</f>
        <v>3010.00000000058</v>
      </c>
      <c r="AQ16" s="17">
        <f t="shared" si="81"/>
        <v>0</v>
      </c>
      <c r="AR16" s="17">
        <f t="shared" si="81"/>
        <v>2910.00000000058</v>
      </c>
      <c r="AS16" s="17">
        <f t="shared" si="81"/>
        <v>1670.00000000116</v>
      </c>
      <c r="AT16" s="17">
        <f t="shared" si="7"/>
        <v>7590.00000000233</v>
      </c>
      <c r="AU16" s="17">
        <f t="shared" ref="AU16:AY16" si="82">IF(OR(P17=""),"",(P17-P16)*1000)</f>
        <v>0</v>
      </c>
      <c r="AV16" s="17">
        <f t="shared" si="82"/>
        <v>7800.00000000109</v>
      </c>
      <c r="AW16" s="17">
        <f t="shared" si="82"/>
        <v>4800.00000000018</v>
      </c>
      <c r="AX16" s="17">
        <f t="shared" si="82"/>
        <v>0</v>
      </c>
      <c r="AY16" s="17">
        <f t="shared" si="82"/>
        <v>0</v>
      </c>
      <c r="AZ16" s="17">
        <f t="shared" si="9"/>
        <v>12600.0000000013</v>
      </c>
      <c r="BA16" s="17">
        <f t="shared" si="10"/>
        <v>10400.0000000015</v>
      </c>
      <c r="BB16" s="17">
        <f t="shared" si="11"/>
        <v>583.999999999651</v>
      </c>
      <c r="BC16" s="17">
        <f t="shared" si="27"/>
        <v>1436.00000000035</v>
      </c>
      <c r="BD16" s="17">
        <f t="shared" si="12"/>
        <v>10369.1999999993</v>
      </c>
      <c r="BE16" s="17">
        <f t="shared" si="13"/>
        <v>51800.0000000029</v>
      </c>
      <c r="BF16" s="17">
        <f t="shared" si="14"/>
        <v>53.8999999999978</v>
      </c>
      <c r="BG16" s="20">
        <f t="shared" si="15"/>
        <v>0.25631890426144</v>
      </c>
      <c r="BH16" s="20">
        <f t="shared" si="16"/>
        <v>0.0436474476970813</v>
      </c>
      <c r="BI16" s="20">
        <f t="shared" si="17"/>
        <v>0</v>
      </c>
      <c r="BJ16" s="20">
        <f t="shared" si="18"/>
        <v>0.0375571521881239</v>
      </c>
      <c r="BK16" s="20">
        <f t="shared" ref="BK16:BO16" si="83">IF(OR($AD16=0),"",AZ16/$AD16)</f>
        <v>0.0623478415771098</v>
      </c>
      <c r="BL16" s="20">
        <f t="shared" si="83"/>
        <v>0.0514617105080926</v>
      </c>
      <c r="BM16" s="20">
        <f t="shared" si="83"/>
        <v>0.00288977297468307</v>
      </c>
      <c r="BN16" s="20">
        <f t="shared" si="83"/>
        <v>0.00710567464323352</v>
      </c>
      <c r="BO16" s="20">
        <f t="shared" si="83"/>
        <v>0.0513093046731157</v>
      </c>
    </row>
    <row r="17" spans="1:67">
      <c r="A17" s="9">
        <f t="shared" si="20"/>
        <v>43752</v>
      </c>
      <c r="B17" s="10">
        <v>18968.31</v>
      </c>
      <c r="C17" s="8">
        <v>97523.6</v>
      </c>
      <c r="D17" s="8">
        <v>68186.2</v>
      </c>
      <c r="E17" s="8">
        <v>68746.5</v>
      </c>
      <c r="F17" s="8">
        <v>9993.59</v>
      </c>
      <c r="G17" s="8">
        <v>124810.7</v>
      </c>
      <c r="H17" s="8">
        <v>5709.7</v>
      </c>
      <c r="I17" s="8">
        <v>2566.3</v>
      </c>
      <c r="J17" s="8">
        <v>967</v>
      </c>
      <c r="K17" s="8">
        <v>56</v>
      </c>
      <c r="L17" s="8">
        <v>102337.5</v>
      </c>
      <c r="M17" s="8">
        <v>61530.8</v>
      </c>
      <c r="N17" s="8">
        <v>85002.5</v>
      </c>
      <c r="O17" s="8">
        <v>112425.1</v>
      </c>
      <c r="P17" s="8">
        <v>6351</v>
      </c>
      <c r="Q17" s="8">
        <v>8701.2</v>
      </c>
      <c r="R17" s="8">
        <v>5226.2</v>
      </c>
      <c r="S17" s="8">
        <v>6324</v>
      </c>
      <c r="T17" s="8">
        <v>8463.4</v>
      </c>
      <c r="U17" s="8">
        <v>19375</v>
      </c>
      <c r="V17" s="8">
        <v>55217.1</v>
      </c>
      <c r="W17" s="8">
        <v>59691.8</v>
      </c>
      <c r="X17" s="8">
        <v>6709</v>
      </c>
      <c r="Y17" s="8">
        <v>6877.8</v>
      </c>
      <c r="Z17" s="15">
        <f t="shared" si="21"/>
        <v>73278.6</v>
      </c>
      <c r="AA17" s="8">
        <v>8467.8</v>
      </c>
      <c r="AB17" s="13">
        <v>9325</v>
      </c>
      <c r="AC17" s="7">
        <f t="shared" si="22"/>
        <v>17792.8</v>
      </c>
      <c r="AD17" s="16">
        <v>203854</v>
      </c>
      <c r="AE17" s="17">
        <f t="shared" ref="AE17:AI17" si="84">IF(OR(C18=""),"",(C18-C17)*80)</f>
        <v>0</v>
      </c>
      <c r="AF17" s="17">
        <f t="shared" si="84"/>
        <v>984.000000000233</v>
      </c>
      <c r="AG17" s="17">
        <f t="shared" si="84"/>
        <v>2895.99999999977</v>
      </c>
      <c r="AH17" s="17">
        <f t="shared" si="84"/>
        <v>1545.59999999998</v>
      </c>
      <c r="AI17" s="17">
        <f t="shared" si="84"/>
        <v>2464.00000000023</v>
      </c>
      <c r="AJ17" s="17">
        <f t="shared" si="3"/>
        <v>7889.60000000021</v>
      </c>
      <c r="AK17" s="17">
        <f t="shared" ref="AK17:AN17" si="85">IF(OR(H18=""),"",(H18-H17)*80)</f>
        <v>0</v>
      </c>
      <c r="AL17" s="17">
        <f t="shared" si="85"/>
        <v>0</v>
      </c>
      <c r="AM17" s="17">
        <f t="shared" si="85"/>
        <v>0</v>
      </c>
      <c r="AN17" s="17">
        <f t="shared" si="85"/>
        <v>0</v>
      </c>
      <c r="AO17" s="17">
        <f t="shared" si="5"/>
        <v>0</v>
      </c>
      <c r="AP17" s="17">
        <f t="shared" ref="AP17:AS17" si="86">IF(OR(L18=""),"",(L18-L17)*100)</f>
        <v>2930.00000000029</v>
      </c>
      <c r="AQ17" s="17">
        <f t="shared" si="86"/>
        <v>0</v>
      </c>
      <c r="AR17" s="17">
        <f t="shared" si="86"/>
        <v>2860.00000000058</v>
      </c>
      <c r="AS17" s="17">
        <f t="shared" si="86"/>
        <v>1669.99999999971</v>
      </c>
      <c r="AT17" s="17">
        <f t="shared" si="7"/>
        <v>7460.00000000058</v>
      </c>
      <c r="AU17" s="17">
        <f t="shared" ref="AU17:AY17" si="87">IF(OR(P18=""),"",(P18-P17)*1000)</f>
        <v>0</v>
      </c>
      <c r="AV17" s="17">
        <f t="shared" si="87"/>
        <v>7899.99999999964</v>
      </c>
      <c r="AW17" s="17">
        <f t="shared" si="87"/>
        <v>4600.00000000036</v>
      </c>
      <c r="AX17" s="17">
        <f t="shared" si="87"/>
        <v>0</v>
      </c>
      <c r="AY17" s="17">
        <f t="shared" si="87"/>
        <v>0</v>
      </c>
      <c r="AZ17" s="17">
        <f t="shared" si="9"/>
        <v>12500</v>
      </c>
      <c r="BA17" s="17">
        <f t="shared" si="10"/>
        <v>9800.00000000291</v>
      </c>
      <c r="BB17" s="17">
        <f t="shared" si="11"/>
        <v>584.000000000233</v>
      </c>
      <c r="BC17" s="17">
        <f t="shared" si="27"/>
        <v>1400</v>
      </c>
      <c r="BD17" s="17">
        <f t="shared" si="12"/>
        <v>11766.3999999902</v>
      </c>
      <c r="BE17" s="17">
        <f t="shared" si="13"/>
        <v>51399.9999999942</v>
      </c>
      <c r="BF17" s="17">
        <f t="shared" si="14"/>
        <v>52.5</v>
      </c>
      <c r="BG17" s="20">
        <f t="shared" si="15"/>
        <v>0.252141238337213</v>
      </c>
      <c r="BH17" s="20">
        <f t="shared" si="16"/>
        <v>0.0387022084432987</v>
      </c>
      <c r="BI17" s="20">
        <f t="shared" si="17"/>
        <v>0</v>
      </c>
      <c r="BJ17" s="20">
        <f t="shared" si="18"/>
        <v>0.0365948178598437</v>
      </c>
      <c r="BK17" s="20">
        <f t="shared" ref="BK17:BO17" si="88">IF(OR($AD17=0),"",AZ17/$AD17)</f>
        <v>0.0613183945372669</v>
      </c>
      <c r="BL17" s="20">
        <f t="shared" si="88"/>
        <v>0.0480736213172315</v>
      </c>
      <c r="BM17" s="20">
        <f t="shared" si="88"/>
        <v>0.00286479539278225</v>
      </c>
      <c r="BN17" s="20">
        <f t="shared" si="88"/>
        <v>0.00686766018817389</v>
      </c>
      <c r="BO17" s="20">
        <f t="shared" si="88"/>
        <v>0.0577197405986159</v>
      </c>
    </row>
    <row r="18" spans="1:67">
      <c r="A18" s="9">
        <f t="shared" si="20"/>
        <v>43753</v>
      </c>
      <c r="B18" s="10">
        <v>18973.45</v>
      </c>
      <c r="C18" s="8">
        <v>97523.6</v>
      </c>
      <c r="D18" s="8">
        <v>68198.5</v>
      </c>
      <c r="E18" s="8">
        <v>68782.7</v>
      </c>
      <c r="F18" s="8">
        <v>10012.91</v>
      </c>
      <c r="G18" s="8">
        <v>124841.5</v>
      </c>
      <c r="H18" s="8">
        <v>5709.7</v>
      </c>
      <c r="I18" s="8">
        <v>2566.3</v>
      </c>
      <c r="J18" s="8">
        <v>967</v>
      </c>
      <c r="K18" s="8">
        <v>56</v>
      </c>
      <c r="L18" s="8">
        <v>102366.8</v>
      </c>
      <c r="M18" s="8">
        <v>61530.8</v>
      </c>
      <c r="N18" s="8">
        <v>85031.1</v>
      </c>
      <c r="O18" s="8">
        <v>112441.8</v>
      </c>
      <c r="P18" s="8">
        <v>6351</v>
      </c>
      <c r="Q18" s="8">
        <v>8709.1</v>
      </c>
      <c r="R18" s="8">
        <v>5230.8</v>
      </c>
      <c r="S18" s="8">
        <v>6324</v>
      </c>
      <c r="T18" s="8">
        <v>8463.4</v>
      </c>
      <c r="U18" s="8">
        <v>19379.9</v>
      </c>
      <c r="V18" s="8">
        <v>55224.4</v>
      </c>
      <c r="W18" s="8">
        <v>59708.5</v>
      </c>
      <c r="X18" s="8">
        <v>6717.3</v>
      </c>
      <c r="Y18" s="8">
        <v>6887.8</v>
      </c>
      <c r="Z18" s="15">
        <f t="shared" si="21"/>
        <v>73313.6</v>
      </c>
      <c r="AA18" s="8">
        <v>8515.3</v>
      </c>
      <c r="AB18" s="13">
        <v>9330</v>
      </c>
      <c r="AC18" s="7">
        <f t="shared" si="22"/>
        <v>17845.3</v>
      </c>
      <c r="AD18" s="16">
        <v>191318</v>
      </c>
      <c r="AE18" s="17">
        <f t="shared" ref="AE18:AI18" si="89">IF(OR(C19=""),"",(C19-C18)*80)</f>
        <v>0</v>
      </c>
      <c r="AF18" s="17">
        <f t="shared" si="89"/>
        <v>728.000000000466</v>
      </c>
      <c r="AG18" s="17">
        <f t="shared" si="89"/>
        <v>3008.00000000047</v>
      </c>
      <c r="AH18" s="17">
        <f t="shared" si="89"/>
        <v>1551.19999999995</v>
      </c>
      <c r="AI18" s="17">
        <f t="shared" si="89"/>
        <v>2320</v>
      </c>
      <c r="AJ18" s="17">
        <f t="shared" si="3"/>
        <v>7607.20000000088</v>
      </c>
      <c r="AK18" s="17">
        <f t="shared" ref="AK18:AN18" si="90">IF(OR(H19=""),"",(H19-H18)*80)</f>
        <v>0</v>
      </c>
      <c r="AL18" s="17">
        <f t="shared" si="90"/>
        <v>0</v>
      </c>
      <c r="AM18" s="17">
        <f t="shared" si="90"/>
        <v>0</v>
      </c>
      <c r="AN18" s="17">
        <f t="shared" si="90"/>
        <v>0</v>
      </c>
      <c r="AO18" s="17">
        <f t="shared" si="5"/>
        <v>0</v>
      </c>
      <c r="AP18" s="17">
        <f t="shared" ref="AP18:AS18" si="91">IF(OR(L19=""),"",(L19-L18)*100)</f>
        <v>2750</v>
      </c>
      <c r="AQ18" s="17">
        <f t="shared" si="91"/>
        <v>0</v>
      </c>
      <c r="AR18" s="17">
        <f t="shared" si="91"/>
        <v>2779.99999999884</v>
      </c>
      <c r="AS18" s="17">
        <f t="shared" si="91"/>
        <v>1659.99999999913</v>
      </c>
      <c r="AT18" s="17">
        <f t="shared" si="7"/>
        <v>7189.99999999796</v>
      </c>
      <c r="AU18" s="17">
        <f t="shared" ref="AU18:AY18" si="92">IF(OR(P19=""),"",(P19-P18)*1000)</f>
        <v>0</v>
      </c>
      <c r="AV18" s="17">
        <f t="shared" si="92"/>
        <v>6199.99999999891</v>
      </c>
      <c r="AW18" s="17">
        <f t="shared" si="92"/>
        <v>4800.00000000018</v>
      </c>
      <c r="AX18" s="17">
        <f t="shared" si="92"/>
        <v>0</v>
      </c>
      <c r="AY18" s="17">
        <f t="shared" si="92"/>
        <v>1800.00000000109</v>
      </c>
      <c r="AZ18" s="17">
        <f t="shared" si="9"/>
        <v>12800.0000000002</v>
      </c>
      <c r="BA18" s="17">
        <f t="shared" si="10"/>
        <v>9599.99999999854</v>
      </c>
      <c r="BB18" s="17">
        <f t="shared" si="11"/>
        <v>567.999999999884</v>
      </c>
      <c r="BC18" s="17">
        <f t="shared" si="27"/>
        <v>1415.99999999977</v>
      </c>
      <c r="BD18" s="17">
        <f t="shared" si="12"/>
        <v>11918.8000000086</v>
      </c>
      <c r="BE18" s="17">
        <f t="shared" si="13"/>
        <v>51100.0000000058</v>
      </c>
      <c r="BF18" s="17">
        <f t="shared" si="14"/>
        <v>54.2999999999993</v>
      </c>
      <c r="BG18" s="20">
        <f t="shared" si="15"/>
        <v>0.267094575523504</v>
      </c>
      <c r="BH18" s="20">
        <f t="shared" si="16"/>
        <v>0.0397620715249003</v>
      </c>
      <c r="BI18" s="20">
        <f t="shared" si="17"/>
        <v>0</v>
      </c>
      <c r="BJ18" s="20">
        <f t="shared" si="18"/>
        <v>0.037581408963077</v>
      </c>
      <c r="BK18" s="20">
        <f t="shared" ref="BK18:BO18" si="93">IF(OR($AD18=0),"",AZ18/$AD18)</f>
        <v>0.066904316373787</v>
      </c>
      <c r="BL18" s="20">
        <f t="shared" si="93"/>
        <v>0.0501782372803319</v>
      </c>
      <c r="BM18" s="20">
        <f t="shared" si="93"/>
        <v>0.00296887903908615</v>
      </c>
      <c r="BN18" s="20">
        <f t="shared" si="93"/>
        <v>0.00740128999884886</v>
      </c>
      <c r="BO18" s="20">
        <f t="shared" si="93"/>
        <v>0.0622983723434732</v>
      </c>
    </row>
    <row r="19" spans="1:67">
      <c r="A19" s="9">
        <f t="shared" si="20"/>
        <v>43754</v>
      </c>
      <c r="B19" s="10">
        <v>18978.56</v>
      </c>
      <c r="C19" s="8">
        <v>97523.6</v>
      </c>
      <c r="D19" s="8">
        <v>68207.6</v>
      </c>
      <c r="E19" s="8">
        <v>68820.3</v>
      </c>
      <c r="F19" s="8">
        <v>10032.3</v>
      </c>
      <c r="G19" s="8">
        <v>124870.5</v>
      </c>
      <c r="H19" s="8">
        <v>5709.7</v>
      </c>
      <c r="I19" s="8">
        <v>2566.3</v>
      </c>
      <c r="J19" s="8">
        <v>967</v>
      </c>
      <c r="K19" s="8">
        <v>56</v>
      </c>
      <c r="L19" s="8">
        <v>102394.3</v>
      </c>
      <c r="M19" s="8">
        <v>61530.8</v>
      </c>
      <c r="N19" s="8">
        <v>85058.9</v>
      </c>
      <c r="O19" s="8">
        <v>112458.4</v>
      </c>
      <c r="P19" s="8">
        <v>6351</v>
      </c>
      <c r="Q19" s="8">
        <v>8715.3</v>
      </c>
      <c r="R19" s="8">
        <v>5235.6</v>
      </c>
      <c r="S19" s="8">
        <v>6324</v>
      </c>
      <c r="T19" s="8">
        <v>8465.2</v>
      </c>
      <c r="U19" s="8">
        <v>19384.7</v>
      </c>
      <c r="V19" s="8">
        <v>55231.5</v>
      </c>
      <c r="W19" s="8">
        <v>59725.2</v>
      </c>
      <c r="X19" s="8">
        <v>6725.7</v>
      </c>
      <c r="Y19" s="8">
        <v>6898.1</v>
      </c>
      <c r="Z19" s="15">
        <f t="shared" si="21"/>
        <v>73349</v>
      </c>
      <c r="AA19" s="8">
        <v>8562.6</v>
      </c>
      <c r="AB19" s="13">
        <v>9337</v>
      </c>
      <c r="AC19" s="7">
        <f t="shared" si="22"/>
        <v>17899.6</v>
      </c>
      <c r="AD19" s="16">
        <v>154096</v>
      </c>
      <c r="AE19" s="17">
        <f t="shared" ref="AE19:AI19" si="94">IF(OR(C20=""),"",(C20-C19)*80)</f>
        <v>0</v>
      </c>
      <c r="AF19" s="17">
        <f t="shared" si="94"/>
        <v>2391.99999999953</v>
      </c>
      <c r="AG19" s="17">
        <f t="shared" si="94"/>
        <v>2664.00000000023</v>
      </c>
      <c r="AH19" s="17">
        <f t="shared" si="94"/>
        <v>8.0000000000291</v>
      </c>
      <c r="AI19" s="17">
        <f t="shared" si="94"/>
        <v>2008.00000000047</v>
      </c>
      <c r="AJ19" s="17">
        <f t="shared" si="3"/>
        <v>7072.00000000026</v>
      </c>
      <c r="AK19" s="17">
        <f t="shared" ref="AK19:AN19" si="95">IF(OR(H20=""),"",(H20-H19)*80)</f>
        <v>0</v>
      </c>
      <c r="AL19" s="17">
        <f t="shared" si="95"/>
        <v>0</v>
      </c>
      <c r="AM19" s="17">
        <f t="shared" si="95"/>
        <v>0</v>
      </c>
      <c r="AN19" s="17">
        <f t="shared" si="95"/>
        <v>0</v>
      </c>
      <c r="AO19" s="17">
        <f t="shared" si="5"/>
        <v>0</v>
      </c>
      <c r="AP19" s="17">
        <f t="shared" ref="AP19:AS19" si="96">IF(OR(L20=""),"",(L20-L19)*100)</f>
        <v>1769.99999999971</v>
      </c>
      <c r="AQ19" s="17">
        <f t="shared" si="96"/>
        <v>0</v>
      </c>
      <c r="AR19" s="17">
        <f t="shared" si="96"/>
        <v>2340.00000000087</v>
      </c>
      <c r="AS19" s="17">
        <f t="shared" si="96"/>
        <v>1720.00000000116</v>
      </c>
      <c r="AT19" s="17">
        <f t="shared" si="7"/>
        <v>5830.00000000175</v>
      </c>
      <c r="AU19" s="17">
        <f t="shared" ref="AU19:AY19" si="97">IF(OR(P20=""),"",(P20-P19)*1000)</f>
        <v>0</v>
      </c>
      <c r="AV19" s="17">
        <f t="shared" si="97"/>
        <v>6400.00000000146</v>
      </c>
      <c r="AW19" s="17">
        <f t="shared" si="97"/>
        <v>4699.99999999982</v>
      </c>
      <c r="AX19" s="17">
        <f t="shared" si="97"/>
        <v>0</v>
      </c>
      <c r="AY19" s="17">
        <f t="shared" si="97"/>
        <v>1699.99999999891</v>
      </c>
      <c r="AZ19" s="17">
        <f t="shared" si="9"/>
        <v>12800.0000000002</v>
      </c>
      <c r="BA19" s="17">
        <f t="shared" si="10"/>
        <v>8000</v>
      </c>
      <c r="BB19" s="17">
        <f t="shared" si="11"/>
        <v>575.999999999767</v>
      </c>
      <c r="BC19" s="17">
        <f t="shared" si="27"/>
        <v>1467.99999999988</v>
      </c>
      <c r="BD19" s="17">
        <f t="shared" si="12"/>
        <v>12853.9999999676</v>
      </c>
      <c r="BE19" s="17">
        <f t="shared" si="13"/>
        <v>48599.9999999694</v>
      </c>
      <c r="BF19" s="17">
        <f t="shared" si="14"/>
        <v>53.4000000000015</v>
      </c>
      <c r="BG19" s="20">
        <f t="shared" si="15"/>
        <v>0.315387810196043</v>
      </c>
      <c r="BH19" s="20">
        <f t="shared" si="16"/>
        <v>0.0458934690063354</v>
      </c>
      <c r="BI19" s="20">
        <f t="shared" si="17"/>
        <v>0</v>
      </c>
      <c r="BJ19" s="20">
        <f t="shared" si="18"/>
        <v>0.03783355830133</v>
      </c>
      <c r="BK19" s="20">
        <f t="shared" ref="BK19:BO19" si="98">IF(OR($AD19=0),"",AZ19/$AD19)</f>
        <v>0.0830651022739084</v>
      </c>
      <c r="BL19" s="20">
        <f t="shared" si="98"/>
        <v>0.051915688921192</v>
      </c>
      <c r="BM19" s="20">
        <f t="shared" si="98"/>
        <v>0.00373792960232431</v>
      </c>
      <c r="BN19" s="20">
        <f t="shared" si="98"/>
        <v>0.00952652891703797</v>
      </c>
      <c r="BO19" s="20">
        <f t="shared" si="98"/>
        <v>0.083415533173915</v>
      </c>
    </row>
    <row r="20" spans="1:67">
      <c r="A20" s="9">
        <f t="shared" si="20"/>
        <v>43755</v>
      </c>
      <c r="B20" s="10">
        <v>18983.42</v>
      </c>
      <c r="C20" s="8">
        <v>97523.6</v>
      </c>
      <c r="D20" s="8">
        <v>68237.5</v>
      </c>
      <c r="E20" s="8">
        <v>68853.6</v>
      </c>
      <c r="F20" s="8">
        <v>10032.4</v>
      </c>
      <c r="G20" s="8">
        <v>124895.6</v>
      </c>
      <c r="H20" s="8">
        <v>5709.7</v>
      </c>
      <c r="I20" s="8">
        <v>2566.3</v>
      </c>
      <c r="J20" s="8">
        <v>967</v>
      </c>
      <c r="K20" s="8">
        <v>56</v>
      </c>
      <c r="L20" s="8">
        <v>102412</v>
      </c>
      <c r="M20" s="8">
        <v>61530.8</v>
      </c>
      <c r="N20" s="8">
        <v>85082.3</v>
      </c>
      <c r="O20" s="8">
        <v>112475.6</v>
      </c>
      <c r="P20" s="8">
        <v>6351</v>
      </c>
      <c r="Q20" s="8">
        <v>8721.7</v>
      </c>
      <c r="R20" s="8">
        <v>5240.3</v>
      </c>
      <c r="S20" s="8">
        <v>6324</v>
      </c>
      <c r="T20" s="8">
        <v>8466.9</v>
      </c>
      <c r="U20" s="8">
        <v>19388.7</v>
      </c>
      <c r="V20" s="8">
        <v>55238.7</v>
      </c>
      <c r="W20" s="8">
        <v>59742.5</v>
      </c>
      <c r="X20" s="8">
        <v>6734.5</v>
      </c>
      <c r="Y20" s="8">
        <v>6908.7</v>
      </c>
      <c r="Z20" s="15">
        <f t="shared" si="21"/>
        <v>73385.7</v>
      </c>
      <c r="AA20" s="8">
        <v>8611</v>
      </c>
      <c r="AB20" s="13">
        <v>9342</v>
      </c>
      <c r="AC20" s="7">
        <f t="shared" si="22"/>
        <v>17953</v>
      </c>
      <c r="AD20" s="16">
        <v>143777</v>
      </c>
      <c r="AE20" s="17">
        <f t="shared" ref="AE20:AI20" si="99">IF(OR(C21=""),"",(C21-C20)*80)</f>
        <v>0</v>
      </c>
      <c r="AF20" s="17">
        <f t="shared" si="99"/>
        <v>2504.00000000023</v>
      </c>
      <c r="AG20" s="17">
        <f t="shared" si="99"/>
        <v>1967.9999999993</v>
      </c>
      <c r="AH20" s="17">
        <f t="shared" si="99"/>
        <v>7.20000000001164</v>
      </c>
      <c r="AI20" s="17">
        <f t="shared" si="99"/>
        <v>1695.99999999977</v>
      </c>
      <c r="AJ20" s="17">
        <f t="shared" si="3"/>
        <v>6175.19999999931</v>
      </c>
      <c r="AK20" s="17">
        <f t="shared" ref="AK20:AN20" si="100">IF(OR(H21=""),"",(H21-H20)*80)</f>
        <v>0</v>
      </c>
      <c r="AL20" s="17">
        <f t="shared" si="100"/>
        <v>0</v>
      </c>
      <c r="AM20" s="17">
        <f t="shared" si="100"/>
        <v>0</v>
      </c>
      <c r="AN20" s="17">
        <f t="shared" si="100"/>
        <v>0</v>
      </c>
      <c r="AO20" s="17">
        <f t="shared" si="5"/>
        <v>0</v>
      </c>
      <c r="AP20" s="17">
        <f t="shared" ref="AP20:AS20" si="101">IF(OR(L21=""),"",(L21-L20)*100)</f>
        <v>1469.99999999971</v>
      </c>
      <c r="AQ20" s="17">
        <f t="shared" si="101"/>
        <v>0</v>
      </c>
      <c r="AR20" s="17">
        <f t="shared" si="101"/>
        <v>2309.99999999913</v>
      </c>
      <c r="AS20" s="17">
        <f t="shared" si="101"/>
        <v>1700</v>
      </c>
      <c r="AT20" s="17">
        <f t="shared" si="7"/>
        <v>5479.99999999884</v>
      </c>
      <c r="AU20" s="17">
        <f t="shared" ref="AU20:AY20" si="102">IF(OR(P21=""),"",(P21-P20)*1000)</f>
        <v>0</v>
      </c>
      <c r="AV20" s="17">
        <f t="shared" si="102"/>
        <v>7000</v>
      </c>
      <c r="AW20" s="17">
        <f t="shared" si="102"/>
        <v>4500</v>
      </c>
      <c r="AX20" s="17">
        <f t="shared" si="102"/>
        <v>0</v>
      </c>
      <c r="AY20" s="17">
        <f t="shared" si="102"/>
        <v>0</v>
      </c>
      <c r="AZ20" s="17">
        <f t="shared" si="9"/>
        <v>11500</v>
      </c>
      <c r="BA20" s="17">
        <f t="shared" si="10"/>
        <v>7599.99999999854</v>
      </c>
      <c r="BB20" s="17">
        <f t="shared" si="11"/>
        <v>544.000000000233</v>
      </c>
      <c r="BC20" s="17">
        <f t="shared" si="27"/>
        <v>1436.00000000035</v>
      </c>
      <c r="BD20" s="17">
        <f t="shared" si="12"/>
        <v>12064.8000000347</v>
      </c>
      <c r="BE20" s="17">
        <f t="shared" si="13"/>
        <v>44800.000000032</v>
      </c>
      <c r="BF20" s="17">
        <f t="shared" si="14"/>
        <v>55.7000000000007</v>
      </c>
      <c r="BG20" s="20">
        <f t="shared" si="15"/>
        <v>0.311593648497548</v>
      </c>
      <c r="BH20" s="20">
        <f t="shared" si="16"/>
        <v>0.0429498459419748</v>
      </c>
      <c r="BI20" s="20">
        <f t="shared" si="17"/>
        <v>0</v>
      </c>
      <c r="BJ20" s="20">
        <f t="shared" si="18"/>
        <v>0.0381145802179684</v>
      </c>
      <c r="BK20" s="20">
        <f t="shared" ref="BK20:BO20" si="103">IF(OR($AD20=0),"",AZ20/$AD20)</f>
        <v>0.0799849767348046</v>
      </c>
      <c r="BL20" s="20">
        <f t="shared" si="103"/>
        <v>0.0528596367986433</v>
      </c>
      <c r="BM20" s="20">
        <f t="shared" si="103"/>
        <v>0.00378363716032629</v>
      </c>
      <c r="BN20" s="20">
        <f t="shared" si="103"/>
        <v>0.00998768926880064</v>
      </c>
      <c r="BO20" s="20">
        <f t="shared" si="103"/>
        <v>0.0839132823750303</v>
      </c>
    </row>
    <row r="21" spans="1:67">
      <c r="A21" s="9">
        <f t="shared" si="20"/>
        <v>43756</v>
      </c>
      <c r="B21" s="10">
        <v>18987.9</v>
      </c>
      <c r="C21" s="8">
        <v>97523.6</v>
      </c>
      <c r="D21" s="8">
        <v>68268.8</v>
      </c>
      <c r="E21" s="8">
        <v>68878.2</v>
      </c>
      <c r="F21" s="8">
        <v>10032.49</v>
      </c>
      <c r="G21" s="8">
        <v>124916.8</v>
      </c>
      <c r="H21" s="8">
        <v>5709.7</v>
      </c>
      <c r="I21" s="8">
        <v>2566.3</v>
      </c>
      <c r="J21" s="8">
        <v>967</v>
      </c>
      <c r="K21" s="8">
        <v>56</v>
      </c>
      <c r="L21" s="8">
        <v>102426.7</v>
      </c>
      <c r="M21" s="8">
        <v>61530.8</v>
      </c>
      <c r="N21" s="8">
        <v>85105.4</v>
      </c>
      <c r="O21" s="8">
        <v>112492.6</v>
      </c>
      <c r="P21" s="8">
        <v>6351</v>
      </c>
      <c r="Q21" s="8">
        <v>8728.7</v>
      </c>
      <c r="R21" s="8">
        <v>5244.8</v>
      </c>
      <c r="S21" s="8">
        <v>6324</v>
      </c>
      <c r="T21" s="8">
        <v>8466.9</v>
      </c>
      <c r="U21" s="8">
        <v>19392.5</v>
      </c>
      <c r="V21" s="8">
        <v>55245.5</v>
      </c>
      <c r="W21" s="8">
        <v>59759.6</v>
      </c>
      <c r="X21" s="8">
        <v>6743</v>
      </c>
      <c r="Y21" s="8">
        <v>6919</v>
      </c>
      <c r="Z21" s="15">
        <f t="shared" si="21"/>
        <v>73421.6</v>
      </c>
      <c r="AA21" s="8">
        <v>8660.7</v>
      </c>
      <c r="AB21" s="13">
        <v>9348</v>
      </c>
      <c r="AC21" s="7">
        <f t="shared" si="22"/>
        <v>18008.7</v>
      </c>
      <c r="AD21" s="16">
        <v>147672</v>
      </c>
      <c r="AE21" s="17">
        <f t="shared" ref="AE21:AI21" si="104">IF(OR(C22=""),"",(C22-C21)*80)</f>
        <v>0</v>
      </c>
      <c r="AF21" s="17">
        <f t="shared" si="104"/>
        <v>0</v>
      </c>
      <c r="AG21" s="17">
        <f t="shared" si="104"/>
        <v>440</v>
      </c>
      <c r="AH21" s="17">
        <f t="shared" si="104"/>
        <v>1996.00000000006</v>
      </c>
      <c r="AI21" s="17">
        <f t="shared" si="104"/>
        <v>2327.9999999993</v>
      </c>
      <c r="AJ21" s="17">
        <f t="shared" si="3"/>
        <v>4763.99999999936</v>
      </c>
      <c r="AK21" s="17">
        <f t="shared" ref="AK21:AN21" si="105">IF(OR(H22=""),"",(H22-H21)*80)</f>
        <v>0</v>
      </c>
      <c r="AL21" s="17">
        <f t="shared" si="105"/>
        <v>0</v>
      </c>
      <c r="AM21" s="17">
        <f t="shared" si="105"/>
        <v>0</v>
      </c>
      <c r="AN21" s="17">
        <f t="shared" si="105"/>
        <v>0</v>
      </c>
      <c r="AO21" s="17">
        <f t="shared" si="5"/>
        <v>0</v>
      </c>
      <c r="AP21" s="17">
        <f t="shared" ref="AP21:AS21" si="106">IF(OR(L22=""),"",(L22-L21)*100)</f>
        <v>2610.00000000058</v>
      </c>
      <c r="AQ21" s="17">
        <f t="shared" si="106"/>
        <v>0</v>
      </c>
      <c r="AR21" s="17">
        <f t="shared" si="106"/>
        <v>2470.00000000116</v>
      </c>
      <c r="AS21" s="17">
        <f t="shared" si="106"/>
        <v>529.999999998836</v>
      </c>
      <c r="AT21" s="17">
        <f t="shared" si="7"/>
        <v>5610.00000000058</v>
      </c>
      <c r="AU21" s="17">
        <f t="shared" ref="AU21:AY21" si="107">IF(OR(P22=""),"",(P22-P21)*1000)</f>
        <v>300.000000000182</v>
      </c>
      <c r="AV21" s="17">
        <f t="shared" si="107"/>
        <v>6699.99999999891</v>
      </c>
      <c r="AW21" s="17">
        <f t="shared" si="107"/>
        <v>4699.99999999982</v>
      </c>
      <c r="AX21" s="17">
        <f t="shared" si="107"/>
        <v>0</v>
      </c>
      <c r="AY21" s="17">
        <f t="shared" si="107"/>
        <v>0</v>
      </c>
      <c r="AZ21" s="17">
        <f t="shared" si="9"/>
        <v>11699.9999999989</v>
      </c>
      <c r="BA21" s="17">
        <f t="shared" si="10"/>
        <v>6800.00000000291</v>
      </c>
      <c r="BB21" s="17">
        <f t="shared" si="11"/>
        <v>535.999999999767</v>
      </c>
      <c r="BC21" s="17">
        <f t="shared" si="27"/>
        <v>1415.99999999977</v>
      </c>
      <c r="BD21" s="17">
        <f t="shared" si="12"/>
        <v>12973.9999999725</v>
      </c>
      <c r="BE21" s="17">
        <f t="shared" si="13"/>
        <v>43799.9999999738</v>
      </c>
      <c r="BF21" s="17">
        <f t="shared" si="14"/>
        <v>55.0999999999985</v>
      </c>
      <c r="BG21" s="20">
        <f t="shared" si="15"/>
        <v>0.296603282951228</v>
      </c>
      <c r="BH21" s="20">
        <f t="shared" si="16"/>
        <v>0.0322606858442993</v>
      </c>
      <c r="BI21" s="20">
        <f t="shared" si="17"/>
        <v>0</v>
      </c>
      <c r="BJ21" s="20">
        <f t="shared" si="18"/>
        <v>0.0379895985698073</v>
      </c>
      <c r="BK21" s="20">
        <f t="shared" ref="BK21:BO21" si="108">IF(OR($AD21=0),"",AZ21/$AD21)</f>
        <v>0.0792296440760531</v>
      </c>
      <c r="BL21" s="20">
        <f t="shared" si="108"/>
        <v>0.046047998266448</v>
      </c>
      <c r="BM21" s="20">
        <f t="shared" si="108"/>
        <v>0.00362966574570512</v>
      </c>
      <c r="BN21" s="20">
        <f t="shared" si="108"/>
        <v>0.00958881846253702</v>
      </c>
      <c r="BO21" s="20">
        <f t="shared" si="108"/>
        <v>0.0878568719863787</v>
      </c>
    </row>
    <row r="22" spans="1:67">
      <c r="A22" s="9">
        <f t="shared" si="20"/>
        <v>43757</v>
      </c>
      <c r="B22" s="10">
        <v>18992.28</v>
      </c>
      <c r="C22" s="8">
        <v>97523.6</v>
      </c>
      <c r="D22" s="8">
        <v>68268.8</v>
      </c>
      <c r="E22" s="8">
        <v>68883.7</v>
      </c>
      <c r="F22" s="8">
        <v>10057.44</v>
      </c>
      <c r="G22" s="8">
        <v>124945.9</v>
      </c>
      <c r="H22" s="8">
        <v>5709.7</v>
      </c>
      <c r="I22" s="8">
        <v>2566.3</v>
      </c>
      <c r="J22" s="8">
        <v>967</v>
      </c>
      <c r="K22" s="8">
        <v>56</v>
      </c>
      <c r="L22" s="8">
        <v>102452.8</v>
      </c>
      <c r="M22" s="8">
        <v>61530.8</v>
      </c>
      <c r="N22" s="8">
        <v>85130.1</v>
      </c>
      <c r="O22" s="8">
        <v>112497.9</v>
      </c>
      <c r="P22" s="8">
        <v>6351.3</v>
      </c>
      <c r="Q22" s="8">
        <v>8735.4</v>
      </c>
      <c r="R22" s="8">
        <v>5249.5</v>
      </c>
      <c r="S22" s="8">
        <v>6324</v>
      </c>
      <c r="T22" s="8">
        <v>8466.9</v>
      </c>
      <c r="U22" s="8">
        <v>19395.9</v>
      </c>
      <c r="V22" s="8">
        <v>55252.2</v>
      </c>
      <c r="W22" s="8">
        <v>59776.6</v>
      </c>
      <c r="X22" s="8">
        <v>6751.3</v>
      </c>
      <c r="Y22" s="8">
        <v>6929.1</v>
      </c>
      <c r="Z22" s="15">
        <f t="shared" si="21"/>
        <v>73457</v>
      </c>
      <c r="AA22" s="8">
        <v>8709.8</v>
      </c>
      <c r="AB22" s="13">
        <v>9354</v>
      </c>
      <c r="AC22" s="7">
        <f t="shared" si="22"/>
        <v>18063.8</v>
      </c>
      <c r="AD22" s="16">
        <v>153477</v>
      </c>
      <c r="AE22" s="17">
        <f t="shared" ref="AE22:AI22" si="109">IF(OR(C23=""),"",(C23-C22)*80)</f>
        <v>0</v>
      </c>
      <c r="AF22" s="17">
        <f t="shared" si="109"/>
        <v>0</v>
      </c>
      <c r="AG22" s="17">
        <f t="shared" si="109"/>
        <v>0</v>
      </c>
      <c r="AH22" s="17">
        <f t="shared" si="109"/>
        <v>2390.39999999994</v>
      </c>
      <c r="AI22" s="17">
        <f t="shared" si="109"/>
        <v>2536.00000000093</v>
      </c>
      <c r="AJ22" s="17">
        <f t="shared" si="3"/>
        <v>4926.40000000087</v>
      </c>
      <c r="AK22" s="17">
        <f t="shared" ref="AK22:AN22" si="110">IF(OR(H23=""),"",(H23-H22)*80)</f>
        <v>0</v>
      </c>
      <c r="AL22" s="17">
        <f t="shared" si="110"/>
        <v>0</v>
      </c>
      <c r="AM22" s="17">
        <f t="shared" si="110"/>
        <v>0</v>
      </c>
      <c r="AN22" s="17">
        <f t="shared" si="110"/>
        <v>0</v>
      </c>
      <c r="AO22" s="17">
        <f t="shared" si="5"/>
        <v>0</v>
      </c>
      <c r="AP22" s="17">
        <f t="shared" ref="AP22:AS22" si="111">IF(OR(L23=""),"",(L23-L22)*100)</f>
        <v>1630.00000000029</v>
      </c>
      <c r="AQ22" s="17">
        <f t="shared" si="111"/>
        <v>0</v>
      </c>
      <c r="AR22" s="17">
        <f t="shared" si="111"/>
        <v>2819.99999999971</v>
      </c>
      <c r="AS22" s="17">
        <f t="shared" si="111"/>
        <v>1250</v>
      </c>
      <c r="AT22" s="17">
        <f t="shared" si="7"/>
        <v>5700</v>
      </c>
      <c r="AU22" s="17">
        <f t="shared" ref="AU22:AY22" si="112">IF(OR(P23=""),"",(P23-P22)*1000)</f>
        <v>0</v>
      </c>
      <c r="AV22" s="17">
        <f t="shared" si="112"/>
        <v>7300.00000000109</v>
      </c>
      <c r="AW22" s="17">
        <f t="shared" si="112"/>
        <v>1600.00000000036</v>
      </c>
      <c r="AX22" s="17">
        <f t="shared" si="112"/>
        <v>0</v>
      </c>
      <c r="AY22" s="17">
        <f t="shared" si="112"/>
        <v>5899.99999999964</v>
      </c>
      <c r="AZ22" s="17">
        <f t="shared" si="9"/>
        <v>14800.0000000011</v>
      </c>
      <c r="BA22" s="17">
        <f t="shared" si="10"/>
        <v>7399.99999999418</v>
      </c>
      <c r="BB22" s="17">
        <f t="shared" si="11"/>
        <v>488.000000000466</v>
      </c>
      <c r="BC22" s="17">
        <f t="shared" si="27"/>
        <v>1435.99999999977</v>
      </c>
      <c r="BD22" s="17">
        <f t="shared" si="12"/>
        <v>10549.6000000284</v>
      </c>
      <c r="BE22" s="17">
        <f t="shared" si="13"/>
        <v>45300.0000000247</v>
      </c>
      <c r="BF22" s="17">
        <f t="shared" si="14"/>
        <v>52.2999999999993</v>
      </c>
      <c r="BG22" s="20">
        <f t="shared" si="15"/>
        <v>0.295158232178273</v>
      </c>
      <c r="BH22" s="20">
        <f t="shared" si="16"/>
        <v>0.0320986206402319</v>
      </c>
      <c r="BI22" s="20">
        <f t="shared" si="17"/>
        <v>0</v>
      </c>
      <c r="BJ22" s="20">
        <f t="shared" si="18"/>
        <v>0.0371391153071796</v>
      </c>
      <c r="BK22" s="20">
        <f t="shared" ref="BK22:BO22" si="113">IF(OR($AD22=0),"",AZ22/$AD22)</f>
        <v>0.0964313871133857</v>
      </c>
      <c r="BL22" s="20">
        <f t="shared" si="113"/>
        <v>0.0482156935566513</v>
      </c>
      <c r="BM22" s="20">
        <f t="shared" si="113"/>
        <v>0.00317962952103876</v>
      </c>
      <c r="BN22" s="20">
        <f t="shared" si="113"/>
        <v>0.00935645080370197</v>
      </c>
      <c r="BO22" s="20">
        <f t="shared" si="113"/>
        <v>0.0687373352360834</v>
      </c>
    </row>
    <row r="23" spans="1:67">
      <c r="A23" s="9">
        <f t="shared" si="20"/>
        <v>43758</v>
      </c>
      <c r="B23" s="10">
        <v>18996.81</v>
      </c>
      <c r="C23" s="8">
        <v>97523.6</v>
      </c>
      <c r="D23" s="8">
        <v>68268.8</v>
      </c>
      <c r="E23" s="8">
        <v>68883.7</v>
      </c>
      <c r="F23" s="8">
        <v>10087.32</v>
      </c>
      <c r="G23" s="8">
        <v>124977.6</v>
      </c>
      <c r="H23" s="8">
        <v>5709.7</v>
      </c>
      <c r="I23" s="8">
        <v>2566.3</v>
      </c>
      <c r="J23" s="8">
        <v>967</v>
      </c>
      <c r="K23" s="8">
        <v>56</v>
      </c>
      <c r="L23" s="8">
        <v>102469.1</v>
      </c>
      <c r="M23" s="8">
        <v>61530.8</v>
      </c>
      <c r="N23" s="8">
        <v>85158.3</v>
      </c>
      <c r="O23" s="8">
        <v>112510.4</v>
      </c>
      <c r="P23" s="8">
        <v>6351.3</v>
      </c>
      <c r="Q23" s="8">
        <v>8742.7</v>
      </c>
      <c r="R23" s="8">
        <v>5251.1</v>
      </c>
      <c r="S23" s="8">
        <v>6324</v>
      </c>
      <c r="T23" s="8">
        <v>8472.8</v>
      </c>
      <c r="U23" s="8">
        <v>19399.6</v>
      </c>
      <c r="V23" s="8">
        <v>55258.3</v>
      </c>
      <c r="W23" s="8">
        <v>59793.6</v>
      </c>
      <c r="X23" s="8">
        <v>6759.8</v>
      </c>
      <c r="Y23" s="8">
        <v>6939.5</v>
      </c>
      <c r="Z23" s="15">
        <f t="shared" si="21"/>
        <v>73492.9</v>
      </c>
      <c r="AA23" s="8">
        <v>8756.1</v>
      </c>
      <c r="AB23" s="13">
        <v>9360</v>
      </c>
      <c r="AC23" s="7">
        <f t="shared" si="22"/>
        <v>18116.1</v>
      </c>
      <c r="AD23" s="16">
        <v>155402</v>
      </c>
      <c r="AE23" s="17">
        <f t="shared" ref="AE23:AI23" si="114">IF(OR(C24=""),"",(C24-C23)*80)</f>
        <v>0</v>
      </c>
      <c r="AF23" s="17">
        <f t="shared" si="114"/>
        <v>0</v>
      </c>
      <c r="AG23" s="17">
        <f t="shared" si="114"/>
        <v>0</v>
      </c>
      <c r="AH23" s="17">
        <f t="shared" si="114"/>
        <v>2411.19999999995</v>
      </c>
      <c r="AI23" s="17">
        <f t="shared" si="114"/>
        <v>2623.99999999907</v>
      </c>
      <c r="AJ23" s="17">
        <f t="shared" si="3"/>
        <v>5035.19999999902</v>
      </c>
      <c r="AK23" s="17">
        <f t="shared" ref="AK23:AN23" si="115">IF(OR(H24=""),"",(H24-H23)*80)</f>
        <v>0</v>
      </c>
      <c r="AL23" s="17">
        <f t="shared" si="115"/>
        <v>0</v>
      </c>
      <c r="AM23" s="17">
        <f t="shared" si="115"/>
        <v>0</v>
      </c>
      <c r="AN23" s="17">
        <f t="shared" si="115"/>
        <v>0</v>
      </c>
      <c r="AO23" s="17">
        <f t="shared" si="5"/>
        <v>0</v>
      </c>
      <c r="AP23" s="17">
        <f t="shared" ref="AP23:AS23" si="116">IF(OR(L24=""),"",(L24-L23)*100)</f>
        <v>1129.99999999884</v>
      </c>
      <c r="AQ23" s="17">
        <f t="shared" si="116"/>
        <v>0</v>
      </c>
      <c r="AR23" s="17">
        <f t="shared" si="116"/>
        <v>2789.99999999942</v>
      </c>
      <c r="AS23" s="17">
        <f t="shared" si="116"/>
        <v>1740.00000000087</v>
      </c>
      <c r="AT23" s="17">
        <f t="shared" si="7"/>
        <v>5659.99999999913</v>
      </c>
      <c r="AU23" s="17">
        <f t="shared" ref="AU23:AY23" si="117">IF(OR(P24=""),"",(P24-P23)*1000)</f>
        <v>0</v>
      </c>
      <c r="AV23" s="17">
        <f t="shared" si="117"/>
        <v>6000</v>
      </c>
      <c r="AW23" s="17">
        <f t="shared" si="117"/>
        <v>599.999999999454</v>
      </c>
      <c r="AX23" s="17">
        <f t="shared" si="117"/>
        <v>0</v>
      </c>
      <c r="AY23" s="17">
        <f t="shared" si="117"/>
        <v>9400.00000000146</v>
      </c>
      <c r="AZ23" s="17">
        <f t="shared" si="9"/>
        <v>16000.0000000009</v>
      </c>
      <c r="BA23" s="17">
        <f t="shared" si="10"/>
        <v>8000</v>
      </c>
      <c r="BB23" s="17">
        <f t="shared" si="11"/>
        <v>551.999999999534</v>
      </c>
      <c r="BC23" s="17">
        <f t="shared" si="27"/>
        <v>1424.00000000023</v>
      </c>
      <c r="BD23" s="17">
        <f t="shared" si="12"/>
        <v>9628.79999997498</v>
      </c>
      <c r="BE23" s="17">
        <f t="shared" si="13"/>
        <v>46299.9999999738</v>
      </c>
      <c r="BF23" s="17">
        <f t="shared" si="14"/>
        <v>62.2000000000007</v>
      </c>
      <c r="BG23" s="20">
        <f t="shared" si="15"/>
        <v>0.297936963488075</v>
      </c>
      <c r="BH23" s="20">
        <f t="shared" si="16"/>
        <v>0.0324011273986115</v>
      </c>
      <c r="BI23" s="20">
        <f t="shared" si="17"/>
        <v>0</v>
      </c>
      <c r="BJ23" s="20">
        <f t="shared" si="18"/>
        <v>0.0364216676747991</v>
      </c>
      <c r="BK23" s="20">
        <f t="shared" ref="BK23:BO23" si="118">IF(OR($AD23=0),"",AZ23/$AD23)</f>
        <v>0.102958777879312</v>
      </c>
      <c r="BL23" s="20">
        <f t="shared" si="118"/>
        <v>0.0514793889396533</v>
      </c>
      <c r="BM23" s="20">
        <f t="shared" si="118"/>
        <v>0.00355207783683308</v>
      </c>
      <c r="BN23" s="20">
        <f t="shared" si="118"/>
        <v>0.00916333123125978</v>
      </c>
      <c r="BO23" s="20">
        <f t="shared" si="118"/>
        <v>0.0619605925276057</v>
      </c>
    </row>
    <row r="24" spans="1:67">
      <c r="A24" s="9">
        <f t="shared" si="20"/>
        <v>43759</v>
      </c>
      <c r="B24" s="10">
        <v>19001.44</v>
      </c>
      <c r="C24" s="8">
        <v>97523.6</v>
      </c>
      <c r="D24" s="8">
        <v>68268.8</v>
      </c>
      <c r="E24" s="8">
        <v>68883.7</v>
      </c>
      <c r="F24" s="8">
        <v>10117.46</v>
      </c>
      <c r="G24" s="8">
        <v>125010.4</v>
      </c>
      <c r="H24" s="8">
        <v>5709.7</v>
      </c>
      <c r="I24" s="8">
        <v>2566.3</v>
      </c>
      <c r="J24" s="8">
        <v>967</v>
      </c>
      <c r="K24" s="8">
        <v>56</v>
      </c>
      <c r="L24" s="8">
        <v>102480.4</v>
      </c>
      <c r="M24" s="8">
        <v>61530.8</v>
      </c>
      <c r="N24" s="8">
        <v>85186.2</v>
      </c>
      <c r="O24" s="8">
        <v>112527.8</v>
      </c>
      <c r="P24" s="8">
        <v>6351.3</v>
      </c>
      <c r="Q24" s="8">
        <v>8748.7</v>
      </c>
      <c r="R24" s="8">
        <v>5251.7</v>
      </c>
      <c r="S24" s="8">
        <v>6324</v>
      </c>
      <c r="T24" s="8">
        <v>8482.2</v>
      </c>
      <c r="U24" s="8">
        <v>19403.6</v>
      </c>
      <c r="V24" s="8">
        <v>55265.2</v>
      </c>
      <c r="W24" s="8">
        <v>59810.5</v>
      </c>
      <c r="X24" s="8">
        <v>6768.1</v>
      </c>
      <c r="Y24" s="8">
        <v>6949.9</v>
      </c>
      <c r="Z24" s="15">
        <f t="shared" si="21"/>
        <v>73528.5</v>
      </c>
      <c r="AA24" s="8">
        <v>8803.3</v>
      </c>
      <c r="AB24" s="13">
        <v>9375</v>
      </c>
      <c r="AC24" s="7">
        <f t="shared" si="22"/>
        <v>18178.3</v>
      </c>
      <c r="AD24" s="16">
        <v>157259</v>
      </c>
      <c r="AE24" s="17">
        <f t="shared" ref="AE24:AI24" si="119">IF(OR(C25=""),"",(C25-C24)*80)</f>
        <v>0</v>
      </c>
      <c r="AF24" s="17">
        <f t="shared" si="119"/>
        <v>0</v>
      </c>
      <c r="AG24" s="17">
        <f t="shared" si="119"/>
        <v>224.000000000233</v>
      </c>
      <c r="AH24" s="17">
        <f t="shared" si="119"/>
        <v>2390.40000000008</v>
      </c>
      <c r="AI24" s="17">
        <f t="shared" si="119"/>
        <v>2584.00000000023</v>
      </c>
      <c r="AJ24" s="17">
        <f t="shared" si="3"/>
        <v>5198.40000000055</v>
      </c>
      <c r="AK24" s="17">
        <f t="shared" ref="AK24:AN24" si="120">IF(OR(H25=""),"",(H25-H24)*80)</f>
        <v>0</v>
      </c>
      <c r="AL24" s="17">
        <f t="shared" si="120"/>
        <v>0</v>
      </c>
      <c r="AM24" s="17">
        <f t="shared" si="120"/>
        <v>0</v>
      </c>
      <c r="AN24" s="17">
        <f t="shared" si="120"/>
        <v>0</v>
      </c>
      <c r="AO24" s="17">
        <f t="shared" si="5"/>
        <v>0</v>
      </c>
      <c r="AP24" s="17">
        <f t="shared" ref="AP24:AS24" si="121">IF(OR(L25=""),"",(L25-L24)*100)</f>
        <v>1200</v>
      </c>
      <c r="AQ24" s="17">
        <f t="shared" si="121"/>
        <v>0</v>
      </c>
      <c r="AR24" s="17">
        <f t="shared" si="121"/>
        <v>2840.00000000087</v>
      </c>
      <c r="AS24" s="17">
        <f t="shared" si="121"/>
        <v>1619.99999999971</v>
      </c>
      <c r="AT24" s="17">
        <f t="shared" si="7"/>
        <v>5660.00000000058</v>
      </c>
      <c r="AU24" s="17">
        <f t="shared" ref="AU24:AY24" si="122">IF(OR(P25=""),"",(P25-P24)*1000)</f>
        <v>0</v>
      </c>
      <c r="AV24" s="17">
        <f t="shared" si="122"/>
        <v>7399.99999999964</v>
      </c>
      <c r="AW24" s="17">
        <f t="shared" si="122"/>
        <v>300.000000000182</v>
      </c>
      <c r="AX24" s="17">
        <f t="shared" si="122"/>
        <v>0</v>
      </c>
      <c r="AY24" s="17">
        <f t="shared" si="122"/>
        <v>8599.99999999854</v>
      </c>
      <c r="AZ24" s="17">
        <f t="shared" si="9"/>
        <v>16299.9999999984</v>
      </c>
      <c r="BA24" s="17">
        <f t="shared" si="10"/>
        <v>7600.00000000582</v>
      </c>
      <c r="BB24" s="17">
        <f t="shared" si="11"/>
        <v>544.000000000233</v>
      </c>
      <c r="BC24" s="17">
        <f t="shared" si="27"/>
        <v>1432.00000000012</v>
      </c>
      <c r="BD24" s="17">
        <f t="shared" si="12"/>
        <v>9065.6000000118</v>
      </c>
      <c r="BE24" s="17">
        <f t="shared" si="13"/>
        <v>45800.0000000175</v>
      </c>
      <c r="BF24" s="17">
        <f t="shared" si="14"/>
        <v>54.1000000000022</v>
      </c>
      <c r="BG24" s="20">
        <f t="shared" si="15"/>
        <v>0.291239293140726</v>
      </c>
      <c r="BH24" s="20">
        <f t="shared" si="16"/>
        <v>0.0330562956651164</v>
      </c>
      <c r="BI24" s="20">
        <f t="shared" si="17"/>
        <v>0</v>
      </c>
      <c r="BJ24" s="20">
        <f t="shared" si="18"/>
        <v>0.0359915807680361</v>
      </c>
      <c r="BK24" s="20">
        <f t="shared" ref="BK24:BO24" si="123">IF(OR($AD24=0),"",AZ24/$AD24)</f>
        <v>0.103650665462698</v>
      </c>
      <c r="BL24" s="20">
        <f t="shared" si="123"/>
        <v>0.0483279176390911</v>
      </c>
      <c r="BM24" s="20">
        <f t="shared" si="123"/>
        <v>0.00345926147311272</v>
      </c>
      <c r="BN24" s="20">
        <f t="shared" si="123"/>
        <v>0.00910599711304355</v>
      </c>
      <c r="BO24" s="20">
        <f t="shared" si="123"/>
        <v>0.0576475750196288</v>
      </c>
    </row>
    <row r="25" spans="1:67">
      <c r="A25" s="9">
        <f t="shared" si="20"/>
        <v>43760</v>
      </c>
      <c r="B25" s="10">
        <v>19006.02</v>
      </c>
      <c r="C25" s="8">
        <v>97523.6</v>
      </c>
      <c r="D25" s="8">
        <v>68268.8</v>
      </c>
      <c r="E25" s="8">
        <v>68886.5</v>
      </c>
      <c r="F25" s="8">
        <v>10147.34</v>
      </c>
      <c r="G25" s="8">
        <v>125042.7</v>
      </c>
      <c r="H25" s="8">
        <v>5709.7</v>
      </c>
      <c r="I25" s="8">
        <v>2566.3</v>
      </c>
      <c r="J25" s="8">
        <v>967</v>
      </c>
      <c r="K25" s="8">
        <v>56</v>
      </c>
      <c r="L25" s="8">
        <v>102492.4</v>
      </c>
      <c r="M25" s="8">
        <v>61530.8</v>
      </c>
      <c r="N25" s="8">
        <v>85214.6</v>
      </c>
      <c r="O25" s="8">
        <v>112544</v>
      </c>
      <c r="P25" s="8">
        <v>6351.3</v>
      </c>
      <c r="Q25" s="8">
        <v>8756.1</v>
      </c>
      <c r="R25" s="8">
        <v>5252</v>
      </c>
      <c r="S25" s="8">
        <v>6324</v>
      </c>
      <c r="T25" s="8">
        <v>8490.8</v>
      </c>
      <c r="U25" s="8">
        <v>19407.4</v>
      </c>
      <c r="V25" s="8">
        <v>55272</v>
      </c>
      <c r="W25" s="8">
        <v>59827.6</v>
      </c>
      <c r="X25" s="8">
        <v>6776.5</v>
      </c>
      <c r="Y25" s="8">
        <v>6960.2</v>
      </c>
      <c r="Z25" s="15">
        <f t="shared" si="21"/>
        <v>73564.3</v>
      </c>
      <c r="AA25" s="8">
        <v>8852.4</v>
      </c>
      <c r="AB25" s="13">
        <v>9380</v>
      </c>
      <c r="AC25" s="7">
        <f t="shared" si="22"/>
        <v>18232.4</v>
      </c>
      <c r="AD25" s="16">
        <v>161055</v>
      </c>
      <c r="AE25" s="17">
        <f t="shared" ref="AE25:AI25" si="124">IF(OR(C26=""),"",(C26-C25)*80)</f>
        <v>0</v>
      </c>
      <c r="AF25" s="17">
        <f t="shared" si="124"/>
        <v>0</v>
      </c>
      <c r="AG25" s="17">
        <f t="shared" si="124"/>
        <v>2400</v>
      </c>
      <c r="AH25" s="17">
        <f t="shared" si="124"/>
        <v>1210.39999999994</v>
      </c>
      <c r="AI25" s="17">
        <f t="shared" si="124"/>
        <v>1848.00000000047</v>
      </c>
      <c r="AJ25" s="17">
        <f t="shared" si="3"/>
        <v>5458.4000000004</v>
      </c>
      <c r="AK25" s="17">
        <f t="shared" ref="AK25:AN25" si="125">IF(OR(H26=""),"",(H26-H25)*80)</f>
        <v>0</v>
      </c>
      <c r="AL25" s="17">
        <f t="shared" si="125"/>
        <v>0</v>
      </c>
      <c r="AM25" s="17">
        <f t="shared" si="125"/>
        <v>0</v>
      </c>
      <c r="AN25" s="17">
        <f t="shared" si="125"/>
        <v>0</v>
      </c>
      <c r="AO25" s="17">
        <f t="shared" si="5"/>
        <v>0</v>
      </c>
      <c r="AP25" s="17">
        <f t="shared" ref="AP25:AS25" si="126">IF(OR(L26=""),"",(L26-L25)*100)</f>
        <v>1910.00000000058</v>
      </c>
      <c r="AQ25" s="17">
        <f t="shared" si="126"/>
        <v>0</v>
      </c>
      <c r="AR25" s="17">
        <f t="shared" si="126"/>
        <v>2669.99999999971</v>
      </c>
      <c r="AS25" s="17">
        <f t="shared" si="126"/>
        <v>1260.00000000058</v>
      </c>
      <c r="AT25" s="17">
        <f t="shared" si="7"/>
        <v>5840.00000000087</v>
      </c>
      <c r="AU25" s="17">
        <f t="shared" ref="AU25:AY25" si="127">IF(OR(P26=""),"",(P26-P25)*1000)</f>
        <v>0</v>
      </c>
      <c r="AV25" s="17">
        <f t="shared" si="127"/>
        <v>4799.99999999927</v>
      </c>
      <c r="AW25" s="17">
        <f t="shared" si="127"/>
        <v>1300.00000000018</v>
      </c>
      <c r="AX25" s="17">
        <f t="shared" si="127"/>
        <v>0</v>
      </c>
      <c r="AY25" s="17">
        <f t="shared" si="127"/>
        <v>9300.00000000109</v>
      </c>
      <c r="AZ25" s="17">
        <f t="shared" si="9"/>
        <v>15400.0000000005</v>
      </c>
      <c r="BA25" s="17">
        <f t="shared" si="10"/>
        <v>8199.99999999709</v>
      </c>
      <c r="BB25" s="17">
        <f t="shared" si="11"/>
        <v>552.000000000116</v>
      </c>
      <c r="BC25" s="17">
        <f t="shared" si="27"/>
        <v>1387.99999999988</v>
      </c>
      <c r="BD25" s="17">
        <f t="shared" si="12"/>
        <v>9261.60000000691</v>
      </c>
      <c r="BE25" s="17">
        <f t="shared" si="13"/>
        <v>46100.0000000058</v>
      </c>
      <c r="BF25" s="17">
        <f t="shared" si="14"/>
        <v>55.2999999999993</v>
      </c>
      <c r="BG25" s="20">
        <f t="shared" si="15"/>
        <v>0.286237620688621</v>
      </c>
      <c r="BH25" s="20">
        <f t="shared" si="16"/>
        <v>0.0338915277389737</v>
      </c>
      <c r="BI25" s="20">
        <f t="shared" si="17"/>
        <v>0</v>
      </c>
      <c r="BJ25" s="20">
        <f t="shared" si="18"/>
        <v>0.0362609046599042</v>
      </c>
      <c r="BK25" s="20">
        <f t="shared" ref="BK25:BO25" si="128">IF(OR($AD25=0),"",AZ25/$AD25)</f>
        <v>0.0956195088634351</v>
      </c>
      <c r="BL25" s="20">
        <f t="shared" si="128"/>
        <v>0.0509142839402508</v>
      </c>
      <c r="BM25" s="20">
        <f t="shared" si="128"/>
        <v>0.00342740057744321</v>
      </c>
      <c r="BN25" s="20">
        <f t="shared" si="128"/>
        <v>0.00861817391574235</v>
      </c>
      <c r="BO25" s="20">
        <f t="shared" si="128"/>
        <v>0.0575058209928714</v>
      </c>
    </row>
    <row r="26" spans="1:67">
      <c r="A26" s="9">
        <f t="shared" si="20"/>
        <v>43761</v>
      </c>
      <c r="B26" s="10">
        <v>19010.63</v>
      </c>
      <c r="C26" s="8">
        <v>97523.6</v>
      </c>
      <c r="D26" s="8">
        <v>68268.8</v>
      </c>
      <c r="E26" s="8">
        <v>68916.5</v>
      </c>
      <c r="F26" s="8">
        <v>10162.47</v>
      </c>
      <c r="G26" s="8">
        <v>125065.8</v>
      </c>
      <c r="H26" s="8">
        <v>5709.7</v>
      </c>
      <c r="I26" s="8">
        <v>2566.3</v>
      </c>
      <c r="J26" s="8">
        <v>967</v>
      </c>
      <c r="K26" s="8">
        <v>56</v>
      </c>
      <c r="L26" s="8">
        <v>102511.5</v>
      </c>
      <c r="M26" s="8">
        <v>61530.8</v>
      </c>
      <c r="N26" s="8">
        <v>85241.3</v>
      </c>
      <c r="O26" s="8">
        <v>112556.6</v>
      </c>
      <c r="P26" s="8">
        <v>6351.3</v>
      </c>
      <c r="Q26" s="8">
        <v>8760.9</v>
      </c>
      <c r="R26" s="8">
        <v>5253.3</v>
      </c>
      <c r="S26" s="8">
        <v>6324</v>
      </c>
      <c r="T26" s="8">
        <v>8500.1</v>
      </c>
      <c r="U26" s="8">
        <v>19411.5</v>
      </c>
      <c r="V26" s="8">
        <v>55278.9</v>
      </c>
      <c r="W26" s="8">
        <v>59844.2</v>
      </c>
      <c r="X26" s="8">
        <v>6784.7</v>
      </c>
      <c r="Y26" s="8">
        <v>6970.1</v>
      </c>
      <c r="Z26" s="15">
        <f t="shared" si="21"/>
        <v>73599</v>
      </c>
      <c r="AA26" s="8">
        <v>8901.7</v>
      </c>
      <c r="AB26" s="13">
        <v>9386</v>
      </c>
      <c r="AC26" s="7">
        <f t="shared" si="22"/>
        <v>18287.7</v>
      </c>
      <c r="AD26" s="16">
        <v>146295</v>
      </c>
      <c r="AE26" s="17">
        <f t="shared" ref="AE26:AI26" si="129">IF(OR(C27=""),"",(C27-C26)*80)</f>
        <v>0</v>
      </c>
      <c r="AF26" s="17">
        <f t="shared" si="129"/>
        <v>0</v>
      </c>
      <c r="AG26" s="17">
        <f t="shared" si="129"/>
        <v>2255.99999999977</v>
      </c>
      <c r="AH26" s="17">
        <f t="shared" si="129"/>
        <v>699.199999999983</v>
      </c>
      <c r="AI26" s="17">
        <f t="shared" si="129"/>
        <v>2440</v>
      </c>
      <c r="AJ26" s="17">
        <f t="shared" si="3"/>
        <v>5395.19999999975</v>
      </c>
      <c r="AK26" s="17">
        <f t="shared" ref="AK26:AN26" si="130">IF(OR(H27=""),"",(H27-H26)*80)</f>
        <v>0</v>
      </c>
      <c r="AL26" s="17">
        <f t="shared" si="130"/>
        <v>0</v>
      </c>
      <c r="AM26" s="17">
        <f t="shared" si="130"/>
        <v>0</v>
      </c>
      <c r="AN26" s="17">
        <f t="shared" si="130"/>
        <v>0</v>
      </c>
      <c r="AO26" s="17">
        <f t="shared" si="5"/>
        <v>0</v>
      </c>
      <c r="AP26" s="17">
        <f t="shared" ref="AP26:AS26" si="131">IF(OR(L27=""),"",(L27-L26)*100)</f>
        <v>1060.00000000058</v>
      </c>
      <c r="AQ26" s="17">
        <f t="shared" si="131"/>
        <v>0</v>
      </c>
      <c r="AR26" s="17">
        <f t="shared" si="131"/>
        <v>2800</v>
      </c>
      <c r="AS26" s="17">
        <f t="shared" si="131"/>
        <v>1629.99999999884</v>
      </c>
      <c r="AT26" s="17">
        <f t="shared" si="7"/>
        <v>5489.99999999942</v>
      </c>
      <c r="AU26" s="17">
        <f t="shared" ref="AU26:AY26" si="132">IF(OR(P27=""),"",(P27-P26)*1000)</f>
        <v>0</v>
      </c>
      <c r="AV26" s="17">
        <f t="shared" si="132"/>
        <v>0</v>
      </c>
      <c r="AW26" s="17">
        <f t="shared" si="132"/>
        <v>4399.99999999964</v>
      </c>
      <c r="AX26" s="17">
        <f t="shared" si="132"/>
        <v>0</v>
      </c>
      <c r="AY26" s="17">
        <f t="shared" si="132"/>
        <v>8899.99999999964</v>
      </c>
      <c r="AZ26" s="17">
        <f t="shared" si="9"/>
        <v>13299.9999999993</v>
      </c>
      <c r="BA26" s="17">
        <f t="shared" si="10"/>
        <v>7400.00000000146</v>
      </c>
      <c r="BB26" s="17">
        <f t="shared" si="11"/>
        <v>552.000000000116</v>
      </c>
      <c r="BC26" s="17">
        <f t="shared" si="27"/>
        <v>1415.99999999977</v>
      </c>
      <c r="BD26" s="17">
        <f t="shared" si="12"/>
        <v>14346.7999999726</v>
      </c>
      <c r="BE26" s="17">
        <f t="shared" si="13"/>
        <v>47899.9999999724</v>
      </c>
      <c r="BF26" s="17">
        <f t="shared" si="14"/>
        <v>53.8999999999978</v>
      </c>
      <c r="BG26" s="20">
        <f t="shared" si="15"/>
        <v>0.327420622714189</v>
      </c>
      <c r="BH26" s="20">
        <f t="shared" si="16"/>
        <v>0.0368789090536228</v>
      </c>
      <c r="BI26" s="20">
        <f t="shared" si="17"/>
        <v>0</v>
      </c>
      <c r="BJ26" s="20">
        <f t="shared" si="18"/>
        <v>0.0375269147954436</v>
      </c>
      <c r="BK26" s="20">
        <f t="shared" ref="BK26:BO26" si="133">IF(OR($AD26=0),"",AZ26/$AD26)</f>
        <v>0.0909121979561795</v>
      </c>
      <c r="BL26" s="20">
        <f t="shared" si="133"/>
        <v>0.0505827266823983</v>
      </c>
      <c r="BM26" s="20">
        <f t="shared" si="133"/>
        <v>0.00377319799036274</v>
      </c>
      <c r="BN26" s="20">
        <f t="shared" si="133"/>
        <v>0.00967907310570947</v>
      </c>
      <c r="BO26" s="20">
        <f t="shared" si="133"/>
        <v>0.0980676031304732</v>
      </c>
    </row>
    <row r="27" spans="1:67">
      <c r="A27" s="9">
        <f t="shared" si="20"/>
        <v>43762</v>
      </c>
      <c r="B27" s="10">
        <v>19015.42</v>
      </c>
      <c r="C27" s="8">
        <v>97523.6</v>
      </c>
      <c r="D27" s="8">
        <v>68268.8</v>
      </c>
      <c r="E27" s="8">
        <v>68944.7</v>
      </c>
      <c r="F27" s="8">
        <v>10171.21</v>
      </c>
      <c r="G27" s="8">
        <v>125096.3</v>
      </c>
      <c r="H27" s="8">
        <v>5709.7</v>
      </c>
      <c r="I27" s="8">
        <v>2566.3</v>
      </c>
      <c r="J27" s="8">
        <v>967</v>
      </c>
      <c r="K27" s="8">
        <v>56</v>
      </c>
      <c r="L27" s="8">
        <v>102522.1</v>
      </c>
      <c r="M27" s="8">
        <v>61530.8</v>
      </c>
      <c r="N27" s="8">
        <v>85269.3</v>
      </c>
      <c r="O27" s="8">
        <v>112572.9</v>
      </c>
      <c r="P27" s="8">
        <v>6351.3</v>
      </c>
      <c r="Q27" s="8">
        <v>8760.9</v>
      </c>
      <c r="R27" s="8">
        <v>5257.7</v>
      </c>
      <c r="S27" s="8">
        <v>6324</v>
      </c>
      <c r="T27" s="8">
        <v>8509</v>
      </c>
      <c r="U27" s="8">
        <v>19415.2</v>
      </c>
      <c r="V27" s="8">
        <v>55285.8</v>
      </c>
      <c r="W27" s="8">
        <v>59861.1</v>
      </c>
      <c r="X27" s="8">
        <v>6793.1</v>
      </c>
      <c r="Y27" s="8">
        <v>6980.2</v>
      </c>
      <c r="Z27" s="15">
        <f t="shared" si="21"/>
        <v>73634.4</v>
      </c>
      <c r="AA27" s="8">
        <v>8950.6</v>
      </c>
      <c r="AB27" s="13">
        <v>9391</v>
      </c>
      <c r="AC27" s="7">
        <f t="shared" si="22"/>
        <v>18341.6</v>
      </c>
      <c r="AD27" s="16">
        <v>157947</v>
      </c>
      <c r="AE27" s="17">
        <f t="shared" ref="AE27:AI27" si="134">IF(OR(C28=""),"",(C28-C27)*80)</f>
        <v>0</v>
      </c>
      <c r="AF27" s="17">
        <f t="shared" si="134"/>
        <v>0</v>
      </c>
      <c r="AG27" s="17">
        <f t="shared" si="134"/>
        <v>0</v>
      </c>
      <c r="AH27" s="17">
        <f t="shared" si="134"/>
        <v>2403.20000000007</v>
      </c>
      <c r="AI27" s="17">
        <f t="shared" si="134"/>
        <v>2575.99999999977</v>
      </c>
      <c r="AJ27" s="17">
        <f t="shared" si="3"/>
        <v>4979.19999999984</v>
      </c>
      <c r="AK27" s="17">
        <f t="shared" ref="AK27:AN27" si="135">IF(OR(H28=""),"",(H28-H27)*80)</f>
        <v>0</v>
      </c>
      <c r="AL27" s="17">
        <f t="shared" si="135"/>
        <v>0</v>
      </c>
      <c r="AM27" s="17">
        <f t="shared" si="135"/>
        <v>0</v>
      </c>
      <c r="AN27" s="17">
        <f t="shared" si="135"/>
        <v>0</v>
      </c>
      <c r="AO27" s="17">
        <f t="shared" si="5"/>
        <v>0</v>
      </c>
      <c r="AP27" s="17">
        <f t="shared" ref="AP27:AS27" si="136">IF(OR(L28=""),"",(L28-L27)*100)</f>
        <v>1169.99999999971</v>
      </c>
      <c r="AQ27" s="17">
        <f t="shared" si="136"/>
        <v>0</v>
      </c>
      <c r="AR27" s="17">
        <f t="shared" si="136"/>
        <v>2809.99999999913</v>
      </c>
      <c r="AS27" s="17">
        <f t="shared" si="136"/>
        <v>1680.00000000029</v>
      </c>
      <c r="AT27" s="17">
        <f t="shared" si="7"/>
        <v>5659.99999999913</v>
      </c>
      <c r="AU27" s="17">
        <f t="shared" ref="AU27:AY27" si="137">IF(OR(P28=""),"",(P28-P27)*1000)</f>
        <v>0</v>
      </c>
      <c r="AV27" s="17">
        <f t="shared" si="137"/>
        <v>0</v>
      </c>
      <c r="AW27" s="17">
        <f t="shared" si="137"/>
        <v>4400.00000000055</v>
      </c>
      <c r="AX27" s="17">
        <f t="shared" si="137"/>
        <v>0</v>
      </c>
      <c r="AY27" s="17">
        <f t="shared" si="137"/>
        <v>9200.00000000073</v>
      </c>
      <c r="AZ27" s="17">
        <f t="shared" si="9"/>
        <v>13600.0000000013</v>
      </c>
      <c r="BA27" s="17">
        <f t="shared" si="10"/>
        <v>7599.99999999854</v>
      </c>
      <c r="BB27" s="17">
        <f t="shared" si="11"/>
        <v>560</v>
      </c>
      <c r="BC27" s="17">
        <f t="shared" si="27"/>
        <v>1436.00000000035</v>
      </c>
      <c r="BD27" s="17">
        <f t="shared" si="12"/>
        <v>15264.8000000358</v>
      </c>
      <c r="BE27" s="17">
        <f t="shared" si="13"/>
        <v>49100.0000000349</v>
      </c>
      <c r="BF27" s="17">
        <f t="shared" si="14"/>
        <v>54.2000000000007</v>
      </c>
      <c r="BG27" s="20">
        <f t="shared" si="15"/>
        <v>0.310863770758767</v>
      </c>
      <c r="BH27" s="20">
        <f t="shared" si="16"/>
        <v>0.0315244987242546</v>
      </c>
      <c r="BI27" s="20">
        <f t="shared" si="17"/>
        <v>0</v>
      </c>
      <c r="BJ27" s="20">
        <f t="shared" si="18"/>
        <v>0.0358348053460916</v>
      </c>
      <c r="BK27" s="20">
        <f t="shared" ref="BK27:BO27" si="138">IF(OR($AD27=0),"",AZ27/$AD27)</f>
        <v>0.0861048326337396</v>
      </c>
      <c r="BL27" s="20">
        <f t="shared" si="138"/>
        <v>0.048117406471782</v>
      </c>
      <c r="BM27" s="20">
        <f t="shared" si="138"/>
        <v>0.00354549310844777</v>
      </c>
      <c r="BN27" s="20">
        <f t="shared" si="138"/>
        <v>0.00909165732809328</v>
      </c>
      <c r="BO27" s="20">
        <f t="shared" si="138"/>
        <v>0.0966450771463579</v>
      </c>
    </row>
    <row r="28" spans="1:67">
      <c r="A28" s="9">
        <f t="shared" si="20"/>
        <v>43763</v>
      </c>
      <c r="B28" s="10">
        <v>19020.33</v>
      </c>
      <c r="C28" s="8">
        <v>97523.6</v>
      </c>
      <c r="D28" s="8">
        <v>68268.8</v>
      </c>
      <c r="E28" s="8">
        <v>68944.7</v>
      </c>
      <c r="F28" s="8">
        <v>10201.25</v>
      </c>
      <c r="G28" s="8">
        <v>125128.5</v>
      </c>
      <c r="H28" s="8">
        <v>5709.7</v>
      </c>
      <c r="I28" s="8">
        <v>2566.3</v>
      </c>
      <c r="J28" s="8">
        <v>967</v>
      </c>
      <c r="K28" s="8">
        <v>56</v>
      </c>
      <c r="L28" s="8">
        <v>102533.8</v>
      </c>
      <c r="M28" s="8">
        <v>61530.8</v>
      </c>
      <c r="N28" s="8">
        <v>85297.4</v>
      </c>
      <c r="O28" s="8">
        <v>112589.7</v>
      </c>
      <c r="P28" s="8">
        <v>6351.3</v>
      </c>
      <c r="Q28" s="8">
        <v>8760.9</v>
      </c>
      <c r="R28" s="8">
        <v>5262.1</v>
      </c>
      <c r="S28" s="8">
        <v>6324</v>
      </c>
      <c r="T28" s="8">
        <v>8518.2</v>
      </c>
      <c r="U28" s="8">
        <v>19419</v>
      </c>
      <c r="V28" s="8">
        <v>55292.8</v>
      </c>
      <c r="W28" s="8">
        <v>59878.2</v>
      </c>
      <c r="X28" s="8">
        <v>6801.6</v>
      </c>
      <c r="Y28" s="8">
        <v>6990.5</v>
      </c>
      <c r="Z28" s="15">
        <f t="shared" si="21"/>
        <v>73670.3</v>
      </c>
      <c r="AA28" s="8">
        <v>8998.8</v>
      </c>
      <c r="AB28" s="13">
        <v>9397</v>
      </c>
      <c r="AC28" s="7">
        <f t="shared" si="22"/>
        <v>18395.8</v>
      </c>
      <c r="AD28" s="16">
        <v>166212</v>
      </c>
      <c r="AE28" s="17">
        <f t="shared" ref="AE28:AI28" si="139">IF(OR(C29=""),"",(C29-C28)*80)</f>
        <v>0</v>
      </c>
      <c r="AF28" s="17">
        <f t="shared" si="139"/>
        <v>304.000000000233</v>
      </c>
      <c r="AG28" s="17">
        <f t="shared" si="139"/>
        <v>0</v>
      </c>
      <c r="AH28" s="17">
        <f t="shared" si="139"/>
        <v>2468.80000000005</v>
      </c>
      <c r="AI28" s="17">
        <f t="shared" si="139"/>
        <v>2624.00000000023</v>
      </c>
      <c r="AJ28" s="17">
        <f t="shared" si="3"/>
        <v>5396.80000000051</v>
      </c>
      <c r="AK28" s="17">
        <f t="shared" ref="AK28:AN28" si="140">IF(OR(H29=""),"",(H29-H28)*80)</f>
        <v>0</v>
      </c>
      <c r="AL28" s="17">
        <f t="shared" si="140"/>
        <v>0</v>
      </c>
      <c r="AM28" s="17">
        <f t="shared" si="140"/>
        <v>0</v>
      </c>
      <c r="AN28" s="17">
        <f t="shared" si="140"/>
        <v>0</v>
      </c>
      <c r="AO28" s="17">
        <f t="shared" si="5"/>
        <v>0</v>
      </c>
      <c r="AP28" s="17">
        <f t="shared" ref="AP28:AS28" si="141">IF(OR(L29=""),"",(L29-L28)*100)</f>
        <v>1400</v>
      </c>
      <c r="AQ28" s="17">
        <f t="shared" si="141"/>
        <v>0</v>
      </c>
      <c r="AR28" s="17">
        <f t="shared" si="141"/>
        <v>2850</v>
      </c>
      <c r="AS28" s="17">
        <f t="shared" si="141"/>
        <v>1710.00000000058</v>
      </c>
      <c r="AT28" s="17">
        <f t="shared" si="7"/>
        <v>5960.00000000058</v>
      </c>
      <c r="AU28" s="17">
        <f t="shared" ref="AU28:AY28" si="142">IF(OR(P29=""),"",(P29-P28)*1000)</f>
        <v>0</v>
      </c>
      <c r="AV28" s="17">
        <f t="shared" si="142"/>
        <v>0</v>
      </c>
      <c r="AW28" s="17">
        <f t="shared" si="142"/>
        <v>0</v>
      </c>
      <c r="AX28" s="17">
        <f t="shared" si="142"/>
        <v>5000</v>
      </c>
      <c r="AY28" s="17">
        <f t="shared" si="142"/>
        <v>9199.99999999891</v>
      </c>
      <c r="AZ28" s="17">
        <f t="shared" si="9"/>
        <v>14199.9999999989</v>
      </c>
      <c r="BA28" s="17">
        <f t="shared" si="10"/>
        <v>7800.00000000291</v>
      </c>
      <c r="BB28" s="17">
        <f t="shared" si="11"/>
        <v>575.999999999767</v>
      </c>
      <c r="BC28" s="17">
        <f t="shared" si="27"/>
        <v>1432.00000000012</v>
      </c>
      <c r="BD28" s="17">
        <f t="shared" si="12"/>
        <v>14235.1999999885</v>
      </c>
      <c r="BE28" s="17">
        <f t="shared" si="13"/>
        <v>49599.9999999913</v>
      </c>
      <c r="BF28" s="17">
        <f t="shared" si="14"/>
        <v>54.2000000000007</v>
      </c>
      <c r="BG28" s="20">
        <f t="shared" si="15"/>
        <v>0.298414073592708</v>
      </c>
      <c r="BH28" s="20">
        <f t="shared" si="16"/>
        <v>0.0324693764589832</v>
      </c>
      <c r="BI28" s="20">
        <f t="shared" si="17"/>
        <v>0</v>
      </c>
      <c r="BJ28" s="20">
        <f t="shared" si="18"/>
        <v>0.0358578201333272</v>
      </c>
      <c r="BK28" s="20">
        <f t="shared" ref="BK28:BO28" si="143">IF(OR($AD28=0),"",AZ28/$AD28)</f>
        <v>0.0854330613914694</v>
      </c>
      <c r="BL28" s="20">
        <f t="shared" si="143"/>
        <v>0.0469280196375888</v>
      </c>
      <c r="BM28" s="20">
        <f t="shared" si="143"/>
        <v>0.00346545375785002</v>
      </c>
      <c r="BN28" s="20">
        <f t="shared" si="143"/>
        <v>0.00861550309243687</v>
      </c>
      <c r="BO28" s="20">
        <f t="shared" si="143"/>
        <v>0.0856448391210531</v>
      </c>
    </row>
    <row r="29" spans="1:67">
      <c r="A29" s="9">
        <f t="shared" si="20"/>
        <v>43764</v>
      </c>
      <c r="B29" s="10">
        <v>19025.29</v>
      </c>
      <c r="C29" s="8">
        <v>97523.6</v>
      </c>
      <c r="D29" s="8">
        <v>68272.6</v>
      </c>
      <c r="E29" s="8">
        <v>68944.7</v>
      </c>
      <c r="F29" s="8">
        <v>10232.11</v>
      </c>
      <c r="G29" s="8">
        <v>125161.3</v>
      </c>
      <c r="H29" s="8">
        <v>5709.7</v>
      </c>
      <c r="I29" s="8">
        <v>2566.3</v>
      </c>
      <c r="J29" s="8">
        <v>967</v>
      </c>
      <c r="K29" s="8">
        <v>56</v>
      </c>
      <c r="L29" s="8">
        <v>102547.8</v>
      </c>
      <c r="M29" s="8">
        <v>61530.8</v>
      </c>
      <c r="N29" s="8">
        <v>85325.9</v>
      </c>
      <c r="O29" s="8">
        <v>112606.8</v>
      </c>
      <c r="P29" s="8">
        <v>6351.3</v>
      </c>
      <c r="Q29" s="8">
        <v>8760.9</v>
      </c>
      <c r="R29" s="8">
        <v>5262.1</v>
      </c>
      <c r="S29" s="8">
        <v>6329</v>
      </c>
      <c r="T29" s="8">
        <v>8527.4</v>
      </c>
      <c r="U29" s="8">
        <v>19422.9</v>
      </c>
      <c r="V29" s="8">
        <v>55300</v>
      </c>
      <c r="W29" s="8">
        <v>59895.4</v>
      </c>
      <c r="X29" s="8">
        <v>6810.1</v>
      </c>
      <c r="Y29" s="8">
        <v>7000.6</v>
      </c>
      <c r="Z29" s="15">
        <f t="shared" si="21"/>
        <v>73706.1</v>
      </c>
      <c r="AA29" s="8">
        <v>9048</v>
      </c>
      <c r="AB29" s="13">
        <v>9402</v>
      </c>
      <c r="AC29" s="7">
        <f t="shared" si="22"/>
        <v>18450</v>
      </c>
      <c r="AD29" s="16">
        <v>188308</v>
      </c>
      <c r="AE29" s="17">
        <f t="shared" ref="AE29:AI29" si="144">IF(OR(C30=""),"",(C30-C29)*80)</f>
        <v>391.999999999534</v>
      </c>
      <c r="AF29" s="17">
        <f t="shared" si="144"/>
        <v>2423.99999999907</v>
      </c>
      <c r="AG29" s="17">
        <f t="shared" si="144"/>
        <v>0</v>
      </c>
      <c r="AH29" s="17">
        <f t="shared" si="144"/>
        <v>2203.99999999994</v>
      </c>
      <c r="AI29" s="17">
        <f t="shared" si="144"/>
        <v>1847.9999999993</v>
      </c>
      <c r="AJ29" s="17">
        <f t="shared" si="3"/>
        <v>6867.99999999785</v>
      </c>
      <c r="AK29" s="17">
        <f t="shared" ref="AK29:AN29" si="145">IF(OR(H30=""),"",(H30-H29)*80)</f>
        <v>0</v>
      </c>
      <c r="AL29" s="17">
        <f t="shared" si="145"/>
        <v>0</v>
      </c>
      <c r="AM29" s="17">
        <f t="shared" si="145"/>
        <v>0</v>
      </c>
      <c r="AN29" s="17">
        <f t="shared" si="145"/>
        <v>0</v>
      </c>
      <c r="AO29" s="17">
        <f t="shared" si="5"/>
        <v>0</v>
      </c>
      <c r="AP29" s="17">
        <f t="shared" ref="AP29:AS29" si="146">IF(OR(L30=""),"",(L30-L29)*100)</f>
        <v>2269.99999999971</v>
      </c>
      <c r="AQ29" s="17">
        <f t="shared" si="146"/>
        <v>0</v>
      </c>
      <c r="AR29" s="17">
        <f t="shared" si="146"/>
        <v>2870.00000000116</v>
      </c>
      <c r="AS29" s="17">
        <f t="shared" si="146"/>
        <v>1700</v>
      </c>
      <c r="AT29" s="17">
        <f t="shared" si="7"/>
        <v>6840.00000000087</v>
      </c>
      <c r="AU29" s="17">
        <f t="shared" ref="AU29:AY29" si="147">IF(OR(P30=""),"",(P30-P29)*1000)</f>
        <v>0</v>
      </c>
      <c r="AV29" s="17">
        <f t="shared" si="147"/>
        <v>2399.99999999964</v>
      </c>
      <c r="AW29" s="17">
        <f t="shared" si="147"/>
        <v>0</v>
      </c>
      <c r="AX29" s="17">
        <f t="shared" si="147"/>
        <v>3500</v>
      </c>
      <c r="AY29" s="17">
        <f t="shared" si="147"/>
        <v>9600.00000000036</v>
      </c>
      <c r="AZ29" s="17">
        <f t="shared" si="9"/>
        <v>15500</v>
      </c>
      <c r="BA29" s="17">
        <f t="shared" si="10"/>
        <v>9000</v>
      </c>
      <c r="BB29" s="17">
        <f t="shared" si="11"/>
        <v>567.999999999884</v>
      </c>
      <c r="BC29" s="17">
        <f t="shared" si="27"/>
        <v>1399.99999999942</v>
      </c>
      <c r="BD29" s="17">
        <f t="shared" si="12"/>
        <v>11723.9999999889</v>
      </c>
      <c r="BE29" s="17">
        <f t="shared" si="13"/>
        <v>51899.9999999869</v>
      </c>
      <c r="BF29" s="17">
        <f t="shared" si="14"/>
        <v>53.2999999999993</v>
      </c>
      <c r="BG29" s="20">
        <f t="shared" si="15"/>
        <v>0.275612294751083</v>
      </c>
      <c r="BH29" s="20">
        <f t="shared" si="16"/>
        <v>0.0364721626271738</v>
      </c>
      <c r="BI29" s="20">
        <f t="shared" si="17"/>
        <v>0</v>
      </c>
      <c r="BJ29" s="20">
        <f t="shared" si="18"/>
        <v>0.0363234700596941</v>
      </c>
      <c r="BK29" s="20">
        <f t="shared" ref="BK29:BO29" si="148">IF(OR($AD29=0),"",AZ29/$AD29)</f>
        <v>0.0823119570066062</v>
      </c>
      <c r="BL29" s="20">
        <f t="shared" si="148"/>
        <v>0.047794039552223</v>
      </c>
      <c r="BM29" s="20">
        <f t="shared" si="148"/>
        <v>0.00301633494062856</v>
      </c>
      <c r="BN29" s="20">
        <f t="shared" si="148"/>
        <v>0.00743462837478715</v>
      </c>
      <c r="BO29" s="20">
        <f t="shared" si="148"/>
        <v>0.0622597021899701</v>
      </c>
    </row>
    <row r="30" spans="1:67">
      <c r="A30" s="9">
        <f t="shared" si="20"/>
        <v>43765</v>
      </c>
      <c r="B30" s="10">
        <v>19030.48</v>
      </c>
      <c r="C30" s="8">
        <v>97528.5</v>
      </c>
      <c r="D30" s="8">
        <v>68302.9</v>
      </c>
      <c r="E30" s="8">
        <v>68944.7</v>
      </c>
      <c r="F30" s="8">
        <v>10259.66</v>
      </c>
      <c r="G30" s="8">
        <v>125184.4</v>
      </c>
      <c r="H30" s="8">
        <v>5709.7</v>
      </c>
      <c r="I30" s="8">
        <v>2566.3</v>
      </c>
      <c r="J30" s="8">
        <v>967</v>
      </c>
      <c r="K30" s="8">
        <v>56</v>
      </c>
      <c r="L30" s="8">
        <v>102570.5</v>
      </c>
      <c r="M30" s="8">
        <v>61530.8</v>
      </c>
      <c r="N30" s="8">
        <v>85354.6</v>
      </c>
      <c r="O30" s="8">
        <v>112623.8</v>
      </c>
      <c r="P30" s="8">
        <v>6351.3</v>
      </c>
      <c r="Q30" s="8">
        <v>8763.3</v>
      </c>
      <c r="R30" s="8">
        <v>5262.1</v>
      </c>
      <c r="S30" s="8">
        <v>6332.5</v>
      </c>
      <c r="T30" s="8">
        <v>8537</v>
      </c>
      <c r="U30" s="8">
        <v>19427.4</v>
      </c>
      <c r="V30" s="8">
        <v>55307.1</v>
      </c>
      <c r="W30" s="8">
        <v>59912.3</v>
      </c>
      <c r="X30" s="8">
        <v>6818.4</v>
      </c>
      <c r="Y30" s="8">
        <v>7010.4</v>
      </c>
      <c r="Z30" s="15">
        <f t="shared" si="21"/>
        <v>73741.1</v>
      </c>
      <c r="AA30" s="8">
        <v>9095.3</v>
      </c>
      <c r="AB30" s="13">
        <v>9408</v>
      </c>
      <c r="AC30" s="7">
        <f t="shared" si="22"/>
        <v>18503.3</v>
      </c>
      <c r="AD30" s="16">
        <v>203326</v>
      </c>
      <c r="AE30" s="17">
        <f t="shared" ref="AE30:AI30" si="149">IF(OR(C31=""),"",(C31-C30)*80)</f>
        <v>2311.99999999953</v>
      </c>
      <c r="AF30" s="17">
        <f t="shared" si="149"/>
        <v>1232.0000000007</v>
      </c>
      <c r="AG30" s="17">
        <f t="shared" si="149"/>
        <v>8.00000000046566</v>
      </c>
      <c r="AH30" s="17">
        <f t="shared" si="149"/>
        <v>2022.40000000005</v>
      </c>
      <c r="AI30" s="17">
        <f t="shared" si="149"/>
        <v>1600</v>
      </c>
      <c r="AJ30" s="17">
        <f t="shared" si="3"/>
        <v>7174.40000000075</v>
      </c>
      <c r="AK30" s="17">
        <f t="shared" ref="AK30:AN30" si="150">IF(OR(H31=""),"",(H31-H30)*80)</f>
        <v>0</v>
      </c>
      <c r="AL30" s="17">
        <f t="shared" si="150"/>
        <v>0</v>
      </c>
      <c r="AM30" s="17">
        <f t="shared" si="150"/>
        <v>0</v>
      </c>
      <c r="AN30" s="17">
        <f t="shared" si="150"/>
        <v>0</v>
      </c>
      <c r="AO30" s="17">
        <f t="shared" si="5"/>
        <v>0</v>
      </c>
      <c r="AP30" s="17">
        <f t="shared" ref="AP30:AS30" si="151">IF(OR(L31=""),"",(L31-L30)*100)</f>
        <v>3019.99999999971</v>
      </c>
      <c r="AQ30" s="17">
        <f t="shared" si="151"/>
        <v>0</v>
      </c>
      <c r="AR30" s="17">
        <f t="shared" si="151"/>
        <v>2900</v>
      </c>
      <c r="AS30" s="17">
        <f t="shared" si="151"/>
        <v>1730.00000000029</v>
      </c>
      <c r="AT30" s="17">
        <f t="shared" si="7"/>
        <v>7650</v>
      </c>
      <c r="AU30" s="17">
        <f t="shared" ref="AU30:AY30" si="152">IF(OR(P31=""),"",(P31-P30)*1000)</f>
        <v>0</v>
      </c>
      <c r="AV30" s="17">
        <f t="shared" si="152"/>
        <v>0</v>
      </c>
      <c r="AW30" s="17">
        <f t="shared" si="152"/>
        <v>0</v>
      </c>
      <c r="AX30" s="17">
        <f t="shared" si="152"/>
        <v>5000</v>
      </c>
      <c r="AY30" s="17">
        <f t="shared" si="152"/>
        <v>9000</v>
      </c>
      <c r="AZ30" s="17">
        <f t="shared" si="9"/>
        <v>14000</v>
      </c>
      <c r="BA30" s="17">
        <f t="shared" si="10"/>
        <v>9399.99999999418</v>
      </c>
      <c r="BB30" s="17">
        <f t="shared" si="11"/>
        <v>576.000000000349</v>
      </c>
      <c r="BC30" s="17">
        <f t="shared" si="27"/>
        <v>1388.00000000047</v>
      </c>
      <c r="BD30" s="17">
        <f t="shared" si="12"/>
        <v>11811.6000000115</v>
      </c>
      <c r="BE30" s="17">
        <f t="shared" si="13"/>
        <v>52000.0000000073</v>
      </c>
      <c r="BF30" s="17">
        <f t="shared" si="14"/>
        <v>54.4000000000015</v>
      </c>
      <c r="BG30" s="20">
        <f t="shared" si="15"/>
        <v>0.255746928577788</v>
      </c>
      <c r="BH30" s="20">
        <f t="shared" si="16"/>
        <v>0.0352852070074695</v>
      </c>
      <c r="BI30" s="20">
        <f t="shared" si="17"/>
        <v>0</v>
      </c>
      <c r="BJ30" s="20">
        <f t="shared" si="18"/>
        <v>0.0376243077619193</v>
      </c>
      <c r="BK30" s="20">
        <f t="shared" ref="BK30:BO30" si="153">IF(OR($AD30=0),"",AZ30/$AD30)</f>
        <v>0.0688549423093948</v>
      </c>
      <c r="BL30" s="20">
        <f t="shared" si="153"/>
        <v>0.046231175550565</v>
      </c>
      <c r="BM30" s="20">
        <f t="shared" si="153"/>
        <v>0.00283288905501682</v>
      </c>
      <c r="BN30" s="20">
        <f t="shared" si="153"/>
        <v>0.00682647570896229</v>
      </c>
      <c r="BO30" s="20">
        <f t="shared" si="153"/>
        <v>0.0580919311844601</v>
      </c>
    </row>
    <row r="31" spans="1:67">
      <c r="A31" s="9">
        <f t="shared" si="20"/>
        <v>43766</v>
      </c>
      <c r="B31" s="10">
        <v>19035.68</v>
      </c>
      <c r="C31" s="8">
        <v>97557.4</v>
      </c>
      <c r="D31" s="8">
        <v>68318.3</v>
      </c>
      <c r="E31" s="8">
        <v>68944.8</v>
      </c>
      <c r="F31" s="8">
        <v>10284.94</v>
      </c>
      <c r="G31" s="8">
        <v>125204.4</v>
      </c>
      <c r="H31" s="8">
        <v>5709.7</v>
      </c>
      <c r="I31" s="8">
        <v>2566.3</v>
      </c>
      <c r="J31" s="8">
        <v>967</v>
      </c>
      <c r="K31" s="8">
        <v>56</v>
      </c>
      <c r="L31" s="8">
        <v>102600.7</v>
      </c>
      <c r="M31" s="8">
        <v>61530.8</v>
      </c>
      <c r="N31" s="8">
        <v>85383.6</v>
      </c>
      <c r="O31" s="8">
        <v>112641.1</v>
      </c>
      <c r="P31" s="8">
        <v>6351.3</v>
      </c>
      <c r="Q31" s="8">
        <v>8763.3</v>
      </c>
      <c r="R31" s="8">
        <v>5262.1</v>
      </c>
      <c r="S31" s="8">
        <v>6337.5</v>
      </c>
      <c r="T31" s="8">
        <v>8546</v>
      </c>
      <c r="U31" s="8">
        <v>19432.1</v>
      </c>
      <c r="V31" s="8">
        <v>55314.3</v>
      </c>
      <c r="W31" s="8">
        <v>59929.1</v>
      </c>
      <c r="X31" s="8">
        <v>6826.6</v>
      </c>
      <c r="Y31" s="8">
        <v>7020.1</v>
      </c>
      <c r="Z31" s="15">
        <f t="shared" si="21"/>
        <v>73775.8</v>
      </c>
      <c r="AA31" s="8">
        <v>9143.7</v>
      </c>
      <c r="AB31" s="13">
        <v>9414</v>
      </c>
      <c r="AC31" s="7">
        <f t="shared" si="22"/>
        <v>18557.7</v>
      </c>
      <c r="AD31" s="16">
        <v>202346</v>
      </c>
      <c r="AE31" s="17">
        <f t="shared" ref="AE31:AI31" si="154">IF(OR(C32=""),"",(C32-C31)*80)</f>
        <v>3800</v>
      </c>
      <c r="AF31" s="17">
        <f t="shared" si="154"/>
        <v>40</v>
      </c>
      <c r="AG31" s="17">
        <f t="shared" si="154"/>
        <v>2815.99999999977</v>
      </c>
      <c r="AH31" s="17">
        <f t="shared" si="154"/>
        <v>13.6000000000058</v>
      </c>
      <c r="AI31" s="17">
        <f t="shared" si="154"/>
        <v>2360</v>
      </c>
      <c r="AJ31" s="17">
        <f t="shared" si="3"/>
        <v>9029.59999999977</v>
      </c>
      <c r="AK31" s="17">
        <f t="shared" ref="AK31:AN31" si="155">IF(OR(H32=""),"",(H32-H31)*80)</f>
        <v>0</v>
      </c>
      <c r="AL31" s="17">
        <f t="shared" si="155"/>
        <v>0</v>
      </c>
      <c r="AM31" s="17">
        <f t="shared" si="155"/>
        <v>0</v>
      </c>
      <c r="AN31" s="17">
        <f t="shared" si="155"/>
        <v>0</v>
      </c>
      <c r="AO31" s="17">
        <f t="shared" si="5"/>
        <v>0</v>
      </c>
      <c r="AP31" s="17">
        <f t="shared" ref="AP31:AS31" si="156">IF(OR(L32=""),"",(L32-L31)*100)</f>
        <v>2830.00000000029</v>
      </c>
      <c r="AQ31" s="17">
        <f t="shared" si="156"/>
        <v>29.9999999995634</v>
      </c>
      <c r="AR31" s="17">
        <f t="shared" si="156"/>
        <v>2919.99999999971</v>
      </c>
      <c r="AS31" s="17">
        <f t="shared" si="156"/>
        <v>1759.99999999913</v>
      </c>
      <c r="AT31" s="17">
        <f t="shared" si="7"/>
        <v>7539.99999999869</v>
      </c>
      <c r="AU31" s="17">
        <f t="shared" ref="AU31:AY31" si="157">IF(OR(P32=""),"",(P32-P31)*1000)</f>
        <v>800.000000000182</v>
      </c>
      <c r="AV31" s="17">
        <f t="shared" si="157"/>
        <v>0</v>
      </c>
      <c r="AW31" s="17">
        <f t="shared" si="157"/>
        <v>0</v>
      </c>
      <c r="AX31" s="17">
        <f t="shared" si="157"/>
        <v>5199.99999999982</v>
      </c>
      <c r="AY31" s="17">
        <f t="shared" si="157"/>
        <v>9000</v>
      </c>
      <c r="AZ31" s="17">
        <f t="shared" si="9"/>
        <v>15000</v>
      </c>
      <c r="BA31" s="17">
        <f t="shared" si="10"/>
        <v>9600.00000000582</v>
      </c>
      <c r="BB31" s="17">
        <f t="shared" si="11"/>
        <v>911.999999999534</v>
      </c>
      <c r="BC31" s="17">
        <f t="shared" si="27"/>
        <v>1427.99999999988</v>
      </c>
      <c r="BD31" s="17">
        <f t="shared" si="12"/>
        <v>12290.3999999774</v>
      </c>
      <c r="BE31" s="17">
        <f t="shared" si="13"/>
        <v>55799.9999999811</v>
      </c>
      <c r="BF31" s="17">
        <f t="shared" si="14"/>
        <v>51.7999999999993</v>
      </c>
      <c r="BG31" s="20">
        <f t="shared" si="15"/>
        <v>0.275765273343585</v>
      </c>
      <c r="BH31" s="20">
        <f t="shared" si="16"/>
        <v>0.0446245539817924</v>
      </c>
      <c r="BI31" s="20">
        <f t="shared" si="17"/>
        <v>0</v>
      </c>
      <c r="BJ31" s="20">
        <f t="shared" si="18"/>
        <v>0.0372629061113078</v>
      </c>
      <c r="BK31" s="20">
        <f t="shared" ref="BK31:BO31" si="158">IF(OR($AD31=0),"",AZ31/$AD31)</f>
        <v>0.0741304498235695</v>
      </c>
      <c r="BL31" s="20">
        <f t="shared" si="158"/>
        <v>0.0474434878871133</v>
      </c>
      <c r="BM31" s="20">
        <f t="shared" si="158"/>
        <v>0.00450713134927073</v>
      </c>
      <c r="BN31" s="20">
        <f t="shared" si="158"/>
        <v>0.00705721882320324</v>
      </c>
      <c r="BO31" s="20">
        <f t="shared" si="158"/>
        <v>0.0607395253673281</v>
      </c>
    </row>
    <row r="32" spans="1:67">
      <c r="A32" s="9">
        <f t="shared" si="20"/>
        <v>43767</v>
      </c>
      <c r="B32" s="10">
        <v>19041.26</v>
      </c>
      <c r="C32" s="8">
        <v>97604.9</v>
      </c>
      <c r="D32" s="8">
        <v>68318.8</v>
      </c>
      <c r="E32" s="8">
        <v>68980</v>
      </c>
      <c r="F32" s="8">
        <v>10285.11</v>
      </c>
      <c r="G32" s="8">
        <v>125233.9</v>
      </c>
      <c r="H32" s="8">
        <v>5709.7</v>
      </c>
      <c r="I32" s="8">
        <v>2566.3</v>
      </c>
      <c r="J32" s="8">
        <v>967</v>
      </c>
      <c r="K32" s="8">
        <v>56</v>
      </c>
      <c r="L32" s="8">
        <v>102629</v>
      </c>
      <c r="M32" s="8">
        <v>61531.1</v>
      </c>
      <c r="N32" s="8">
        <v>85412.8</v>
      </c>
      <c r="O32" s="8">
        <v>112658.7</v>
      </c>
      <c r="P32" s="8">
        <v>6352.1</v>
      </c>
      <c r="Q32" s="8">
        <v>8763.3</v>
      </c>
      <c r="R32" s="8">
        <v>5262.1</v>
      </c>
      <c r="S32" s="8">
        <v>6342.7</v>
      </c>
      <c r="T32" s="8">
        <v>8555</v>
      </c>
      <c r="U32" s="8">
        <v>19436.9</v>
      </c>
      <c r="V32" s="8">
        <v>55325.7</v>
      </c>
      <c r="W32" s="8">
        <v>59946.2</v>
      </c>
      <c r="X32" s="8">
        <v>6835.1</v>
      </c>
      <c r="Y32" s="8">
        <v>7030.2</v>
      </c>
      <c r="Z32" s="15">
        <f t="shared" si="21"/>
        <v>73811.5</v>
      </c>
      <c r="AA32" s="8">
        <v>9190.5</v>
      </c>
      <c r="AB32" s="13">
        <v>9419</v>
      </c>
      <c r="AC32" s="7">
        <f t="shared" si="22"/>
        <v>18609.5</v>
      </c>
      <c r="AD32" s="16">
        <v>205589</v>
      </c>
      <c r="AE32" s="17">
        <f t="shared" ref="AE32:AI32" si="159">IF(OR(C33=""),"",(C33-C32)*80)</f>
        <v>3720</v>
      </c>
      <c r="AF32" s="17">
        <f t="shared" si="159"/>
        <v>0</v>
      </c>
      <c r="AG32" s="17">
        <f t="shared" si="159"/>
        <v>3544.00000000023</v>
      </c>
      <c r="AH32" s="17">
        <f t="shared" si="159"/>
        <v>3.99999999994179</v>
      </c>
      <c r="AI32" s="17">
        <f t="shared" si="159"/>
        <v>2584.00000000023</v>
      </c>
      <c r="AJ32" s="17">
        <f t="shared" si="3"/>
        <v>9852.00000000041</v>
      </c>
      <c r="AK32" s="17">
        <f t="shared" ref="AK32:AN32" si="160">IF(OR(H33=""),"",(H33-H32)*80)</f>
        <v>0</v>
      </c>
      <c r="AL32" s="17">
        <f t="shared" si="160"/>
        <v>0</v>
      </c>
      <c r="AM32" s="17">
        <f t="shared" si="160"/>
        <v>0</v>
      </c>
      <c r="AN32" s="17">
        <f t="shared" si="160"/>
        <v>0</v>
      </c>
      <c r="AO32" s="17">
        <f t="shared" si="5"/>
        <v>0</v>
      </c>
      <c r="AP32" s="17">
        <f t="shared" ref="AP32:AS32" si="161">IF(OR(L33=""),"",(L33-L32)*100)</f>
        <v>3030.00000000029</v>
      </c>
      <c r="AQ32" s="17">
        <f t="shared" si="161"/>
        <v>0</v>
      </c>
      <c r="AR32" s="17">
        <f t="shared" si="161"/>
        <v>2969.99999999971</v>
      </c>
      <c r="AS32" s="17">
        <f t="shared" si="161"/>
        <v>1800</v>
      </c>
      <c r="AT32" s="17">
        <f t="shared" si="7"/>
        <v>7800</v>
      </c>
      <c r="AU32" s="17">
        <f t="shared" ref="AU32:AY32" si="162">IF(OR(P33=""),"",(P33-P32)*1000)</f>
        <v>0</v>
      </c>
      <c r="AV32" s="17">
        <f t="shared" si="162"/>
        <v>0</v>
      </c>
      <c r="AW32" s="17">
        <f t="shared" si="162"/>
        <v>0</v>
      </c>
      <c r="AX32" s="17">
        <f t="shared" si="162"/>
        <v>5400.00000000055</v>
      </c>
      <c r="AY32" s="17">
        <f t="shared" si="162"/>
        <v>9200.00000000073</v>
      </c>
      <c r="AZ32" s="17">
        <f t="shared" si="9"/>
        <v>14600.0000000013</v>
      </c>
      <c r="BA32" s="17">
        <f t="shared" si="10"/>
        <v>9000</v>
      </c>
      <c r="BB32" s="17">
        <f t="shared" si="11"/>
        <v>968.000000000466</v>
      </c>
      <c r="BC32" s="17">
        <f t="shared" si="27"/>
        <v>1412.00000000012</v>
      </c>
      <c r="BD32" s="17">
        <f t="shared" si="12"/>
        <v>10868.000000005</v>
      </c>
      <c r="BE32" s="17">
        <f t="shared" si="13"/>
        <v>54500.0000000073</v>
      </c>
      <c r="BF32" s="17">
        <f t="shared" si="14"/>
        <v>53.5</v>
      </c>
      <c r="BG32" s="20">
        <f t="shared" si="15"/>
        <v>0.265092003949663</v>
      </c>
      <c r="BH32" s="20">
        <f t="shared" si="16"/>
        <v>0.0479208517965475</v>
      </c>
      <c r="BI32" s="20">
        <f t="shared" si="17"/>
        <v>0</v>
      </c>
      <c r="BJ32" s="20">
        <f t="shared" si="18"/>
        <v>0.037939773042332</v>
      </c>
      <c r="BK32" s="20">
        <f t="shared" ref="BK32:BO32" si="163">IF(OR($AD32=0),"",AZ32/$AD32)</f>
        <v>0.0710154726177046</v>
      </c>
      <c r="BL32" s="20">
        <f t="shared" si="163"/>
        <v>0.0437766612026908</v>
      </c>
      <c r="BM32" s="20">
        <f t="shared" si="163"/>
        <v>0.00470842311602501</v>
      </c>
      <c r="BN32" s="20">
        <f t="shared" si="163"/>
        <v>0.00686807173535606</v>
      </c>
      <c r="BO32" s="20">
        <f t="shared" si="163"/>
        <v>0.052862750439007</v>
      </c>
    </row>
    <row r="33" spans="1:67">
      <c r="A33" s="9">
        <f t="shared" si="20"/>
        <v>43768</v>
      </c>
      <c r="B33" s="10">
        <v>19046.71</v>
      </c>
      <c r="C33" s="8">
        <v>97651.4</v>
      </c>
      <c r="D33" s="8">
        <v>68318.8</v>
      </c>
      <c r="E33" s="8">
        <v>69024.3</v>
      </c>
      <c r="F33" s="8">
        <v>10285.16</v>
      </c>
      <c r="G33" s="8">
        <v>125266.2</v>
      </c>
      <c r="H33" s="8">
        <v>5709.7</v>
      </c>
      <c r="I33" s="8">
        <v>2566.3</v>
      </c>
      <c r="J33" s="8">
        <v>967</v>
      </c>
      <c r="K33" s="8">
        <v>56</v>
      </c>
      <c r="L33" s="8">
        <v>102659.3</v>
      </c>
      <c r="M33" s="8">
        <v>61531.1</v>
      </c>
      <c r="N33" s="8">
        <v>85442.5</v>
      </c>
      <c r="O33" s="8">
        <v>112676.7</v>
      </c>
      <c r="P33" s="8">
        <v>6352.1</v>
      </c>
      <c r="Q33" s="8">
        <v>8763.3</v>
      </c>
      <c r="R33" s="8">
        <v>5262.1</v>
      </c>
      <c r="S33" s="8">
        <v>6348.1</v>
      </c>
      <c r="T33" s="8">
        <v>8564.2</v>
      </c>
      <c r="U33" s="8">
        <v>19441.4</v>
      </c>
      <c r="V33" s="8">
        <v>55337.8</v>
      </c>
      <c r="W33" s="8">
        <v>59963.3</v>
      </c>
      <c r="X33" s="8">
        <v>6843.4</v>
      </c>
      <c r="Y33" s="8">
        <v>7040.1</v>
      </c>
      <c r="Z33" s="15">
        <f t="shared" si="21"/>
        <v>73846.8</v>
      </c>
      <c r="AA33" s="8">
        <v>9238</v>
      </c>
      <c r="AB33" s="13">
        <v>9425</v>
      </c>
      <c r="AC33" s="7">
        <f t="shared" si="22"/>
        <v>18663</v>
      </c>
      <c r="AD33" s="16">
        <v>186469</v>
      </c>
      <c r="AE33" s="17">
        <f t="shared" ref="AE33:AI33" si="164">IF(OR(C34=""),"",(C34-C33)*80)</f>
        <v>24.0000000002328</v>
      </c>
      <c r="AF33" s="17">
        <f t="shared" si="164"/>
        <v>135.999999999767</v>
      </c>
      <c r="AG33" s="17">
        <f t="shared" si="164"/>
        <v>2464.00000000023</v>
      </c>
      <c r="AH33" s="17">
        <f t="shared" si="164"/>
        <v>2111.99999999997</v>
      </c>
      <c r="AI33" s="17">
        <f t="shared" si="164"/>
        <v>2144.00000000023</v>
      </c>
      <c r="AJ33" s="17">
        <f t="shared" si="3"/>
        <v>6880.00000000044</v>
      </c>
      <c r="AK33" s="17">
        <f t="shared" ref="AK33:AN33" si="165">IF(OR(H34=""),"",(H34-H33)*80)</f>
        <v>0</v>
      </c>
      <c r="AL33" s="17">
        <f t="shared" si="165"/>
        <v>0</v>
      </c>
      <c r="AM33" s="17">
        <f t="shared" si="165"/>
        <v>0</v>
      </c>
      <c r="AN33" s="17">
        <f t="shared" si="165"/>
        <v>0</v>
      </c>
      <c r="AO33" s="17">
        <f t="shared" si="5"/>
        <v>0</v>
      </c>
      <c r="AP33" s="17">
        <f t="shared" ref="AP33:AS33" si="166">IF(OR(L34=""),"",(L34-L33)*100)</f>
        <v>2109.99999999913</v>
      </c>
      <c r="AQ33" s="17">
        <f t="shared" si="166"/>
        <v>0</v>
      </c>
      <c r="AR33" s="17">
        <f t="shared" si="166"/>
        <v>2850</v>
      </c>
      <c r="AS33" s="17">
        <f t="shared" si="166"/>
        <v>1750</v>
      </c>
      <c r="AT33" s="17">
        <f t="shared" si="7"/>
        <v>6709.99999999913</v>
      </c>
      <c r="AU33" s="17">
        <f t="shared" ref="AU33:AY33" si="167">IF(OR(P34=""),"",(P34-P33)*1000)</f>
        <v>0</v>
      </c>
      <c r="AV33" s="17">
        <f t="shared" si="167"/>
        <v>500</v>
      </c>
      <c r="AW33" s="17">
        <f t="shared" si="167"/>
        <v>99.9999999994543</v>
      </c>
      <c r="AX33" s="17">
        <f t="shared" si="167"/>
        <v>5399.99999999964</v>
      </c>
      <c r="AY33" s="17">
        <f t="shared" si="167"/>
        <v>9500</v>
      </c>
      <c r="AZ33" s="17">
        <f t="shared" si="9"/>
        <v>15499.9999999991</v>
      </c>
      <c r="BA33" s="17">
        <f t="shared" si="10"/>
        <v>8199.99999999709</v>
      </c>
      <c r="BB33" s="17">
        <f t="shared" si="11"/>
        <v>1015.99999999977</v>
      </c>
      <c r="BC33" s="17">
        <f t="shared" si="27"/>
        <v>1384.00000000023</v>
      </c>
      <c r="BD33" s="17">
        <f t="shared" si="12"/>
        <v>13210.000000013</v>
      </c>
      <c r="BE33" s="17">
        <f t="shared" si="13"/>
        <v>52900.0000000087</v>
      </c>
      <c r="BF33" s="17">
        <f t="shared" si="14"/>
        <v>51</v>
      </c>
      <c r="BG33" s="20">
        <f t="shared" si="15"/>
        <v>0.283693268049964</v>
      </c>
      <c r="BH33" s="20">
        <f t="shared" si="16"/>
        <v>0.0368962133115984</v>
      </c>
      <c r="BI33" s="20">
        <f t="shared" si="17"/>
        <v>0</v>
      </c>
      <c r="BJ33" s="20">
        <f t="shared" si="18"/>
        <v>0.035984533622206</v>
      </c>
      <c r="BK33" s="20">
        <f t="shared" ref="BK33:BO33" si="168">IF(OR($AD33=0),"",AZ33/$AD33)</f>
        <v>0.0831237363851315</v>
      </c>
      <c r="BL33" s="20">
        <f t="shared" si="168"/>
        <v>0.0439751379585727</v>
      </c>
      <c r="BM33" s="20">
        <f t="shared" si="168"/>
        <v>0.00544862684950189</v>
      </c>
      <c r="BN33" s="20">
        <f t="shared" si="168"/>
        <v>0.00742214523593859</v>
      </c>
      <c r="BO33" s="20">
        <f t="shared" si="168"/>
        <v>0.0708428746870149</v>
      </c>
    </row>
    <row r="34" spans="1:67">
      <c r="A34" s="9">
        <f t="shared" si="20"/>
        <v>43769</v>
      </c>
      <c r="B34" s="7">
        <v>19052</v>
      </c>
      <c r="C34" s="8">
        <v>97651.7</v>
      </c>
      <c r="D34" s="8">
        <v>68320.5</v>
      </c>
      <c r="E34" s="8">
        <v>69055.1</v>
      </c>
      <c r="F34" s="8">
        <v>10311.56</v>
      </c>
      <c r="G34" s="8">
        <v>125293</v>
      </c>
      <c r="H34" s="8">
        <v>5709.7</v>
      </c>
      <c r="I34" s="8">
        <v>2566.3</v>
      </c>
      <c r="J34" s="8">
        <v>967</v>
      </c>
      <c r="K34" s="8">
        <v>56</v>
      </c>
      <c r="L34" s="8">
        <v>102680.4</v>
      </c>
      <c r="M34" s="8">
        <v>61531.1</v>
      </c>
      <c r="N34" s="8">
        <v>85471</v>
      </c>
      <c r="O34" s="8">
        <v>112694.2</v>
      </c>
      <c r="P34" s="8">
        <v>6352.1</v>
      </c>
      <c r="Q34" s="8">
        <v>8763.8</v>
      </c>
      <c r="R34" s="8">
        <v>5262.2</v>
      </c>
      <c r="S34" s="8">
        <v>6353.5</v>
      </c>
      <c r="T34" s="8">
        <v>8573.7</v>
      </c>
      <c r="U34" s="8">
        <v>19445.5</v>
      </c>
      <c r="V34" s="8">
        <v>55350.5</v>
      </c>
      <c r="W34" s="8">
        <v>59980</v>
      </c>
      <c r="X34" s="8">
        <v>6851.6</v>
      </c>
      <c r="Y34" s="8">
        <v>7049.8</v>
      </c>
      <c r="Z34" s="15">
        <f t="shared" si="21"/>
        <v>73881.4</v>
      </c>
      <c r="AA34" s="8">
        <v>9284</v>
      </c>
      <c r="AB34" s="13">
        <v>9430</v>
      </c>
      <c r="AC34" s="7">
        <f t="shared" si="22"/>
        <v>18714</v>
      </c>
      <c r="AD34" s="16">
        <v>166830</v>
      </c>
      <c r="AE34" s="17">
        <f t="shared" ref="AE34:AI34" si="169">IF(OR(C35=""),"",(C35-C34)*80)</f>
        <v>0</v>
      </c>
      <c r="AF34" s="17">
        <f t="shared" si="169"/>
        <v>2128.00000000047</v>
      </c>
      <c r="AG34" s="17">
        <f t="shared" si="169"/>
        <v>2495.99999999977</v>
      </c>
      <c r="AH34" s="17">
        <f t="shared" si="169"/>
        <v>4.80000000010477</v>
      </c>
      <c r="AI34" s="17">
        <f t="shared" si="169"/>
        <v>2375.99999999977</v>
      </c>
      <c r="AJ34" s="17">
        <f t="shared" si="3"/>
        <v>7004.8000000001</v>
      </c>
      <c r="AK34" s="17">
        <f t="shared" ref="AK34:AN34" si="170">IF(OR(H35=""),"",(H35-H34)*80)</f>
        <v>0</v>
      </c>
      <c r="AL34" s="17">
        <f t="shared" si="170"/>
        <v>0</v>
      </c>
      <c r="AM34" s="17">
        <f t="shared" si="170"/>
        <v>0</v>
      </c>
      <c r="AN34" s="17">
        <f t="shared" si="170"/>
        <v>0</v>
      </c>
      <c r="AO34" s="17">
        <f t="shared" si="5"/>
        <v>0</v>
      </c>
      <c r="AP34" s="17">
        <f t="shared" ref="AP34:AS34" si="171">IF(OR(L35=""),"",(L35-L34)*100)</f>
        <v>2030.00000000029</v>
      </c>
      <c r="AQ34" s="17">
        <f t="shared" si="171"/>
        <v>0</v>
      </c>
      <c r="AR34" s="17">
        <f t="shared" si="171"/>
        <v>2919.99999999971</v>
      </c>
      <c r="AS34" s="17">
        <f t="shared" si="171"/>
        <v>1119.99999999971</v>
      </c>
      <c r="AT34" s="17">
        <f t="shared" si="7"/>
        <v>6069.99999999971</v>
      </c>
      <c r="AU34" s="17">
        <f t="shared" ref="AU34:AY34" si="172">IF(OR(P35=""),"",(P35-P34)*1000)</f>
        <v>0</v>
      </c>
      <c r="AV34" s="17">
        <f t="shared" si="172"/>
        <v>0</v>
      </c>
      <c r="AW34" s="17">
        <f t="shared" si="172"/>
        <v>0</v>
      </c>
      <c r="AX34" s="17">
        <f t="shared" si="172"/>
        <v>5300.00000000018</v>
      </c>
      <c r="AY34" s="17">
        <f t="shared" si="172"/>
        <v>9099.99999999854</v>
      </c>
      <c r="AZ34" s="17">
        <f t="shared" si="9"/>
        <v>14399.9999999987</v>
      </c>
      <c r="BA34" s="17">
        <f t="shared" si="10"/>
        <v>7400.00000000146</v>
      </c>
      <c r="BB34" s="17">
        <f t="shared" si="11"/>
        <v>1032.00000000012</v>
      </c>
      <c r="BC34" s="17">
        <f t="shared" si="27"/>
        <v>1391.99999999953</v>
      </c>
      <c r="BD34" s="17">
        <f t="shared" si="12"/>
        <v>12701.2000000004</v>
      </c>
      <c r="BE34" s="17">
        <f t="shared" si="13"/>
        <v>50000</v>
      </c>
      <c r="BF34" s="17">
        <f t="shared" si="14"/>
        <v>51.5</v>
      </c>
      <c r="BG34" s="20">
        <f t="shared" si="15"/>
        <v>0.299706287837919</v>
      </c>
      <c r="BH34" s="20">
        <f t="shared" si="16"/>
        <v>0.0419876521009417</v>
      </c>
      <c r="BI34" s="20">
        <f t="shared" si="17"/>
        <v>0</v>
      </c>
      <c r="BJ34" s="20">
        <f t="shared" si="18"/>
        <v>0.0363843433435216</v>
      </c>
      <c r="BK34" s="20">
        <f t="shared" ref="BK34:BO34" si="173">IF(OR($AD34=0),"",AZ34/$AD34)</f>
        <v>0.086315410897313</v>
      </c>
      <c r="BL34" s="20">
        <f t="shared" si="173"/>
        <v>0.0443565306000207</v>
      </c>
      <c r="BM34" s="20">
        <f t="shared" si="173"/>
        <v>0.00618593778097534</v>
      </c>
      <c r="BN34" s="20">
        <f t="shared" si="173"/>
        <v>0.00834382305340487</v>
      </c>
      <c r="BO34" s="20">
        <f t="shared" si="173"/>
        <v>0.0761325900617416</v>
      </c>
    </row>
    <row r="35" spans="1:67">
      <c r="A35" s="9">
        <f t="shared" si="20"/>
        <v>43770</v>
      </c>
      <c r="B35" s="10">
        <v>19057</v>
      </c>
      <c r="C35" s="11">
        <v>97651.7</v>
      </c>
      <c r="D35" s="11">
        <v>68347.1</v>
      </c>
      <c r="E35" s="11">
        <v>69086.3</v>
      </c>
      <c r="F35" s="11">
        <v>10311.62</v>
      </c>
      <c r="G35" s="11">
        <v>125322.7</v>
      </c>
      <c r="H35" s="8">
        <v>5709.7</v>
      </c>
      <c r="I35" s="8">
        <v>2566.3</v>
      </c>
      <c r="J35" s="8">
        <v>967</v>
      </c>
      <c r="K35" s="8">
        <v>56</v>
      </c>
      <c r="L35" s="11">
        <v>102700.7</v>
      </c>
      <c r="M35" s="11">
        <v>61531.1</v>
      </c>
      <c r="N35" s="11">
        <v>85500.2</v>
      </c>
      <c r="O35" s="11">
        <v>112705.4</v>
      </c>
      <c r="P35" s="11">
        <v>6352.1</v>
      </c>
      <c r="Q35" s="8">
        <v>8763.8</v>
      </c>
      <c r="R35" s="8">
        <v>5262.2</v>
      </c>
      <c r="S35" s="11">
        <v>6358.8</v>
      </c>
      <c r="T35" s="11">
        <v>8582.8</v>
      </c>
      <c r="U35" s="11">
        <v>19449.2</v>
      </c>
      <c r="V35" s="11">
        <v>55363.4</v>
      </c>
      <c r="W35" s="11">
        <v>59996.9</v>
      </c>
      <c r="X35" s="11">
        <v>6859.8</v>
      </c>
      <c r="Y35" s="11">
        <v>7059.5</v>
      </c>
      <c r="Z35" s="15">
        <f t="shared" si="21"/>
        <v>73916.2</v>
      </c>
      <c r="AA35" s="11">
        <v>9330.5</v>
      </c>
      <c r="AB35" s="13">
        <v>9435</v>
      </c>
      <c r="AC35" s="7">
        <f t="shared" si="22"/>
        <v>18765.5</v>
      </c>
      <c r="BE35" s="21" t="s">
        <v>44</v>
      </c>
      <c r="BF35" s="21" t="s">
        <v>19</v>
      </c>
      <c r="BG35" s="22">
        <f>SUM(BE4:BE34)</f>
        <v>1541399.99999999</v>
      </c>
      <c r="BH35" s="22">
        <f>SUM(AJ4:AJ34)</f>
        <v>215628.8</v>
      </c>
      <c r="BI35" s="22">
        <f>SUM(AO4:AO34)</f>
        <v>0</v>
      </c>
      <c r="BJ35" s="22">
        <f>SUM(AT4:AT34)</f>
        <v>204709.999999998</v>
      </c>
      <c r="BK35" s="22">
        <f t="shared" ref="BK35:BO35" si="174">SUM(AZ4:AZ34)</f>
        <v>420699.999999998</v>
      </c>
      <c r="BL35" s="22">
        <f t="shared" si="174"/>
        <v>262599.999999999</v>
      </c>
      <c r="BM35" s="22">
        <f t="shared" si="174"/>
        <v>19007.9999999999</v>
      </c>
      <c r="BN35" s="22">
        <f t="shared" si="174"/>
        <v>44191.9999999995</v>
      </c>
      <c r="BO35" s="22">
        <f t="shared" si="174"/>
        <v>374561.199999999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5567221</v>
      </c>
      <c r="BF36" s="21" t="s">
        <v>21</v>
      </c>
      <c r="BG36" s="23">
        <f>IF(OR(BG35=0),"",ROUND(BG35/$BE$36,3))</f>
        <v>0.277</v>
      </c>
      <c r="BH36" s="23">
        <f t="shared" ref="BH36:BO36" si="175">IF(OR(BH35=0),"",ROUND(BH35/$BE$36,4))</f>
        <v>0.0387</v>
      </c>
      <c r="BI36" s="23" t="str">
        <f t="shared" si="175"/>
        <v/>
      </c>
      <c r="BJ36" s="23">
        <f t="shared" si="175"/>
        <v>0.0368</v>
      </c>
      <c r="BK36" s="23">
        <f t="shared" si="175"/>
        <v>0.0756</v>
      </c>
      <c r="BL36" s="23">
        <f t="shared" si="175"/>
        <v>0.0472</v>
      </c>
      <c r="BM36" s="23">
        <f t="shared" si="175"/>
        <v>0.0034</v>
      </c>
      <c r="BN36" s="23">
        <f t="shared" si="175"/>
        <v>0.0079</v>
      </c>
      <c r="BO36" s="23">
        <f t="shared" si="175"/>
        <v>0.0673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H4" activePane="bottomRight" state="frozen"/>
      <selection/>
      <selection pane="topRight"/>
      <selection pane="bottomLeft"/>
      <selection pane="bottomRight" activeCell="A34" sqref="$A34:$XFD34"/>
    </sheetView>
  </sheetViews>
  <sheetFormatPr defaultColWidth="9" defaultRowHeight="14.25"/>
  <cols>
    <col min="1" max="1" width="8.10833333333333" style="1" customWidth="1"/>
    <col min="2" max="2" width="9.21666666666667" style="2" customWidth="1"/>
    <col min="3" max="3" width="8.21666666666667" style="3" customWidth="1"/>
    <col min="4" max="4" width="8.33333333333333" style="3" customWidth="1"/>
    <col min="5" max="5" width="8.775" style="3" customWidth="1"/>
    <col min="6" max="6" width="8.33333333333333" style="3" customWidth="1"/>
    <col min="7" max="7" width="8.88333333333333" style="3" customWidth="1"/>
    <col min="8" max="8" width="7.33333333333333" style="3" customWidth="1"/>
    <col min="9" max="9" width="6.66666666666667" style="3" customWidth="1"/>
    <col min="10" max="10" width="6.775" style="3" customWidth="1"/>
    <col min="11" max="11" width="6" style="3" customWidth="1"/>
    <col min="12" max="12" width="8.55833333333333" style="3" customWidth="1"/>
    <col min="13" max="13" width="7.775" style="3" customWidth="1"/>
    <col min="14" max="14" width="7.88333333333333" style="3" customWidth="1"/>
    <col min="15" max="15" width="8.55833333333333" style="3" customWidth="1"/>
    <col min="16" max="20" width="6.66666666666667" style="3" customWidth="1"/>
    <col min="21" max="21" width="8.44166666666667" style="3" customWidth="1"/>
    <col min="22" max="23" width="8.66666666666667" style="3" customWidth="1"/>
    <col min="24" max="24" width="7.44166666666667" style="3" customWidth="1"/>
    <col min="25" max="25" width="8.21666666666667" style="3" customWidth="1"/>
    <col min="26" max="26" width="9.10833333333333" style="3" customWidth="1"/>
    <col min="27" max="28" width="7.44166666666667" style="3" customWidth="1"/>
    <col min="29" max="30" width="8.775" style="3" customWidth="1"/>
    <col min="31" max="31" width="5.10833333333333" style="1" customWidth="1"/>
    <col min="32" max="32" width="5" style="1" customWidth="1"/>
    <col min="33" max="33" width="6.33333333333333" style="1" customWidth="1"/>
    <col min="34" max="34" width="5.88333333333333" style="1" customWidth="1"/>
    <col min="35" max="35" width="6.10833333333333" style="1" customWidth="1"/>
    <col min="36" max="36" width="6.66666666666667" style="1" customWidth="1"/>
    <col min="37" max="40" width="4" style="1" customWidth="1"/>
    <col min="41" max="41" width="6.66666666666667" style="1" customWidth="1"/>
    <col min="42" max="42" width="5.775" style="1" customWidth="1"/>
    <col min="43" max="43" width="4" style="1" customWidth="1"/>
    <col min="44" max="45" width="5.44166666666667" style="1" customWidth="1"/>
    <col min="46" max="46" width="6.66666666666667" style="1" customWidth="1"/>
    <col min="47" max="48" width="5.44166666666667" style="1" customWidth="1"/>
    <col min="49" max="49" width="6.88333333333333" style="1" customWidth="1"/>
    <col min="50" max="50" width="5.44166666666667" style="1" customWidth="1"/>
    <col min="51" max="51" width="6.55833333333333" style="1" customWidth="1"/>
    <col min="52" max="55" width="6.66666666666667" style="1" customWidth="1"/>
    <col min="56" max="56" width="8.10833333333333" style="1" customWidth="1"/>
    <col min="57" max="57" width="6.88333333333333" style="1" customWidth="1"/>
    <col min="58" max="58" width="6.66666666666667" style="1" customWidth="1"/>
    <col min="59" max="59" width="6.44166666666667" style="1" customWidth="1"/>
    <col min="60" max="60" width="7.44166666666667" style="1" customWidth="1"/>
    <col min="61" max="61" width="6.66666666666667" style="1" customWidth="1"/>
    <col min="62" max="62" width="6.55833333333333" style="1" customWidth="1"/>
    <col min="63" max="63" width="6.88333333333333" style="1" customWidth="1"/>
    <col min="64" max="64" width="7" style="1" customWidth="1"/>
    <col min="65" max="65" width="6.55833333333333" style="1" customWidth="1"/>
    <col min="66" max="66" width="8.66666666666667" style="1" customWidth="1"/>
    <col min="67" max="67" width="6.883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f>'10'!A35</f>
        <v>43770</v>
      </c>
      <c r="B4" s="10">
        <v>19057</v>
      </c>
      <c r="C4" s="11">
        <v>97651.7</v>
      </c>
      <c r="D4" s="11">
        <v>68347.1</v>
      </c>
      <c r="E4" s="11">
        <v>69086.3</v>
      </c>
      <c r="F4" s="11">
        <v>10311.62</v>
      </c>
      <c r="G4" s="11">
        <v>125322.7</v>
      </c>
      <c r="H4" s="8">
        <v>5709.7</v>
      </c>
      <c r="I4" s="8">
        <v>2566.3</v>
      </c>
      <c r="J4" s="8">
        <v>967</v>
      </c>
      <c r="K4" s="8">
        <v>56</v>
      </c>
      <c r="L4" s="11">
        <v>102700.7</v>
      </c>
      <c r="M4" s="11">
        <v>61531.1</v>
      </c>
      <c r="N4" s="11">
        <v>85500.2</v>
      </c>
      <c r="O4" s="11">
        <v>112705.4</v>
      </c>
      <c r="P4" s="11">
        <v>6352.1</v>
      </c>
      <c r="Q4" s="8">
        <v>8763.8</v>
      </c>
      <c r="R4" s="8">
        <v>5262.2</v>
      </c>
      <c r="S4" s="11">
        <v>6358.8</v>
      </c>
      <c r="T4" s="11">
        <v>8582.8</v>
      </c>
      <c r="U4" s="11">
        <v>19449.2</v>
      </c>
      <c r="V4" s="11">
        <v>55363.4</v>
      </c>
      <c r="W4" s="11">
        <v>59996.9</v>
      </c>
      <c r="X4" s="11">
        <v>6859.8</v>
      </c>
      <c r="Y4" s="11">
        <v>7059.5</v>
      </c>
      <c r="Z4" s="15">
        <f t="shared" ref="Z4" si="0">IF(OR(W4=""),"",(W4+X4+Y4))</f>
        <v>73916.2</v>
      </c>
      <c r="AA4" s="11">
        <v>9330.5</v>
      </c>
      <c r="AB4" s="13">
        <v>9435</v>
      </c>
      <c r="AC4" s="7">
        <f t="shared" ref="AC4" si="1">IF(OR(AA4=""),"",(AA4+AB4))</f>
        <v>18765.5</v>
      </c>
      <c r="AD4" s="16">
        <v>196931</v>
      </c>
      <c r="AE4" s="17">
        <f t="shared" ref="AE4:AI4" si="2">IF(OR(C5=""),"",(C5-C4)*80)</f>
        <v>0</v>
      </c>
      <c r="AF4" s="17">
        <f t="shared" si="2"/>
        <v>911.999999999534</v>
      </c>
      <c r="AG4" s="17">
        <f t="shared" si="2"/>
        <v>2591.99999999953</v>
      </c>
      <c r="AH4" s="17">
        <f t="shared" si="2"/>
        <v>1669.59999999992</v>
      </c>
      <c r="AI4" s="17">
        <f t="shared" si="2"/>
        <v>2440</v>
      </c>
      <c r="AJ4" s="17">
        <f t="shared" ref="AJ4:AJ34" si="3">IF(OR(AE4="",AF4="",AG4=""),"",AE4+AF4+AG4+AH4+AI4)</f>
        <v>7613.59999999899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:AO34" si="5">IF(OR(AK4="",AL4=""),"",AK4+AL4+AM4+AN4)</f>
        <v>0</v>
      </c>
      <c r="AP4" s="17">
        <f t="shared" ref="AP4:AS4" si="6">IF(OR(L5=""),"",(L5-L4)*100)</f>
        <v>2330.00000000029</v>
      </c>
      <c r="AQ4" s="17">
        <f t="shared" si="6"/>
        <v>0</v>
      </c>
      <c r="AR4" s="17">
        <f t="shared" si="6"/>
        <v>2940.00000000087</v>
      </c>
      <c r="AS4" s="17">
        <f t="shared" si="6"/>
        <v>1710.00000000058</v>
      </c>
      <c r="AT4" s="17">
        <f t="shared" ref="AT4:AT34" si="7">IF(OR(AP4="",AQ4=""),"",AP4+AQ4+AR4+AS4)</f>
        <v>6980.00000000175</v>
      </c>
      <c r="AU4" s="17">
        <f t="shared" ref="AU4:AY4" si="8">IF(OR(P5=""),"",(P5-P4)*1000)</f>
        <v>2099.99999999945</v>
      </c>
      <c r="AV4" s="17">
        <f t="shared" si="8"/>
        <v>3900.00000000146</v>
      </c>
      <c r="AW4" s="17">
        <f t="shared" si="8"/>
        <v>0</v>
      </c>
      <c r="AX4" s="17">
        <f t="shared" si="8"/>
        <v>2300.00000000018</v>
      </c>
      <c r="AY4" s="17">
        <f t="shared" si="8"/>
        <v>9300.00000000109</v>
      </c>
      <c r="AZ4" s="17">
        <f t="shared" ref="AZ4:AZ34" si="9">IF(OR(AU4="",AV4="",AW4=""),"",AU4+AV4+AW4+AX4+AY4)</f>
        <v>17600.0000000022</v>
      </c>
      <c r="BA4" s="17">
        <f t="shared" ref="BA4:BA34" si="10">IF(OR(U5=""),"",(U5-U4)*2000)</f>
        <v>8400.00000000146</v>
      </c>
      <c r="BB4" s="17">
        <f t="shared" ref="BB4:BB34" si="11">IF(OR(V5=""),"",(V5-V4)*80)</f>
        <v>975.999999999767</v>
      </c>
      <c r="BC4" s="17">
        <f>IF(OR(Z5=""),"",(Z5-Z4)*40)</f>
        <v>1424.00000000023</v>
      </c>
      <c r="BD4" s="17">
        <f t="shared" ref="BD4:BD34" si="12">IF(OR(BE4="",BC4=""),"",BE4-BC4-BB4-BA4-AZ4-AT4-AO4-AJ4)</f>
        <v>12506.3999999884</v>
      </c>
      <c r="BE4" s="17">
        <f t="shared" ref="BE4:BE34" si="13">IF(OR(B5=""),"",(B5-B4)*10000)</f>
        <v>55499.9999999927</v>
      </c>
      <c r="BF4" s="17">
        <f t="shared" ref="BF4:BF34" si="14">IF(OR(AC5=""),"",AC5-AC4)</f>
        <v>50.9000000000015</v>
      </c>
      <c r="BG4" s="20">
        <f t="shared" ref="BG4:BG34" si="15">IF(OR($AD4=0),"",BE4/$AD4)</f>
        <v>0.281824598463384</v>
      </c>
      <c r="BH4" s="20">
        <f t="shared" ref="BH4:BH34" si="16">IF(OR($AD4=0),"",AJ4/$AD4)</f>
        <v>0.0386612569884832</v>
      </c>
      <c r="BI4" s="20">
        <f t="shared" ref="BI4:BI34" si="17">IF(OR($AD4=0),"",AO4/$AD4)</f>
        <v>0</v>
      </c>
      <c r="BJ4" s="20">
        <f t="shared" ref="BJ4:BJ34" si="18">IF(OR($AD4=0),"",AT4/$AD4)</f>
        <v>0.0354438864373905</v>
      </c>
      <c r="BK4" s="20">
        <f t="shared" ref="BK4:BO4" si="19">IF(OR($AD4=0),"",AZ4/$AD4)</f>
        <v>0.0893714041974203</v>
      </c>
      <c r="BL4" s="20">
        <f t="shared" si="19"/>
        <v>0.0426545338214982</v>
      </c>
      <c r="BM4" s="20">
        <f t="shared" si="19"/>
        <v>0.0049560505964006</v>
      </c>
      <c r="BN4" s="20">
        <f t="shared" si="19"/>
        <v>0.00723095906688248</v>
      </c>
      <c r="BO4" s="20">
        <f t="shared" si="19"/>
        <v>0.063506507355309</v>
      </c>
    </row>
    <row r="5" spans="1:67">
      <c r="A5" s="9">
        <f t="shared" ref="A5:A34" si="20">A4+1</f>
        <v>43771</v>
      </c>
      <c r="B5" s="10">
        <v>19062.55</v>
      </c>
      <c r="C5" s="8">
        <v>97651.7</v>
      </c>
      <c r="D5" s="8">
        <v>68358.5</v>
      </c>
      <c r="E5" s="8">
        <v>69118.7</v>
      </c>
      <c r="F5" s="8">
        <v>10332.49</v>
      </c>
      <c r="G5" s="8">
        <v>125353.2</v>
      </c>
      <c r="H5" s="8">
        <v>5709.7</v>
      </c>
      <c r="I5" s="8">
        <v>2566.3</v>
      </c>
      <c r="J5" s="8">
        <v>967</v>
      </c>
      <c r="K5" s="8">
        <v>56</v>
      </c>
      <c r="L5" s="8">
        <v>102724</v>
      </c>
      <c r="M5" s="8">
        <v>61531.1</v>
      </c>
      <c r="N5" s="8">
        <v>85529.6</v>
      </c>
      <c r="O5" s="8">
        <v>112722.5</v>
      </c>
      <c r="P5" s="8">
        <v>6354.2</v>
      </c>
      <c r="Q5" s="8">
        <v>8767.7</v>
      </c>
      <c r="R5" s="8">
        <v>5262.2</v>
      </c>
      <c r="S5" s="8">
        <v>6361.1</v>
      </c>
      <c r="T5" s="8">
        <v>8592.1</v>
      </c>
      <c r="U5" s="8">
        <v>19453.4</v>
      </c>
      <c r="V5" s="8">
        <v>55375.6</v>
      </c>
      <c r="W5" s="8">
        <v>60014</v>
      </c>
      <c r="X5" s="8">
        <v>6868.3</v>
      </c>
      <c r="Y5" s="8">
        <v>7069.5</v>
      </c>
      <c r="Z5" s="15">
        <f t="shared" ref="Z5:Z35" si="21">IF(OR(W5=""),"",(W5+X5+Y5))</f>
        <v>73951.8</v>
      </c>
      <c r="AA5" s="8">
        <v>9376.4</v>
      </c>
      <c r="AB5" s="13">
        <v>9440</v>
      </c>
      <c r="AC5" s="7">
        <f t="shared" ref="AC5:AC34" si="22">IF(OR(AA5=""),"",(AA5+AB5))</f>
        <v>18816.4</v>
      </c>
      <c r="AD5" s="16">
        <v>190471</v>
      </c>
      <c r="AE5" s="17">
        <f t="shared" ref="AE5:AI5" si="23">IF(OR(C6=""),"",(C6-C5)*80)</f>
        <v>0</v>
      </c>
      <c r="AF5" s="17">
        <f t="shared" si="23"/>
        <v>991.999999999534</v>
      </c>
      <c r="AG5" s="17">
        <f t="shared" si="23"/>
        <v>1960</v>
      </c>
      <c r="AH5" s="17">
        <f t="shared" si="23"/>
        <v>2521.60000000003</v>
      </c>
      <c r="AI5" s="17">
        <f t="shared" si="23"/>
        <v>2344.00000000023</v>
      </c>
      <c r="AJ5" s="17">
        <f t="shared" si="3"/>
        <v>7817.5999999998</v>
      </c>
      <c r="AK5" s="17">
        <f t="shared" ref="AK5:AN5" si="24">IF(OR(H6=""),"",(H6-H5)*80)</f>
        <v>0</v>
      </c>
      <c r="AL5" s="17">
        <f t="shared" si="24"/>
        <v>0</v>
      </c>
      <c r="AM5" s="17">
        <f t="shared" si="24"/>
        <v>0</v>
      </c>
      <c r="AN5" s="17">
        <f t="shared" si="24"/>
        <v>0</v>
      </c>
      <c r="AO5" s="17">
        <f t="shared" si="5"/>
        <v>0</v>
      </c>
      <c r="AP5" s="17">
        <f t="shared" ref="AP5:AS5" si="25">IF(OR(L6=""),"",(L6-L5)*100)</f>
        <v>2460.00000000058</v>
      </c>
      <c r="AQ5" s="17">
        <f t="shared" si="25"/>
        <v>0</v>
      </c>
      <c r="AR5" s="17">
        <f t="shared" si="25"/>
        <v>2909.99999999913</v>
      </c>
      <c r="AS5" s="17">
        <f t="shared" si="25"/>
        <v>1739.99999999942</v>
      </c>
      <c r="AT5" s="17">
        <f t="shared" si="7"/>
        <v>7109.99999999913</v>
      </c>
      <c r="AU5" s="17">
        <f t="shared" ref="AU5:AY5" si="26">IF(OR(P6=""),"",(P6-P5)*1000)</f>
        <v>2699.99999999982</v>
      </c>
      <c r="AV5" s="17">
        <f t="shared" si="26"/>
        <v>5199.99999999891</v>
      </c>
      <c r="AW5" s="17">
        <f t="shared" si="26"/>
        <v>0</v>
      </c>
      <c r="AX5" s="17">
        <f t="shared" si="26"/>
        <v>1699.99999999982</v>
      </c>
      <c r="AY5" s="17">
        <f t="shared" si="26"/>
        <v>8699.99999999891</v>
      </c>
      <c r="AZ5" s="17">
        <f t="shared" si="9"/>
        <v>18299.9999999975</v>
      </c>
      <c r="BA5" s="17">
        <f t="shared" si="10"/>
        <v>8799.99999999563</v>
      </c>
      <c r="BB5" s="17">
        <f t="shared" si="11"/>
        <v>1000</v>
      </c>
      <c r="BC5" s="17">
        <f t="shared" ref="BC5:BC34" si="27">IF(OR(Z6=""),"",(Z6-Z5)*40)</f>
        <v>1412.00000000012</v>
      </c>
      <c r="BD5" s="17">
        <f t="shared" si="12"/>
        <v>11860.4000000181</v>
      </c>
      <c r="BE5" s="17">
        <f t="shared" si="13"/>
        <v>56300.0000000102</v>
      </c>
      <c r="BF5" s="17">
        <f t="shared" si="14"/>
        <v>52.5999999999985</v>
      </c>
      <c r="BG5" s="20">
        <f t="shared" si="15"/>
        <v>0.295583054638292</v>
      </c>
      <c r="BH5" s="20">
        <f t="shared" si="16"/>
        <v>0.0410435184358763</v>
      </c>
      <c r="BI5" s="20">
        <f t="shared" si="17"/>
        <v>0</v>
      </c>
      <c r="BJ5" s="20">
        <f t="shared" si="18"/>
        <v>0.0373285172020892</v>
      </c>
      <c r="BK5" s="20">
        <f t="shared" ref="BK5:BO5" si="28">IF(OR($AD5=0),"",AZ5/$AD5)</f>
        <v>0.0960776181150803</v>
      </c>
      <c r="BL5" s="20">
        <f t="shared" si="28"/>
        <v>0.0462012589842844</v>
      </c>
      <c r="BM5" s="20">
        <f t="shared" si="28"/>
        <v>0.00525014306639856</v>
      </c>
      <c r="BN5" s="20">
        <f t="shared" si="28"/>
        <v>0.00741320200975538</v>
      </c>
      <c r="BO5" s="20">
        <f t="shared" si="28"/>
        <v>0.0622687968248083</v>
      </c>
    </row>
    <row r="6" spans="1:67">
      <c r="A6" s="9">
        <f t="shared" si="20"/>
        <v>43772</v>
      </c>
      <c r="B6" s="10">
        <v>19068.18</v>
      </c>
      <c r="C6" s="8">
        <v>97651.7</v>
      </c>
      <c r="D6" s="8">
        <v>68370.9</v>
      </c>
      <c r="E6" s="8">
        <v>69143.2</v>
      </c>
      <c r="F6" s="8">
        <v>10364.01</v>
      </c>
      <c r="G6" s="8">
        <v>125382.5</v>
      </c>
      <c r="H6" s="8">
        <v>5709.7</v>
      </c>
      <c r="I6" s="8">
        <v>2566.3</v>
      </c>
      <c r="J6" s="8">
        <v>967</v>
      </c>
      <c r="K6" s="8">
        <v>56</v>
      </c>
      <c r="L6" s="8">
        <v>102748.6</v>
      </c>
      <c r="M6" s="8">
        <v>61531.1</v>
      </c>
      <c r="N6" s="8">
        <v>85558.7</v>
      </c>
      <c r="O6" s="8">
        <v>112739.9</v>
      </c>
      <c r="P6" s="8">
        <v>6356.9</v>
      </c>
      <c r="Q6" s="8">
        <v>8772.9</v>
      </c>
      <c r="R6" s="8">
        <v>5262.2</v>
      </c>
      <c r="S6" s="8">
        <v>6362.8</v>
      </c>
      <c r="T6" s="8">
        <v>8600.8</v>
      </c>
      <c r="U6" s="8">
        <v>19457.8</v>
      </c>
      <c r="V6" s="8">
        <v>55388.1</v>
      </c>
      <c r="W6" s="8">
        <v>60031.1</v>
      </c>
      <c r="X6" s="8">
        <v>6876.7</v>
      </c>
      <c r="Y6" s="8">
        <v>7079.3</v>
      </c>
      <c r="Z6" s="15">
        <f t="shared" si="21"/>
        <v>73987.1</v>
      </c>
      <c r="AA6" s="8">
        <v>9423</v>
      </c>
      <c r="AB6" s="13">
        <v>9446</v>
      </c>
      <c r="AC6" s="7">
        <f t="shared" si="22"/>
        <v>18869</v>
      </c>
      <c r="AD6" s="16">
        <v>165547</v>
      </c>
      <c r="AE6" s="17">
        <f t="shared" ref="AE6:AI6" si="29">IF(OR(C7=""),"",(C7-C6)*80)</f>
        <v>0</v>
      </c>
      <c r="AF6" s="17">
        <f t="shared" si="29"/>
        <v>2128.00000000047</v>
      </c>
      <c r="AG6" s="17">
        <f t="shared" si="29"/>
        <v>0</v>
      </c>
      <c r="AH6" s="17">
        <f t="shared" si="29"/>
        <v>2396.79999999993</v>
      </c>
      <c r="AI6" s="17">
        <f t="shared" si="29"/>
        <v>2040</v>
      </c>
      <c r="AJ6" s="17">
        <f t="shared" si="3"/>
        <v>6564.8000000004</v>
      </c>
      <c r="AK6" s="17">
        <f t="shared" ref="AK6:AN6" si="30">IF(OR(H7=""),"",(H7-H6)*80)</f>
        <v>0</v>
      </c>
      <c r="AL6" s="17">
        <f t="shared" si="30"/>
        <v>0</v>
      </c>
      <c r="AM6" s="17">
        <f t="shared" si="30"/>
        <v>0</v>
      </c>
      <c r="AN6" s="17">
        <f t="shared" si="30"/>
        <v>0</v>
      </c>
      <c r="AO6" s="17">
        <f t="shared" si="5"/>
        <v>0</v>
      </c>
      <c r="AP6" s="17">
        <f t="shared" ref="AP6:AS6" si="31">IF(OR(L7=""),"",(L7-L6)*100)</f>
        <v>2000</v>
      </c>
      <c r="AQ6" s="17">
        <f t="shared" si="31"/>
        <v>0</v>
      </c>
      <c r="AR6" s="17">
        <f t="shared" si="31"/>
        <v>2510.00000000058</v>
      </c>
      <c r="AS6" s="17">
        <f t="shared" si="31"/>
        <v>1770.00000000116</v>
      </c>
      <c r="AT6" s="17">
        <f t="shared" si="7"/>
        <v>6280.00000000175</v>
      </c>
      <c r="AU6" s="17">
        <f t="shared" ref="AU6:AY6" si="32">IF(OR(P7=""),"",(P7-P6)*1000)</f>
        <v>500</v>
      </c>
      <c r="AV6" s="17">
        <f t="shared" si="32"/>
        <v>899.999999999636</v>
      </c>
      <c r="AW6" s="17">
        <f t="shared" si="32"/>
        <v>0</v>
      </c>
      <c r="AX6" s="17">
        <f t="shared" si="32"/>
        <v>4699.99999999982</v>
      </c>
      <c r="AY6" s="17">
        <f t="shared" si="32"/>
        <v>9200.00000000073</v>
      </c>
      <c r="AZ6" s="17">
        <f t="shared" si="9"/>
        <v>15300.0000000002</v>
      </c>
      <c r="BA6" s="17">
        <f t="shared" si="10"/>
        <v>7599.99999999854</v>
      </c>
      <c r="BB6" s="17">
        <f t="shared" si="11"/>
        <v>1032.00000000012</v>
      </c>
      <c r="BC6" s="17">
        <f t="shared" si="27"/>
        <v>1372.00000000012</v>
      </c>
      <c r="BD6" s="17">
        <f t="shared" si="12"/>
        <v>13651.2000000018</v>
      </c>
      <c r="BE6" s="17">
        <f t="shared" si="13"/>
        <v>51800.0000000029</v>
      </c>
      <c r="BF6" s="17">
        <f t="shared" si="14"/>
        <v>49.7999999999993</v>
      </c>
      <c r="BG6" s="20">
        <f t="shared" si="15"/>
        <v>0.312902076147577</v>
      </c>
      <c r="BH6" s="20">
        <f t="shared" si="16"/>
        <v>0.039655203658178</v>
      </c>
      <c r="BI6" s="20">
        <f t="shared" si="17"/>
        <v>0</v>
      </c>
      <c r="BJ6" s="20">
        <f t="shared" si="18"/>
        <v>0.0379348462974367</v>
      </c>
      <c r="BK6" s="20">
        <f t="shared" ref="BK6:BO6" si="33">IF(OR($AD6=0),"",AZ6/$AD6)</f>
        <v>0.0924208834953227</v>
      </c>
      <c r="BL6" s="20">
        <f t="shared" si="33"/>
        <v>0.0459084127166215</v>
      </c>
      <c r="BM6" s="20">
        <f t="shared" si="33"/>
        <v>0.00623387920046945</v>
      </c>
      <c r="BN6" s="20">
        <f t="shared" si="33"/>
        <v>0.0082876766114766</v>
      </c>
      <c r="BO6" s="20">
        <f t="shared" si="33"/>
        <v>0.082461174168072</v>
      </c>
    </row>
    <row r="7" spans="1:67">
      <c r="A7" s="9">
        <f t="shared" si="20"/>
        <v>43773</v>
      </c>
      <c r="B7" s="10">
        <v>19073.36</v>
      </c>
      <c r="C7" s="8">
        <v>97651.7</v>
      </c>
      <c r="D7" s="8">
        <v>68397.5</v>
      </c>
      <c r="E7" s="8">
        <v>69143.2</v>
      </c>
      <c r="F7" s="8">
        <v>10393.97</v>
      </c>
      <c r="G7" s="8">
        <v>125408</v>
      </c>
      <c r="H7" s="8">
        <v>5709.7</v>
      </c>
      <c r="I7" s="8">
        <v>2566.3</v>
      </c>
      <c r="J7" s="8">
        <v>967</v>
      </c>
      <c r="K7" s="8">
        <v>56</v>
      </c>
      <c r="L7" s="8">
        <v>102768.6</v>
      </c>
      <c r="M7" s="8">
        <v>61531.1</v>
      </c>
      <c r="N7" s="8">
        <v>85583.8</v>
      </c>
      <c r="O7" s="8">
        <v>112757.6</v>
      </c>
      <c r="P7" s="8">
        <v>6357.4</v>
      </c>
      <c r="Q7" s="8">
        <v>8773.8</v>
      </c>
      <c r="R7" s="8">
        <v>5262.2</v>
      </c>
      <c r="S7" s="8">
        <v>6367.5</v>
      </c>
      <c r="T7" s="8">
        <v>8610</v>
      </c>
      <c r="U7" s="8">
        <v>19461.6</v>
      </c>
      <c r="V7" s="8">
        <v>55401</v>
      </c>
      <c r="W7" s="8">
        <v>60047.8</v>
      </c>
      <c r="X7" s="8">
        <v>6884.8</v>
      </c>
      <c r="Y7" s="8">
        <v>7088.8</v>
      </c>
      <c r="Z7" s="15">
        <f t="shared" si="21"/>
        <v>74021.4</v>
      </c>
      <c r="AA7" s="8">
        <v>9468.8</v>
      </c>
      <c r="AB7" s="13">
        <v>9450</v>
      </c>
      <c r="AC7" s="7">
        <f t="shared" si="22"/>
        <v>18918.8</v>
      </c>
      <c r="AD7" s="16">
        <v>182740</v>
      </c>
      <c r="AE7" s="17">
        <f t="shared" ref="AE7:AI7" si="34">IF(OR(C8=""),"",(C8-C7)*80)</f>
        <v>0</v>
      </c>
      <c r="AF7" s="17">
        <f t="shared" si="34"/>
        <v>1375.99999999977</v>
      </c>
      <c r="AG7" s="17">
        <f t="shared" si="34"/>
        <v>2288.00000000047</v>
      </c>
      <c r="AH7" s="17">
        <f t="shared" si="34"/>
        <v>1662.40000000005</v>
      </c>
      <c r="AI7" s="17">
        <f t="shared" si="34"/>
        <v>2191.99999999953</v>
      </c>
      <c r="AJ7" s="17">
        <f t="shared" si="3"/>
        <v>7518.39999999982</v>
      </c>
      <c r="AK7" s="17">
        <f t="shared" ref="AK7:AN7" si="35">IF(OR(H8=""),"",(H8-H7)*80)</f>
        <v>0</v>
      </c>
      <c r="AL7" s="17">
        <f t="shared" si="35"/>
        <v>0</v>
      </c>
      <c r="AM7" s="17">
        <f t="shared" si="35"/>
        <v>0</v>
      </c>
      <c r="AN7" s="17">
        <f t="shared" si="35"/>
        <v>0</v>
      </c>
      <c r="AO7" s="17">
        <f t="shared" si="5"/>
        <v>0</v>
      </c>
      <c r="AP7" s="17">
        <f t="shared" ref="AP7:AS7" si="36">IF(OR(L8=""),"",(L8-L7)*100)</f>
        <v>1989.99999999942</v>
      </c>
      <c r="AQ7" s="17">
        <f t="shared" si="36"/>
        <v>0</v>
      </c>
      <c r="AR7" s="17">
        <f t="shared" si="36"/>
        <v>2889.99999999942</v>
      </c>
      <c r="AS7" s="17">
        <f t="shared" si="36"/>
        <v>1829.99999999884</v>
      </c>
      <c r="AT7" s="17">
        <f t="shared" si="7"/>
        <v>6709.99999999767</v>
      </c>
      <c r="AU7" s="17">
        <f t="shared" ref="AU7:AY7" si="37">IF(OR(P8=""),"",(P8-P7)*1000)</f>
        <v>0</v>
      </c>
      <c r="AV7" s="17">
        <f t="shared" si="37"/>
        <v>0</v>
      </c>
      <c r="AW7" s="17">
        <f t="shared" si="37"/>
        <v>0</v>
      </c>
      <c r="AX7" s="17">
        <f t="shared" si="37"/>
        <v>4899.99999999964</v>
      </c>
      <c r="AY7" s="17">
        <f t="shared" si="37"/>
        <v>9299.99999999927</v>
      </c>
      <c r="AZ7" s="17">
        <f t="shared" si="9"/>
        <v>14199.9999999989</v>
      </c>
      <c r="BA7" s="17">
        <f t="shared" si="10"/>
        <v>8000</v>
      </c>
      <c r="BB7" s="17">
        <f t="shared" si="11"/>
        <v>775.999999999767</v>
      </c>
      <c r="BC7" s="17">
        <f t="shared" si="27"/>
        <v>1411.99999999953</v>
      </c>
      <c r="BD7" s="17">
        <f t="shared" si="12"/>
        <v>12783.5999999985</v>
      </c>
      <c r="BE7" s="17">
        <f t="shared" si="13"/>
        <v>51399.9999999942</v>
      </c>
      <c r="BF7" s="17">
        <f t="shared" si="14"/>
        <v>62.6000000000022</v>
      </c>
      <c r="BG7" s="20">
        <f t="shared" si="15"/>
        <v>0.281273941118497</v>
      </c>
      <c r="BH7" s="20">
        <f t="shared" si="16"/>
        <v>0.0411426069825972</v>
      </c>
      <c r="BI7" s="20">
        <f t="shared" si="17"/>
        <v>0</v>
      </c>
      <c r="BJ7" s="20">
        <f t="shared" si="18"/>
        <v>0.036718835503982</v>
      </c>
      <c r="BK7" s="20">
        <f t="shared" ref="BK7:BO7" si="38">IF(OR($AD7=0),"",AZ7/$AD7)</f>
        <v>0.0777060304257355</v>
      </c>
      <c r="BL7" s="20">
        <f t="shared" si="38"/>
        <v>0.0437780453102769</v>
      </c>
      <c r="BM7" s="20">
        <f t="shared" si="38"/>
        <v>0.00424647039509559</v>
      </c>
      <c r="BN7" s="20">
        <f t="shared" si="38"/>
        <v>0.00772682499726132</v>
      </c>
      <c r="BO7" s="20">
        <f t="shared" si="38"/>
        <v>0.0699551275035486</v>
      </c>
    </row>
    <row r="8" spans="1:67">
      <c r="A8" s="9">
        <f t="shared" si="20"/>
        <v>43774</v>
      </c>
      <c r="B8" s="10">
        <v>19078.5</v>
      </c>
      <c r="C8" s="8">
        <v>97651.7</v>
      </c>
      <c r="D8" s="8">
        <v>68414.7</v>
      </c>
      <c r="E8" s="8">
        <v>69171.8</v>
      </c>
      <c r="F8" s="8">
        <v>10414.75</v>
      </c>
      <c r="G8" s="8">
        <v>125435.4</v>
      </c>
      <c r="H8" s="8">
        <v>5709.7</v>
      </c>
      <c r="I8" s="8">
        <v>2566.3</v>
      </c>
      <c r="J8" s="8">
        <v>967</v>
      </c>
      <c r="K8" s="8">
        <v>56</v>
      </c>
      <c r="L8" s="8">
        <v>102788.5</v>
      </c>
      <c r="M8" s="8">
        <v>61531.1</v>
      </c>
      <c r="N8" s="8">
        <v>85612.7</v>
      </c>
      <c r="O8" s="8">
        <v>112775.9</v>
      </c>
      <c r="P8" s="8">
        <v>6357.4</v>
      </c>
      <c r="Q8" s="8">
        <v>8773.8</v>
      </c>
      <c r="R8" s="8">
        <v>5262.2</v>
      </c>
      <c r="S8" s="8">
        <v>6372.4</v>
      </c>
      <c r="T8" s="8">
        <v>8619.3</v>
      </c>
      <c r="U8" s="8">
        <v>19465.6</v>
      </c>
      <c r="V8" s="8">
        <v>55410.7</v>
      </c>
      <c r="W8" s="8">
        <v>60065.2</v>
      </c>
      <c r="X8" s="8">
        <v>6892.9</v>
      </c>
      <c r="Y8" s="8">
        <v>7098.6</v>
      </c>
      <c r="Z8" s="15">
        <f t="shared" si="21"/>
        <v>74056.7</v>
      </c>
      <c r="AA8" s="8">
        <v>9516.4</v>
      </c>
      <c r="AB8" s="13">
        <v>9465</v>
      </c>
      <c r="AC8" s="7">
        <f t="shared" si="22"/>
        <v>18981.4</v>
      </c>
      <c r="AD8" s="16">
        <v>154051</v>
      </c>
      <c r="AE8" s="17">
        <f t="shared" ref="AE8:AI8" si="39">IF(OR(C9=""),"",(C9-C8)*80)</f>
        <v>0</v>
      </c>
      <c r="AF8" s="17">
        <f t="shared" si="39"/>
        <v>2632.0000000007</v>
      </c>
      <c r="AG8" s="17">
        <f t="shared" si="39"/>
        <v>2320</v>
      </c>
      <c r="AH8" s="17">
        <f t="shared" si="39"/>
        <v>3.99999999994179</v>
      </c>
      <c r="AI8" s="17">
        <f t="shared" si="39"/>
        <v>1800</v>
      </c>
      <c r="AJ8" s="17">
        <f t="shared" si="3"/>
        <v>6756.00000000064</v>
      </c>
      <c r="AK8" s="17">
        <f t="shared" ref="AK8:AN8" si="40">IF(OR(H9=""),"",(H9-H8)*80)</f>
        <v>0</v>
      </c>
      <c r="AL8" s="17">
        <f t="shared" si="40"/>
        <v>0</v>
      </c>
      <c r="AM8" s="17">
        <f t="shared" si="40"/>
        <v>0</v>
      </c>
      <c r="AN8" s="17">
        <f t="shared" si="40"/>
        <v>0</v>
      </c>
      <c r="AO8" s="17">
        <f t="shared" si="5"/>
        <v>0</v>
      </c>
      <c r="AP8" s="17">
        <f t="shared" ref="AP8:AS8" si="41">IF(OR(L9=""),"",(L9-L8)*100)</f>
        <v>1419.99999999971</v>
      </c>
      <c r="AQ8" s="17">
        <f t="shared" si="41"/>
        <v>0</v>
      </c>
      <c r="AR8" s="17">
        <f t="shared" si="41"/>
        <v>2880.00000000029</v>
      </c>
      <c r="AS8" s="17">
        <f t="shared" si="41"/>
        <v>1500</v>
      </c>
      <c r="AT8" s="17">
        <f t="shared" si="7"/>
        <v>5800</v>
      </c>
      <c r="AU8" s="17">
        <f t="shared" ref="AU8:AY8" si="42">IF(OR(P9=""),"",(P9-P8)*1000)</f>
        <v>0</v>
      </c>
      <c r="AV8" s="17">
        <f t="shared" si="42"/>
        <v>6300.00000000109</v>
      </c>
      <c r="AW8" s="17">
        <f t="shared" si="42"/>
        <v>0</v>
      </c>
      <c r="AX8" s="17">
        <f t="shared" si="42"/>
        <v>1000</v>
      </c>
      <c r="AY8" s="17">
        <f t="shared" si="42"/>
        <v>9200.00000000073</v>
      </c>
      <c r="AZ8" s="17">
        <f t="shared" si="9"/>
        <v>16500.0000000018</v>
      </c>
      <c r="BA8" s="17">
        <f t="shared" si="10"/>
        <v>7200.00000000437</v>
      </c>
      <c r="BB8" s="17">
        <f t="shared" si="11"/>
        <v>912.000000000116</v>
      </c>
      <c r="BC8" s="17">
        <f t="shared" si="27"/>
        <v>1420.00000000058</v>
      </c>
      <c r="BD8" s="17">
        <f t="shared" si="12"/>
        <v>9111.99999999684</v>
      </c>
      <c r="BE8" s="17">
        <f t="shared" si="13"/>
        <v>47700.0000000044</v>
      </c>
      <c r="BF8" s="17">
        <f t="shared" si="14"/>
        <v>52.5999999999985</v>
      </c>
      <c r="BG8" s="20">
        <f t="shared" si="15"/>
        <v>0.309637717379338</v>
      </c>
      <c r="BH8" s="20">
        <f t="shared" si="16"/>
        <v>0.0438556062602686</v>
      </c>
      <c r="BI8" s="20">
        <f t="shared" si="17"/>
        <v>0</v>
      </c>
      <c r="BJ8" s="20">
        <f t="shared" si="18"/>
        <v>0.0376498691991613</v>
      </c>
      <c r="BK8" s="20">
        <f t="shared" ref="BK8:BO8" si="43">IF(OR($AD8=0),"",AZ8/$AD8)</f>
        <v>0.107107386514867</v>
      </c>
      <c r="BL8" s="20">
        <f t="shared" si="43"/>
        <v>0.0467377686610562</v>
      </c>
      <c r="BM8" s="20">
        <f t="shared" si="43"/>
        <v>0.00592011736373095</v>
      </c>
      <c r="BN8" s="20">
        <f t="shared" si="43"/>
        <v>0.00921772659703982</v>
      </c>
      <c r="BO8" s="20">
        <f t="shared" si="43"/>
        <v>0.0591492427832136</v>
      </c>
    </row>
    <row r="9" spans="1:67">
      <c r="A9" s="9">
        <f t="shared" si="20"/>
        <v>43775</v>
      </c>
      <c r="B9" s="10">
        <v>19083.27</v>
      </c>
      <c r="C9" s="8">
        <v>97651.7</v>
      </c>
      <c r="D9" s="8">
        <v>68447.6</v>
      </c>
      <c r="E9" s="8">
        <v>69200.8</v>
      </c>
      <c r="F9" s="8">
        <v>10414.8</v>
      </c>
      <c r="G9" s="8">
        <v>125457.9</v>
      </c>
      <c r="H9" s="8">
        <v>5709.7</v>
      </c>
      <c r="I9" s="8">
        <v>2566.3</v>
      </c>
      <c r="J9" s="8">
        <v>967</v>
      </c>
      <c r="K9" s="8">
        <v>56</v>
      </c>
      <c r="L9" s="8">
        <v>102802.7</v>
      </c>
      <c r="M9" s="8">
        <v>61531.1</v>
      </c>
      <c r="N9" s="8">
        <v>85641.5</v>
      </c>
      <c r="O9" s="8">
        <v>112790.9</v>
      </c>
      <c r="P9" s="8">
        <v>6357.4</v>
      </c>
      <c r="Q9" s="8">
        <v>8780.1</v>
      </c>
      <c r="R9" s="8">
        <v>5262.2</v>
      </c>
      <c r="S9" s="8">
        <v>6373.4</v>
      </c>
      <c r="T9" s="8">
        <v>8628.5</v>
      </c>
      <c r="U9" s="8">
        <v>19469.2</v>
      </c>
      <c r="V9" s="8">
        <v>55422.1</v>
      </c>
      <c r="W9" s="8">
        <v>60082.3</v>
      </c>
      <c r="X9" s="8">
        <v>6901.3</v>
      </c>
      <c r="Y9" s="8">
        <v>7108.6</v>
      </c>
      <c r="Z9" s="15">
        <f t="shared" si="21"/>
        <v>74092.2</v>
      </c>
      <c r="AA9" s="8">
        <v>9564</v>
      </c>
      <c r="AB9" s="13">
        <v>9470</v>
      </c>
      <c r="AC9" s="7">
        <f t="shared" si="22"/>
        <v>19034</v>
      </c>
      <c r="AD9" s="16">
        <v>153115</v>
      </c>
      <c r="AE9" s="17">
        <f t="shared" ref="AE9:AI9" si="44">IF(OR(C10=""),"",(C10-C9)*80)</f>
        <v>0</v>
      </c>
      <c r="AF9" s="17">
        <f t="shared" si="44"/>
        <v>2655.99999999977</v>
      </c>
      <c r="AG9" s="17">
        <f t="shared" si="44"/>
        <v>2031.99999999953</v>
      </c>
      <c r="AH9" s="17">
        <f t="shared" si="44"/>
        <v>4.80000000010477</v>
      </c>
      <c r="AI9" s="17">
        <f t="shared" si="44"/>
        <v>2096.00000000093</v>
      </c>
      <c r="AJ9" s="17">
        <f t="shared" si="3"/>
        <v>6788.80000000034</v>
      </c>
      <c r="AK9" s="17">
        <f t="shared" ref="AK9:AN9" si="45">IF(OR(H10=""),"",(H10-H9)*80)</f>
        <v>0</v>
      </c>
      <c r="AL9" s="17">
        <f t="shared" si="45"/>
        <v>0</v>
      </c>
      <c r="AM9" s="17">
        <f t="shared" si="45"/>
        <v>0</v>
      </c>
      <c r="AN9" s="17">
        <f t="shared" si="45"/>
        <v>0</v>
      </c>
      <c r="AO9" s="17">
        <f t="shared" si="5"/>
        <v>0</v>
      </c>
      <c r="AP9" s="17">
        <f t="shared" ref="AP9:AS9" si="46">IF(OR(L10=""),"",(L10-L9)*100)</f>
        <v>1169.99999999971</v>
      </c>
      <c r="AQ9" s="17">
        <f t="shared" si="46"/>
        <v>0</v>
      </c>
      <c r="AR9" s="17">
        <f t="shared" si="46"/>
        <v>2919.99999999971</v>
      </c>
      <c r="AS9" s="17">
        <f t="shared" si="46"/>
        <v>1790.00000000087</v>
      </c>
      <c r="AT9" s="17">
        <f t="shared" si="7"/>
        <v>5880.00000000029</v>
      </c>
      <c r="AU9" s="17">
        <f t="shared" ref="AU9:AY9" si="47">IF(OR(P10=""),"",(P10-P9)*1000)</f>
        <v>0</v>
      </c>
      <c r="AV9" s="17">
        <f t="shared" si="47"/>
        <v>7600.00000000036</v>
      </c>
      <c r="AW9" s="17">
        <f t="shared" si="47"/>
        <v>0</v>
      </c>
      <c r="AX9" s="17">
        <f t="shared" si="47"/>
        <v>0</v>
      </c>
      <c r="AY9" s="17">
        <f t="shared" si="47"/>
        <v>10000</v>
      </c>
      <c r="AZ9" s="17">
        <f t="shared" si="9"/>
        <v>17600.0000000004</v>
      </c>
      <c r="BA9" s="17">
        <f t="shared" si="10"/>
        <v>7199.99999999709</v>
      </c>
      <c r="BB9" s="17">
        <f t="shared" si="11"/>
        <v>1040</v>
      </c>
      <c r="BC9" s="17">
        <f t="shared" si="27"/>
        <v>1443.99999999965</v>
      </c>
      <c r="BD9" s="17">
        <f t="shared" si="12"/>
        <v>8347.19999998335</v>
      </c>
      <c r="BE9" s="17">
        <f t="shared" si="13"/>
        <v>48299.9999999811</v>
      </c>
      <c r="BF9" s="17">
        <f t="shared" si="14"/>
        <v>53.4000000000015</v>
      </c>
      <c r="BG9" s="20">
        <f t="shared" si="15"/>
        <v>0.315449172190713</v>
      </c>
      <c r="BH9" s="20">
        <f t="shared" si="16"/>
        <v>0.0443379159455333</v>
      </c>
      <c r="BI9" s="20">
        <f t="shared" si="17"/>
        <v>0</v>
      </c>
      <c r="BJ9" s="20">
        <f t="shared" si="18"/>
        <v>0.0384025079188864</v>
      </c>
      <c r="BK9" s="20">
        <f t="shared" ref="BK9:BO9" si="48">IF(OR($AD9=0),"",AZ9/$AD9)</f>
        <v>0.114946282206187</v>
      </c>
      <c r="BL9" s="20">
        <f t="shared" si="48"/>
        <v>0.0470234790843294</v>
      </c>
      <c r="BM9" s="20">
        <f t="shared" si="48"/>
        <v>0.00679228031218365</v>
      </c>
      <c r="BN9" s="20">
        <f t="shared" si="48"/>
        <v>0.00943081997191425</v>
      </c>
      <c r="BO9" s="20">
        <f t="shared" si="48"/>
        <v>0.0545158867516791</v>
      </c>
    </row>
    <row r="10" spans="1:67">
      <c r="A10" s="9">
        <f t="shared" si="20"/>
        <v>43776</v>
      </c>
      <c r="B10" s="10">
        <v>19088.1</v>
      </c>
      <c r="C10" s="8">
        <v>97651.7</v>
      </c>
      <c r="D10" s="8">
        <v>68480.8</v>
      </c>
      <c r="E10" s="8">
        <v>69226.2</v>
      </c>
      <c r="F10" s="8">
        <v>10414.86</v>
      </c>
      <c r="G10" s="8">
        <v>125484.1</v>
      </c>
      <c r="H10" s="8">
        <v>5709.7</v>
      </c>
      <c r="I10" s="8">
        <v>2566.3</v>
      </c>
      <c r="J10" s="8">
        <v>967</v>
      </c>
      <c r="K10" s="8">
        <v>56</v>
      </c>
      <c r="L10" s="8">
        <v>102814.4</v>
      </c>
      <c r="M10" s="8">
        <v>61531.1</v>
      </c>
      <c r="N10" s="8">
        <v>85670.7</v>
      </c>
      <c r="O10" s="8">
        <v>112808.8</v>
      </c>
      <c r="P10" s="8">
        <v>6357.4</v>
      </c>
      <c r="Q10" s="8">
        <v>8787.7</v>
      </c>
      <c r="R10" s="8">
        <v>5262.2</v>
      </c>
      <c r="S10" s="8">
        <v>6373.4</v>
      </c>
      <c r="T10" s="8">
        <v>8638.5</v>
      </c>
      <c r="U10" s="8">
        <v>19472.8</v>
      </c>
      <c r="V10" s="8">
        <v>55435.1</v>
      </c>
      <c r="W10" s="8">
        <v>60099.7</v>
      </c>
      <c r="X10" s="8">
        <v>6909.8</v>
      </c>
      <c r="Y10" s="8">
        <v>7118.8</v>
      </c>
      <c r="Z10" s="15">
        <f t="shared" si="21"/>
        <v>74128.3</v>
      </c>
      <c r="AA10" s="8">
        <v>9611.4</v>
      </c>
      <c r="AB10" s="13">
        <v>9476</v>
      </c>
      <c r="AC10" s="7">
        <f t="shared" si="22"/>
        <v>19087.4</v>
      </c>
      <c r="AD10" s="16">
        <v>144761</v>
      </c>
      <c r="AE10" s="17">
        <f t="shared" ref="AE10:AI10" si="49">IF(OR(C11=""),"",(C11-C10)*80)</f>
        <v>0</v>
      </c>
      <c r="AF10" s="17">
        <f t="shared" si="49"/>
        <v>0</v>
      </c>
      <c r="AG10" s="17">
        <f t="shared" si="49"/>
        <v>3504.00000000023</v>
      </c>
      <c r="AH10" s="17">
        <f t="shared" si="49"/>
        <v>4.79999999995925</v>
      </c>
      <c r="AI10" s="17">
        <f t="shared" si="49"/>
        <v>2600</v>
      </c>
      <c r="AJ10" s="17">
        <f t="shared" si="3"/>
        <v>6108.80000000019</v>
      </c>
      <c r="AK10" s="17">
        <f t="shared" ref="AK10:AN10" si="50">IF(OR(H11=""),"",(H11-H10)*80)</f>
        <v>0</v>
      </c>
      <c r="AL10" s="17">
        <f t="shared" si="50"/>
        <v>0</v>
      </c>
      <c r="AM10" s="17">
        <f t="shared" si="50"/>
        <v>0</v>
      </c>
      <c r="AN10" s="17">
        <f t="shared" si="50"/>
        <v>0</v>
      </c>
      <c r="AO10" s="17">
        <f t="shared" si="5"/>
        <v>0</v>
      </c>
      <c r="AP10" s="17">
        <f t="shared" ref="AP10:AS10" si="51">IF(OR(L11=""),"",(L11-L10)*100)</f>
        <v>2930.00000000029</v>
      </c>
      <c r="AQ10" s="17">
        <f t="shared" si="51"/>
        <v>0</v>
      </c>
      <c r="AR10" s="17">
        <f t="shared" si="51"/>
        <v>3040.00000000087</v>
      </c>
      <c r="AS10" s="17">
        <f t="shared" si="51"/>
        <v>80.000000000291</v>
      </c>
      <c r="AT10" s="17">
        <f t="shared" si="7"/>
        <v>6050.00000000146</v>
      </c>
      <c r="AU10" s="17">
        <f t="shared" ref="AU10:AY10" si="52">IF(OR(P11=""),"",(P11-P10)*1000)</f>
        <v>0</v>
      </c>
      <c r="AV10" s="17">
        <f t="shared" si="52"/>
        <v>7799.99999999927</v>
      </c>
      <c r="AW10" s="17">
        <f t="shared" si="52"/>
        <v>0</v>
      </c>
      <c r="AX10" s="17">
        <f t="shared" si="52"/>
        <v>0</v>
      </c>
      <c r="AY10" s="17">
        <f t="shared" si="52"/>
        <v>9500</v>
      </c>
      <c r="AZ10" s="17">
        <f t="shared" si="9"/>
        <v>17299.9999999993</v>
      </c>
      <c r="BA10" s="17">
        <f t="shared" si="10"/>
        <v>6400.00000000146</v>
      </c>
      <c r="BB10" s="17">
        <f t="shared" si="11"/>
        <v>1056.00000000035</v>
      </c>
      <c r="BC10" s="17">
        <f t="shared" si="27"/>
        <v>1396.00000000035</v>
      </c>
      <c r="BD10" s="17">
        <f t="shared" si="12"/>
        <v>8889.20000000857</v>
      </c>
      <c r="BE10" s="17">
        <f t="shared" si="13"/>
        <v>47200.0000000116</v>
      </c>
      <c r="BF10" s="17">
        <f t="shared" si="14"/>
        <v>49.8999999999978</v>
      </c>
      <c r="BG10" s="20">
        <f t="shared" si="15"/>
        <v>0.326054669420712</v>
      </c>
      <c r="BH10" s="20">
        <f t="shared" si="16"/>
        <v>0.0421992111134918</v>
      </c>
      <c r="BI10" s="20">
        <f t="shared" si="17"/>
        <v>0</v>
      </c>
      <c r="BJ10" s="20">
        <f t="shared" si="18"/>
        <v>0.0417930243643071</v>
      </c>
      <c r="BK10" s="20">
        <f t="shared" ref="BK10:BO10" si="53">IF(OR($AD10=0),"",AZ10/$AD10)</f>
        <v>0.11950732586815</v>
      </c>
      <c r="BL10" s="20">
        <f t="shared" si="53"/>
        <v>0.044210802633316</v>
      </c>
      <c r="BM10" s="20">
        <f t="shared" si="53"/>
        <v>0.00729478243449789</v>
      </c>
      <c r="BN10" s="20">
        <f t="shared" si="53"/>
        <v>0.00964348132439227</v>
      </c>
      <c r="BO10" s="20">
        <f t="shared" si="53"/>
        <v>0.0614060416825565</v>
      </c>
    </row>
    <row r="11" spans="1:67">
      <c r="A11" s="9">
        <f t="shared" si="20"/>
        <v>43777</v>
      </c>
      <c r="B11" s="10">
        <v>19092.82</v>
      </c>
      <c r="C11" s="8">
        <v>97651.7</v>
      </c>
      <c r="D11" s="8">
        <v>68480.8</v>
      </c>
      <c r="E11" s="8">
        <v>69270</v>
      </c>
      <c r="F11" s="8">
        <v>10414.92</v>
      </c>
      <c r="G11" s="8">
        <v>125516.6</v>
      </c>
      <c r="H11" s="8">
        <v>5709.7</v>
      </c>
      <c r="I11" s="8">
        <v>2566.3</v>
      </c>
      <c r="J11" s="8">
        <v>967</v>
      </c>
      <c r="K11" s="8">
        <v>56</v>
      </c>
      <c r="L11" s="8">
        <v>102843.7</v>
      </c>
      <c r="M11" s="8">
        <v>61531.1</v>
      </c>
      <c r="N11" s="8">
        <v>85701.1</v>
      </c>
      <c r="O11" s="8">
        <v>112809.6</v>
      </c>
      <c r="P11" s="8">
        <v>6357.4</v>
      </c>
      <c r="Q11" s="8">
        <v>8795.5</v>
      </c>
      <c r="R11" s="8">
        <v>5262.2</v>
      </c>
      <c r="S11" s="8">
        <v>6373.4</v>
      </c>
      <c r="T11" s="8">
        <v>8648</v>
      </c>
      <c r="U11" s="8">
        <v>19476</v>
      </c>
      <c r="V11" s="8">
        <v>55448.3</v>
      </c>
      <c r="W11" s="8">
        <v>60116.6</v>
      </c>
      <c r="X11" s="8">
        <v>6918</v>
      </c>
      <c r="Y11" s="8">
        <v>7128.6</v>
      </c>
      <c r="Z11" s="15">
        <f t="shared" si="21"/>
        <v>74163.2</v>
      </c>
      <c r="AA11" s="8">
        <v>9656.3</v>
      </c>
      <c r="AB11" s="13">
        <v>9481</v>
      </c>
      <c r="AC11" s="7">
        <f t="shared" si="22"/>
        <v>19137.3</v>
      </c>
      <c r="AD11" s="16">
        <v>167727</v>
      </c>
      <c r="AE11" s="17">
        <f t="shared" ref="AE11:AI11" si="54">IF(OR(C12=""),"",(C12-C11)*80)</f>
        <v>0</v>
      </c>
      <c r="AF11" s="17">
        <f t="shared" si="54"/>
        <v>255.999999999767</v>
      </c>
      <c r="AG11" s="17">
        <f t="shared" si="54"/>
        <v>2455.99999999977</v>
      </c>
      <c r="AH11" s="17">
        <f t="shared" si="54"/>
        <v>1134.40000000002</v>
      </c>
      <c r="AI11" s="17">
        <f t="shared" si="54"/>
        <v>2623.99999999907</v>
      </c>
      <c r="AJ11" s="17">
        <f t="shared" si="3"/>
        <v>6470.39999999863</v>
      </c>
      <c r="AK11" s="17">
        <f t="shared" ref="AK11:AN11" si="55">IF(OR(H12=""),"",(H12-H11)*80)</f>
        <v>0</v>
      </c>
      <c r="AL11" s="17">
        <f t="shared" si="55"/>
        <v>0</v>
      </c>
      <c r="AM11" s="17">
        <f t="shared" si="55"/>
        <v>0</v>
      </c>
      <c r="AN11" s="17">
        <f t="shared" si="55"/>
        <v>0</v>
      </c>
      <c r="AO11" s="17">
        <f t="shared" si="5"/>
        <v>0</v>
      </c>
      <c r="AP11" s="17">
        <f t="shared" ref="AP11:AS11" si="56">IF(OR(L12=""),"",(L12-L11)*100)</f>
        <v>2440.00000000087</v>
      </c>
      <c r="AQ11" s="17">
        <f t="shared" si="56"/>
        <v>0</v>
      </c>
      <c r="AR11" s="17">
        <f t="shared" si="56"/>
        <v>2939.99999999942</v>
      </c>
      <c r="AS11" s="17">
        <f t="shared" si="56"/>
        <v>1119.99999999971</v>
      </c>
      <c r="AT11" s="17">
        <f t="shared" si="7"/>
        <v>6500</v>
      </c>
      <c r="AU11" s="17">
        <f t="shared" ref="AU11:AY11" si="57">IF(OR(P12=""),"",(P12-P11)*1000)</f>
        <v>0</v>
      </c>
      <c r="AV11" s="17">
        <f t="shared" si="57"/>
        <v>3000</v>
      </c>
      <c r="AW11" s="17">
        <f t="shared" si="57"/>
        <v>2600.00000000036</v>
      </c>
      <c r="AX11" s="17">
        <f t="shared" si="57"/>
        <v>0</v>
      </c>
      <c r="AY11" s="17">
        <f t="shared" si="57"/>
        <v>9399.99999999964</v>
      </c>
      <c r="AZ11" s="17">
        <f t="shared" si="9"/>
        <v>15000</v>
      </c>
      <c r="BA11" s="17">
        <f t="shared" si="10"/>
        <v>7599.99999999854</v>
      </c>
      <c r="BB11" s="17">
        <f t="shared" si="11"/>
        <v>887.999999999884</v>
      </c>
      <c r="BC11" s="17">
        <f t="shared" si="27"/>
        <v>1395.99999999919</v>
      </c>
      <c r="BD11" s="17">
        <f t="shared" si="12"/>
        <v>11345.6000000227</v>
      </c>
      <c r="BE11" s="17">
        <f t="shared" si="13"/>
        <v>49200.0000000189</v>
      </c>
      <c r="BF11" s="17">
        <f t="shared" si="14"/>
        <v>53.2000000000007</v>
      </c>
      <c r="BG11" s="20">
        <f t="shared" si="15"/>
        <v>0.293333810298991</v>
      </c>
      <c r="BH11" s="20">
        <f t="shared" si="16"/>
        <v>0.0385769732958833</v>
      </c>
      <c r="BI11" s="20">
        <f t="shared" si="17"/>
        <v>0</v>
      </c>
      <c r="BJ11" s="20">
        <f t="shared" si="18"/>
        <v>0.0387534505476161</v>
      </c>
      <c r="BK11" s="20">
        <f t="shared" ref="BK11:BO11" si="58">IF(OR($AD11=0),"",AZ11/$AD11)</f>
        <v>0.0894310397252678</v>
      </c>
      <c r="BL11" s="20">
        <f t="shared" si="58"/>
        <v>0.045311726794127</v>
      </c>
      <c r="BM11" s="20">
        <f t="shared" si="58"/>
        <v>0.00529431755173516</v>
      </c>
      <c r="BN11" s="20">
        <f t="shared" si="58"/>
        <v>0.00832304876376007</v>
      </c>
      <c r="BO11" s="20">
        <f t="shared" si="58"/>
        <v>0.0676432536206018</v>
      </c>
    </row>
    <row r="12" spans="1:67">
      <c r="A12" s="9">
        <f t="shared" si="20"/>
        <v>43778</v>
      </c>
      <c r="B12" s="10">
        <v>19097.74</v>
      </c>
      <c r="C12" s="8">
        <v>97651.7</v>
      </c>
      <c r="D12" s="8">
        <v>68484</v>
      </c>
      <c r="E12" s="8">
        <v>69300.7</v>
      </c>
      <c r="F12" s="8">
        <v>10429.1</v>
      </c>
      <c r="G12" s="8">
        <v>125549.4</v>
      </c>
      <c r="H12" s="8">
        <v>5709.7</v>
      </c>
      <c r="I12" s="8">
        <v>2566.3</v>
      </c>
      <c r="J12" s="8">
        <v>967</v>
      </c>
      <c r="K12" s="8">
        <v>56</v>
      </c>
      <c r="L12" s="8">
        <v>102868.1</v>
      </c>
      <c r="M12" s="8">
        <v>61531.1</v>
      </c>
      <c r="N12" s="8">
        <v>85730.5</v>
      </c>
      <c r="O12" s="8">
        <v>112820.8</v>
      </c>
      <c r="P12" s="8">
        <v>6357.4</v>
      </c>
      <c r="Q12" s="8">
        <v>8798.5</v>
      </c>
      <c r="R12" s="8">
        <v>5264.8</v>
      </c>
      <c r="S12" s="8">
        <v>6373.4</v>
      </c>
      <c r="T12" s="8">
        <v>8657.4</v>
      </c>
      <c r="U12" s="8">
        <v>19479.8</v>
      </c>
      <c r="V12" s="8">
        <v>55459.4</v>
      </c>
      <c r="W12" s="8">
        <v>60133.5</v>
      </c>
      <c r="X12" s="8">
        <v>6926.2</v>
      </c>
      <c r="Y12" s="8">
        <v>7138.4</v>
      </c>
      <c r="Z12" s="15">
        <f t="shared" si="21"/>
        <v>74198.1</v>
      </c>
      <c r="AA12" s="8">
        <v>9703.5</v>
      </c>
      <c r="AB12" s="13">
        <v>9487</v>
      </c>
      <c r="AC12" s="7">
        <f t="shared" si="22"/>
        <v>19190.5</v>
      </c>
      <c r="AD12" s="16">
        <v>175667</v>
      </c>
      <c r="AE12" s="17">
        <f t="shared" ref="AE12:AI12" si="59">IF(OR(C13=""),"",(C13-C12)*80)</f>
        <v>0</v>
      </c>
      <c r="AF12" s="17">
        <f t="shared" si="59"/>
        <v>560</v>
      </c>
      <c r="AG12" s="17">
        <f t="shared" si="59"/>
        <v>2688.00000000047</v>
      </c>
      <c r="AH12" s="17">
        <f t="shared" si="59"/>
        <v>1463.99999999994</v>
      </c>
      <c r="AI12" s="17">
        <f t="shared" si="59"/>
        <v>2288.00000000047</v>
      </c>
      <c r="AJ12" s="17">
        <f t="shared" si="3"/>
        <v>7000.00000000087</v>
      </c>
      <c r="AK12" s="17">
        <f t="shared" ref="AK12:AN12" si="60">IF(OR(H13=""),"",(H13-H12)*80)</f>
        <v>0</v>
      </c>
      <c r="AL12" s="17">
        <f t="shared" si="60"/>
        <v>0</v>
      </c>
      <c r="AM12" s="17">
        <f t="shared" si="60"/>
        <v>0</v>
      </c>
      <c r="AN12" s="17">
        <f t="shared" si="60"/>
        <v>0</v>
      </c>
      <c r="AO12" s="17">
        <f t="shared" si="5"/>
        <v>0</v>
      </c>
      <c r="AP12" s="17">
        <f t="shared" ref="AP12:AS12" si="61">IF(OR(L13=""),"",(L13-L12)*100)</f>
        <v>2119.99999999971</v>
      </c>
      <c r="AQ12" s="17">
        <f t="shared" si="61"/>
        <v>0</v>
      </c>
      <c r="AR12" s="17">
        <f t="shared" si="61"/>
        <v>2900</v>
      </c>
      <c r="AS12" s="17">
        <f t="shared" si="61"/>
        <v>1400</v>
      </c>
      <c r="AT12" s="17">
        <f t="shared" si="7"/>
        <v>6419.99999999971</v>
      </c>
      <c r="AU12" s="17">
        <f t="shared" ref="AU12:AY12" si="62">IF(OR(P13=""),"",(P13-P12)*1000)</f>
        <v>0</v>
      </c>
      <c r="AV12" s="17">
        <f t="shared" si="62"/>
        <v>0</v>
      </c>
      <c r="AW12" s="17">
        <f t="shared" si="62"/>
        <v>4699.99999999982</v>
      </c>
      <c r="AX12" s="17">
        <f t="shared" si="62"/>
        <v>0</v>
      </c>
      <c r="AY12" s="17">
        <f t="shared" si="62"/>
        <v>9100.00000000036</v>
      </c>
      <c r="AZ12" s="17">
        <f t="shared" si="9"/>
        <v>13800.0000000002</v>
      </c>
      <c r="BA12" s="17">
        <f t="shared" si="10"/>
        <v>8000</v>
      </c>
      <c r="BB12" s="17">
        <f t="shared" si="11"/>
        <v>552.000000000116</v>
      </c>
      <c r="BC12" s="17">
        <f t="shared" si="27"/>
        <v>1416.00000000035</v>
      </c>
      <c r="BD12" s="17">
        <f t="shared" si="12"/>
        <v>13712.0000000002</v>
      </c>
      <c r="BE12" s="17">
        <f t="shared" si="13"/>
        <v>50900.0000000015</v>
      </c>
      <c r="BF12" s="17">
        <f t="shared" si="14"/>
        <v>52.4000000000015</v>
      </c>
      <c r="BG12" s="20">
        <f t="shared" si="15"/>
        <v>0.289752770867616</v>
      </c>
      <c r="BH12" s="20">
        <f t="shared" si="16"/>
        <v>0.0398481217303243</v>
      </c>
      <c r="BI12" s="20">
        <f t="shared" si="17"/>
        <v>0</v>
      </c>
      <c r="BJ12" s="20">
        <f t="shared" si="18"/>
        <v>0.0365464202155198</v>
      </c>
      <c r="BK12" s="20">
        <f t="shared" ref="BK12:BO12" si="63">IF(OR($AD12=0),"",AZ12/$AD12)</f>
        <v>0.0785577256969162</v>
      </c>
      <c r="BL12" s="20">
        <f t="shared" si="63"/>
        <v>0.0455407105489363</v>
      </c>
      <c r="BM12" s="20">
        <f t="shared" si="63"/>
        <v>0.00314230902787727</v>
      </c>
      <c r="BN12" s="20">
        <f t="shared" si="63"/>
        <v>0.00806070576716372</v>
      </c>
      <c r="BO12" s="20">
        <f t="shared" si="63"/>
        <v>0.0780567778808782</v>
      </c>
    </row>
    <row r="13" spans="1:67">
      <c r="A13" s="9">
        <f t="shared" si="20"/>
        <v>43779</v>
      </c>
      <c r="B13" s="10">
        <v>19102.83</v>
      </c>
      <c r="C13" s="8">
        <v>97651.7</v>
      </c>
      <c r="D13" s="8">
        <v>68491</v>
      </c>
      <c r="E13" s="8">
        <v>69334.3</v>
      </c>
      <c r="F13" s="8">
        <v>10447.4</v>
      </c>
      <c r="G13" s="8">
        <v>125578</v>
      </c>
      <c r="H13" s="8">
        <v>5709.7</v>
      </c>
      <c r="I13" s="8">
        <v>2566.3</v>
      </c>
      <c r="J13" s="8">
        <v>967</v>
      </c>
      <c r="K13" s="8">
        <v>56</v>
      </c>
      <c r="L13" s="8">
        <v>102889.3</v>
      </c>
      <c r="M13" s="8">
        <v>61531.1</v>
      </c>
      <c r="N13" s="8">
        <v>85759.5</v>
      </c>
      <c r="O13" s="8">
        <v>112834.8</v>
      </c>
      <c r="P13" s="8">
        <v>6357.4</v>
      </c>
      <c r="Q13" s="8">
        <v>8798.5</v>
      </c>
      <c r="R13" s="8">
        <v>5269.5</v>
      </c>
      <c r="S13" s="8">
        <v>6373.4</v>
      </c>
      <c r="T13" s="8">
        <v>8666.5</v>
      </c>
      <c r="U13" s="8">
        <v>19483.8</v>
      </c>
      <c r="V13" s="8">
        <v>55466.3</v>
      </c>
      <c r="W13" s="8">
        <v>60150.7</v>
      </c>
      <c r="X13" s="8">
        <v>6934.6</v>
      </c>
      <c r="Y13" s="8">
        <v>7148.2</v>
      </c>
      <c r="Z13" s="15">
        <f t="shared" si="21"/>
        <v>74233.5</v>
      </c>
      <c r="AA13" s="8">
        <v>9751.9</v>
      </c>
      <c r="AB13" s="13">
        <v>9491</v>
      </c>
      <c r="AC13" s="7">
        <f t="shared" si="22"/>
        <v>19242.9</v>
      </c>
      <c r="AD13" s="16">
        <v>169028</v>
      </c>
      <c r="AE13" s="17">
        <f t="shared" ref="AE13:AI13" si="64">IF(OR(C14=""),"",(C14-C13)*80)</f>
        <v>0</v>
      </c>
      <c r="AF13" s="17">
        <f t="shared" si="64"/>
        <v>2880</v>
      </c>
      <c r="AG13" s="17">
        <f t="shared" si="64"/>
        <v>2375.99999999977</v>
      </c>
      <c r="AH13" s="17">
        <f t="shared" si="64"/>
        <v>4.79999999995925</v>
      </c>
      <c r="AI13" s="17">
        <f t="shared" si="64"/>
        <v>2200</v>
      </c>
      <c r="AJ13" s="17">
        <f t="shared" si="3"/>
        <v>7460.79999999973</v>
      </c>
      <c r="AK13" s="17">
        <f t="shared" ref="AK13:AN13" si="65">IF(OR(H14=""),"",(H14-H13)*80)</f>
        <v>0</v>
      </c>
      <c r="AL13" s="17">
        <f t="shared" si="65"/>
        <v>0</v>
      </c>
      <c r="AM13" s="17">
        <f t="shared" si="65"/>
        <v>0</v>
      </c>
      <c r="AN13" s="17">
        <f t="shared" si="65"/>
        <v>0</v>
      </c>
      <c r="AO13" s="17">
        <f t="shared" si="5"/>
        <v>0</v>
      </c>
      <c r="AP13" s="17">
        <f t="shared" ref="AP13:AS13" si="66">IF(OR(L14=""),"",(L14-L13)*100)</f>
        <v>1889.99999999942</v>
      </c>
      <c r="AQ13" s="17">
        <f t="shared" si="66"/>
        <v>0</v>
      </c>
      <c r="AR13" s="17">
        <f t="shared" si="66"/>
        <v>2989.99999999942</v>
      </c>
      <c r="AS13" s="17">
        <f t="shared" si="66"/>
        <v>1219.99999999971</v>
      </c>
      <c r="AT13" s="17">
        <f t="shared" si="7"/>
        <v>6099.99999999854</v>
      </c>
      <c r="AU13" s="17">
        <f t="shared" ref="AU13:AY13" si="67">IF(OR(P14=""),"",(P14-P13)*1000)</f>
        <v>0</v>
      </c>
      <c r="AV13" s="17">
        <f t="shared" si="67"/>
        <v>0</v>
      </c>
      <c r="AW13" s="17">
        <f t="shared" si="67"/>
        <v>4699.99999999982</v>
      </c>
      <c r="AX13" s="17">
        <f t="shared" si="67"/>
        <v>0</v>
      </c>
      <c r="AY13" s="17">
        <f t="shared" si="67"/>
        <v>8799.99999999927</v>
      </c>
      <c r="AZ13" s="17">
        <f t="shared" si="9"/>
        <v>13499.9999999991</v>
      </c>
      <c r="BA13" s="17">
        <f t="shared" si="10"/>
        <v>7400.00000000146</v>
      </c>
      <c r="BB13" s="17">
        <f t="shared" si="11"/>
        <v>1007.99999999988</v>
      </c>
      <c r="BC13" s="17">
        <f t="shared" si="27"/>
        <v>1392.00000000012</v>
      </c>
      <c r="BD13" s="17">
        <f t="shared" si="12"/>
        <v>13439.1999999895</v>
      </c>
      <c r="BE13" s="17">
        <f t="shared" si="13"/>
        <v>50299.9999999884</v>
      </c>
      <c r="BF13" s="17">
        <f t="shared" si="14"/>
        <v>53.1999999999971</v>
      </c>
      <c r="BG13" s="20">
        <f t="shared" si="15"/>
        <v>0.297583832264408</v>
      </c>
      <c r="BH13" s="20">
        <f t="shared" si="16"/>
        <v>0.0441394325200542</v>
      </c>
      <c r="BI13" s="20">
        <f t="shared" si="17"/>
        <v>0</v>
      </c>
      <c r="BJ13" s="20">
        <f t="shared" si="18"/>
        <v>0.0360886953640731</v>
      </c>
      <c r="BK13" s="20">
        <f t="shared" ref="BK13:BO13" si="68">IF(OR($AD13=0),"",AZ13/$AD13)</f>
        <v>0.0798684241664049</v>
      </c>
      <c r="BL13" s="20">
        <f t="shared" si="68"/>
        <v>0.0437797288023372</v>
      </c>
      <c r="BM13" s="20">
        <f t="shared" si="68"/>
        <v>0.00596350900442461</v>
      </c>
      <c r="BN13" s="20">
        <f t="shared" si="68"/>
        <v>0.00823532195849277</v>
      </c>
      <c r="BO13" s="20">
        <f t="shared" si="68"/>
        <v>0.0795087204486212</v>
      </c>
    </row>
    <row r="14" spans="1:67">
      <c r="A14" s="9">
        <f t="shared" si="20"/>
        <v>43780</v>
      </c>
      <c r="B14" s="10">
        <v>19107.86</v>
      </c>
      <c r="C14" s="8">
        <v>97651.7</v>
      </c>
      <c r="D14" s="8">
        <v>68527</v>
      </c>
      <c r="E14" s="8">
        <v>69364</v>
      </c>
      <c r="F14" s="8">
        <v>10447.46</v>
      </c>
      <c r="G14" s="8">
        <v>125605.5</v>
      </c>
      <c r="H14" s="8">
        <v>5709.7</v>
      </c>
      <c r="I14" s="8">
        <v>2566.3</v>
      </c>
      <c r="J14" s="8">
        <v>967</v>
      </c>
      <c r="K14" s="8">
        <v>56</v>
      </c>
      <c r="L14" s="8">
        <v>102908.2</v>
      </c>
      <c r="M14" s="8">
        <v>61531.1</v>
      </c>
      <c r="N14" s="8">
        <v>85789.4</v>
      </c>
      <c r="O14" s="8">
        <v>112847</v>
      </c>
      <c r="P14" s="8">
        <v>6357.4</v>
      </c>
      <c r="Q14" s="8">
        <v>8798.5</v>
      </c>
      <c r="R14" s="8">
        <v>5274.2</v>
      </c>
      <c r="S14" s="8">
        <v>6373.4</v>
      </c>
      <c r="T14" s="8">
        <v>8675.3</v>
      </c>
      <c r="U14" s="8">
        <v>19487.5</v>
      </c>
      <c r="V14" s="8">
        <v>55478.9</v>
      </c>
      <c r="W14" s="8">
        <v>60167.7</v>
      </c>
      <c r="X14" s="8">
        <v>6942.8</v>
      </c>
      <c r="Y14" s="8">
        <v>7157.8</v>
      </c>
      <c r="Z14" s="15">
        <f t="shared" si="21"/>
        <v>74268.3</v>
      </c>
      <c r="AA14" s="8">
        <v>9799.1</v>
      </c>
      <c r="AB14" s="13">
        <v>9497</v>
      </c>
      <c r="AC14" s="7">
        <f t="shared" si="22"/>
        <v>19296.1</v>
      </c>
      <c r="AD14" s="16">
        <v>172788</v>
      </c>
      <c r="AE14" s="17">
        <f t="shared" ref="AE14:AI14" si="69">IF(OR(C15=""),"",(C15-C14)*80)</f>
        <v>0</v>
      </c>
      <c r="AF14" s="17">
        <f t="shared" si="69"/>
        <v>2920</v>
      </c>
      <c r="AG14" s="17">
        <f t="shared" si="69"/>
        <v>2208.00000000047</v>
      </c>
      <c r="AH14" s="17">
        <f t="shared" si="69"/>
        <v>4.00000000008731</v>
      </c>
      <c r="AI14" s="17">
        <f t="shared" si="69"/>
        <v>2360</v>
      </c>
      <c r="AJ14" s="17">
        <f t="shared" si="3"/>
        <v>7492.00000000055</v>
      </c>
      <c r="AK14" s="17">
        <f t="shared" ref="AK14:AN14" si="70">IF(OR(H15=""),"",(H15-H14)*80)</f>
        <v>0</v>
      </c>
      <c r="AL14" s="17">
        <f t="shared" si="70"/>
        <v>0</v>
      </c>
      <c r="AM14" s="17">
        <f t="shared" si="70"/>
        <v>0</v>
      </c>
      <c r="AN14" s="17">
        <f t="shared" si="70"/>
        <v>0</v>
      </c>
      <c r="AO14" s="17">
        <f t="shared" si="5"/>
        <v>0</v>
      </c>
      <c r="AP14" s="17">
        <f t="shared" ref="AP14:AS14" si="71">IF(OR(L15=""),"",(L15-L14)*100)</f>
        <v>1650</v>
      </c>
      <c r="AQ14" s="17">
        <f t="shared" si="71"/>
        <v>0</v>
      </c>
      <c r="AR14" s="17">
        <f t="shared" si="71"/>
        <v>2910.00000000058</v>
      </c>
      <c r="AS14" s="17">
        <f t="shared" si="71"/>
        <v>1719.99999999971</v>
      </c>
      <c r="AT14" s="17">
        <f t="shared" si="7"/>
        <v>6280.00000000029</v>
      </c>
      <c r="AU14" s="17">
        <f t="shared" ref="AU14:AY14" si="72">IF(OR(P15=""),"",(P15-P14)*1000)</f>
        <v>0</v>
      </c>
      <c r="AV14" s="17">
        <f t="shared" si="72"/>
        <v>0</v>
      </c>
      <c r="AW14" s="17">
        <f t="shared" si="72"/>
        <v>4500</v>
      </c>
      <c r="AX14" s="17">
        <f t="shared" si="72"/>
        <v>0</v>
      </c>
      <c r="AY14" s="17">
        <f t="shared" si="72"/>
        <v>8700.00000000073</v>
      </c>
      <c r="AZ14" s="17">
        <f t="shared" si="9"/>
        <v>13200.0000000007</v>
      </c>
      <c r="BA14" s="17">
        <f t="shared" si="10"/>
        <v>7800.00000000291</v>
      </c>
      <c r="BB14" s="17">
        <f t="shared" si="11"/>
        <v>1000</v>
      </c>
      <c r="BC14" s="17">
        <f t="shared" si="27"/>
        <v>1339.99999999942</v>
      </c>
      <c r="BD14" s="17">
        <f t="shared" si="12"/>
        <v>12887.9999999961</v>
      </c>
      <c r="BE14" s="17">
        <f t="shared" si="13"/>
        <v>50000</v>
      </c>
      <c r="BF14" s="17">
        <f t="shared" si="14"/>
        <v>51.2000000000007</v>
      </c>
      <c r="BG14" s="20">
        <f t="shared" si="15"/>
        <v>0.289371947125958</v>
      </c>
      <c r="BH14" s="20">
        <f t="shared" si="16"/>
        <v>0.0433594925573567</v>
      </c>
      <c r="BI14" s="20">
        <f t="shared" si="17"/>
        <v>0</v>
      </c>
      <c r="BJ14" s="20">
        <f t="shared" si="18"/>
        <v>0.036345116559022</v>
      </c>
      <c r="BK14" s="20">
        <f t="shared" ref="BK14:BO14" si="73">IF(OR($AD14=0),"",AZ14/$AD14)</f>
        <v>0.0763941940412571</v>
      </c>
      <c r="BL14" s="20">
        <f t="shared" si="73"/>
        <v>0.0451420237516663</v>
      </c>
      <c r="BM14" s="20">
        <f t="shared" si="73"/>
        <v>0.00578743894251916</v>
      </c>
      <c r="BN14" s="20">
        <f t="shared" si="73"/>
        <v>0.0077551681829723</v>
      </c>
      <c r="BO14" s="20">
        <f t="shared" si="73"/>
        <v>0.0745885130911643</v>
      </c>
    </row>
    <row r="15" spans="1:67">
      <c r="A15" s="9">
        <f t="shared" si="20"/>
        <v>43781</v>
      </c>
      <c r="B15" s="10">
        <v>19112.86</v>
      </c>
      <c r="C15" s="8">
        <v>97651.7</v>
      </c>
      <c r="D15" s="8">
        <v>68563.5</v>
      </c>
      <c r="E15" s="8">
        <v>69391.6</v>
      </c>
      <c r="F15" s="8">
        <v>10447.51</v>
      </c>
      <c r="G15" s="8">
        <v>125635</v>
      </c>
      <c r="H15" s="8">
        <v>5709.7</v>
      </c>
      <c r="I15" s="8">
        <v>2566.3</v>
      </c>
      <c r="J15" s="8">
        <v>967</v>
      </c>
      <c r="K15" s="8">
        <v>56</v>
      </c>
      <c r="L15" s="8">
        <v>102924.7</v>
      </c>
      <c r="M15" s="8">
        <v>61531.1</v>
      </c>
      <c r="N15" s="8">
        <v>85818.5</v>
      </c>
      <c r="O15" s="8">
        <v>112864.2</v>
      </c>
      <c r="P15" s="8">
        <v>6357.4</v>
      </c>
      <c r="Q15" s="8">
        <v>8798.5</v>
      </c>
      <c r="R15" s="8">
        <v>5278.7</v>
      </c>
      <c r="S15" s="8">
        <v>6373.4</v>
      </c>
      <c r="T15" s="8">
        <v>8684</v>
      </c>
      <c r="U15" s="8">
        <v>19491.4</v>
      </c>
      <c r="V15" s="8">
        <v>55491.4</v>
      </c>
      <c r="W15" s="8">
        <v>60184.2</v>
      </c>
      <c r="X15" s="8">
        <v>6950.7</v>
      </c>
      <c r="Y15" s="8">
        <v>7166.9</v>
      </c>
      <c r="Z15" s="15">
        <f t="shared" si="21"/>
        <v>74301.8</v>
      </c>
      <c r="AA15" s="8">
        <v>9845.3</v>
      </c>
      <c r="AB15" s="13">
        <v>9502</v>
      </c>
      <c r="AC15" s="7">
        <f t="shared" si="22"/>
        <v>19347.3</v>
      </c>
      <c r="AD15" s="16">
        <v>169591</v>
      </c>
      <c r="AE15" s="17">
        <f t="shared" ref="AE15:AI15" si="74">IF(OR(C16=""),"",(C16-C15)*80)</f>
        <v>0</v>
      </c>
      <c r="AF15" s="17">
        <f t="shared" si="74"/>
        <v>2664.00000000023</v>
      </c>
      <c r="AG15" s="17">
        <f t="shared" si="74"/>
        <v>2887.9999999993</v>
      </c>
      <c r="AH15" s="17">
        <f t="shared" si="74"/>
        <v>0</v>
      </c>
      <c r="AI15" s="17">
        <f t="shared" si="74"/>
        <v>3048.00000000047</v>
      </c>
      <c r="AJ15" s="17">
        <f t="shared" si="3"/>
        <v>8600</v>
      </c>
      <c r="AK15" s="17">
        <f t="shared" ref="AK15:AN15" si="75">IF(OR(H16=""),"",(H16-H15)*80)</f>
        <v>0</v>
      </c>
      <c r="AL15" s="17">
        <f t="shared" si="75"/>
        <v>0</v>
      </c>
      <c r="AM15" s="17">
        <f t="shared" si="75"/>
        <v>0</v>
      </c>
      <c r="AN15" s="17">
        <f t="shared" si="75"/>
        <v>0</v>
      </c>
      <c r="AO15" s="17">
        <f t="shared" si="5"/>
        <v>0</v>
      </c>
      <c r="AP15" s="17">
        <f t="shared" ref="AP15:AS15" si="76">IF(OR(L16=""),"",(L16-L15)*100)</f>
        <v>1740.00000000087</v>
      </c>
      <c r="AQ15" s="17">
        <f t="shared" si="76"/>
        <v>0</v>
      </c>
      <c r="AR15" s="17">
        <f t="shared" si="76"/>
        <v>2660.00000000058</v>
      </c>
      <c r="AS15" s="17">
        <f t="shared" si="76"/>
        <v>1690.00000000087</v>
      </c>
      <c r="AT15" s="17">
        <f t="shared" si="7"/>
        <v>6090.00000000233</v>
      </c>
      <c r="AU15" s="17">
        <f t="shared" ref="AU15:AY15" si="77">IF(OR(P16=""),"",(P16-P15)*1000)</f>
        <v>100.000000000364</v>
      </c>
      <c r="AV15" s="17">
        <f t="shared" si="77"/>
        <v>0</v>
      </c>
      <c r="AW15" s="17">
        <f t="shared" si="77"/>
        <v>4800.00000000018</v>
      </c>
      <c r="AX15" s="17">
        <f t="shared" si="77"/>
        <v>0</v>
      </c>
      <c r="AY15" s="17">
        <f t="shared" si="77"/>
        <v>9600.00000000036</v>
      </c>
      <c r="AZ15" s="17">
        <f t="shared" si="9"/>
        <v>14500.0000000009</v>
      </c>
      <c r="BA15" s="17">
        <f t="shared" si="10"/>
        <v>8000</v>
      </c>
      <c r="BB15" s="17">
        <f t="shared" si="11"/>
        <v>1015.99999999977</v>
      </c>
      <c r="BC15" s="17">
        <f t="shared" si="27"/>
        <v>1376.00000000035</v>
      </c>
      <c r="BD15" s="17">
        <f t="shared" si="12"/>
        <v>12017.9999999952</v>
      </c>
      <c r="BE15" s="17">
        <f t="shared" si="13"/>
        <v>51599.9999999985</v>
      </c>
      <c r="BF15" s="17">
        <f t="shared" si="14"/>
        <v>52.4000000000015</v>
      </c>
      <c r="BG15" s="20">
        <f t="shared" si="15"/>
        <v>0.30426142896733</v>
      </c>
      <c r="BH15" s="20">
        <f t="shared" si="16"/>
        <v>0.0507102381612232</v>
      </c>
      <c r="BI15" s="20">
        <f t="shared" si="17"/>
        <v>0</v>
      </c>
      <c r="BJ15" s="20">
        <f t="shared" si="18"/>
        <v>0.035909924465345</v>
      </c>
      <c r="BK15" s="20">
        <f t="shared" ref="BK15:BO15" si="78">IF(OR($AD15=0),"",AZ15/$AD15)</f>
        <v>0.0854998201555561</v>
      </c>
      <c r="BL15" s="20">
        <f t="shared" si="78"/>
        <v>0.0471723145685797</v>
      </c>
      <c r="BM15" s="20">
        <f t="shared" si="78"/>
        <v>0.00599088395020825</v>
      </c>
      <c r="BN15" s="20">
        <f t="shared" si="78"/>
        <v>0.00811363810579777</v>
      </c>
      <c r="BO15" s="20">
        <f t="shared" si="78"/>
        <v>0.0708646095606205</v>
      </c>
    </row>
    <row r="16" spans="1:67">
      <c r="A16" s="9">
        <f t="shared" si="20"/>
        <v>43782</v>
      </c>
      <c r="B16" s="10">
        <v>19118.02</v>
      </c>
      <c r="C16" s="8">
        <v>97651.7</v>
      </c>
      <c r="D16" s="8">
        <v>68596.8</v>
      </c>
      <c r="E16" s="8">
        <v>69427.7</v>
      </c>
      <c r="F16" s="8">
        <v>10447.51</v>
      </c>
      <c r="G16" s="8">
        <v>125673.1</v>
      </c>
      <c r="H16" s="8">
        <v>5709.7</v>
      </c>
      <c r="I16" s="8">
        <v>2566.3</v>
      </c>
      <c r="J16" s="8">
        <v>967</v>
      </c>
      <c r="K16" s="8">
        <v>56</v>
      </c>
      <c r="L16" s="8">
        <v>102942.1</v>
      </c>
      <c r="M16" s="8">
        <v>61531.1</v>
      </c>
      <c r="N16" s="8">
        <v>85845.1</v>
      </c>
      <c r="O16" s="8">
        <v>112881.1</v>
      </c>
      <c r="P16" s="8">
        <v>6357.5</v>
      </c>
      <c r="Q16" s="8">
        <v>8798.5</v>
      </c>
      <c r="R16" s="8">
        <v>5283.5</v>
      </c>
      <c r="S16" s="8">
        <v>6373.4</v>
      </c>
      <c r="T16" s="8">
        <v>8693.6</v>
      </c>
      <c r="U16" s="8">
        <v>19495.4</v>
      </c>
      <c r="V16" s="8">
        <v>55504.1</v>
      </c>
      <c r="W16" s="8">
        <v>60201.1</v>
      </c>
      <c r="X16" s="8">
        <v>6958.8</v>
      </c>
      <c r="Y16" s="8">
        <v>7176.3</v>
      </c>
      <c r="Z16" s="15">
        <f t="shared" si="21"/>
        <v>74336.2</v>
      </c>
      <c r="AA16" s="8">
        <v>9892.7</v>
      </c>
      <c r="AB16" s="13">
        <v>9507</v>
      </c>
      <c r="AC16" s="7">
        <f t="shared" si="22"/>
        <v>19399.7</v>
      </c>
      <c r="AD16" s="16">
        <v>172829</v>
      </c>
      <c r="AE16" s="17">
        <f t="shared" ref="AE16:AI16" si="79">IF(OR(C17=""),"",(C17-C16)*80)</f>
        <v>0</v>
      </c>
      <c r="AF16" s="17">
        <f t="shared" si="79"/>
        <v>2840</v>
      </c>
      <c r="AG16" s="17">
        <f t="shared" si="79"/>
        <v>2672.0000000007</v>
      </c>
      <c r="AH16" s="17">
        <f t="shared" si="79"/>
        <v>9.59999999991851</v>
      </c>
      <c r="AI16" s="17">
        <f t="shared" si="79"/>
        <v>1311.99999999953</v>
      </c>
      <c r="AJ16" s="17">
        <f t="shared" si="3"/>
        <v>6833.60000000015</v>
      </c>
      <c r="AK16" s="17">
        <f t="shared" ref="AK16:AN16" si="80">IF(OR(H17=""),"",(H17-H16)*80)</f>
        <v>0</v>
      </c>
      <c r="AL16" s="17">
        <f t="shared" si="80"/>
        <v>0</v>
      </c>
      <c r="AM16" s="17">
        <f t="shared" si="80"/>
        <v>0</v>
      </c>
      <c r="AN16" s="17">
        <f t="shared" si="80"/>
        <v>0</v>
      </c>
      <c r="AO16" s="17">
        <f t="shared" si="5"/>
        <v>0</v>
      </c>
      <c r="AP16" s="17">
        <f t="shared" ref="AP16:AS16" si="81">IF(OR(L17=""),"",(L17-L16)*100)</f>
        <v>1679.99999999884</v>
      </c>
      <c r="AQ16" s="17">
        <f t="shared" si="81"/>
        <v>0</v>
      </c>
      <c r="AR16" s="17">
        <f t="shared" si="81"/>
        <v>2919.99999999971</v>
      </c>
      <c r="AS16" s="17">
        <f t="shared" si="81"/>
        <v>1839.99999999942</v>
      </c>
      <c r="AT16" s="17">
        <f t="shared" si="7"/>
        <v>6439.99999999796</v>
      </c>
      <c r="AU16" s="17">
        <f t="shared" ref="AU16:AY16" si="82">IF(OR(P17=""),"",(P17-P16)*1000)</f>
        <v>0</v>
      </c>
      <c r="AV16" s="17">
        <f t="shared" si="82"/>
        <v>0</v>
      </c>
      <c r="AW16" s="17">
        <f t="shared" si="82"/>
        <v>4899.99999999964</v>
      </c>
      <c r="AX16" s="17">
        <f t="shared" si="82"/>
        <v>0</v>
      </c>
      <c r="AY16" s="17">
        <f t="shared" si="82"/>
        <v>9199.99999999891</v>
      </c>
      <c r="AZ16" s="17">
        <f t="shared" si="9"/>
        <v>14099.9999999985</v>
      </c>
      <c r="BA16" s="17">
        <f t="shared" si="10"/>
        <v>7799.99999999563</v>
      </c>
      <c r="BB16" s="17">
        <f t="shared" si="11"/>
        <v>992.000000000116</v>
      </c>
      <c r="BC16" s="17">
        <f t="shared" si="27"/>
        <v>1436.00000000035</v>
      </c>
      <c r="BD16" s="17">
        <f t="shared" si="12"/>
        <v>15098.4000000116</v>
      </c>
      <c r="BE16" s="17">
        <f t="shared" si="13"/>
        <v>52700.0000000044</v>
      </c>
      <c r="BF16" s="17">
        <f t="shared" si="14"/>
        <v>52.2000000000007</v>
      </c>
      <c r="BG16" s="20">
        <f t="shared" si="15"/>
        <v>0.304925677982308</v>
      </c>
      <c r="BH16" s="20">
        <f t="shared" si="16"/>
        <v>0.0395396605893696</v>
      </c>
      <c r="BI16" s="20">
        <f t="shared" si="17"/>
        <v>0</v>
      </c>
      <c r="BJ16" s="20">
        <f t="shared" si="18"/>
        <v>0.037262265013383</v>
      </c>
      <c r="BK16" s="20">
        <f t="shared" ref="BK16:BO16" si="83">IF(OR($AD16=0),"",AZ16/$AD16)</f>
        <v>0.0815835305417409</v>
      </c>
      <c r="BL16" s="20">
        <f t="shared" si="83"/>
        <v>0.045131314767751</v>
      </c>
      <c r="BM16" s="20">
        <f t="shared" si="83"/>
        <v>0.00573977746790247</v>
      </c>
      <c r="BN16" s="20">
        <f t="shared" si="83"/>
        <v>0.00830879077006954</v>
      </c>
      <c r="BO16" s="20">
        <f t="shared" si="83"/>
        <v>0.0873603388320919</v>
      </c>
    </row>
    <row r="17" spans="1:67">
      <c r="A17" s="9">
        <f t="shared" si="20"/>
        <v>43783</v>
      </c>
      <c r="B17" s="10">
        <v>19123.29</v>
      </c>
      <c r="C17" s="8">
        <v>97651.7</v>
      </c>
      <c r="D17" s="8">
        <v>68632.3</v>
      </c>
      <c r="E17" s="8">
        <v>69461.1</v>
      </c>
      <c r="F17" s="8">
        <v>10447.63</v>
      </c>
      <c r="G17" s="8">
        <v>125689.5</v>
      </c>
      <c r="H17" s="8">
        <v>5709.7</v>
      </c>
      <c r="I17" s="8">
        <v>2566.3</v>
      </c>
      <c r="J17" s="8">
        <v>967</v>
      </c>
      <c r="K17" s="8">
        <v>56</v>
      </c>
      <c r="L17" s="8">
        <v>102958.9</v>
      </c>
      <c r="M17" s="8">
        <v>61531.1</v>
      </c>
      <c r="N17" s="8">
        <v>85874.3</v>
      </c>
      <c r="O17" s="8">
        <v>112899.5</v>
      </c>
      <c r="P17" s="8">
        <v>6357.5</v>
      </c>
      <c r="Q17" s="8">
        <v>8798.5</v>
      </c>
      <c r="R17" s="8">
        <v>5288.4</v>
      </c>
      <c r="S17" s="8">
        <v>6373.4</v>
      </c>
      <c r="T17" s="8">
        <v>8702.8</v>
      </c>
      <c r="U17" s="8">
        <v>19499.3</v>
      </c>
      <c r="V17" s="8">
        <v>55516.5</v>
      </c>
      <c r="W17" s="8">
        <v>60218.6</v>
      </c>
      <c r="X17" s="8">
        <v>6967.4</v>
      </c>
      <c r="Y17" s="8">
        <v>7186.1</v>
      </c>
      <c r="Z17" s="15">
        <f t="shared" si="21"/>
        <v>74372.1</v>
      </c>
      <c r="AA17" s="8">
        <v>9939.9</v>
      </c>
      <c r="AB17" s="13">
        <v>9512</v>
      </c>
      <c r="AC17" s="7">
        <f t="shared" si="22"/>
        <v>19451.9</v>
      </c>
      <c r="AD17" s="16">
        <v>157233</v>
      </c>
      <c r="AE17" s="17">
        <f t="shared" ref="AE17:AI17" si="84">IF(OR(C18=""),"",(C18-C17)*80)</f>
        <v>0</v>
      </c>
      <c r="AF17" s="17">
        <f t="shared" si="84"/>
        <v>1824.00000000023</v>
      </c>
      <c r="AG17" s="17">
        <f t="shared" si="84"/>
        <v>2887.9999999993</v>
      </c>
      <c r="AH17" s="17">
        <f t="shared" si="84"/>
        <v>4.00000000008731</v>
      </c>
      <c r="AI17" s="17">
        <f t="shared" si="84"/>
        <v>2231.99999999953</v>
      </c>
      <c r="AJ17" s="17">
        <f t="shared" si="3"/>
        <v>6947.99999999916</v>
      </c>
      <c r="AK17" s="17">
        <f t="shared" ref="AK17:AN17" si="85">IF(OR(H18=""),"",(H18-H17)*80)</f>
        <v>0</v>
      </c>
      <c r="AL17" s="17">
        <f t="shared" si="85"/>
        <v>0</v>
      </c>
      <c r="AM17" s="17">
        <f t="shared" si="85"/>
        <v>0</v>
      </c>
      <c r="AN17" s="17">
        <f t="shared" si="85"/>
        <v>0</v>
      </c>
      <c r="AO17" s="17">
        <f t="shared" si="5"/>
        <v>0</v>
      </c>
      <c r="AP17" s="17">
        <f t="shared" ref="AP17:AS17" si="86">IF(OR(L18=""),"",(L18-L17)*100)</f>
        <v>1530.00000000029</v>
      </c>
      <c r="AQ17" s="17">
        <f t="shared" si="86"/>
        <v>0</v>
      </c>
      <c r="AR17" s="17">
        <f t="shared" si="86"/>
        <v>2619.99999999971</v>
      </c>
      <c r="AS17" s="17">
        <f t="shared" si="86"/>
        <v>1760.00000000058</v>
      </c>
      <c r="AT17" s="17">
        <f t="shared" si="7"/>
        <v>5910.00000000058</v>
      </c>
      <c r="AU17" s="17">
        <f t="shared" ref="AU17:AY17" si="87">IF(OR(P18=""),"",(P18-P17)*1000)</f>
        <v>0</v>
      </c>
      <c r="AV17" s="17">
        <f t="shared" si="87"/>
        <v>0</v>
      </c>
      <c r="AW17" s="17">
        <f t="shared" si="87"/>
        <v>4900.00000000055</v>
      </c>
      <c r="AX17" s="17">
        <f t="shared" si="87"/>
        <v>0</v>
      </c>
      <c r="AY17" s="17">
        <f t="shared" si="87"/>
        <v>8600.00000000036</v>
      </c>
      <c r="AZ17" s="17">
        <f t="shared" si="9"/>
        <v>13500.0000000009</v>
      </c>
      <c r="BA17" s="17">
        <f t="shared" si="10"/>
        <v>7599.99999999854</v>
      </c>
      <c r="BB17" s="17">
        <f t="shared" si="11"/>
        <v>992.000000000116</v>
      </c>
      <c r="BC17" s="17">
        <f t="shared" si="27"/>
        <v>1415.99999999977</v>
      </c>
      <c r="BD17" s="17">
        <f t="shared" si="12"/>
        <v>13834.0000000053</v>
      </c>
      <c r="BE17" s="17">
        <f t="shared" si="13"/>
        <v>50200.0000000044</v>
      </c>
      <c r="BF17" s="17">
        <f t="shared" si="14"/>
        <v>52.8999999999978</v>
      </c>
      <c r="BG17" s="20">
        <f t="shared" si="15"/>
        <v>0.319271399769796</v>
      </c>
      <c r="BH17" s="20">
        <f t="shared" si="16"/>
        <v>0.0441891969243044</v>
      </c>
      <c r="BI17" s="20">
        <f t="shared" si="17"/>
        <v>0</v>
      </c>
      <c r="BJ17" s="20">
        <f t="shared" si="18"/>
        <v>0.0375875293354486</v>
      </c>
      <c r="BK17" s="20">
        <f t="shared" ref="BK17:BO17" si="88">IF(OR($AD17=0),"",AZ17/$AD17)</f>
        <v>0.0858598385835092</v>
      </c>
      <c r="BL17" s="20">
        <f t="shared" si="88"/>
        <v>0.0483359091284816</v>
      </c>
      <c r="BM17" s="20">
        <f t="shared" si="88"/>
        <v>0.00630910813887744</v>
      </c>
      <c r="BN17" s="20">
        <f t="shared" si="88"/>
        <v>0.00900574306920155</v>
      </c>
      <c r="BO17" s="20">
        <f t="shared" si="88"/>
        <v>0.0879840745899734</v>
      </c>
    </row>
    <row r="18" spans="1:67">
      <c r="A18" s="9">
        <f t="shared" si="20"/>
        <v>43784</v>
      </c>
      <c r="B18" s="10">
        <v>19128.31</v>
      </c>
      <c r="C18" s="8">
        <v>97651.7</v>
      </c>
      <c r="D18" s="8">
        <v>68655.1</v>
      </c>
      <c r="E18" s="8">
        <v>69497.2</v>
      </c>
      <c r="F18" s="8">
        <v>10447.68</v>
      </c>
      <c r="G18" s="8">
        <v>125717.4</v>
      </c>
      <c r="H18" s="8">
        <v>5709.7</v>
      </c>
      <c r="I18" s="8">
        <v>2566.3</v>
      </c>
      <c r="J18" s="8">
        <v>967</v>
      </c>
      <c r="K18" s="8">
        <v>56</v>
      </c>
      <c r="L18" s="8">
        <v>102974.2</v>
      </c>
      <c r="M18" s="8">
        <v>61531.1</v>
      </c>
      <c r="N18" s="8">
        <v>85900.5</v>
      </c>
      <c r="O18" s="8">
        <v>112917.1</v>
      </c>
      <c r="P18" s="8">
        <v>6357.5</v>
      </c>
      <c r="Q18" s="8">
        <v>8798.5</v>
      </c>
      <c r="R18" s="8">
        <v>5293.3</v>
      </c>
      <c r="S18" s="8">
        <v>6373.4</v>
      </c>
      <c r="T18" s="8">
        <v>8711.4</v>
      </c>
      <c r="U18" s="8">
        <v>19503.1</v>
      </c>
      <c r="V18" s="8">
        <v>55528.9</v>
      </c>
      <c r="W18" s="8">
        <v>60236</v>
      </c>
      <c r="X18" s="8">
        <v>6975.8</v>
      </c>
      <c r="Y18" s="8">
        <v>7195.7</v>
      </c>
      <c r="Z18" s="15">
        <f t="shared" si="21"/>
        <v>74407.5</v>
      </c>
      <c r="AA18" s="8">
        <v>9987.8</v>
      </c>
      <c r="AB18" s="13">
        <v>9517</v>
      </c>
      <c r="AC18" s="7">
        <f t="shared" si="22"/>
        <v>19504.8</v>
      </c>
      <c r="AD18" s="16">
        <v>144923</v>
      </c>
      <c r="AE18" s="17">
        <f t="shared" ref="AE18:AI18" si="89">IF(OR(C19=""),"",(C19-C18)*80)</f>
        <v>0</v>
      </c>
      <c r="AF18" s="17">
        <f t="shared" si="89"/>
        <v>311.999999999534</v>
      </c>
      <c r="AG18" s="17">
        <f t="shared" si="89"/>
        <v>3304.00000000023</v>
      </c>
      <c r="AH18" s="17">
        <f t="shared" si="89"/>
        <v>4.79999999995925</v>
      </c>
      <c r="AI18" s="17">
        <f t="shared" si="89"/>
        <v>2440</v>
      </c>
      <c r="AJ18" s="17">
        <f t="shared" si="3"/>
        <v>6060.79999999973</v>
      </c>
      <c r="AK18" s="17">
        <f t="shared" ref="AK18:AN18" si="90">IF(OR(H19=""),"",(H19-H18)*80)</f>
        <v>0</v>
      </c>
      <c r="AL18" s="17">
        <f t="shared" si="90"/>
        <v>0</v>
      </c>
      <c r="AM18" s="17">
        <f t="shared" si="90"/>
        <v>0</v>
      </c>
      <c r="AN18" s="17">
        <f t="shared" si="90"/>
        <v>0</v>
      </c>
      <c r="AO18" s="17">
        <f t="shared" si="5"/>
        <v>0</v>
      </c>
      <c r="AP18" s="17">
        <f t="shared" ref="AP18:AS18" si="91">IF(OR(L19=""),"",(L19-L18)*100)</f>
        <v>2690.00000000087</v>
      </c>
      <c r="AQ18" s="17">
        <f t="shared" si="91"/>
        <v>0</v>
      </c>
      <c r="AR18" s="17">
        <f t="shared" si="91"/>
        <v>2839.99999999942</v>
      </c>
      <c r="AS18" s="17">
        <f t="shared" si="91"/>
        <v>129.999999998836</v>
      </c>
      <c r="AT18" s="17">
        <f t="shared" si="7"/>
        <v>5659.99999999913</v>
      </c>
      <c r="AU18" s="17">
        <f t="shared" ref="AU18:AY18" si="92">IF(OR(P19=""),"",(P19-P18)*1000)</f>
        <v>300.000000000182</v>
      </c>
      <c r="AV18" s="17">
        <f t="shared" si="92"/>
        <v>600.000000000364</v>
      </c>
      <c r="AW18" s="17">
        <f t="shared" si="92"/>
        <v>4199.99999999982</v>
      </c>
      <c r="AX18" s="17">
        <f t="shared" si="92"/>
        <v>0</v>
      </c>
      <c r="AY18" s="17">
        <f t="shared" si="92"/>
        <v>8800.00000000109</v>
      </c>
      <c r="AZ18" s="17">
        <f t="shared" si="9"/>
        <v>13900.0000000015</v>
      </c>
      <c r="BA18" s="17">
        <f t="shared" si="10"/>
        <v>6400.00000000146</v>
      </c>
      <c r="BB18" s="17">
        <f t="shared" si="11"/>
        <v>1015.99999999977</v>
      </c>
      <c r="BC18" s="17">
        <f t="shared" si="27"/>
        <v>1380</v>
      </c>
      <c r="BD18" s="17">
        <f t="shared" si="12"/>
        <v>14283.1999999883</v>
      </c>
      <c r="BE18" s="17">
        <f t="shared" si="13"/>
        <v>48699.9999999898</v>
      </c>
      <c r="BF18" s="17">
        <f t="shared" si="14"/>
        <v>52.2000000000007</v>
      </c>
      <c r="BG18" s="20">
        <f t="shared" si="15"/>
        <v>0.336040518068145</v>
      </c>
      <c r="BH18" s="20">
        <f t="shared" si="16"/>
        <v>0.0418208289919456</v>
      </c>
      <c r="BI18" s="20">
        <f t="shared" si="17"/>
        <v>0</v>
      </c>
      <c r="BJ18" s="20">
        <f t="shared" si="18"/>
        <v>0.039055222428456</v>
      </c>
      <c r="BK18" s="20">
        <f t="shared" ref="BK18:BO18" si="93">IF(OR($AD18=0),"",AZ18/$AD18)</f>
        <v>0.095913002076975</v>
      </c>
      <c r="BL18" s="20">
        <f t="shared" si="93"/>
        <v>0.0441613822512745</v>
      </c>
      <c r="BM18" s="20">
        <f t="shared" si="93"/>
        <v>0.00701061943238663</v>
      </c>
      <c r="BN18" s="20">
        <f t="shared" si="93"/>
        <v>0.0095222980479289</v>
      </c>
      <c r="BO18" s="20">
        <f t="shared" si="93"/>
        <v>0.0985571648391786</v>
      </c>
    </row>
    <row r="19" spans="1:67">
      <c r="A19" s="9">
        <f t="shared" si="20"/>
        <v>43785</v>
      </c>
      <c r="B19" s="10">
        <v>19133.18</v>
      </c>
      <c r="C19" s="8">
        <v>97651.7</v>
      </c>
      <c r="D19" s="8">
        <v>68659</v>
      </c>
      <c r="E19" s="8">
        <v>69538.5</v>
      </c>
      <c r="F19" s="8">
        <v>10447.74</v>
      </c>
      <c r="G19" s="8">
        <v>125747.9</v>
      </c>
      <c r="H19" s="8">
        <v>5709.7</v>
      </c>
      <c r="I19" s="8">
        <v>2566.3</v>
      </c>
      <c r="J19" s="8">
        <v>967</v>
      </c>
      <c r="K19" s="8">
        <v>56</v>
      </c>
      <c r="L19" s="8">
        <v>103001.1</v>
      </c>
      <c r="M19" s="8">
        <v>61531.1</v>
      </c>
      <c r="N19" s="8">
        <v>85928.9</v>
      </c>
      <c r="O19" s="8">
        <v>112918.4</v>
      </c>
      <c r="P19" s="8">
        <v>6357.8</v>
      </c>
      <c r="Q19" s="8">
        <v>8799.1</v>
      </c>
      <c r="R19" s="8">
        <v>5297.5</v>
      </c>
      <c r="S19" s="8">
        <v>6373.4</v>
      </c>
      <c r="T19" s="8">
        <v>8720.2</v>
      </c>
      <c r="U19" s="8">
        <v>19506.3</v>
      </c>
      <c r="V19" s="8">
        <v>55541.6</v>
      </c>
      <c r="W19" s="8">
        <v>60252.9</v>
      </c>
      <c r="X19" s="8">
        <v>6984</v>
      </c>
      <c r="Y19" s="8">
        <v>7205.1</v>
      </c>
      <c r="Z19" s="15">
        <f t="shared" si="21"/>
        <v>74442</v>
      </c>
      <c r="AA19" s="8">
        <v>10035</v>
      </c>
      <c r="AB19" s="13">
        <v>9522</v>
      </c>
      <c r="AC19" s="7">
        <f t="shared" si="22"/>
        <v>19557</v>
      </c>
      <c r="AD19" s="16">
        <v>157918</v>
      </c>
      <c r="AE19" s="17">
        <f t="shared" ref="AE19:AI19" si="94">IF(OR(C20=""),"",(C20-C19)*80)</f>
        <v>0</v>
      </c>
      <c r="AF19" s="17">
        <f t="shared" si="94"/>
        <v>911.999999999534</v>
      </c>
      <c r="AG19" s="17">
        <f t="shared" si="94"/>
        <v>3431.99999999953</v>
      </c>
      <c r="AH19" s="17">
        <f t="shared" si="94"/>
        <v>0</v>
      </c>
      <c r="AI19" s="17">
        <f t="shared" si="94"/>
        <v>2552.0000000007</v>
      </c>
      <c r="AJ19" s="17">
        <f t="shared" si="3"/>
        <v>6895.99999999977</v>
      </c>
      <c r="AK19" s="17">
        <f t="shared" ref="AK19:AN19" si="95">IF(OR(H20=""),"",(H20-H19)*80)</f>
        <v>0</v>
      </c>
      <c r="AL19" s="17">
        <f t="shared" si="95"/>
        <v>0</v>
      </c>
      <c r="AM19" s="17">
        <f t="shared" si="95"/>
        <v>0</v>
      </c>
      <c r="AN19" s="17">
        <f t="shared" si="95"/>
        <v>0</v>
      </c>
      <c r="AO19" s="17">
        <f t="shared" si="5"/>
        <v>0</v>
      </c>
      <c r="AP19" s="17">
        <f t="shared" ref="AP19:AS19" si="96">IF(OR(L20=""),"",(L20-L19)*100)</f>
        <v>2619.99999999971</v>
      </c>
      <c r="AQ19" s="17">
        <f t="shared" si="96"/>
        <v>0</v>
      </c>
      <c r="AR19" s="17">
        <f t="shared" si="96"/>
        <v>2890.00000000087</v>
      </c>
      <c r="AS19" s="17">
        <f t="shared" si="96"/>
        <v>610.000000000582</v>
      </c>
      <c r="AT19" s="17">
        <f t="shared" si="7"/>
        <v>6120.00000000116</v>
      </c>
      <c r="AU19" s="17">
        <f t="shared" ref="AU19:AY19" si="97">IF(OR(P20=""),"",(P20-P19)*1000)</f>
        <v>0</v>
      </c>
      <c r="AV19" s="17">
        <f t="shared" si="97"/>
        <v>0</v>
      </c>
      <c r="AW19" s="17">
        <f t="shared" si="97"/>
        <v>5100.00000000036</v>
      </c>
      <c r="AX19" s="17">
        <f t="shared" si="97"/>
        <v>0</v>
      </c>
      <c r="AY19" s="17">
        <f t="shared" si="97"/>
        <v>9099.99999999854</v>
      </c>
      <c r="AZ19" s="17">
        <f t="shared" si="9"/>
        <v>14199.9999999989</v>
      </c>
      <c r="BA19" s="17">
        <f t="shared" si="10"/>
        <v>7200.00000000437</v>
      </c>
      <c r="BB19" s="17">
        <f t="shared" si="11"/>
        <v>1032.00000000012</v>
      </c>
      <c r="BC19" s="17">
        <f t="shared" si="27"/>
        <v>1400</v>
      </c>
      <c r="BD19" s="17">
        <f t="shared" si="12"/>
        <v>13051.9999999753</v>
      </c>
      <c r="BE19" s="17">
        <f t="shared" si="13"/>
        <v>49899.9999999796</v>
      </c>
      <c r="BF19" s="17">
        <f t="shared" si="14"/>
        <v>54.0999999999985</v>
      </c>
      <c r="BG19" s="20">
        <f t="shared" si="15"/>
        <v>0.31598677794792</v>
      </c>
      <c r="BH19" s="20">
        <f t="shared" si="16"/>
        <v>0.0436682328803542</v>
      </c>
      <c r="BI19" s="20">
        <f t="shared" si="17"/>
        <v>0</v>
      </c>
      <c r="BJ19" s="20">
        <f t="shared" si="18"/>
        <v>0.0387542902012511</v>
      </c>
      <c r="BK19" s="20">
        <f t="shared" ref="BK19:BO19" si="98">IF(OR($AD19=0),"",AZ19/$AD19)</f>
        <v>0.0899200851074539</v>
      </c>
      <c r="BL19" s="20">
        <f t="shared" si="98"/>
        <v>0.0455932825897261</v>
      </c>
      <c r="BM19" s="20">
        <f t="shared" si="98"/>
        <v>0.00653503717119085</v>
      </c>
      <c r="BN19" s="20">
        <f t="shared" si="98"/>
        <v>0.00886536050355248</v>
      </c>
      <c r="BO19" s="20">
        <f t="shared" si="98"/>
        <v>0.0826504894943914</v>
      </c>
    </row>
    <row r="20" spans="1:67">
      <c r="A20" s="9">
        <f t="shared" si="20"/>
        <v>43786</v>
      </c>
      <c r="B20" s="10">
        <v>19138.17</v>
      </c>
      <c r="C20" s="8">
        <v>97651.7</v>
      </c>
      <c r="D20" s="8">
        <v>68670.4</v>
      </c>
      <c r="E20" s="8">
        <v>69581.4</v>
      </c>
      <c r="F20" s="8">
        <v>10447.74</v>
      </c>
      <c r="G20" s="8">
        <v>125779.8</v>
      </c>
      <c r="H20" s="8">
        <v>5709.7</v>
      </c>
      <c r="I20" s="8">
        <v>2566.3</v>
      </c>
      <c r="J20" s="8">
        <v>967</v>
      </c>
      <c r="K20" s="8">
        <v>56</v>
      </c>
      <c r="L20" s="8">
        <v>103027.3</v>
      </c>
      <c r="M20" s="8">
        <v>61531.1</v>
      </c>
      <c r="N20" s="8">
        <v>85957.8</v>
      </c>
      <c r="O20" s="8">
        <v>112924.5</v>
      </c>
      <c r="P20" s="8">
        <v>6357.8</v>
      </c>
      <c r="Q20" s="8">
        <v>8799.1</v>
      </c>
      <c r="R20" s="8">
        <v>5302.6</v>
      </c>
      <c r="S20" s="8">
        <v>6373.4</v>
      </c>
      <c r="T20" s="8">
        <v>8729.3</v>
      </c>
      <c r="U20" s="8">
        <v>19509.9</v>
      </c>
      <c r="V20" s="8">
        <v>55554.5</v>
      </c>
      <c r="W20" s="8">
        <v>60270.1</v>
      </c>
      <c r="X20" s="8">
        <v>6992.3</v>
      </c>
      <c r="Y20" s="8">
        <v>7214.6</v>
      </c>
      <c r="Z20" s="15">
        <f t="shared" si="21"/>
        <v>74477</v>
      </c>
      <c r="AA20" s="8">
        <v>10084.1</v>
      </c>
      <c r="AB20" s="13">
        <v>9527</v>
      </c>
      <c r="AC20" s="7">
        <f t="shared" si="22"/>
        <v>19611.1</v>
      </c>
      <c r="AD20" s="16">
        <v>204744</v>
      </c>
      <c r="AE20" s="17">
        <f t="shared" ref="AE20:AI20" si="99">IF(OR(C21=""),"",(C21-C20)*80)</f>
        <v>0</v>
      </c>
      <c r="AF20" s="17">
        <f t="shared" si="99"/>
        <v>3040</v>
      </c>
      <c r="AG20" s="17">
        <f t="shared" si="99"/>
        <v>2296.00000000093</v>
      </c>
      <c r="AH20" s="17">
        <f t="shared" si="99"/>
        <v>8.80000000004657</v>
      </c>
      <c r="AI20" s="17">
        <f t="shared" si="99"/>
        <v>2424.00000000023</v>
      </c>
      <c r="AJ20" s="17">
        <f t="shared" si="3"/>
        <v>7768.80000000121</v>
      </c>
      <c r="AK20" s="17">
        <f t="shared" ref="AK20:AN20" si="100">IF(OR(H21=""),"",(H21-H20)*80)</f>
        <v>0</v>
      </c>
      <c r="AL20" s="17">
        <f t="shared" si="100"/>
        <v>0</v>
      </c>
      <c r="AM20" s="17">
        <f t="shared" si="100"/>
        <v>0</v>
      </c>
      <c r="AN20" s="17">
        <f t="shared" si="100"/>
        <v>0</v>
      </c>
      <c r="AO20" s="17">
        <f t="shared" si="5"/>
        <v>0</v>
      </c>
      <c r="AP20" s="17">
        <f t="shared" ref="AP20:AS20" si="101">IF(OR(L21=""),"",(L21-L20)*100)</f>
        <v>2780.00000000029</v>
      </c>
      <c r="AQ20" s="17">
        <f t="shared" si="101"/>
        <v>0</v>
      </c>
      <c r="AR20" s="17">
        <f t="shared" si="101"/>
        <v>2889.99999999942</v>
      </c>
      <c r="AS20" s="17">
        <f t="shared" si="101"/>
        <v>1789.99999999942</v>
      </c>
      <c r="AT20" s="17">
        <f t="shared" si="7"/>
        <v>7459.99999999913</v>
      </c>
      <c r="AU20" s="17">
        <f t="shared" ref="AU20:AY20" si="102">IF(OR(P21=""),"",(P21-P20)*1000)</f>
        <v>2099.99999999945</v>
      </c>
      <c r="AV20" s="17">
        <f t="shared" si="102"/>
        <v>3000</v>
      </c>
      <c r="AW20" s="17">
        <f t="shared" si="102"/>
        <v>2000</v>
      </c>
      <c r="AX20" s="17">
        <f t="shared" si="102"/>
        <v>0</v>
      </c>
      <c r="AY20" s="17">
        <f t="shared" si="102"/>
        <v>8700.00000000073</v>
      </c>
      <c r="AZ20" s="17">
        <f t="shared" si="9"/>
        <v>15800.0000000002</v>
      </c>
      <c r="BA20" s="17">
        <f t="shared" si="10"/>
        <v>9000</v>
      </c>
      <c r="BB20" s="17">
        <f t="shared" si="11"/>
        <v>1032.00000000012</v>
      </c>
      <c r="BC20" s="17">
        <f t="shared" si="27"/>
        <v>1396.00000000035</v>
      </c>
      <c r="BD20" s="17">
        <f t="shared" si="12"/>
        <v>12943.2000000077</v>
      </c>
      <c r="BE20" s="17">
        <f t="shared" si="13"/>
        <v>55400.0000000087</v>
      </c>
      <c r="BF20" s="17">
        <f t="shared" si="14"/>
        <v>55.5</v>
      </c>
      <c r="BG20" s="20">
        <f t="shared" si="15"/>
        <v>0.270581799710901</v>
      </c>
      <c r="BH20" s="20">
        <f t="shared" si="16"/>
        <v>0.0379439690540441</v>
      </c>
      <c r="BI20" s="20">
        <f t="shared" si="17"/>
        <v>0</v>
      </c>
      <c r="BJ20" s="20">
        <f t="shared" si="18"/>
        <v>0.0364357441487864</v>
      </c>
      <c r="BK20" s="20">
        <f t="shared" ref="BK20:BO20" si="103">IF(OR($AD20=0),"",AZ20/$AD20)</f>
        <v>0.077169538545697</v>
      </c>
      <c r="BL20" s="20">
        <f t="shared" si="103"/>
        <v>0.0439573320829914</v>
      </c>
      <c r="BM20" s="20">
        <f t="shared" si="103"/>
        <v>0.00504044074551692</v>
      </c>
      <c r="BN20" s="20">
        <f t="shared" si="103"/>
        <v>0.0068182706208746</v>
      </c>
      <c r="BO20" s="20">
        <f t="shared" si="103"/>
        <v>0.0632165045129906</v>
      </c>
    </row>
    <row r="21" spans="1:67">
      <c r="A21" s="9">
        <f t="shared" si="20"/>
        <v>43787</v>
      </c>
      <c r="B21" s="10">
        <v>19143.71</v>
      </c>
      <c r="C21" s="8">
        <v>97651.7</v>
      </c>
      <c r="D21" s="8">
        <v>68708.4</v>
      </c>
      <c r="E21" s="8">
        <v>69610.1</v>
      </c>
      <c r="F21" s="8">
        <v>10447.85</v>
      </c>
      <c r="G21" s="8">
        <v>125810.1</v>
      </c>
      <c r="H21" s="8">
        <v>5709.7</v>
      </c>
      <c r="I21" s="8">
        <v>2566.3</v>
      </c>
      <c r="J21" s="8">
        <v>967</v>
      </c>
      <c r="K21" s="8">
        <v>56</v>
      </c>
      <c r="L21" s="8">
        <v>103055.1</v>
      </c>
      <c r="M21" s="8">
        <v>61531.1</v>
      </c>
      <c r="N21" s="8">
        <v>85986.7</v>
      </c>
      <c r="O21" s="8">
        <v>112942.4</v>
      </c>
      <c r="P21" s="8">
        <v>6359.9</v>
      </c>
      <c r="Q21" s="8">
        <v>8802.1</v>
      </c>
      <c r="R21" s="8">
        <v>5304.6</v>
      </c>
      <c r="S21" s="8">
        <v>6373.4</v>
      </c>
      <c r="T21" s="8">
        <v>8738</v>
      </c>
      <c r="U21" s="8">
        <v>19514.4</v>
      </c>
      <c r="V21" s="8">
        <v>55567.4</v>
      </c>
      <c r="W21" s="8">
        <v>60287.3</v>
      </c>
      <c r="X21" s="8">
        <v>7000.6</v>
      </c>
      <c r="Y21" s="8">
        <v>7224</v>
      </c>
      <c r="Z21" s="15">
        <f t="shared" si="21"/>
        <v>74511.9</v>
      </c>
      <c r="AA21" s="8">
        <v>10134.6</v>
      </c>
      <c r="AB21" s="13">
        <v>9532</v>
      </c>
      <c r="AC21" s="7">
        <f t="shared" si="22"/>
        <v>19666.6</v>
      </c>
      <c r="AD21" s="16">
        <v>207063</v>
      </c>
      <c r="AE21" s="17">
        <f t="shared" ref="AE21:AI21" si="104">IF(OR(C22=""),"",(C22-C21)*80)</f>
        <v>0</v>
      </c>
      <c r="AF21" s="17">
        <f t="shared" si="104"/>
        <v>3072.0000000007</v>
      </c>
      <c r="AG21" s="17">
        <f t="shared" si="104"/>
        <v>2983.99999999907</v>
      </c>
      <c r="AH21" s="17">
        <f t="shared" si="104"/>
        <v>3.99999999994179</v>
      </c>
      <c r="AI21" s="17">
        <f t="shared" si="104"/>
        <v>2440</v>
      </c>
      <c r="AJ21" s="17">
        <f t="shared" si="3"/>
        <v>8499.99999999971</v>
      </c>
      <c r="AK21" s="17">
        <f t="shared" ref="AK21:AN21" si="105">IF(OR(H22=""),"",(H22-H21)*80)</f>
        <v>0</v>
      </c>
      <c r="AL21" s="17">
        <f t="shared" si="105"/>
        <v>0</v>
      </c>
      <c r="AM21" s="17">
        <f t="shared" si="105"/>
        <v>0</v>
      </c>
      <c r="AN21" s="17">
        <f t="shared" si="105"/>
        <v>0</v>
      </c>
      <c r="AO21" s="17">
        <f t="shared" si="5"/>
        <v>0</v>
      </c>
      <c r="AP21" s="17">
        <f t="shared" ref="AP21:AS21" si="106">IF(OR(L22=""),"",(L22-L21)*100)</f>
        <v>3139.99999999942</v>
      </c>
      <c r="AQ21" s="17">
        <f t="shared" si="106"/>
        <v>0</v>
      </c>
      <c r="AR21" s="17">
        <f t="shared" si="106"/>
        <v>2880.00000000029</v>
      </c>
      <c r="AS21" s="17">
        <f t="shared" si="106"/>
        <v>1770.00000000116</v>
      </c>
      <c r="AT21" s="17">
        <f t="shared" si="7"/>
        <v>7790.00000000087</v>
      </c>
      <c r="AU21" s="17">
        <f t="shared" ref="AU21:AY21" si="107">IF(OR(P22=""),"",(P22-P21)*1000)</f>
        <v>0</v>
      </c>
      <c r="AV21" s="17">
        <f t="shared" si="107"/>
        <v>0</v>
      </c>
      <c r="AW21" s="17">
        <f t="shared" si="107"/>
        <v>4899.99999999964</v>
      </c>
      <c r="AX21" s="17">
        <f t="shared" si="107"/>
        <v>0</v>
      </c>
      <c r="AY21" s="17">
        <f t="shared" si="107"/>
        <v>8799.99999999927</v>
      </c>
      <c r="AZ21" s="17">
        <f t="shared" si="9"/>
        <v>13699.9999999989</v>
      </c>
      <c r="BA21" s="17">
        <f t="shared" si="10"/>
        <v>9799.99999999563</v>
      </c>
      <c r="BB21" s="17">
        <f t="shared" si="11"/>
        <v>1047.99999999988</v>
      </c>
      <c r="BC21" s="17">
        <f t="shared" si="27"/>
        <v>1375.99999999977</v>
      </c>
      <c r="BD21" s="17">
        <f t="shared" si="12"/>
        <v>12686.0000000212</v>
      </c>
      <c r="BE21" s="17">
        <f t="shared" si="13"/>
        <v>54900.000000016</v>
      </c>
      <c r="BF21" s="17">
        <f t="shared" si="14"/>
        <v>57.4000000000015</v>
      </c>
      <c r="BG21" s="20">
        <f t="shared" si="15"/>
        <v>0.265136697526917</v>
      </c>
      <c r="BH21" s="20">
        <f t="shared" si="16"/>
        <v>0.0410503083602561</v>
      </c>
      <c r="BI21" s="20">
        <f t="shared" si="17"/>
        <v>0</v>
      </c>
      <c r="BJ21" s="20">
        <f t="shared" si="18"/>
        <v>0.0376214002501696</v>
      </c>
      <c r="BK21" s="20">
        <f t="shared" ref="BK21:BO21" si="108">IF(OR($AD21=0),"",AZ21/$AD21)</f>
        <v>0.0661634381806451</v>
      </c>
      <c r="BL21" s="20">
        <f t="shared" si="108"/>
        <v>0.0473285908153346</v>
      </c>
      <c r="BM21" s="20">
        <f t="shared" si="108"/>
        <v>0.00506126154841707</v>
      </c>
      <c r="BN21" s="20">
        <f t="shared" si="108"/>
        <v>0.00664532050631821</v>
      </c>
      <c r="BO21" s="20">
        <f t="shared" si="108"/>
        <v>0.0612663778657763</v>
      </c>
    </row>
    <row r="22" spans="1:67">
      <c r="A22" s="9">
        <f t="shared" si="20"/>
        <v>43788</v>
      </c>
      <c r="B22" s="10">
        <v>19149.2</v>
      </c>
      <c r="C22" s="8">
        <v>97651.7</v>
      </c>
      <c r="D22" s="8">
        <v>68746.8</v>
      </c>
      <c r="E22" s="8">
        <v>69647.4</v>
      </c>
      <c r="F22" s="8">
        <v>10447.9</v>
      </c>
      <c r="G22" s="8">
        <v>125840.6</v>
      </c>
      <c r="H22" s="8">
        <v>5709.7</v>
      </c>
      <c r="I22" s="8">
        <v>2566.3</v>
      </c>
      <c r="J22" s="8">
        <v>967</v>
      </c>
      <c r="K22" s="8">
        <v>56</v>
      </c>
      <c r="L22" s="8">
        <v>103086.5</v>
      </c>
      <c r="M22" s="8">
        <v>61531.1</v>
      </c>
      <c r="N22" s="8">
        <v>86015.5</v>
      </c>
      <c r="O22" s="8">
        <v>112960.1</v>
      </c>
      <c r="P22" s="8">
        <v>6359.9</v>
      </c>
      <c r="Q22" s="8">
        <v>8802.1</v>
      </c>
      <c r="R22" s="8">
        <v>5309.5</v>
      </c>
      <c r="S22" s="8">
        <v>6373.4</v>
      </c>
      <c r="T22" s="8">
        <v>8746.8</v>
      </c>
      <c r="U22" s="8">
        <v>19519.3</v>
      </c>
      <c r="V22" s="8">
        <v>55580.5</v>
      </c>
      <c r="W22" s="8">
        <v>60304.3</v>
      </c>
      <c r="X22" s="8">
        <v>7008.8</v>
      </c>
      <c r="Y22" s="8">
        <v>7233.2</v>
      </c>
      <c r="Z22" s="15">
        <f t="shared" si="21"/>
        <v>74546.3</v>
      </c>
      <c r="AA22" s="8">
        <v>10187</v>
      </c>
      <c r="AB22" s="13">
        <v>9537</v>
      </c>
      <c r="AC22" s="7">
        <f t="shared" si="22"/>
        <v>19724</v>
      </c>
      <c r="AD22" s="16">
        <v>210801</v>
      </c>
      <c r="AE22" s="17">
        <f t="shared" ref="AE22:AI22" si="109">IF(OR(C23=""),"",(C23-C22)*80)</f>
        <v>0</v>
      </c>
      <c r="AF22" s="17">
        <f t="shared" si="109"/>
        <v>3000</v>
      </c>
      <c r="AG22" s="17">
        <f t="shared" si="109"/>
        <v>2528.00000000047</v>
      </c>
      <c r="AH22" s="17">
        <f t="shared" si="109"/>
        <v>0</v>
      </c>
      <c r="AI22" s="17">
        <f t="shared" si="109"/>
        <v>2311.99999999953</v>
      </c>
      <c r="AJ22" s="17">
        <f t="shared" si="3"/>
        <v>7840</v>
      </c>
      <c r="AK22" s="17">
        <f t="shared" ref="AK22:AN22" si="110">IF(OR(H23=""),"",(H23-H22)*80)</f>
        <v>0</v>
      </c>
      <c r="AL22" s="17">
        <f t="shared" si="110"/>
        <v>0</v>
      </c>
      <c r="AM22" s="17">
        <f t="shared" si="110"/>
        <v>0</v>
      </c>
      <c r="AN22" s="17">
        <f t="shared" si="110"/>
        <v>0</v>
      </c>
      <c r="AO22" s="17">
        <f t="shared" si="5"/>
        <v>0</v>
      </c>
      <c r="AP22" s="17">
        <f t="shared" ref="AP22:AS22" si="111">IF(OR(L23=""),"",(L23-L22)*100)</f>
        <v>3280.00000000029</v>
      </c>
      <c r="AQ22" s="17">
        <f t="shared" si="111"/>
        <v>0</v>
      </c>
      <c r="AR22" s="17">
        <f t="shared" si="111"/>
        <v>2919.99999999971</v>
      </c>
      <c r="AS22" s="17">
        <f t="shared" si="111"/>
        <v>1979.99999999884</v>
      </c>
      <c r="AT22" s="17">
        <f t="shared" si="7"/>
        <v>8179.99999999884</v>
      </c>
      <c r="AU22" s="17">
        <f t="shared" ref="AU22:AY22" si="112">IF(OR(P23=""),"",(P23-P22)*1000)</f>
        <v>0</v>
      </c>
      <c r="AV22" s="17">
        <f t="shared" si="112"/>
        <v>0</v>
      </c>
      <c r="AW22" s="17">
        <f t="shared" si="112"/>
        <v>4500</v>
      </c>
      <c r="AX22" s="17">
        <f t="shared" si="112"/>
        <v>0</v>
      </c>
      <c r="AY22" s="17">
        <f t="shared" si="112"/>
        <v>9000</v>
      </c>
      <c r="AZ22" s="17">
        <f t="shared" si="9"/>
        <v>13500</v>
      </c>
      <c r="BA22" s="17">
        <f t="shared" si="10"/>
        <v>9800.00000000291</v>
      </c>
      <c r="BB22" s="17">
        <f t="shared" si="11"/>
        <v>1000</v>
      </c>
      <c r="BC22" s="17">
        <f t="shared" si="27"/>
        <v>1335.99999999977</v>
      </c>
      <c r="BD22" s="17">
        <f t="shared" si="12"/>
        <v>12743.9999999854</v>
      </c>
      <c r="BE22" s="17">
        <f t="shared" si="13"/>
        <v>54399.9999999869</v>
      </c>
      <c r="BF22" s="17">
        <f t="shared" si="14"/>
        <v>57.5999999999985</v>
      </c>
      <c r="BG22" s="20">
        <f t="shared" si="15"/>
        <v>0.258063291919805</v>
      </c>
      <c r="BH22" s="20">
        <f t="shared" si="16"/>
        <v>0.0371914744237456</v>
      </c>
      <c r="BI22" s="20">
        <f t="shared" si="17"/>
        <v>0</v>
      </c>
      <c r="BJ22" s="20">
        <f t="shared" si="18"/>
        <v>0.0388043699982393</v>
      </c>
      <c r="BK22" s="20">
        <f t="shared" ref="BK22:BO22" si="113">IF(OR($AD22=0),"",AZ22/$AD22)</f>
        <v>0.0640414419286436</v>
      </c>
      <c r="BL22" s="20">
        <f t="shared" si="113"/>
        <v>0.0464893430296958</v>
      </c>
      <c r="BM22" s="20">
        <f t="shared" si="113"/>
        <v>0.00474381051323286</v>
      </c>
      <c r="BN22" s="20">
        <f t="shared" si="113"/>
        <v>0.006337730845678</v>
      </c>
      <c r="BO22" s="20">
        <f t="shared" si="113"/>
        <v>0.0604551211805703</v>
      </c>
    </row>
    <row r="23" spans="1:67">
      <c r="A23" s="9">
        <f t="shared" si="20"/>
        <v>43789</v>
      </c>
      <c r="B23" s="10">
        <v>19154.64</v>
      </c>
      <c r="C23" s="8">
        <v>97651.7</v>
      </c>
      <c r="D23" s="8">
        <v>68784.3</v>
      </c>
      <c r="E23" s="8">
        <v>69679</v>
      </c>
      <c r="F23" s="8">
        <v>10447.9</v>
      </c>
      <c r="G23" s="8">
        <v>125869.5</v>
      </c>
      <c r="H23" s="8">
        <v>5709.7</v>
      </c>
      <c r="I23" s="8">
        <v>2566.3</v>
      </c>
      <c r="J23" s="8">
        <v>967</v>
      </c>
      <c r="K23" s="8">
        <v>56</v>
      </c>
      <c r="L23" s="8">
        <v>103119.3</v>
      </c>
      <c r="M23" s="8">
        <v>61531.1</v>
      </c>
      <c r="N23" s="8">
        <v>86044.7</v>
      </c>
      <c r="O23" s="8">
        <v>112979.9</v>
      </c>
      <c r="P23" s="8">
        <v>6359.9</v>
      </c>
      <c r="Q23" s="8">
        <v>8802.1</v>
      </c>
      <c r="R23" s="8">
        <v>5314</v>
      </c>
      <c r="S23" s="8">
        <v>6373.4</v>
      </c>
      <c r="T23" s="8">
        <v>8755.8</v>
      </c>
      <c r="U23" s="8">
        <v>19524.2</v>
      </c>
      <c r="V23" s="8">
        <v>55593</v>
      </c>
      <c r="W23" s="8">
        <v>60321</v>
      </c>
      <c r="X23" s="8">
        <v>7016.7</v>
      </c>
      <c r="Y23" s="8">
        <v>7242</v>
      </c>
      <c r="Z23" s="15">
        <f t="shared" si="21"/>
        <v>74579.7</v>
      </c>
      <c r="AA23" s="8">
        <v>10236.6</v>
      </c>
      <c r="AB23" s="13">
        <v>9545</v>
      </c>
      <c r="AC23" s="7">
        <f t="shared" si="22"/>
        <v>19781.6</v>
      </c>
      <c r="AD23" s="16">
        <v>208008</v>
      </c>
      <c r="AE23" s="17">
        <f t="shared" ref="AE23:AI23" si="114">IF(OR(C24=""),"",(C24-C23)*80)</f>
        <v>0</v>
      </c>
      <c r="AF23" s="17">
        <f t="shared" si="114"/>
        <v>3104.00000000023</v>
      </c>
      <c r="AG23" s="17">
        <f t="shared" si="114"/>
        <v>2840</v>
      </c>
      <c r="AH23" s="17">
        <f t="shared" si="114"/>
        <v>8.0000000000291</v>
      </c>
      <c r="AI23" s="17">
        <f t="shared" si="114"/>
        <v>2488.00000000047</v>
      </c>
      <c r="AJ23" s="17">
        <f t="shared" si="3"/>
        <v>8440.00000000073</v>
      </c>
      <c r="AK23" s="17">
        <f t="shared" ref="AK23:AN23" si="115">IF(OR(H24=""),"",(H24-H23)*80)</f>
        <v>0</v>
      </c>
      <c r="AL23" s="17">
        <f t="shared" si="115"/>
        <v>0</v>
      </c>
      <c r="AM23" s="17">
        <f t="shared" si="115"/>
        <v>0</v>
      </c>
      <c r="AN23" s="17">
        <f t="shared" si="115"/>
        <v>0</v>
      </c>
      <c r="AO23" s="17">
        <f t="shared" si="5"/>
        <v>0</v>
      </c>
      <c r="AP23" s="17">
        <f t="shared" ref="AP23:AS23" si="116">IF(OR(L24=""),"",(L24-L23)*100)</f>
        <v>3109.99999999913</v>
      </c>
      <c r="AQ23" s="17">
        <f t="shared" si="116"/>
        <v>0</v>
      </c>
      <c r="AR23" s="17">
        <f t="shared" si="116"/>
        <v>2890.00000000087</v>
      </c>
      <c r="AS23" s="17">
        <f t="shared" si="116"/>
        <v>1580.00000000029</v>
      </c>
      <c r="AT23" s="17">
        <f t="shared" si="7"/>
        <v>7580.00000000029</v>
      </c>
      <c r="AU23" s="17">
        <f t="shared" ref="AU23:AY23" si="117">IF(OR(P24=""),"",(P24-P23)*1000)</f>
        <v>400.000000000546</v>
      </c>
      <c r="AV23" s="17">
        <f t="shared" si="117"/>
        <v>0</v>
      </c>
      <c r="AW23" s="17">
        <f t="shared" si="117"/>
        <v>4899.99999999964</v>
      </c>
      <c r="AX23" s="17">
        <f t="shared" si="117"/>
        <v>0</v>
      </c>
      <c r="AY23" s="17">
        <f t="shared" si="117"/>
        <v>9500</v>
      </c>
      <c r="AZ23" s="17">
        <f t="shared" si="9"/>
        <v>14800.0000000002</v>
      </c>
      <c r="BA23" s="17">
        <f t="shared" si="10"/>
        <v>9599.99999999854</v>
      </c>
      <c r="BB23" s="17">
        <f t="shared" si="11"/>
        <v>1055.99999999977</v>
      </c>
      <c r="BC23" s="17">
        <f t="shared" si="27"/>
        <v>1384.00000000023</v>
      </c>
      <c r="BD23" s="17">
        <f t="shared" si="12"/>
        <v>13640.0000000148</v>
      </c>
      <c r="BE23" s="17">
        <f t="shared" si="13"/>
        <v>56500.0000000146</v>
      </c>
      <c r="BF23" s="17">
        <f t="shared" si="14"/>
        <v>58.1000000000022</v>
      </c>
      <c r="BG23" s="20">
        <f t="shared" si="15"/>
        <v>0.271624168301289</v>
      </c>
      <c r="BH23" s="20">
        <f t="shared" si="16"/>
        <v>0.0405753624860617</v>
      </c>
      <c r="BI23" s="20">
        <f t="shared" si="17"/>
        <v>0</v>
      </c>
      <c r="BJ23" s="20">
        <f t="shared" si="18"/>
        <v>0.0364409061189968</v>
      </c>
      <c r="BK23" s="20">
        <f t="shared" ref="BK23:BO23" si="118">IF(OR($AD23=0),"",AZ23/$AD23)</f>
        <v>0.0711511095727096</v>
      </c>
      <c r="BL23" s="20">
        <f t="shared" si="118"/>
        <v>0.0461520710741825</v>
      </c>
      <c r="BM23" s="20">
        <f t="shared" si="118"/>
        <v>0.00507672781815972</v>
      </c>
      <c r="BN23" s="20">
        <f t="shared" si="118"/>
        <v>0.0066535902465301</v>
      </c>
      <c r="BO23" s="20">
        <f t="shared" si="118"/>
        <v>0.0655744009846487</v>
      </c>
    </row>
    <row r="24" spans="1:67">
      <c r="A24" s="9">
        <f t="shared" si="20"/>
        <v>43790</v>
      </c>
      <c r="B24" s="10">
        <v>19160.29</v>
      </c>
      <c r="C24" s="8">
        <v>97651.7</v>
      </c>
      <c r="D24" s="8">
        <v>68823.1</v>
      </c>
      <c r="E24" s="8">
        <v>69714.5</v>
      </c>
      <c r="F24" s="8">
        <v>10448</v>
      </c>
      <c r="G24" s="8">
        <v>125900.6</v>
      </c>
      <c r="H24" s="8">
        <v>5709.7</v>
      </c>
      <c r="I24" s="8">
        <v>2566.3</v>
      </c>
      <c r="J24" s="8">
        <v>967</v>
      </c>
      <c r="K24" s="8">
        <v>56</v>
      </c>
      <c r="L24" s="8">
        <v>103150.4</v>
      </c>
      <c r="M24" s="8">
        <v>61531.1</v>
      </c>
      <c r="N24" s="8">
        <v>86073.6</v>
      </c>
      <c r="O24" s="8">
        <v>112995.7</v>
      </c>
      <c r="P24" s="8">
        <v>6360.3</v>
      </c>
      <c r="Q24" s="8">
        <v>8802.1</v>
      </c>
      <c r="R24" s="8">
        <v>5318.9</v>
      </c>
      <c r="S24" s="8">
        <v>6373.4</v>
      </c>
      <c r="T24" s="8">
        <v>8765.3</v>
      </c>
      <c r="U24" s="8">
        <v>19529</v>
      </c>
      <c r="V24" s="8">
        <v>55606.2</v>
      </c>
      <c r="W24" s="8">
        <v>60338.1</v>
      </c>
      <c r="X24" s="8">
        <v>7025</v>
      </c>
      <c r="Y24" s="8">
        <v>7251.2</v>
      </c>
      <c r="Z24" s="15">
        <f t="shared" si="21"/>
        <v>74614.3</v>
      </c>
      <c r="AA24" s="8">
        <v>10289.7</v>
      </c>
      <c r="AB24" s="13">
        <v>9550</v>
      </c>
      <c r="AC24" s="7">
        <f t="shared" si="22"/>
        <v>19839.7</v>
      </c>
      <c r="AD24" s="16">
        <v>177870</v>
      </c>
      <c r="AE24" s="17">
        <f t="shared" ref="AE24:AI24" si="119">IF(OR(C25=""),"",(C25-C24)*80)</f>
        <v>3695.99999999977</v>
      </c>
      <c r="AF24" s="17">
        <f t="shared" si="119"/>
        <v>71.9999999995343</v>
      </c>
      <c r="AG24" s="17">
        <f t="shared" si="119"/>
        <v>2408.00000000047</v>
      </c>
      <c r="AH24" s="17">
        <f t="shared" si="119"/>
        <v>5.59999999997672</v>
      </c>
      <c r="AI24" s="17">
        <f t="shared" si="119"/>
        <v>2071.99999999953</v>
      </c>
      <c r="AJ24" s="17">
        <f t="shared" si="3"/>
        <v>8253.59999999928</v>
      </c>
      <c r="AK24" s="17">
        <f t="shared" ref="AK24:AN24" si="120">IF(OR(H25=""),"",(H25-H24)*80)</f>
        <v>0</v>
      </c>
      <c r="AL24" s="17">
        <f t="shared" si="120"/>
        <v>0</v>
      </c>
      <c r="AM24" s="17">
        <f t="shared" si="120"/>
        <v>0</v>
      </c>
      <c r="AN24" s="17">
        <f t="shared" si="120"/>
        <v>0</v>
      </c>
      <c r="AO24" s="17">
        <f t="shared" si="5"/>
        <v>0</v>
      </c>
      <c r="AP24" s="17">
        <f t="shared" ref="AP24:AS24" si="121">IF(OR(L25=""),"",(L25-L24)*100)</f>
        <v>1800</v>
      </c>
      <c r="AQ24" s="17">
        <f t="shared" si="121"/>
        <v>0</v>
      </c>
      <c r="AR24" s="17">
        <f t="shared" si="121"/>
        <v>2919.99999999971</v>
      </c>
      <c r="AS24" s="17">
        <f t="shared" si="121"/>
        <v>1869.99999999971</v>
      </c>
      <c r="AT24" s="17">
        <f t="shared" si="7"/>
        <v>6589.99999999942</v>
      </c>
      <c r="AU24" s="17">
        <f t="shared" ref="AU24:AY24" si="122">IF(OR(P25=""),"",(P25-P24)*1000)</f>
        <v>899.999999999636</v>
      </c>
      <c r="AV24" s="17">
        <f t="shared" si="122"/>
        <v>100.000000000364</v>
      </c>
      <c r="AW24" s="17">
        <f t="shared" si="122"/>
        <v>4700.00000000073</v>
      </c>
      <c r="AX24" s="17">
        <f t="shared" si="122"/>
        <v>0</v>
      </c>
      <c r="AY24" s="17">
        <f t="shared" si="122"/>
        <v>9200.00000000073</v>
      </c>
      <c r="AZ24" s="17">
        <f t="shared" si="9"/>
        <v>14900.0000000015</v>
      </c>
      <c r="BA24" s="17">
        <f t="shared" si="10"/>
        <v>8199.99999999709</v>
      </c>
      <c r="BB24" s="17">
        <f t="shared" si="11"/>
        <v>1048.00000000047</v>
      </c>
      <c r="BC24" s="17">
        <f t="shared" si="27"/>
        <v>1392.00000000012</v>
      </c>
      <c r="BD24" s="17">
        <f t="shared" si="12"/>
        <v>15216.3999999789</v>
      </c>
      <c r="BE24" s="17">
        <f t="shared" si="13"/>
        <v>55599.9999999767</v>
      </c>
      <c r="BF24" s="17">
        <f t="shared" si="14"/>
        <v>56.7000000000007</v>
      </c>
      <c r="BG24" s="20">
        <f t="shared" si="15"/>
        <v>0.312587845055247</v>
      </c>
      <c r="BH24" s="20">
        <f t="shared" si="16"/>
        <v>0.046402428740087</v>
      </c>
      <c r="BI24" s="20">
        <f t="shared" si="17"/>
        <v>0</v>
      </c>
      <c r="BJ24" s="20">
        <f t="shared" si="18"/>
        <v>0.0370495305560208</v>
      </c>
      <c r="BK24" s="20">
        <f t="shared" ref="BK24:BO24" si="123">IF(OR($AD24=0),"",AZ24/$AD24)</f>
        <v>0.083769044808014</v>
      </c>
      <c r="BL24" s="20">
        <f t="shared" si="123"/>
        <v>0.0461010850621077</v>
      </c>
      <c r="BM24" s="20">
        <f t="shared" si="123"/>
        <v>0.00589194355428383</v>
      </c>
      <c r="BN24" s="20">
        <f t="shared" si="123"/>
        <v>0.00782594029347342</v>
      </c>
      <c r="BO24" s="20">
        <f t="shared" si="123"/>
        <v>0.0855478720412599</v>
      </c>
    </row>
    <row r="25" spans="1:67">
      <c r="A25" s="9">
        <f t="shared" si="20"/>
        <v>43791</v>
      </c>
      <c r="B25" s="10">
        <v>19165.85</v>
      </c>
      <c r="C25" s="8">
        <v>97697.9</v>
      </c>
      <c r="D25" s="8">
        <v>68824</v>
      </c>
      <c r="E25" s="8">
        <v>69744.6</v>
      </c>
      <c r="F25" s="8">
        <v>10448.07</v>
      </c>
      <c r="G25" s="8">
        <v>125926.5</v>
      </c>
      <c r="H25" s="8">
        <v>5709.7</v>
      </c>
      <c r="I25" s="8">
        <v>2566.3</v>
      </c>
      <c r="J25" s="8">
        <v>967</v>
      </c>
      <c r="K25" s="8">
        <v>56</v>
      </c>
      <c r="L25" s="8">
        <v>103168.4</v>
      </c>
      <c r="M25" s="8">
        <v>61531.1</v>
      </c>
      <c r="N25" s="8">
        <v>86102.8</v>
      </c>
      <c r="O25" s="8">
        <v>113014.4</v>
      </c>
      <c r="P25" s="8">
        <v>6361.2</v>
      </c>
      <c r="Q25" s="8">
        <v>8802.2</v>
      </c>
      <c r="R25" s="8">
        <v>5323.6</v>
      </c>
      <c r="S25" s="8">
        <v>6373.4</v>
      </c>
      <c r="T25" s="8">
        <v>8774.5</v>
      </c>
      <c r="U25" s="8">
        <v>19533.1</v>
      </c>
      <c r="V25" s="8">
        <v>55619.3</v>
      </c>
      <c r="W25" s="8">
        <v>60355.1</v>
      </c>
      <c r="X25" s="8">
        <v>7033.4</v>
      </c>
      <c r="Y25" s="8">
        <v>7260.6</v>
      </c>
      <c r="Z25" s="15">
        <f t="shared" si="21"/>
        <v>74649.1</v>
      </c>
      <c r="AA25" s="8">
        <v>10341.4</v>
      </c>
      <c r="AB25" s="13">
        <v>9555</v>
      </c>
      <c r="AC25" s="7">
        <f t="shared" si="22"/>
        <v>19896.4</v>
      </c>
      <c r="AD25" s="16">
        <v>181566</v>
      </c>
      <c r="AE25" s="17">
        <f t="shared" ref="AE25:AI25" si="124">IF(OR(C26=""),"",(C26-C25)*80)</f>
        <v>3680</v>
      </c>
      <c r="AF25" s="17">
        <f t="shared" si="124"/>
        <v>0</v>
      </c>
      <c r="AG25" s="17">
        <f t="shared" si="124"/>
        <v>1527.9999999993</v>
      </c>
      <c r="AH25" s="17">
        <f t="shared" si="124"/>
        <v>4.00000000008731</v>
      </c>
      <c r="AI25" s="17">
        <f t="shared" si="124"/>
        <v>1655.99999999977</v>
      </c>
      <c r="AJ25" s="17">
        <f t="shared" si="3"/>
        <v>6867.99999999916</v>
      </c>
      <c r="AK25" s="17">
        <f t="shared" ref="AK25:AN25" si="125">IF(OR(H26=""),"",(H26-H25)*80)</f>
        <v>0</v>
      </c>
      <c r="AL25" s="17">
        <f t="shared" si="125"/>
        <v>0</v>
      </c>
      <c r="AM25" s="17">
        <f t="shared" si="125"/>
        <v>0</v>
      </c>
      <c r="AN25" s="17">
        <f t="shared" si="125"/>
        <v>0</v>
      </c>
      <c r="AO25" s="17">
        <f t="shared" si="5"/>
        <v>0</v>
      </c>
      <c r="AP25" s="17">
        <f t="shared" ref="AP25:AS25" si="126">IF(OR(L26=""),"",(L26-L25)*100)</f>
        <v>1910.00000000058</v>
      </c>
      <c r="AQ25" s="17">
        <f t="shared" si="126"/>
        <v>0</v>
      </c>
      <c r="AR25" s="17">
        <f t="shared" si="126"/>
        <v>2859.99999999913</v>
      </c>
      <c r="AS25" s="17">
        <f t="shared" si="126"/>
        <v>1920.00000000116</v>
      </c>
      <c r="AT25" s="17">
        <f t="shared" si="7"/>
        <v>6690.00000000087</v>
      </c>
      <c r="AU25" s="17">
        <f t="shared" ref="AU25:AY25" si="127">IF(OR(P26=""),"",(P26-P25)*1000)</f>
        <v>0</v>
      </c>
      <c r="AV25" s="17">
        <f t="shared" si="127"/>
        <v>0</v>
      </c>
      <c r="AW25" s="17">
        <f t="shared" si="127"/>
        <v>4099.99999999945</v>
      </c>
      <c r="AX25" s="17">
        <f t="shared" si="127"/>
        <v>0</v>
      </c>
      <c r="AY25" s="17">
        <f t="shared" si="127"/>
        <v>8100.00000000036</v>
      </c>
      <c r="AZ25" s="17">
        <f t="shared" si="9"/>
        <v>12199.9999999998</v>
      </c>
      <c r="BA25" s="17">
        <f t="shared" si="10"/>
        <v>8200.00000000437</v>
      </c>
      <c r="BB25" s="17">
        <f t="shared" si="11"/>
        <v>1071.99999999953</v>
      </c>
      <c r="BC25" s="17">
        <f t="shared" si="27"/>
        <v>1363.99999999965</v>
      </c>
      <c r="BD25" s="17">
        <f t="shared" si="12"/>
        <v>12506.0000000272</v>
      </c>
      <c r="BE25" s="17">
        <f t="shared" si="13"/>
        <v>48900.0000000306</v>
      </c>
      <c r="BF25" s="17">
        <f t="shared" si="14"/>
        <v>57.2999999999993</v>
      </c>
      <c r="BG25" s="20">
        <f t="shared" si="15"/>
        <v>0.269323551766468</v>
      </c>
      <c r="BH25" s="20">
        <f t="shared" si="16"/>
        <v>0.0378264653073767</v>
      </c>
      <c r="BI25" s="20">
        <f t="shared" si="17"/>
        <v>0</v>
      </c>
      <c r="BJ25" s="20">
        <f t="shared" si="18"/>
        <v>0.0368461055484004</v>
      </c>
      <c r="BK25" s="20">
        <f t="shared" ref="BK25:BO25" si="128">IF(OR($AD25=0),"",AZ25/$AD25)</f>
        <v>0.0671931969641883</v>
      </c>
      <c r="BL25" s="20">
        <f t="shared" si="128"/>
        <v>0.045162640582512</v>
      </c>
      <c r="BM25" s="20">
        <f t="shared" si="128"/>
        <v>0.00590418911029342</v>
      </c>
      <c r="BN25" s="20">
        <f t="shared" si="128"/>
        <v>0.00751241972615826</v>
      </c>
      <c r="BO25" s="20">
        <f t="shared" si="128"/>
        <v>0.0688785345275391</v>
      </c>
    </row>
    <row r="26" spans="1:67">
      <c r="A26" s="9">
        <f t="shared" si="20"/>
        <v>43792</v>
      </c>
      <c r="B26" s="10">
        <v>19170.74</v>
      </c>
      <c r="C26" s="8">
        <v>97743.9</v>
      </c>
      <c r="D26" s="8">
        <v>68824</v>
      </c>
      <c r="E26" s="8">
        <v>69763.7</v>
      </c>
      <c r="F26" s="8">
        <v>10448.12</v>
      </c>
      <c r="G26" s="8">
        <v>125947.2</v>
      </c>
      <c r="H26" s="8">
        <v>5709.7</v>
      </c>
      <c r="I26" s="8">
        <v>2566.3</v>
      </c>
      <c r="J26" s="8">
        <v>967</v>
      </c>
      <c r="K26" s="8">
        <v>56</v>
      </c>
      <c r="L26" s="8">
        <v>103187.5</v>
      </c>
      <c r="M26" s="8">
        <v>61531.1</v>
      </c>
      <c r="N26" s="8">
        <v>86131.4</v>
      </c>
      <c r="O26" s="8">
        <v>113033.6</v>
      </c>
      <c r="P26" s="8">
        <v>6361.2</v>
      </c>
      <c r="Q26" s="8">
        <v>8802.2</v>
      </c>
      <c r="R26" s="8">
        <v>5327.7</v>
      </c>
      <c r="S26" s="8">
        <v>6373.4</v>
      </c>
      <c r="T26" s="8">
        <v>8782.6</v>
      </c>
      <c r="U26" s="8">
        <v>19537.2</v>
      </c>
      <c r="V26" s="8">
        <v>55632.7</v>
      </c>
      <c r="W26" s="8">
        <v>60372</v>
      </c>
      <c r="X26" s="8">
        <v>7041.5</v>
      </c>
      <c r="Y26" s="8">
        <v>7269.7</v>
      </c>
      <c r="Z26" s="15">
        <f t="shared" si="21"/>
        <v>74683.2</v>
      </c>
      <c r="AA26" s="8">
        <v>10393.7</v>
      </c>
      <c r="AB26" s="13">
        <v>9560</v>
      </c>
      <c r="AC26" s="7">
        <f t="shared" si="22"/>
        <v>19953.7</v>
      </c>
      <c r="AD26" s="16">
        <v>182944</v>
      </c>
      <c r="AE26" s="17">
        <f t="shared" ref="AE26:AI26" si="129">IF(OR(C27=""),"",(C27-C26)*80)</f>
        <v>3696.00000000093</v>
      </c>
      <c r="AF26" s="17">
        <f t="shared" si="129"/>
        <v>0</v>
      </c>
      <c r="AG26" s="17">
        <f t="shared" si="129"/>
        <v>1280</v>
      </c>
      <c r="AH26" s="17">
        <f t="shared" si="129"/>
        <v>4.79999999995925</v>
      </c>
      <c r="AI26" s="17">
        <f t="shared" si="129"/>
        <v>1744.00000000023</v>
      </c>
      <c r="AJ26" s="17">
        <f t="shared" si="3"/>
        <v>6724.80000000112</v>
      </c>
      <c r="AK26" s="17">
        <f t="shared" ref="AK26:AN26" si="130">IF(OR(H27=""),"",(H27-H26)*80)</f>
        <v>0</v>
      </c>
      <c r="AL26" s="17">
        <f t="shared" si="130"/>
        <v>0</v>
      </c>
      <c r="AM26" s="17">
        <f t="shared" si="130"/>
        <v>0</v>
      </c>
      <c r="AN26" s="17">
        <f t="shared" si="130"/>
        <v>0</v>
      </c>
      <c r="AO26" s="17">
        <f t="shared" si="5"/>
        <v>0</v>
      </c>
      <c r="AP26" s="17">
        <f t="shared" ref="AP26:AS26" si="131">IF(OR(L27=""),"",(L27-L26)*100)</f>
        <v>1900</v>
      </c>
      <c r="AQ26" s="17">
        <f t="shared" si="131"/>
        <v>0</v>
      </c>
      <c r="AR26" s="17">
        <f t="shared" si="131"/>
        <v>2860.00000000058</v>
      </c>
      <c r="AS26" s="17">
        <f t="shared" si="131"/>
        <v>1879.99999999884</v>
      </c>
      <c r="AT26" s="17">
        <f t="shared" si="7"/>
        <v>6639.99999999942</v>
      </c>
      <c r="AU26" s="17">
        <f t="shared" ref="AU26:AY26" si="132">IF(OR(P27=""),"",(P27-P26)*1000)</f>
        <v>3100.00000000036</v>
      </c>
      <c r="AV26" s="17">
        <f t="shared" si="132"/>
        <v>3000</v>
      </c>
      <c r="AW26" s="17">
        <f t="shared" si="132"/>
        <v>0</v>
      </c>
      <c r="AX26" s="17">
        <f t="shared" si="132"/>
        <v>0</v>
      </c>
      <c r="AY26" s="17">
        <f t="shared" si="132"/>
        <v>7799.99999999927</v>
      </c>
      <c r="AZ26" s="17">
        <f t="shared" si="9"/>
        <v>13899.9999999996</v>
      </c>
      <c r="BA26" s="17">
        <f t="shared" si="10"/>
        <v>8199.99999999709</v>
      </c>
      <c r="BB26" s="17">
        <f t="shared" si="11"/>
        <v>760</v>
      </c>
      <c r="BC26" s="17">
        <f t="shared" si="27"/>
        <v>1348.00000000047</v>
      </c>
      <c r="BD26" s="17">
        <f t="shared" si="12"/>
        <v>11027.1999999717</v>
      </c>
      <c r="BE26" s="17">
        <f t="shared" si="13"/>
        <v>48599.9999999694</v>
      </c>
      <c r="BF26" s="17">
        <f t="shared" si="14"/>
        <v>56.0999999999985</v>
      </c>
      <c r="BG26" s="20">
        <f t="shared" si="15"/>
        <v>0.265655063844507</v>
      </c>
      <c r="BH26" s="20">
        <f t="shared" si="16"/>
        <v>0.036758789574958</v>
      </c>
      <c r="BI26" s="20">
        <f t="shared" si="17"/>
        <v>0</v>
      </c>
      <c r="BJ26" s="20">
        <f t="shared" si="18"/>
        <v>0.0362952597516148</v>
      </c>
      <c r="BK26" s="20">
        <f t="shared" ref="BK26:BO26" si="133">IF(OR($AD26=0),"",AZ26/$AD26)</f>
        <v>0.0759795347210055</v>
      </c>
      <c r="BL26" s="20">
        <f t="shared" si="133"/>
        <v>0.0448224593318015</v>
      </c>
      <c r="BM26" s="20">
        <f t="shared" si="133"/>
        <v>0.00415427671855868</v>
      </c>
      <c r="BN26" s="20">
        <f t="shared" si="133"/>
        <v>0.00736837502186716</v>
      </c>
      <c r="BO26" s="20">
        <f t="shared" si="133"/>
        <v>0.060276368724701</v>
      </c>
    </row>
    <row r="27" spans="1:67">
      <c r="A27" s="9">
        <f t="shared" si="20"/>
        <v>43793</v>
      </c>
      <c r="B27" s="10">
        <v>19175.6</v>
      </c>
      <c r="C27" s="8">
        <v>97790.1</v>
      </c>
      <c r="D27" s="8">
        <v>68824</v>
      </c>
      <c r="E27" s="8">
        <v>69779.7</v>
      </c>
      <c r="F27" s="8">
        <v>10448.18</v>
      </c>
      <c r="G27" s="8">
        <v>125969</v>
      </c>
      <c r="H27" s="8">
        <v>5709.7</v>
      </c>
      <c r="I27" s="8">
        <v>2566.3</v>
      </c>
      <c r="J27" s="8">
        <v>967</v>
      </c>
      <c r="K27" s="8">
        <v>56</v>
      </c>
      <c r="L27" s="8">
        <v>103206.5</v>
      </c>
      <c r="M27" s="8">
        <v>61531.1</v>
      </c>
      <c r="N27" s="8">
        <v>86160</v>
      </c>
      <c r="O27" s="8">
        <v>113052.4</v>
      </c>
      <c r="P27" s="8">
        <v>6364.3</v>
      </c>
      <c r="Q27" s="8">
        <v>8805.2</v>
      </c>
      <c r="R27" s="8">
        <v>5327.7</v>
      </c>
      <c r="S27" s="8">
        <v>6373.4</v>
      </c>
      <c r="T27" s="8">
        <v>8790.4</v>
      </c>
      <c r="U27" s="8">
        <v>19541.3</v>
      </c>
      <c r="V27" s="8">
        <v>55642.2</v>
      </c>
      <c r="W27" s="8">
        <v>60388.7</v>
      </c>
      <c r="X27" s="8">
        <v>7049.6</v>
      </c>
      <c r="Y27" s="8">
        <v>7278.6</v>
      </c>
      <c r="Z27" s="15">
        <f t="shared" si="21"/>
        <v>74716.9</v>
      </c>
      <c r="AA27" s="8">
        <v>10445.8</v>
      </c>
      <c r="AB27" s="13">
        <v>9564</v>
      </c>
      <c r="AC27" s="7">
        <f t="shared" si="22"/>
        <v>20009.8</v>
      </c>
      <c r="AD27" s="16">
        <v>206074</v>
      </c>
      <c r="AE27" s="17">
        <f t="shared" ref="AE27:AI27" si="134">IF(OR(C28=""),"",(C28-C27)*80)</f>
        <v>3767.9999999993</v>
      </c>
      <c r="AF27" s="17">
        <f t="shared" si="134"/>
        <v>0</v>
      </c>
      <c r="AG27" s="17">
        <f t="shared" si="134"/>
        <v>2184.00000000023</v>
      </c>
      <c r="AH27" s="17">
        <f t="shared" si="134"/>
        <v>3.99999999994179</v>
      </c>
      <c r="AI27" s="17">
        <f t="shared" si="134"/>
        <v>2408.00000000047</v>
      </c>
      <c r="AJ27" s="17">
        <f t="shared" si="3"/>
        <v>8363.99999999994</v>
      </c>
      <c r="AK27" s="17">
        <f t="shared" ref="AK27:AN27" si="135">IF(OR(H28=""),"",(H28-H27)*80)</f>
        <v>0</v>
      </c>
      <c r="AL27" s="17">
        <f t="shared" si="135"/>
        <v>0</v>
      </c>
      <c r="AM27" s="17">
        <f t="shared" si="135"/>
        <v>0</v>
      </c>
      <c r="AN27" s="17">
        <f t="shared" si="135"/>
        <v>0</v>
      </c>
      <c r="AO27" s="17">
        <f t="shared" si="5"/>
        <v>0</v>
      </c>
      <c r="AP27" s="17">
        <f t="shared" ref="AP27:AS27" si="136">IF(OR(L28=""),"",(L28-L27)*100)</f>
        <v>3010.00000000058</v>
      </c>
      <c r="AQ27" s="17">
        <f t="shared" si="136"/>
        <v>0</v>
      </c>
      <c r="AR27" s="17">
        <f t="shared" si="136"/>
        <v>2889.99999999942</v>
      </c>
      <c r="AS27" s="17">
        <f t="shared" si="136"/>
        <v>1900</v>
      </c>
      <c r="AT27" s="17">
        <f t="shared" si="7"/>
        <v>7800</v>
      </c>
      <c r="AU27" s="17">
        <f t="shared" ref="AU27:AY27" si="137">IF(OR(P28=""),"",(P28-P27)*1000)</f>
        <v>1199.99999999982</v>
      </c>
      <c r="AV27" s="17">
        <f t="shared" si="137"/>
        <v>2899.99999999964</v>
      </c>
      <c r="AW27" s="17">
        <f t="shared" si="137"/>
        <v>3800.00000000018</v>
      </c>
      <c r="AX27" s="17">
        <f t="shared" si="137"/>
        <v>0</v>
      </c>
      <c r="AY27" s="17">
        <f t="shared" si="137"/>
        <v>5500</v>
      </c>
      <c r="AZ27" s="17">
        <f t="shared" si="9"/>
        <v>13399.9999999996</v>
      </c>
      <c r="BA27" s="17">
        <f t="shared" si="10"/>
        <v>9599.99999999854</v>
      </c>
      <c r="BB27" s="17">
        <f t="shared" si="11"/>
        <v>576.000000000349</v>
      </c>
      <c r="BC27" s="17">
        <f t="shared" si="27"/>
        <v>1355.99999999919</v>
      </c>
      <c r="BD27" s="17">
        <f t="shared" si="12"/>
        <v>11904.0000000314</v>
      </c>
      <c r="BE27" s="17">
        <f t="shared" si="13"/>
        <v>53000.0000000291</v>
      </c>
      <c r="BF27" s="17">
        <f t="shared" si="14"/>
        <v>57.6000000000022</v>
      </c>
      <c r="BG27" s="20">
        <f t="shared" si="15"/>
        <v>0.257189165057354</v>
      </c>
      <c r="BH27" s="20">
        <f t="shared" si="16"/>
        <v>0.0405873618214813</v>
      </c>
      <c r="BI27" s="20">
        <f t="shared" si="17"/>
        <v>0</v>
      </c>
      <c r="BJ27" s="20">
        <f t="shared" si="18"/>
        <v>0.0378504808952124</v>
      </c>
      <c r="BK27" s="20">
        <f t="shared" ref="BK27:BO27" si="138">IF(OR($AD27=0),"",AZ27/$AD27)</f>
        <v>0.0650251851276708</v>
      </c>
      <c r="BL27" s="20">
        <f t="shared" si="138"/>
        <v>0.046585207255639</v>
      </c>
      <c r="BM27" s="20">
        <f t="shared" si="138"/>
        <v>0.00279511243534046</v>
      </c>
      <c r="BN27" s="20">
        <f t="shared" si="138"/>
        <v>0.00658016052485605</v>
      </c>
      <c r="BO27" s="20">
        <f t="shared" si="138"/>
        <v>0.0577656569971537</v>
      </c>
    </row>
    <row r="28" spans="1:67">
      <c r="A28" s="9">
        <f t="shared" si="20"/>
        <v>43794</v>
      </c>
      <c r="B28" s="10">
        <v>19180.9</v>
      </c>
      <c r="C28" s="8">
        <v>97837.2</v>
      </c>
      <c r="D28" s="8">
        <v>68824</v>
      </c>
      <c r="E28" s="8">
        <v>69807</v>
      </c>
      <c r="F28" s="8">
        <v>10448.23</v>
      </c>
      <c r="G28" s="8">
        <v>125999.1</v>
      </c>
      <c r="H28" s="8">
        <v>5709.7</v>
      </c>
      <c r="I28" s="8">
        <v>2566.3</v>
      </c>
      <c r="J28" s="8">
        <v>967</v>
      </c>
      <c r="K28" s="8">
        <v>56</v>
      </c>
      <c r="L28" s="8">
        <v>103236.6</v>
      </c>
      <c r="M28" s="8">
        <v>61531.1</v>
      </c>
      <c r="N28" s="8">
        <v>86188.9</v>
      </c>
      <c r="O28" s="8">
        <v>113071.4</v>
      </c>
      <c r="P28" s="8">
        <v>6365.5</v>
      </c>
      <c r="Q28" s="8">
        <v>8808.1</v>
      </c>
      <c r="R28" s="8">
        <v>5331.5</v>
      </c>
      <c r="S28" s="8">
        <v>6373.4</v>
      </c>
      <c r="T28" s="8">
        <v>8795.9</v>
      </c>
      <c r="U28" s="8">
        <v>19546.1</v>
      </c>
      <c r="V28" s="8">
        <v>55649.4</v>
      </c>
      <c r="W28" s="8">
        <v>60405.7</v>
      </c>
      <c r="X28" s="8">
        <v>7057.7</v>
      </c>
      <c r="Y28" s="8">
        <v>7287.4</v>
      </c>
      <c r="Z28" s="15">
        <f t="shared" si="21"/>
        <v>74750.8</v>
      </c>
      <c r="AA28" s="8">
        <v>10499.4</v>
      </c>
      <c r="AB28" s="13">
        <v>9568</v>
      </c>
      <c r="AC28" s="7">
        <f t="shared" si="22"/>
        <v>20067.4</v>
      </c>
      <c r="AD28" s="16">
        <v>184564</v>
      </c>
      <c r="AE28" s="17">
        <f t="shared" ref="AE28:AI28" si="139">IF(OR(C29=""),"",(C29-C28)*80)</f>
        <v>1664.00000000023</v>
      </c>
      <c r="AF28" s="17">
        <f t="shared" si="139"/>
        <v>1728.00000000047</v>
      </c>
      <c r="AG28" s="17">
        <f t="shared" si="139"/>
        <v>1351.99999999953</v>
      </c>
      <c r="AH28" s="17">
        <f t="shared" si="139"/>
        <v>4.80000000010477</v>
      </c>
      <c r="AI28" s="17">
        <f t="shared" si="139"/>
        <v>2143.99999999907</v>
      </c>
      <c r="AJ28" s="17">
        <f t="shared" si="3"/>
        <v>6892.79999999941</v>
      </c>
      <c r="AK28" s="17">
        <f t="shared" ref="AK28:AN28" si="140">IF(OR(H29=""),"",(H29-H28)*80)</f>
        <v>0</v>
      </c>
      <c r="AL28" s="17">
        <f t="shared" si="140"/>
        <v>0</v>
      </c>
      <c r="AM28" s="17">
        <f t="shared" si="140"/>
        <v>0</v>
      </c>
      <c r="AN28" s="17">
        <f t="shared" si="140"/>
        <v>0</v>
      </c>
      <c r="AO28" s="17">
        <f t="shared" si="5"/>
        <v>0</v>
      </c>
      <c r="AP28" s="17">
        <f t="shared" ref="AP28:AS28" si="141">IF(OR(L29=""),"",(L29-L28)*100)</f>
        <v>2150</v>
      </c>
      <c r="AQ28" s="17">
        <f t="shared" si="141"/>
        <v>0</v>
      </c>
      <c r="AR28" s="17">
        <f t="shared" si="141"/>
        <v>3010.00000000058</v>
      </c>
      <c r="AS28" s="17">
        <f t="shared" si="141"/>
        <v>2050</v>
      </c>
      <c r="AT28" s="17">
        <f t="shared" si="7"/>
        <v>7210.00000000058</v>
      </c>
      <c r="AU28" s="17">
        <f t="shared" ref="AU28:AY28" si="142">IF(OR(P29=""),"",(P29-P28)*1000)</f>
        <v>0</v>
      </c>
      <c r="AV28" s="17">
        <f t="shared" si="142"/>
        <v>0</v>
      </c>
      <c r="AW28" s="17">
        <f t="shared" si="142"/>
        <v>4699.99999999982</v>
      </c>
      <c r="AX28" s="17">
        <f t="shared" si="142"/>
        <v>0</v>
      </c>
      <c r="AY28" s="17">
        <f t="shared" si="142"/>
        <v>9100.00000000036</v>
      </c>
      <c r="AZ28" s="17">
        <f t="shared" si="9"/>
        <v>13800.0000000002</v>
      </c>
      <c r="BA28" s="17">
        <f t="shared" si="10"/>
        <v>8800.00000000291</v>
      </c>
      <c r="BB28" s="17">
        <f t="shared" si="11"/>
        <v>560</v>
      </c>
      <c r="BC28" s="17">
        <f t="shared" si="27"/>
        <v>1348.00000000047</v>
      </c>
      <c r="BD28" s="17">
        <f t="shared" si="12"/>
        <v>12589.1999999863</v>
      </c>
      <c r="BE28" s="17">
        <f t="shared" si="13"/>
        <v>51199.9999999898</v>
      </c>
      <c r="BF28" s="17">
        <f t="shared" si="14"/>
        <v>62.5999999999985</v>
      </c>
      <c r="BG28" s="20">
        <f t="shared" si="15"/>
        <v>0.27741054593523</v>
      </c>
      <c r="BH28" s="20">
        <f t="shared" si="16"/>
        <v>0.0373463947465346</v>
      </c>
      <c r="BI28" s="20">
        <f t="shared" si="17"/>
        <v>0</v>
      </c>
      <c r="BJ28" s="20">
        <f t="shared" si="18"/>
        <v>0.0390650397694056</v>
      </c>
      <c r="BK28" s="20">
        <f t="shared" ref="BK28:BO28" si="143">IF(OR($AD28=0),"",AZ28/$AD28)</f>
        <v>0.0747708112091209</v>
      </c>
      <c r="BL28" s="20">
        <f t="shared" si="143"/>
        <v>0.0476799375826429</v>
      </c>
      <c r="BM28" s="20">
        <f t="shared" si="143"/>
        <v>0.00303417784616718</v>
      </c>
      <c r="BN28" s="20">
        <f t="shared" si="143"/>
        <v>0.00730369952970496</v>
      </c>
      <c r="BO28" s="20">
        <f t="shared" si="143"/>
        <v>0.068210485251654</v>
      </c>
    </row>
    <row r="29" spans="1:67">
      <c r="A29" s="9">
        <f t="shared" si="20"/>
        <v>43795</v>
      </c>
      <c r="B29" s="10">
        <v>19186.02</v>
      </c>
      <c r="C29" s="8">
        <v>97858</v>
      </c>
      <c r="D29" s="8">
        <v>68845.6</v>
      </c>
      <c r="E29" s="8">
        <v>69823.9</v>
      </c>
      <c r="F29" s="8">
        <v>10448.29</v>
      </c>
      <c r="G29" s="8">
        <v>126025.9</v>
      </c>
      <c r="H29" s="8">
        <v>5709.7</v>
      </c>
      <c r="I29" s="8">
        <v>2566.3</v>
      </c>
      <c r="J29" s="8">
        <v>967</v>
      </c>
      <c r="K29" s="8">
        <v>56</v>
      </c>
      <c r="L29" s="8">
        <v>103258.1</v>
      </c>
      <c r="M29" s="8">
        <v>61531.1</v>
      </c>
      <c r="N29" s="8">
        <v>86219</v>
      </c>
      <c r="O29" s="8">
        <v>113091.9</v>
      </c>
      <c r="P29" s="8">
        <v>6365.5</v>
      </c>
      <c r="Q29" s="8">
        <v>8808.1</v>
      </c>
      <c r="R29" s="8">
        <v>5336.2</v>
      </c>
      <c r="S29" s="8">
        <v>6373.4</v>
      </c>
      <c r="T29" s="8">
        <v>8805</v>
      </c>
      <c r="U29" s="8">
        <v>19550.5</v>
      </c>
      <c r="V29" s="8">
        <v>55656.4</v>
      </c>
      <c r="W29" s="8">
        <v>60422.6</v>
      </c>
      <c r="X29" s="8">
        <v>7065.6</v>
      </c>
      <c r="Y29" s="8">
        <v>7296.3</v>
      </c>
      <c r="Z29" s="15">
        <f t="shared" si="21"/>
        <v>74784.5</v>
      </c>
      <c r="AA29" s="8">
        <v>10551</v>
      </c>
      <c r="AB29" s="13">
        <v>9579</v>
      </c>
      <c r="AC29" s="7">
        <f t="shared" si="22"/>
        <v>20130</v>
      </c>
      <c r="AD29" s="16">
        <v>175587</v>
      </c>
      <c r="AE29" s="17">
        <f t="shared" ref="AE29:AI29" si="144">IF(OR(C30=""),"",(C30-C29)*80)</f>
        <v>0</v>
      </c>
      <c r="AF29" s="17">
        <f t="shared" si="144"/>
        <v>3087.9999999993</v>
      </c>
      <c r="AG29" s="17">
        <f t="shared" si="144"/>
        <v>1944.00000000023</v>
      </c>
      <c r="AH29" s="17">
        <f t="shared" si="144"/>
        <v>3.99999999994179</v>
      </c>
      <c r="AI29" s="17">
        <f t="shared" si="144"/>
        <v>1496.00000000093</v>
      </c>
      <c r="AJ29" s="17">
        <f t="shared" si="3"/>
        <v>6532.00000000041</v>
      </c>
      <c r="AK29" s="17">
        <f t="shared" ref="AK29:AN29" si="145">IF(OR(H30=""),"",(H30-H29)*80)</f>
        <v>0</v>
      </c>
      <c r="AL29" s="17">
        <f t="shared" si="145"/>
        <v>0</v>
      </c>
      <c r="AM29" s="17">
        <f t="shared" si="145"/>
        <v>0</v>
      </c>
      <c r="AN29" s="17">
        <f t="shared" si="145"/>
        <v>0</v>
      </c>
      <c r="AO29" s="17">
        <f t="shared" si="5"/>
        <v>0</v>
      </c>
      <c r="AP29" s="17">
        <f t="shared" ref="AP29:AS29" si="146">IF(OR(L30=""),"",(L30-L29)*100)</f>
        <v>1550</v>
      </c>
      <c r="AQ29" s="17">
        <f t="shared" si="146"/>
        <v>0</v>
      </c>
      <c r="AR29" s="17">
        <f t="shared" si="146"/>
        <v>2710.00000000058</v>
      </c>
      <c r="AS29" s="17">
        <f t="shared" si="146"/>
        <v>1850</v>
      </c>
      <c r="AT29" s="17">
        <f t="shared" si="7"/>
        <v>6110.00000000058</v>
      </c>
      <c r="AU29" s="17">
        <f t="shared" ref="AU29:AY29" si="147">IF(OR(P30=""),"",(P30-P29)*1000)</f>
        <v>199.999999999818</v>
      </c>
      <c r="AV29" s="17">
        <f t="shared" si="147"/>
        <v>0</v>
      </c>
      <c r="AW29" s="17">
        <f t="shared" si="147"/>
        <v>4800.00000000018</v>
      </c>
      <c r="AX29" s="17">
        <f t="shared" si="147"/>
        <v>0</v>
      </c>
      <c r="AY29" s="17">
        <f t="shared" si="147"/>
        <v>9000</v>
      </c>
      <c r="AZ29" s="17">
        <f t="shared" si="9"/>
        <v>14000</v>
      </c>
      <c r="BA29" s="17">
        <f t="shared" si="10"/>
        <v>8400.00000000146</v>
      </c>
      <c r="BB29" s="17">
        <f t="shared" si="11"/>
        <v>552.000000000116</v>
      </c>
      <c r="BC29" s="17">
        <f t="shared" si="27"/>
        <v>1364.00000000023</v>
      </c>
      <c r="BD29" s="17">
        <f t="shared" si="12"/>
        <v>12542.0000000045</v>
      </c>
      <c r="BE29" s="17">
        <f t="shared" si="13"/>
        <v>49500.0000000073</v>
      </c>
      <c r="BF29" s="17">
        <f t="shared" si="14"/>
        <v>59.5</v>
      </c>
      <c r="BG29" s="20">
        <f t="shared" si="15"/>
        <v>0.281911531035938</v>
      </c>
      <c r="BH29" s="20">
        <f t="shared" si="16"/>
        <v>0.0372009317318504</v>
      </c>
      <c r="BI29" s="20">
        <f t="shared" si="17"/>
        <v>0</v>
      </c>
      <c r="BJ29" s="20">
        <f t="shared" si="18"/>
        <v>0.0347975647399898</v>
      </c>
      <c r="BK29" s="20">
        <f t="shared" ref="BK29:BO29" si="148">IF(OR($AD29=0),"",AZ29/$AD29)</f>
        <v>0.0797325542323748</v>
      </c>
      <c r="BL29" s="20">
        <f t="shared" si="148"/>
        <v>0.0478395325394332</v>
      </c>
      <c r="BM29" s="20">
        <f t="shared" si="148"/>
        <v>0.0031437407097343</v>
      </c>
      <c r="BN29" s="20">
        <f t="shared" si="148"/>
        <v>0.0077682288552127</v>
      </c>
      <c r="BO29" s="20">
        <f t="shared" si="148"/>
        <v>0.071428978227343</v>
      </c>
    </row>
    <row r="30" spans="1:67">
      <c r="A30" s="9">
        <f t="shared" si="20"/>
        <v>43796</v>
      </c>
      <c r="B30" s="10">
        <v>19190.97</v>
      </c>
      <c r="C30" s="8">
        <v>97858</v>
      </c>
      <c r="D30" s="8">
        <v>68884.2</v>
      </c>
      <c r="E30" s="8">
        <v>69848.2</v>
      </c>
      <c r="F30" s="8">
        <v>10448.34</v>
      </c>
      <c r="G30" s="8">
        <v>126044.6</v>
      </c>
      <c r="H30" s="8">
        <v>5709.7</v>
      </c>
      <c r="I30" s="8">
        <v>2566.3</v>
      </c>
      <c r="J30" s="8">
        <v>967</v>
      </c>
      <c r="K30" s="8">
        <v>56</v>
      </c>
      <c r="L30" s="8">
        <v>103273.6</v>
      </c>
      <c r="M30" s="8">
        <v>61531.1</v>
      </c>
      <c r="N30" s="8">
        <v>86246.1</v>
      </c>
      <c r="O30" s="8">
        <v>113110.4</v>
      </c>
      <c r="P30" s="8">
        <v>6365.7</v>
      </c>
      <c r="Q30" s="8">
        <v>8808.1</v>
      </c>
      <c r="R30" s="8">
        <v>5341</v>
      </c>
      <c r="S30" s="8">
        <v>6373.4</v>
      </c>
      <c r="T30" s="8">
        <v>8814</v>
      </c>
      <c r="U30" s="8">
        <v>19554.7</v>
      </c>
      <c r="V30" s="8">
        <v>55663.3</v>
      </c>
      <c r="W30" s="8">
        <v>60439.7</v>
      </c>
      <c r="X30" s="8">
        <v>7073.8</v>
      </c>
      <c r="Y30" s="8">
        <v>7305.1</v>
      </c>
      <c r="Z30" s="15">
        <f t="shared" si="21"/>
        <v>74818.6</v>
      </c>
      <c r="AA30" s="8">
        <v>10604.5</v>
      </c>
      <c r="AB30" s="13">
        <v>9585</v>
      </c>
      <c r="AC30" s="7">
        <f t="shared" si="22"/>
        <v>20189.5</v>
      </c>
      <c r="AD30" s="16">
        <v>185040</v>
      </c>
      <c r="AE30" s="17">
        <f t="shared" ref="AE30:AI30" si="149">IF(OR(C31=""),"",(C31-C30)*80)</f>
        <v>0</v>
      </c>
      <c r="AF30" s="17">
        <f t="shared" si="149"/>
        <v>3008.00000000047</v>
      </c>
      <c r="AG30" s="17">
        <f t="shared" si="149"/>
        <v>2584.00000000023</v>
      </c>
      <c r="AH30" s="17">
        <f t="shared" si="149"/>
        <v>4.79999999995925</v>
      </c>
      <c r="AI30" s="17">
        <f t="shared" si="149"/>
        <v>1880</v>
      </c>
      <c r="AJ30" s="17">
        <f t="shared" si="3"/>
        <v>7476.80000000066</v>
      </c>
      <c r="AK30" s="17">
        <f t="shared" ref="AK30:AN30" si="150">IF(OR(H31=""),"",(H31-H30)*80)</f>
        <v>0</v>
      </c>
      <c r="AL30" s="17">
        <f t="shared" si="150"/>
        <v>0</v>
      </c>
      <c r="AM30" s="17">
        <f t="shared" si="150"/>
        <v>0</v>
      </c>
      <c r="AN30" s="17">
        <f t="shared" si="150"/>
        <v>0</v>
      </c>
      <c r="AO30" s="17">
        <f t="shared" si="5"/>
        <v>0</v>
      </c>
      <c r="AP30" s="17">
        <f t="shared" ref="AP30:AS30" si="151">IF(OR(L31=""),"",(L31-L30)*100)</f>
        <v>2050</v>
      </c>
      <c r="AQ30" s="17">
        <f t="shared" si="151"/>
        <v>0</v>
      </c>
      <c r="AR30" s="17">
        <f t="shared" si="151"/>
        <v>2839.99999999942</v>
      </c>
      <c r="AS30" s="17">
        <f t="shared" si="151"/>
        <v>1860.00000000058</v>
      </c>
      <c r="AT30" s="17">
        <f t="shared" si="7"/>
        <v>6750</v>
      </c>
      <c r="AU30" s="17">
        <f t="shared" ref="AU30:AY30" si="152">IF(OR(P31=""),"",(P31-P30)*1000)</f>
        <v>0</v>
      </c>
      <c r="AV30" s="17">
        <f t="shared" si="152"/>
        <v>0</v>
      </c>
      <c r="AW30" s="17">
        <f t="shared" si="152"/>
        <v>5000</v>
      </c>
      <c r="AX30" s="17">
        <f t="shared" si="152"/>
        <v>0</v>
      </c>
      <c r="AY30" s="17">
        <f t="shared" si="152"/>
        <v>9399.99999999964</v>
      </c>
      <c r="AZ30" s="17">
        <f t="shared" si="9"/>
        <v>14399.9999999996</v>
      </c>
      <c r="BA30" s="17">
        <f t="shared" si="10"/>
        <v>8799.99999999563</v>
      </c>
      <c r="BB30" s="17">
        <f t="shared" si="11"/>
        <v>575.999999999767</v>
      </c>
      <c r="BC30" s="17">
        <f t="shared" si="27"/>
        <v>1320</v>
      </c>
      <c r="BD30" s="17">
        <f t="shared" si="12"/>
        <v>13577.1999999767</v>
      </c>
      <c r="BE30" s="17">
        <f t="shared" si="13"/>
        <v>52899.9999999724</v>
      </c>
      <c r="BF30" s="17">
        <f t="shared" si="14"/>
        <v>53.9000000000015</v>
      </c>
      <c r="BG30" s="20">
        <f t="shared" si="15"/>
        <v>0.285884133160248</v>
      </c>
      <c r="BH30" s="20">
        <f t="shared" si="16"/>
        <v>0.0404063986165189</v>
      </c>
      <c r="BI30" s="20">
        <f t="shared" si="17"/>
        <v>0</v>
      </c>
      <c r="BJ30" s="20">
        <f t="shared" si="18"/>
        <v>0.0364785992217899</v>
      </c>
      <c r="BK30" s="20">
        <f t="shared" ref="BK30:BO30" si="153">IF(OR($AD30=0),"",AZ30/$AD30)</f>
        <v>0.0778210116731498</v>
      </c>
      <c r="BL30" s="20">
        <f t="shared" si="153"/>
        <v>0.0475572849113469</v>
      </c>
      <c r="BM30" s="20">
        <f t="shared" si="153"/>
        <v>0.00311284046692481</v>
      </c>
      <c r="BN30" s="20">
        <f t="shared" si="153"/>
        <v>0.00713359273670558</v>
      </c>
      <c r="BO30" s="20">
        <f t="shared" si="153"/>
        <v>0.0733744055338125</v>
      </c>
    </row>
    <row r="31" spans="1:67">
      <c r="A31" s="9">
        <f t="shared" si="20"/>
        <v>43797</v>
      </c>
      <c r="B31" s="10">
        <v>19196.26</v>
      </c>
      <c r="C31" s="8">
        <v>97858</v>
      </c>
      <c r="D31" s="8">
        <v>68921.8</v>
      </c>
      <c r="E31" s="8">
        <v>69880.5</v>
      </c>
      <c r="F31" s="8">
        <v>10448.4</v>
      </c>
      <c r="G31" s="8">
        <v>126068.1</v>
      </c>
      <c r="H31" s="8">
        <v>5709.7</v>
      </c>
      <c r="I31" s="8">
        <v>2566.3</v>
      </c>
      <c r="J31" s="8">
        <v>967</v>
      </c>
      <c r="K31" s="8">
        <v>56</v>
      </c>
      <c r="L31" s="8">
        <v>103294.1</v>
      </c>
      <c r="M31" s="8">
        <v>61531.1</v>
      </c>
      <c r="N31" s="8">
        <v>86274.5</v>
      </c>
      <c r="O31" s="8">
        <v>113129</v>
      </c>
      <c r="P31" s="8">
        <v>6365.7</v>
      </c>
      <c r="Q31" s="8">
        <v>8808.1</v>
      </c>
      <c r="R31" s="8">
        <v>5346</v>
      </c>
      <c r="S31" s="8">
        <v>6373.4</v>
      </c>
      <c r="T31" s="8">
        <v>8823.4</v>
      </c>
      <c r="U31" s="8">
        <v>19559.1</v>
      </c>
      <c r="V31" s="8">
        <v>55670.5</v>
      </c>
      <c r="W31" s="8">
        <v>60456.3</v>
      </c>
      <c r="X31" s="8">
        <v>7081.8</v>
      </c>
      <c r="Y31" s="8">
        <v>7313.5</v>
      </c>
      <c r="Z31" s="15">
        <f t="shared" si="21"/>
        <v>74851.6</v>
      </c>
      <c r="AA31" s="8">
        <v>10655.4</v>
      </c>
      <c r="AB31" s="13">
        <v>9588</v>
      </c>
      <c r="AC31" s="7">
        <f t="shared" si="22"/>
        <v>20243.4</v>
      </c>
      <c r="AD31" s="16">
        <v>191753</v>
      </c>
      <c r="AE31" s="17">
        <f t="shared" ref="AE31:AI31" si="154">IF(OR(C32=""),"",(C32-C31)*80)</f>
        <v>0</v>
      </c>
      <c r="AF31" s="17">
        <f t="shared" si="154"/>
        <v>3080</v>
      </c>
      <c r="AG31" s="17">
        <f t="shared" si="154"/>
        <v>2400</v>
      </c>
      <c r="AH31" s="17">
        <f t="shared" si="154"/>
        <v>4.00000000008731</v>
      </c>
      <c r="AI31" s="17">
        <f t="shared" si="154"/>
        <v>2087.9999999993</v>
      </c>
      <c r="AJ31" s="17">
        <f t="shared" si="3"/>
        <v>7571.99999999939</v>
      </c>
      <c r="AK31" s="17">
        <f t="shared" ref="AK31:AN31" si="155">IF(OR(H32=""),"",(H32-H31)*80)</f>
        <v>0</v>
      </c>
      <c r="AL31" s="17">
        <f t="shared" si="155"/>
        <v>0</v>
      </c>
      <c r="AM31" s="17">
        <f t="shared" si="155"/>
        <v>0</v>
      </c>
      <c r="AN31" s="17">
        <f t="shared" si="155"/>
        <v>0</v>
      </c>
      <c r="AO31" s="17">
        <f t="shared" si="5"/>
        <v>0</v>
      </c>
      <c r="AP31" s="17">
        <f t="shared" ref="AP31:AS31" si="156">IF(OR(L32=""),"",(L32-L31)*100)</f>
        <v>2429.99999999884</v>
      </c>
      <c r="AQ31" s="17">
        <f t="shared" si="156"/>
        <v>0</v>
      </c>
      <c r="AR31" s="17">
        <f t="shared" si="156"/>
        <v>2880.00000000029</v>
      </c>
      <c r="AS31" s="17">
        <f t="shared" si="156"/>
        <v>1919.99999999971</v>
      </c>
      <c r="AT31" s="17">
        <f t="shared" si="7"/>
        <v>7229.99999999884</v>
      </c>
      <c r="AU31" s="17">
        <f t="shared" ref="AU31:AY31" si="157">IF(OR(P32=""),"",(P32-P31)*1000)</f>
        <v>2100.00000000036</v>
      </c>
      <c r="AV31" s="17">
        <f t="shared" si="157"/>
        <v>2699.99999999891</v>
      </c>
      <c r="AW31" s="17">
        <f t="shared" si="157"/>
        <v>3100.00000000036</v>
      </c>
      <c r="AX31" s="17">
        <f t="shared" si="157"/>
        <v>3800.00000000018</v>
      </c>
      <c r="AY31" s="17">
        <f t="shared" si="157"/>
        <v>2500</v>
      </c>
      <c r="AZ31" s="17">
        <f t="shared" si="9"/>
        <v>14199.9999999998</v>
      </c>
      <c r="BA31" s="17">
        <f t="shared" si="10"/>
        <v>9200.00000000437</v>
      </c>
      <c r="BB31" s="17">
        <f t="shared" si="11"/>
        <v>584.000000000233</v>
      </c>
      <c r="BC31" s="17">
        <f t="shared" si="27"/>
        <v>1347.99999999988</v>
      </c>
      <c r="BD31" s="17">
        <f t="shared" si="12"/>
        <v>9865.99999999748</v>
      </c>
      <c r="BE31" s="17">
        <f t="shared" si="13"/>
        <v>50000</v>
      </c>
      <c r="BF31" s="17">
        <f t="shared" si="14"/>
        <v>60.7999999999993</v>
      </c>
      <c r="BG31" s="20">
        <f t="shared" si="15"/>
        <v>0.260752113395879</v>
      </c>
      <c r="BH31" s="20">
        <f t="shared" si="16"/>
        <v>0.0394883000526687</v>
      </c>
      <c r="BI31" s="20">
        <f t="shared" si="17"/>
        <v>0</v>
      </c>
      <c r="BJ31" s="20">
        <f t="shared" si="18"/>
        <v>0.037704755597038</v>
      </c>
      <c r="BK31" s="20">
        <f t="shared" ref="BK31:BO31" si="158">IF(OR($AD31=0),"",AZ31/$AD31)</f>
        <v>0.0740536002044287</v>
      </c>
      <c r="BL31" s="20">
        <f t="shared" si="158"/>
        <v>0.0479783888648645</v>
      </c>
      <c r="BM31" s="20">
        <f t="shared" si="158"/>
        <v>0.00304558468446508</v>
      </c>
      <c r="BN31" s="20">
        <f t="shared" si="158"/>
        <v>0.00702987697715229</v>
      </c>
      <c r="BO31" s="20">
        <f t="shared" si="158"/>
        <v>0.0514516070152617</v>
      </c>
    </row>
    <row r="32" spans="1:67">
      <c r="A32" s="9">
        <f t="shared" si="20"/>
        <v>43798</v>
      </c>
      <c r="B32" s="10">
        <v>19201.26</v>
      </c>
      <c r="C32" s="8">
        <v>97858</v>
      </c>
      <c r="D32" s="8">
        <v>68960.3</v>
      </c>
      <c r="E32" s="8">
        <v>69910.5</v>
      </c>
      <c r="F32" s="8">
        <v>10448.45</v>
      </c>
      <c r="G32" s="8">
        <v>126094.2</v>
      </c>
      <c r="H32" s="8">
        <v>5709.7</v>
      </c>
      <c r="I32" s="8">
        <v>2566.3</v>
      </c>
      <c r="J32" s="8">
        <v>967</v>
      </c>
      <c r="K32" s="8">
        <v>56</v>
      </c>
      <c r="L32" s="8">
        <v>103318.4</v>
      </c>
      <c r="M32" s="8">
        <v>61531.1</v>
      </c>
      <c r="N32" s="8">
        <v>86303.3</v>
      </c>
      <c r="O32" s="8">
        <v>113148.2</v>
      </c>
      <c r="P32" s="8">
        <v>6367.8</v>
      </c>
      <c r="Q32" s="8">
        <v>8810.8</v>
      </c>
      <c r="R32" s="8">
        <v>5349.1</v>
      </c>
      <c r="S32" s="8">
        <v>6377.2</v>
      </c>
      <c r="T32" s="8">
        <v>8825.9</v>
      </c>
      <c r="U32" s="8">
        <v>19563.7</v>
      </c>
      <c r="V32" s="8">
        <v>55677.8</v>
      </c>
      <c r="W32" s="8">
        <v>60473.3</v>
      </c>
      <c r="X32" s="8">
        <v>7089.9</v>
      </c>
      <c r="Y32" s="8">
        <v>7322.1</v>
      </c>
      <c r="Z32" s="15">
        <f t="shared" si="21"/>
        <v>74885.3</v>
      </c>
      <c r="AA32" s="8">
        <v>10710.2</v>
      </c>
      <c r="AB32" s="13">
        <v>9594</v>
      </c>
      <c r="AC32" s="7">
        <f t="shared" si="22"/>
        <v>20304.2</v>
      </c>
      <c r="AD32" s="16">
        <v>199868</v>
      </c>
      <c r="AE32" s="17">
        <f t="shared" ref="AE32:AI32" si="159">IF(OR(C33=""),"",(C33-C32)*80)</f>
        <v>0</v>
      </c>
      <c r="AF32" s="17">
        <f t="shared" si="159"/>
        <v>3095.99999999977</v>
      </c>
      <c r="AG32" s="17">
        <f t="shared" si="159"/>
        <v>2320</v>
      </c>
      <c r="AH32" s="17">
        <f t="shared" si="159"/>
        <v>4.79999999995925</v>
      </c>
      <c r="AI32" s="17">
        <f t="shared" si="159"/>
        <v>2272.0000000007</v>
      </c>
      <c r="AJ32" s="17">
        <f t="shared" si="3"/>
        <v>7692.80000000042</v>
      </c>
      <c r="AK32" s="17">
        <f t="shared" ref="AK32:AN32" si="160">IF(OR(H33=""),"",(H33-H32)*80)</f>
        <v>0</v>
      </c>
      <c r="AL32" s="17">
        <f t="shared" si="160"/>
        <v>0</v>
      </c>
      <c r="AM32" s="17">
        <f t="shared" si="160"/>
        <v>0</v>
      </c>
      <c r="AN32" s="17">
        <f t="shared" si="160"/>
        <v>0</v>
      </c>
      <c r="AO32" s="17">
        <f t="shared" si="5"/>
        <v>0</v>
      </c>
      <c r="AP32" s="17">
        <f t="shared" ref="AP32:AS32" si="161">IF(OR(L33=""),"",(L33-L32)*100)</f>
        <v>2760.00000000058</v>
      </c>
      <c r="AQ32" s="17">
        <f t="shared" si="161"/>
        <v>0</v>
      </c>
      <c r="AR32" s="17">
        <f t="shared" si="161"/>
        <v>2850</v>
      </c>
      <c r="AS32" s="17">
        <f t="shared" si="161"/>
        <v>1919.99999999971</v>
      </c>
      <c r="AT32" s="17">
        <f t="shared" si="7"/>
        <v>7530.00000000029</v>
      </c>
      <c r="AU32" s="17">
        <f t="shared" ref="AU32:AY32" si="162">IF(OR(P33=""),"",(P33-P32)*1000)</f>
        <v>0</v>
      </c>
      <c r="AV32" s="17">
        <f t="shared" si="162"/>
        <v>0</v>
      </c>
      <c r="AW32" s="17">
        <f t="shared" si="162"/>
        <v>4599.99999999945</v>
      </c>
      <c r="AX32" s="17">
        <f t="shared" si="162"/>
        <v>5000</v>
      </c>
      <c r="AY32" s="17">
        <f t="shared" si="162"/>
        <v>0</v>
      </c>
      <c r="AZ32" s="17">
        <f t="shared" si="9"/>
        <v>9599.99999999945</v>
      </c>
      <c r="BA32" s="17">
        <f t="shared" si="10"/>
        <v>9199.99999999709</v>
      </c>
      <c r="BB32" s="17">
        <f t="shared" si="11"/>
        <v>543.999999999651</v>
      </c>
      <c r="BC32" s="17">
        <f t="shared" si="27"/>
        <v>1367.99999999988</v>
      </c>
      <c r="BD32" s="17">
        <f t="shared" si="12"/>
        <v>22465.2000000047</v>
      </c>
      <c r="BE32" s="17">
        <f t="shared" si="13"/>
        <v>58400.0000000015</v>
      </c>
      <c r="BF32" s="17">
        <f t="shared" si="14"/>
        <v>56.7000000000007</v>
      </c>
      <c r="BG32" s="20">
        <f t="shared" si="15"/>
        <v>0.292192847279212</v>
      </c>
      <c r="BH32" s="20">
        <f t="shared" si="16"/>
        <v>0.0384894030059861</v>
      </c>
      <c r="BI32" s="20">
        <f t="shared" si="17"/>
        <v>0</v>
      </c>
      <c r="BJ32" s="20">
        <f t="shared" si="18"/>
        <v>0.0376748654111728</v>
      </c>
      <c r="BK32" s="20">
        <f t="shared" ref="BK32:BO32" si="163">IF(OR($AD32=0),"",AZ32/$AD32)</f>
        <v>0.0480317009226062</v>
      </c>
      <c r="BL32" s="20">
        <f t="shared" si="163"/>
        <v>0.046030380050819</v>
      </c>
      <c r="BM32" s="20">
        <f t="shared" si="163"/>
        <v>0.00272179638561276</v>
      </c>
      <c r="BN32" s="20">
        <f t="shared" si="163"/>
        <v>0.00684451738147119</v>
      </c>
      <c r="BO32" s="20">
        <f t="shared" si="163"/>
        <v>0.112400184121544</v>
      </c>
    </row>
    <row r="33" spans="1:67">
      <c r="A33" s="9">
        <f t="shared" si="20"/>
        <v>43799</v>
      </c>
      <c r="B33" s="10">
        <v>19207.1</v>
      </c>
      <c r="C33" s="8">
        <v>97858</v>
      </c>
      <c r="D33" s="8">
        <v>68999</v>
      </c>
      <c r="E33" s="8">
        <v>69939.5</v>
      </c>
      <c r="F33" s="8">
        <v>10448.51</v>
      </c>
      <c r="G33" s="8">
        <v>126122.6</v>
      </c>
      <c r="H33" s="8">
        <v>5709.7</v>
      </c>
      <c r="I33" s="8">
        <v>2566.3</v>
      </c>
      <c r="J33" s="8">
        <v>967</v>
      </c>
      <c r="K33" s="8">
        <v>56</v>
      </c>
      <c r="L33" s="8">
        <v>103346</v>
      </c>
      <c r="M33" s="8">
        <v>61531.1</v>
      </c>
      <c r="N33" s="8">
        <v>86331.8</v>
      </c>
      <c r="O33" s="8">
        <v>113167.4</v>
      </c>
      <c r="P33" s="8">
        <v>6367.8</v>
      </c>
      <c r="Q33" s="8">
        <v>8810.8</v>
      </c>
      <c r="R33" s="8">
        <v>5353.7</v>
      </c>
      <c r="S33" s="8">
        <v>6382.2</v>
      </c>
      <c r="T33" s="8">
        <v>8825.9</v>
      </c>
      <c r="U33" s="8">
        <v>19568.3</v>
      </c>
      <c r="V33" s="8">
        <v>55684.6</v>
      </c>
      <c r="W33" s="8">
        <v>60490.4</v>
      </c>
      <c r="X33" s="8">
        <v>7098.2</v>
      </c>
      <c r="Y33" s="8">
        <v>7330.9</v>
      </c>
      <c r="Z33" s="15">
        <f t="shared" si="21"/>
        <v>74919.5</v>
      </c>
      <c r="AA33" s="8">
        <v>10763.9</v>
      </c>
      <c r="AB33" s="13">
        <v>9597</v>
      </c>
      <c r="AC33" s="7">
        <f t="shared" si="22"/>
        <v>20360.9</v>
      </c>
      <c r="AD33" s="16">
        <v>203719</v>
      </c>
      <c r="AE33" s="17">
        <f t="shared" ref="AE33:AI33" si="164">IF(OR(C34=""),"",(C34-C33)*80)</f>
        <v>0</v>
      </c>
      <c r="AF33" s="17">
        <f t="shared" si="164"/>
        <v>3031.99999999953</v>
      </c>
      <c r="AG33" s="17">
        <f t="shared" si="164"/>
        <v>2551.99999999953</v>
      </c>
      <c r="AH33" s="17">
        <f t="shared" si="164"/>
        <v>3.99999999994179</v>
      </c>
      <c r="AI33" s="17">
        <f t="shared" si="164"/>
        <v>2407.9999999993</v>
      </c>
      <c r="AJ33" s="17">
        <f t="shared" si="3"/>
        <v>7995.99999999831</v>
      </c>
      <c r="AK33" s="17">
        <f t="shared" ref="AK33:AN33" si="165">IF(OR(H34=""),"",(H34-H33)*80)</f>
        <v>0</v>
      </c>
      <c r="AL33" s="17">
        <f t="shared" si="165"/>
        <v>0</v>
      </c>
      <c r="AM33" s="17">
        <f t="shared" si="165"/>
        <v>0</v>
      </c>
      <c r="AN33" s="17">
        <f t="shared" si="165"/>
        <v>0</v>
      </c>
      <c r="AO33" s="17">
        <f t="shared" si="5"/>
        <v>0</v>
      </c>
      <c r="AP33" s="17">
        <f t="shared" ref="AP33:AS33" si="166">IF(OR(L34=""),"",(L34-L33)*100)</f>
        <v>2839.99999999942</v>
      </c>
      <c r="AQ33" s="17">
        <f t="shared" si="166"/>
        <v>0</v>
      </c>
      <c r="AR33" s="17">
        <f t="shared" si="166"/>
        <v>2869.99999999971</v>
      </c>
      <c r="AS33" s="17">
        <f t="shared" si="166"/>
        <v>1960.00000000058</v>
      </c>
      <c r="AT33" s="17">
        <f t="shared" si="7"/>
        <v>7669.99999999971</v>
      </c>
      <c r="AU33" s="17">
        <f t="shared" ref="AU33:AY33" si="167">IF(OR(P34=""),"",(P34-P33)*1000)</f>
        <v>0</v>
      </c>
      <c r="AV33" s="17">
        <f t="shared" si="167"/>
        <v>0</v>
      </c>
      <c r="AW33" s="17">
        <f t="shared" si="167"/>
        <v>4199.99999999982</v>
      </c>
      <c r="AX33" s="17">
        <f t="shared" si="167"/>
        <v>4800.00000000018</v>
      </c>
      <c r="AY33" s="17">
        <f t="shared" si="167"/>
        <v>100.000000000364</v>
      </c>
      <c r="AZ33" s="17">
        <f t="shared" si="9"/>
        <v>9100.00000000036</v>
      </c>
      <c r="BA33" s="17">
        <f t="shared" si="10"/>
        <v>9200.00000000437</v>
      </c>
      <c r="BB33" s="17">
        <f t="shared" si="11"/>
        <v>480</v>
      </c>
      <c r="BC33" s="17">
        <f t="shared" si="27"/>
        <v>1360</v>
      </c>
      <c r="BD33" s="17">
        <f t="shared" si="12"/>
        <v>15694.0000000118</v>
      </c>
      <c r="BE33" s="17">
        <f t="shared" si="13"/>
        <v>51500.0000000146</v>
      </c>
      <c r="BF33" s="17">
        <f t="shared" si="14"/>
        <v>53.0999999999985</v>
      </c>
      <c r="BG33" s="20">
        <f t="shared" si="15"/>
        <v>0.252799198896591</v>
      </c>
      <c r="BH33" s="20">
        <f t="shared" si="16"/>
        <v>0.0392501435801192</v>
      </c>
      <c r="BI33" s="20">
        <f t="shared" si="17"/>
        <v>0</v>
      </c>
      <c r="BJ33" s="20">
        <f t="shared" si="18"/>
        <v>0.0376499001074996</v>
      </c>
      <c r="BK33" s="20">
        <f t="shared" ref="BK33:BO33" si="168">IF(OR($AD33=0),"",AZ33/$AD33)</f>
        <v>0.0446693730089013</v>
      </c>
      <c r="BL33" s="20">
        <f t="shared" si="168"/>
        <v>0.045160245239788</v>
      </c>
      <c r="BM33" s="20">
        <f t="shared" si="168"/>
        <v>0.00235618670816173</v>
      </c>
      <c r="BN33" s="20">
        <f t="shared" si="168"/>
        <v>0.00667586233979158</v>
      </c>
      <c r="BO33" s="20">
        <f t="shared" si="168"/>
        <v>0.0770374879123292</v>
      </c>
    </row>
    <row r="34" spans="1:67">
      <c r="A34" s="9">
        <f t="shared" si="20"/>
        <v>43800</v>
      </c>
      <c r="B34" s="7">
        <v>19212.25</v>
      </c>
      <c r="C34" s="8">
        <v>97858</v>
      </c>
      <c r="D34" s="8">
        <v>69036.9</v>
      </c>
      <c r="E34" s="8">
        <v>69971.4</v>
      </c>
      <c r="F34" s="8">
        <v>10448.56</v>
      </c>
      <c r="G34" s="8">
        <v>126152.7</v>
      </c>
      <c r="H34" s="8">
        <v>5709.7</v>
      </c>
      <c r="I34" s="8">
        <v>2566.3</v>
      </c>
      <c r="J34" s="8">
        <v>967</v>
      </c>
      <c r="K34" s="8">
        <v>56</v>
      </c>
      <c r="L34" s="8">
        <v>103374.4</v>
      </c>
      <c r="M34" s="8">
        <v>61531.1</v>
      </c>
      <c r="N34" s="8">
        <v>86360.5</v>
      </c>
      <c r="O34" s="8">
        <v>113187</v>
      </c>
      <c r="P34" s="8">
        <v>6367.8</v>
      </c>
      <c r="Q34" s="8">
        <v>8810.8</v>
      </c>
      <c r="R34" s="8">
        <v>5357.9</v>
      </c>
      <c r="S34" s="8">
        <v>6387</v>
      </c>
      <c r="T34" s="8">
        <v>8826</v>
      </c>
      <c r="U34" s="8">
        <v>19572.9</v>
      </c>
      <c r="V34" s="8">
        <v>55690.6</v>
      </c>
      <c r="W34" s="8">
        <v>60507.5</v>
      </c>
      <c r="X34" s="8">
        <v>7106.5</v>
      </c>
      <c r="Y34" s="8">
        <v>7339.5</v>
      </c>
      <c r="Z34" s="15">
        <f t="shared" si="21"/>
        <v>74953.5</v>
      </c>
      <c r="AA34" s="8">
        <v>10813</v>
      </c>
      <c r="AB34" s="13">
        <v>9601</v>
      </c>
      <c r="AC34" s="7">
        <f t="shared" si="22"/>
        <v>20414</v>
      </c>
      <c r="AD34" s="16"/>
      <c r="AE34" s="17" t="str">
        <f t="shared" ref="AE34:AI34" si="169">IF(OR(C35=""),"",(C35-C34)*80)</f>
        <v/>
      </c>
      <c r="AF34" s="17" t="str">
        <f t="shared" si="169"/>
        <v/>
      </c>
      <c r="AG34" s="17" t="str">
        <f t="shared" si="169"/>
        <v/>
      </c>
      <c r="AH34" s="17" t="str">
        <f t="shared" si="169"/>
        <v/>
      </c>
      <c r="AI34" s="17" t="str">
        <f t="shared" si="169"/>
        <v/>
      </c>
      <c r="AJ34" s="17" t="str">
        <f t="shared" si="3"/>
        <v/>
      </c>
      <c r="AK34" s="17" t="str">
        <f t="shared" ref="AK34:AN34" si="170">IF(OR(H35=""),"",(H35-H34)*80)</f>
        <v/>
      </c>
      <c r="AL34" s="17" t="str">
        <f t="shared" si="170"/>
        <v/>
      </c>
      <c r="AM34" s="17" t="str">
        <f t="shared" si="170"/>
        <v/>
      </c>
      <c r="AN34" s="17" t="str">
        <f t="shared" si="170"/>
        <v/>
      </c>
      <c r="AO34" s="17" t="str">
        <f t="shared" si="5"/>
        <v/>
      </c>
      <c r="AP34" s="17" t="str">
        <f t="shared" ref="AP34:AS34" si="171">IF(OR(L35=""),"",(L35-L34)*100)</f>
        <v/>
      </c>
      <c r="AQ34" s="17" t="str">
        <f t="shared" si="171"/>
        <v/>
      </c>
      <c r="AR34" s="17" t="str">
        <f t="shared" si="171"/>
        <v/>
      </c>
      <c r="AS34" s="17" t="str">
        <f t="shared" si="171"/>
        <v/>
      </c>
      <c r="AT34" s="17" t="str">
        <f t="shared" si="7"/>
        <v/>
      </c>
      <c r="AU34" s="17" t="str">
        <f t="shared" ref="AU34:AY34" si="172">IF(OR(P35=""),"",(P35-P34)*1000)</f>
        <v/>
      </c>
      <c r="AV34" s="17" t="str">
        <f t="shared" si="172"/>
        <v/>
      </c>
      <c r="AW34" s="17" t="str">
        <f t="shared" si="172"/>
        <v/>
      </c>
      <c r="AX34" s="17" t="str">
        <f t="shared" si="172"/>
        <v/>
      </c>
      <c r="AY34" s="17" t="str">
        <f t="shared" si="172"/>
        <v/>
      </c>
      <c r="AZ34" s="17" t="str">
        <f t="shared" si="9"/>
        <v/>
      </c>
      <c r="BA34" s="17" t="str">
        <f t="shared" si="10"/>
        <v/>
      </c>
      <c r="BB34" s="17" t="str">
        <f t="shared" si="11"/>
        <v/>
      </c>
      <c r="BC34" s="17" t="str">
        <f t="shared" si="27"/>
        <v/>
      </c>
      <c r="BD34" s="17" t="str">
        <f t="shared" si="12"/>
        <v/>
      </c>
      <c r="BE34" s="17" t="str">
        <f t="shared" si="13"/>
        <v/>
      </c>
      <c r="BF34" s="17" t="str">
        <f t="shared" si="14"/>
        <v/>
      </c>
      <c r="BG34" s="20" t="str">
        <f t="shared" si="15"/>
        <v/>
      </c>
      <c r="BH34" s="20" t="str">
        <f t="shared" si="16"/>
        <v/>
      </c>
      <c r="BI34" s="20" t="str">
        <f t="shared" si="17"/>
        <v/>
      </c>
      <c r="BJ34" s="20" t="str">
        <f t="shared" si="18"/>
        <v/>
      </c>
      <c r="BK34" s="20" t="str">
        <f t="shared" ref="BK34:BO34" si="173">IF(OR($AD34=0),"",AZ34/$AD34)</f>
        <v/>
      </c>
      <c r="BL34" s="20" t="str">
        <f t="shared" si="173"/>
        <v/>
      </c>
      <c r="BM34" s="20" t="str">
        <f t="shared" si="173"/>
        <v/>
      </c>
      <c r="BN34" s="20" t="str">
        <f t="shared" si="173"/>
        <v/>
      </c>
      <c r="BO34" s="20" t="str">
        <f t="shared" si="173"/>
        <v/>
      </c>
    </row>
    <row r="35" spans="1:67">
      <c r="A35" s="9"/>
      <c r="B35" s="10"/>
      <c r="C35" s="11"/>
      <c r="D35" s="11"/>
      <c r="E35" s="11"/>
      <c r="F35" s="11"/>
      <c r="G35" s="11"/>
      <c r="H35" s="8"/>
      <c r="I35" s="8"/>
      <c r="J35" s="8"/>
      <c r="K35" s="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5" t="str">
        <f t="shared" si="21"/>
        <v/>
      </c>
      <c r="AA35" s="11"/>
      <c r="BE35" s="21" t="s">
        <v>44</v>
      </c>
      <c r="BF35" s="21" t="s">
        <v>19</v>
      </c>
      <c r="BG35" s="22">
        <f>SUM(BE4:BE34)</f>
        <v>1552500</v>
      </c>
      <c r="BH35" s="22">
        <f>SUM(AJ4:AJ34)</f>
        <v>219851.199999998</v>
      </c>
      <c r="BI35" s="22">
        <f>SUM(AO4:AO34)</f>
        <v>0</v>
      </c>
      <c r="BJ35" s="22">
        <f>SUM(AT4:AT34)</f>
        <v>201560.000000001</v>
      </c>
      <c r="BK35" s="22">
        <f t="shared" ref="BK35:BO35" si="174">SUM(AZ4:AZ34)</f>
        <v>429800</v>
      </c>
      <c r="BL35" s="22">
        <f t="shared" si="174"/>
        <v>247400.000000001</v>
      </c>
      <c r="BM35" s="22">
        <f t="shared" si="174"/>
        <v>26175.9999999998</v>
      </c>
      <c r="BN35" s="22">
        <f t="shared" si="174"/>
        <v>41492.0000000001</v>
      </c>
      <c r="BO35" s="22">
        <f t="shared" si="174"/>
        <v>386220.8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5394921</v>
      </c>
      <c r="BF36" s="21" t="s">
        <v>21</v>
      </c>
      <c r="BG36" s="23">
        <f>IF(OR(BG35=0),"",ROUND(BG35/$BE$36,3))</f>
        <v>0.288</v>
      </c>
      <c r="BH36" s="23">
        <f t="shared" ref="BH36:BO36" si="175">IF(OR(BH35=0),"",ROUND(BH35/$BE$36,4))</f>
        <v>0.0408</v>
      </c>
      <c r="BI36" s="23" t="str">
        <f t="shared" si="175"/>
        <v/>
      </c>
      <c r="BJ36" s="23">
        <f t="shared" si="175"/>
        <v>0.0374</v>
      </c>
      <c r="BK36" s="23">
        <f t="shared" si="175"/>
        <v>0.0797</v>
      </c>
      <c r="BL36" s="23">
        <f t="shared" si="175"/>
        <v>0.0459</v>
      </c>
      <c r="BM36" s="23">
        <f t="shared" si="175"/>
        <v>0.0049</v>
      </c>
      <c r="BN36" s="23">
        <f t="shared" si="175"/>
        <v>0.0077</v>
      </c>
      <c r="BO36" s="23">
        <f t="shared" si="175"/>
        <v>0.0716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6"/>
  <sheetViews>
    <sheetView showGridLines="0" zoomScale="90" zoomScaleNormal="90" workbookViewId="0">
      <pane xSplit="1" ySplit="3" topLeftCell="B7" activePane="bottomRight" state="frozen"/>
      <selection/>
      <selection pane="topRight"/>
      <selection pane="bottomLeft"/>
      <selection pane="bottomRight" activeCell="S39" sqref="S39"/>
    </sheetView>
  </sheetViews>
  <sheetFormatPr defaultColWidth="9" defaultRowHeight="14.25"/>
  <cols>
    <col min="1" max="1" width="8" style="1" customWidth="1"/>
    <col min="2" max="2" width="9.21666666666667" style="2" customWidth="1"/>
    <col min="3" max="3" width="8.55833333333333" style="3" customWidth="1"/>
    <col min="4" max="4" width="8.44166666666667" style="3" customWidth="1"/>
    <col min="5" max="6" width="8.55833333333333" style="3" customWidth="1"/>
    <col min="7" max="7" width="8.66666666666667" style="3" customWidth="1"/>
    <col min="8" max="9" width="6.66666666666667" style="3" customWidth="1"/>
    <col min="10" max="10" width="5.775" style="3" customWidth="1"/>
    <col min="11" max="11" width="4.88333333333333" style="3" customWidth="1"/>
    <col min="12" max="12" width="9.55833333333333" style="3" customWidth="1"/>
    <col min="13" max="14" width="8.55833333333333" style="3" customWidth="1"/>
    <col min="15" max="15" width="9.55833333333333" style="3" customWidth="1"/>
    <col min="16" max="20" width="6.66666666666667" style="3" customWidth="1"/>
    <col min="21" max="22" width="8.55833333333333" style="3" customWidth="1"/>
    <col min="23" max="23" width="9.10833333333333" style="3" customWidth="1"/>
    <col min="24" max="24" width="7.44166666666667" style="3" customWidth="1"/>
    <col min="25" max="25" width="8.21666666666667" style="3" customWidth="1"/>
    <col min="26" max="26" width="9" style="3" customWidth="1"/>
    <col min="27" max="28" width="8.55833333333333" style="3" customWidth="1"/>
    <col min="29" max="29" width="8.88333333333333" style="3" customWidth="1"/>
    <col min="30" max="30" width="8.775" style="3" customWidth="1"/>
    <col min="31" max="31" width="4" style="1" customWidth="1"/>
    <col min="32" max="32" width="5.88333333333333" style="1" customWidth="1"/>
    <col min="33" max="33" width="6.88333333333333" style="1" customWidth="1"/>
    <col min="34" max="34" width="4" style="1" customWidth="1"/>
    <col min="35" max="35" width="5.88333333333333" style="1" customWidth="1"/>
    <col min="36" max="36" width="8.66666666666667" style="1" customWidth="1"/>
    <col min="37" max="40" width="4" style="1" customWidth="1"/>
    <col min="41" max="41" width="6.66666666666667" style="1" customWidth="1"/>
    <col min="42" max="42" width="5.10833333333333" style="1" customWidth="1"/>
    <col min="43" max="43" width="4" style="1" customWidth="1"/>
    <col min="44" max="44" width="5.33333333333333" style="1" customWidth="1"/>
    <col min="45" max="45" width="5.775" style="1" customWidth="1"/>
    <col min="46" max="46" width="6.66666666666667" style="1" customWidth="1"/>
    <col min="47" max="47" width="6.55833333333333" style="1" customWidth="1"/>
    <col min="48" max="51" width="5.44166666666667" style="1" customWidth="1"/>
    <col min="52" max="52" width="6.66666666666667" style="1" customWidth="1"/>
    <col min="53" max="53" width="8.10833333333333" style="1" customWidth="1"/>
    <col min="54" max="55" width="6.66666666666667" style="1" customWidth="1"/>
    <col min="56" max="56" width="10.5583333333333" style="1" customWidth="1"/>
    <col min="57" max="57" width="7.10833333333333" style="1" customWidth="1"/>
    <col min="58" max="58" width="6.66666666666667" style="1" customWidth="1"/>
    <col min="59" max="59" width="6.88333333333333" style="1" customWidth="1"/>
    <col min="60" max="60" width="7.10833333333333" style="1" customWidth="1"/>
    <col min="61" max="61" width="6.66666666666667" style="1" customWidth="1"/>
    <col min="62" max="62" width="7" style="1" customWidth="1"/>
    <col min="63" max="64" width="6.55833333333333" style="1" customWidth="1"/>
    <col min="65" max="65" width="6.88333333333333" style="1" customWidth="1"/>
    <col min="66" max="66" width="6.44166666666667" style="1" customWidth="1"/>
    <col min="67" max="67" width="6.55833333333333" style="1" customWidth="1"/>
    <col min="68" max="16384" width="9" style="1"/>
  </cols>
  <sheetData>
    <row r="1" spans="1:6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24"/>
    </row>
    <row r="2" spans="1:67">
      <c r="A2" s="6"/>
      <c r="B2" s="7" t="s">
        <v>0</v>
      </c>
      <c r="C2" s="8" t="s">
        <v>1</v>
      </c>
      <c r="D2" s="8"/>
      <c r="E2" s="8"/>
      <c r="F2" s="8"/>
      <c r="G2" s="8"/>
      <c r="H2" s="8" t="s">
        <v>2</v>
      </c>
      <c r="I2" s="8"/>
      <c r="J2" s="8"/>
      <c r="K2" s="8"/>
      <c r="L2" s="8" t="s">
        <v>3</v>
      </c>
      <c r="M2" s="8"/>
      <c r="N2" s="8"/>
      <c r="O2" s="8"/>
      <c r="P2" s="8" t="s">
        <v>4</v>
      </c>
      <c r="Q2" s="8"/>
      <c r="R2" s="8"/>
      <c r="S2" s="8"/>
      <c r="T2" s="8"/>
      <c r="U2" s="8" t="s">
        <v>5</v>
      </c>
      <c r="V2" s="8" t="s">
        <v>6</v>
      </c>
      <c r="W2" s="8" t="s">
        <v>7</v>
      </c>
      <c r="X2" s="12" t="s">
        <v>8</v>
      </c>
      <c r="Y2" s="13"/>
      <c r="Z2" s="8" t="s">
        <v>9</v>
      </c>
      <c r="AA2" s="8" t="s">
        <v>10</v>
      </c>
      <c r="AB2" s="8" t="s">
        <v>11</v>
      </c>
      <c r="AC2" s="8" t="s">
        <v>12</v>
      </c>
      <c r="AD2" s="6" t="s">
        <v>13</v>
      </c>
      <c r="AE2" s="14" t="s">
        <v>14</v>
      </c>
      <c r="AF2" s="14"/>
      <c r="AG2" s="14"/>
      <c r="AH2" s="14"/>
      <c r="AI2" s="14"/>
      <c r="AJ2" s="14"/>
      <c r="AK2" s="14" t="s">
        <v>2</v>
      </c>
      <c r="AL2" s="14"/>
      <c r="AM2" s="14"/>
      <c r="AN2" s="14"/>
      <c r="AO2" s="14"/>
      <c r="AP2" s="14" t="s">
        <v>3</v>
      </c>
      <c r="AQ2" s="14"/>
      <c r="AR2" s="14"/>
      <c r="AS2" s="14"/>
      <c r="AT2" s="14"/>
      <c r="AU2" s="14" t="s">
        <v>4</v>
      </c>
      <c r="AV2" s="14"/>
      <c r="AW2" s="14"/>
      <c r="AX2" s="14"/>
      <c r="AY2" s="14"/>
      <c r="AZ2" s="14"/>
      <c r="BA2" s="14" t="s">
        <v>15</v>
      </c>
      <c r="BB2" s="14" t="s">
        <v>16</v>
      </c>
      <c r="BC2" s="14" t="s">
        <v>17</v>
      </c>
      <c r="BD2" s="14" t="s">
        <v>18</v>
      </c>
      <c r="BE2" s="14" t="s">
        <v>19</v>
      </c>
      <c r="BF2" s="14" t="s">
        <v>20</v>
      </c>
      <c r="BG2" s="20" t="s">
        <v>21</v>
      </c>
      <c r="BH2" s="20" t="s">
        <v>22</v>
      </c>
      <c r="BI2" s="20" t="s">
        <v>23</v>
      </c>
      <c r="BJ2" s="20" t="s">
        <v>24</v>
      </c>
      <c r="BK2" s="20" t="s">
        <v>25</v>
      </c>
      <c r="BL2" s="20" t="s">
        <v>26</v>
      </c>
      <c r="BM2" s="20" t="s">
        <v>27</v>
      </c>
      <c r="BN2" s="20" t="s">
        <v>28</v>
      </c>
      <c r="BO2" s="20" t="s">
        <v>29</v>
      </c>
    </row>
    <row r="3" ht="28.5" spans="1:67">
      <c r="A3" s="6"/>
      <c r="B3" s="7"/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30</v>
      </c>
      <c r="M3" s="8" t="s">
        <v>31</v>
      </c>
      <c r="N3" s="8" t="s">
        <v>32</v>
      </c>
      <c r="O3" s="8" t="s">
        <v>33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/>
      <c r="V3" s="8"/>
      <c r="W3" s="8"/>
      <c r="X3" s="8" t="s">
        <v>40</v>
      </c>
      <c r="Y3" s="8" t="s">
        <v>41</v>
      </c>
      <c r="Z3" s="8"/>
      <c r="AA3" s="8"/>
      <c r="AB3" s="8"/>
      <c r="AC3" s="8"/>
      <c r="AD3" s="6"/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42</v>
      </c>
      <c r="AK3" s="14" t="s">
        <v>30</v>
      </c>
      <c r="AL3" s="14" t="s">
        <v>31</v>
      </c>
      <c r="AM3" s="14" t="s">
        <v>32</v>
      </c>
      <c r="AN3" s="14" t="s">
        <v>33</v>
      </c>
      <c r="AO3" s="14" t="s">
        <v>42</v>
      </c>
      <c r="AP3" s="14" t="s">
        <v>30</v>
      </c>
      <c r="AQ3" s="14" t="s">
        <v>31</v>
      </c>
      <c r="AR3" s="14" t="s">
        <v>32</v>
      </c>
      <c r="AS3" s="14" t="s">
        <v>33</v>
      </c>
      <c r="AT3" s="14" t="s">
        <v>42</v>
      </c>
      <c r="AU3" s="14" t="s">
        <v>35</v>
      </c>
      <c r="AV3" s="14" t="s">
        <v>36</v>
      </c>
      <c r="AW3" s="14" t="s">
        <v>37</v>
      </c>
      <c r="AX3" s="14" t="s">
        <v>38</v>
      </c>
      <c r="AY3" s="14" t="s">
        <v>39</v>
      </c>
      <c r="AZ3" s="14" t="s">
        <v>43</v>
      </c>
      <c r="BA3" s="19"/>
      <c r="BB3" s="19"/>
      <c r="BC3" s="19"/>
      <c r="BD3" s="19"/>
      <c r="BE3" s="19"/>
      <c r="BF3" s="19"/>
      <c r="BG3" s="20"/>
      <c r="BH3" s="20"/>
      <c r="BI3" s="20"/>
      <c r="BJ3" s="20"/>
      <c r="BK3" s="20"/>
      <c r="BL3" s="20"/>
      <c r="BM3" s="20"/>
      <c r="BN3" s="20"/>
      <c r="BO3" s="20"/>
    </row>
    <row r="4" spans="1:67">
      <c r="A4" s="9">
        <v>45261</v>
      </c>
      <c r="B4" s="7">
        <v>19212.25</v>
      </c>
      <c r="C4" s="8">
        <v>97858</v>
      </c>
      <c r="D4" s="8">
        <v>69036.9</v>
      </c>
      <c r="E4" s="8">
        <v>69971.4</v>
      </c>
      <c r="F4" s="8">
        <v>10448.56</v>
      </c>
      <c r="G4" s="8">
        <v>126152.7</v>
      </c>
      <c r="H4" s="8">
        <v>5709.7</v>
      </c>
      <c r="I4" s="8">
        <v>2566.3</v>
      </c>
      <c r="J4" s="8">
        <v>967</v>
      </c>
      <c r="K4" s="8">
        <v>56</v>
      </c>
      <c r="L4" s="8">
        <v>103374.4</v>
      </c>
      <c r="M4" s="8">
        <v>61531.1</v>
      </c>
      <c r="N4" s="8">
        <v>86360.5</v>
      </c>
      <c r="O4" s="8">
        <v>113187</v>
      </c>
      <c r="P4" s="8">
        <v>6367.8</v>
      </c>
      <c r="Q4" s="8">
        <v>8810.8</v>
      </c>
      <c r="R4" s="8">
        <v>5357.9</v>
      </c>
      <c r="S4" s="8">
        <v>6387</v>
      </c>
      <c r="T4" s="8">
        <v>8826</v>
      </c>
      <c r="U4" s="8">
        <v>19572.9</v>
      </c>
      <c r="V4" s="8">
        <v>55690.6</v>
      </c>
      <c r="W4" s="8">
        <v>60507.5</v>
      </c>
      <c r="X4" s="8">
        <v>7106.5</v>
      </c>
      <c r="Y4" s="8">
        <v>7339.5</v>
      </c>
      <c r="Z4" s="15">
        <f t="shared" ref="Z4" si="0">IF(OR(W4=""),"",(W4+X4+Y4))</f>
        <v>74953.5</v>
      </c>
      <c r="AA4" s="8">
        <v>10813</v>
      </c>
      <c r="AB4" s="13">
        <v>9601</v>
      </c>
      <c r="AC4" s="7">
        <f t="shared" ref="AC4" si="1">IF(OR(AA4=""),"",(AA4+AB4))</f>
        <v>20414</v>
      </c>
      <c r="AD4" s="16">
        <v>201369</v>
      </c>
      <c r="AE4" s="17">
        <f t="shared" ref="AE4:AI4" si="2">IF(OR(C5=""),"",(C5-C4)*80)</f>
        <v>0</v>
      </c>
      <c r="AF4" s="17">
        <f t="shared" si="2"/>
        <v>3104.00000000023</v>
      </c>
      <c r="AG4" s="17">
        <f t="shared" si="2"/>
        <v>3032.0000000007</v>
      </c>
      <c r="AH4" s="17">
        <f t="shared" si="2"/>
        <v>4.80000000010477</v>
      </c>
      <c r="AI4" s="17">
        <f t="shared" si="2"/>
        <v>2680</v>
      </c>
      <c r="AJ4" s="17">
        <f t="shared" ref="AJ4" si="3">IF(OR(AE4="",AF4="",AG4=""),"",AE4+AF4+AG4+AH4+AI4)</f>
        <v>8820.80000000104</v>
      </c>
      <c r="AK4" s="17">
        <f t="shared" ref="AK4:AN4" si="4">IF(OR(H5=""),"",(H5-H4)*80)</f>
        <v>0</v>
      </c>
      <c r="AL4" s="17">
        <f t="shared" si="4"/>
        <v>0</v>
      </c>
      <c r="AM4" s="17">
        <f t="shared" si="4"/>
        <v>0</v>
      </c>
      <c r="AN4" s="17">
        <f t="shared" si="4"/>
        <v>0</v>
      </c>
      <c r="AO4" s="17">
        <f t="shared" ref="AO4" si="5">IF(OR(AK4="",AL4=""),"",AK4+AL4+AM4+AN4)</f>
        <v>0</v>
      </c>
      <c r="AP4" s="17">
        <f t="shared" ref="AP4:AS4" si="6">IF(OR(L5=""),"",(L5-L4)*100)</f>
        <v>2840.00000000087</v>
      </c>
      <c r="AQ4" s="17">
        <f t="shared" si="6"/>
        <v>0</v>
      </c>
      <c r="AR4" s="17">
        <f t="shared" si="6"/>
        <v>2960.00000000058</v>
      </c>
      <c r="AS4" s="17">
        <f t="shared" si="6"/>
        <v>1980.00000000029</v>
      </c>
      <c r="AT4" s="17">
        <f t="shared" ref="AT4" si="7">IF(OR(AP4="",AQ4=""),"",AP4+AQ4+AR4+AS4)</f>
        <v>7780.00000000175</v>
      </c>
      <c r="AU4" s="17">
        <f t="shared" ref="AU4:AY4" si="8">IF(OR(P5=""),"",(P5-P4)*1000)</f>
        <v>0</v>
      </c>
      <c r="AV4" s="17">
        <f t="shared" si="8"/>
        <v>6800.00000000109</v>
      </c>
      <c r="AW4" s="17">
        <f t="shared" si="8"/>
        <v>4700.00000000073</v>
      </c>
      <c r="AX4" s="17">
        <f t="shared" si="8"/>
        <v>100.000000000364</v>
      </c>
      <c r="AY4" s="17">
        <f t="shared" si="8"/>
        <v>799.999999999272</v>
      </c>
      <c r="AZ4" s="17">
        <f t="shared" ref="AZ4" si="9">IF(OR(AU4="",AV4="",AW4=""),"",AU4+AV4+AW4+AX4+AY4)</f>
        <v>12400.0000000015</v>
      </c>
      <c r="BA4" s="17">
        <f t="shared" ref="BA4" si="10">IF(OR(U5=""),"",(U5-U4)*2000)</f>
        <v>9199.99999999709</v>
      </c>
      <c r="BB4" s="17">
        <f t="shared" ref="BB4" si="11">IF(OR(V5=""),"",(V5-V4)*80)</f>
        <v>527.999999999884</v>
      </c>
      <c r="BC4" s="17">
        <f t="shared" ref="BC4" si="12">IF(OR(Z5=""),"",(Z5-Z4)*40)</f>
        <v>1399.99999999942</v>
      </c>
      <c r="BD4" s="17">
        <f t="shared" ref="BD4" si="13">IF(OR(BE4="",BC4=""),"",BE4-BC4-BB4-BA4-AZ4-AT4-AO4-AJ4)</f>
        <v>12371.1999999994</v>
      </c>
      <c r="BE4" s="17">
        <f t="shared" ref="BE4" si="14">IF(OR(B5=""),"",(B5-B4)*10000)</f>
        <v>52500</v>
      </c>
      <c r="BF4" s="17">
        <f t="shared" ref="BF4" si="15">IF(OR(AC5=""),"",AC5-AC4)</f>
        <v>53.9000000000015</v>
      </c>
      <c r="BG4" s="20">
        <f t="shared" ref="BG4" si="16">IF(OR($AD4=0),"",BE4/$AD4)</f>
        <v>0.260715403066013</v>
      </c>
      <c r="BH4" s="20">
        <f t="shared" ref="BH4" si="17">IF(OR($AD4=0),"",AJ4/$AD4)</f>
        <v>0.0438041605212373</v>
      </c>
      <c r="BI4" s="20">
        <f t="shared" ref="BI4" si="18">IF(OR($AD4=0),"",AO4/$AD4)</f>
        <v>0</v>
      </c>
      <c r="BJ4" s="20">
        <f t="shared" ref="BJ4" si="19">IF(OR($AD4=0),"",AT4/$AD4)</f>
        <v>0.0386355397305531</v>
      </c>
      <c r="BK4" s="20">
        <f t="shared" ref="BK4:BO4" si="20">IF(OR($AD4=0),"",AZ4/$AD4)</f>
        <v>0.0615784952003608</v>
      </c>
      <c r="BL4" s="20">
        <f t="shared" si="20"/>
        <v>0.0456872706325059</v>
      </c>
      <c r="BM4" s="20">
        <f t="shared" si="20"/>
        <v>0.0026220520536919</v>
      </c>
      <c r="BN4" s="20">
        <f t="shared" si="20"/>
        <v>0.00695241074842413</v>
      </c>
      <c r="BO4" s="20">
        <f t="shared" si="20"/>
        <v>0.06143547417924</v>
      </c>
    </row>
    <row r="5" spans="1:67">
      <c r="A5" s="9">
        <f t="shared" ref="A5:A35" si="21">A4+1</f>
        <v>45262</v>
      </c>
      <c r="B5" s="10">
        <v>19217.5</v>
      </c>
      <c r="C5" s="8">
        <v>97858</v>
      </c>
      <c r="D5" s="8">
        <v>69075.7</v>
      </c>
      <c r="E5" s="8">
        <v>70009.3</v>
      </c>
      <c r="F5" s="8">
        <v>10448.62</v>
      </c>
      <c r="G5" s="8">
        <v>126186.2</v>
      </c>
      <c r="H5" s="8">
        <v>5709.7</v>
      </c>
      <c r="I5" s="8">
        <v>2566.3</v>
      </c>
      <c r="J5" s="8">
        <v>967</v>
      </c>
      <c r="K5" s="8">
        <v>56</v>
      </c>
      <c r="L5" s="8">
        <v>103402.8</v>
      </c>
      <c r="M5" s="8">
        <v>61531.1</v>
      </c>
      <c r="N5" s="8">
        <v>86390.1</v>
      </c>
      <c r="O5" s="8">
        <v>113206.8</v>
      </c>
      <c r="P5" s="8">
        <v>6367.8</v>
      </c>
      <c r="Q5" s="8">
        <v>8817.6</v>
      </c>
      <c r="R5" s="8">
        <v>5362.6</v>
      </c>
      <c r="S5" s="8">
        <v>6387.1</v>
      </c>
      <c r="T5" s="8">
        <v>8826.8</v>
      </c>
      <c r="U5" s="8">
        <v>19577.5</v>
      </c>
      <c r="V5" s="8">
        <v>55697.2</v>
      </c>
      <c r="W5" s="8">
        <v>60525.2</v>
      </c>
      <c r="X5" s="8">
        <v>7114.9</v>
      </c>
      <c r="Y5" s="8">
        <v>7348.4</v>
      </c>
      <c r="Z5" s="15">
        <f t="shared" ref="Z5:Z35" si="22">IF(OR(W5=""),"",(W5+X5+Y5))</f>
        <v>74988.5</v>
      </c>
      <c r="AA5" s="8">
        <v>10861.9</v>
      </c>
      <c r="AB5" s="13">
        <v>9606</v>
      </c>
      <c r="AC5" s="7">
        <f t="shared" ref="AC5:AC35" si="23">IF(OR(AA5=""),"",(AA5+AB5))</f>
        <v>20467.9</v>
      </c>
      <c r="AD5" s="16">
        <v>205666</v>
      </c>
      <c r="AE5" s="17">
        <f t="shared" ref="AE5:AI5" si="24">IF(OR(C6=""),"",(C6-C5)*80)</f>
        <v>0</v>
      </c>
      <c r="AF5" s="17">
        <f t="shared" si="24"/>
        <v>3000</v>
      </c>
      <c r="AG5" s="17">
        <f t="shared" si="24"/>
        <v>2655.99999999977</v>
      </c>
      <c r="AH5" s="17">
        <f t="shared" si="24"/>
        <v>3.99999999994179</v>
      </c>
      <c r="AI5" s="17">
        <f t="shared" si="24"/>
        <v>2792.0000000007</v>
      </c>
      <c r="AJ5" s="17">
        <f t="shared" ref="AJ5:AJ34" si="25">IF(OR(AE5="",AF5="",AG5=""),"",AE5+AF5+AG5+AH5+AI5)</f>
        <v>8452.00000000041</v>
      </c>
      <c r="AK5" s="17">
        <f t="shared" ref="AK5:AN5" si="26">IF(OR(H6=""),"",(H6-H5)*80)</f>
        <v>0</v>
      </c>
      <c r="AL5" s="17">
        <f t="shared" si="26"/>
        <v>0</v>
      </c>
      <c r="AM5" s="17">
        <f t="shared" si="26"/>
        <v>0</v>
      </c>
      <c r="AN5" s="17">
        <f t="shared" si="26"/>
        <v>0</v>
      </c>
      <c r="AO5" s="17">
        <f t="shared" ref="AO5:AO34" si="27">IF(OR(AK5="",AL5=""),"",AK5+AL5+AM5+AN5)</f>
        <v>0</v>
      </c>
      <c r="AP5" s="17">
        <f t="shared" ref="AP5:AS5" si="28">IF(OR(L6=""),"",(L6-L5)*100)</f>
        <v>3009.99999999913</v>
      </c>
      <c r="AQ5" s="17">
        <f t="shared" si="28"/>
        <v>0</v>
      </c>
      <c r="AR5" s="17">
        <f t="shared" si="28"/>
        <v>2879.99999999884</v>
      </c>
      <c r="AS5" s="17">
        <f t="shared" si="28"/>
        <v>1989.99999999942</v>
      </c>
      <c r="AT5" s="17">
        <f t="shared" ref="AT5:AT34" si="29">IF(OR(AP5="",AQ5=""),"",AP5+AQ5+AR5+AS5)</f>
        <v>7879.99999999738</v>
      </c>
      <c r="AU5" s="17">
        <f t="shared" ref="AU5:AY5" si="30">IF(OR(P6=""),"",(P6-P5)*1000)</f>
        <v>0</v>
      </c>
      <c r="AV5" s="17">
        <f t="shared" si="30"/>
        <v>2500</v>
      </c>
      <c r="AW5" s="17">
        <f t="shared" si="30"/>
        <v>4699.99999999982</v>
      </c>
      <c r="AX5" s="17">
        <f t="shared" si="30"/>
        <v>3399.99999999964</v>
      </c>
      <c r="AY5" s="17">
        <f t="shared" si="30"/>
        <v>0</v>
      </c>
      <c r="AZ5" s="17">
        <f t="shared" ref="AZ5:AZ34" si="31">IF(OR(AU5="",AV5="",AW5=""),"",AU5+AV5+AW5+AX5+AY5)</f>
        <v>10599.9999999995</v>
      </c>
      <c r="BA5" s="17">
        <f t="shared" ref="BA5:BA34" si="32">IF(OR(U6=""),"",(U6-U5)*2000)</f>
        <v>8800.00000000291</v>
      </c>
      <c r="BB5" s="17">
        <f t="shared" ref="BB5:BB34" si="33">IF(OR(V6=""),"",(V6-V5)*80)</f>
        <v>552.000000000116</v>
      </c>
      <c r="BC5" s="17">
        <f t="shared" ref="BC5:BC34" si="34">IF(OR(Z6=""),"",(Z6-Z5)*40)</f>
        <v>1384.00000000023</v>
      </c>
      <c r="BD5" s="17">
        <f t="shared" ref="BD5:BD34" si="35">IF(OR(BE5="",BC5=""),"",BE5-BC5-BB5-BA5-AZ5-AT5-AO5-AJ5)</f>
        <v>15831.9999999849</v>
      </c>
      <c r="BE5" s="17">
        <f t="shared" ref="BE5:BE34" si="36">IF(OR(B6=""),"",(B6-B5)*10000)</f>
        <v>53499.9999999854</v>
      </c>
      <c r="BF5" s="17">
        <f t="shared" ref="BF5:BF34" si="37">IF(OR(AC6=""),"",AC6-AC5)</f>
        <v>58.7999999999993</v>
      </c>
      <c r="BG5" s="20">
        <f t="shared" ref="BG5:BG34" si="38">IF(OR($AD5=0),"",BE5/$AD5)</f>
        <v>0.260130502854071</v>
      </c>
      <c r="BH5" s="20">
        <f t="shared" ref="BH5:BH34" si="39">IF(OR($AD5=0),"",AJ5/$AD5)</f>
        <v>0.0410957571985666</v>
      </c>
      <c r="BI5" s="20">
        <f t="shared" ref="BI5:BI34" si="40">IF(OR($AD5=0),"",AO5/$AD5)</f>
        <v>0</v>
      </c>
      <c r="BJ5" s="20">
        <f t="shared" ref="BJ5:BJ34" si="41">IF(OR($AD5=0),"",AT5/$AD5)</f>
        <v>0.038314548831588</v>
      </c>
      <c r="BK5" s="20">
        <f t="shared" ref="BK5:BO5" si="42">IF(OR($AD5=0),"",AZ5/$AD5)</f>
        <v>0.0515398753318461</v>
      </c>
      <c r="BL5" s="20">
        <f t="shared" si="42"/>
        <v>0.0427878210302282</v>
      </c>
      <c r="BM5" s="20">
        <f t="shared" si="42"/>
        <v>0.00268396331916854</v>
      </c>
      <c r="BN5" s="20">
        <f t="shared" si="42"/>
        <v>0.00672935730748025</v>
      </c>
      <c r="BO5" s="20">
        <f t="shared" si="42"/>
        <v>0.0769791798351937</v>
      </c>
    </row>
    <row r="6" spans="1:67">
      <c r="A6" s="9">
        <f t="shared" si="21"/>
        <v>45263</v>
      </c>
      <c r="B6" s="10">
        <v>19222.85</v>
      </c>
      <c r="C6" s="8">
        <v>97858</v>
      </c>
      <c r="D6" s="8">
        <v>69113.2</v>
      </c>
      <c r="E6" s="8">
        <v>70042.5</v>
      </c>
      <c r="F6" s="8">
        <v>10448.67</v>
      </c>
      <c r="G6" s="8">
        <v>126221.1</v>
      </c>
      <c r="H6" s="8">
        <v>5709.7</v>
      </c>
      <c r="I6" s="8">
        <v>2566.3</v>
      </c>
      <c r="J6" s="8">
        <v>967</v>
      </c>
      <c r="K6" s="8">
        <v>56</v>
      </c>
      <c r="L6" s="8">
        <v>103432.9</v>
      </c>
      <c r="M6" s="8">
        <v>61531.1</v>
      </c>
      <c r="N6" s="8">
        <v>86418.9</v>
      </c>
      <c r="O6" s="8">
        <v>113226.7</v>
      </c>
      <c r="P6" s="8">
        <v>6367.8</v>
      </c>
      <c r="Q6" s="8">
        <v>8820.1</v>
      </c>
      <c r="R6" s="8">
        <v>5367.3</v>
      </c>
      <c r="S6" s="8">
        <v>6390.5</v>
      </c>
      <c r="T6" s="8">
        <v>8826.8</v>
      </c>
      <c r="U6" s="8">
        <v>19581.9</v>
      </c>
      <c r="V6" s="8">
        <v>55704.1</v>
      </c>
      <c r="W6" s="8">
        <v>60542.2</v>
      </c>
      <c r="X6" s="8">
        <v>7123.9</v>
      </c>
      <c r="Y6" s="8">
        <v>7357</v>
      </c>
      <c r="Z6" s="15">
        <f t="shared" si="22"/>
        <v>75023.1</v>
      </c>
      <c r="AA6" s="8">
        <v>10916.7</v>
      </c>
      <c r="AB6" s="13">
        <v>9610</v>
      </c>
      <c r="AC6" s="7">
        <f t="shared" si="23"/>
        <v>20526.7</v>
      </c>
      <c r="AD6" s="16">
        <v>196720</v>
      </c>
      <c r="AE6" s="17">
        <f t="shared" ref="AE6:AI6" si="43">IF(OR(C7=""),"",(C7-C6)*80)</f>
        <v>0</v>
      </c>
      <c r="AF6" s="17">
        <f t="shared" si="43"/>
        <v>3112.0000000007</v>
      </c>
      <c r="AG6" s="17">
        <f t="shared" si="43"/>
        <v>3080</v>
      </c>
      <c r="AH6" s="17">
        <f t="shared" si="43"/>
        <v>2.40000000005239</v>
      </c>
      <c r="AI6" s="17">
        <f t="shared" si="43"/>
        <v>2063.99999999907</v>
      </c>
      <c r="AJ6" s="17">
        <f t="shared" si="25"/>
        <v>8258.39999999982</v>
      </c>
      <c r="AK6" s="17">
        <f t="shared" ref="AK6:AN6" si="44">IF(OR(H7=""),"",(H7-H6)*80)</f>
        <v>0</v>
      </c>
      <c r="AL6" s="17">
        <f t="shared" si="44"/>
        <v>0</v>
      </c>
      <c r="AM6" s="17">
        <f t="shared" si="44"/>
        <v>0</v>
      </c>
      <c r="AN6" s="17">
        <f t="shared" si="44"/>
        <v>0</v>
      </c>
      <c r="AO6" s="17">
        <f t="shared" si="27"/>
        <v>0</v>
      </c>
      <c r="AP6" s="17">
        <f t="shared" ref="AP6:AS6" si="45">IF(OR(L7=""),"",(L7-L6)*100)</f>
        <v>2680.00000000029</v>
      </c>
      <c r="AQ6" s="17">
        <f t="shared" si="45"/>
        <v>0</v>
      </c>
      <c r="AR6" s="17">
        <f t="shared" si="45"/>
        <v>2910.00000000058</v>
      </c>
      <c r="AS6" s="17">
        <f t="shared" si="45"/>
        <v>1950</v>
      </c>
      <c r="AT6" s="17">
        <f t="shared" si="29"/>
        <v>7540.00000000087</v>
      </c>
      <c r="AU6" s="17">
        <f t="shared" ref="AU6:AY6" si="46">IF(OR(P7=""),"",(P7-P6)*1000)</f>
        <v>0</v>
      </c>
      <c r="AV6" s="17">
        <f t="shared" si="46"/>
        <v>0</v>
      </c>
      <c r="AW6" s="17">
        <f t="shared" si="46"/>
        <v>4699.99999999982</v>
      </c>
      <c r="AX6" s="17">
        <f t="shared" si="46"/>
        <v>5199.99999999982</v>
      </c>
      <c r="AY6" s="17">
        <f t="shared" si="46"/>
        <v>0</v>
      </c>
      <c r="AZ6" s="17">
        <f t="shared" si="31"/>
        <v>9899.99999999964</v>
      </c>
      <c r="BA6" s="17">
        <f t="shared" si="32"/>
        <v>8799.99999999563</v>
      </c>
      <c r="BB6" s="17">
        <f t="shared" si="33"/>
        <v>536.000000000349</v>
      </c>
      <c r="BC6" s="17">
        <f t="shared" si="34"/>
        <v>1344.00000000023</v>
      </c>
      <c r="BD6" s="17">
        <f t="shared" si="35"/>
        <v>16421.6000000282</v>
      </c>
      <c r="BE6" s="17">
        <f t="shared" si="36"/>
        <v>52800.0000000247</v>
      </c>
      <c r="BF6" s="17">
        <f t="shared" si="37"/>
        <v>53.7999999999993</v>
      </c>
      <c r="BG6" s="20">
        <f t="shared" si="38"/>
        <v>0.268401789345388</v>
      </c>
      <c r="BH6" s="20">
        <f t="shared" si="39"/>
        <v>0.0419804798698649</v>
      </c>
      <c r="BI6" s="20">
        <f t="shared" si="40"/>
        <v>0</v>
      </c>
      <c r="BJ6" s="20">
        <f t="shared" si="41"/>
        <v>0.0383285888572635</v>
      </c>
      <c r="BK6" s="20">
        <f t="shared" ref="BK6:BO6" si="47">IF(OR($AD6=0),"",AZ6/$AD6)</f>
        <v>0.0503253355022348</v>
      </c>
      <c r="BL6" s="20">
        <f t="shared" si="47"/>
        <v>0.0447336315575215</v>
      </c>
      <c r="BM6" s="20">
        <f t="shared" si="47"/>
        <v>0.00272468483123398</v>
      </c>
      <c r="BN6" s="20">
        <f t="shared" si="47"/>
        <v>0.0068320455469715</v>
      </c>
      <c r="BO6" s="20">
        <f t="shared" si="47"/>
        <v>0.0834770231802978</v>
      </c>
    </row>
    <row r="7" spans="1:67">
      <c r="A7" s="9">
        <f t="shared" si="21"/>
        <v>45264</v>
      </c>
      <c r="B7" s="10">
        <v>19228.13</v>
      </c>
      <c r="C7" s="8">
        <v>97858</v>
      </c>
      <c r="D7" s="8">
        <v>69152.1</v>
      </c>
      <c r="E7" s="8">
        <v>70081</v>
      </c>
      <c r="F7" s="8">
        <v>10448.7</v>
      </c>
      <c r="G7" s="8">
        <v>126246.9</v>
      </c>
      <c r="H7" s="8">
        <v>5709.7</v>
      </c>
      <c r="I7" s="8">
        <v>2566.3</v>
      </c>
      <c r="J7" s="8">
        <v>967</v>
      </c>
      <c r="K7" s="8">
        <v>56</v>
      </c>
      <c r="L7" s="8">
        <v>103459.7</v>
      </c>
      <c r="M7" s="8">
        <v>61531.1</v>
      </c>
      <c r="N7" s="8">
        <v>86448</v>
      </c>
      <c r="O7" s="8">
        <v>113246.2</v>
      </c>
      <c r="P7" s="8">
        <v>6367.8</v>
      </c>
      <c r="Q7" s="8">
        <v>8820.1</v>
      </c>
      <c r="R7" s="8">
        <v>5372</v>
      </c>
      <c r="S7" s="8">
        <v>6395.7</v>
      </c>
      <c r="T7" s="8">
        <v>8826.8</v>
      </c>
      <c r="U7" s="8">
        <v>19586.3</v>
      </c>
      <c r="V7" s="8">
        <v>55710.8</v>
      </c>
      <c r="W7" s="8">
        <v>60559.5</v>
      </c>
      <c r="X7" s="8">
        <v>7131.3</v>
      </c>
      <c r="Y7" s="8">
        <v>7365.9</v>
      </c>
      <c r="Z7" s="15">
        <f t="shared" si="22"/>
        <v>75056.7</v>
      </c>
      <c r="AA7" s="8">
        <v>10961.5</v>
      </c>
      <c r="AB7" s="13">
        <v>9619</v>
      </c>
      <c r="AC7" s="7">
        <f t="shared" si="23"/>
        <v>20580.5</v>
      </c>
      <c r="AD7" s="16">
        <v>182362</v>
      </c>
      <c r="AE7" s="17">
        <f t="shared" ref="AE7:AI7" si="48">IF(OR(C8=""),"",(C8-C7)*80)</f>
        <v>0</v>
      </c>
      <c r="AF7" s="17">
        <f t="shared" si="48"/>
        <v>3151.99999999953</v>
      </c>
      <c r="AG7" s="17">
        <f t="shared" si="48"/>
        <v>2088.00000000047</v>
      </c>
      <c r="AH7" s="17">
        <f t="shared" si="48"/>
        <v>6.39999999999418</v>
      </c>
      <c r="AI7" s="17">
        <f t="shared" si="48"/>
        <v>1944.00000000023</v>
      </c>
      <c r="AJ7" s="17">
        <f t="shared" si="25"/>
        <v>7190.40000000023</v>
      </c>
      <c r="AK7" s="17">
        <f t="shared" ref="AK7:AN7" si="49">IF(OR(H8=""),"",(H8-H7)*80)</f>
        <v>0</v>
      </c>
      <c r="AL7" s="17">
        <f t="shared" si="49"/>
        <v>0</v>
      </c>
      <c r="AM7" s="17">
        <f t="shared" si="49"/>
        <v>0</v>
      </c>
      <c r="AN7" s="17">
        <f t="shared" si="49"/>
        <v>0</v>
      </c>
      <c r="AO7" s="17">
        <f t="shared" si="27"/>
        <v>0</v>
      </c>
      <c r="AP7" s="17">
        <f t="shared" ref="AP7:AS7" si="50">IF(OR(L8=""),"",(L8-L7)*100)</f>
        <v>1930.00000000029</v>
      </c>
      <c r="AQ7" s="17">
        <f t="shared" si="50"/>
        <v>0</v>
      </c>
      <c r="AR7" s="17">
        <f t="shared" si="50"/>
        <v>2939.99999999942</v>
      </c>
      <c r="AS7" s="17">
        <f t="shared" si="50"/>
        <v>2010.00000000058</v>
      </c>
      <c r="AT7" s="17">
        <f t="shared" si="29"/>
        <v>6880.00000000029</v>
      </c>
      <c r="AU7" s="17">
        <f t="shared" ref="AU7:AY7" si="51">IF(OR(P8=""),"",(P8-P7)*1000)</f>
        <v>2699.99999999982</v>
      </c>
      <c r="AV7" s="17">
        <f t="shared" si="51"/>
        <v>0</v>
      </c>
      <c r="AW7" s="17">
        <f t="shared" si="51"/>
        <v>1600.00000000036</v>
      </c>
      <c r="AX7" s="17">
        <f t="shared" si="51"/>
        <v>5300.00000000018</v>
      </c>
      <c r="AY7" s="17">
        <f t="shared" si="51"/>
        <v>0</v>
      </c>
      <c r="AZ7" s="17">
        <f t="shared" si="31"/>
        <v>9600.00000000036</v>
      </c>
      <c r="BA7" s="17">
        <f t="shared" si="32"/>
        <v>8000</v>
      </c>
      <c r="BB7" s="17">
        <f t="shared" si="33"/>
        <v>543.999999999651</v>
      </c>
      <c r="BC7" s="17">
        <f t="shared" si="34"/>
        <v>1408.00000000047</v>
      </c>
      <c r="BD7" s="17">
        <f t="shared" si="35"/>
        <v>16877.5999999917</v>
      </c>
      <c r="BE7" s="17">
        <f t="shared" si="36"/>
        <v>50499.9999999927</v>
      </c>
      <c r="BF7" s="17">
        <f t="shared" si="37"/>
        <v>64</v>
      </c>
      <c r="BG7" s="20">
        <f t="shared" si="38"/>
        <v>0.276921727114162</v>
      </c>
      <c r="BH7" s="20">
        <f t="shared" si="39"/>
        <v>0.0394292670622182</v>
      </c>
      <c r="BI7" s="20">
        <f t="shared" si="40"/>
        <v>0</v>
      </c>
      <c r="BJ7" s="20">
        <f t="shared" si="41"/>
        <v>0.0377271580702136</v>
      </c>
      <c r="BK7" s="20">
        <f t="shared" ref="BK7:BO7" si="52">IF(OR($AD7=0),"",AZ7/$AD7)</f>
        <v>0.0526425461444838</v>
      </c>
      <c r="BL7" s="20">
        <f t="shared" si="52"/>
        <v>0.0438687884537349</v>
      </c>
      <c r="BM7" s="20">
        <f t="shared" si="52"/>
        <v>0.00298307761485206</v>
      </c>
      <c r="BN7" s="20">
        <f t="shared" si="52"/>
        <v>0.00772090676785989</v>
      </c>
      <c r="BO7" s="20">
        <f t="shared" si="52"/>
        <v>0.0925499830007991</v>
      </c>
    </row>
    <row r="8" spans="1:67">
      <c r="A8" s="9">
        <f t="shared" si="21"/>
        <v>45265</v>
      </c>
      <c r="B8" s="10">
        <v>19233.18</v>
      </c>
      <c r="C8" s="8">
        <v>97858</v>
      </c>
      <c r="D8" s="8">
        <v>69191.5</v>
      </c>
      <c r="E8" s="8">
        <v>70107.1</v>
      </c>
      <c r="F8" s="8">
        <v>10448.78</v>
      </c>
      <c r="G8" s="8">
        <v>126271.2</v>
      </c>
      <c r="H8" s="8">
        <v>5709.7</v>
      </c>
      <c r="I8" s="8">
        <v>2566.3</v>
      </c>
      <c r="J8" s="8">
        <v>967</v>
      </c>
      <c r="K8" s="8">
        <v>56</v>
      </c>
      <c r="L8" s="8">
        <v>103479</v>
      </c>
      <c r="M8" s="8">
        <v>61531.1</v>
      </c>
      <c r="N8" s="8">
        <v>86477.4</v>
      </c>
      <c r="O8" s="8">
        <v>113266.3</v>
      </c>
      <c r="P8" s="8">
        <v>6370.5</v>
      </c>
      <c r="Q8" s="8">
        <v>8820.1</v>
      </c>
      <c r="R8" s="8">
        <v>5373.6</v>
      </c>
      <c r="S8" s="8">
        <v>6401</v>
      </c>
      <c r="T8" s="8">
        <v>8826.8</v>
      </c>
      <c r="U8" s="8">
        <v>19590.3</v>
      </c>
      <c r="V8" s="8">
        <v>55717.6</v>
      </c>
      <c r="W8" s="8">
        <v>60577.3</v>
      </c>
      <c r="X8" s="8">
        <v>7139.8</v>
      </c>
      <c r="Y8" s="8">
        <v>7374.8</v>
      </c>
      <c r="Z8" s="15">
        <f t="shared" si="22"/>
        <v>75091.9</v>
      </c>
      <c r="AA8" s="8">
        <v>11023.5</v>
      </c>
      <c r="AB8" s="13">
        <v>9621</v>
      </c>
      <c r="AC8" s="7">
        <f t="shared" si="23"/>
        <v>20644.5</v>
      </c>
      <c r="AD8" s="16">
        <v>172364</v>
      </c>
      <c r="AE8" s="17">
        <f t="shared" ref="AE8:AI8" si="53">IF(OR(C9=""),"",(C9-C8)*80)</f>
        <v>0</v>
      </c>
      <c r="AF8" s="17">
        <f t="shared" si="53"/>
        <v>2960</v>
      </c>
      <c r="AG8" s="17">
        <f t="shared" si="53"/>
        <v>1663.99999999907</v>
      </c>
      <c r="AH8" s="17">
        <f t="shared" si="53"/>
        <v>4.79999999995925</v>
      </c>
      <c r="AI8" s="17">
        <f t="shared" si="53"/>
        <v>1775.99999999977</v>
      </c>
      <c r="AJ8" s="17">
        <f t="shared" si="25"/>
        <v>6404.7999999988</v>
      </c>
      <c r="AK8" s="17">
        <f t="shared" ref="AK8:AN8" si="54">IF(OR(H9=""),"",(H9-H8)*80)</f>
        <v>0</v>
      </c>
      <c r="AL8" s="17">
        <f t="shared" si="54"/>
        <v>0</v>
      </c>
      <c r="AM8" s="17">
        <f t="shared" si="54"/>
        <v>0</v>
      </c>
      <c r="AN8" s="17">
        <f t="shared" si="54"/>
        <v>0</v>
      </c>
      <c r="AO8" s="17">
        <f t="shared" si="27"/>
        <v>0</v>
      </c>
      <c r="AP8" s="17">
        <f t="shared" ref="AP8:AS8" si="55">IF(OR(L9=""),"",(L9-L8)*100)</f>
        <v>1719.99999999971</v>
      </c>
      <c r="AQ8" s="17">
        <f t="shared" si="55"/>
        <v>0</v>
      </c>
      <c r="AR8" s="17">
        <f t="shared" si="55"/>
        <v>2870.00000000116</v>
      </c>
      <c r="AS8" s="17">
        <f t="shared" si="55"/>
        <v>2030.00000000029</v>
      </c>
      <c r="AT8" s="17">
        <f t="shared" si="29"/>
        <v>6620.00000000116</v>
      </c>
      <c r="AU8" s="17">
        <f t="shared" ref="AU8:AY8" si="56">IF(OR(P9=""),"",(P9-P8)*1000)</f>
        <v>0</v>
      </c>
      <c r="AV8" s="17">
        <f t="shared" si="56"/>
        <v>0</v>
      </c>
      <c r="AW8" s="17">
        <f t="shared" si="56"/>
        <v>4500</v>
      </c>
      <c r="AX8" s="17">
        <f t="shared" si="56"/>
        <v>4800.00000000018</v>
      </c>
      <c r="AY8" s="17">
        <f t="shared" si="56"/>
        <v>0</v>
      </c>
      <c r="AZ8" s="17">
        <f t="shared" si="31"/>
        <v>9300.00000000018</v>
      </c>
      <c r="BA8" s="17">
        <f t="shared" si="32"/>
        <v>8200.00000000437</v>
      </c>
      <c r="BB8" s="17">
        <f t="shared" si="33"/>
        <v>536.000000000349</v>
      </c>
      <c r="BC8" s="17">
        <f t="shared" si="34"/>
        <v>1351.99999999953</v>
      </c>
      <c r="BD8" s="17">
        <f t="shared" si="35"/>
        <v>17587.1999999956</v>
      </c>
      <c r="BE8" s="17">
        <f t="shared" si="36"/>
        <v>50000</v>
      </c>
      <c r="BF8" s="17">
        <f t="shared" si="37"/>
        <v>59.2000000000007</v>
      </c>
      <c r="BG8" s="20">
        <f t="shared" si="38"/>
        <v>0.290083776194565</v>
      </c>
      <c r="BH8" s="20">
        <f t="shared" si="39"/>
        <v>0.037158571395412</v>
      </c>
      <c r="BI8" s="20">
        <f t="shared" si="40"/>
        <v>0</v>
      </c>
      <c r="BJ8" s="20">
        <f t="shared" si="41"/>
        <v>0.0384070919681672</v>
      </c>
      <c r="BK8" s="20">
        <f t="shared" ref="BK8:BO8" si="57">IF(OR($AD8=0),"",AZ8/$AD8)</f>
        <v>0.0539555823721901</v>
      </c>
      <c r="BL8" s="20">
        <f t="shared" si="57"/>
        <v>0.047573739295934</v>
      </c>
      <c r="BM8" s="20">
        <f t="shared" si="57"/>
        <v>0.00310969808080776</v>
      </c>
      <c r="BN8" s="20">
        <f t="shared" si="57"/>
        <v>0.00784386530829833</v>
      </c>
      <c r="BO8" s="20">
        <f t="shared" si="57"/>
        <v>0.102035227773756</v>
      </c>
    </row>
    <row r="9" spans="1:67">
      <c r="A9" s="9">
        <f t="shared" si="21"/>
        <v>45266</v>
      </c>
      <c r="B9" s="10">
        <v>19238.18</v>
      </c>
      <c r="C9" s="8">
        <v>97858</v>
      </c>
      <c r="D9" s="8">
        <v>69228.5</v>
      </c>
      <c r="E9" s="8">
        <v>70127.9</v>
      </c>
      <c r="F9" s="8">
        <v>10448.84</v>
      </c>
      <c r="G9" s="8">
        <v>126293.4</v>
      </c>
      <c r="H9" s="8">
        <v>5709.7</v>
      </c>
      <c r="I9" s="8">
        <v>2566.3</v>
      </c>
      <c r="J9" s="8">
        <v>967</v>
      </c>
      <c r="K9" s="8">
        <v>56</v>
      </c>
      <c r="L9" s="8">
        <v>103496.2</v>
      </c>
      <c r="M9" s="8">
        <v>61531.1</v>
      </c>
      <c r="N9" s="8">
        <v>86506.1</v>
      </c>
      <c r="O9" s="8">
        <v>113286.6</v>
      </c>
      <c r="P9" s="8">
        <v>6370.5</v>
      </c>
      <c r="Q9" s="8">
        <v>8820.1</v>
      </c>
      <c r="R9" s="8">
        <v>5378.1</v>
      </c>
      <c r="S9" s="8">
        <v>6405.8</v>
      </c>
      <c r="T9" s="8">
        <v>8826.8</v>
      </c>
      <c r="U9" s="8">
        <v>19594.4</v>
      </c>
      <c r="V9" s="8">
        <v>55724.3</v>
      </c>
      <c r="W9" s="8">
        <v>60594.3</v>
      </c>
      <c r="X9" s="8">
        <v>7147.9</v>
      </c>
      <c r="Y9" s="8">
        <v>7383.5</v>
      </c>
      <c r="Z9" s="15">
        <f t="shared" si="22"/>
        <v>75125.7</v>
      </c>
      <c r="AA9" s="8">
        <v>11076.7</v>
      </c>
      <c r="AB9" s="13">
        <v>9627</v>
      </c>
      <c r="AC9" s="7">
        <f t="shared" si="23"/>
        <v>20703.7</v>
      </c>
      <c r="AD9" s="16">
        <v>184735</v>
      </c>
      <c r="AE9" s="17">
        <f t="shared" ref="AE9:AI9" si="58">IF(OR(C10=""),"",(C10-C9)*80)</f>
        <v>0</v>
      </c>
      <c r="AF9" s="17">
        <f t="shared" si="58"/>
        <v>3071.99999999953</v>
      </c>
      <c r="AG9" s="17">
        <f t="shared" si="58"/>
        <v>2464.00000000023</v>
      </c>
      <c r="AH9" s="17">
        <f t="shared" si="58"/>
        <v>3.99999999994179</v>
      </c>
      <c r="AI9" s="17">
        <f t="shared" si="58"/>
        <v>1712.0000000007</v>
      </c>
      <c r="AJ9" s="17">
        <f t="shared" si="25"/>
        <v>7252.00000000041</v>
      </c>
      <c r="AK9" s="17">
        <f t="shared" ref="AK9:AN9" si="59">IF(OR(H10=""),"",(H10-H9)*80)</f>
        <v>0</v>
      </c>
      <c r="AL9" s="17">
        <f t="shared" si="59"/>
        <v>0</v>
      </c>
      <c r="AM9" s="17">
        <f t="shared" si="59"/>
        <v>0</v>
      </c>
      <c r="AN9" s="17">
        <f t="shared" si="59"/>
        <v>0</v>
      </c>
      <c r="AO9" s="17">
        <f t="shared" si="27"/>
        <v>0</v>
      </c>
      <c r="AP9" s="17">
        <f t="shared" ref="AP9:AS9" si="60">IF(OR(L10=""),"",(L10-L9)*100)</f>
        <v>2000</v>
      </c>
      <c r="AQ9" s="17">
        <f t="shared" si="60"/>
        <v>0</v>
      </c>
      <c r="AR9" s="17">
        <f t="shared" si="60"/>
        <v>2859.99999999913</v>
      </c>
      <c r="AS9" s="17">
        <f t="shared" si="60"/>
        <v>2009.99999999913</v>
      </c>
      <c r="AT9" s="17">
        <f t="shared" si="29"/>
        <v>6869.99999999825</v>
      </c>
      <c r="AU9" s="17">
        <f t="shared" ref="AU9:AY9" si="61">IF(OR(P10=""),"",(P10-P9)*1000)</f>
        <v>1199.99999999982</v>
      </c>
      <c r="AV9" s="17">
        <f t="shared" si="61"/>
        <v>0</v>
      </c>
      <c r="AW9" s="17">
        <f t="shared" si="61"/>
        <v>3399.99999999964</v>
      </c>
      <c r="AX9" s="17">
        <f t="shared" si="61"/>
        <v>5000</v>
      </c>
      <c r="AY9" s="17">
        <f t="shared" si="61"/>
        <v>0</v>
      </c>
      <c r="AZ9" s="17">
        <f t="shared" si="31"/>
        <v>9599.99999999945</v>
      </c>
      <c r="BA9" s="17">
        <f t="shared" si="32"/>
        <v>8399.99999999418</v>
      </c>
      <c r="BB9" s="17">
        <f t="shared" si="33"/>
        <v>503.999999999651</v>
      </c>
      <c r="BC9" s="17">
        <f t="shared" si="34"/>
        <v>1367.99999999988</v>
      </c>
      <c r="BD9" s="17">
        <f t="shared" si="35"/>
        <v>16406.0000000169</v>
      </c>
      <c r="BE9" s="17">
        <f t="shared" si="36"/>
        <v>50400.0000000087</v>
      </c>
      <c r="BF9" s="17">
        <f t="shared" si="37"/>
        <v>55.7999999999993</v>
      </c>
      <c r="BG9" s="20">
        <f t="shared" si="38"/>
        <v>0.272823233280151</v>
      </c>
      <c r="BH9" s="20">
        <f t="shared" si="39"/>
        <v>0.0392562318997505</v>
      </c>
      <c r="BI9" s="20">
        <f t="shared" si="40"/>
        <v>0</v>
      </c>
      <c r="BJ9" s="20">
        <f t="shared" si="41"/>
        <v>0.0371884050125761</v>
      </c>
      <c r="BK9" s="20">
        <f t="shared" ref="BK9:BO9" si="62">IF(OR($AD9=0),"",AZ9/$AD9)</f>
        <v>0.0519663301485883</v>
      </c>
      <c r="BL9" s="20">
        <f t="shared" si="62"/>
        <v>0.0454705388799858</v>
      </c>
      <c r="BM9" s="20">
        <f t="shared" si="62"/>
        <v>0.00272823233279915</v>
      </c>
      <c r="BN9" s="20">
        <f t="shared" si="62"/>
        <v>0.00740520204617362</v>
      </c>
      <c r="BO9" s="20">
        <f t="shared" si="62"/>
        <v>0.0888082929602777</v>
      </c>
    </row>
    <row r="10" spans="1:67">
      <c r="A10" s="9">
        <f t="shared" si="21"/>
        <v>45267</v>
      </c>
      <c r="B10" s="10">
        <v>19243.22</v>
      </c>
      <c r="C10" s="8">
        <v>97858</v>
      </c>
      <c r="D10" s="8">
        <v>69266.9</v>
      </c>
      <c r="E10" s="8">
        <v>70158.7</v>
      </c>
      <c r="F10" s="8">
        <v>10448.89</v>
      </c>
      <c r="G10" s="8">
        <v>126314.8</v>
      </c>
      <c r="H10" s="8">
        <v>5709.7</v>
      </c>
      <c r="I10" s="8">
        <v>2566.3</v>
      </c>
      <c r="J10" s="8">
        <v>967</v>
      </c>
      <c r="K10" s="8">
        <v>56</v>
      </c>
      <c r="L10" s="8">
        <v>103516.2</v>
      </c>
      <c r="M10" s="8">
        <v>61531.1</v>
      </c>
      <c r="N10" s="8">
        <v>86534.7</v>
      </c>
      <c r="O10" s="8">
        <v>113306.7</v>
      </c>
      <c r="P10" s="8">
        <v>6371.7</v>
      </c>
      <c r="Q10" s="8">
        <v>8820.1</v>
      </c>
      <c r="R10" s="8">
        <v>5381.5</v>
      </c>
      <c r="S10" s="8">
        <v>6410.8</v>
      </c>
      <c r="T10" s="8">
        <v>8826.8</v>
      </c>
      <c r="U10" s="8">
        <v>19598.6</v>
      </c>
      <c r="V10" s="8">
        <v>55730.6</v>
      </c>
      <c r="W10" s="8">
        <v>60611.2</v>
      </c>
      <c r="X10" s="8">
        <v>7156.3</v>
      </c>
      <c r="Y10" s="8">
        <v>7392.4</v>
      </c>
      <c r="Z10" s="15">
        <f t="shared" si="22"/>
        <v>75159.9</v>
      </c>
      <c r="AA10" s="8">
        <v>11128.5</v>
      </c>
      <c r="AB10" s="13">
        <v>9631</v>
      </c>
      <c r="AC10" s="7">
        <f t="shared" si="23"/>
        <v>20759.5</v>
      </c>
      <c r="AD10" s="16">
        <v>180262</v>
      </c>
      <c r="AE10" s="17">
        <f t="shared" ref="AE10:AI10" si="63">IF(OR(C11=""),"",(C11-C10)*80)</f>
        <v>0</v>
      </c>
      <c r="AF10" s="17">
        <f t="shared" si="63"/>
        <v>3120</v>
      </c>
      <c r="AG10" s="17">
        <f t="shared" si="63"/>
        <v>2608.00000000047</v>
      </c>
      <c r="AH10" s="17">
        <f t="shared" si="63"/>
        <v>0</v>
      </c>
      <c r="AI10" s="17">
        <f t="shared" si="63"/>
        <v>1744.00000000023</v>
      </c>
      <c r="AJ10" s="17">
        <f t="shared" si="25"/>
        <v>7472.0000000007</v>
      </c>
      <c r="AK10" s="17">
        <f t="shared" ref="AK10:AN10" si="64">IF(OR(H11=""),"",(H11-H10)*80)</f>
        <v>0</v>
      </c>
      <c r="AL10" s="17">
        <f t="shared" si="64"/>
        <v>0</v>
      </c>
      <c r="AM10" s="17">
        <f t="shared" si="64"/>
        <v>0</v>
      </c>
      <c r="AN10" s="17">
        <f t="shared" si="64"/>
        <v>0</v>
      </c>
      <c r="AO10" s="17">
        <f t="shared" si="27"/>
        <v>0</v>
      </c>
      <c r="AP10" s="17">
        <f t="shared" ref="AP10:AS10" si="65">IF(OR(L11=""),"",(L11-L10)*100)</f>
        <v>1919.99999999971</v>
      </c>
      <c r="AQ10" s="17">
        <f t="shared" si="65"/>
        <v>0</v>
      </c>
      <c r="AR10" s="17">
        <f t="shared" si="65"/>
        <v>2940.00000000087</v>
      </c>
      <c r="AS10" s="17">
        <f t="shared" si="65"/>
        <v>2040.00000000087</v>
      </c>
      <c r="AT10" s="17">
        <f t="shared" si="29"/>
        <v>6900.00000000146</v>
      </c>
      <c r="AU10" s="17">
        <f t="shared" ref="AU10:AY10" si="66">IF(OR(P11=""),"",(P11-P10)*1000)</f>
        <v>0</v>
      </c>
      <c r="AV10" s="17">
        <f t="shared" si="66"/>
        <v>7299.99999999927</v>
      </c>
      <c r="AW10" s="17">
        <f t="shared" si="66"/>
        <v>300.000000000182</v>
      </c>
      <c r="AX10" s="17">
        <f t="shared" si="66"/>
        <v>5399.99999999964</v>
      </c>
      <c r="AY10" s="17">
        <f t="shared" si="66"/>
        <v>0</v>
      </c>
      <c r="AZ10" s="17">
        <f t="shared" si="31"/>
        <v>12999.9999999991</v>
      </c>
      <c r="BA10" s="17">
        <f t="shared" si="32"/>
        <v>8400.00000000146</v>
      </c>
      <c r="BB10" s="17">
        <f t="shared" si="33"/>
        <v>576.000000000349</v>
      </c>
      <c r="BC10" s="17">
        <f t="shared" si="34"/>
        <v>1384.00000000023</v>
      </c>
      <c r="BD10" s="17">
        <f t="shared" si="35"/>
        <v>13267.9999999822</v>
      </c>
      <c r="BE10" s="17">
        <f t="shared" si="36"/>
        <v>50999.9999999854</v>
      </c>
      <c r="BF10" s="17">
        <f t="shared" si="37"/>
        <v>57.9000000000015</v>
      </c>
      <c r="BG10" s="20">
        <f t="shared" si="38"/>
        <v>0.282921525335264</v>
      </c>
      <c r="BH10" s="20">
        <f t="shared" si="39"/>
        <v>0.0414507772020764</v>
      </c>
      <c r="BI10" s="20">
        <f t="shared" si="40"/>
        <v>0</v>
      </c>
      <c r="BJ10" s="20">
        <f t="shared" si="41"/>
        <v>0.0382776181336136</v>
      </c>
      <c r="BK10" s="20">
        <f t="shared" ref="BK10:BO10" si="67">IF(OR($AD10=0),"",AZ10/$AD10)</f>
        <v>0.0721172515560633</v>
      </c>
      <c r="BL10" s="20">
        <f t="shared" si="67"/>
        <v>0.0465988394670061</v>
      </c>
      <c r="BM10" s="20">
        <f t="shared" si="67"/>
        <v>0.00319534899202466</v>
      </c>
      <c r="BN10" s="20">
        <f t="shared" si="67"/>
        <v>0.00767771355027811</v>
      </c>
      <c r="BO10" s="20">
        <f t="shared" si="67"/>
        <v>0.0736039764342023</v>
      </c>
    </row>
    <row r="11" spans="1:67">
      <c r="A11" s="9">
        <f t="shared" si="21"/>
        <v>45268</v>
      </c>
      <c r="B11" s="10">
        <v>19248.32</v>
      </c>
      <c r="C11" s="8">
        <v>97858</v>
      </c>
      <c r="D11" s="8">
        <v>69305.9</v>
      </c>
      <c r="E11" s="8">
        <v>70191.3</v>
      </c>
      <c r="F11" s="8">
        <v>10448.89</v>
      </c>
      <c r="G11" s="8">
        <v>126336.6</v>
      </c>
      <c r="H11" s="8">
        <v>5709.7</v>
      </c>
      <c r="I11" s="8">
        <v>2566.3</v>
      </c>
      <c r="J11" s="8">
        <v>967</v>
      </c>
      <c r="K11" s="8">
        <v>56</v>
      </c>
      <c r="L11" s="8">
        <v>103535.4</v>
      </c>
      <c r="M11" s="8">
        <v>61531.1</v>
      </c>
      <c r="N11" s="8">
        <v>86564.1</v>
      </c>
      <c r="O11" s="8">
        <v>113327.1</v>
      </c>
      <c r="P11" s="8">
        <v>6371.7</v>
      </c>
      <c r="Q11" s="8">
        <v>8827.4</v>
      </c>
      <c r="R11" s="8">
        <v>5381.8</v>
      </c>
      <c r="S11" s="8">
        <v>6416.2</v>
      </c>
      <c r="T11" s="8">
        <v>8826.8</v>
      </c>
      <c r="U11" s="8">
        <v>19602.8</v>
      </c>
      <c r="V11" s="8">
        <v>55737.8</v>
      </c>
      <c r="W11" s="8">
        <v>60628.5</v>
      </c>
      <c r="X11" s="8">
        <v>7164.7</v>
      </c>
      <c r="Y11" s="8">
        <v>7401.3</v>
      </c>
      <c r="Z11" s="15">
        <f t="shared" si="22"/>
        <v>75194.5</v>
      </c>
      <c r="AA11" s="8">
        <v>11181.4</v>
      </c>
      <c r="AB11" s="13">
        <v>9636</v>
      </c>
      <c r="AC11" s="7">
        <f t="shared" si="23"/>
        <v>20817.4</v>
      </c>
      <c r="AD11" s="16">
        <v>172258</v>
      </c>
      <c r="AE11" s="17">
        <f t="shared" ref="AE11:AI11" si="68">IF(OR(C12=""),"",(C12-C11)*80)</f>
        <v>0</v>
      </c>
      <c r="AF11" s="17">
        <f t="shared" si="68"/>
        <v>3024.00000000023</v>
      </c>
      <c r="AG11" s="17">
        <f t="shared" si="68"/>
        <v>1607.9999999993</v>
      </c>
      <c r="AH11" s="17">
        <f t="shared" si="68"/>
        <v>8.80000000004657</v>
      </c>
      <c r="AI11" s="17">
        <f t="shared" si="68"/>
        <v>2151.99999999953</v>
      </c>
      <c r="AJ11" s="17">
        <f t="shared" si="25"/>
        <v>6792.79999999912</v>
      </c>
      <c r="AK11" s="17">
        <f t="shared" ref="AK11:AN11" si="69">IF(OR(H12=""),"",(H12-H11)*80)</f>
        <v>0</v>
      </c>
      <c r="AL11" s="17">
        <f t="shared" si="69"/>
        <v>0</v>
      </c>
      <c r="AM11" s="17">
        <f t="shared" si="69"/>
        <v>0</v>
      </c>
      <c r="AN11" s="17">
        <f t="shared" si="69"/>
        <v>0</v>
      </c>
      <c r="AO11" s="17">
        <f t="shared" si="27"/>
        <v>0</v>
      </c>
      <c r="AP11" s="17">
        <f t="shared" ref="AP11:AS11" si="70">IF(OR(L12=""),"",(L12-L11)*100)</f>
        <v>1630.00000000029</v>
      </c>
      <c r="AQ11" s="17">
        <f t="shared" si="70"/>
        <v>0</v>
      </c>
      <c r="AR11" s="17">
        <f t="shared" si="70"/>
        <v>2889.99999999942</v>
      </c>
      <c r="AS11" s="17">
        <f t="shared" si="70"/>
        <v>2069.99999999971</v>
      </c>
      <c r="AT11" s="17">
        <f t="shared" si="29"/>
        <v>6589.99999999942</v>
      </c>
      <c r="AU11" s="17">
        <f t="shared" ref="AU11:AY11" si="71">IF(OR(P12=""),"",(P12-P11)*1000)</f>
        <v>3900.00000000055</v>
      </c>
      <c r="AV11" s="17">
        <f t="shared" si="71"/>
        <v>0</v>
      </c>
      <c r="AW11" s="17">
        <f t="shared" si="71"/>
        <v>0</v>
      </c>
      <c r="AX11" s="17">
        <f t="shared" si="71"/>
        <v>5100.00000000036</v>
      </c>
      <c r="AY11" s="17">
        <f t="shared" si="71"/>
        <v>0</v>
      </c>
      <c r="AZ11" s="17">
        <f t="shared" si="31"/>
        <v>9000.00000000091</v>
      </c>
      <c r="BA11" s="17">
        <f t="shared" si="32"/>
        <v>7599.99999999854</v>
      </c>
      <c r="BB11" s="17">
        <f t="shared" si="33"/>
        <v>591.999999999534</v>
      </c>
      <c r="BC11" s="17">
        <f t="shared" si="34"/>
        <v>1355.99999999977</v>
      </c>
      <c r="BD11" s="17">
        <f t="shared" si="35"/>
        <v>15969.2000000114</v>
      </c>
      <c r="BE11" s="17">
        <f t="shared" si="36"/>
        <v>47900.0000000087</v>
      </c>
      <c r="BF11" s="17">
        <f t="shared" si="37"/>
        <v>39.2999999999993</v>
      </c>
      <c r="BG11" s="20">
        <f t="shared" si="38"/>
        <v>0.278071265195281</v>
      </c>
      <c r="BH11" s="20">
        <f t="shared" si="39"/>
        <v>0.0394338724471381</v>
      </c>
      <c r="BI11" s="20">
        <f t="shared" si="40"/>
        <v>0</v>
      </c>
      <c r="BJ11" s="20">
        <f t="shared" si="41"/>
        <v>0.0382565686354156</v>
      </c>
      <c r="BK11" s="20">
        <f t="shared" ref="BK11:BO11" si="72">IF(OR($AD11=0),"",AZ11/$AD11)</f>
        <v>0.0522472105794849</v>
      </c>
      <c r="BL11" s="20">
        <f t="shared" si="72"/>
        <v>0.0441198667115521</v>
      </c>
      <c r="BM11" s="20">
        <f t="shared" si="72"/>
        <v>0.00343670540700307</v>
      </c>
      <c r="BN11" s="20">
        <f t="shared" si="72"/>
        <v>0.00787191306064024</v>
      </c>
      <c r="BO11" s="20">
        <f t="shared" si="72"/>
        <v>0.0927051283540471</v>
      </c>
    </row>
    <row r="12" spans="1:67">
      <c r="A12" s="9">
        <f t="shared" si="21"/>
        <v>45269</v>
      </c>
      <c r="B12" s="10">
        <v>19253.11</v>
      </c>
      <c r="C12" s="8">
        <v>97858</v>
      </c>
      <c r="D12" s="8">
        <v>69343.7</v>
      </c>
      <c r="E12" s="8">
        <v>70211.4</v>
      </c>
      <c r="F12" s="8">
        <v>10449</v>
      </c>
      <c r="G12" s="8">
        <v>126363.5</v>
      </c>
      <c r="H12" s="8">
        <v>5709.7</v>
      </c>
      <c r="I12" s="8">
        <v>2566.3</v>
      </c>
      <c r="J12" s="8">
        <v>967</v>
      </c>
      <c r="K12" s="8">
        <v>56</v>
      </c>
      <c r="L12" s="8">
        <v>103551.7</v>
      </c>
      <c r="M12" s="8">
        <v>61531.1</v>
      </c>
      <c r="N12" s="8">
        <v>86593</v>
      </c>
      <c r="O12" s="8">
        <v>113347.8</v>
      </c>
      <c r="P12" s="8">
        <v>6375.6</v>
      </c>
      <c r="Q12" s="8">
        <v>8827.4</v>
      </c>
      <c r="R12" s="8">
        <v>5381.8</v>
      </c>
      <c r="S12" s="8">
        <v>6421.3</v>
      </c>
      <c r="T12" s="8">
        <v>8826.8</v>
      </c>
      <c r="U12" s="8">
        <v>19606.6</v>
      </c>
      <c r="V12" s="8">
        <v>55745.2</v>
      </c>
      <c r="W12" s="8">
        <v>60645.8</v>
      </c>
      <c r="X12" s="8">
        <v>7172.7</v>
      </c>
      <c r="Y12" s="8">
        <v>7409.9</v>
      </c>
      <c r="Z12" s="15">
        <f t="shared" si="22"/>
        <v>75228.4</v>
      </c>
      <c r="AA12" s="8">
        <v>11235.7</v>
      </c>
      <c r="AB12" s="13">
        <v>9621</v>
      </c>
      <c r="AC12" s="7">
        <f t="shared" si="23"/>
        <v>20856.7</v>
      </c>
      <c r="AD12" s="16">
        <v>183930</v>
      </c>
      <c r="AE12" s="17">
        <f t="shared" ref="AE12:AI12" si="73">IF(OR(C13=""),"",(C13-C12)*80)</f>
        <v>0</v>
      </c>
      <c r="AF12" s="17">
        <f t="shared" si="73"/>
        <v>2968.00000000047</v>
      </c>
      <c r="AG12" s="17">
        <f t="shared" si="73"/>
        <v>1912.0000000007</v>
      </c>
      <c r="AH12" s="17">
        <f t="shared" si="73"/>
        <v>3.99999999994179</v>
      </c>
      <c r="AI12" s="17">
        <f t="shared" si="73"/>
        <v>2111.99999999953</v>
      </c>
      <c r="AJ12" s="17">
        <f t="shared" si="25"/>
        <v>6996.00000000064</v>
      </c>
      <c r="AK12" s="17">
        <f t="shared" ref="AK12:AN12" si="74">IF(OR(H13=""),"",(H13-H12)*80)</f>
        <v>0</v>
      </c>
      <c r="AL12" s="17">
        <f t="shared" si="74"/>
        <v>0</v>
      </c>
      <c r="AM12" s="17">
        <f t="shared" si="74"/>
        <v>0</v>
      </c>
      <c r="AN12" s="17">
        <f t="shared" si="74"/>
        <v>0</v>
      </c>
      <c r="AO12" s="17">
        <f t="shared" si="27"/>
        <v>0</v>
      </c>
      <c r="AP12" s="17">
        <f t="shared" ref="AP12:AS12" si="75">IF(OR(L13=""),"",(L13-L12)*100)</f>
        <v>2050</v>
      </c>
      <c r="AQ12" s="17">
        <f t="shared" si="75"/>
        <v>0</v>
      </c>
      <c r="AR12" s="17">
        <f t="shared" si="75"/>
        <v>2860.00000000058</v>
      </c>
      <c r="AS12" s="17">
        <f t="shared" si="75"/>
        <v>1989.99999999942</v>
      </c>
      <c r="AT12" s="17">
        <f t="shared" si="29"/>
        <v>6900</v>
      </c>
      <c r="AU12" s="17">
        <f t="shared" ref="AU12:AY12" si="76">IF(OR(P13=""),"",(P13-P12)*1000)</f>
        <v>4000</v>
      </c>
      <c r="AV12" s="17">
        <f t="shared" si="76"/>
        <v>0</v>
      </c>
      <c r="AW12" s="17">
        <f t="shared" si="76"/>
        <v>0</v>
      </c>
      <c r="AX12" s="17">
        <f t="shared" si="76"/>
        <v>5300.00000000018</v>
      </c>
      <c r="AY12" s="17">
        <f t="shared" si="76"/>
        <v>0</v>
      </c>
      <c r="AZ12" s="17">
        <f t="shared" si="31"/>
        <v>9300.00000000018</v>
      </c>
      <c r="BA12" s="17">
        <f t="shared" si="32"/>
        <v>8600.00000000582</v>
      </c>
      <c r="BB12" s="17">
        <f t="shared" si="33"/>
        <v>576.000000000349</v>
      </c>
      <c r="BC12" s="17">
        <f t="shared" si="34"/>
        <v>1324.00000000023</v>
      </c>
      <c r="BD12" s="17">
        <f t="shared" si="35"/>
        <v>15403.9999999913</v>
      </c>
      <c r="BE12" s="17">
        <f t="shared" si="36"/>
        <v>49099.9999999985</v>
      </c>
      <c r="BF12" s="17">
        <f t="shared" si="37"/>
        <v>76.7000000000007</v>
      </c>
      <c r="BG12" s="20">
        <f t="shared" si="38"/>
        <v>0.266949382917406</v>
      </c>
      <c r="BH12" s="20">
        <f t="shared" si="39"/>
        <v>0.0380362094275031</v>
      </c>
      <c r="BI12" s="20">
        <f t="shared" si="40"/>
        <v>0</v>
      </c>
      <c r="BJ12" s="20">
        <f t="shared" si="41"/>
        <v>0.0375142717338118</v>
      </c>
      <c r="BK12" s="20">
        <f t="shared" ref="BK12:BO12" si="77">IF(OR($AD12=0),"",AZ12/$AD12)</f>
        <v>0.0505627140760082</v>
      </c>
      <c r="BL12" s="20">
        <f t="shared" si="77"/>
        <v>0.0467569183928985</v>
      </c>
      <c r="BM12" s="20">
        <f t="shared" si="77"/>
        <v>0.00313162616212879</v>
      </c>
      <c r="BN12" s="20">
        <f t="shared" si="77"/>
        <v>0.00719839069211239</v>
      </c>
      <c r="BO12" s="20">
        <f t="shared" si="77"/>
        <v>0.0837492524329436</v>
      </c>
    </row>
    <row r="13" spans="1:67">
      <c r="A13" s="9">
        <f t="shared" si="21"/>
        <v>45270</v>
      </c>
      <c r="B13" s="10">
        <v>19258.02</v>
      </c>
      <c r="C13" s="8">
        <v>97858</v>
      </c>
      <c r="D13" s="8">
        <v>69380.8</v>
      </c>
      <c r="E13" s="8">
        <v>70235.3</v>
      </c>
      <c r="F13" s="8">
        <v>10449.05</v>
      </c>
      <c r="G13" s="8">
        <v>126389.9</v>
      </c>
      <c r="H13" s="8">
        <v>5709.7</v>
      </c>
      <c r="I13" s="8">
        <v>2566.3</v>
      </c>
      <c r="J13" s="8">
        <v>967</v>
      </c>
      <c r="K13" s="8">
        <v>56</v>
      </c>
      <c r="L13" s="8">
        <v>103572.2</v>
      </c>
      <c r="M13" s="8">
        <v>61531.1</v>
      </c>
      <c r="N13" s="8">
        <v>86621.6</v>
      </c>
      <c r="O13" s="8">
        <v>113367.7</v>
      </c>
      <c r="P13" s="8">
        <v>6379.6</v>
      </c>
      <c r="Q13" s="8">
        <v>8827.4</v>
      </c>
      <c r="R13" s="8">
        <v>5381.8</v>
      </c>
      <c r="S13" s="8">
        <v>6426.6</v>
      </c>
      <c r="T13" s="8">
        <v>8826.8</v>
      </c>
      <c r="U13" s="8">
        <v>19610.9</v>
      </c>
      <c r="V13" s="8">
        <v>55752.4</v>
      </c>
      <c r="W13" s="8">
        <v>60662.7</v>
      </c>
      <c r="X13" s="8">
        <v>7180.6</v>
      </c>
      <c r="Y13" s="8">
        <v>7418.2</v>
      </c>
      <c r="Z13" s="15">
        <f t="shared" si="22"/>
        <v>75261.5</v>
      </c>
      <c r="AA13" s="8">
        <v>11288.4</v>
      </c>
      <c r="AB13" s="13">
        <v>9645</v>
      </c>
      <c r="AC13" s="7">
        <f t="shared" si="23"/>
        <v>20933.4</v>
      </c>
      <c r="AD13" s="16">
        <v>187103</v>
      </c>
      <c r="AE13" s="17">
        <f t="shared" ref="AE13:AI13" si="78">IF(OR(C14=""),"",(C14-C13)*80)</f>
        <v>0</v>
      </c>
      <c r="AF13" s="17">
        <f t="shared" si="78"/>
        <v>3111.99999999953</v>
      </c>
      <c r="AG13" s="17">
        <f t="shared" si="78"/>
        <v>2191.99999999953</v>
      </c>
      <c r="AH13" s="17">
        <f t="shared" si="78"/>
        <v>4.80000000010477</v>
      </c>
      <c r="AI13" s="17">
        <f t="shared" si="78"/>
        <v>2176.00000000093</v>
      </c>
      <c r="AJ13" s="17">
        <f t="shared" si="25"/>
        <v>7484.8000000001</v>
      </c>
      <c r="AK13" s="17">
        <f t="shared" ref="AK13:AN13" si="79">IF(OR(H14=""),"",(H14-H13)*80)</f>
        <v>0</v>
      </c>
      <c r="AL13" s="17">
        <f t="shared" si="79"/>
        <v>0</v>
      </c>
      <c r="AM13" s="17">
        <f t="shared" si="79"/>
        <v>0</v>
      </c>
      <c r="AN13" s="17">
        <f t="shared" si="79"/>
        <v>0</v>
      </c>
      <c r="AO13" s="17">
        <f t="shared" si="27"/>
        <v>0</v>
      </c>
      <c r="AP13" s="17">
        <f t="shared" ref="AP13:AS13" si="80">IF(OR(L14=""),"",(L14-L13)*100)</f>
        <v>2169.99999999971</v>
      </c>
      <c r="AQ13" s="17">
        <f t="shared" si="80"/>
        <v>0</v>
      </c>
      <c r="AR13" s="17">
        <f t="shared" si="80"/>
        <v>2989.99999999942</v>
      </c>
      <c r="AS13" s="17">
        <f t="shared" si="80"/>
        <v>2050</v>
      </c>
      <c r="AT13" s="17">
        <f t="shared" si="29"/>
        <v>7209.99999999913</v>
      </c>
      <c r="AU13" s="17">
        <f t="shared" ref="AU13:AY13" si="81">IF(OR(P14=""),"",(P14-P13)*1000)</f>
        <v>3099.99999999945</v>
      </c>
      <c r="AV13" s="17">
        <f t="shared" si="81"/>
        <v>0</v>
      </c>
      <c r="AW13" s="17">
        <f t="shared" si="81"/>
        <v>1099.99999999945</v>
      </c>
      <c r="AX13" s="17">
        <f t="shared" si="81"/>
        <v>5599.99999999945</v>
      </c>
      <c r="AY13" s="17">
        <f t="shared" si="81"/>
        <v>0</v>
      </c>
      <c r="AZ13" s="17">
        <f t="shared" si="31"/>
        <v>9799.99999999836</v>
      </c>
      <c r="BA13" s="17">
        <f t="shared" si="32"/>
        <v>8799.99999999563</v>
      </c>
      <c r="BB13" s="17">
        <f t="shared" si="33"/>
        <v>592.000000000116</v>
      </c>
      <c r="BC13" s="17">
        <f t="shared" si="34"/>
        <v>1372.00000000012</v>
      </c>
      <c r="BD13" s="17">
        <f t="shared" si="35"/>
        <v>15341.2000000196</v>
      </c>
      <c r="BE13" s="17">
        <f t="shared" si="36"/>
        <v>50600.0000000131</v>
      </c>
      <c r="BF13" s="17">
        <f t="shared" si="37"/>
        <v>63.1999999999971</v>
      </c>
      <c r="BG13" s="20">
        <f t="shared" si="38"/>
        <v>0.270439276762067</v>
      </c>
      <c r="BH13" s="20">
        <f t="shared" si="39"/>
        <v>0.0400036343618227</v>
      </c>
      <c r="BI13" s="20">
        <f t="shared" si="40"/>
        <v>0</v>
      </c>
      <c r="BJ13" s="20">
        <f t="shared" si="41"/>
        <v>0.0385349246137108</v>
      </c>
      <c r="BK13" s="20">
        <f t="shared" ref="BK13:BO13" si="82">IF(OR($AD13=0),"",AZ13/$AD13)</f>
        <v>0.0523775674361093</v>
      </c>
      <c r="BL13" s="20">
        <f t="shared" si="82"/>
        <v>0.0470329176977153</v>
      </c>
      <c r="BM13" s="20">
        <f t="shared" si="82"/>
        <v>0.00316403264512122</v>
      </c>
      <c r="BN13" s="20">
        <f t="shared" si="82"/>
        <v>0.00733285944105715</v>
      </c>
      <c r="BO13" s="20">
        <f t="shared" si="82"/>
        <v>0.0819933405665309</v>
      </c>
    </row>
    <row r="14" spans="1:67">
      <c r="A14" s="9">
        <f t="shared" si="21"/>
        <v>45271</v>
      </c>
      <c r="B14" s="10">
        <v>19263.08</v>
      </c>
      <c r="C14" s="8">
        <v>97858</v>
      </c>
      <c r="D14" s="8">
        <v>69419.7</v>
      </c>
      <c r="E14" s="8">
        <v>70262.7</v>
      </c>
      <c r="F14" s="8">
        <v>10449.11</v>
      </c>
      <c r="G14" s="8">
        <v>126417.1</v>
      </c>
      <c r="H14" s="8">
        <v>5709.7</v>
      </c>
      <c r="I14" s="8">
        <v>2566.3</v>
      </c>
      <c r="J14" s="8">
        <v>967</v>
      </c>
      <c r="K14" s="8">
        <v>56</v>
      </c>
      <c r="L14" s="8">
        <v>103593.9</v>
      </c>
      <c r="M14" s="8">
        <v>61531.1</v>
      </c>
      <c r="N14" s="8">
        <v>86651.5</v>
      </c>
      <c r="O14" s="8">
        <v>113388.2</v>
      </c>
      <c r="P14" s="8">
        <v>6382.7</v>
      </c>
      <c r="Q14" s="8">
        <v>8827.4</v>
      </c>
      <c r="R14" s="8">
        <v>5382.9</v>
      </c>
      <c r="S14" s="8">
        <v>6432.2</v>
      </c>
      <c r="T14" s="8">
        <v>8826.8</v>
      </c>
      <c r="U14" s="8">
        <v>19615.3</v>
      </c>
      <c r="V14" s="8">
        <v>55759.8</v>
      </c>
      <c r="W14" s="8">
        <v>60680.1</v>
      </c>
      <c r="X14" s="8">
        <v>7188.7</v>
      </c>
      <c r="Y14" s="8">
        <v>7427</v>
      </c>
      <c r="Z14" s="15">
        <f t="shared" si="22"/>
        <v>75295.8</v>
      </c>
      <c r="AA14" s="8">
        <v>11341.6</v>
      </c>
      <c r="AB14" s="13">
        <v>9655</v>
      </c>
      <c r="AC14" s="7">
        <f t="shared" si="23"/>
        <v>20996.6</v>
      </c>
      <c r="AD14" s="16">
        <v>180678</v>
      </c>
      <c r="AE14" s="17">
        <f t="shared" ref="AE14:AI14" si="83">IF(OR(C15=""),"",(C15-C14)*80)</f>
        <v>0</v>
      </c>
      <c r="AF14" s="17">
        <f t="shared" si="83"/>
        <v>3128.00000000047</v>
      </c>
      <c r="AG14" s="17">
        <f t="shared" si="83"/>
        <v>2192.0000000007</v>
      </c>
      <c r="AH14" s="17">
        <f t="shared" si="83"/>
        <v>-0.800000000017462</v>
      </c>
      <c r="AI14" s="17">
        <f t="shared" si="83"/>
        <v>2231.99999999953</v>
      </c>
      <c r="AJ14" s="17">
        <f t="shared" si="25"/>
        <v>7551.20000000068</v>
      </c>
      <c r="AK14" s="17">
        <f t="shared" ref="AK14:AN14" si="84">IF(OR(H15=""),"",(H15-H14)*80)</f>
        <v>0</v>
      </c>
      <c r="AL14" s="17">
        <f t="shared" si="84"/>
        <v>0</v>
      </c>
      <c r="AM14" s="17">
        <f t="shared" si="84"/>
        <v>0</v>
      </c>
      <c r="AN14" s="17">
        <f t="shared" si="84"/>
        <v>0</v>
      </c>
      <c r="AO14" s="17">
        <f t="shared" si="27"/>
        <v>0</v>
      </c>
      <c r="AP14" s="17">
        <f t="shared" ref="AP14:AS14" si="85">IF(OR(L15=""),"",(L15-L14)*100)</f>
        <v>1950</v>
      </c>
      <c r="AQ14" s="17">
        <f t="shared" si="85"/>
        <v>0</v>
      </c>
      <c r="AR14" s="17">
        <f t="shared" si="85"/>
        <v>2919.99999999971</v>
      </c>
      <c r="AS14" s="17">
        <f t="shared" si="85"/>
        <v>2040.00000000087</v>
      </c>
      <c r="AT14" s="17">
        <f t="shared" si="29"/>
        <v>6910.00000000058</v>
      </c>
      <c r="AU14" s="17">
        <f t="shared" ref="AU14:AY14" si="86">IF(OR(P15=""),"",(P15-P14)*1000)</f>
        <v>0</v>
      </c>
      <c r="AV14" s="17">
        <f t="shared" si="86"/>
        <v>0</v>
      </c>
      <c r="AW14" s="17">
        <f t="shared" si="86"/>
        <v>4800.00000000018</v>
      </c>
      <c r="AX14" s="17">
        <f t="shared" si="86"/>
        <v>5100.00000000036</v>
      </c>
      <c r="AY14" s="17">
        <f t="shared" si="86"/>
        <v>0</v>
      </c>
      <c r="AZ14" s="17">
        <f t="shared" si="31"/>
        <v>9900.00000000055</v>
      </c>
      <c r="BA14" s="17">
        <f t="shared" si="32"/>
        <v>8800.00000000291</v>
      </c>
      <c r="BB14" s="17">
        <f t="shared" si="33"/>
        <v>600</v>
      </c>
      <c r="BC14" s="17">
        <f t="shared" si="34"/>
        <v>1387.99999999988</v>
      </c>
      <c r="BD14" s="17">
        <f t="shared" si="35"/>
        <v>17350.7999999954</v>
      </c>
      <c r="BE14" s="17">
        <f t="shared" si="36"/>
        <v>52500</v>
      </c>
      <c r="BF14" s="17">
        <f t="shared" si="37"/>
        <v>56.4000000000015</v>
      </c>
      <c r="BG14" s="20">
        <f t="shared" si="38"/>
        <v>0.290572178129047</v>
      </c>
      <c r="BH14" s="20">
        <f t="shared" si="39"/>
        <v>0.041793688218824</v>
      </c>
      <c r="BI14" s="20">
        <f t="shared" si="40"/>
        <v>0</v>
      </c>
      <c r="BJ14" s="20">
        <f t="shared" si="41"/>
        <v>0.0382448333499407</v>
      </c>
      <c r="BK14" s="20">
        <f t="shared" ref="BK14:BO14" si="87">IF(OR($AD14=0),"",AZ14/$AD14)</f>
        <v>0.0547936107329091</v>
      </c>
      <c r="BL14" s="20">
        <f t="shared" si="87"/>
        <v>0.0487054317625993</v>
      </c>
      <c r="BM14" s="20">
        <f t="shared" si="87"/>
        <v>0.0033208248929034</v>
      </c>
      <c r="BN14" s="20">
        <f t="shared" si="87"/>
        <v>0.00768217491891588</v>
      </c>
      <c r="BO14" s="20">
        <f t="shared" si="87"/>
        <v>0.096031614252955</v>
      </c>
    </row>
    <row r="15" spans="1:67">
      <c r="A15" s="9">
        <f t="shared" si="21"/>
        <v>45272</v>
      </c>
      <c r="B15" s="10">
        <v>19268.33</v>
      </c>
      <c r="C15" s="8">
        <v>97858</v>
      </c>
      <c r="D15" s="8">
        <v>69458.8</v>
      </c>
      <c r="E15" s="8">
        <v>70290.1</v>
      </c>
      <c r="F15" s="8">
        <v>10449.1</v>
      </c>
      <c r="G15" s="8">
        <v>126445</v>
      </c>
      <c r="H15" s="8">
        <v>5709.7</v>
      </c>
      <c r="I15" s="8">
        <v>2566.3</v>
      </c>
      <c r="J15" s="8">
        <v>967</v>
      </c>
      <c r="K15" s="8">
        <v>56</v>
      </c>
      <c r="L15" s="8">
        <v>103613.4</v>
      </c>
      <c r="M15" s="8">
        <v>61531.1</v>
      </c>
      <c r="N15" s="8">
        <v>86680.7</v>
      </c>
      <c r="O15" s="8">
        <v>113408.6</v>
      </c>
      <c r="P15" s="8">
        <v>6382.7</v>
      </c>
      <c r="Q15" s="8">
        <v>8827.4</v>
      </c>
      <c r="R15" s="8">
        <v>5387.7</v>
      </c>
      <c r="S15" s="8">
        <v>6437.3</v>
      </c>
      <c r="T15" s="8">
        <v>8826.8</v>
      </c>
      <c r="U15" s="8">
        <v>19619.7</v>
      </c>
      <c r="V15" s="8">
        <v>55767.3</v>
      </c>
      <c r="W15" s="8">
        <v>60697.4</v>
      </c>
      <c r="X15" s="8">
        <v>7197.2</v>
      </c>
      <c r="Y15" s="8">
        <v>7435.9</v>
      </c>
      <c r="Z15" s="15">
        <f t="shared" si="22"/>
        <v>75330.5</v>
      </c>
      <c r="AA15" s="8">
        <v>11393</v>
      </c>
      <c r="AB15" s="13">
        <v>9660</v>
      </c>
      <c r="AC15" s="7">
        <f t="shared" si="23"/>
        <v>21053</v>
      </c>
      <c r="AD15" s="16">
        <v>177531</v>
      </c>
      <c r="AE15" s="17">
        <f t="shared" ref="AE15:AI15" si="88">IF(OR(C16=""),"",(C16-C15)*80)</f>
        <v>0</v>
      </c>
      <c r="AF15" s="17">
        <f t="shared" si="88"/>
        <v>3024.00000000023</v>
      </c>
      <c r="AG15" s="17">
        <f t="shared" si="88"/>
        <v>1920</v>
      </c>
      <c r="AH15" s="17">
        <f t="shared" si="88"/>
        <v>8.0000000000291</v>
      </c>
      <c r="AI15" s="17">
        <f t="shared" si="88"/>
        <v>2391.99999999953</v>
      </c>
      <c r="AJ15" s="17">
        <f t="shared" si="25"/>
        <v>7343.9999999998</v>
      </c>
      <c r="AK15" s="17">
        <f t="shared" ref="AK15:AN15" si="89">IF(OR(H16=""),"",(H16-H15)*80)</f>
        <v>0</v>
      </c>
      <c r="AL15" s="17">
        <f t="shared" si="89"/>
        <v>0</v>
      </c>
      <c r="AM15" s="17">
        <f t="shared" si="89"/>
        <v>0</v>
      </c>
      <c r="AN15" s="17">
        <f t="shared" si="89"/>
        <v>0</v>
      </c>
      <c r="AO15" s="17">
        <f t="shared" si="27"/>
        <v>0</v>
      </c>
      <c r="AP15" s="17">
        <f t="shared" ref="AP15:AS15" si="90">IF(OR(L16=""),"",(L16-L15)*100)</f>
        <v>1780.00000000029</v>
      </c>
      <c r="AQ15" s="17">
        <f t="shared" si="90"/>
        <v>0</v>
      </c>
      <c r="AR15" s="17">
        <f t="shared" si="90"/>
        <v>2860.00000000058</v>
      </c>
      <c r="AS15" s="17">
        <f t="shared" si="90"/>
        <v>1989.99999999942</v>
      </c>
      <c r="AT15" s="17">
        <f t="shared" si="29"/>
        <v>6630.00000000029</v>
      </c>
      <c r="AU15" s="17">
        <f t="shared" ref="AU15:AY15" si="91">IF(OR(P16=""),"",(P16-P15)*1000)</f>
        <v>1000</v>
      </c>
      <c r="AV15" s="17">
        <f t="shared" si="91"/>
        <v>0</v>
      </c>
      <c r="AW15" s="17">
        <f t="shared" si="91"/>
        <v>3600.00000000036</v>
      </c>
      <c r="AX15" s="17">
        <f t="shared" si="91"/>
        <v>5300.00000000018</v>
      </c>
      <c r="AY15" s="17">
        <f t="shared" si="91"/>
        <v>0</v>
      </c>
      <c r="AZ15" s="17">
        <f t="shared" si="31"/>
        <v>9900.00000000055</v>
      </c>
      <c r="BA15" s="17">
        <f t="shared" si="32"/>
        <v>8599.99999999854</v>
      </c>
      <c r="BB15" s="17">
        <f t="shared" si="33"/>
        <v>560</v>
      </c>
      <c r="BC15" s="17">
        <f t="shared" si="34"/>
        <v>1320</v>
      </c>
      <c r="BD15" s="17">
        <f t="shared" si="35"/>
        <v>17245.9999999994</v>
      </c>
      <c r="BE15" s="17">
        <f t="shared" si="36"/>
        <v>51599.9999999985</v>
      </c>
      <c r="BF15" s="17">
        <f t="shared" si="37"/>
        <v>51</v>
      </c>
      <c r="BG15" s="20">
        <f t="shared" si="38"/>
        <v>0.290653463338789</v>
      </c>
      <c r="BH15" s="20">
        <f t="shared" si="39"/>
        <v>0.0413674231542649</v>
      </c>
      <c r="BI15" s="20">
        <f t="shared" si="40"/>
        <v>0</v>
      </c>
      <c r="BJ15" s="20">
        <f t="shared" si="41"/>
        <v>0.0373455903476029</v>
      </c>
      <c r="BK15" s="20">
        <f t="shared" ref="BK15:BO15" si="92">IF(OR($AD15=0),"",AZ15/$AD15)</f>
        <v>0.0557649086638421</v>
      </c>
      <c r="BL15" s="20">
        <f t="shared" si="92"/>
        <v>0.0484422438897913</v>
      </c>
      <c r="BM15" s="20">
        <f t="shared" si="92"/>
        <v>0.00315437867189392</v>
      </c>
      <c r="BN15" s="20">
        <f t="shared" si="92"/>
        <v>0.00743532115517853</v>
      </c>
      <c r="BO15" s="20">
        <f t="shared" si="92"/>
        <v>0.0971435974562153</v>
      </c>
    </row>
    <row r="16" spans="1:67">
      <c r="A16" s="9">
        <f t="shared" si="21"/>
        <v>45273</v>
      </c>
      <c r="B16" s="10">
        <v>19273.49</v>
      </c>
      <c r="C16" s="8">
        <v>97858</v>
      </c>
      <c r="D16" s="8">
        <v>69496.6</v>
      </c>
      <c r="E16" s="8">
        <v>70314.1</v>
      </c>
      <c r="F16" s="8">
        <v>10449.2</v>
      </c>
      <c r="G16" s="8">
        <v>126474.9</v>
      </c>
      <c r="H16" s="8">
        <v>5709.7</v>
      </c>
      <c r="I16" s="8">
        <v>2566.3</v>
      </c>
      <c r="J16" s="8">
        <v>967</v>
      </c>
      <c r="K16" s="8">
        <v>56</v>
      </c>
      <c r="L16" s="8">
        <v>103631.2</v>
      </c>
      <c r="M16" s="8">
        <v>61531.1</v>
      </c>
      <c r="N16" s="8">
        <v>86709.3</v>
      </c>
      <c r="O16" s="8">
        <v>113428.5</v>
      </c>
      <c r="P16" s="8">
        <v>6383.7</v>
      </c>
      <c r="Q16" s="8">
        <v>8827.4</v>
      </c>
      <c r="R16" s="8">
        <v>5391.3</v>
      </c>
      <c r="S16" s="8">
        <v>6442.6</v>
      </c>
      <c r="T16" s="8">
        <v>8826.8</v>
      </c>
      <c r="U16" s="8">
        <v>19624</v>
      </c>
      <c r="V16" s="8">
        <v>55774.3</v>
      </c>
      <c r="W16" s="8">
        <v>60713.6</v>
      </c>
      <c r="X16" s="8">
        <v>7205.4</v>
      </c>
      <c r="Y16" s="8">
        <v>7444.5</v>
      </c>
      <c r="Z16" s="15">
        <f t="shared" si="22"/>
        <v>75363.5</v>
      </c>
      <c r="AA16" s="8">
        <v>11440</v>
      </c>
      <c r="AB16" s="13">
        <v>9664</v>
      </c>
      <c r="AC16" s="7">
        <f t="shared" si="23"/>
        <v>21104</v>
      </c>
      <c r="AD16" s="16">
        <v>175369</v>
      </c>
      <c r="AE16" s="17">
        <f t="shared" ref="AE16:AI16" si="93">IF(OR(C17=""),"",(C17-C16)*80)</f>
        <v>0</v>
      </c>
      <c r="AF16" s="17">
        <f t="shared" si="93"/>
        <v>2920</v>
      </c>
      <c r="AG16" s="17">
        <f t="shared" si="93"/>
        <v>1847.9999999993</v>
      </c>
      <c r="AH16" s="17">
        <f t="shared" si="93"/>
        <v>5.59999999997672</v>
      </c>
      <c r="AI16" s="17">
        <f t="shared" si="93"/>
        <v>2008.00000000047</v>
      </c>
      <c r="AJ16" s="17">
        <f t="shared" si="25"/>
        <v>6781.59999999974</v>
      </c>
      <c r="AK16" s="17">
        <f t="shared" ref="AK16:AN16" si="94">IF(OR(H17=""),"",(H17-H16)*80)</f>
        <v>0</v>
      </c>
      <c r="AL16" s="17">
        <f t="shared" si="94"/>
        <v>0</v>
      </c>
      <c r="AM16" s="17">
        <f t="shared" si="94"/>
        <v>0</v>
      </c>
      <c r="AN16" s="17">
        <f t="shared" si="94"/>
        <v>0</v>
      </c>
      <c r="AO16" s="17">
        <f t="shared" si="27"/>
        <v>0</v>
      </c>
      <c r="AP16" s="17">
        <f t="shared" ref="AP16:AS16" si="95">IF(OR(L17=""),"",(L17-L16)*100)</f>
        <v>1840.00000000087</v>
      </c>
      <c r="AQ16" s="17">
        <f t="shared" si="95"/>
        <v>0</v>
      </c>
      <c r="AR16" s="17">
        <f t="shared" si="95"/>
        <v>2939.99999999942</v>
      </c>
      <c r="AS16" s="17">
        <f t="shared" si="95"/>
        <v>2130.00000000029</v>
      </c>
      <c r="AT16" s="17">
        <f t="shared" si="29"/>
        <v>6910.00000000058</v>
      </c>
      <c r="AU16" s="17">
        <f t="shared" ref="AU16:AY16" si="96">IF(OR(P17=""),"",(P17-P16)*1000)</f>
        <v>0</v>
      </c>
      <c r="AV16" s="17">
        <f t="shared" si="96"/>
        <v>1200.00000000073</v>
      </c>
      <c r="AW16" s="17">
        <f t="shared" si="96"/>
        <v>4000</v>
      </c>
      <c r="AX16" s="17">
        <f t="shared" si="96"/>
        <v>5299.99999999927</v>
      </c>
      <c r="AY16" s="17">
        <f t="shared" si="96"/>
        <v>0</v>
      </c>
      <c r="AZ16" s="17">
        <f t="shared" si="31"/>
        <v>10500</v>
      </c>
      <c r="BA16" s="17">
        <f t="shared" si="32"/>
        <v>7800.00000000291</v>
      </c>
      <c r="BB16" s="17">
        <f t="shared" si="33"/>
        <v>575.999999999767</v>
      </c>
      <c r="BC16" s="17">
        <f t="shared" si="34"/>
        <v>1176.00000000035</v>
      </c>
      <c r="BD16" s="17">
        <f t="shared" si="35"/>
        <v>17556.3999999705</v>
      </c>
      <c r="BE16" s="17">
        <f t="shared" si="36"/>
        <v>51299.9999999738</v>
      </c>
      <c r="BF16" s="17">
        <f t="shared" si="37"/>
        <v>39.5999999999985</v>
      </c>
      <c r="BG16" s="20">
        <f t="shared" si="38"/>
        <v>0.292526045081935</v>
      </c>
      <c r="BH16" s="20">
        <f t="shared" si="39"/>
        <v>0.0386704605717073</v>
      </c>
      <c r="BI16" s="20">
        <f t="shared" si="40"/>
        <v>0</v>
      </c>
      <c r="BJ16" s="20">
        <f t="shared" si="41"/>
        <v>0.0394026310237304</v>
      </c>
      <c r="BK16" s="20">
        <f t="shared" ref="BK16:BO16" si="97">IF(OR($AD16=0),"",AZ16/$AD16)</f>
        <v>0.0598737519173856</v>
      </c>
      <c r="BL16" s="20">
        <f t="shared" si="97"/>
        <v>0.0444776442815031</v>
      </c>
      <c r="BM16" s="20">
        <f t="shared" si="97"/>
        <v>0.00328450296232383</v>
      </c>
      <c r="BN16" s="20">
        <f t="shared" si="97"/>
        <v>0.00670586021474918</v>
      </c>
      <c r="BO16" s="20">
        <f t="shared" si="97"/>
        <v>0.100111194110535</v>
      </c>
    </row>
    <row r="17" spans="1:67">
      <c r="A17" s="9">
        <f t="shared" si="21"/>
        <v>45274</v>
      </c>
      <c r="B17" s="10">
        <v>19278.62</v>
      </c>
      <c r="C17" s="8">
        <v>97858</v>
      </c>
      <c r="D17" s="8">
        <v>69533.1</v>
      </c>
      <c r="E17" s="8">
        <v>70337.2</v>
      </c>
      <c r="F17" s="8">
        <v>10449.27</v>
      </c>
      <c r="G17" s="8">
        <v>126500</v>
      </c>
      <c r="H17" s="8">
        <v>5709.7</v>
      </c>
      <c r="I17" s="8">
        <v>2566.3</v>
      </c>
      <c r="J17" s="8">
        <v>967</v>
      </c>
      <c r="K17" s="8">
        <v>56</v>
      </c>
      <c r="L17" s="8">
        <v>103649.6</v>
      </c>
      <c r="M17" s="8">
        <v>61531.1</v>
      </c>
      <c r="N17" s="8">
        <v>86738.7</v>
      </c>
      <c r="O17" s="8">
        <v>113449.8</v>
      </c>
      <c r="P17" s="8">
        <v>6383.7</v>
      </c>
      <c r="Q17" s="8">
        <v>8828.6</v>
      </c>
      <c r="R17" s="8">
        <v>5395.3</v>
      </c>
      <c r="S17" s="8">
        <v>6447.9</v>
      </c>
      <c r="T17" s="8">
        <v>8826.8</v>
      </c>
      <c r="U17" s="8">
        <v>19627.9</v>
      </c>
      <c r="V17" s="8">
        <v>55781.5</v>
      </c>
      <c r="W17" s="8">
        <v>60726.3</v>
      </c>
      <c r="X17" s="8">
        <v>7213.5</v>
      </c>
      <c r="Y17" s="8">
        <v>7453.1</v>
      </c>
      <c r="Z17" s="15">
        <f t="shared" si="22"/>
        <v>75392.9</v>
      </c>
      <c r="AA17" s="8">
        <v>11475.6</v>
      </c>
      <c r="AB17" s="13">
        <v>9668</v>
      </c>
      <c r="AC17" s="7">
        <f t="shared" si="23"/>
        <v>21143.6</v>
      </c>
      <c r="AD17" s="16">
        <v>176149</v>
      </c>
      <c r="AE17" s="17">
        <f t="shared" ref="AE17:AI17" si="98">IF(OR(C18=""),"",(C18-C17)*80)</f>
        <v>0</v>
      </c>
      <c r="AF17" s="17">
        <f t="shared" si="98"/>
        <v>2991.99999999953</v>
      </c>
      <c r="AG17" s="17">
        <f t="shared" si="98"/>
        <v>1864.00000000023</v>
      </c>
      <c r="AH17" s="17">
        <f t="shared" si="98"/>
        <v>2.39999999990687</v>
      </c>
      <c r="AI17" s="17">
        <f t="shared" si="98"/>
        <v>2375.99999999977</v>
      </c>
      <c r="AJ17" s="17">
        <f t="shared" si="25"/>
        <v>7234.39999999944</v>
      </c>
      <c r="AK17" s="17">
        <f t="shared" ref="AK17:AN17" si="99">IF(OR(H18=""),"",(H18-H17)*80)</f>
        <v>0</v>
      </c>
      <c r="AL17" s="17">
        <f t="shared" si="99"/>
        <v>0</v>
      </c>
      <c r="AM17" s="17">
        <f t="shared" si="99"/>
        <v>0</v>
      </c>
      <c r="AN17" s="17">
        <f t="shared" si="99"/>
        <v>0</v>
      </c>
      <c r="AO17" s="17">
        <f t="shared" si="27"/>
        <v>0</v>
      </c>
      <c r="AP17" s="17">
        <f t="shared" ref="AP17:AS17" si="100">IF(OR(L18=""),"",(L18-L17)*100)</f>
        <v>1900</v>
      </c>
      <c r="AQ17" s="17">
        <f t="shared" si="100"/>
        <v>0</v>
      </c>
      <c r="AR17" s="17">
        <f t="shared" si="100"/>
        <v>2990.00000000087</v>
      </c>
      <c r="AS17" s="17">
        <f t="shared" si="100"/>
        <v>2050</v>
      </c>
      <c r="AT17" s="17">
        <f t="shared" si="29"/>
        <v>6940.00000000087</v>
      </c>
      <c r="AU17" s="17">
        <f t="shared" ref="AU17:AY17" si="101">IF(OR(P18=""),"",(P18-P17)*1000)</f>
        <v>0</v>
      </c>
      <c r="AV17" s="17">
        <f t="shared" si="101"/>
        <v>1799.99999999927</v>
      </c>
      <c r="AW17" s="17">
        <f t="shared" si="101"/>
        <v>0</v>
      </c>
      <c r="AX17" s="17">
        <f t="shared" si="101"/>
        <v>5100.00000000036</v>
      </c>
      <c r="AY17" s="17">
        <f t="shared" si="101"/>
        <v>6100.00000000036</v>
      </c>
      <c r="AZ17" s="17">
        <f t="shared" si="31"/>
        <v>13000</v>
      </c>
      <c r="BA17" s="17">
        <f t="shared" si="32"/>
        <v>7799.99999999563</v>
      </c>
      <c r="BB17" s="17">
        <f t="shared" si="33"/>
        <v>592.000000000116</v>
      </c>
      <c r="BC17" s="17">
        <f t="shared" si="34"/>
        <v>1371.99999999953</v>
      </c>
      <c r="BD17" s="17">
        <f t="shared" si="35"/>
        <v>14261.6000000306</v>
      </c>
      <c r="BE17" s="17">
        <f t="shared" si="36"/>
        <v>51200.0000000262</v>
      </c>
      <c r="BF17" s="17">
        <f t="shared" si="37"/>
        <v>55.7000000000007</v>
      </c>
      <c r="BG17" s="20">
        <f t="shared" si="38"/>
        <v>0.290663018240388</v>
      </c>
      <c r="BH17" s="20">
        <f t="shared" si="39"/>
        <v>0.0410697761554107</v>
      </c>
      <c r="BI17" s="20">
        <f t="shared" si="40"/>
        <v>0</v>
      </c>
      <c r="BJ17" s="20">
        <f t="shared" si="41"/>
        <v>0.0393984638005375</v>
      </c>
      <c r="BK17" s="20">
        <f t="shared" ref="BK17:BO17" si="102">IF(OR($AD17=0),"",AZ17/$AD17)</f>
        <v>0.0738011569750609</v>
      </c>
      <c r="BL17" s="20">
        <f t="shared" si="102"/>
        <v>0.0442806941850118</v>
      </c>
      <c r="BM17" s="20">
        <f t="shared" si="102"/>
        <v>0.00336079114840343</v>
      </c>
      <c r="BN17" s="20">
        <f t="shared" si="102"/>
        <v>0.00778886056690378</v>
      </c>
      <c r="BO17" s="20">
        <f t="shared" si="102"/>
        <v>0.0809632754090605</v>
      </c>
    </row>
    <row r="18" spans="1:67">
      <c r="A18" s="9">
        <f t="shared" si="21"/>
        <v>45275</v>
      </c>
      <c r="B18" s="10">
        <v>19283.74</v>
      </c>
      <c r="C18" s="8">
        <v>97858</v>
      </c>
      <c r="D18" s="8">
        <v>69570.5</v>
      </c>
      <c r="E18" s="8">
        <v>70360.5</v>
      </c>
      <c r="F18" s="8">
        <v>10449.3</v>
      </c>
      <c r="G18" s="8">
        <v>126529.7</v>
      </c>
      <c r="H18" s="8">
        <v>5709.7</v>
      </c>
      <c r="I18" s="8">
        <v>2566.3</v>
      </c>
      <c r="J18" s="8">
        <v>967</v>
      </c>
      <c r="K18" s="8">
        <v>56</v>
      </c>
      <c r="L18" s="8">
        <v>103668.6</v>
      </c>
      <c r="M18" s="8">
        <v>61531.1</v>
      </c>
      <c r="N18" s="8">
        <v>86768.6</v>
      </c>
      <c r="O18" s="8">
        <v>113470.3</v>
      </c>
      <c r="P18" s="8">
        <v>6383.7</v>
      </c>
      <c r="Q18" s="8">
        <v>8830.4</v>
      </c>
      <c r="R18" s="8">
        <v>5395.3</v>
      </c>
      <c r="S18" s="8">
        <v>6453</v>
      </c>
      <c r="T18" s="8">
        <v>8832.9</v>
      </c>
      <c r="U18" s="8">
        <v>19631.8</v>
      </c>
      <c r="V18" s="8">
        <v>55788.9</v>
      </c>
      <c r="W18" s="8">
        <v>60743.7</v>
      </c>
      <c r="X18" s="8">
        <v>7221.8</v>
      </c>
      <c r="Y18" s="8">
        <v>7461.7</v>
      </c>
      <c r="Z18" s="15">
        <f t="shared" si="22"/>
        <v>75427.2</v>
      </c>
      <c r="AA18" s="8">
        <v>11526.3</v>
      </c>
      <c r="AB18" s="13">
        <v>9673</v>
      </c>
      <c r="AC18" s="7">
        <f t="shared" si="23"/>
        <v>21199.3</v>
      </c>
      <c r="AD18" s="16">
        <v>152617</v>
      </c>
      <c r="AE18" s="17">
        <f t="shared" ref="AE18:AI18" si="103">IF(OR(C19=""),"",(C19-C18)*80)</f>
        <v>0</v>
      </c>
      <c r="AF18" s="17">
        <f t="shared" si="103"/>
        <v>2391.99999999953</v>
      </c>
      <c r="AG18" s="17">
        <f t="shared" si="103"/>
        <v>1711.99999999953</v>
      </c>
      <c r="AH18" s="17">
        <f t="shared" si="103"/>
        <v>6.39999999999418</v>
      </c>
      <c r="AI18" s="17">
        <f t="shared" si="103"/>
        <v>2128.00000000047</v>
      </c>
      <c r="AJ18" s="17">
        <f t="shared" si="25"/>
        <v>6238.39999999953</v>
      </c>
      <c r="AK18" s="17">
        <f t="shared" ref="AK18:AN18" si="104">IF(OR(H19=""),"",(H19-H18)*80)</f>
        <v>0</v>
      </c>
      <c r="AL18" s="17">
        <f t="shared" si="104"/>
        <v>0</v>
      </c>
      <c r="AM18" s="17">
        <f t="shared" si="104"/>
        <v>0</v>
      </c>
      <c r="AN18" s="17">
        <f t="shared" si="104"/>
        <v>0</v>
      </c>
      <c r="AO18" s="17">
        <f t="shared" si="27"/>
        <v>0</v>
      </c>
      <c r="AP18" s="17">
        <f t="shared" ref="AP18:AS18" si="105">IF(OR(L19=""),"",(L19-L18)*100)</f>
        <v>1179.99999999884</v>
      </c>
      <c r="AQ18" s="17">
        <f t="shared" si="105"/>
        <v>0</v>
      </c>
      <c r="AR18" s="17">
        <f t="shared" si="105"/>
        <v>2919.99999999971</v>
      </c>
      <c r="AS18" s="17">
        <f t="shared" si="105"/>
        <v>2069.99999999971</v>
      </c>
      <c r="AT18" s="17">
        <f t="shared" si="29"/>
        <v>6169.99999999825</v>
      </c>
      <c r="AU18" s="17">
        <f t="shared" ref="AU18:AY18" si="106">IF(OR(P19=""),"",(P19-P18)*1000)</f>
        <v>2199.99999999982</v>
      </c>
      <c r="AV18" s="17">
        <f t="shared" si="106"/>
        <v>0</v>
      </c>
      <c r="AW18" s="17">
        <f t="shared" si="106"/>
        <v>2099.99999999945</v>
      </c>
      <c r="AX18" s="17">
        <f t="shared" si="106"/>
        <v>5199.99999999982</v>
      </c>
      <c r="AY18" s="17">
        <f t="shared" si="106"/>
        <v>1600.00000000036</v>
      </c>
      <c r="AZ18" s="17">
        <f t="shared" si="31"/>
        <v>11099.9999999995</v>
      </c>
      <c r="BA18" s="17">
        <f t="shared" si="32"/>
        <v>7800.00000000291</v>
      </c>
      <c r="BB18" s="17">
        <f t="shared" si="33"/>
        <v>567.999999999884</v>
      </c>
      <c r="BC18" s="17">
        <f t="shared" si="34"/>
        <v>1376.00000000035</v>
      </c>
      <c r="BD18" s="17">
        <f t="shared" si="35"/>
        <v>16147.5999999865</v>
      </c>
      <c r="BE18" s="17">
        <f t="shared" si="36"/>
        <v>49399.9999999869</v>
      </c>
      <c r="BF18" s="17">
        <f t="shared" si="37"/>
        <v>55.6000000000022</v>
      </c>
      <c r="BG18" s="20">
        <f t="shared" si="38"/>
        <v>0.323686090016098</v>
      </c>
      <c r="BH18" s="20">
        <f t="shared" si="39"/>
        <v>0.0408761802420407</v>
      </c>
      <c r="BI18" s="20">
        <f t="shared" si="40"/>
        <v>0</v>
      </c>
      <c r="BJ18" s="20">
        <f t="shared" si="41"/>
        <v>0.04042799950201</v>
      </c>
      <c r="BK18" s="20">
        <f t="shared" ref="BK18:BO18" si="107">IF(OR($AD18=0),"",AZ18/$AD18)</f>
        <v>0.072731085003633</v>
      </c>
      <c r="BL18" s="20">
        <f t="shared" si="107"/>
        <v>0.0511083300025745</v>
      </c>
      <c r="BM18" s="20">
        <f t="shared" si="107"/>
        <v>0.00372173480018532</v>
      </c>
      <c r="BN18" s="20">
        <f t="shared" si="107"/>
        <v>0.00901603360045309</v>
      </c>
      <c r="BO18" s="20">
        <f t="shared" si="107"/>
        <v>0.105804726865202</v>
      </c>
    </row>
    <row r="19" spans="1:67">
      <c r="A19" s="9">
        <f t="shared" si="21"/>
        <v>45276</v>
      </c>
      <c r="B19" s="10">
        <v>19288.68</v>
      </c>
      <c r="C19" s="8">
        <v>97858</v>
      </c>
      <c r="D19" s="8">
        <v>69600.4</v>
      </c>
      <c r="E19" s="8">
        <v>70381.9</v>
      </c>
      <c r="F19" s="8">
        <v>10449.38</v>
      </c>
      <c r="G19" s="8">
        <v>126556.3</v>
      </c>
      <c r="H19" s="8">
        <v>5709.7</v>
      </c>
      <c r="I19" s="8">
        <v>2566.3</v>
      </c>
      <c r="J19" s="8">
        <v>967</v>
      </c>
      <c r="K19" s="8">
        <v>56</v>
      </c>
      <c r="L19" s="8">
        <v>103680.4</v>
      </c>
      <c r="M19" s="8">
        <v>61531.1</v>
      </c>
      <c r="N19" s="8">
        <v>86797.8</v>
      </c>
      <c r="O19" s="8">
        <v>113491</v>
      </c>
      <c r="P19" s="8">
        <v>6385.9</v>
      </c>
      <c r="Q19" s="8">
        <v>8830.4</v>
      </c>
      <c r="R19" s="8">
        <v>5397.4</v>
      </c>
      <c r="S19" s="8">
        <v>6458.2</v>
      </c>
      <c r="T19" s="8">
        <v>8834.5</v>
      </c>
      <c r="U19" s="8">
        <v>19635.7</v>
      </c>
      <c r="V19" s="8">
        <v>55796</v>
      </c>
      <c r="W19" s="8">
        <v>60761</v>
      </c>
      <c r="X19" s="8">
        <v>7230.1</v>
      </c>
      <c r="Y19" s="8">
        <v>7470.5</v>
      </c>
      <c r="Z19" s="15">
        <f t="shared" si="22"/>
        <v>75461.6</v>
      </c>
      <c r="AA19" s="8">
        <v>11577.9</v>
      </c>
      <c r="AB19" s="13">
        <v>9677</v>
      </c>
      <c r="AC19" s="7">
        <f t="shared" si="23"/>
        <v>21254.9</v>
      </c>
      <c r="AD19" s="16">
        <v>159763</v>
      </c>
      <c r="AE19" s="17">
        <f t="shared" ref="AE19:AI19" si="108">IF(OR(C20=""),"",(C20-C19)*80)</f>
        <v>0</v>
      </c>
      <c r="AF19" s="17">
        <f t="shared" si="108"/>
        <v>2968.00000000047</v>
      </c>
      <c r="AG19" s="17">
        <f t="shared" si="108"/>
        <v>1264.00000000023</v>
      </c>
      <c r="AH19" s="17">
        <f t="shared" si="108"/>
        <v>4.80000000010477</v>
      </c>
      <c r="AI19" s="17">
        <f t="shared" si="108"/>
        <v>1847.9999999993</v>
      </c>
      <c r="AJ19" s="17">
        <f t="shared" si="25"/>
        <v>6084.8000000001</v>
      </c>
      <c r="AK19" s="17">
        <f t="shared" ref="AK19:AN19" si="109">IF(OR(H20=""),"",(H20-H19)*80)</f>
        <v>0</v>
      </c>
      <c r="AL19" s="17">
        <f t="shared" si="109"/>
        <v>0</v>
      </c>
      <c r="AM19" s="17">
        <f t="shared" si="109"/>
        <v>0</v>
      </c>
      <c r="AN19" s="17">
        <f t="shared" si="109"/>
        <v>0</v>
      </c>
      <c r="AO19" s="17">
        <f t="shared" si="27"/>
        <v>0</v>
      </c>
      <c r="AP19" s="17">
        <f t="shared" ref="AP19:AS19" si="110">IF(OR(L20=""),"",(L20-L19)*100)</f>
        <v>1360.00000000058</v>
      </c>
      <c r="AQ19" s="17">
        <f t="shared" si="110"/>
        <v>0</v>
      </c>
      <c r="AR19" s="17">
        <f t="shared" si="110"/>
        <v>2969.99999999971</v>
      </c>
      <c r="AS19" s="17">
        <f t="shared" si="110"/>
        <v>2100</v>
      </c>
      <c r="AT19" s="17">
        <f t="shared" si="29"/>
        <v>6430.00000000029</v>
      </c>
      <c r="AU19" s="17">
        <f t="shared" ref="AU19:AY19" si="111">IF(OR(P20=""),"",(P20-P19)*1000)</f>
        <v>1100.00000000036</v>
      </c>
      <c r="AV19" s="17">
        <f t="shared" si="111"/>
        <v>0</v>
      </c>
      <c r="AW19" s="17">
        <f t="shared" si="111"/>
        <v>200.000000000728</v>
      </c>
      <c r="AX19" s="17">
        <f t="shared" si="111"/>
        <v>5199.99999999982</v>
      </c>
      <c r="AY19" s="17">
        <f t="shared" si="111"/>
        <v>6299.99999999927</v>
      </c>
      <c r="AZ19" s="17">
        <f t="shared" si="31"/>
        <v>12800.0000000002</v>
      </c>
      <c r="BA19" s="17">
        <f t="shared" si="32"/>
        <v>7799.99999999563</v>
      </c>
      <c r="BB19" s="17">
        <f t="shared" si="33"/>
        <v>567.999999999884</v>
      </c>
      <c r="BC19" s="17">
        <f t="shared" si="34"/>
        <v>1367.99999999988</v>
      </c>
      <c r="BD19" s="17">
        <f t="shared" si="35"/>
        <v>14349.1999999909</v>
      </c>
      <c r="BE19" s="17">
        <f t="shared" si="36"/>
        <v>49399.9999999869</v>
      </c>
      <c r="BF19" s="17">
        <f t="shared" si="37"/>
        <v>56.8999999999978</v>
      </c>
      <c r="BG19" s="20">
        <f t="shared" si="38"/>
        <v>0.309208014371205</v>
      </c>
      <c r="BH19" s="20">
        <f t="shared" si="39"/>
        <v>0.0380864155029644</v>
      </c>
      <c r="BI19" s="20">
        <f t="shared" si="40"/>
        <v>0</v>
      </c>
      <c r="BJ19" s="20">
        <f t="shared" si="41"/>
        <v>0.040247116040637</v>
      </c>
      <c r="BK19" s="20">
        <f t="shared" ref="BK19:BO19" si="112">IF(OR($AD19=0),"",AZ19/$AD19)</f>
        <v>0.0801186757885129</v>
      </c>
      <c r="BL19" s="20">
        <f t="shared" si="112"/>
        <v>0.048822318058597</v>
      </c>
      <c r="BM19" s="20">
        <f t="shared" si="112"/>
        <v>0.00355526623811448</v>
      </c>
      <c r="BN19" s="20">
        <f t="shared" si="112"/>
        <v>0.00856268347489646</v>
      </c>
      <c r="BO19" s="20">
        <f t="shared" si="112"/>
        <v>0.0898155392674832</v>
      </c>
    </row>
    <row r="20" spans="1:67">
      <c r="A20" s="9">
        <f t="shared" si="21"/>
        <v>45277</v>
      </c>
      <c r="B20" s="10">
        <v>19293.62</v>
      </c>
      <c r="C20" s="8">
        <v>97858</v>
      </c>
      <c r="D20" s="8">
        <v>69637.5</v>
      </c>
      <c r="E20" s="8">
        <v>70397.7</v>
      </c>
      <c r="F20" s="8">
        <v>10449.44</v>
      </c>
      <c r="G20" s="8">
        <v>126579.4</v>
      </c>
      <c r="H20" s="8">
        <v>5709.7</v>
      </c>
      <c r="I20" s="8">
        <v>2566.3</v>
      </c>
      <c r="J20" s="8">
        <v>967</v>
      </c>
      <c r="K20" s="8">
        <v>56</v>
      </c>
      <c r="L20" s="8">
        <v>103694</v>
      </c>
      <c r="M20" s="8">
        <v>61531.1</v>
      </c>
      <c r="N20" s="8">
        <v>86827.5</v>
      </c>
      <c r="O20" s="8">
        <v>113512</v>
      </c>
      <c r="P20" s="8">
        <v>6387</v>
      </c>
      <c r="Q20" s="8">
        <v>8830.4</v>
      </c>
      <c r="R20" s="8">
        <v>5397.6</v>
      </c>
      <c r="S20" s="8">
        <v>6463.4</v>
      </c>
      <c r="T20" s="8">
        <v>8840.8</v>
      </c>
      <c r="U20" s="8">
        <v>19639.6</v>
      </c>
      <c r="V20" s="8">
        <v>55803.1</v>
      </c>
      <c r="W20" s="8">
        <v>60778.6</v>
      </c>
      <c r="X20" s="8">
        <v>7238.2</v>
      </c>
      <c r="Y20" s="8">
        <v>7479</v>
      </c>
      <c r="Z20" s="15">
        <f t="shared" si="22"/>
        <v>75495.8</v>
      </c>
      <c r="AA20" s="8">
        <v>11630.8</v>
      </c>
      <c r="AB20" s="13">
        <v>9681</v>
      </c>
      <c r="AC20" s="7">
        <f t="shared" si="23"/>
        <v>21311.8</v>
      </c>
      <c r="AD20" s="16">
        <v>155352</v>
      </c>
      <c r="AE20" s="17">
        <f t="shared" ref="AE20:AI20" si="113">IF(OR(C21=""),"",(C21-C20)*80)</f>
        <v>0</v>
      </c>
      <c r="AF20" s="17">
        <f t="shared" si="113"/>
        <v>2951.99999999953</v>
      </c>
      <c r="AG20" s="17">
        <f t="shared" si="113"/>
        <v>1360</v>
      </c>
      <c r="AH20" s="17">
        <f t="shared" si="113"/>
        <v>4.79999999995925</v>
      </c>
      <c r="AI20" s="17">
        <f t="shared" si="113"/>
        <v>2016.00000000093</v>
      </c>
      <c r="AJ20" s="17">
        <f t="shared" si="25"/>
        <v>6332.80000000042</v>
      </c>
      <c r="AK20" s="17">
        <f t="shared" ref="AK20:AN20" si="114">IF(OR(H21=""),"",(H21-H20)*80)</f>
        <v>0</v>
      </c>
      <c r="AL20" s="17">
        <f t="shared" si="114"/>
        <v>0</v>
      </c>
      <c r="AM20" s="17">
        <f t="shared" si="114"/>
        <v>0</v>
      </c>
      <c r="AN20" s="17">
        <f t="shared" si="114"/>
        <v>0</v>
      </c>
      <c r="AO20" s="17">
        <f t="shared" si="27"/>
        <v>0</v>
      </c>
      <c r="AP20" s="17">
        <f t="shared" ref="AP20:AS20" si="115">IF(OR(L21=""),"",(L21-L20)*100)</f>
        <v>1310.00000000058</v>
      </c>
      <c r="AQ20" s="17">
        <f t="shared" si="115"/>
        <v>0</v>
      </c>
      <c r="AR20" s="17">
        <f t="shared" si="115"/>
        <v>2950</v>
      </c>
      <c r="AS20" s="17">
        <f t="shared" si="115"/>
        <v>2000</v>
      </c>
      <c r="AT20" s="17">
        <f t="shared" si="29"/>
        <v>6260.00000000058</v>
      </c>
      <c r="AU20" s="17">
        <f t="shared" ref="AU20:AY20" si="116">IF(OR(P21=""),"",(P21-P20)*1000)</f>
        <v>0</v>
      </c>
      <c r="AV20" s="17">
        <f t="shared" si="116"/>
        <v>1800.00000000109</v>
      </c>
      <c r="AW20" s="17">
        <f t="shared" si="116"/>
        <v>0</v>
      </c>
      <c r="AX20" s="17">
        <f t="shared" si="116"/>
        <v>3900.00000000055</v>
      </c>
      <c r="AY20" s="17">
        <f t="shared" si="116"/>
        <v>8700.00000000073</v>
      </c>
      <c r="AZ20" s="17">
        <f t="shared" si="31"/>
        <v>14400.0000000024</v>
      </c>
      <c r="BA20" s="17">
        <f t="shared" si="32"/>
        <v>7400.00000000146</v>
      </c>
      <c r="BB20" s="17">
        <f t="shared" si="33"/>
        <v>592.000000000116</v>
      </c>
      <c r="BC20" s="17">
        <f t="shared" si="34"/>
        <v>1403.99999999965</v>
      </c>
      <c r="BD20" s="17">
        <f t="shared" si="35"/>
        <v>12611.20000001</v>
      </c>
      <c r="BE20" s="17">
        <f t="shared" si="36"/>
        <v>49000.0000000146</v>
      </c>
      <c r="BF20" s="17">
        <f t="shared" si="37"/>
        <v>56.2999999999993</v>
      </c>
      <c r="BG20" s="20">
        <f t="shared" si="38"/>
        <v>0.315412740099996</v>
      </c>
      <c r="BH20" s="20">
        <f t="shared" si="39"/>
        <v>0.0407642000103019</v>
      </c>
      <c r="BI20" s="20">
        <f t="shared" si="40"/>
        <v>0</v>
      </c>
      <c r="BJ20" s="20">
        <f t="shared" si="41"/>
        <v>0.0402955867964402</v>
      </c>
      <c r="BK20" s="20">
        <f t="shared" ref="BK20:BO20" si="117">IF(OR($AD20=0),"",AZ20/$AD20)</f>
        <v>0.092692723621211</v>
      </c>
      <c r="BL20" s="20">
        <f t="shared" si="117"/>
        <v>0.0476337607497905</v>
      </c>
      <c r="BM20" s="20">
        <f t="shared" si="117"/>
        <v>0.00381070085998324</v>
      </c>
      <c r="BN20" s="20">
        <f t="shared" si="117"/>
        <v>0.00903754055306434</v>
      </c>
      <c r="BO20" s="20">
        <f t="shared" si="117"/>
        <v>0.0811782275092046</v>
      </c>
    </row>
    <row r="21" spans="1:67">
      <c r="A21" s="9">
        <f t="shared" si="21"/>
        <v>45278</v>
      </c>
      <c r="B21" s="10">
        <v>19298.52</v>
      </c>
      <c r="C21" s="8">
        <v>97858</v>
      </c>
      <c r="D21" s="8">
        <v>69674.4</v>
      </c>
      <c r="E21" s="8">
        <v>70414.7</v>
      </c>
      <c r="F21" s="8">
        <v>10449.5</v>
      </c>
      <c r="G21" s="8">
        <v>126604.6</v>
      </c>
      <c r="H21" s="8">
        <v>5709.7</v>
      </c>
      <c r="I21" s="8">
        <v>2566.3</v>
      </c>
      <c r="J21" s="8">
        <v>967</v>
      </c>
      <c r="K21" s="8">
        <v>56</v>
      </c>
      <c r="L21" s="8">
        <v>103707.1</v>
      </c>
      <c r="M21" s="8">
        <v>61531.1</v>
      </c>
      <c r="N21" s="8">
        <v>86857</v>
      </c>
      <c r="O21" s="8">
        <v>113532</v>
      </c>
      <c r="P21" s="8">
        <v>6387</v>
      </c>
      <c r="Q21" s="8">
        <v>8832.2</v>
      </c>
      <c r="R21" s="8">
        <v>5397.6</v>
      </c>
      <c r="S21" s="8">
        <v>6467.3</v>
      </c>
      <c r="T21" s="8">
        <v>8849.5</v>
      </c>
      <c r="U21" s="8">
        <v>19643.3</v>
      </c>
      <c r="V21" s="8">
        <v>55810.5</v>
      </c>
      <c r="W21" s="8">
        <v>60796.6</v>
      </c>
      <c r="X21" s="8">
        <v>7246.6</v>
      </c>
      <c r="Y21" s="8">
        <v>7487.7</v>
      </c>
      <c r="Z21" s="15">
        <f t="shared" si="22"/>
        <v>75530.9</v>
      </c>
      <c r="AA21" s="8">
        <v>11683.1</v>
      </c>
      <c r="AB21" s="13">
        <v>9685</v>
      </c>
      <c r="AC21" s="7">
        <f t="shared" si="23"/>
        <v>21368.1</v>
      </c>
      <c r="AD21" s="16">
        <v>132529</v>
      </c>
      <c r="AE21" s="17">
        <f t="shared" ref="AE21:AI21" si="118">IF(OR(C22=""),"",(C22-C21)*80)</f>
        <v>0</v>
      </c>
      <c r="AF21" s="17">
        <f t="shared" si="118"/>
        <v>0</v>
      </c>
      <c r="AG21" s="17">
        <f t="shared" si="118"/>
        <v>3032.0000000007</v>
      </c>
      <c r="AH21" s="17">
        <f t="shared" si="118"/>
        <v>0</v>
      </c>
      <c r="AI21" s="17">
        <f t="shared" si="118"/>
        <v>2695.99999999977</v>
      </c>
      <c r="AJ21" s="17">
        <f t="shared" si="25"/>
        <v>5728.00000000047</v>
      </c>
      <c r="AK21" s="17">
        <f t="shared" ref="AK21:AN21" si="119">IF(OR(H22=""),"",(H22-H21)*80)</f>
        <v>0</v>
      </c>
      <c r="AL21" s="17">
        <f t="shared" si="119"/>
        <v>0</v>
      </c>
      <c r="AM21" s="17">
        <f t="shared" si="119"/>
        <v>0</v>
      </c>
      <c r="AN21" s="17">
        <f t="shared" si="119"/>
        <v>0</v>
      </c>
      <c r="AO21" s="17">
        <f t="shared" si="27"/>
        <v>0</v>
      </c>
      <c r="AP21" s="17">
        <f t="shared" ref="AP21:AS21" si="120">IF(OR(L22=""),"",(L22-L21)*100)</f>
        <v>1139.99999999942</v>
      </c>
      <c r="AQ21" s="17">
        <f t="shared" si="120"/>
        <v>0</v>
      </c>
      <c r="AR21" s="17">
        <f t="shared" si="120"/>
        <v>2689.99999999942</v>
      </c>
      <c r="AS21" s="17">
        <f t="shared" si="120"/>
        <v>2160.00000000058</v>
      </c>
      <c r="AT21" s="17">
        <f t="shared" si="29"/>
        <v>5989.99999999942</v>
      </c>
      <c r="AU21" s="17">
        <f t="shared" ref="AU21:AY21" si="121">IF(OR(P22=""),"",(P22-P21)*1000)</f>
        <v>3600.00000000036</v>
      </c>
      <c r="AV21" s="17">
        <f t="shared" si="121"/>
        <v>0</v>
      </c>
      <c r="AW21" s="17">
        <f t="shared" si="121"/>
        <v>0</v>
      </c>
      <c r="AX21" s="17">
        <f t="shared" si="121"/>
        <v>300.000000000182</v>
      </c>
      <c r="AY21" s="17">
        <f t="shared" si="121"/>
        <v>8600.00000000036</v>
      </c>
      <c r="AZ21" s="17">
        <f t="shared" si="31"/>
        <v>12500.0000000009</v>
      </c>
      <c r="BA21" s="17">
        <f t="shared" si="32"/>
        <v>6599.99999999854</v>
      </c>
      <c r="BB21" s="17">
        <f t="shared" si="33"/>
        <v>592.000000000116</v>
      </c>
      <c r="BC21" s="17">
        <f t="shared" si="34"/>
        <v>1384.00000000023</v>
      </c>
      <c r="BD21" s="17">
        <f t="shared" si="35"/>
        <v>13405.9999999901</v>
      </c>
      <c r="BE21" s="17">
        <f t="shared" si="36"/>
        <v>46199.9999999898</v>
      </c>
      <c r="BF21" s="17">
        <f t="shared" si="37"/>
        <v>77.2000000000007</v>
      </c>
      <c r="BG21" s="20">
        <f t="shared" si="38"/>
        <v>0.348602947279387</v>
      </c>
      <c r="BH21" s="20">
        <f t="shared" si="39"/>
        <v>0.0432207290479855</v>
      </c>
      <c r="BI21" s="20">
        <f t="shared" si="40"/>
        <v>0</v>
      </c>
      <c r="BJ21" s="20">
        <f t="shared" si="41"/>
        <v>0.0451976548528957</v>
      </c>
      <c r="BK21" s="20">
        <f t="shared" ref="BK21:BO21" si="122">IF(OR($AD21=0),"",AZ21/$AD21)</f>
        <v>0.0943189792422859</v>
      </c>
      <c r="BL21" s="20">
        <f t="shared" si="122"/>
        <v>0.0498004210399124</v>
      </c>
      <c r="BM21" s="20">
        <f t="shared" si="122"/>
        <v>0.00446694685691521</v>
      </c>
      <c r="BN21" s="20">
        <f t="shared" si="122"/>
        <v>0.0104429973817069</v>
      </c>
      <c r="BO21" s="20">
        <f t="shared" si="122"/>
        <v>0.101155218857685</v>
      </c>
    </row>
    <row r="22" spans="1:67">
      <c r="A22" s="9">
        <f t="shared" si="21"/>
        <v>45279</v>
      </c>
      <c r="B22" s="10">
        <v>19303.14</v>
      </c>
      <c r="C22" s="8">
        <v>97858</v>
      </c>
      <c r="D22" s="8">
        <v>69674.4</v>
      </c>
      <c r="E22" s="8">
        <v>70452.6</v>
      </c>
      <c r="F22" s="8">
        <v>10449.5</v>
      </c>
      <c r="G22" s="8">
        <v>126638.3</v>
      </c>
      <c r="H22" s="8">
        <v>5709.7</v>
      </c>
      <c r="I22" s="8">
        <v>2566.3</v>
      </c>
      <c r="J22" s="8">
        <v>967</v>
      </c>
      <c r="K22" s="8">
        <v>56</v>
      </c>
      <c r="L22" s="8">
        <v>103718.5</v>
      </c>
      <c r="M22" s="8">
        <v>61531.1</v>
      </c>
      <c r="N22" s="8">
        <v>86883.9</v>
      </c>
      <c r="O22" s="8">
        <v>113553.6</v>
      </c>
      <c r="P22" s="8">
        <v>6390.6</v>
      </c>
      <c r="Q22" s="8">
        <v>8832.2</v>
      </c>
      <c r="R22" s="8">
        <v>5397.6</v>
      </c>
      <c r="S22" s="8">
        <v>6467.6</v>
      </c>
      <c r="T22" s="8">
        <v>8858.1</v>
      </c>
      <c r="U22" s="8">
        <v>19646.6</v>
      </c>
      <c r="V22" s="8">
        <v>55817.9</v>
      </c>
      <c r="W22" s="8">
        <v>60814</v>
      </c>
      <c r="X22" s="8">
        <v>7255</v>
      </c>
      <c r="Y22" s="8">
        <v>7496.5</v>
      </c>
      <c r="Z22" s="15">
        <f t="shared" si="22"/>
        <v>75565.5</v>
      </c>
      <c r="AA22" s="8">
        <v>11732.3</v>
      </c>
      <c r="AB22" s="13">
        <v>9713</v>
      </c>
      <c r="AC22" s="7">
        <f t="shared" si="23"/>
        <v>21445.3</v>
      </c>
      <c r="AD22" s="16">
        <v>127254</v>
      </c>
      <c r="AE22" s="17">
        <f t="shared" ref="AE22:AI22" si="123">IF(OR(C23=""),"",(C23-C22)*80)</f>
        <v>0</v>
      </c>
      <c r="AF22" s="17">
        <f t="shared" si="123"/>
        <v>0</v>
      </c>
      <c r="AG22" s="17">
        <f t="shared" si="123"/>
        <v>2920</v>
      </c>
      <c r="AH22" s="17">
        <f t="shared" si="123"/>
        <v>8.0000000000291</v>
      </c>
      <c r="AI22" s="17">
        <f t="shared" si="123"/>
        <v>2464.00000000023</v>
      </c>
      <c r="AJ22" s="17">
        <f t="shared" si="25"/>
        <v>5392.00000000026</v>
      </c>
      <c r="AK22" s="17">
        <f t="shared" ref="AK22:AN22" si="124">IF(OR(H23=""),"",(H23-H22)*80)</f>
        <v>0</v>
      </c>
      <c r="AL22" s="17">
        <f t="shared" si="124"/>
        <v>0</v>
      </c>
      <c r="AM22" s="17">
        <f t="shared" si="124"/>
        <v>0</v>
      </c>
      <c r="AN22" s="17">
        <f t="shared" si="124"/>
        <v>0</v>
      </c>
      <c r="AO22" s="17">
        <f t="shared" si="27"/>
        <v>0</v>
      </c>
      <c r="AP22" s="17">
        <f t="shared" ref="AP22:AS22" si="125">IF(OR(L23=""),"",(L23-L22)*100)</f>
        <v>2339.99999999942</v>
      </c>
      <c r="AQ22" s="17">
        <f t="shared" si="125"/>
        <v>0</v>
      </c>
      <c r="AR22" s="17">
        <f t="shared" si="125"/>
        <v>2790.00000000087</v>
      </c>
      <c r="AS22" s="17">
        <f t="shared" si="125"/>
        <v>0</v>
      </c>
      <c r="AT22" s="17">
        <f t="shared" si="29"/>
        <v>5130.00000000029</v>
      </c>
      <c r="AU22" s="17">
        <f t="shared" ref="AU22:AY22" si="126">IF(OR(P23=""),"",(P23-P22)*1000)</f>
        <v>3599.99999999945</v>
      </c>
      <c r="AV22" s="17">
        <f t="shared" si="126"/>
        <v>2799.99999999927</v>
      </c>
      <c r="AW22" s="17">
        <f t="shared" si="126"/>
        <v>0</v>
      </c>
      <c r="AX22" s="17">
        <f t="shared" si="126"/>
        <v>0</v>
      </c>
      <c r="AY22" s="17">
        <f t="shared" si="126"/>
        <v>5699.99999999891</v>
      </c>
      <c r="AZ22" s="17">
        <f t="shared" si="31"/>
        <v>12099.9999999976</v>
      </c>
      <c r="BA22" s="17">
        <f t="shared" si="32"/>
        <v>5400.00000000146</v>
      </c>
      <c r="BB22" s="17">
        <f t="shared" si="33"/>
        <v>592.000000000116</v>
      </c>
      <c r="BC22" s="17">
        <f t="shared" si="34"/>
        <v>1348.00000000047</v>
      </c>
      <c r="BD22" s="17">
        <f t="shared" si="35"/>
        <v>13838.00000001</v>
      </c>
      <c r="BE22" s="17">
        <f t="shared" si="36"/>
        <v>43800.0000000102</v>
      </c>
      <c r="BF22" s="17">
        <f t="shared" si="37"/>
        <v>76.0000000000036</v>
      </c>
      <c r="BG22" s="20">
        <f t="shared" si="38"/>
        <v>0.344193502758343</v>
      </c>
      <c r="BH22" s="20">
        <f t="shared" si="39"/>
        <v>0.0423719490153572</v>
      </c>
      <c r="BI22" s="20">
        <f t="shared" si="40"/>
        <v>0</v>
      </c>
      <c r="BJ22" s="20">
        <f t="shared" si="41"/>
        <v>0.0403130746381276</v>
      </c>
      <c r="BK22" s="20">
        <f t="shared" ref="BK22:BO22" si="127">IF(OR($AD22=0),"",AZ22/$AD22)</f>
        <v>0.095085419711739</v>
      </c>
      <c r="BL22" s="20">
        <f t="shared" si="127"/>
        <v>0.0424348154085644</v>
      </c>
      <c r="BM22" s="20">
        <f t="shared" si="127"/>
        <v>0.00465211309664228</v>
      </c>
      <c r="BN22" s="20">
        <f t="shared" si="127"/>
        <v>0.0105929872538424</v>
      </c>
      <c r="BO22" s="20">
        <f t="shared" si="127"/>
        <v>0.10874314363407</v>
      </c>
    </row>
    <row r="23" spans="1:67">
      <c r="A23" s="9">
        <f t="shared" si="21"/>
        <v>45280</v>
      </c>
      <c r="B23" s="10">
        <v>19307.52</v>
      </c>
      <c r="C23" s="8">
        <v>97858</v>
      </c>
      <c r="D23" s="8">
        <v>69674.4</v>
      </c>
      <c r="E23" s="8">
        <v>70489.1</v>
      </c>
      <c r="F23" s="8">
        <v>10449.6</v>
      </c>
      <c r="G23" s="8">
        <v>126669.1</v>
      </c>
      <c r="H23" s="8">
        <v>5709.7</v>
      </c>
      <c r="I23" s="8">
        <v>2566.3</v>
      </c>
      <c r="J23" s="8">
        <v>967</v>
      </c>
      <c r="K23" s="8">
        <v>56</v>
      </c>
      <c r="L23" s="8">
        <v>103741.9</v>
      </c>
      <c r="M23" s="8">
        <v>61531.1</v>
      </c>
      <c r="N23" s="8">
        <v>86911.8</v>
      </c>
      <c r="O23" s="8">
        <v>113553.6</v>
      </c>
      <c r="P23" s="8">
        <v>6394.2</v>
      </c>
      <c r="Q23" s="8">
        <v>8835</v>
      </c>
      <c r="R23" s="8">
        <v>5397.6</v>
      </c>
      <c r="S23" s="8">
        <v>6467.6</v>
      </c>
      <c r="T23" s="8">
        <v>8863.8</v>
      </c>
      <c r="U23" s="8">
        <v>19649.3</v>
      </c>
      <c r="V23" s="8">
        <v>55825.3</v>
      </c>
      <c r="W23" s="8">
        <v>60831.3</v>
      </c>
      <c r="X23" s="8">
        <v>7263.1</v>
      </c>
      <c r="Y23" s="8">
        <v>7504.8</v>
      </c>
      <c r="Z23" s="15">
        <f t="shared" si="22"/>
        <v>75599.2</v>
      </c>
      <c r="AA23" s="8">
        <v>11781.2</v>
      </c>
      <c r="AB23" s="13">
        <v>9740.1</v>
      </c>
      <c r="AC23" s="7">
        <f t="shared" si="23"/>
        <v>21521.3</v>
      </c>
      <c r="AD23" s="16">
        <v>129340</v>
      </c>
      <c r="AE23" s="17">
        <f t="shared" ref="AE23:AI23" si="128">IF(OR(C24=""),"",(C24-C23)*80)</f>
        <v>0</v>
      </c>
      <c r="AF23" s="17">
        <f t="shared" si="128"/>
        <v>0</v>
      </c>
      <c r="AG23" s="17">
        <f t="shared" si="128"/>
        <v>2623.99999999907</v>
      </c>
      <c r="AH23" s="17">
        <f t="shared" si="128"/>
        <v>4.79999999995925</v>
      </c>
      <c r="AI23" s="17">
        <f t="shared" si="128"/>
        <v>2495.99999999977</v>
      </c>
      <c r="AJ23" s="17">
        <f t="shared" si="25"/>
        <v>5124.7999999988</v>
      </c>
      <c r="AK23" s="17">
        <f t="shared" ref="AK23:AN23" si="129">IF(OR(H24=""),"",(H24-H23)*80)</f>
        <v>0</v>
      </c>
      <c r="AL23" s="17">
        <f t="shared" si="129"/>
        <v>0</v>
      </c>
      <c r="AM23" s="17">
        <f t="shared" si="129"/>
        <v>0</v>
      </c>
      <c r="AN23" s="17">
        <f t="shared" si="129"/>
        <v>0</v>
      </c>
      <c r="AO23" s="17">
        <f t="shared" si="27"/>
        <v>0</v>
      </c>
      <c r="AP23" s="17">
        <f t="shared" ref="AP23:AS23" si="130">IF(OR(L24=""),"",(L24-L23)*100)</f>
        <v>2380.00000000029</v>
      </c>
      <c r="AQ23" s="17">
        <f t="shared" si="130"/>
        <v>0</v>
      </c>
      <c r="AR23" s="17">
        <f t="shared" si="130"/>
        <v>2939.99999999942</v>
      </c>
      <c r="AS23" s="17">
        <f t="shared" si="130"/>
        <v>0</v>
      </c>
      <c r="AT23" s="17">
        <f t="shared" si="29"/>
        <v>5319.99999999971</v>
      </c>
      <c r="AU23" s="17">
        <f t="shared" ref="AU23:AY23" si="131">IF(OR(P24=""),"",(P24-P23)*1000)</f>
        <v>4000</v>
      </c>
      <c r="AV23" s="17">
        <f t="shared" si="131"/>
        <v>7799.99999999927</v>
      </c>
      <c r="AW23" s="17">
        <f t="shared" si="131"/>
        <v>0</v>
      </c>
      <c r="AX23" s="17">
        <f t="shared" si="131"/>
        <v>0</v>
      </c>
      <c r="AY23" s="17">
        <f t="shared" si="131"/>
        <v>0</v>
      </c>
      <c r="AZ23" s="17">
        <f t="shared" si="31"/>
        <v>11799.9999999993</v>
      </c>
      <c r="BA23" s="17">
        <f t="shared" si="32"/>
        <v>5599.99999999854</v>
      </c>
      <c r="BB23" s="17">
        <f t="shared" si="33"/>
        <v>375.999999999767</v>
      </c>
      <c r="BC23" s="17">
        <f t="shared" si="34"/>
        <v>1400</v>
      </c>
      <c r="BD23" s="17">
        <f t="shared" si="35"/>
        <v>14079.1999999937</v>
      </c>
      <c r="BE23" s="17">
        <f t="shared" si="36"/>
        <v>43699.9999999898</v>
      </c>
      <c r="BF23" s="17">
        <f t="shared" si="37"/>
        <v>82.0999999999985</v>
      </c>
      <c r="BG23" s="20">
        <f t="shared" si="38"/>
        <v>0.337869182000849</v>
      </c>
      <c r="BH23" s="20">
        <f t="shared" si="39"/>
        <v>0.0396226998608226</v>
      </c>
      <c r="BI23" s="20">
        <f t="shared" si="40"/>
        <v>0</v>
      </c>
      <c r="BJ23" s="20">
        <f t="shared" si="41"/>
        <v>0.041131900417502</v>
      </c>
      <c r="BK23" s="20">
        <f t="shared" ref="BK23:BO23" si="132">IF(OR($AD23=0),"",AZ23/$AD23)</f>
        <v>0.0912324107004737</v>
      </c>
      <c r="BL23" s="20">
        <f t="shared" si="132"/>
        <v>0.0432967372815722</v>
      </c>
      <c r="BM23" s="20">
        <f t="shared" si="132"/>
        <v>0.00290706664604737</v>
      </c>
      <c r="BN23" s="20">
        <f t="shared" si="132"/>
        <v>0.0108241843203959</v>
      </c>
      <c r="BO23" s="20">
        <f t="shared" si="132"/>
        <v>0.108854182774035</v>
      </c>
    </row>
    <row r="24" spans="1:67">
      <c r="A24" s="9">
        <f t="shared" si="21"/>
        <v>45281</v>
      </c>
      <c r="B24" s="10">
        <v>19311.89</v>
      </c>
      <c r="C24" s="8">
        <v>97858</v>
      </c>
      <c r="D24" s="8">
        <v>69674.4</v>
      </c>
      <c r="E24" s="8">
        <v>70521.9</v>
      </c>
      <c r="F24" s="8">
        <v>10449.66</v>
      </c>
      <c r="G24" s="8">
        <v>126700.3</v>
      </c>
      <c r="H24" s="8">
        <v>5709.7</v>
      </c>
      <c r="I24" s="8">
        <v>2566.3</v>
      </c>
      <c r="J24" s="8">
        <v>967</v>
      </c>
      <c r="K24" s="8">
        <v>56</v>
      </c>
      <c r="L24" s="8">
        <v>103765.7</v>
      </c>
      <c r="M24" s="8">
        <v>61531.1</v>
      </c>
      <c r="N24" s="8">
        <v>86941.2</v>
      </c>
      <c r="O24" s="8">
        <v>113553.6</v>
      </c>
      <c r="P24" s="8">
        <v>6398.2</v>
      </c>
      <c r="Q24" s="8">
        <v>8842.8</v>
      </c>
      <c r="R24" s="8">
        <v>5397.6</v>
      </c>
      <c r="S24" s="8">
        <v>6467.6</v>
      </c>
      <c r="T24" s="8">
        <v>8863.8</v>
      </c>
      <c r="U24" s="8">
        <v>19652.1</v>
      </c>
      <c r="V24" s="8">
        <v>55830</v>
      </c>
      <c r="W24" s="8">
        <v>60849.1</v>
      </c>
      <c r="X24" s="8">
        <v>7271.5</v>
      </c>
      <c r="Y24" s="8">
        <v>7513.6</v>
      </c>
      <c r="Z24" s="15">
        <f t="shared" si="22"/>
        <v>75634.2</v>
      </c>
      <c r="AA24" s="8">
        <v>11832.4</v>
      </c>
      <c r="AB24" s="13">
        <v>9771</v>
      </c>
      <c r="AC24" s="7">
        <f t="shared" si="23"/>
        <v>21603.4</v>
      </c>
      <c r="AD24" s="16">
        <v>121961</v>
      </c>
      <c r="AE24" s="17">
        <f t="shared" ref="AE24:AI24" si="133">IF(OR(C25=""),"",(C25-C24)*80)</f>
        <v>0</v>
      </c>
      <c r="AF24" s="17">
        <f t="shared" si="133"/>
        <v>0</v>
      </c>
      <c r="AG24" s="17">
        <f t="shared" si="133"/>
        <v>2704.00000000023</v>
      </c>
      <c r="AH24" s="17">
        <f t="shared" si="133"/>
        <v>3.20000000006985</v>
      </c>
      <c r="AI24" s="17">
        <f t="shared" si="133"/>
        <v>2544.00000000023</v>
      </c>
      <c r="AJ24" s="17">
        <f t="shared" si="25"/>
        <v>5251.20000000054</v>
      </c>
      <c r="AK24" s="17">
        <f t="shared" ref="AK24:AN24" si="134">IF(OR(H25=""),"",(H25-H24)*80)</f>
        <v>0</v>
      </c>
      <c r="AL24" s="17">
        <f t="shared" si="134"/>
        <v>0</v>
      </c>
      <c r="AM24" s="17">
        <f t="shared" si="134"/>
        <v>0</v>
      </c>
      <c r="AN24" s="17">
        <f t="shared" si="134"/>
        <v>0</v>
      </c>
      <c r="AO24" s="17">
        <f t="shared" si="27"/>
        <v>0</v>
      </c>
      <c r="AP24" s="17">
        <f t="shared" ref="AP24:AS24" si="135">IF(OR(L25=""),"",(L25-L24)*100)</f>
        <v>2000</v>
      </c>
      <c r="AQ24" s="17">
        <f t="shared" si="135"/>
        <v>0</v>
      </c>
      <c r="AR24" s="17">
        <f t="shared" si="135"/>
        <v>2860.00000000058</v>
      </c>
      <c r="AS24" s="17">
        <f t="shared" si="135"/>
        <v>0</v>
      </c>
      <c r="AT24" s="17">
        <f t="shared" si="29"/>
        <v>4860.00000000058</v>
      </c>
      <c r="AU24" s="17">
        <f t="shared" ref="AU24:AY24" si="136">IF(OR(P25=""),"",(P25-P24)*1000)</f>
        <v>4000</v>
      </c>
      <c r="AV24" s="17">
        <f t="shared" si="136"/>
        <v>7300.00000000109</v>
      </c>
      <c r="AW24" s="17">
        <f t="shared" si="136"/>
        <v>0</v>
      </c>
      <c r="AX24" s="17">
        <f t="shared" si="136"/>
        <v>0</v>
      </c>
      <c r="AY24" s="17">
        <f t="shared" si="136"/>
        <v>0</v>
      </c>
      <c r="AZ24" s="17">
        <f t="shared" si="31"/>
        <v>11300.0000000011</v>
      </c>
      <c r="BA24" s="17">
        <f t="shared" si="32"/>
        <v>5200.00000000437</v>
      </c>
      <c r="BB24" s="17">
        <f t="shared" si="33"/>
        <v>824.000000000233</v>
      </c>
      <c r="BC24" s="17">
        <f t="shared" si="34"/>
        <v>1340</v>
      </c>
      <c r="BD24" s="17">
        <f t="shared" si="35"/>
        <v>12524.8000000034</v>
      </c>
      <c r="BE24" s="17">
        <f t="shared" si="36"/>
        <v>41300.0000000102</v>
      </c>
      <c r="BF24" s="17">
        <f t="shared" si="37"/>
        <v>74.1999999999971</v>
      </c>
      <c r="BG24" s="20">
        <f t="shared" si="38"/>
        <v>0.338632841646184</v>
      </c>
      <c r="BH24" s="20">
        <f t="shared" si="39"/>
        <v>0.0430563868777768</v>
      </c>
      <c r="BI24" s="20">
        <f t="shared" si="40"/>
        <v>0</v>
      </c>
      <c r="BJ24" s="20">
        <f t="shared" si="41"/>
        <v>0.0398488041259139</v>
      </c>
      <c r="BK24" s="20">
        <f t="shared" ref="BK24:BO24" si="137">IF(OR($AD24=0),"",AZ24/$AD24)</f>
        <v>0.092652569263954</v>
      </c>
      <c r="BL24" s="20">
        <f t="shared" si="137"/>
        <v>0.042636580546276</v>
      </c>
      <c r="BM24" s="20">
        <f t="shared" si="137"/>
        <v>0.00675625814809843</v>
      </c>
      <c r="BN24" s="20">
        <f t="shared" si="137"/>
        <v>0.0109871188330696</v>
      </c>
      <c r="BO24" s="20">
        <f t="shared" si="137"/>
        <v>0.102695123851095</v>
      </c>
    </row>
    <row r="25" spans="1:67">
      <c r="A25" s="9">
        <f t="shared" si="21"/>
        <v>45282</v>
      </c>
      <c r="B25" s="10">
        <v>19316.02</v>
      </c>
      <c r="C25" s="8">
        <v>97858</v>
      </c>
      <c r="D25" s="8">
        <v>69674.4</v>
      </c>
      <c r="E25" s="8">
        <v>70555.7</v>
      </c>
      <c r="F25" s="8">
        <v>10449.7</v>
      </c>
      <c r="G25" s="8">
        <v>126732.1</v>
      </c>
      <c r="H25" s="8">
        <v>5709.7</v>
      </c>
      <c r="I25" s="8">
        <v>2566.3</v>
      </c>
      <c r="J25" s="8">
        <v>967</v>
      </c>
      <c r="K25" s="8">
        <v>56</v>
      </c>
      <c r="L25" s="8">
        <v>103785.7</v>
      </c>
      <c r="M25" s="8">
        <v>61531.1</v>
      </c>
      <c r="N25" s="8">
        <v>86969.8</v>
      </c>
      <c r="O25" s="8">
        <v>113553.6</v>
      </c>
      <c r="P25" s="8">
        <v>6402.2</v>
      </c>
      <c r="Q25" s="8">
        <v>8850.1</v>
      </c>
      <c r="R25" s="8">
        <v>5397.6</v>
      </c>
      <c r="S25" s="8">
        <v>6467.6</v>
      </c>
      <c r="T25" s="8">
        <v>8863.8</v>
      </c>
      <c r="U25" s="8">
        <v>19654.7</v>
      </c>
      <c r="V25" s="8">
        <v>55840.3</v>
      </c>
      <c r="W25" s="8">
        <v>60866.1</v>
      </c>
      <c r="X25" s="8">
        <v>7279.5</v>
      </c>
      <c r="Y25" s="8">
        <v>7522.1</v>
      </c>
      <c r="Z25" s="15">
        <f t="shared" si="22"/>
        <v>75667.7</v>
      </c>
      <c r="AA25" s="8">
        <v>11879.6</v>
      </c>
      <c r="AB25" s="13">
        <v>9798</v>
      </c>
      <c r="AC25" s="7">
        <f t="shared" si="23"/>
        <v>21677.6</v>
      </c>
      <c r="AD25" s="16">
        <v>126862</v>
      </c>
      <c r="AE25" s="17">
        <f t="shared" ref="AE25:AI25" si="138">IF(OR(C26=""),"",(C26-C25)*80)</f>
        <v>0</v>
      </c>
      <c r="AF25" s="17">
        <f t="shared" si="138"/>
        <v>0</v>
      </c>
      <c r="AG25" s="17">
        <f t="shared" si="138"/>
        <v>2528.00000000047</v>
      </c>
      <c r="AH25" s="17">
        <f t="shared" si="138"/>
        <v>5.59999999997672</v>
      </c>
      <c r="AI25" s="17">
        <f t="shared" si="138"/>
        <v>2607.9999999993</v>
      </c>
      <c r="AJ25" s="17">
        <f t="shared" si="25"/>
        <v>5141.59999999974</v>
      </c>
      <c r="AK25" s="17">
        <f t="shared" ref="AK25:AN25" si="139">IF(OR(H26=""),"",(H26-H25)*80)</f>
        <v>0</v>
      </c>
      <c r="AL25" s="17">
        <f t="shared" si="139"/>
        <v>0</v>
      </c>
      <c r="AM25" s="17">
        <f t="shared" si="139"/>
        <v>0</v>
      </c>
      <c r="AN25" s="17">
        <f t="shared" si="139"/>
        <v>0</v>
      </c>
      <c r="AO25" s="17">
        <f t="shared" si="27"/>
        <v>0</v>
      </c>
      <c r="AP25" s="17">
        <f t="shared" ref="AP25:AS25" si="140">IF(OR(L26=""),"",(L26-L25)*100)</f>
        <v>2269.99999999971</v>
      </c>
      <c r="AQ25" s="17">
        <f t="shared" si="140"/>
        <v>9.99999999985448</v>
      </c>
      <c r="AR25" s="17">
        <f t="shared" si="140"/>
        <v>2930.00000000029</v>
      </c>
      <c r="AS25" s="17">
        <f t="shared" si="140"/>
        <v>0</v>
      </c>
      <c r="AT25" s="17">
        <f t="shared" si="29"/>
        <v>5209.99999999985</v>
      </c>
      <c r="AU25" s="17">
        <f t="shared" ref="AU25:AY25" si="141">IF(OR(P26=""),"",(P26-P25)*1000)</f>
        <v>4000</v>
      </c>
      <c r="AV25" s="17">
        <f t="shared" si="141"/>
        <v>7299.99999999927</v>
      </c>
      <c r="AW25" s="17">
        <f t="shared" si="141"/>
        <v>0</v>
      </c>
      <c r="AX25" s="17">
        <f t="shared" si="141"/>
        <v>0</v>
      </c>
      <c r="AY25" s="17">
        <f t="shared" si="141"/>
        <v>700.000000000728</v>
      </c>
      <c r="AZ25" s="17">
        <f t="shared" si="31"/>
        <v>12000</v>
      </c>
      <c r="BA25" s="17">
        <f t="shared" si="32"/>
        <v>5599.99999999854</v>
      </c>
      <c r="BB25" s="17">
        <f t="shared" si="33"/>
        <v>591.999999999534</v>
      </c>
      <c r="BC25" s="17">
        <f t="shared" si="34"/>
        <v>1419.99999999942</v>
      </c>
      <c r="BD25" s="17">
        <f t="shared" si="35"/>
        <v>12936.4000000116</v>
      </c>
      <c r="BE25" s="17">
        <f t="shared" si="36"/>
        <v>42900.0000000087</v>
      </c>
      <c r="BF25" s="17">
        <f t="shared" si="37"/>
        <v>77</v>
      </c>
      <c r="BG25" s="20">
        <f t="shared" si="38"/>
        <v>0.338162728003726</v>
      </c>
      <c r="BH25" s="20">
        <f t="shared" si="39"/>
        <v>0.0405290788415739</v>
      </c>
      <c r="BI25" s="20">
        <f t="shared" si="40"/>
        <v>0</v>
      </c>
      <c r="BJ25" s="20">
        <f t="shared" si="41"/>
        <v>0.0410682473869232</v>
      </c>
      <c r="BK25" s="20">
        <f t="shared" ref="BK25:BO25" si="142">IF(OR($AD25=0),"",AZ25/$AD25)</f>
        <v>0.0945909728681559</v>
      </c>
      <c r="BL25" s="20">
        <f t="shared" si="142"/>
        <v>0.044142454005128</v>
      </c>
      <c r="BM25" s="20">
        <f t="shared" si="142"/>
        <v>0.00466648799482536</v>
      </c>
      <c r="BN25" s="20">
        <f t="shared" si="142"/>
        <v>0.0111932651227272</v>
      </c>
      <c r="BO25" s="20">
        <f t="shared" si="142"/>
        <v>0.101972221784393</v>
      </c>
    </row>
    <row r="26" spans="1:67">
      <c r="A26" s="9">
        <f t="shared" si="21"/>
        <v>45283</v>
      </c>
      <c r="B26" s="10">
        <v>19320.31</v>
      </c>
      <c r="C26" s="8">
        <v>97858</v>
      </c>
      <c r="D26" s="8">
        <v>69674.4</v>
      </c>
      <c r="E26" s="8">
        <v>70587.3</v>
      </c>
      <c r="F26" s="8">
        <v>10449.77</v>
      </c>
      <c r="G26" s="8">
        <v>126764.7</v>
      </c>
      <c r="H26" s="8">
        <v>5709.7</v>
      </c>
      <c r="I26" s="8">
        <v>2566.3</v>
      </c>
      <c r="J26" s="8">
        <v>967</v>
      </c>
      <c r="K26" s="8">
        <v>56</v>
      </c>
      <c r="L26" s="8">
        <v>103808.4</v>
      </c>
      <c r="M26" s="8">
        <v>61531.2</v>
      </c>
      <c r="N26" s="8">
        <v>86999.1</v>
      </c>
      <c r="O26" s="8">
        <v>113553.6</v>
      </c>
      <c r="P26" s="8">
        <v>6406.2</v>
      </c>
      <c r="Q26" s="8">
        <v>8857.4</v>
      </c>
      <c r="R26" s="8">
        <v>5397.6</v>
      </c>
      <c r="S26" s="8">
        <v>6467.6</v>
      </c>
      <c r="T26" s="8">
        <v>8864.5</v>
      </c>
      <c r="U26" s="8">
        <v>19657.5</v>
      </c>
      <c r="V26" s="8">
        <v>55847.7</v>
      </c>
      <c r="W26" s="8">
        <v>60884.1</v>
      </c>
      <c r="X26" s="8">
        <v>7288.1</v>
      </c>
      <c r="Y26" s="8">
        <v>7531</v>
      </c>
      <c r="Z26" s="15">
        <f t="shared" si="22"/>
        <v>75703.2</v>
      </c>
      <c r="AA26" s="8">
        <v>11928.6</v>
      </c>
      <c r="AB26" s="13">
        <v>9826</v>
      </c>
      <c r="AC26" s="7">
        <f t="shared" si="23"/>
        <v>21754.6</v>
      </c>
      <c r="AD26" s="16">
        <v>126826</v>
      </c>
      <c r="AE26" s="17">
        <f t="shared" ref="AE26:AI26" si="143">IF(OR(C27=""),"",(C27-C26)*80)</f>
        <v>0</v>
      </c>
      <c r="AF26" s="17">
        <f t="shared" si="143"/>
        <v>0</v>
      </c>
      <c r="AG26" s="17">
        <f t="shared" si="143"/>
        <v>2520</v>
      </c>
      <c r="AH26" s="17">
        <f t="shared" si="143"/>
        <v>3.99999999994179</v>
      </c>
      <c r="AI26" s="17">
        <f t="shared" si="143"/>
        <v>2448.00000000047</v>
      </c>
      <c r="AJ26" s="17">
        <f t="shared" si="25"/>
        <v>4972.00000000041</v>
      </c>
      <c r="AK26" s="17">
        <f t="shared" ref="AK26:AN26" si="144">IF(OR(H27=""),"",(H27-H26)*80)</f>
        <v>0</v>
      </c>
      <c r="AL26" s="17">
        <f t="shared" si="144"/>
        <v>0</v>
      </c>
      <c r="AM26" s="17">
        <f t="shared" si="144"/>
        <v>0</v>
      </c>
      <c r="AN26" s="17">
        <f t="shared" si="144"/>
        <v>0</v>
      </c>
      <c r="AO26" s="17">
        <f t="shared" si="27"/>
        <v>0</v>
      </c>
      <c r="AP26" s="17">
        <f t="shared" ref="AP26:AS26" si="145">IF(OR(L27=""),"",(L27-L26)*100)</f>
        <v>2320.00000000116</v>
      </c>
      <c r="AQ26" s="17">
        <f t="shared" si="145"/>
        <v>0</v>
      </c>
      <c r="AR26" s="17">
        <f t="shared" si="145"/>
        <v>2879.99999999884</v>
      </c>
      <c r="AS26" s="17">
        <f t="shared" si="145"/>
        <v>0</v>
      </c>
      <c r="AT26" s="17">
        <f t="shared" si="29"/>
        <v>5200</v>
      </c>
      <c r="AU26" s="17">
        <f t="shared" ref="AU26:AY26" si="146">IF(OR(P27=""),"",(P27-P26)*1000)</f>
        <v>3800.00000000018</v>
      </c>
      <c r="AV26" s="17">
        <f t="shared" si="146"/>
        <v>7500</v>
      </c>
      <c r="AW26" s="17">
        <f t="shared" si="146"/>
        <v>99.9999999994543</v>
      </c>
      <c r="AX26" s="17">
        <f t="shared" si="146"/>
        <v>0</v>
      </c>
      <c r="AY26" s="17">
        <f t="shared" si="146"/>
        <v>0</v>
      </c>
      <c r="AZ26" s="17">
        <f t="shared" si="31"/>
        <v>11399.9999999996</v>
      </c>
      <c r="BA26" s="17">
        <f t="shared" si="32"/>
        <v>5800.00000000291</v>
      </c>
      <c r="BB26" s="17">
        <f t="shared" si="33"/>
        <v>608.000000000466</v>
      </c>
      <c r="BC26" s="17">
        <f t="shared" si="34"/>
        <v>1396.00000000035</v>
      </c>
      <c r="BD26" s="17">
        <f t="shared" si="35"/>
        <v>11823.999999986</v>
      </c>
      <c r="BE26" s="17">
        <f t="shared" si="36"/>
        <v>41199.9999999898</v>
      </c>
      <c r="BF26" s="17">
        <f t="shared" si="37"/>
        <v>76</v>
      </c>
      <c r="BG26" s="20">
        <f t="shared" si="38"/>
        <v>0.324854525097297</v>
      </c>
      <c r="BH26" s="20">
        <f t="shared" si="39"/>
        <v>0.0392033179316576</v>
      </c>
      <c r="BI26" s="20">
        <f t="shared" si="40"/>
        <v>0</v>
      </c>
      <c r="BJ26" s="20">
        <f t="shared" si="41"/>
        <v>0.0410010565656884</v>
      </c>
      <c r="BK26" s="20">
        <f t="shared" ref="BK26:BO26" si="147">IF(OR($AD26=0),"",AZ26/$AD26)</f>
        <v>0.0898869317016987</v>
      </c>
      <c r="BL26" s="20">
        <f t="shared" si="147"/>
        <v>0.0457319477079062</v>
      </c>
      <c r="BM26" s="20">
        <f t="shared" si="147"/>
        <v>0.00479396969076109</v>
      </c>
      <c r="BN26" s="20">
        <f t="shared" si="147"/>
        <v>0.011007206724176</v>
      </c>
      <c r="BO26" s="20">
        <f t="shared" si="147"/>
        <v>0.0932300947754092</v>
      </c>
    </row>
    <row r="27" spans="1:67">
      <c r="A27" s="9">
        <f t="shared" si="21"/>
        <v>45284</v>
      </c>
      <c r="B27" s="10">
        <v>19324.43</v>
      </c>
      <c r="C27" s="8">
        <v>97858</v>
      </c>
      <c r="D27" s="8">
        <v>69674.4</v>
      </c>
      <c r="E27" s="8">
        <v>70618.8</v>
      </c>
      <c r="F27" s="8">
        <v>10449.82</v>
      </c>
      <c r="G27" s="8">
        <v>126795.3</v>
      </c>
      <c r="H27" s="8">
        <v>5709.7</v>
      </c>
      <c r="I27" s="8">
        <v>2566.3</v>
      </c>
      <c r="J27" s="8">
        <v>967</v>
      </c>
      <c r="K27" s="8">
        <v>56</v>
      </c>
      <c r="L27" s="8">
        <v>103831.6</v>
      </c>
      <c r="M27" s="8">
        <v>61531.2</v>
      </c>
      <c r="N27" s="8">
        <v>87027.9</v>
      </c>
      <c r="O27" s="8">
        <v>113553.6</v>
      </c>
      <c r="P27" s="8">
        <v>6410</v>
      </c>
      <c r="Q27" s="8">
        <v>8864.9</v>
      </c>
      <c r="R27" s="8">
        <v>5397.7</v>
      </c>
      <c r="S27" s="8">
        <v>6467.6</v>
      </c>
      <c r="T27" s="8">
        <v>8864.5</v>
      </c>
      <c r="U27" s="8">
        <v>19660.4</v>
      </c>
      <c r="V27" s="8">
        <v>55855.3</v>
      </c>
      <c r="W27" s="8">
        <v>60901.8</v>
      </c>
      <c r="X27" s="8">
        <v>7296.5</v>
      </c>
      <c r="Y27" s="8">
        <v>7539.8</v>
      </c>
      <c r="Z27" s="15">
        <f t="shared" si="22"/>
        <v>75738.1</v>
      </c>
      <c r="AA27" s="8">
        <v>11976.6</v>
      </c>
      <c r="AB27" s="13">
        <v>9854</v>
      </c>
      <c r="AC27" s="7">
        <f t="shared" si="23"/>
        <v>21830.6</v>
      </c>
      <c r="AD27" s="16">
        <v>130648</v>
      </c>
      <c r="AE27" s="17">
        <f t="shared" ref="AE27:AI27" si="148">IF(OR(C28=""),"",(C28-C27)*80)</f>
        <v>0</v>
      </c>
      <c r="AF27" s="17">
        <f t="shared" si="148"/>
        <v>312.000000000698</v>
      </c>
      <c r="AG27" s="17">
        <f t="shared" si="148"/>
        <v>2544.00000000023</v>
      </c>
      <c r="AH27" s="17">
        <f t="shared" si="148"/>
        <v>0</v>
      </c>
      <c r="AI27" s="17">
        <f t="shared" si="148"/>
        <v>2407.9999999993</v>
      </c>
      <c r="AJ27" s="17">
        <f t="shared" si="25"/>
        <v>5264.00000000023</v>
      </c>
      <c r="AK27" s="17">
        <f t="shared" ref="AK27:AN27" si="149">IF(OR(H28=""),"",(H28-H27)*80)</f>
        <v>0</v>
      </c>
      <c r="AL27" s="17">
        <f t="shared" si="149"/>
        <v>0</v>
      </c>
      <c r="AM27" s="17">
        <f t="shared" si="149"/>
        <v>0</v>
      </c>
      <c r="AN27" s="17">
        <f t="shared" si="149"/>
        <v>0</v>
      </c>
      <c r="AO27" s="17">
        <f t="shared" si="27"/>
        <v>0</v>
      </c>
      <c r="AP27" s="17">
        <f t="shared" ref="AP27:AS27" si="150">IF(OR(L28=""),"",(L28-L27)*100)</f>
        <v>2379.99999999884</v>
      </c>
      <c r="AQ27" s="17">
        <f t="shared" si="150"/>
        <v>0</v>
      </c>
      <c r="AR27" s="17">
        <f t="shared" si="150"/>
        <v>2880.00000000029</v>
      </c>
      <c r="AS27" s="17">
        <f t="shared" si="150"/>
        <v>0</v>
      </c>
      <c r="AT27" s="17">
        <f t="shared" si="29"/>
        <v>5259.99999999913</v>
      </c>
      <c r="AU27" s="17">
        <f t="shared" ref="AU27:AY27" si="151">IF(OR(P28=""),"",(P28-P27)*1000)</f>
        <v>3699.99999999982</v>
      </c>
      <c r="AV27" s="17">
        <f t="shared" si="151"/>
        <v>2800.00000000109</v>
      </c>
      <c r="AW27" s="17">
        <f t="shared" si="151"/>
        <v>0</v>
      </c>
      <c r="AX27" s="17">
        <f t="shared" si="151"/>
        <v>0</v>
      </c>
      <c r="AY27" s="17">
        <f t="shared" si="151"/>
        <v>5399.99999999964</v>
      </c>
      <c r="AZ27" s="17">
        <f t="shared" si="31"/>
        <v>11900.0000000005</v>
      </c>
      <c r="BA27" s="17">
        <f t="shared" si="32"/>
        <v>5399.99999999418</v>
      </c>
      <c r="BB27" s="17">
        <f t="shared" si="33"/>
        <v>615.999999999767</v>
      </c>
      <c r="BC27" s="17">
        <f t="shared" si="34"/>
        <v>1372.00000000012</v>
      </c>
      <c r="BD27" s="17">
        <f t="shared" si="35"/>
        <v>11887.9999999886</v>
      </c>
      <c r="BE27" s="17">
        <f t="shared" si="36"/>
        <v>41699.9999999825</v>
      </c>
      <c r="BF27" s="17">
        <f t="shared" si="37"/>
        <v>74.1000000000022</v>
      </c>
      <c r="BG27" s="20">
        <f t="shared" si="38"/>
        <v>0.319178249953941</v>
      </c>
      <c r="BH27" s="20">
        <f t="shared" si="39"/>
        <v>0.0402914702100318</v>
      </c>
      <c r="BI27" s="20">
        <f t="shared" si="40"/>
        <v>0</v>
      </c>
      <c r="BJ27" s="20">
        <f t="shared" si="41"/>
        <v>0.0402608535913227</v>
      </c>
      <c r="BK27" s="20">
        <f t="shared" ref="BK27:BO27" si="152">IF(OR($AD27=0),"",AZ27/$AD27)</f>
        <v>0.0910844406343805</v>
      </c>
      <c r="BL27" s="20">
        <f t="shared" si="152"/>
        <v>0.0413324352458069</v>
      </c>
      <c r="BM27" s="20">
        <f t="shared" si="152"/>
        <v>0.00471495927989535</v>
      </c>
      <c r="BN27" s="20">
        <f t="shared" si="152"/>
        <v>0.0105015002143172</v>
      </c>
      <c r="BO27" s="20">
        <f t="shared" si="152"/>
        <v>0.090992590778187</v>
      </c>
    </row>
    <row r="28" spans="1:67">
      <c r="A28" s="9">
        <f t="shared" si="21"/>
        <v>45285</v>
      </c>
      <c r="B28" s="10">
        <v>19328.6</v>
      </c>
      <c r="C28" s="8">
        <v>97858</v>
      </c>
      <c r="D28" s="8">
        <v>69678.3</v>
      </c>
      <c r="E28" s="8">
        <v>70650.6</v>
      </c>
      <c r="F28" s="8">
        <v>10449.82</v>
      </c>
      <c r="G28" s="8">
        <v>126825.4</v>
      </c>
      <c r="H28" s="8">
        <v>5709.7</v>
      </c>
      <c r="I28" s="8">
        <v>2566.3</v>
      </c>
      <c r="J28" s="8">
        <v>967</v>
      </c>
      <c r="K28" s="8">
        <v>56</v>
      </c>
      <c r="L28" s="8">
        <v>103855.4</v>
      </c>
      <c r="M28" s="8">
        <v>61531.2</v>
      </c>
      <c r="N28" s="8">
        <v>87056.7</v>
      </c>
      <c r="O28" s="8">
        <v>113553.6</v>
      </c>
      <c r="P28" s="8">
        <v>6413.7</v>
      </c>
      <c r="Q28" s="8">
        <v>8867.7</v>
      </c>
      <c r="R28" s="8">
        <v>5397.7</v>
      </c>
      <c r="S28" s="8">
        <v>6467.6</v>
      </c>
      <c r="T28" s="8">
        <v>8869.9</v>
      </c>
      <c r="U28" s="8">
        <v>19663.1</v>
      </c>
      <c r="V28" s="8">
        <v>55863</v>
      </c>
      <c r="W28" s="8">
        <v>60919.4</v>
      </c>
      <c r="X28" s="8">
        <v>7304.7</v>
      </c>
      <c r="Y28" s="8">
        <v>7548.3</v>
      </c>
      <c r="Z28" s="15">
        <f t="shared" si="22"/>
        <v>75772.4</v>
      </c>
      <c r="AA28" s="8">
        <v>12023.7</v>
      </c>
      <c r="AB28" s="13">
        <v>9881</v>
      </c>
      <c r="AC28" s="7">
        <f t="shared" si="23"/>
        <v>21904.7</v>
      </c>
      <c r="AD28" s="16">
        <v>129177</v>
      </c>
      <c r="AE28" s="17">
        <f t="shared" ref="AE28:AI28" si="153">IF(OR(C29=""),"",(C29-C28)*80)</f>
        <v>0</v>
      </c>
      <c r="AF28" s="17">
        <f t="shared" si="153"/>
        <v>7.99999999930151</v>
      </c>
      <c r="AG28" s="17">
        <f t="shared" si="153"/>
        <v>2687.9999999993</v>
      </c>
      <c r="AH28" s="17">
        <f t="shared" si="153"/>
        <v>6.39999999999418</v>
      </c>
      <c r="AI28" s="17">
        <f t="shared" si="153"/>
        <v>2528.00000000047</v>
      </c>
      <c r="AJ28" s="17">
        <f t="shared" si="25"/>
        <v>5230.39999999906</v>
      </c>
      <c r="AK28" s="17">
        <f t="shared" ref="AK28:AN28" si="154">IF(OR(H29=""),"",(H29-H28)*80)</f>
        <v>0</v>
      </c>
      <c r="AL28" s="17">
        <f t="shared" si="154"/>
        <v>0</v>
      </c>
      <c r="AM28" s="17">
        <f t="shared" si="154"/>
        <v>0</v>
      </c>
      <c r="AN28" s="17">
        <f t="shared" si="154"/>
        <v>0</v>
      </c>
      <c r="AO28" s="17">
        <f t="shared" si="27"/>
        <v>0</v>
      </c>
      <c r="AP28" s="17">
        <f t="shared" ref="AP28:AS28" si="155">IF(OR(L29=""),"",(L29-L28)*100)</f>
        <v>2350</v>
      </c>
      <c r="AQ28" s="17">
        <f t="shared" si="155"/>
        <v>0</v>
      </c>
      <c r="AR28" s="17">
        <f t="shared" si="155"/>
        <v>2900</v>
      </c>
      <c r="AS28" s="17">
        <f t="shared" si="155"/>
        <v>0</v>
      </c>
      <c r="AT28" s="17">
        <f t="shared" si="29"/>
        <v>5250</v>
      </c>
      <c r="AU28" s="17">
        <f t="shared" ref="AU28:AY28" si="156">IF(OR(P29=""),"",(P29-P28)*1000)</f>
        <v>3900.00000000055</v>
      </c>
      <c r="AV28" s="17">
        <f t="shared" si="156"/>
        <v>6299.99999999927</v>
      </c>
      <c r="AW28" s="17">
        <f t="shared" si="156"/>
        <v>0</v>
      </c>
      <c r="AX28" s="17">
        <f t="shared" si="156"/>
        <v>0</v>
      </c>
      <c r="AY28" s="17">
        <f t="shared" si="156"/>
        <v>1600.00000000036</v>
      </c>
      <c r="AZ28" s="17">
        <f t="shared" si="31"/>
        <v>11800.0000000002</v>
      </c>
      <c r="BA28" s="17">
        <f t="shared" si="32"/>
        <v>6200.00000000437</v>
      </c>
      <c r="BB28" s="17">
        <f t="shared" si="33"/>
        <v>584.000000000233</v>
      </c>
      <c r="BC28" s="17">
        <f t="shared" si="34"/>
        <v>1383.99999999965</v>
      </c>
      <c r="BD28" s="17">
        <f t="shared" si="35"/>
        <v>12651.6000000096</v>
      </c>
      <c r="BE28" s="17">
        <f t="shared" si="36"/>
        <v>43100.0000000131</v>
      </c>
      <c r="BF28" s="17">
        <f t="shared" si="37"/>
        <v>78.0999999999985</v>
      </c>
      <c r="BG28" s="20">
        <f t="shared" si="38"/>
        <v>0.333650727296756</v>
      </c>
      <c r="BH28" s="20">
        <f t="shared" si="39"/>
        <v>0.0404901801404202</v>
      </c>
      <c r="BI28" s="20">
        <f t="shared" si="40"/>
        <v>0</v>
      </c>
      <c r="BJ28" s="20">
        <f t="shared" si="41"/>
        <v>0.0406419099375276</v>
      </c>
      <c r="BK28" s="20">
        <f t="shared" ref="BK28:BO28" si="157">IF(OR($AD28=0),"",AZ28/$AD28)</f>
        <v>0.0913475309072063</v>
      </c>
      <c r="BL28" s="20">
        <f t="shared" si="157"/>
        <v>0.0479961603072092</v>
      </c>
      <c r="BM28" s="20">
        <f t="shared" si="157"/>
        <v>0.00452092864829058</v>
      </c>
      <c r="BN28" s="20">
        <f t="shared" si="157"/>
        <v>0.0107139815911474</v>
      </c>
      <c r="BO28" s="20">
        <f t="shared" si="157"/>
        <v>0.0979400357649551</v>
      </c>
    </row>
    <row r="29" spans="1:67">
      <c r="A29" s="9">
        <f t="shared" si="21"/>
        <v>45286</v>
      </c>
      <c r="B29" s="10">
        <v>19332.91</v>
      </c>
      <c r="C29" s="8">
        <v>97858</v>
      </c>
      <c r="D29" s="8">
        <v>69678.4</v>
      </c>
      <c r="E29" s="8">
        <v>70684.2</v>
      </c>
      <c r="F29" s="8">
        <v>10449.9</v>
      </c>
      <c r="G29" s="8">
        <v>126857</v>
      </c>
      <c r="H29" s="8">
        <v>5709.7</v>
      </c>
      <c r="I29" s="8">
        <v>2566.3</v>
      </c>
      <c r="J29" s="8">
        <v>967</v>
      </c>
      <c r="K29" s="8">
        <v>56</v>
      </c>
      <c r="L29" s="8">
        <v>103878.9</v>
      </c>
      <c r="M29" s="8">
        <v>61531.2</v>
      </c>
      <c r="N29" s="8">
        <v>87085.7</v>
      </c>
      <c r="O29" s="8">
        <v>113553.6</v>
      </c>
      <c r="P29" s="8">
        <v>6417.6</v>
      </c>
      <c r="Q29" s="8">
        <v>8874</v>
      </c>
      <c r="R29" s="8">
        <v>5397.7</v>
      </c>
      <c r="S29" s="8">
        <v>6467.6</v>
      </c>
      <c r="T29" s="8">
        <v>8871.5</v>
      </c>
      <c r="U29" s="8">
        <v>19666.2</v>
      </c>
      <c r="V29" s="8">
        <v>55870.3</v>
      </c>
      <c r="W29" s="8">
        <v>60937.1</v>
      </c>
      <c r="X29" s="8">
        <v>7312.8</v>
      </c>
      <c r="Y29" s="8">
        <v>7557.1</v>
      </c>
      <c r="Z29" s="15">
        <f t="shared" si="22"/>
        <v>75807</v>
      </c>
      <c r="AA29" s="8">
        <v>12069.8</v>
      </c>
      <c r="AB29" s="13">
        <v>9913</v>
      </c>
      <c r="AC29" s="7">
        <f t="shared" si="23"/>
        <v>21982.8</v>
      </c>
      <c r="AD29" s="16">
        <v>133515</v>
      </c>
      <c r="AE29" s="17">
        <f t="shared" ref="AE29:AI29" si="158">IF(OR(C30=""),"",(C30-C29)*80)</f>
        <v>0</v>
      </c>
      <c r="AF29" s="17">
        <f t="shared" si="158"/>
        <v>0</v>
      </c>
      <c r="AG29" s="17">
        <f t="shared" si="158"/>
        <v>3048.00000000047</v>
      </c>
      <c r="AH29" s="17">
        <f t="shared" si="158"/>
        <v>0</v>
      </c>
      <c r="AI29" s="17">
        <f t="shared" si="158"/>
        <v>2344.00000000023</v>
      </c>
      <c r="AJ29" s="17">
        <f t="shared" si="25"/>
        <v>5392.0000000007</v>
      </c>
      <c r="AK29" s="17">
        <f t="shared" ref="AK29:AN29" si="159">IF(OR(H30=""),"",(H30-H29)*80)</f>
        <v>0</v>
      </c>
      <c r="AL29" s="17">
        <f t="shared" si="159"/>
        <v>0</v>
      </c>
      <c r="AM29" s="17">
        <f t="shared" si="159"/>
        <v>0</v>
      </c>
      <c r="AN29" s="17">
        <f t="shared" si="159"/>
        <v>0</v>
      </c>
      <c r="AO29" s="17">
        <f t="shared" si="27"/>
        <v>0</v>
      </c>
      <c r="AP29" s="17">
        <f t="shared" ref="AP29:AS29" si="160">IF(OR(L30=""),"",(L30-L29)*100)</f>
        <v>2580.00000000029</v>
      </c>
      <c r="AQ29" s="17">
        <f t="shared" si="160"/>
        <v>0</v>
      </c>
      <c r="AR29" s="17">
        <f t="shared" si="160"/>
        <v>2890.00000000087</v>
      </c>
      <c r="AS29" s="17">
        <f t="shared" si="160"/>
        <v>0</v>
      </c>
      <c r="AT29" s="17">
        <f t="shared" si="29"/>
        <v>5470.00000000116</v>
      </c>
      <c r="AU29" s="17">
        <f t="shared" ref="AU29:AY29" si="161">IF(OR(P30=""),"",(P30-P29)*1000)</f>
        <v>3799.99999999927</v>
      </c>
      <c r="AV29" s="17">
        <f t="shared" si="161"/>
        <v>7299.99999999927</v>
      </c>
      <c r="AW29" s="17">
        <f t="shared" si="161"/>
        <v>0</v>
      </c>
      <c r="AX29" s="17">
        <f t="shared" si="161"/>
        <v>0</v>
      </c>
      <c r="AY29" s="17">
        <f t="shared" si="161"/>
        <v>0</v>
      </c>
      <c r="AZ29" s="17">
        <f t="shared" si="31"/>
        <v>11099.9999999985</v>
      </c>
      <c r="BA29" s="17">
        <f t="shared" si="32"/>
        <v>6599.99999999854</v>
      </c>
      <c r="BB29" s="17">
        <f t="shared" si="33"/>
        <v>583.999999999651</v>
      </c>
      <c r="BC29" s="17">
        <f t="shared" si="34"/>
        <v>1360</v>
      </c>
      <c r="BD29" s="17">
        <f t="shared" si="35"/>
        <v>12293.9999999898</v>
      </c>
      <c r="BE29" s="17">
        <f t="shared" si="36"/>
        <v>42799.9999999884</v>
      </c>
      <c r="BF29" s="17">
        <f t="shared" si="37"/>
        <v>75.2999999999993</v>
      </c>
      <c r="BG29" s="20">
        <f t="shared" si="38"/>
        <v>0.320563232595501</v>
      </c>
      <c r="BH29" s="20">
        <f t="shared" si="39"/>
        <v>0.0403849754709261</v>
      </c>
      <c r="BI29" s="20">
        <f t="shared" si="40"/>
        <v>0</v>
      </c>
      <c r="BJ29" s="20">
        <f t="shared" si="41"/>
        <v>0.0409691794929496</v>
      </c>
      <c r="BK29" s="20">
        <f t="shared" ref="BK29:BO29" si="162">IF(OR($AD29=0),"",AZ29/$AD29)</f>
        <v>0.0831367262105272</v>
      </c>
      <c r="BL29" s="20">
        <f t="shared" si="162"/>
        <v>0.0494326480170658</v>
      </c>
      <c r="BM29" s="20">
        <f t="shared" si="162"/>
        <v>0.00437404036999327</v>
      </c>
      <c r="BN29" s="20">
        <f t="shared" si="162"/>
        <v>0.0101861214095794</v>
      </c>
      <c r="BO29" s="20">
        <f t="shared" si="162"/>
        <v>0.0920795416244598</v>
      </c>
    </row>
    <row r="30" spans="1:67">
      <c r="A30" s="9">
        <f t="shared" si="21"/>
        <v>45287</v>
      </c>
      <c r="B30" s="10">
        <v>19337.19</v>
      </c>
      <c r="C30" s="8">
        <v>97858</v>
      </c>
      <c r="D30" s="8">
        <v>69678.4</v>
      </c>
      <c r="E30" s="8">
        <v>70722.3</v>
      </c>
      <c r="F30" s="8">
        <v>10449.9</v>
      </c>
      <c r="G30" s="8">
        <v>126886.3</v>
      </c>
      <c r="H30" s="8">
        <v>5709.7</v>
      </c>
      <c r="I30" s="8">
        <v>2566.3</v>
      </c>
      <c r="J30" s="8">
        <v>967</v>
      </c>
      <c r="K30" s="8">
        <v>56</v>
      </c>
      <c r="L30" s="8">
        <v>103904.7</v>
      </c>
      <c r="M30" s="8">
        <v>61531.2</v>
      </c>
      <c r="N30" s="8">
        <v>87114.6</v>
      </c>
      <c r="O30" s="8">
        <v>113553.6</v>
      </c>
      <c r="P30" s="8">
        <v>6421.4</v>
      </c>
      <c r="Q30" s="8">
        <v>8881.3</v>
      </c>
      <c r="R30" s="8">
        <v>5397.7</v>
      </c>
      <c r="S30" s="8">
        <v>6467.6</v>
      </c>
      <c r="T30" s="8">
        <v>8871.5</v>
      </c>
      <c r="U30" s="8">
        <v>19669.5</v>
      </c>
      <c r="V30" s="8">
        <v>55877.6</v>
      </c>
      <c r="W30" s="8">
        <v>60954.3</v>
      </c>
      <c r="X30" s="8">
        <v>7321</v>
      </c>
      <c r="Y30" s="8">
        <v>7565.7</v>
      </c>
      <c r="Z30" s="15">
        <f t="shared" si="22"/>
        <v>75841</v>
      </c>
      <c r="AA30" s="8">
        <v>12118.1</v>
      </c>
      <c r="AB30" s="13">
        <v>9940</v>
      </c>
      <c r="AC30" s="7">
        <f t="shared" si="23"/>
        <v>22058.1</v>
      </c>
      <c r="AD30" s="16">
        <v>131063</v>
      </c>
      <c r="AE30" s="17">
        <f t="shared" ref="AE30:AI30" si="163">IF(OR(C31=""),"",(C31-C30)*80)</f>
        <v>0</v>
      </c>
      <c r="AF30" s="17">
        <f t="shared" si="163"/>
        <v>0</v>
      </c>
      <c r="AG30" s="17">
        <f t="shared" si="163"/>
        <v>2495.99999999977</v>
      </c>
      <c r="AH30" s="17">
        <f t="shared" si="163"/>
        <v>8.0000000000291</v>
      </c>
      <c r="AI30" s="17">
        <f t="shared" si="163"/>
        <v>2375.99999999977</v>
      </c>
      <c r="AJ30" s="17">
        <f t="shared" si="25"/>
        <v>4879.99999999956</v>
      </c>
      <c r="AK30" s="17">
        <f t="shared" ref="AK30:AN30" si="164">IF(OR(H31=""),"",(H31-H30)*80)</f>
        <v>0</v>
      </c>
      <c r="AL30" s="17">
        <f t="shared" si="164"/>
        <v>0</v>
      </c>
      <c r="AM30" s="17">
        <f t="shared" si="164"/>
        <v>0</v>
      </c>
      <c r="AN30" s="17">
        <f t="shared" si="164"/>
        <v>0</v>
      </c>
      <c r="AO30" s="17">
        <f t="shared" si="27"/>
        <v>0</v>
      </c>
      <c r="AP30" s="17">
        <f t="shared" ref="AP30:AS30" si="165">IF(OR(L31=""),"",(L31-L30)*100)</f>
        <v>2560.00000000058</v>
      </c>
      <c r="AQ30" s="17">
        <f t="shared" si="165"/>
        <v>0</v>
      </c>
      <c r="AR30" s="17">
        <f t="shared" si="165"/>
        <v>2879.99999999884</v>
      </c>
      <c r="AS30" s="17">
        <f t="shared" si="165"/>
        <v>0</v>
      </c>
      <c r="AT30" s="17">
        <f t="shared" si="29"/>
        <v>5439.99999999942</v>
      </c>
      <c r="AU30" s="17">
        <f t="shared" ref="AU30:AY30" si="166">IF(OR(P31=""),"",(P31-P30)*1000)</f>
        <v>3600.00000000036</v>
      </c>
      <c r="AV30" s="17">
        <f t="shared" si="166"/>
        <v>6500</v>
      </c>
      <c r="AW30" s="17">
        <f t="shared" si="166"/>
        <v>0</v>
      </c>
      <c r="AX30" s="17">
        <f t="shared" si="166"/>
        <v>0</v>
      </c>
      <c r="AY30" s="17">
        <f t="shared" si="166"/>
        <v>899.999999999636</v>
      </c>
      <c r="AZ30" s="17">
        <f t="shared" si="31"/>
        <v>11000</v>
      </c>
      <c r="BA30" s="17">
        <f t="shared" si="32"/>
        <v>6800.00000000291</v>
      </c>
      <c r="BB30" s="17">
        <f t="shared" si="33"/>
        <v>592.000000000116</v>
      </c>
      <c r="BC30" s="17">
        <f t="shared" si="34"/>
        <v>1360</v>
      </c>
      <c r="BD30" s="17">
        <f t="shared" si="35"/>
        <v>12128.0000000096</v>
      </c>
      <c r="BE30" s="17">
        <f t="shared" si="36"/>
        <v>42200.0000000116</v>
      </c>
      <c r="BF30" s="17">
        <f t="shared" si="37"/>
        <v>76.9000000000015</v>
      </c>
      <c r="BG30" s="20">
        <f t="shared" si="38"/>
        <v>0.321982558006544</v>
      </c>
      <c r="BH30" s="20">
        <f t="shared" si="39"/>
        <v>0.0372340019685156</v>
      </c>
      <c r="BI30" s="20">
        <f t="shared" si="40"/>
        <v>0</v>
      </c>
      <c r="BJ30" s="20">
        <f t="shared" si="41"/>
        <v>0.0415067562927708</v>
      </c>
      <c r="BK30" s="20">
        <f t="shared" ref="BK30:BO30" si="167">IF(OR($AD30=0),"",AZ30/$AD30)</f>
        <v>0.0839291027978911</v>
      </c>
      <c r="BL30" s="20">
        <f t="shared" si="167"/>
        <v>0.0518834453659912</v>
      </c>
      <c r="BM30" s="20">
        <f t="shared" si="167"/>
        <v>0.00451691171421466</v>
      </c>
      <c r="BN30" s="20">
        <f t="shared" si="167"/>
        <v>0.0103766890731938</v>
      </c>
      <c r="BO30" s="20">
        <f t="shared" si="167"/>
        <v>0.0925356507939665</v>
      </c>
    </row>
    <row r="31" spans="1:67">
      <c r="A31" s="9">
        <f t="shared" si="21"/>
        <v>45288</v>
      </c>
      <c r="B31" s="10">
        <v>19341.41</v>
      </c>
      <c r="C31" s="8">
        <v>97858</v>
      </c>
      <c r="D31" s="8">
        <v>69678.4</v>
      </c>
      <c r="E31" s="8">
        <v>70753.5</v>
      </c>
      <c r="F31" s="8">
        <v>10450</v>
      </c>
      <c r="G31" s="8">
        <v>126916</v>
      </c>
      <c r="H31" s="8">
        <v>5709.7</v>
      </c>
      <c r="I31" s="8">
        <v>2566.3</v>
      </c>
      <c r="J31" s="8">
        <v>967</v>
      </c>
      <c r="K31" s="8">
        <v>56</v>
      </c>
      <c r="L31" s="8">
        <v>103930.3</v>
      </c>
      <c r="M31" s="8">
        <v>61531.2</v>
      </c>
      <c r="N31" s="8">
        <v>87143.4</v>
      </c>
      <c r="O31" s="8">
        <v>113553.6</v>
      </c>
      <c r="P31" s="8">
        <v>6425</v>
      </c>
      <c r="Q31" s="8">
        <v>8887.8</v>
      </c>
      <c r="R31" s="8">
        <v>5397.7</v>
      </c>
      <c r="S31" s="8">
        <v>6467.6</v>
      </c>
      <c r="T31" s="8">
        <v>8872.4</v>
      </c>
      <c r="U31" s="8">
        <v>19672.9</v>
      </c>
      <c r="V31" s="8">
        <v>55885</v>
      </c>
      <c r="W31" s="8">
        <v>60971.7</v>
      </c>
      <c r="X31" s="8">
        <v>7329.1</v>
      </c>
      <c r="Y31" s="8">
        <v>7574.2</v>
      </c>
      <c r="Z31" s="15">
        <f t="shared" si="22"/>
        <v>75875</v>
      </c>
      <c r="AA31" s="8">
        <v>12167</v>
      </c>
      <c r="AB31" s="13">
        <v>9968</v>
      </c>
      <c r="AC31" s="7">
        <f t="shared" si="23"/>
        <v>22135</v>
      </c>
      <c r="AD31" s="16">
        <v>128893</v>
      </c>
      <c r="AE31" s="17">
        <f t="shared" ref="AE31:AI31" si="168">IF(OR(C32=""),"",(C32-C31)*80)</f>
        <v>0</v>
      </c>
      <c r="AF31" s="17">
        <f t="shared" si="168"/>
        <v>8.00000000046566</v>
      </c>
      <c r="AG31" s="17">
        <f t="shared" si="168"/>
        <v>2751.99999999953</v>
      </c>
      <c r="AH31" s="17">
        <f t="shared" si="168"/>
        <v>8.0000000000291</v>
      </c>
      <c r="AI31" s="17">
        <f t="shared" si="168"/>
        <v>2520</v>
      </c>
      <c r="AJ31" s="17">
        <f t="shared" si="25"/>
        <v>5288.00000000003</v>
      </c>
      <c r="AK31" s="17">
        <f t="shared" ref="AK31:AN31" si="169">IF(OR(H32=""),"",(H32-H31)*80)</f>
        <v>0</v>
      </c>
      <c r="AL31" s="17">
        <f t="shared" si="169"/>
        <v>0</v>
      </c>
      <c r="AM31" s="17">
        <f t="shared" si="169"/>
        <v>0</v>
      </c>
      <c r="AN31" s="17">
        <f t="shared" si="169"/>
        <v>0</v>
      </c>
      <c r="AO31" s="17">
        <f t="shared" si="27"/>
        <v>0</v>
      </c>
      <c r="AP31" s="17">
        <f t="shared" ref="AP31:AS31" si="170">IF(OR(L32=""),"",(L32-L31)*100)</f>
        <v>2459.99999999913</v>
      </c>
      <c r="AQ31" s="17">
        <f t="shared" si="170"/>
        <v>0</v>
      </c>
      <c r="AR31" s="17">
        <f t="shared" si="170"/>
        <v>2910.00000000058</v>
      </c>
      <c r="AS31" s="17">
        <f t="shared" si="170"/>
        <v>0</v>
      </c>
      <c r="AT31" s="17">
        <f t="shared" si="29"/>
        <v>5369.99999999971</v>
      </c>
      <c r="AU31" s="17">
        <f t="shared" ref="AU31:AY31" si="171">IF(OR(P32=""),"",(P32-P31)*1000)</f>
        <v>4100.00000000036</v>
      </c>
      <c r="AV31" s="17">
        <f t="shared" si="171"/>
        <v>7200.00000000073</v>
      </c>
      <c r="AW31" s="17">
        <f t="shared" si="171"/>
        <v>0</v>
      </c>
      <c r="AX31" s="17">
        <f t="shared" si="171"/>
        <v>0</v>
      </c>
      <c r="AY31" s="17">
        <f t="shared" si="171"/>
        <v>200.000000000728</v>
      </c>
      <c r="AZ31" s="17">
        <f t="shared" si="31"/>
        <v>11500.0000000018</v>
      </c>
      <c r="BA31" s="17">
        <f t="shared" si="32"/>
        <v>6599.99999999854</v>
      </c>
      <c r="BB31" s="17">
        <f t="shared" si="33"/>
        <v>592.000000000116</v>
      </c>
      <c r="BC31" s="17">
        <f t="shared" si="34"/>
        <v>1415.99999999977</v>
      </c>
      <c r="BD31" s="17">
        <f t="shared" si="35"/>
        <v>12834.0000000058</v>
      </c>
      <c r="BE31" s="17">
        <f t="shared" si="36"/>
        <v>43600.0000000058</v>
      </c>
      <c r="BF31" s="17">
        <f t="shared" si="37"/>
        <v>56</v>
      </c>
      <c r="BG31" s="20">
        <f t="shared" si="38"/>
        <v>0.338265072579627</v>
      </c>
      <c r="BH31" s="20">
        <f t="shared" si="39"/>
        <v>0.0410262776101109</v>
      </c>
      <c r="BI31" s="20">
        <f t="shared" si="40"/>
        <v>0</v>
      </c>
      <c r="BJ31" s="20">
        <f t="shared" si="41"/>
        <v>0.0416624642145012</v>
      </c>
      <c r="BK31" s="20">
        <f t="shared" ref="BK31:BO31" si="172">IF(OR($AD31=0),"",AZ31/$AD31)</f>
        <v>0.0892212920794909</v>
      </c>
      <c r="BL31" s="20">
        <f t="shared" si="172"/>
        <v>0.0512052632803841</v>
      </c>
      <c r="BM31" s="20">
        <f t="shared" si="172"/>
        <v>0.00459295694878788</v>
      </c>
      <c r="BN31" s="20">
        <f t="shared" si="172"/>
        <v>0.0109858564856103</v>
      </c>
      <c r="BO31" s="20">
        <f t="shared" si="172"/>
        <v>0.0995709619607413</v>
      </c>
    </row>
    <row r="32" spans="1:67">
      <c r="A32" s="9">
        <f t="shared" si="21"/>
        <v>45289</v>
      </c>
      <c r="B32" s="10">
        <v>19345.77</v>
      </c>
      <c r="C32" s="8">
        <v>97858</v>
      </c>
      <c r="D32" s="8">
        <v>69678.5</v>
      </c>
      <c r="E32" s="8">
        <v>70787.9</v>
      </c>
      <c r="F32" s="8">
        <v>10450.1</v>
      </c>
      <c r="G32" s="8">
        <v>126947.5</v>
      </c>
      <c r="H32" s="8">
        <v>5709.7</v>
      </c>
      <c r="I32" s="8">
        <v>2566.3</v>
      </c>
      <c r="J32" s="8">
        <v>967</v>
      </c>
      <c r="K32" s="8">
        <v>56</v>
      </c>
      <c r="L32" s="8">
        <v>103954.9</v>
      </c>
      <c r="M32" s="8">
        <v>61531.2</v>
      </c>
      <c r="N32" s="8">
        <v>87172.5</v>
      </c>
      <c r="O32" s="8">
        <v>113553.6</v>
      </c>
      <c r="P32" s="8">
        <v>6429.1</v>
      </c>
      <c r="Q32" s="8">
        <v>8895</v>
      </c>
      <c r="R32" s="8">
        <v>5397.7</v>
      </c>
      <c r="S32" s="8">
        <v>6467.6</v>
      </c>
      <c r="T32" s="8">
        <v>8872.6</v>
      </c>
      <c r="U32" s="8">
        <v>19676.2</v>
      </c>
      <c r="V32" s="8">
        <v>55892.4</v>
      </c>
      <c r="W32" s="8">
        <v>60989.6</v>
      </c>
      <c r="X32" s="8">
        <v>7337.6</v>
      </c>
      <c r="Y32" s="8">
        <v>7583.2</v>
      </c>
      <c r="Z32" s="15">
        <f t="shared" si="22"/>
        <v>75910.4</v>
      </c>
      <c r="AA32" s="8">
        <v>12220</v>
      </c>
      <c r="AB32" s="13">
        <v>9971</v>
      </c>
      <c r="AC32" s="7">
        <f t="shared" si="23"/>
        <v>22191</v>
      </c>
      <c r="AD32" s="16">
        <v>129823</v>
      </c>
      <c r="AE32" s="17">
        <f t="shared" ref="AE32:AI32" si="173">IF(OR(C33=""),"",(C33-C32)*80)</f>
        <v>0</v>
      </c>
      <c r="AF32" s="17">
        <f t="shared" si="173"/>
        <v>0</v>
      </c>
      <c r="AG32" s="17">
        <f t="shared" si="173"/>
        <v>2624.00000000023</v>
      </c>
      <c r="AH32" s="17">
        <f t="shared" si="173"/>
        <v>0</v>
      </c>
      <c r="AI32" s="17">
        <f t="shared" si="173"/>
        <v>2440</v>
      </c>
      <c r="AJ32" s="17">
        <f t="shared" si="25"/>
        <v>5064.00000000023</v>
      </c>
      <c r="AK32" s="17">
        <f t="shared" ref="AK32:AN32" si="174">IF(OR(H33=""),"",(H33-H32)*80)</f>
        <v>0</v>
      </c>
      <c r="AL32" s="17">
        <f t="shared" si="174"/>
        <v>0</v>
      </c>
      <c r="AM32" s="17">
        <f t="shared" si="174"/>
        <v>0</v>
      </c>
      <c r="AN32" s="17">
        <f t="shared" si="174"/>
        <v>0</v>
      </c>
      <c r="AO32" s="17">
        <f t="shared" si="27"/>
        <v>0</v>
      </c>
      <c r="AP32" s="17">
        <f t="shared" ref="AP32:AS32" si="175">IF(OR(L33=""),"",(L33-L32)*100)</f>
        <v>2570.00000000116</v>
      </c>
      <c r="AQ32" s="17">
        <f t="shared" si="175"/>
        <v>0</v>
      </c>
      <c r="AR32" s="17">
        <f t="shared" si="175"/>
        <v>2880.00000000029</v>
      </c>
      <c r="AS32" s="17">
        <f t="shared" si="175"/>
        <v>0</v>
      </c>
      <c r="AT32" s="17">
        <f t="shared" si="29"/>
        <v>5450.00000000146</v>
      </c>
      <c r="AU32" s="17">
        <f t="shared" ref="AU32:AY32" si="176">IF(OR(P33=""),"",(P33-P32)*1000)</f>
        <v>3699.99999999982</v>
      </c>
      <c r="AV32" s="17">
        <f t="shared" si="176"/>
        <v>2100.00000000036</v>
      </c>
      <c r="AW32" s="17">
        <f t="shared" si="176"/>
        <v>199.999999999818</v>
      </c>
      <c r="AX32" s="17">
        <f t="shared" si="176"/>
        <v>0</v>
      </c>
      <c r="AY32" s="17">
        <f t="shared" si="176"/>
        <v>6100.00000000036</v>
      </c>
      <c r="AZ32" s="17">
        <f t="shared" si="31"/>
        <v>12100.0000000004</v>
      </c>
      <c r="BA32" s="17">
        <f t="shared" si="32"/>
        <v>7000</v>
      </c>
      <c r="BB32" s="17">
        <f t="shared" si="33"/>
        <v>527.999999999884</v>
      </c>
      <c r="BC32" s="17">
        <f t="shared" si="34"/>
        <v>1332.00000000012</v>
      </c>
      <c r="BD32" s="17">
        <f t="shared" si="35"/>
        <v>12126.0000000038</v>
      </c>
      <c r="BE32" s="17">
        <f t="shared" si="36"/>
        <v>43600.0000000058</v>
      </c>
      <c r="BF32" s="17">
        <f t="shared" si="37"/>
        <v>79.0999999999985</v>
      </c>
      <c r="BG32" s="20">
        <f t="shared" si="38"/>
        <v>0.335841877017214</v>
      </c>
      <c r="BH32" s="20">
        <f t="shared" si="39"/>
        <v>0.0390069556241978</v>
      </c>
      <c r="BI32" s="20">
        <f t="shared" si="40"/>
        <v>0</v>
      </c>
      <c r="BJ32" s="20">
        <f t="shared" si="41"/>
        <v>0.0419802346271574</v>
      </c>
      <c r="BK32" s="20">
        <f t="shared" ref="BK32:BO32" si="177">IF(OR($AD32=0),"",AZ32/$AD32)</f>
        <v>0.0932038236676118</v>
      </c>
      <c r="BL32" s="20">
        <f t="shared" si="177"/>
        <v>0.0539195674110135</v>
      </c>
      <c r="BM32" s="20">
        <f t="shared" si="177"/>
        <v>0.0040670759418584</v>
      </c>
      <c r="BN32" s="20">
        <f t="shared" si="177"/>
        <v>0.0102601233987823</v>
      </c>
      <c r="BO32" s="20">
        <f t="shared" si="177"/>
        <v>0.0934040963465932</v>
      </c>
    </row>
    <row r="33" spans="1:67">
      <c r="A33" s="9">
        <f t="shared" si="21"/>
        <v>45290</v>
      </c>
      <c r="B33" s="10">
        <v>19350.13</v>
      </c>
      <c r="C33" s="8">
        <v>97858</v>
      </c>
      <c r="D33" s="8">
        <v>69678.5</v>
      </c>
      <c r="E33" s="8">
        <v>70820.7</v>
      </c>
      <c r="F33" s="8">
        <v>10450.1</v>
      </c>
      <c r="G33" s="8">
        <v>126978</v>
      </c>
      <c r="H33" s="8">
        <v>5709.7</v>
      </c>
      <c r="I33" s="8">
        <v>2566.3</v>
      </c>
      <c r="J33" s="8">
        <v>967</v>
      </c>
      <c r="K33" s="8">
        <v>56</v>
      </c>
      <c r="L33" s="8">
        <v>103980.6</v>
      </c>
      <c r="M33" s="8">
        <v>61531.2</v>
      </c>
      <c r="N33" s="8">
        <v>87201.3</v>
      </c>
      <c r="O33" s="8">
        <v>113553.6</v>
      </c>
      <c r="P33" s="8">
        <v>6432.8</v>
      </c>
      <c r="Q33" s="8">
        <v>8897.1</v>
      </c>
      <c r="R33" s="8">
        <v>5397.9</v>
      </c>
      <c r="S33" s="8">
        <v>6467.6</v>
      </c>
      <c r="T33" s="8">
        <v>8878.7</v>
      </c>
      <c r="U33" s="8">
        <v>19679.7</v>
      </c>
      <c r="V33" s="8">
        <v>55899</v>
      </c>
      <c r="W33" s="8">
        <v>61006.6</v>
      </c>
      <c r="X33" s="8">
        <v>7345.6</v>
      </c>
      <c r="Y33" s="8">
        <v>7591.5</v>
      </c>
      <c r="Z33" s="15">
        <f t="shared" si="22"/>
        <v>75943.7</v>
      </c>
      <c r="AA33" s="8">
        <v>12272.1</v>
      </c>
      <c r="AB33" s="13">
        <v>9998</v>
      </c>
      <c r="AC33" s="7">
        <f t="shared" si="23"/>
        <v>22270.1</v>
      </c>
      <c r="AD33" s="16">
        <v>136648</v>
      </c>
      <c r="AE33" s="17">
        <f t="shared" ref="AE33:AI33" si="178">IF(OR(C34=""),"",(C34-C33)*80)</f>
        <v>0</v>
      </c>
      <c r="AF33" s="17">
        <f t="shared" si="178"/>
        <v>0</v>
      </c>
      <c r="AG33" s="17">
        <f t="shared" si="178"/>
        <v>3000</v>
      </c>
      <c r="AH33" s="17">
        <f t="shared" si="178"/>
        <v>8.0000000000291</v>
      </c>
      <c r="AI33" s="17">
        <f t="shared" si="178"/>
        <v>2695.99999999977</v>
      </c>
      <c r="AJ33" s="17">
        <f t="shared" si="25"/>
        <v>5703.9999999998</v>
      </c>
      <c r="AK33" s="17">
        <f t="shared" ref="AK33:AN33" si="179">IF(OR(H34=""),"",(H34-H33)*80)</f>
        <v>0</v>
      </c>
      <c r="AL33" s="17">
        <f t="shared" si="179"/>
        <v>0</v>
      </c>
      <c r="AM33" s="17">
        <f t="shared" si="179"/>
        <v>0</v>
      </c>
      <c r="AN33" s="17">
        <f t="shared" si="179"/>
        <v>0</v>
      </c>
      <c r="AO33" s="17">
        <f t="shared" si="27"/>
        <v>0</v>
      </c>
      <c r="AP33" s="17">
        <f t="shared" ref="AP33:AS33" si="180">IF(OR(L34=""),"",(L34-L33)*100)</f>
        <v>2800</v>
      </c>
      <c r="AQ33" s="17">
        <f t="shared" si="180"/>
        <v>0</v>
      </c>
      <c r="AR33" s="17">
        <f t="shared" si="180"/>
        <v>2980.00000000029</v>
      </c>
      <c r="AS33" s="17">
        <f t="shared" si="180"/>
        <v>0</v>
      </c>
      <c r="AT33" s="17">
        <f t="shared" si="29"/>
        <v>5780.00000000029</v>
      </c>
      <c r="AU33" s="17">
        <f t="shared" ref="AU33:AY33" si="181">IF(OR(P34=""),"",(P34-P33)*1000)</f>
        <v>1099.99999999945</v>
      </c>
      <c r="AV33" s="17">
        <f t="shared" si="181"/>
        <v>8000</v>
      </c>
      <c r="AW33" s="17">
        <f t="shared" si="181"/>
        <v>0</v>
      </c>
      <c r="AX33" s="17">
        <f t="shared" si="181"/>
        <v>0</v>
      </c>
      <c r="AY33" s="17">
        <f t="shared" si="181"/>
        <v>0</v>
      </c>
      <c r="AZ33" s="17">
        <f t="shared" si="31"/>
        <v>9099.99999999945</v>
      </c>
      <c r="BA33" s="17">
        <f t="shared" si="32"/>
        <v>7000</v>
      </c>
      <c r="BB33" s="17">
        <f t="shared" si="33"/>
        <v>367.999999999884</v>
      </c>
      <c r="BC33" s="17">
        <f t="shared" si="34"/>
        <v>1420</v>
      </c>
      <c r="BD33" s="17">
        <f t="shared" si="35"/>
        <v>15327.9999999758</v>
      </c>
      <c r="BE33" s="17">
        <f t="shared" si="36"/>
        <v>44699.9999999753</v>
      </c>
      <c r="BF33" s="17">
        <f t="shared" si="37"/>
        <v>85.5</v>
      </c>
      <c r="BG33" s="20">
        <f t="shared" si="38"/>
        <v>0.327117850242779</v>
      </c>
      <c r="BH33" s="20">
        <f t="shared" si="39"/>
        <v>0.0417422867513597</v>
      </c>
      <c r="BI33" s="20">
        <f t="shared" si="40"/>
        <v>0</v>
      </c>
      <c r="BJ33" s="20">
        <f t="shared" si="41"/>
        <v>0.0422984602775034</v>
      </c>
      <c r="BK33" s="20">
        <f t="shared" ref="BK33:BO33" si="182">IF(OR($AD33=0),"",AZ33/$AD33)</f>
        <v>0.0665944616825673</v>
      </c>
      <c r="BL33" s="20">
        <f t="shared" si="182"/>
        <v>0.0512265089865933</v>
      </c>
      <c r="BM33" s="20">
        <f t="shared" si="182"/>
        <v>0.00269305075815148</v>
      </c>
      <c r="BN33" s="20">
        <f t="shared" si="182"/>
        <v>0.0103916632515661</v>
      </c>
      <c r="BO33" s="20">
        <f t="shared" si="182"/>
        <v>0.112171418535038</v>
      </c>
    </row>
    <row r="34" spans="1:67">
      <c r="A34" s="9">
        <f t="shared" si="21"/>
        <v>45291</v>
      </c>
      <c r="B34" s="7">
        <v>19354.6</v>
      </c>
      <c r="C34" s="8">
        <v>97858</v>
      </c>
      <c r="D34" s="8">
        <v>69678.5</v>
      </c>
      <c r="E34" s="8">
        <v>70858.2</v>
      </c>
      <c r="F34" s="8">
        <v>10450.2</v>
      </c>
      <c r="G34" s="8">
        <v>127011.7</v>
      </c>
      <c r="H34" s="8">
        <v>5709.7</v>
      </c>
      <c r="I34" s="8">
        <v>2566.3</v>
      </c>
      <c r="J34" s="8">
        <v>967</v>
      </c>
      <c r="K34" s="8">
        <v>56</v>
      </c>
      <c r="L34" s="8">
        <v>104008.6</v>
      </c>
      <c r="M34" s="8">
        <v>61531.2</v>
      </c>
      <c r="N34" s="8">
        <v>87231.1</v>
      </c>
      <c r="O34" s="8">
        <v>113553.6</v>
      </c>
      <c r="P34" s="8">
        <v>6433.9</v>
      </c>
      <c r="Q34" s="8">
        <v>8905.1</v>
      </c>
      <c r="R34" s="8">
        <v>5397.9</v>
      </c>
      <c r="S34" s="8">
        <v>6467.6</v>
      </c>
      <c r="T34" s="8">
        <v>8878.7</v>
      </c>
      <c r="U34" s="8">
        <v>19683.2</v>
      </c>
      <c r="V34" s="8">
        <v>55903.6</v>
      </c>
      <c r="W34" s="8">
        <v>61024.7</v>
      </c>
      <c r="X34" s="8">
        <v>7354.1</v>
      </c>
      <c r="Y34" s="8">
        <v>7600.4</v>
      </c>
      <c r="Z34" s="15">
        <f t="shared" si="22"/>
        <v>75979.2</v>
      </c>
      <c r="AA34" s="8">
        <v>12327.6</v>
      </c>
      <c r="AB34" s="13">
        <v>10028</v>
      </c>
      <c r="AC34" s="7">
        <f t="shared" si="23"/>
        <v>22355.6</v>
      </c>
      <c r="AD34" s="16">
        <v>124362</v>
      </c>
      <c r="AE34" s="17">
        <f t="shared" ref="AE34:AI34" si="183">IF(OR(C35=""),"",(C35-C34)*80)</f>
        <v>0</v>
      </c>
      <c r="AF34" s="17">
        <f t="shared" si="183"/>
        <v>0</v>
      </c>
      <c r="AG34" s="17">
        <f t="shared" si="183"/>
        <v>2208.00000000047</v>
      </c>
      <c r="AH34" s="17">
        <f t="shared" si="183"/>
        <v>0</v>
      </c>
      <c r="AI34" s="17">
        <f t="shared" si="183"/>
        <v>2600</v>
      </c>
      <c r="AJ34" s="17">
        <f t="shared" si="25"/>
        <v>4808.00000000047</v>
      </c>
      <c r="AK34" s="17">
        <f t="shared" ref="AK34:AN34" si="184">IF(OR(H35=""),"",(H35-H34)*80)</f>
        <v>0</v>
      </c>
      <c r="AL34" s="17">
        <f t="shared" si="184"/>
        <v>0</v>
      </c>
      <c r="AM34" s="17">
        <f t="shared" si="184"/>
        <v>0</v>
      </c>
      <c r="AN34" s="17">
        <f t="shared" si="184"/>
        <v>0</v>
      </c>
      <c r="AO34" s="17">
        <f t="shared" si="27"/>
        <v>0</v>
      </c>
      <c r="AP34" s="17">
        <f t="shared" ref="AP34:AS34" si="185">IF(OR(L35=""),"",(L35-L34)*100)</f>
        <v>2179.99999999884</v>
      </c>
      <c r="AQ34" s="17">
        <f t="shared" si="185"/>
        <v>0</v>
      </c>
      <c r="AR34" s="17">
        <f t="shared" si="185"/>
        <v>2879.99999999884</v>
      </c>
      <c r="AS34" s="17">
        <f t="shared" si="185"/>
        <v>-40.0000000008731</v>
      </c>
      <c r="AT34" s="17">
        <f t="shared" si="29"/>
        <v>5019.9999999968</v>
      </c>
      <c r="AU34" s="17">
        <f t="shared" ref="AU34:AY34" si="186">IF(OR(P35=""),"",(P35-P34)*1000)</f>
        <v>6900.00000000055</v>
      </c>
      <c r="AV34" s="17">
        <f t="shared" si="186"/>
        <v>7500</v>
      </c>
      <c r="AW34" s="17">
        <f t="shared" si="186"/>
        <v>0</v>
      </c>
      <c r="AX34" s="17">
        <f t="shared" si="186"/>
        <v>0</v>
      </c>
      <c r="AY34" s="17">
        <f t="shared" si="186"/>
        <v>0</v>
      </c>
      <c r="AZ34" s="17">
        <f t="shared" si="31"/>
        <v>14400.0000000005</v>
      </c>
      <c r="BA34" s="17">
        <f t="shared" si="32"/>
        <v>6400.00000000146</v>
      </c>
      <c r="BB34" s="17">
        <f t="shared" si="33"/>
        <v>784.000000000233</v>
      </c>
      <c r="BC34" s="17">
        <f t="shared" si="34"/>
        <v>1324.00000000023</v>
      </c>
      <c r="BD34" s="17">
        <f t="shared" si="35"/>
        <v>8764.00000001482</v>
      </c>
      <c r="BE34" s="17">
        <f t="shared" si="36"/>
        <v>41500.0000000146</v>
      </c>
      <c r="BF34" s="17">
        <f t="shared" si="37"/>
        <v>81.1000000000022</v>
      </c>
      <c r="BG34" s="20">
        <f t="shared" si="38"/>
        <v>0.333703221241332</v>
      </c>
      <c r="BH34" s="20">
        <f t="shared" si="39"/>
        <v>0.0386613274151306</v>
      </c>
      <c r="BI34" s="20">
        <f t="shared" si="40"/>
        <v>0</v>
      </c>
      <c r="BJ34" s="20">
        <f t="shared" si="41"/>
        <v>0.0403660282079478</v>
      </c>
      <c r="BK34" s="20">
        <f t="shared" ref="BK34:BO34" si="187">IF(OR($AD34=0),"",AZ34/$AD34)</f>
        <v>0.115790997249968</v>
      </c>
      <c r="BL34" s="20">
        <f t="shared" si="187"/>
        <v>0.0514626654444401</v>
      </c>
      <c r="BM34" s="20">
        <f t="shared" si="187"/>
        <v>0.00630417651694435</v>
      </c>
      <c r="BN34" s="20">
        <f t="shared" si="187"/>
        <v>0.010646338913818</v>
      </c>
      <c r="BO34" s="20">
        <f t="shared" si="187"/>
        <v>0.0704716874930833</v>
      </c>
    </row>
    <row r="35" spans="1:67">
      <c r="A35" s="9">
        <f t="shared" si="21"/>
        <v>45292</v>
      </c>
      <c r="B35" s="10">
        <v>19358.75</v>
      </c>
      <c r="C35" s="11">
        <v>97858</v>
      </c>
      <c r="D35" s="11">
        <v>69678.5</v>
      </c>
      <c r="E35" s="11">
        <v>70885.8</v>
      </c>
      <c r="F35" s="11">
        <v>10450.2</v>
      </c>
      <c r="G35" s="11">
        <v>127044.2</v>
      </c>
      <c r="H35" s="8">
        <v>5709.7</v>
      </c>
      <c r="I35" s="8">
        <v>2566.3</v>
      </c>
      <c r="J35" s="8">
        <v>967</v>
      </c>
      <c r="K35" s="8">
        <v>56</v>
      </c>
      <c r="L35" s="11">
        <v>104030.4</v>
      </c>
      <c r="M35" s="11">
        <v>61531.2</v>
      </c>
      <c r="N35" s="11">
        <v>87259.9</v>
      </c>
      <c r="O35" s="11">
        <v>113553.2</v>
      </c>
      <c r="P35" s="11">
        <v>6440.8</v>
      </c>
      <c r="Q35" s="11">
        <v>8912.6</v>
      </c>
      <c r="R35" s="11">
        <v>5397.9</v>
      </c>
      <c r="S35" s="11">
        <v>6467.6</v>
      </c>
      <c r="T35" s="11">
        <v>8878.7</v>
      </c>
      <c r="U35" s="11">
        <v>19686.4</v>
      </c>
      <c r="V35" s="11">
        <v>55913.4</v>
      </c>
      <c r="W35" s="11">
        <v>61041.3</v>
      </c>
      <c r="X35" s="11">
        <v>7362.2</v>
      </c>
      <c r="Y35" s="11">
        <v>7608.8</v>
      </c>
      <c r="Z35" s="15">
        <f t="shared" si="22"/>
        <v>76012.3</v>
      </c>
      <c r="AA35" s="11">
        <v>12379.7</v>
      </c>
      <c r="AB35" s="11">
        <v>10057</v>
      </c>
      <c r="AC35" s="10">
        <f t="shared" si="23"/>
        <v>22436.7</v>
      </c>
      <c r="AD35" s="11"/>
      <c r="BE35" s="21" t="s">
        <v>44</v>
      </c>
      <c r="BF35" s="21" t="s">
        <v>19</v>
      </c>
      <c r="BG35" s="22">
        <f>SUM(BE4:BE34)</f>
        <v>1465000</v>
      </c>
      <c r="BH35" s="22">
        <f>SUM(AJ4:AJ34)</f>
        <v>195931.200000001</v>
      </c>
      <c r="BI35" s="22">
        <f>SUM(AO4:AO34)</f>
        <v>0</v>
      </c>
      <c r="BJ35" s="22">
        <f>SUM(AT4:AT34)</f>
        <v>192169.999999999</v>
      </c>
      <c r="BK35" s="22">
        <f t="shared" ref="BK35:BO35" si="188">SUM(AZ4:AZ34)</f>
        <v>348100.000000002</v>
      </c>
      <c r="BL35" s="22">
        <f t="shared" si="188"/>
        <v>227000</v>
      </c>
      <c r="BM35" s="22">
        <f t="shared" si="188"/>
        <v>17824.0000000002</v>
      </c>
      <c r="BN35" s="22">
        <f t="shared" si="188"/>
        <v>42352.0000000001</v>
      </c>
      <c r="BO35" s="22">
        <f t="shared" si="188"/>
        <v>441622.799999997</v>
      </c>
    </row>
    <row r="36" spans="37:67"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1">
        <f>SUM(AD4:AD34)</f>
        <v>4853129</v>
      </c>
      <c r="BF36" s="21" t="s">
        <v>21</v>
      </c>
      <c r="BG36" s="23">
        <f>IF(OR(BG35=0),"",ROUND(BG35/$BE$36,3))</f>
        <v>0.302</v>
      </c>
      <c r="BH36" s="23">
        <f t="shared" ref="BH36:BO36" si="189">IF(OR(BH35=0),"",ROUND(BH35/$BE$36,4))</f>
        <v>0.0404</v>
      </c>
      <c r="BI36" s="23" t="str">
        <f t="shared" si="189"/>
        <v/>
      </c>
      <c r="BJ36" s="23">
        <f t="shared" si="189"/>
        <v>0.0396</v>
      </c>
      <c r="BK36" s="23">
        <f t="shared" si="189"/>
        <v>0.0717</v>
      </c>
      <c r="BL36" s="23">
        <f t="shared" si="189"/>
        <v>0.0468</v>
      </c>
      <c r="BM36" s="23">
        <f t="shared" si="189"/>
        <v>0.0037</v>
      </c>
      <c r="BN36" s="23">
        <f t="shared" si="189"/>
        <v>0.0087</v>
      </c>
      <c r="BO36" s="23">
        <f t="shared" si="189"/>
        <v>0.091</v>
      </c>
    </row>
  </sheetData>
  <mergeCells count="35">
    <mergeCell ref="A1:BO1"/>
    <mergeCell ref="C2:G2"/>
    <mergeCell ref="H2:K2"/>
    <mergeCell ref="L2:O2"/>
    <mergeCell ref="P2:T2"/>
    <mergeCell ref="X2:Y2"/>
    <mergeCell ref="AE2:AJ2"/>
    <mergeCell ref="AK2:AO2"/>
    <mergeCell ref="AP2:AT2"/>
    <mergeCell ref="AU2:AZ2"/>
    <mergeCell ref="A2:A3"/>
    <mergeCell ref="B2:B3"/>
    <mergeCell ref="U2:U3"/>
    <mergeCell ref="V2:V3"/>
    <mergeCell ref="W2:W3"/>
    <mergeCell ref="Z2:Z3"/>
    <mergeCell ref="AA2:AA3"/>
    <mergeCell ref="AB2:AB3"/>
    <mergeCell ref="AC2:AC3"/>
    <mergeCell ref="AD2:AD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朱铖</cp:lastModifiedBy>
  <dcterms:created xsi:type="dcterms:W3CDTF">2018-12-24T22:33:00Z</dcterms:created>
  <dcterms:modified xsi:type="dcterms:W3CDTF">2023-07-19T06:56:16Z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C225F5B1242442B4A99832DE4565CD02</vt:lpwstr>
  </property>
</Properties>
</file>