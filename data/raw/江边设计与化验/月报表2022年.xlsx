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690" activeTab="11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J7" authorId="0">
      <text>
        <r>
          <rPr>
            <sz val="9"/>
            <rFont val="宋体"/>
            <charset val="134"/>
          </rPr>
          <t>现场数据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德宏异常</t>
        </r>
        <r>
          <rPr>
            <sz val="9"/>
            <rFont val="Tahoma"/>
            <charset val="134"/>
          </rPr>
          <t xml:space="preserve">
</t>
        </r>
      </text>
    </comment>
    <comment ref="J8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J9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I10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德宏数据异常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J19" authorId="0">
      <text>
        <r>
          <rPr>
            <sz val="9"/>
            <rFont val="宋体"/>
            <charset val="134"/>
          </rPr>
          <t>德宏数据异常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  <r>
          <rPr>
            <sz val="9"/>
            <rFont val="Tahoma"/>
            <charset val="134"/>
          </rPr>
          <t xml:space="preserve">
</t>
        </r>
      </text>
    </comment>
    <comment ref="J20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德宏数据异常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J2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德宏数据异常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J2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德宏数据异常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J2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德宏数据异常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I26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德宏数据异常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I3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德宏网站异常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J3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德宏网站异常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J14" authorId="0">
      <text>
        <r>
          <rPr>
            <sz val="9"/>
            <rFont val="宋体"/>
            <charset val="134"/>
          </rPr>
          <t>现场数据</t>
        </r>
      </text>
    </comment>
    <comment ref="Z26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4:00</t>
        </r>
        <r>
          <rPr>
            <sz val="9"/>
            <rFont val="宋体"/>
            <charset val="134"/>
          </rPr>
          <t>接泵站所通知开水解池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进</t>
        </r>
        <r>
          <rPr>
            <sz val="9"/>
            <rFont val="Tahoma"/>
            <charset val="134"/>
          </rPr>
          <t xml:space="preserve">1000m3/h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J5" authorId="0">
      <text>
        <r>
          <rPr>
            <sz val="9"/>
            <rFont val="宋体"/>
            <charset val="134"/>
          </rPr>
          <t>德宏数据异常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  <r>
          <rPr>
            <sz val="9"/>
            <rFont val="Tahoma"/>
            <charset val="134"/>
          </rPr>
          <t xml:space="preserve">
</t>
        </r>
      </text>
    </comment>
    <comment ref="I19" authorId="0">
      <text>
        <r>
          <rPr>
            <b/>
            <sz val="9"/>
            <rFont val="宋体"/>
            <charset val="134"/>
          </rPr>
          <t>德宏登不上</t>
        </r>
        <r>
          <rPr>
            <b/>
            <sz val="9"/>
            <rFont val="Tahoma"/>
            <charset val="134"/>
          </rPr>
          <t>,</t>
        </r>
        <r>
          <rPr>
            <b/>
            <sz val="9"/>
            <rFont val="宋体"/>
            <charset val="134"/>
          </rPr>
          <t>现场数据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I18" authorId="0">
      <text>
        <r>
          <rPr>
            <sz val="9"/>
            <rFont val="宋体"/>
            <charset val="134"/>
          </rPr>
          <t>德宏无网络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  <r>
          <rPr>
            <sz val="9"/>
            <rFont val="Tahoma"/>
            <charset val="134"/>
          </rPr>
          <t xml:space="preserve">
</t>
        </r>
      </text>
    </comment>
    <comment ref="J18" authorId="0">
      <text>
        <r>
          <rPr>
            <sz val="9"/>
            <rFont val="宋体"/>
            <charset val="134"/>
          </rPr>
          <t>德宏无网络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  <r>
          <rPr>
            <sz val="9"/>
            <rFont val="Tahoma"/>
            <charset val="134"/>
          </rPr>
          <t xml:space="preserve">
</t>
        </r>
      </text>
    </comment>
    <comment ref="I24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德宏无网络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J24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德宏无网络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I25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</text>
    </comment>
    <comment ref="J25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</text>
    </comment>
    <comment ref="J26" authorId="0">
      <text>
        <r>
          <rPr>
            <sz val="9"/>
            <rFont val="宋体"/>
            <charset val="134"/>
          </rPr>
          <t>德宏数据异常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  <r>
          <rPr>
            <sz val="9"/>
            <rFont val="Tahoma"/>
            <charset val="134"/>
          </rPr>
          <t xml:space="preserve">
</t>
        </r>
      </text>
    </comment>
    <comment ref="J29" authorId="0">
      <text>
        <r>
          <rPr>
            <sz val="9"/>
            <rFont val="宋体"/>
            <charset val="134"/>
          </rPr>
          <t>德宏数据异常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I19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网站无法打开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 xml:space="preserve">现场数据
</t>
        </r>
      </text>
    </comment>
    <comment ref="J19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网站无法打开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现场数据</t>
        </r>
      </text>
    </comment>
    <comment ref="I20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 xml:space="preserve">德宏故障
</t>
        </r>
      </text>
    </comment>
    <comment ref="J20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德宏故障</t>
        </r>
      </text>
    </comment>
  </commentList>
</comments>
</file>

<file path=xl/sharedStrings.xml><?xml version="1.0" encoding="utf-8"?>
<sst xmlns="http://schemas.openxmlformats.org/spreadsheetml/2006/main" count="1296" uniqueCount="74">
  <si>
    <t>记录人</t>
  </si>
  <si>
    <t>一期左进水
流量计读数</t>
  </si>
  <si>
    <t>一期右进水
流量计读数</t>
  </si>
  <si>
    <t>二期左进水
流量计读数</t>
  </si>
  <si>
    <t>二期右进水
流量计读数</t>
  </si>
  <si>
    <t>现场出水
流量计读数</t>
  </si>
  <si>
    <t>现场回用水
读数</t>
  </si>
  <si>
    <t>出水流量计
读数（网站）</t>
  </si>
  <si>
    <t>回用水流量
（网站）</t>
  </si>
  <si>
    <t>污泥流量
计读数</t>
  </si>
  <si>
    <t>PAC2#流量计读数</t>
  </si>
  <si>
    <t>PAC3#流量计读数</t>
  </si>
  <si>
    <t>PAM流量
计读数</t>
  </si>
  <si>
    <t>盐酸流量
计读数</t>
  </si>
  <si>
    <t>氯酸钠流
量计读数</t>
  </si>
  <si>
    <t>生反池
水温</t>
  </si>
  <si>
    <t>天气
(阴晴雨)</t>
  </si>
  <si>
    <t>盐酸液位
差（CM）</t>
  </si>
  <si>
    <t>氯酸钠液位差
差（CM）</t>
  </si>
  <si>
    <r>
      <rPr>
        <sz val="9"/>
        <color indexed="8"/>
        <rFont val="微软雅黑"/>
        <charset val="134"/>
      </rPr>
      <t>最高流量
m</t>
    </r>
    <r>
      <rPr>
        <vertAlign val="superscript"/>
        <sz val="9"/>
        <color indexed="8"/>
        <rFont val="微软雅黑"/>
        <charset val="134"/>
      </rPr>
      <t>3/</t>
    </r>
    <r>
      <rPr>
        <sz val="9"/>
        <color indexed="8"/>
        <rFont val="微软雅黑"/>
        <charset val="134"/>
      </rPr>
      <t>h</t>
    </r>
  </si>
  <si>
    <r>
      <rPr>
        <sz val="9"/>
        <color indexed="8"/>
        <rFont val="微软雅黑"/>
        <charset val="134"/>
      </rPr>
      <t>最低流量
m</t>
    </r>
    <r>
      <rPr>
        <vertAlign val="superscript"/>
        <sz val="9"/>
        <color indexed="8"/>
        <rFont val="微软雅黑"/>
        <charset val="134"/>
      </rPr>
      <t>3/</t>
    </r>
    <r>
      <rPr>
        <sz val="9"/>
        <color indexed="8"/>
        <rFont val="微软雅黑"/>
        <charset val="134"/>
      </rPr>
      <t>h</t>
    </r>
  </si>
  <si>
    <t>最高液位
m</t>
  </si>
  <si>
    <t>最低液位
m</t>
  </si>
  <si>
    <t>超液位时
间（分）</t>
  </si>
  <si>
    <t>备注</t>
  </si>
  <si>
    <t>一期左
进水流量</t>
  </si>
  <si>
    <t>一期右
进水流量</t>
  </si>
  <si>
    <t>二期左
进水流量</t>
  </si>
  <si>
    <t>二期右
进水流量</t>
  </si>
  <si>
    <t>现场出水
流量</t>
  </si>
  <si>
    <t>现场回用水
流量</t>
  </si>
  <si>
    <t>进出水
流量差</t>
  </si>
  <si>
    <t>出水流量（网站）</t>
  </si>
  <si>
    <t>回用水流量（网站）</t>
  </si>
  <si>
    <t>实际处理量（网站）</t>
  </si>
  <si>
    <r>
      <rPr>
        <sz val="9"/>
        <color indexed="8"/>
        <rFont val="微软雅黑"/>
        <charset val="134"/>
      </rPr>
      <t>排泥量
m</t>
    </r>
    <r>
      <rPr>
        <vertAlign val="superscript"/>
        <sz val="9"/>
        <color indexed="8"/>
        <rFont val="微软雅黑"/>
        <charset val="134"/>
      </rPr>
      <t>3</t>
    </r>
  </si>
  <si>
    <t>PAC量
kg</t>
  </si>
  <si>
    <t>PAM量
kg</t>
  </si>
  <si>
    <t>盐酸量
kg</t>
  </si>
  <si>
    <t>氯酸钠量
kg</t>
  </si>
  <si>
    <t>碳源用量kg</t>
  </si>
  <si>
    <t>PAC单耗
ppm</t>
  </si>
  <si>
    <t>PAM单耗
ppm</t>
  </si>
  <si>
    <t>盐酸单耗
ppm</t>
  </si>
  <si>
    <t>氯酸钠单耗
ppm</t>
  </si>
  <si>
    <t>胡叶青</t>
  </si>
  <si>
    <t>晴</t>
  </si>
  <si>
    <t>潘汝鑫</t>
  </si>
  <si>
    <t>陈智娇</t>
  </si>
  <si>
    <t>3：:0开水解池15圈，</t>
  </si>
  <si>
    <t>易萍</t>
  </si>
  <si>
    <t>11：00关水解池。5：00进水解池</t>
  </si>
  <si>
    <t>雨</t>
  </si>
  <si>
    <t>6:30关水解进水</t>
  </si>
  <si>
    <t>阴</t>
  </si>
  <si>
    <t>仇昊</t>
  </si>
  <si>
    <t>9:00开水解池，6:00停</t>
  </si>
  <si>
    <t>泵站检修，水量低</t>
  </si>
  <si>
    <t>张亚光</t>
  </si>
  <si>
    <t>雪</t>
  </si>
  <si>
    <t>宣晟浩</t>
  </si>
  <si>
    <t>1#风机检修,停了45分钟</t>
  </si>
  <si>
    <t xml:space="preserve">晴 </t>
  </si>
  <si>
    <t>多云</t>
  </si>
  <si>
    <t>25.90</t>
  </si>
  <si>
    <t>25.60</t>
  </si>
  <si>
    <t>14:00接通知进水解1000</t>
  </si>
  <si>
    <r>
      <rPr>
        <sz val="9"/>
        <color indexed="8"/>
        <rFont val="微软雅黑"/>
        <charset val="134"/>
      </rPr>
      <t>2</t>
    </r>
    <r>
      <rPr>
        <sz val="9"/>
        <color indexed="8"/>
        <rFont val="微软雅黑"/>
        <charset val="134"/>
      </rPr>
      <t>3:00停水解进水</t>
    </r>
  </si>
  <si>
    <t>4:00接泵站所通知开水解池,进1000m3/h</t>
  </si>
  <si>
    <t>碳源1号流量计</t>
  </si>
  <si>
    <t>碳源2号流量计</t>
  </si>
  <si>
    <t>雾霾</t>
  </si>
  <si>
    <t>朱铖</t>
  </si>
  <si>
    <t>钱耀华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</si>
</sst>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m&quot;月&quot;d&quot;日&quot;;@"/>
    <numFmt numFmtId="179" formatCode="0.0_);[Red]\(0.0\)"/>
    <numFmt numFmtId="180" formatCode="0_ "/>
  </numFmts>
  <fonts count="30">
    <font>
      <sz val="11"/>
      <name val="宋体"/>
      <charset val="134"/>
    </font>
    <font>
      <sz val="9"/>
      <color indexed="8"/>
      <name val="微软雅黑"/>
      <charset val="134"/>
    </font>
    <font>
      <sz val="9"/>
      <color indexed="8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vertAlign val="superscript"/>
      <sz val="9"/>
      <color indexed="8"/>
      <name val="微软雅黑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1" borderId="4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15" borderId="3" applyNumberFormat="0" applyAlignment="0" applyProtection="0">
      <alignment vertical="center"/>
    </xf>
    <xf numFmtId="0" fontId="20" fillId="16" borderId="8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176" fontId="1" fillId="0" borderId="0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left" vertical="center"/>
    </xf>
    <xf numFmtId="177" fontId="1" fillId="3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9" fontId="1" fillId="4" borderId="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80" fontId="1" fillId="0" borderId="0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180" fontId="1" fillId="4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'1'!$AT$2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'1'!$AT$3:$AT$34</c:f>
              <c:numCache>
                <c:formatCode>General</c:formatCode>
                <c:ptCount val="32"/>
                <c:pt idx="0">
                  <c:v>4.99</c:v>
                </c:pt>
                <c:pt idx="1">
                  <c:v>6.2</c:v>
                </c:pt>
                <c:pt idx="2">
                  <c:v>8.25</c:v>
                </c:pt>
                <c:pt idx="3">
                  <c:v>10.19</c:v>
                </c:pt>
                <c:pt idx="4">
                  <c:v>7.04</c:v>
                </c:pt>
                <c:pt idx="5">
                  <c:v>7.92</c:v>
                </c:pt>
                <c:pt idx="6">
                  <c:v>6.18</c:v>
                </c:pt>
                <c:pt idx="7">
                  <c:v>6.78</c:v>
                </c:pt>
                <c:pt idx="8">
                  <c:v>8.07</c:v>
                </c:pt>
                <c:pt idx="9">
                  <c:v>8.87</c:v>
                </c:pt>
                <c:pt idx="10">
                  <c:v>9.26</c:v>
                </c:pt>
                <c:pt idx="11">
                  <c:v>7.07</c:v>
                </c:pt>
                <c:pt idx="12">
                  <c:v>6.81</c:v>
                </c:pt>
                <c:pt idx="13">
                  <c:v>5.15</c:v>
                </c:pt>
                <c:pt idx="14">
                  <c:v>4.45</c:v>
                </c:pt>
                <c:pt idx="15">
                  <c:v>7.59</c:v>
                </c:pt>
                <c:pt idx="16">
                  <c:v>11.45</c:v>
                </c:pt>
                <c:pt idx="17">
                  <c:v>11.64</c:v>
                </c:pt>
                <c:pt idx="18">
                  <c:v>7.23</c:v>
                </c:pt>
                <c:pt idx="19">
                  <c:v>11.52</c:v>
                </c:pt>
                <c:pt idx="20">
                  <c:v>7.16</c:v>
                </c:pt>
                <c:pt idx="21">
                  <c:v>6.53</c:v>
                </c:pt>
                <c:pt idx="22">
                  <c:v>7.85</c:v>
                </c:pt>
                <c:pt idx="23">
                  <c:v>8.23</c:v>
                </c:pt>
                <c:pt idx="24">
                  <c:v>6.22</c:v>
                </c:pt>
                <c:pt idx="25">
                  <c:v>7.65</c:v>
                </c:pt>
                <c:pt idx="26">
                  <c:v>6.58</c:v>
                </c:pt>
                <c:pt idx="27">
                  <c:v>5.77</c:v>
                </c:pt>
                <c:pt idx="28">
                  <c:v>6.09</c:v>
                </c:pt>
                <c:pt idx="29">
                  <c:v>3.25</c:v>
                </c:pt>
                <c:pt idx="30">
                  <c:v>4.38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'1'!$AQ$3:$AQ$34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7.8</c:v>
                </c:pt>
                <c:pt idx="11">
                  <c:v>20.9</c:v>
                </c:pt>
                <c:pt idx="12">
                  <c:v>7.4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10.3</c:v>
                </c:pt>
                <c:pt idx="17">
                  <c:v>61.9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0.27</c:v>
                </c:pt>
                <c:pt idx="12">
                  <c:v>0.11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0.35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01440"/>
        <c:axId val="210112512"/>
      </c:lineChart>
      <c:lineChart>
        <c:grouping val="standard"/>
        <c:varyColors val="0"/>
        <c:ser>
          <c:idx val="0"/>
          <c:order val="0"/>
          <c:tx>
            <c:strRef>
              <c:f>'1'!$AS$2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'1'!$AS$3:$AS$34</c:f>
              <c:numCache>
                <c:formatCode>0.0_);[Red]\(0.0\)</c:formatCode>
                <c:ptCount val="32"/>
                <c:pt idx="0">
                  <c:v>14</c:v>
                </c:pt>
                <c:pt idx="1">
                  <c:v>17.4</c:v>
                </c:pt>
                <c:pt idx="2">
                  <c:v>23.4</c:v>
                </c:pt>
                <c:pt idx="3">
                  <c:v>29.3</c:v>
                </c:pt>
                <c:pt idx="4">
                  <c:v>20.5</c:v>
                </c:pt>
                <c:pt idx="5">
                  <c:v>22.7</c:v>
                </c:pt>
                <c:pt idx="6">
                  <c:v>17.9</c:v>
                </c:pt>
                <c:pt idx="7">
                  <c:v>19.7</c:v>
                </c:pt>
                <c:pt idx="8">
                  <c:v>23.1</c:v>
                </c:pt>
                <c:pt idx="9">
                  <c:v>25.9</c:v>
                </c:pt>
                <c:pt idx="10">
                  <c:v>26.6</c:v>
                </c:pt>
                <c:pt idx="11">
                  <c:v>19.8</c:v>
                </c:pt>
                <c:pt idx="12">
                  <c:v>18.9</c:v>
                </c:pt>
                <c:pt idx="13">
                  <c:v>14.4</c:v>
                </c:pt>
                <c:pt idx="14">
                  <c:v>16.7</c:v>
                </c:pt>
                <c:pt idx="15">
                  <c:v>21.5</c:v>
                </c:pt>
                <c:pt idx="16">
                  <c:v>33.4</c:v>
                </c:pt>
                <c:pt idx="17">
                  <c:v>34</c:v>
                </c:pt>
                <c:pt idx="18">
                  <c:v>20.5</c:v>
                </c:pt>
                <c:pt idx="19">
                  <c:v>34.6</c:v>
                </c:pt>
                <c:pt idx="20">
                  <c:v>20.7</c:v>
                </c:pt>
                <c:pt idx="21">
                  <c:v>18.9</c:v>
                </c:pt>
                <c:pt idx="22">
                  <c:v>22.9</c:v>
                </c:pt>
                <c:pt idx="23">
                  <c:v>24.7</c:v>
                </c:pt>
                <c:pt idx="24">
                  <c:v>17.7</c:v>
                </c:pt>
                <c:pt idx="25">
                  <c:v>23</c:v>
                </c:pt>
                <c:pt idx="26">
                  <c:v>19.1</c:v>
                </c:pt>
                <c:pt idx="27">
                  <c:v>16.4</c:v>
                </c:pt>
                <c:pt idx="28">
                  <c:v>18.4</c:v>
                </c:pt>
                <c:pt idx="29">
                  <c:v>10.3</c:v>
                </c:pt>
                <c:pt idx="30">
                  <c:v>12.2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14048"/>
        <c:axId val="210115584"/>
      </c:lineChart>
      <c:catAx>
        <c:axId val="20990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112512"/>
        <c:crosses val="autoZero"/>
        <c:auto val="1"/>
        <c:lblAlgn val="ctr"/>
        <c:lblOffset val="100"/>
        <c:noMultiLvlLbl val="0"/>
      </c:catAx>
      <c:valAx>
        <c:axId val="21011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901440"/>
        <c:crosses val="autoZero"/>
        <c:crossBetween val="between"/>
      </c:valAx>
      <c:catAx>
        <c:axId val="210114048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115584"/>
        <c:crosses val="autoZero"/>
        <c:auto val="1"/>
        <c:lblAlgn val="ctr"/>
        <c:lblOffset val="100"/>
        <c:noMultiLvlLbl val="0"/>
      </c:catAx>
      <c:valAx>
        <c:axId val="210115584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11404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'2'!$AT$2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'2'!$AT$3:$AT$34</c:f>
              <c:numCache>
                <c:formatCode>General</c:formatCode>
                <c:ptCount val="32"/>
                <c:pt idx="0">
                  <c:v>7.18</c:v>
                </c:pt>
                <c:pt idx="1">
                  <c:v>7.34</c:v>
                </c:pt>
                <c:pt idx="2">
                  <c:v>2.54</c:v>
                </c:pt>
                <c:pt idx="3">
                  <c:v>2.64</c:v>
                </c:pt>
                <c:pt idx="4">
                  <c:v>6.47</c:v>
                </c:pt>
                <c:pt idx="5">
                  <c:v>8.46</c:v>
                </c:pt>
                <c:pt idx="6">
                  <c:v>9.92</c:v>
                </c:pt>
                <c:pt idx="7">
                  <c:v>7.53</c:v>
                </c:pt>
                <c:pt idx="8">
                  <c:v>7.8</c:v>
                </c:pt>
                <c:pt idx="9">
                  <c:v>5.61</c:v>
                </c:pt>
                <c:pt idx="10">
                  <c:v>4.23</c:v>
                </c:pt>
                <c:pt idx="11">
                  <c:v>4.24</c:v>
                </c:pt>
                <c:pt idx="12">
                  <c:v>5.5</c:v>
                </c:pt>
                <c:pt idx="13">
                  <c:v>7.01</c:v>
                </c:pt>
                <c:pt idx="14">
                  <c:v>6.97</c:v>
                </c:pt>
                <c:pt idx="15">
                  <c:v>6.52</c:v>
                </c:pt>
                <c:pt idx="16">
                  <c:v>6.24</c:v>
                </c:pt>
                <c:pt idx="17">
                  <c:v>4.56</c:v>
                </c:pt>
                <c:pt idx="18">
                  <c:v>4.72</c:v>
                </c:pt>
                <c:pt idx="19">
                  <c:v>6.66</c:v>
                </c:pt>
                <c:pt idx="20">
                  <c:v>8.69</c:v>
                </c:pt>
                <c:pt idx="21">
                  <c:v>7.26</c:v>
                </c:pt>
                <c:pt idx="22">
                  <c:v>5.46</c:v>
                </c:pt>
                <c:pt idx="23">
                  <c:v>3.73</c:v>
                </c:pt>
                <c:pt idx="24">
                  <c:v>5.47</c:v>
                </c:pt>
                <c:pt idx="25">
                  <c:v>5.19</c:v>
                </c:pt>
                <c:pt idx="26">
                  <c:v>8.44</c:v>
                </c:pt>
                <c:pt idx="27">
                  <c:v>9.92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'2'!$AQ$3:$AQ$34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76.9</c:v>
                </c:pt>
                <c:pt idx="20">
                  <c:v>29.6</c:v>
                </c:pt>
                <c:pt idx="21">
                  <c:v>18.8</c:v>
                </c:pt>
                <c:pt idx="22">
                  <c:v>0</c:v>
                </c:pt>
                <c:pt idx="23">
                  <c:v>73.3</c:v>
                </c:pt>
                <c:pt idx="24">
                  <c:v>0</c:v>
                </c:pt>
                <c:pt idx="25">
                  <c:v>0</c:v>
                </c:pt>
                <c:pt idx="26">
                  <c:v>56.6</c:v>
                </c:pt>
                <c:pt idx="27">
                  <c:v>61.5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0.03</c:v>
                </c:pt>
                <c:pt idx="20">
                  <c:v>0.13</c:v>
                </c:pt>
                <c:pt idx="21">
                  <c:v>0.05</c:v>
                </c:pt>
                <c:pt idx="22">
                  <c:v>0</c:v>
                </c:pt>
                <c:pt idx="23">
                  <c:v>0.13</c:v>
                </c:pt>
                <c:pt idx="24">
                  <c:v>0</c:v>
                </c:pt>
                <c:pt idx="25">
                  <c:v>0</c:v>
                </c:pt>
                <c:pt idx="26">
                  <c:v>0.01</c:v>
                </c:pt>
                <c:pt idx="27">
                  <c:v>0.19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09888"/>
        <c:axId val="210712064"/>
      </c:lineChart>
      <c:lineChart>
        <c:grouping val="standard"/>
        <c:varyColors val="0"/>
        <c:ser>
          <c:idx val="0"/>
          <c:order val="0"/>
          <c:tx>
            <c:strRef>
              <c:f>'2'!$AS$2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'2'!$AS$3:$AS$34</c:f>
              <c:numCache>
                <c:formatCode>0.0_);[Red]\(0.0\)</c:formatCode>
                <c:ptCount val="32"/>
                <c:pt idx="0">
                  <c:v>22.7</c:v>
                </c:pt>
                <c:pt idx="1">
                  <c:v>23.2</c:v>
                </c:pt>
                <c:pt idx="2">
                  <c:v>7.5</c:v>
                </c:pt>
                <c:pt idx="3">
                  <c:v>7.8</c:v>
                </c:pt>
                <c:pt idx="4">
                  <c:v>19.9</c:v>
                </c:pt>
                <c:pt idx="5">
                  <c:v>25.6</c:v>
                </c:pt>
                <c:pt idx="6">
                  <c:v>30.2</c:v>
                </c:pt>
                <c:pt idx="7">
                  <c:v>22.9</c:v>
                </c:pt>
                <c:pt idx="8">
                  <c:v>23.4</c:v>
                </c:pt>
                <c:pt idx="9">
                  <c:v>16.3</c:v>
                </c:pt>
                <c:pt idx="10">
                  <c:v>12.2</c:v>
                </c:pt>
                <c:pt idx="11">
                  <c:v>11.8</c:v>
                </c:pt>
                <c:pt idx="12">
                  <c:v>16.6</c:v>
                </c:pt>
                <c:pt idx="13">
                  <c:v>20</c:v>
                </c:pt>
                <c:pt idx="14">
                  <c:v>19.9</c:v>
                </c:pt>
                <c:pt idx="15">
                  <c:v>18.9</c:v>
                </c:pt>
                <c:pt idx="16">
                  <c:v>18.1</c:v>
                </c:pt>
                <c:pt idx="17">
                  <c:v>12.8</c:v>
                </c:pt>
                <c:pt idx="18">
                  <c:v>13.6</c:v>
                </c:pt>
                <c:pt idx="19">
                  <c:v>19.3</c:v>
                </c:pt>
                <c:pt idx="20">
                  <c:v>26.4</c:v>
                </c:pt>
                <c:pt idx="21">
                  <c:v>20.8</c:v>
                </c:pt>
                <c:pt idx="22">
                  <c:v>15.4</c:v>
                </c:pt>
                <c:pt idx="23">
                  <c:v>11.8</c:v>
                </c:pt>
                <c:pt idx="24">
                  <c:v>15.1</c:v>
                </c:pt>
                <c:pt idx="25">
                  <c:v>15</c:v>
                </c:pt>
                <c:pt idx="26">
                  <c:v>24.2</c:v>
                </c:pt>
                <c:pt idx="27">
                  <c:v>28.6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13600"/>
        <c:axId val="210731776"/>
      </c:lineChart>
      <c:catAx>
        <c:axId val="21070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712064"/>
        <c:crosses val="autoZero"/>
        <c:auto val="1"/>
        <c:lblAlgn val="ctr"/>
        <c:lblOffset val="100"/>
        <c:noMultiLvlLbl val="0"/>
      </c:catAx>
      <c:valAx>
        <c:axId val="2107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709888"/>
        <c:crosses val="autoZero"/>
        <c:crossBetween val="between"/>
      </c:valAx>
      <c:catAx>
        <c:axId val="210713600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731776"/>
        <c:crosses val="autoZero"/>
        <c:auto val="1"/>
        <c:lblAlgn val="ctr"/>
        <c:lblOffset val="100"/>
        <c:noMultiLvlLbl val="0"/>
      </c:catAx>
      <c:valAx>
        <c:axId val="210731776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71360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'3'!$AT$2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'3'!$AT$3:$AT$34</c:f>
              <c:numCache>
                <c:formatCode>General</c:formatCode>
                <c:ptCount val="32"/>
                <c:pt idx="0">
                  <c:v>8.89</c:v>
                </c:pt>
                <c:pt idx="1">
                  <c:v>9.39</c:v>
                </c:pt>
                <c:pt idx="2">
                  <c:v>6.48</c:v>
                </c:pt>
                <c:pt idx="3">
                  <c:v>4.61</c:v>
                </c:pt>
                <c:pt idx="4">
                  <c:v>4.58</c:v>
                </c:pt>
                <c:pt idx="5">
                  <c:v>5.92</c:v>
                </c:pt>
                <c:pt idx="6">
                  <c:v>9.08</c:v>
                </c:pt>
                <c:pt idx="7">
                  <c:v>5.64</c:v>
                </c:pt>
                <c:pt idx="8">
                  <c:v>11.24</c:v>
                </c:pt>
                <c:pt idx="9">
                  <c:v>10.45</c:v>
                </c:pt>
                <c:pt idx="10">
                  <c:v>8.2</c:v>
                </c:pt>
                <c:pt idx="11">
                  <c:v>4.79</c:v>
                </c:pt>
                <c:pt idx="12">
                  <c:v>6.35</c:v>
                </c:pt>
                <c:pt idx="13">
                  <c:v>10.68</c:v>
                </c:pt>
                <c:pt idx="14">
                  <c:v>10.82</c:v>
                </c:pt>
                <c:pt idx="15">
                  <c:v>9.69</c:v>
                </c:pt>
                <c:pt idx="16">
                  <c:v>8.93</c:v>
                </c:pt>
                <c:pt idx="17">
                  <c:v>6.68</c:v>
                </c:pt>
                <c:pt idx="18">
                  <c:v>4.18</c:v>
                </c:pt>
                <c:pt idx="19">
                  <c:v>3.42</c:v>
                </c:pt>
                <c:pt idx="20">
                  <c:v>3.62</c:v>
                </c:pt>
                <c:pt idx="21">
                  <c:v>4.16</c:v>
                </c:pt>
                <c:pt idx="22">
                  <c:v>4.65</c:v>
                </c:pt>
                <c:pt idx="23">
                  <c:v>4.51</c:v>
                </c:pt>
                <c:pt idx="24">
                  <c:v>4.64</c:v>
                </c:pt>
                <c:pt idx="25">
                  <c:v>4.53</c:v>
                </c:pt>
                <c:pt idx="26">
                  <c:v>6.8</c:v>
                </c:pt>
                <c:pt idx="27">
                  <c:v>9.22</c:v>
                </c:pt>
                <c:pt idx="28">
                  <c:v>7.68</c:v>
                </c:pt>
                <c:pt idx="29">
                  <c:v>7.61</c:v>
                </c:pt>
                <c:pt idx="30">
                  <c:v>7.1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'3'!$AQ$3:$AQ$34</c:f>
              <c:numCache>
                <c:formatCode>General</c:formatCode>
                <c:ptCount val="32"/>
                <c:pt idx="0">
                  <c:v>17.4</c:v>
                </c:pt>
                <c:pt idx="1">
                  <c:v>64.6</c:v>
                </c:pt>
                <c:pt idx="2">
                  <c:v>64.1</c:v>
                </c:pt>
                <c:pt idx="3">
                  <c:v>0.2</c:v>
                </c:pt>
                <c:pt idx="4">
                  <c:v>0</c:v>
                </c:pt>
                <c:pt idx="5">
                  <c:v>3.4</c:v>
                </c:pt>
                <c:pt idx="6">
                  <c:v>88.2</c:v>
                </c:pt>
                <c:pt idx="7">
                  <c:v>0</c:v>
                </c:pt>
                <c:pt idx="8">
                  <c:v>121.7</c:v>
                </c:pt>
                <c:pt idx="9">
                  <c:v>50.7</c:v>
                </c:pt>
                <c:pt idx="10">
                  <c:v>0</c:v>
                </c:pt>
                <c:pt idx="11">
                  <c:v>7.6</c:v>
                </c:pt>
                <c:pt idx="12">
                  <c:v>57.7</c:v>
                </c:pt>
                <c:pt idx="13">
                  <c:v>0</c:v>
                </c:pt>
                <c:pt idx="14">
                  <c:v>15.7</c:v>
                </c:pt>
                <c:pt idx="15">
                  <c:v>11.8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0.6</c:v>
                </c:pt>
                <c:pt idx="27">
                  <c:v>0</c:v>
                </c:pt>
                <c:pt idx="28">
                  <c:v>0</c:v>
                </c:pt>
                <c:pt idx="29">
                  <c:v>21.2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'3'!$AR$3:$AR$34</c:f>
              <c:numCache>
                <c:formatCode>General</c:formatCode>
                <c:ptCount val="32"/>
                <c:pt idx="0">
                  <c:v>0.07</c:v>
                </c:pt>
                <c:pt idx="1">
                  <c:v>0.32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0.39</c:v>
                </c:pt>
                <c:pt idx="7">
                  <c:v>0</c:v>
                </c:pt>
                <c:pt idx="8">
                  <c:v>0.3</c:v>
                </c:pt>
                <c:pt idx="9">
                  <c:v>0.38</c:v>
                </c:pt>
                <c:pt idx="10">
                  <c:v>0</c:v>
                </c:pt>
                <c:pt idx="11">
                  <c:v>0.05</c:v>
                </c:pt>
                <c:pt idx="12">
                  <c:v>0.14</c:v>
                </c:pt>
                <c:pt idx="13">
                  <c:v>0</c:v>
                </c:pt>
                <c:pt idx="14">
                  <c:v>0.1</c:v>
                </c:pt>
                <c:pt idx="15">
                  <c:v>0.08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25280"/>
        <c:axId val="210627200"/>
      </c:lineChart>
      <c:lineChart>
        <c:grouping val="standard"/>
        <c:varyColors val="0"/>
        <c:ser>
          <c:idx val="0"/>
          <c:order val="0"/>
          <c:tx>
            <c:strRef>
              <c:f>'3'!$AS$2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'3'!$AS$3:$AS$34</c:f>
              <c:numCache>
                <c:formatCode>0.0_);[Red]\(0.0\)</c:formatCode>
                <c:ptCount val="32"/>
                <c:pt idx="0">
                  <c:v>25.1</c:v>
                </c:pt>
                <c:pt idx="1">
                  <c:v>28.2</c:v>
                </c:pt>
                <c:pt idx="2">
                  <c:v>18.4</c:v>
                </c:pt>
                <c:pt idx="3">
                  <c:v>12.8</c:v>
                </c:pt>
                <c:pt idx="4">
                  <c:v>12.8</c:v>
                </c:pt>
                <c:pt idx="5">
                  <c:v>17.9</c:v>
                </c:pt>
                <c:pt idx="6">
                  <c:v>26</c:v>
                </c:pt>
                <c:pt idx="7">
                  <c:v>15.9</c:v>
                </c:pt>
                <c:pt idx="8">
                  <c:v>32.4</c:v>
                </c:pt>
                <c:pt idx="9">
                  <c:v>30.5</c:v>
                </c:pt>
                <c:pt idx="10">
                  <c:v>24.6</c:v>
                </c:pt>
                <c:pt idx="11">
                  <c:v>13.4</c:v>
                </c:pt>
                <c:pt idx="12">
                  <c:v>18.4</c:v>
                </c:pt>
                <c:pt idx="13">
                  <c:v>32.4</c:v>
                </c:pt>
                <c:pt idx="14">
                  <c:v>31.6</c:v>
                </c:pt>
                <c:pt idx="15">
                  <c:v>28.3</c:v>
                </c:pt>
                <c:pt idx="16">
                  <c:v>25.7</c:v>
                </c:pt>
                <c:pt idx="17">
                  <c:v>19.4</c:v>
                </c:pt>
                <c:pt idx="18">
                  <c:v>12.7</c:v>
                </c:pt>
                <c:pt idx="19">
                  <c:v>10.8</c:v>
                </c:pt>
                <c:pt idx="20">
                  <c:v>10.4</c:v>
                </c:pt>
                <c:pt idx="21">
                  <c:v>13.1</c:v>
                </c:pt>
                <c:pt idx="22">
                  <c:v>14.5</c:v>
                </c:pt>
                <c:pt idx="23">
                  <c:v>13.7</c:v>
                </c:pt>
                <c:pt idx="24">
                  <c:v>14.4</c:v>
                </c:pt>
                <c:pt idx="25">
                  <c:v>14.1</c:v>
                </c:pt>
                <c:pt idx="26">
                  <c:v>20.8</c:v>
                </c:pt>
                <c:pt idx="27">
                  <c:v>28</c:v>
                </c:pt>
                <c:pt idx="28">
                  <c:v>23.1</c:v>
                </c:pt>
                <c:pt idx="29">
                  <c:v>21.8</c:v>
                </c:pt>
                <c:pt idx="30">
                  <c:v>20.3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80544"/>
        <c:axId val="210782080"/>
      </c:lineChart>
      <c:catAx>
        <c:axId val="21062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627200"/>
        <c:crosses val="autoZero"/>
        <c:auto val="1"/>
        <c:lblAlgn val="ctr"/>
        <c:lblOffset val="100"/>
        <c:noMultiLvlLbl val="0"/>
      </c:catAx>
      <c:valAx>
        <c:axId val="21062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625280"/>
        <c:crosses val="autoZero"/>
        <c:crossBetween val="between"/>
      </c:valAx>
      <c:catAx>
        <c:axId val="210780544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782080"/>
        <c:crosses val="autoZero"/>
        <c:auto val="1"/>
        <c:lblAlgn val="ctr"/>
        <c:lblOffset val="100"/>
        <c:noMultiLvlLbl val="0"/>
      </c:catAx>
      <c:valAx>
        <c:axId val="210782080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78054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'4'!$AT$2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'4'!$AT$3:$AT$34</c:f>
              <c:numCache>
                <c:formatCode>General</c:formatCode>
                <c:ptCount val="32"/>
                <c:pt idx="0">
                  <c:v>6.36</c:v>
                </c:pt>
                <c:pt idx="1">
                  <c:v>5.81</c:v>
                </c:pt>
                <c:pt idx="2">
                  <c:v>5.29</c:v>
                </c:pt>
                <c:pt idx="3">
                  <c:v>4.24</c:v>
                </c:pt>
                <c:pt idx="4">
                  <c:v>5.16</c:v>
                </c:pt>
                <c:pt idx="5">
                  <c:v>8.63</c:v>
                </c:pt>
                <c:pt idx="6">
                  <c:v>8.15</c:v>
                </c:pt>
                <c:pt idx="7">
                  <c:v>5.19</c:v>
                </c:pt>
                <c:pt idx="8">
                  <c:v>5.43</c:v>
                </c:pt>
                <c:pt idx="9">
                  <c:v>10.36</c:v>
                </c:pt>
                <c:pt idx="10">
                  <c:v>8.96</c:v>
                </c:pt>
                <c:pt idx="11">
                  <c:v>7.43</c:v>
                </c:pt>
                <c:pt idx="12">
                  <c:v>6.01</c:v>
                </c:pt>
                <c:pt idx="13">
                  <c:v>8.29</c:v>
                </c:pt>
                <c:pt idx="14">
                  <c:v>5.08</c:v>
                </c:pt>
                <c:pt idx="15">
                  <c:v>4.4</c:v>
                </c:pt>
                <c:pt idx="16">
                  <c:v>7.53</c:v>
                </c:pt>
                <c:pt idx="17">
                  <c:v>8.14</c:v>
                </c:pt>
                <c:pt idx="18">
                  <c:v>8.01</c:v>
                </c:pt>
                <c:pt idx="19">
                  <c:v>8.84</c:v>
                </c:pt>
                <c:pt idx="20">
                  <c:v>6.95</c:v>
                </c:pt>
                <c:pt idx="21">
                  <c:v>4.44</c:v>
                </c:pt>
                <c:pt idx="22">
                  <c:v>9.14</c:v>
                </c:pt>
                <c:pt idx="23">
                  <c:v>10.16</c:v>
                </c:pt>
                <c:pt idx="24">
                  <c:v>6.07</c:v>
                </c:pt>
                <c:pt idx="25">
                  <c:v>8.96</c:v>
                </c:pt>
                <c:pt idx="26">
                  <c:v>6.11</c:v>
                </c:pt>
                <c:pt idx="27">
                  <c:v>4.84</c:v>
                </c:pt>
                <c:pt idx="28">
                  <c:v>4.27</c:v>
                </c:pt>
                <c:pt idx="29">
                  <c:v>3.69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'4'!$AQ$2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'4'!$AQ$3:$AQ$34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124.4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18.6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16.8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'4'!$AR$2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35712"/>
        <c:axId val="210841600"/>
      </c:lineChart>
      <c:lineChart>
        <c:grouping val="standard"/>
        <c:varyColors val="0"/>
        <c:ser>
          <c:idx val="0"/>
          <c:order val="0"/>
          <c:tx>
            <c:strRef>
              <c:f>'4'!$AS$2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'4'!$AS$3:$AS$34</c:f>
              <c:numCache>
                <c:formatCode>0.0_);[Red]\(0.0\)</c:formatCode>
                <c:ptCount val="32"/>
                <c:pt idx="0">
                  <c:v>19.2</c:v>
                </c:pt>
                <c:pt idx="1">
                  <c:v>17.5</c:v>
                </c:pt>
                <c:pt idx="2">
                  <c:v>16.3</c:v>
                </c:pt>
                <c:pt idx="3">
                  <c:v>13.3</c:v>
                </c:pt>
                <c:pt idx="4">
                  <c:v>15.6</c:v>
                </c:pt>
                <c:pt idx="5">
                  <c:v>25.9</c:v>
                </c:pt>
                <c:pt idx="6">
                  <c:v>24.5</c:v>
                </c:pt>
                <c:pt idx="7">
                  <c:v>15.7</c:v>
                </c:pt>
                <c:pt idx="8">
                  <c:v>15.4</c:v>
                </c:pt>
                <c:pt idx="9">
                  <c:v>29.9</c:v>
                </c:pt>
                <c:pt idx="10">
                  <c:v>25.8</c:v>
                </c:pt>
                <c:pt idx="11">
                  <c:v>21.2</c:v>
                </c:pt>
                <c:pt idx="12">
                  <c:v>17.1</c:v>
                </c:pt>
                <c:pt idx="13">
                  <c:v>24.9</c:v>
                </c:pt>
                <c:pt idx="14">
                  <c:v>14.3</c:v>
                </c:pt>
                <c:pt idx="15">
                  <c:v>12.7</c:v>
                </c:pt>
                <c:pt idx="16">
                  <c:v>22.6</c:v>
                </c:pt>
                <c:pt idx="17">
                  <c:v>23.7</c:v>
                </c:pt>
                <c:pt idx="18">
                  <c:v>23</c:v>
                </c:pt>
                <c:pt idx="19">
                  <c:v>25.8</c:v>
                </c:pt>
                <c:pt idx="20">
                  <c:v>20.2</c:v>
                </c:pt>
                <c:pt idx="21">
                  <c:v>12.4</c:v>
                </c:pt>
                <c:pt idx="22">
                  <c:v>26.3</c:v>
                </c:pt>
                <c:pt idx="23">
                  <c:v>30.4</c:v>
                </c:pt>
                <c:pt idx="24">
                  <c:v>17.3</c:v>
                </c:pt>
                <c:pt idx="25">
                  <c:v>26.2</c:v>
                </c:pt>
                <c:pt idx="26">
                  <c:v>17.7</c:v>
                </c:pt>
                <c:pt idx="27">
                  <c:v>13.6</c:v>
                </c:pt>
                <c:pt idx="28">
                  <c:v>12</c:v>
                </c:pt>
                <c:pt idx="29">
                  <c:v>10.2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43136"/>
        <c:axId val="210844672"/>
      </c:lineChart>
      <c:catAx>
        <c:axId val="21083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841600"/>
        <c:crosses val="autoZero"/>
        <c:auto val="1"/>
        <c:lblAlgn val="ctr"/>
        <c:lblOffset val="100"/>
        <c:noMultiLvlLbl val="0"/>
      </c:catAx>
      <c:valAx>
        <c:axId val="2108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835712"/>
        <c:crosses val="autoZero"/>
        <c:crossBetween val="between"/>
      </c:valAx>
      <c:catAx>
        <c:axId val="210843136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844672"/>
        <c:crosses val="autoZero"/>
        <c:auto val="1"/>
        <c:lblAlgn val="ctr"/>
        <c:lblOffset val="100"/>
        <c:noMultiLvlLbl val="0"/>
      </c:catAx>
      <c:valAx>
        <c:axId val="210844672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84313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'5'!$AT$2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'5'!$AT$3:$AT$34</c:f>
              <c:numCache>
                <c:formatCode>General</c:formatCode>
                <c:ptCount val="32"/>
                <c:pt idx="0">
                  <c:v>3.01</c:v>
                </c:pt>
                <c:pt idx="1">
                  <c:v>3.75</c:v>
                </c:pt>
                <c:pt idx="2">
                  <c:v>3.72</c:v>
                </c:pt>
                <c:pt idx="3">
                  <c:v>7.39</c:v>
                </c:pt>
                <c:pt idx="4">
                  <c:v>6.99</c:v>
                </c:pt>
                <c:pt idx="5">
                  <c:v>8.25</c:v>
                </c:pt>
                <c:pt idx="6">
                  <c:v>4.3</c:v>
                </c:pt>
                <c:pt idx="7">
                  <c:v>6.32</c:v>
                </c:pt>
                <c:pt idx="8">
                  <c:v>8.12</c:v>
                </c:pt>
                <c:pt idx="9">
                  <c:v>11.05</c:v>
                </c:pt>
                <c:pt idx="10">
                  <c:v>9</c:v>
                </c:pt>
                <c:pt idx="11">
                  <c:v>8.57</c:v>
                </c:pt>
                <c:pt idx="12">
                  <c:v>4.85</c:v>
                </c:pt>
                <c:pt idx="13">
                  <c:v>3.15</c:v>
                </c:pt>
                <c:pt idx="14">
                  <c:v>8.69</c:v>
                </c:pt>
                <c:pt idx="15">
                  <c:v>10.01</c:v>
                </c:pt>
                <c:pt idx="16">
                  <c:v>9.86</c:v>
                </c:pt>
                <c:pt idx="17">
                  <c:v>8.78</c:v>
                </c:pt>
                <c:pt idx="18">
                  <c:v>9.01</c:v>
                </c:pt>
                <c:pt idx="19">
                  <c:v>5.14</c:v>
                </c:pt>
                <c:pt idx="20">
                  <c:v>4.07</c:v>
                </c:pt>
                <c:pt idx="21">
                  <c:v>8.05</c:v>
                </c:pt>
                <c:pt idx="22">
                  <c:v>11.47</c:v>
                </c:pt>
                <c:pt idx="23">
                  <c:v>7.81</c:v>
                </c:pt>
                <c:pt idx="24">
                  <c:v>6.97</c:v>
                </c:pt>
                <c:pt idx="25">
                  <c:v>9.26</c:v>
                </c:pt>
                <c:pt idx="26">
                  <c:v>7.06</c:v>
                </c:pt>
                <c:pt idx="27">
                  <c:v>5.42</c:v>
                </c:pt>
                <c:pt idx="28">
                  <c:v>8.18</c:v>
                </c:pt>
                <c:pt idx="29">
                  <c:v>10.41</c:v>
                </c:pt>
                <c:pt idx="30">
                  <c:v>8.12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'5'!$AQ$2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'5'!$AQ$3:$AQ$34</c:f>
              <c:numCache>
                <c:formatCode>General</c:formatCode>
                <c:ptCount val="32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0.4</c:v>
                </c:pt>
                <c:pt idx="21">
                  <c:v>70.5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26.4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'5'!$AR$2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0.14</c:v>
                </c:pt>
                <c:pt idx="21">
                  <c:v>0.35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91744"/>
        <c:axId val="211006208"/>
      </c:lineChart>
      <c:lineChart>
        <c:grouping val="standard"/>
        <c:varyColors val="0"/>
        <c:ser>
          <c:idx val="0"/>
          <c:order val="0"/>
          <c:tx>
            <c:strRef>
              <c:f>'5'!$AS$2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'5'!$AS$3:$AS$34</c:f>
              <c:numCache>
                <c:formatCode>0.0_);[Red]\(0.0\)</c:formatCode>
                <c:ptCount val="32"/>
                <c:pt idx="0">
                  <c:v>8.6</c:v>
                </c:pt>
                <c:pt idx="1">
                  <c:v>11.4</c:v>
                </c:pt>
                <c:pt idx="2">
                  <c:v>10.3</c:v>
                </c:pt>
                <c:pt idx="3">
                  <c:v>21.2</c:v>
                </c:pt>
                <c:pt idx="4">
                  <c:v>20</c:v>
                </c:pt>
                <c:pt idx="5">
                  <c:v>24.1</c:v>
                </c:pt>
                <c:pt idx="6">
                  <c:v>12.4</c:v>
                </c:pt>
                <c:pt idx="7">
                  <c:v>18</c:v>
                </c:pt>
                <c:pt idx="8">
                  <c:v>23.2</c:v>
                </c:pt>
                <c:pt idx="9">
                  <c:v>31.8</c:v>
                </c:pt>
                <c:pt idx="10">
                  <c:v>26.2</c:v>
                </c:pt>
                <c:pt idx="11">
                  <c:v>24.5</c:v>
                </c:pt>
                <c:pt idx="12">
                  <c:v>13.4</c:v>
                </c:pt>
                <c:pt idx="13">
                  <c:v>8.6</c:v>
                </c:pt>
                <c:pt idx="14">
                  <c:v>24.8</c:v>
                </c:pt>
                <c:pt idx="15">
                  <c:v>28.7</c:v>
                </c:pt>
                <c:pt idx="16">
                  <c:v>28.3</c:v>
                </c:pt>
                <c:pt idx="17">
                  <c:v>22.8</c:v>
                </c:pt>
                <c:pt idx="18">
                  <c:v>27.7</c:v>
                </c:pt>
                <c:pt idx="19">
                  <c:v>14.2</c:v>
                </c:pt>
                <c:pt idx="20">
                  <c:v>11.2</c:v>
                </c:pt>
                <c:pt idx="21">
                  <c:v>22.9</c:v>
                </c:pt>
                <c:pt idx="22">
                  <c:v>34.8</c:v>
                </c:pt>
                <c:pt idx="23">
                  <c:v>22.7</c:v>
                </c:pt>
                <c:pt idx="24">
                  <c:v>19.8</c:v>
                </c:pt>
                <c:pt idx="25">
                  <c:v>27.8</c:v>
                </c:pt>
                <c:pt idx="26">
                  <c:v>20.1</c:v>
                </c:pt>
                <c:pt idx="27">
                  <c:v>15.2</c:v>
                </c:pt>
                <c:pt idx="28">
                  <c:v>23.4</c:v>
                </c:pt>
                <c:pt idx="29">
                  <c:v>30</c:v>
                </c:pt>
                <c:pt idx="30">
                  <c:v>23.2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07744"/>
        <c:axId val="211009536"/>
      </c:lineChart>
      <c:catAx>
        <c:axId val="21099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006208"/>
        <c:crosses val="autoZero"/>
        <c:auto val="1"/>
        <c:lblAlgn val="ctr"/>
        <c:lblOffset val="100"/>
        <c:noMultiLvlLbl val="0"/>
      </c:catAx>
      <c:valAx>
        <c:axId val="21100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991744"/>
        <c:crosses val="autoZero"/>
        <c:crossBetween val="between"/>
      </c:valAx>
      <c:catAx>
        <c:axId val="211007744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1009536"/>
        <c:crosses val="autoZero"/>
        <c:auto val="1"/>
        <c:lblAlgn val="ctr"/>
        <c:lblOffset val="100"/>
        <c:noMultiLvlLbl val="0"/>
      </c:catAx>
      <c:valAx>
        <c:axId val="211009536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00774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'6'!$AT$2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'6'!$AT$3:$AT$34</c:f>
              <c:numCache>
                <c:formatCode>General</c:formatCode>
                <c:ptCount val="32"/>
                <c:pt idx="0">
                  <c:v>5.21</c:v>
                </c:pt>
                <c:pt idx="1">
                  <c:v>6.17</c:v>
                </c:pt>
                <c:pt idx="2">
                  <c:v>4.14</c:v>
                </c:pt>
                <c:pt idx="3">
                  <c:v>3.57</c:v>
                </c:pt>
                <c:pt idx="4">
                  <c:v>5.68</c:v>
                </c:pt>
                <c:pt idx="5">
                  <c:v>9.8</c:v>
                </c:pt>
                <c:pt idx="6">
                  <c:v>8.83</c:v>
                </c:pt>
                <c:pt idx="7">
                  <c:v>4.88</c:v>
                </c:pt>
                <c:pt idx="8">
                  <c:v>6.63</c:v>
                </c:pt>
                <c:pt idx="9">
                  <c:v>4.39</c:v>
                </c:pt>
                <c:pt idx="10">
                  <c:v>3.91</c:v>
                </c:pt>
                <c:pt idx="11">
                  <c:v>7.21</c:v>
                </c:pt>
                <c:pt idx="12">
                  <c:v>10.52</c:v>
                </c:pt>
                <c:pt idx="13">
                  <c:v>9.43</c:v>
                </c:pt>
                <c:pt idx="14">
                  <c:v>9.7</c:v>
                </c:pt>
                <c:pt idx="15">
                  <c:v>5.91</c:v>
                </c:pt>
                <c:pt idx="16">
                  <c:v>3.15</c:v>
                </c:pt>
                <c:pt idx="17">
                  <c:v>1.78</c:v>
                </c:pt>
                <c:pt idx="18">
                  <c:v>4.51</c:v>
                </c:pt>
                <c:pt idx="19">
                  <c:v>9.49</c:v>
                </c:pt>
                <c:pt idx="20">
                  <c:v>6.15</c:v>
                </c:pt>
                <c:pt idx="21">
                  <c:v>4.97</c:v>
                </c:pt>
                <c:pt idx="22">
                  <c:v>6.72</c:v>
                </c:pt>
                <c:pt idx="23">
                  <c:v>4.81</c:v>
                </c:pt>
                <c:pt idx="24">
                  <c:v>2.89</c:v>
                </c:pt>
                <c:pt idx="25">
                  <c:v>5.69</c:v>
                </c:pt>
                <c:pt idx="26">
                  <c:v>9.08</c:v>
                </c:pt>
                <c:pt idx="27">
                  <c:v>7.55</c:v>
                </c:pt>
                <c:pt idx="28">
                  <c:v>7.82</c:v>
                </c:pt>
                <c:pt idx="29">
                  <c:v>6.58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'6'!$AQ$2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'6'!$AQ$3:$AQ$34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6.9</c:v>
                </c:pt>
                <c:pt idx="14">
                  <c:v>0.2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'6'!$AR$2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357696"/>
        <c:axId val="211359616"/>
      </c:lineChart>
      <c:lineChart>
        <c:grouping val="standard"/>
        <c:varyColors val="0"/>
        <c:ser>
          <c:idx val="0"/>
          <c:order val="0"/>
          <c:tx>
            <c:strRef>
              <c:f>'6'!$AS$2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'6'!$AS$3:$AS$34</c:f>
              <c:numCache>
                <c:formatCode>0.0_);[Red]\(0.0\)</c:formatCode>
                <c:ptCount val="32"/>
                <c:pt idx="0">
                  <c:v>14.7</c:v>
                </c:pt>
                <c:pt idx="1">
                  <c:v>19</c:v>
                </c:pt>
                <c:pt idx="2">
                  <c:v>10.9</c:v>
                </c:pt>
                <c:pt idx="3">
                  <c:v>9.8</c:v>
                </c:pt>
                <c:pt idx="4">
                  <c:v>16.1</c:v>
                </c:pt>
                <c:pt idx="5">
                  <c:v>29.7</c:v>
                </c:pt>
                <c:pt idx="6">
                  <c:v>25.8</c:v>
                </c:pt>
                <c:pt idx="7">
                  <c:v>13.8</c:v>
                </c:pt>
                <c:pt idx="8">
                  <c:v>20.3</c:v>
                </c:pt>
                <c:pt idx="9">
                  <c:v>13.4</c:v>
                </c:pt>
                <c:pt idx="10">
                  <c:v>10.8</c:v>
                </c:pt>
                <c:pt idx="11">
                  <c:v>20.4</c:v>
                </c:pt>
                <c:pt idx="12">
                  <c:v>33.1</c:v>
                </c:pt>
                <c:pt idx="13">
                  <c:v>27.1</c:v>
                </c:pt>
                <c:pt idx="14">
                  <c:v>29.5</c:v>
                </c:pt>
                <c:pt idx="15">
                  <c:v>17.8</c:v>
                </c:pt>
                <c:pt idx="16">
                  <c:v>8.6</c:v>
                </c:pt>
                <c:pt idx="17">
                  <c:v>4.6</c:v>
                </c:pt>
                <c:pt idx="18">
                  <c:v>12.3</c:v>
                </c:pt>
                <c:pt idx="19">
                  <c:v>28.5</c:v>
                </c:pt>
                <c:pt idx="20">
                  <c:v>17.5</c:v>
                </c:pt>
                <c:pt idx="21">
                  <c:v>13.7</c:v>
                </c:pt>
                <c:pt idx="22">
                  <c:v>20.6</c:v>
                </c:pt>
                <c:pt idx="23">
                  <c:v>13.9</c:v>
                </c:pt>
                <c:pt idx="24">
                  <c:v>7.9</c:v>
                </c:pt>
                <c:pt idx="25">
                  <c:v>16.1</c:v>
                </c:pt>
                <c:pt idx="26">
                  <c:v>27.2</c:v>
                </c:pt>
                <c:pt idx="27">
                  <c:v>21.3</c:v>
                </c:pt>
                <c:pt idx="28">
                  <c:v>23.8</c:v>
                </c:pt>
                <c:pt idx="29">
                  <c:v>19.1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361152"/>
        <c:axId val="211362944"/>
      </c:lineChart>
      <c:catAx>
        <c:axId val="2113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359616"/>
        <c:crosses val="autoZero"/>
        <c:auto val="1"/>
        <c:lblAlgn val="ctr"/>
        <c:lblOffset val="100"/>
        <c:noMultiLvlLbl val="0"/>
      </c:catAx>
      <c:valAx>
        <c:axId val="2113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357696"/>
        <c:crosses val="autoZero"/>
        <c:crossBetween val="between"/>
      </c:valAx>
      <c:catAx>
        <c:axId val="21136115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1362944"/>
        <c:crosses val="autoZero"/>
        <c:auto val="1"/>
        <c:lblAlgn val="ctr"/>
        <c:lblOffset val="100"/>
        <c:noMultiLvlLbl val="0"/>
      </c:catAx>
      <c:valAx>
        <c:axId val="211362944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36115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'7'!$AV$2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'7'!$AV$3:$AV$34</c:f>
              <c:numCache>
                <c:formatCode>General</c:formatCode>
                <c:ptCount val="32"/>
                <c:pt idx="0">
                  <c:v>3.32</c:v>
                </c:pt>
                <c:pt idx="1">
                  <c:v>3.46</c:v>
                </c:pt>
                <c:pt idx="2">
                  <c:v>5.09</c:v>
                </c:pt>
                <c:pt idx="3">
                  <c:v>10.19</c:v>
                </c:pt>
                <c:pt idx="4">
                  <c:v>8.29</c:v>
                </c:pt>
                <c:pt idx="5">
                  <c:v>6.91</c:v>
                </c:pt>
                <c:pt idx="6">
                  <c:v>6.53</c:v>
                </c:pt>
                <c:pt idx="7">
                  <c:v>4.36</c:v>
                </c:pt>
                <c:pt idx="8">
                  <c:v>2.42</c:v>
                </c:pt>
                <c:pt idx="9">
                  <c:v>5.08</c:v>
                </c:pt>
                <c:pt idx="10">
                  <c:v>9.87</c:v>
                </c:pt>
                <c:pt idx="11">
                  <c:v>6.39</c:v>
                </c:pt>
                <c:pt idx="12">
                  <c:v>4.66</c:v>
                </c:pt>
                <c:pt idx="13">
                  <c:v>4.87</c:v>
                </c:pt>
                <c:pt idx="14">
                  <c:v>3.71</c:v>
                </c:pt>
                <c:pt idx="15">
                  <c:v>3.92</c:v>
                </c:pt>
                <c:pt idx="16">
                  <c:v>5.16</c:v>
                </c:pt>
                <c:pt idx="17">
                  <c:v>9.09</c:v>
                </c:pt>
                <c:pt idx="18">
                  <c:v>8.82</c:v>
                </c:pt>
                <c:pt idx="19">
                  <c:v>8.6</c:v>
                </c:pt>
                <c:pt idx="20">
                  <c:v>5.99</c:v>
                </c:pt>
                <c:pt idx="21">
                  <c:v>4.26</c:v>
                </c:pt>
                <c:pt idx="22">
                  <c:v>2.57</c:v>
                </c:pt>
                <c:pt idx="23">
                  <c:v>6.51</c:v>
                </c:pt>
                <c:pt idx="24">
                  <c:v>9.54</c:v>
                </c:pt>
                <c:pt idx="25">
                  <c:v>7.3</c:v>
                </c:pt>
                <c:pt idx="26">
                  <c:v>7.73</c:v>
                </c:pt>
                <c:pt idx="27">
                  <c:v>7.26</c:v>
                </c:pt>
                <c:pt idx="28">
                  <c:v>3.74</c:v>
                </c:pt>
                <c:pt idx="29">
                  <c:v>2.6</c:v>
                </c:pt>
                <c:pt idx="30">
                  <c:v>7.66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'7'!$AS$2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'7'!$AS$3:$AS$34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33.4</c:v>
                </c:pt>
                <c:pt idx="21">
                  <c:v>26</c:v>
                </c:pt>
                <c:pt idx="22">
                  <c:v>50.1</c:v>
                </c:pt>
                <c:pt idx="23">
                  <c:v>59</c:v>
                </c:pt>
                <c:pt idx="24">
                  <c:v>0.2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94.8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'7'!$AT$2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'7'!$AT$3:$AT$34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0.04</c:v>
                </c:pt>
                <c:pt idx="21">
                  <c:v>0.08</c:v>
                </c:pt>
                <c:pt idx="22">
                  <c:v>0.13</c:v>
                </c:pt>
                <c:pt idx="23">
                  <c:v>0.24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0.09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94016"/>
        <c:axId val="211495552"/>
      </c:lineChart>
      <c:lineChart>
        <c:grouping val="standard"/>
        <c:varyColors val="0"/>
        <c:ser>
          <c:idx val="0"/>
          <c:order val="0"/>
          <c:tx>
            <c:strRef>
              <c:f>'7'!$AU$2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'7'!$AU$3:$AU$34</c:f>
              <c:numCache>
                <c:formatCode>0.0_);[Red]\(0.0\)</c:formatCode>
                <c:ptCount val="32"/>
                <c:pt idx="0">
                  <c:v>9.1</c:v>
                </c:pt>
                <c:pt idx="1">
                  <c:v>9.5</c:v>
                </c:pt>
                <c:pt idx="2">
                  <c:v>14</c:v>
                </c:pt>
                <c:pt idx="3">
                  <c:v>29.3</c:v>
                </c:pt>
                <c:pt idx="4">
                  <c:v>23.8</c:v>
                </c:pt>
                <c:pt idx="5">
                  <c:v>19.7</c:v>
                </c:pt>
                <c:pt idx="6">
                  <c:v>18.6</c:v>
                </c:pt>
                <c:pt idx="7">
                  <c:v>12.5</c:v>
                </c:pt>
                <c:pt idx="8">
                  <c:v>6.5</c:v>
                </c:pt>
                <c:pt idx="9">
                  <c:v>14.3</c:v>
                </c:pt>
                <c:pt idx="10">
                  <c:v>29.9</c:v>
                </c:pt>
                <c:pt idx="11">
                  <c:v>18.2</c:v>
                </c:pt>
                <c:pt idx="12">
                  <c:v>12.7</c:v>
                </c:pt>
                <c:pt idx="13">
                  <c:v>13.7</c:v>
                </c:pt>
                <c:pt idx="14">
                  <c:v>10.3</c:v>
                </c:pt>
                <c:pt idx="15">
                  <c:v>10.9</c:v>
                </c:pt>
                <c:pt idx="16">
                  <c:v>14.6</c:v>
                </c:pt>
                <c:pt idx="17">
                  <c:v>27.2</c:v>
                </c:pt>
                <c:pt idx="18">
                  <c:v>25.7</c:v>
                </c:pt>
                <c:pt idx="19">
                  <c:v>24.7</c:v>
                </c:pt>
                <c:pt idx="20">
                  <c:v>17.4</c:v>
                </c:pt>
                <c:pt idx="21">
                  <c:v>11.9</c:v>
                </c:pt>
                <c:pt idx="22">
                  <c:v>6.8</c:v>
                </c:pt>
                <c:pt idx="23">
                  <c:v>18.4</c:v>
                </c:pt>
                <c:pt idx="24">
                  <c:v>27.9</c:v>
                </c:pt>
                <c:pt idx="25">
                  <c:v>20.9</c:v>
                </c:pt>
                <c:pt idx="26">
                  <c:v>23.6</c:v>
                </c:pt>
                <c:pt idx="27">
                  <c:v>20.7</c:v>
                </c:pt>
                <c:pt idx="28">
                  <c:v>10.3</c:v>
                </c:pt>
                <c:pt idx="29">
                  <c:v>7</c:v>
                </c:pt>
                <c:pt idx="30">
                  <c:v>23.3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09632"/>
        <c:axId val="211511168"/>
      </c:lineChart>
      <c:catAx>
        <c:axId val="21149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495552"/>
        <c:crosses val="autoZero"/>
        <c:auto val="1"/>
        <c:lblAlgn val="ctr"/>
        <c:lblOffset val="100"/>
        <c:noMultiLvlLbl val="0"/>
      </c:catAx>
      <c:valAx>
        <c:axId val="21149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494016"/>
        <c:crosses val="autoZero"/>
        <c:crossBetween val="between"/>
      </c:valAx>
      <c:catAx>
        <c:axId val="21150963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1511168"/>
        <c:crosses val="autoZero"/>
        <c:auto val="1"/>
        <c:lblAlgn val="ctr"/>
        <c:lblOffset val="100"/>
        <c:noMultiLvlLbl val="0"/>
      </c:catAx>
      <c:valAx>
        <c:axId val="211511168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50963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'8'!$AV$2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'8'!$AV$3:$AV$34</c:f>
              <c:numCache>
                <c:formatCode>General</c:formatCode>
                <c:ptCount val="32"/>
                <c:pt idx="0">
                  <c:v>8.46</c:v>
                </c:pt>
                <c:pt idx="1">
                  <c:v>5.06</c:v>
                </c:pt>
                <c:pt idx="2">
                  <c:v>7.57</c:v>
                </c:pt>
                <c:pt idx="3">
                  <c:v>6.43</c:v>
                </c:pt>
                <c:pt idx="4">
                  <c:v>3.28</c:v>
                </c:pt>
                <c:pt idx="5">
                  <c:v>2.69</c:v>
                </c:pt>
                <c:pt idx="6">
                  <c:v>6.83</c:v>
                </c:pt>
                <c:pt idx="7">
                  <c:v>12.7</c:v>
                </c:pt>
                <c:pt idx="8">
                  <c:v>10.3</c:v>
                </c:pt>
                <c:pt idx="9">
                  <c:v>5.54</c:v>
                </c:pt>
                <c:pt idx="10">
                  <c:v>7.14</c:v>
                </c:pt>
                <c:pt idx="11">
                  <c:v>5.91</c:v>
                </c:pt>
                <c:pt idx="12">
                  <c:v>3.06</c:v>
                </c:pt>
                <c:pt idx="13">
                  <c:v>5.51</c:v>
                </c:pt>
                <c:pt idx="14">
                  <c:v>8.49</c:v>
                </c:pt>
                <c:pt idx="15">
                  <c:v>9.15</c:v>
                </c:pt>
                <c:pt idx="16">
                  <c:v>4.04</c:v>
                </c:pt>
                <c:pt idx="17">
                  <c:v>5.56</c:v>
                </c:pt>
                <c:pt idx="18">
                  <c:v>4.15</c:v>
                </c:pt>
                <c:pt idx="19">
                  <c:v>3.04</c:v>
                </c:pt>
                <c:pt idx="20">
                  <c:v>7.29</c:v>
                </c:pt>
                <c:pt idx="21">
                  <c:v>7.88</c:v>
                </c:pt>
                <c:pt idx="22">
                  <c:v>10.05</c:v>
                </c:pt>
                <c:pt idx="23">
                  <c:v>6.4</c:v>
                </c:pt>
                <c:pt idx="24">
                  <c:v>13.96</c:v>
                </c:pt>
                <c:pt idx="25">
                  <c:v>11.8</c:v>
                </c:pt>
                <c:pt idx="26">
                  <c:v>1.87</c:v>
                </c:pt>
                <c:pt idx="27">
                  <c:v>3.91</c:v>
                </c:pt>
                <c:pt idx="28">
                  <c:v>9.82</c:v>
                </c:pt>
                <c:pt idx="29">
                  <c:v>8.84</c:v>
                </c:pt>
                <c:pt idx="30">
                  <c:v>4.91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'8'!$AS$2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'8'!$AS$3:$AS$34</c:f>
              <c:numCache>
                <c:formatCode>General</c:formatCode>
                <c:ptCount val="32"/>
                <c:pt idx="0">
                  <c:v>0</c:v>
                </c:pt>
                <c:pt idx="1">
                  <c:v>13.8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2.4</c:v>
                </c:pt>
                <c:pt idx="9">
                  <c:v>23.8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'8'!$AT$2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'8'!$AT$3:$AT$34</c:f>
              <c:numCache>
                <c:formatCode>General</c:formatCode>
                <c:ptCount val="32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81120"/>
        <c:axId val="211783040"/>
      </c:lineChart>
      <c:lineChart>
        <c:grouping val="standard"/>
        <c:varyColors val="0"/>
        <c:ser>
          <c:idx val="0"/>
          <c:order val="0"/>
          <c:tx>
            <c:strRef>
              <c:f>'8'!$AU$2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'8'!$AU$3:$AU$34</c:f>
              <c:numCache>
                <c:formatCode>0.0_);[Red]\(0.0\)</c:formatCode>
                <c:ptCount val="32"/>
                <c:pt idx="0">
                  <c:v>24.3</c:v>
                </c:pt>
                <c:pt idx="1">
                  <c:v>14.3</c:v>
                </c:pt>
                <c:pt idx="2">
                  <c:v>22.7</c:v>
                </c:pt>
                <c:pt idx="3">
                  <c:v>19.4</c:v>
                </c:pt>
                <c:pt idx="4">
                  <c:v>8.9</c:v>
                </c:pt>
                <c:pt idx="5">
                  <c:v>7.1</c:v>
                </c:pt>
                <c:pt idx="6">
                  <c:v>19.3</c:v>
                </c:pt>
                <c:pt idx="7">
                  <c:v>38.5</c:v>
                </c:pt>
                <c:pt idx="8">
                  <c:v>29.9</c:v>
                </c:pt>
                <c:pt idx="9">
                  <c:v>16.9</c:v>
                </c:pt>
                <c:pt idx="10">
                  <c:v>20.6</c:v>
                </c:pt>
                <c:pt idx="11">
                  <c:v>18.4</c:v>
                </c:pt>
                <c:pt idx="12">
                  <c:v>9.5</c:v>
                </c:pt>
                <c:pt idx="13">
                  <c:v>15.6</c:v>
                </c:pt>
                <c:pt idx="14">
                  <c:v>24.3</c:v>
                </c:pt>
                <c:pt idx="15">
                  <c:v>27.8</c:v>
                </c:pt>
                <c:pt idx="16">
                  <c:v>11.3</c:v>
                </c:pt>
                <c:pt idx="17">
                  <c:v>17.1</c:v>
                </c:pt>
                <c:pt idx="18">
                  <c:v>13</c:v>
                </c:pt>
                <c:pt idx="19">
                  <c:v>9.8</c:v>
                </c:pt>
                <c:pt idx="20">
                  <c:v>20.7</c:v>
                </c:pt>
                <c:pt idx="21">
                  <c:v>22.5</c:v>
                </c:pt>
                <c:pt idx="22">
                  <c:v>30.5</c:v>
                </c:pt>
                <c:pt idx="23">
                  <c:v>18.1</c:v>
                </c:pt>
                <c:pt idx="24">
                  <c:v>40.9</c:v>
                </c:pt>
                <c:pt idx="25">
                  <c:v>35.3</c:v>
                </c:pt>
                <c:pt idx="26">
                  <c:v>5.2</c:v>
                </c:pt>
                <c:pt idx="27">
                  <c:v>10.8</c:v>
                </c:pt>
                <c:pt idx="28">
                  <c:v>29.8</c:v>
                </c:pt>
                <c:pt idx="29">
                  <c:v>26.5</c:v>
                </c:pt>
                <c:pt idx="30">
                  <c:v>13.8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88928"/>
        <c:axId val="211790464"/>
      </c:lineChart>
      <c:catAx>
        <c:axId val="2117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783040"/>
        <c:crosses val="autoZero"/>
        <c:auto val="1"/>
        <c:lblAlgn val="ctr"/>
        <c:lblOffset val="100"/>
        <c:noMultiLvlLbl val="0"/>
      </c:catAx>
      <c:valAx>
        <c:axId val="21178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781120"/>
        <c:crosses val="autoZero"/>
        <c:crossBetween val="between"/>
      </c:valAx>
      <c:catAx>
        <c:axId val="211788928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1790464"/>
        <c:crosses val="autoZero"/>
        <c:auto val="1"/>
        <c:lblAlgn val="ctr"/>
        <c:lblOffset val="100"/>
        <c:noMultiLvlLbl val="0"/>
      </c:catAx>
      <c:valAx>
        <c:axId val="211790464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78892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'9'!$AV$2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'9'!$AV$3:$AV$34</c:f>
              <c:numCache>
                <c:formatCode>General</c:formatCode>
                <c:ptCount val="32"/>
                <c:pt idx="0">
                  <c:v>8.03</c:v>
                </c:pt>
                <c:pt idx="1">
                  <c:v>4.89</c:v>
                </c:pt>
                <c:pt idx="2">
                  <c:v>4.17</c:v>
                </c:pt>
                <c:pt idx="3">
                  <c:v>5.68</c:v>
                </c:pt>
                <c:pt idx="4">
                  <c:v>8.62</c:v>
                </c:pt>
                <c:pt idx="5">
                  <c:v>7.38</c:v>
                </c:pt>
                <c:pt idx="6">
                  <c:v>4.51</c:v>
                </c:pt>
                <c:pt idx="7">
                  <c:v>4.67</c:v>
                </c:pt>
                <c:pt idx="8">
                  <c:v>5.25</c:v>
                </c:pt>
                <c:pt idx="9">
                  <c:v>4.04</c:v>
                </c:pt>
                <c:pt idx="10">
                  <c:v>3.7</c:v>
                </c:pt>
                <c:pt idx="11">
                  <c:v>6.03</c:v>
                </c:pt>
                <c:pt idx="12">
                  <c:v>9.98</c:v>
                </c:pt>
                <c:pt idx="13">
                  <c:v>7.81</c:v>
                </c:pt>
                <c:pt idx="14">
                  <c:v>4.9</c:v>
                </c:pt>
                <c:pt idx="15">
                  <c:v>4.11</c:v>
                </c:pt>
                <c:pt idx="16">
                  <c:v>3.68</c:v>
                </c:pt>
                <c:pt idx="17">
                  <c:v>6.51</c:v>
                </c:pt>
                <c:pt idx="18">
                  <c:v>9.28</c:v>
                </c:pt>
                <c:pt idx="19">
                  <c:v>8.39</c:v>
                </c:pt>
                <c:pt idx="20">
                  <c:v>7.79</c:v>
                </c:pt>
                <c:pt idx="21">
                  <c:v>7.54</c:v>
                </c:pt>
                <c:pt idx="22">
                  <c:v>4.08</c:v>
                </c:pt>
                <c:pt idx="23">
                  <c:v>1.75</c:v>
                </c:pt>
                <c:pt idx="24">
                  <c:v>7.26</c:v>
                </c:pt>
                <c:pt idx="25">
                  <c:v>8.93</c:v>
                </c:pt>
                <c:pt idx="26">
                  <c:v>7.61</c:v>
                </c:pt>
                <c:pt idx="27">
                  <c:v>8.85</c:v>
                </c:pt>
                <c:pt idx="28">
                  <c:v>6.99</c:v>
                </c:pt>
                <c:pt idx="29">
                  <c:v>6.1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'9'!$AS$2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'9'!$AS$3:$AS$34</c:f>
              <c:numCache>
                <c:formatCode>General</c:formatCode>
                <c:ptCount val="32"/>
                <c:pt idx="0">
                  <c:v>0</c:v>
                </c:pt>
                <c:pt idx="1">
                  <c:v>41.1</c:v>
                </c:pt>
                <c:pt idx="2">
                  <c:v>82.8</c:v>
                </c:pt>
                <c:pt idx="3">
                  <c:v>50.6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'9'!$AT$2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'9'!$AT$3:$AT$34</c:f>
              <c:numCache>
                <c:formatCode>General</c:formatCode>
                <c:ptCount val="32"/>
                <c:pt idx="0">
                  <c:v>0</c:v>
                </c:pt>
                <c:pt idx="1">
                  <c:v>0.04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66208"/>
        <c:axId val="211976576"/>
      </c:lineChart>
      <c:lineChart>
        <c:grouping val="standard"/>
        <c:varyColors val="0"/>
        <c:ser>
          <c:idx val="0"/>
          <c:order val="0"/>
          <c:tx>
            <c:strRef>
              <c:f>'9'!$AU$2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'9'!$AU$3:$AU$34</c:f>
              <c:numCache>
                <c:formatCode>0.0_);[Red]\(0.0\)</c:formatCode>
                <c:ptCount val="32"/>
                <c:pt idx="0">
                  <c:v>24.5</c:v>
                </c:pt>
                <c:pt idx="1">
                  <c:v>14.1</c:v>
                </c:pt>
                <c:pt idx="2">
                  <c:v>11.3</c:v>
                </c:pt>
                <c:pt idx="3">
                  <c:v>15.7</c:v>
                </c:pt>
                <c:pt idx="4">
                  <c:v>24.8</c:v>
                </c:pt>
                <c:pt idx="5">
                  <c:v>21.5</c:v>
                </c:pt>
                <c:pt idx="6">
                  <c:v>12.7</c:v>
                </c:pt>
                <c:pt idx="7">
                  <c:v>12.8</c:v>
                </c:pt>
                <c:pt idx="8">
                  <c:v>14.5</c:v>
                </c:pt>
                <c:pt idx="9">
                  <c:v>10.9</c:v>
                </c:pt>
                <c:pt idx="10">
                  <c:v>10.2</c:v>
                </c:pt>
                <c:pt idx="11">
                  <c:v>17</c:v>
                </c:pt>
                <c:pt idx="12">
                  <c:v>29.9</c:v>
                </c:pt>
                <c:pt idx="13">
                  <c:v>22.4</c:v>
                </c:pt>
                <c:pt idx="14">
                  <c:v>13.8</c:v>
                </c:pt>
                <c:pt idx="15">
                  <c:v>11.5</c:v>
                </c:pt>
                <c:pt idx="16">
                  <c:v>10.2</c:v>
                </c:pt>
                <c:pt idx="17">
                  <c:v>18.9</c:v>
                </c:pt>
                <c:pt idx="18">
                  <c:v>28.2</c:v>
                </c:pt>
                <c:pt idx="19">
                  <c:v>24.5</c:v>
                </c:pt>
                <c:pt idx="20">
                  <c:v>23.4</c:v>
                </c:pt>
                <c:pt idx="21">
                  <c:v>23</c:v>
                </c:pt>
                <c:pt idx="22">
                  <c:v>11</c:v>
                </c:pt>
                <c:pt idx="23">
                  <c:v>5.2</c:v>
                </c:pt>
                <c:pt idx="24">
                  <c:v>22.2</c:v>
                </c:pt>
                <c:pt idx="25">
                  <c:v>27.1</c:v>
                </c:pt>
                <c:pt idx="26">
                  <c:v>21.8</c:v>
                </c:pt>
                <c:pt idx="27">
                  <c:v>26.9</c:v>
                </c:pt>
                <c:pt idx="28">
                  <c:v>20</c:v>
                </c:pt>
                <c:pt idx="29">
                  <c:v>17.3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78112"/>
        <c:axId val="211979648"/>
      </c:lineChart>
      <c:catAx>
        <c:axId val="2119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976576"/>
        <c:crosses val="autoZero"/>
        <c:auto val="1"/>
        <c:lblAlgn val="ctr"/>
        <c:lblOffset val="100"/>
        <c:noMultiLvlLbl val="0"/>
      </c:catAx>
      <c:valAx>
        <c:axId val="21197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966208"/>
        <c:crosses val="autoZero"/>
        <c:crossBetween val="between"/>
      </c:valAx>
      <c:catAx>
        <c:axId val="21197811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1979648"/>
        <c:crosses val="autoZero"/>
        <c:auto val="1"/>
        <c:lblAlgn val="ctr"/>
        <c:lblOffset val="100"/>
        <c:noMultiLvlLbl val="0"/>
      </c:catAx>
      <c:valAx>
        <c:axId val="211979648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97811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'10'!$AV$2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'10'!$AV$3:$AV$34</c:f>
              <c:numCache>
                <c:formatCode>General</c:formatCode>
                <c:ptCount val="32"/>
                <c:pt idx="0">
                  <c:v>7.92</c:v>
                </c:pt>
                <c:pt idx="1">
                  <c:v>9.38</c:v>
                </c:pt>
                <c:pt idx="2">
                  <c:v>9.09</c:v>
                </c:pt>
                <c:pt idx="3">
                  <c:v>4.3</c:v>
                </c:pt>
                <c:pt idx="4">
                  <c:v>3.14</c:v>
                </c:pt>
                <c:pt idx="5">
                  <c:v>3.35</c:v>
                </c:pt>
                <c:pt idx="6">
                  <c:v>6.8</c:v>
                </c:pt>
                <c:pt idx="7">
                  <c:v>7.91</c:v>
                </c:pt>
                <c:pt idx="8">
                  <c:v>8.62</c:v>
                </c:pt>
                <c:pt idx="9">
                  <c:v>7.67</c:v>
                </c:pt>
                <c:pt idx="10">
                  <c:v>9.04</c:v>
                </c:pt>
                <c:pt idx="11">
                  <c:v>6.26</c:v>
                </c:pt>
                <c:pt idx="12">
                  <c:v>3.8</c:v>
                </c:pt>
                <c:pt idx="13">
                  <c:v>3.89</c:v>
                </c:pt>
                <c:pt idx="14">
                  <c:v>3.26</c:v>
                </c:pt>
                <c:pt idx="15">
                  <c:v>9.97</c:v>
                </c:pt>
                <c:pt idx="16">
                  <c:v>11.35</c:v>
                </c:pt>
                <c:pt idx="17">
                  <c:v>11.7</c:v>
                </c:pt>
                <c:pt idx="18">
                  <c:v>10.48</c:v>
                </c:pt>
                <c:pt idx="19">
                  <c:v>9.27</c:v>
                </c:pt>
                <c:pt idx="20">
                  <c:v>4.12</c:v>
                </c:pt>
                <c:pt idx="21">
                  <c:v>4.17</c:v>
                </c:pt>
                <c:pt idx="22">
                  <c:v>7.71</c:v>
                </c:pt>
                <c:pt idx="23">
                  <c:v>8.51</c:v>
                </c:pt>
                <c:pt idx="24">
                  <c:v>10.83</c:v>
                </c:pt>
                <c:pt idx="25">
                  <c:v>9.05</c:v>
                </c:pt>
                <c:pt idx="26">
                  <c:v>7.91</c:v>
                </c:pt>
                <c:pt idx="27">
                  <c:v>4.74</c:v>
                </c:pt>
                <c:pt idx="28">
                  <c:v>2.92</c:v>
                </c:pt>
                <c:pt idx="29">
                  <c:v>5.41</c:v>
                </c:pt>
                <c:pt idx="30">
                  <c:v>11.22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'10'!$AS$2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'10'!$AS$3:$AS$34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49.3</c:v>
                </c:pt>
                <c:pt idx="17">
                  <c:v>0</c:v>
                </c:pt>
                <c:pt idx="18">
                  <c:v>80.4</c:v>
                </c:pt>
                <c:pt idx="19">
                  <c:v>143.3</c:v>
                </c:pt>
                <c:pt idx="20">
                  <c:v>24.4</c:v>
                </c:pt>
                <c:pt idx="21">
                  <c:v>97.6</c:v>
                </c:pt>
                <c:pt idx="22">
                  <c:v>29.9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'10'!$AT$2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'10'!$AT$3:$AT$34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59776"/>
        <c:axId val="211678336"/>
      </c:lineChart>
      <c:lineChart>
        <c:grouping val="standard"/>
        <c:varyColors val="0"/>
        <c:ser>
          <c:idx val="0"/>
          <c:order val="0"/>
          <c:tx>
            <c:strRef>
              <c:f>'10'!$AU$2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'10'!$AU$3:$AU$34</c:f>
              <c:numCache>
                <c:formatCode>0.0_);[Red]\(0.0\)</c:formatCode>
                <c:ptCount val="32"/>
                <c:pt idx="0">
                  <c:v>23.1</c:v>
                </c:pt>
                <c:pt idx="1">
                  <c:v>26.9</c:v>
                </c:pt>
                <c:pt idx="2">
                  <c:v>26</c:v>
                </c:pt>
                <c:pt idx="3">
                  <c:v>11.8</c:v>
                </c:pt>
                <c:pt idx="4">
                  <c:v>8.4</c:v>
                </c:pt>
                <c:pt idx="5">
                  <c:v>9.2</c:v>
                </c:pt>
                <c:pt idx="6">
                  <c:v>19.8</c:v>
                </c:pt>
                <c:pt idx="7">
                  <c:v>23.8</c:v>
                </c:pt>
                <c:pt idx="8">
                  <c:v>25.8</c:v>
                </c:pt>
                <c:pt idx="9">
                  <c:v>22</c:v>
                </c:pt>
                <c:pt idx="10">
                  <c:v>27.4</c:v>
                </c:pt>
                <c:pt idx="11">
                  <c:v>17.8</c:v>
                </c:pt>
                <c:pt idx="12">
                  <c:v>10.5</c:v>
                </c:pt>
                <c:pt idx="13">
                  <c:v>11.1</c:v>
                </c:pt>
                <c:pt idx="14">
                  <c:v>8.9</c:v>
                </c:pt>
                <c:pt idx="15">
                  <c:v>29.9</c:v>
                </c:pt>
                <c:pt idx="16">
                  <c:v>34.6</c:v>
                </c:pt>
                <c:pt idx="17">
                  <c:v>33.7</c:v>
                </c:pt>
                <c:pt idx="18">
                  <c:v>30.1</c:v>
                </c:pt>
                <c:pt idx="19">
                  <c:v>26.5</c:v>
                </c:pt>
                <c:pt idx="20">
                  <c:v>11.3</c:v>
                </c:pt>
                <c:pt idx="21">
                  <c:v>11.5</c:v>
                </c:pt>
                <c:pt idx="22">
                  <c:v>21.8</c:v>
                </c:pt>
                <c:pt idx="23">
                  <c:v>24.7</c:v>
                </c:pt>
                <c:pt idx="24">
                  <c:v>31.2</c:v>
                </c:pt>
                <c:pt idx="25">
                  <c:v>26.4</c:v>
                </c:pt>
                <c:pt idx="26">
                  <c:v>23.7</c:v>
                </c:pt>
                <c:pt idx="27">
                  <c:v>13.7</c:v>
                </c:pt>
                <c:pt idx="28">
                  <c:v>7.9</c:v>
                </c:pt>
                <c:pt idx="29">
                  <c:v>15.2</c:v>
                </c:pt>
                <c:pt idx="30">
                  <c:v>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79872"/>
        <c:axId val="212074880"/>
      </c:lineChart>
      <c:catAx>
        <c:axId val="211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678336"/>
        <c:crosses val="autoZero"/>
        <c:auto val="1"/>
        <c:lblAlgn val="ctr"/>
        <c:lblOffset val="100"/>
        <c:noMultiLvlLbl val="0"/>
      </c:catAx>
      <c:valAx>
        <c:axId val="2116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659776"/>
        <c:crosses val="autoZero"/>
        <c:crossBetween val="between"/>
      </c:valAx>
      <c:catAx>
        <c:axId val="211679872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074880"/>
        <c:crosses val="autoZero"/>
        <c:auto val="1"/>
        <c:lblAlgn val="ctr"/>
        <c:lblOffset val="100"/>
        <c:noMultiLvlLbl val="0"/>
      </c:catAx>
      <c:valAx>
        <c:axId val="212074880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67987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'11'!$AV$2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'11'!$AV$3:$AV$34</c:f>
              <c:numCache>
                <c:formatCode>General</c:formatCode>
                <c:ptCount val="32"/>
                <c:pt idx="0">
                  <c:v>9.26</c:v>
                </c:pt>
                <c:pt idx="1">
                  <c:v>5.67</c:v>
                </c:pt>
                <c:pt idx="2">
                  <c:v>4.64</c:v>
                </c:pt>
                <c:pt idx="3">
                  <c:v>3.15</c:v>
                </c:pt>
                <c:pt idx="4">
                  <c:v>5.45</c:v>
                </c:pt>
                <c:pt idx="5">
                  <c:v>9.09</c:v>
                </c:pt>
                <c:pt idx="6">
                  <c:v>12.6</c:v>
                </c:pt>
                <c:pt idx="7">
                  <c:v>9.44</c:v>
                </c:pt>
                <c:pt idx="8">
                  <c:v>6.42</c:v>
                </c:pt>
                <c:pt idx="9">
                  <c:v>4.26</c:v>
                </c:pt>
                <c:pt idx="10">
                  <c:v>4.44</c:v>
                </c:pt>
                <c:pt idx="11">
                  <c:v>3.11</c:v>
                </c:pt>
                <c:pt idx="12">
                  <c:v>6.39</c:v>
                </c:pt>
                <c:pt idx="13">
                  <c:v>11.91</c:v>
                </c:pt>
                <c:pt idx="14">
                  <c:v>11.92</c:v>
                </c:pt>
                <c:pt idx="15">
                  <c:v>10.79</c:v>
                </c:pt>
                <c:pt idx="16">
                  <c:v>9.96</c:v>
                </c:pt>
                <c:pt idx="17">
                  <c:v>6.61</c:v>
                </c:pt>
                <c:pt idx="18">
                  <c:v>6.6</c:v>
                </c:pt>
                <c:pt idx="19">
                  <c:v>7.62</c:v>
                </c:pt>
                <c:pt idx="20">
                  <c:v>8.37</c:v>
                </c:pt>
                <c:pt idx="21">
                  <c:v>9.78</c:v>
                </c:pt>
                <c:pt idx="22">
                  <c:v>6.17</c:v>
                </c:pt>
                <c:pt idx="23">
                  <c:v>4.89</c:v>
                </c:pt>
                <c:pt idx="24">
                  <c:v>5.2</c:v>
                </c:pt>
                <c:pt idx="25">
                  <c:v>5.19</c:v>
                </c:pt>
                <c:pt idx="26">
                  <c:v>7.39</c:v>
                </c:pt>
                <c:pt idx="27">
                  <c:v>8.64</c:v>
                </c:pt>
                <c:pt idx="28">
                  <c:v>9.01</c:v>
                </c:pt>
                <c:pt idx="29">
                  <c:v>4.95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'11'!$AS$2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'11'!$AS$3:$AS$34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'11'!$AT$2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'11'!$AT$3:$AT$34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75200"/>
        <c:axId val="212277120"/>
      </c:lineChart>
      <c:lineChart>
        <c:grouping val="standard"/>
        <c:varyColors val="0"/>
        <c:ser>
          <c:idx val="0"/>
          <c:order val="0"/>
          <c:tx>
            <c:strRef>
              <c:f>'11'!$AU$2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'11'!$AU$3:$AU$34</c:f>
              <c:numCache>
                <c:formatCode>0.0_);[Red]\(0.0\)</c:formatCode>
                <c:ptCount val="32"/>
                <c:pt idx="0">
                  <c:v>27</c:v>
                </c:pt>
                <c:pt idx="1">
                  <c:v>16.4</c:v>
                </c:pt>
                <c:pt idx="2">
                  <c:v>12.9</c:v>
                </c:pt>
                <c:pt idx="3">
                  <c:v>8.5</c:v>
                </c:pt>
                <c:pt idx="4">
                  <c:v>15.2</c:v>
                </c:pt>
                <c:pt idx="5">
                  <c:v>26.4</c:v>
                </c:pt>
                <c:pt idx="6">
                  <c:v>38.3</c:v>
                </c:pt>
                <c:pt idx="7">
                  <c:v>27.5</c:v>
                </c:pt>
                <c:pt idx="8">
                  <c:v>18.2</c:v>
                </c:pt>
                <c:pt idx="9">
                  <c:v>11.8</c:v>
                </c:pt>
                <c:pt idx="10">
                  <c:v>11.9</c:v>
                </c:pt>
                <c:pt idx="11">
                  <c:v>8.4</c:v>
                </c:pt>
                <c:pt idx="12">
                  <c:v>18.5</c:v>
                </c:pt>
                <c:pt idx="13">
                  <c:v>36.1</c:v>
                </c:pt>
                <c:pt idx="14">
                  <c:v>34.3</c:v>
                </c:pt>
                <c:pt idx="15">
                  <c:v>31.5</c:v>
                </c:pt>
                <c:pt idx="16">
                  <c:v>30.2</c:v>
                </c:pt>
                <c:pt idx="17">
                  <c:v>18.9</c:v>
                </c:pt>
                <c:pt idx="18">
                  <c:v>18.9</c:v>
                </c:pt>
                <c:pt idx="19">
                  <c:v>22.2</c:v>
                </c:pt>
                <c:pt idx="20">
                  <c:v>24</c:v>
                </c:pt>
                <c:pt idx="21">
                  <c:v>29.3</c:v>
                </c:pt>
                <c:pt idx="22">
                  <c:v>17.5</c:v>
                </c:pt>
                <c:pt idx="23">
                  <c:v>13.8</c:v>
                </c:pt>
                <c:pt idx="24">
                  <c:v>15</c:v>
                </c:pt>
                <c:pt idx="25">
                  <c:v>16.2</c:v>
                </c:pt>
                <c:pt idx="26">
                  <c:v>21.1</c:v>
                </c:pt>
                <c:pt idx="27">
                  <c:v>25.2</c:v>
                </c:pt>
                <c:pt idx="28">
                  <c:v>26.3</c:v>
                </c:pt>
                <c:pt idx="29">
                  <c:v>13.9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78656"/>
        <c:axId val="212288640"/>
      </c:lineChart>
      <c:catAx>
        <c:axId val="2122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277120"/>
        <c:crosses val="autoZero"/>
        <c:auto val="1"/>
        <c:lblAlgn val="ctr"/>
        <c:lblOffset val="100"/>
        <c:noMultiLvlLbl val="0"/>
      </c:catAx>
      <c:valAx>
        <c:axId val="21227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275200"/>
        <c:crosses val="autoZero"/>
        <c:crossBetween val="between"/>
      </c:valAx>
      <c:catAx>
        <c:axId val="212278656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288640"/>
        <c:crosses val="autoZero"/>
        <c:auto val="1"/>
        <c:lblAlgn val="ctr"/>
        <c:lblOffset val="100"/>
        <c:noMultiLvlLbl val="0"/>
      </c:catAx>
      <c:valAx>
        <c:axId val="212288640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27865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6379067776878"/>
          <c:y val="0.107595515027538"/>
          <c:w val="0.858720021513499"/>
          <c:h val="0.710472609429656"/>
        </c:manualLayout>
      </c:layout>
      <c:lineChart>
        <c:grouping val="standard"/>
        <c:varyColors val="0"/>
        <c:ser>
          <c:idx val="1"/>
          <c:order val="1"/>
          <c:tx>
            <c:strRef>
              <c:f>'12'!$AV$2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'12'!$AV$3:$AV$34</c:f>
              <c:numCache>
                <c:formatCode>General</c:formatCode>
                <c:ptCount val="32"/>
                <c:pt idx="0">
                  <c:v>6.67</c:v>
                </c:pt>
                <c:pt idx="1">
                  <c:v>3.73</c:v>
                </c:pt>
                <c:pt idx="2">
                  <c:v>3.42</c:v>
                </c:pt>
                <c:pt idx="3">
                  <c:v>8.42</c:v>
                </c:pt>
                <c:pt idx="4">
                  <c:v>9.05</c:v>
                </c:pt>
                <c:pt idx="5">
                  <c:v>8.83</c:v>
                </c:pt>
                <c:pt idx="6">
                  <c:v>9.32</c:v>
                </c:pt>
                <c:pt idx="7">
                  <c:v>5.99</c:v>
                </c:pt>
                <c:pt idx="8">
                  <c:v>4.44</c:v>
                </c:pt>
                <c:pt idx="9">
                  <c:v>3.59</c:v>
                </c:pt>
                <c:pt idx="10">
                  <c:v>8.24</c:v>
                </c:pt>
                <c:pt idx="11">
                  <c:v>8.92</c:v>
                </c:pt>
                <c:pt idx="12">
                  <c:v>9.58</c:v>
                </c:pt>
                <c:pt idx="13">
                  <c:v>8.45</c:v>
                </c:pt>
                <c:pt idx="14">
                  <c:v>10.69</c:v>
                </c:pt>
                <c:pt idx="15">
                  <c:v>9.76</c:v>
                </c:pt>
                <c:pt idx="16">
                  <c:v>6.64</c:v>
                </c:pt>
                <c:pt idx="17">
                  <c:v>9.42</c:v>
                </c:pt>
                <c:pt idx="18">
                  <c:v>12.26</c:v>
                </c:pt>
                <c:pt idx="19">
                  <c:v>11.69</c:v>
                </c:pt>
                <c:pt idx="20">
                  <c:v>12.99</c:v>
                </c:pt>
                <c:pt idx="21">
                  <c:v>9.84</c:v>
                </c:pt>
                <c:pt idx="22">
                  <c:v>7.95</c:v>
                </c:pt>
                <c:pt idx="23">
                  <c:v>4.59</c:v>
                </c:pt>
                <c:pt idx="24">
                  <c:v>8.36</c:v>
                </c:pt>
                <c:pt idx="25">
                  <c:v>12.22</c:v>
                </c:pt>
                <c:pt idx="26">
                  <c:v>13.37</c:v>
                </c:pt>
                <c:pt idx="27">
                  <c:v>11.54</c:v>
                </c:pt>
                <c:pt idx="28">
                  <c:v>7.39</c:v>
                </c:pt>
                <c:pt idx="29">
                  <c:v>5.97</c:v>
                </c:pt>
                <c:pt idx="30">
                  <c:v>5.6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'12'!$AS$2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'12'!$AS$3:$AS$34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38.5</c:v>
                </c:pt>
                <c:pt idx="24">
                  <c:v>52</c:v>
                </c:pt>
                <c:pt idx="25">
                  <c:v>16.2</c:v>
                </c:pt>
                <c:pt idx="26">
                  <c:v>135.5</c:v>
                </c:pt>
                <c:pt idx="27">
                  <c:v>0</c:v>
                </c:pt>
                <c:pt idx="28">
                  <c:v>45.3</c:v>
                </c:pt>
                <c:pt idx="29">
                  <c:v>47.2</c:v>
                </c:pt>
                <c:pt idx="30">
                  <c:v>33.4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'12'!$AT$2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'12'!$AT$3:$AT$34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63936"/>
        <c:axId val="214665856"/>
      </c:lineChart>
      <c:lineChart>
        <c:grouping val="standard"/>
        <c:varyColors val="0"/>
        <c:ser>
          <c:idx val="0"/>
          <c:order val="0"/>
          <c:tx>
            <c:strRef>
              <c:f>'12'!$AU$2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val>
            <c:numRef>
              <c:f>'12'!$AU$3:$AU$34</c:f>
              <c:numCache>
                <c:formatCode>0.0_);[Red]\(0.0\)</c:formatCode>
                <c:ptCount val="32"/>
                <c:pt idx="0">
                  <c:v>19.4</c:v>
                </c:pt>
                <c:pt idx="1">
                  <c:v>10.4</c:v>
                </c:pt>
                <c:pt idx="2">
                  <c:v>9.7</c:v>
                </c:pt>
                <c:pt idx="3">
                  <c:v>25.3</c:v>
                </c:pt>
                <c:pt idx="4">
                  <c:v>26</c:v>
                </c:pt>
                <c:pt idx="5">
                  <c:v>26.9</c:v>
                </c:pt>
                <c:pt idx="6">
                  <c:v>27.2</c:v>
                </c:pt>
                <c:pt idx="7">
                  <c:v>16.9</c:v>
                </c:pt>
                <c:pt idx="8">
                  <c:v>12.4</c:v>
                </c:pt>
                <c:pt idx="9">
                  <c:v>11</c:v>
                </c:pt>
                <c:pt idx="10">
                  <c:v>23.6</c:v>
                </c:pt>
                <c:pt idx="11">
                  <c:v>26</c:v>
                </c:pt>
                <c:pt idx="12">
                  <c:v>28.7</c:v>
                </c:pt>
                <c:pt idx="13">
                  <c:v>24.2</c:v>
                </c:pt>
                <c:pt idx="14">
                  <c:v>32.6</c:v>
                </c:pt>
                <c:pt idx="15">
                  <c:v>29.3</c:v>
                </c:pt>
                <c:pt idx="16">
                  <c:v>18.3</c:v>
                </c:pt>
                <c:pt idx="17">
                  <c:v>26.8</c:v>
                </c:pt>
                <c:pt idx="18">
                  <c:v>35.2</c:v>
                </c:pt>
                <c:pt idx="19">
                  <c:v>33.5</c:v>
                </c:pt>
                <c:pt idx="20">
                  <c:v>37.8</c:v>
                </c:pt>
                <c:pt idx="21">
                  <c:v>28</c:v>
                </c:pt>
                <c:pt idx="22">
                  <c:v>22.4</c:v>
                </c:pt>
                <c:pt idx="23">
                  <c:v>12.5</c:v>
                </c:pt>
                <c:pt idx="24">
                  <c:v>25.8</c:v>
                </c:pt>
                <c:pt idx="25">
                  <c:v>35.6</c:v>
                </c:pt>
                <c:pt idx="26">
                  <c:v>40.6</c:v>
                </c:pt>
                <c:pt idx="27">
                  <c:v>33.1</c:v>
                </c:pt>
                <c:pt idx="28">
                  <c:v>20.8</c:v>
                </c:pt>
                <c:pt idx="29">
                  <c:v>16.6</c:v>
                </c:pt>
                <c:pt idx="30">
                  <c:v>15.4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71744"/>
        <c:axId val="214673280"/>
      </c:lineChart>
      <c:catAx>
        <c:axId val="2146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665856"/>
        <c:crosses val="autoZero"/>
        <c:auto val="1"/>
        <c:lblAlgn val="ctr"/>
        <c:lblOffset val="100"/>
        <c:noMultiLvlLbl val="0"/>
      </c:catAx>
      <c:valAx>
        <c:axId val="2146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663936"/>
        <c:crosses val="autoZero"/>
        <c:crossBetween val="between"/>
      </c:valAx>
      <c:catAx>
        <c:axId val="214671744"/>
        <c:scaling>
          <c:orientation val="minMax"/>
        </c:scaling>
        <c:delete val="1"/>
        <c:axPos val="b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4673280"/>
        <c:crosses val="autoZero"/>
        <c:auto val="1"/>
        <c:lblAlgn val="ctr"/>
        <c:lblOffset val="100"/>
        <c:noMultiLvlLbl val="0"/>
      </c:catAx>
      <c:valAx>
        <c:axId val="214673280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67174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8"/>
          <c:y val="0.896925875450319"/>
          <c:w val="0.547486042853601"/>
          <c:h val="0.083182641674823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552088</xdr:colOff>
      <xdr:row>38</xdr:row>
      <xdr:rowOff>0</xdr:rowOff>
    </xdr:from>
    <xdr:to>
      <xdr:col>20</xdr:col>
      <xdr:colOff>341705</xdr:colOff>
      <xdr:row>63</xdr:row>
      <xdr:rowOff>0</xdr:rowOff>
    </xdr:to>
    <xdr:graphicFrame>
      <xdr:nvGraphicFramePr>
        <xdr:cNvPr id="2" name="图表 1"/>
        <xdr:cNvGraphicFramePr/>
      </xdr:nvGraphicFramePr>
      <xdr:xfrm>
        <a:off x="6198235" y="7419975"/>
        <a:ext cx="767969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64713</xdr:colOff>
      <xdr:row>39</xdr:row>
      <xdr:rowOff>0</xdr:rowOff>
    </xdr:from>
    <xdr:to>
      <xdr:col>29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4031595" y="7419975"/>
        <a:ext cx="757428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64713</xdr:colOff>
      <xdr:row>39</xdr:row>
      <xdr:rowOff>0</xdr:rowOff>
    </xdr:from>
    <xdr:to>
      <xdr:col>29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3937615" y="7406640"/>
        <a:ext cx="757428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64713</xdr:colOff>
      <xdr:row>39</xdr:row>
      <xdr:rowOff>0</xdr:rowOff>
    </xdr:from>
    <xdr:to>
      <xdr:col>29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4582140" y="7419975"/>
        <a:ext cx="757428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64713</xdr:colOff>
      <xdr:row>39</xdr:row>
      <xdr:rowOff>0</xdr:rowOff>
    </xdr:from>
    <xdr:to>
      <xdr:col>29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4396085" y="7419975"/>
        <a:ext cx="757428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64713</xdr:colOff>
      <xdr:row>39</xdr:row>
      <xdr:rowOff>0</xdr:rowOff>
    </xdr:from>
    <xdr:to>
      <xdr:col>29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3829030" y="7589520"/>
        <a:ext cx="757428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64713</xdr:colOff>
      <xdr:row>39</xdr:row>
      <xdr:rowOff>0</xdr:rowOff>
    </xdr:from>
    <xdr:to>
      <xdr:col>31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3843635" y="7600950"/>
        <a:ext cx="5873115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64713</xdr:colOff>
      <xdr:row>39</xdr:row>
      <xdr:rowOff>0</xdr:rowOff>
    </xdr:from>
    <xdr:to>
      <xdr:col>31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5961360" y="7419975"/>
        <a:ext cx="765048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64713</xdr:colOff>
      <xdr:row>39</xdr:row>
      <xdr:rowOff>0</xdr:rowOff>
    </xdr:from>
    <xdr:to>
      <xdr:col>31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6131540" y="7419975"/>
        <a:ext cx="757428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64713</xdr:colOff>
      <xdr:row>39</xdr:row>
      <xdr:rowOff>0</xdr:rowOff>
    </xdr:from>
    <xdr:to>
      <xdr:col>31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5970885" y="7419975"/>
        <a:ext cx="757428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64713</xdr:colOff>
      <xdr:row>39</xdr:row>
      <xdr:rowOff>0</xdr:rowOff>
    </xdr:from>
    <xdr:to>
      <xdr:col>31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5699740" y="7419975"/>
        <a:ext cx="757428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64713</xdr:colOff>
      <xdr:row>39</xdr:row>
      <xdr:rowOff>0</xdr:rowOff>
    </xdr:from>
    <xdr:to>
      <xdr:col>31</xdr:col>
      <xdr:colOff>299778</xdr:colOff>
      <xdr:row>64</xdr:row>
      <xdr:rowOff>0</xdr:rowOff>
    </xdr:to>
    <xdr:graphicFrame>
      <xdr:nvGraphicFramePr>
        <xdr:cNvPr id="2" name="图表 1"/>
        <xdr:cNvGraphicFramePr/>
      </xdr:nvGraphicFramePr>
      <xdr:xfrm>
        <a:off x="15674340" y="7419975"/>
        <a:ext cx="757428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0.xml"/><Relationship Id="rId1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2.x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43"/>
  <sheetViews>
    <sheetView showGridLines="0" zoomScale="110" zoomScaleNormal="110" workbookViewId="0">
      <pane xSplit="2" ySplit="2" topLeftCell="C45" activePane="bottomRight" state="frozen"/>
      <selection/>
      <selection pane="topRight"/>
      <selection pane="bottomLeft"/>
      <selection pane="bottomRight" activeCell="D34" sqref="D34"/>
    </sheetView>
  </sheetViews>
  <sheetFormatPr defaultColWidth="10.6666666666667" defaultRowHeight="14.25"/>
  <cols>
    <col min="1" max="1" width="7" style="1" customWidth="1"/>
    <col min="2" max="2" width="8.66666666666667" style="2" customWidth="1"/>
    <col min="3" max="4" width="9.66666666666667" style="1" customWidth="1"/>
    <col min="5" max="6" width="9.88333333333333" style="1" customWidth="1"/>
    <col min="7" max="9" width="9.66666666666667" style="1" customWidth="1"/>
    <col min="10" max="10" width="10.775" style="1" customWidth="1"/>
    <col min="11" max="11" width="8" style="1" customWidth="1"/>
    <col min="12" max="13" width="8.33333333333333" style="2" customWidth="1"/>
    <col min="14" max="14" width="8.44166666666667" style="2" customWidth="1"/>
    <col min="15" max="15" width="8.33333333333333" style="2" customWidth="1"/>
    <col min="16" max="16" width="9.66666666666667" style="1" customWidth="1"/>
    <col min="17" max="18" width="8.10833333333333" style="1" customWidth="1"/>
    <col min="19" max="19" width="7.66666666666667" style="1" customWidth="1"/>
    <col min="20" max="22" width="8.10833333333333" style="1" customWidth="1"/>
    <col min="23" max="24" width="8.10833333333333" style="2" customWidth="1"/>
    <col min="25" max="25" width="8.10833333333333" style="1" customWidth="1"/>
    <col min="26" max="26" width="15.6666666666667" style="1" customWidth="1"/>
    <col min="27" max="33" width="8.10833333333333" style="1" customWidth="1"/>
    <col min="34" max="34" width="7.10833333333333" style="1" customWidth="1"/>
    <col min="35" max="36" width="8.10833333333333" style="1" customWidth="1"/>
    <col min="37" max="39" width="6.66666666666667" style="1" customWidth="1"/>
    <col min="40" max="40" width="6.66666666666667" style="2" customWidth="1"/>
    <col min="41" max="42" width="8.10833333333333" style="2" customWidth="1"/>
    <col min="43" max="43" width="6.44166666666667" style="3" customWidth="1"/>
    <col min="44" max="44" width="7" style="3" customWidth="1"/>
    <col min="45" max="45" width="6.66666666666667" style="3" customWidth="1"/>
    <col min="46" max="46" width="8.10833333333333" style="3" customWidth="1"/>
    <col min="47" max="16384" width="10.6666666666667" style="3"/>
  </cols>
  <sheetData>
    <row r="2" ht="42.75" spans="1:46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3" t="s">
        <v>34</v>
      </c>
      <c r="AK2" s="13" t="s">
        <v>35</v>
      </c>
      <c r="AL2" s="13" t="s">
        <v>36</v>
      </c>
      <c r="AM2" s="13" t="s">
        <v>37</v>
      </c>
      <c r="AN2" s="7" t="s">
        <v>38</v>
      </c>
      <c r="AO2" s="7" t="s">
        <v>39</v>
      </c>
      <c r="AP2" s="7" t="s">
        <v>40</v>
      </c>
      <c r="AQ2" s="13" t="s">
        <v>41</v>
      </c>
      <c r="AR2" s="13" t="s">
        <v>42</v>
      </c>
      <c r="AS2" s="7" t="s">
        <v>43</v>
      </c>
      <c r="AT2" s="7" t="s">
        <v>44</v>
      </c>
    </row>
    <row r="3" spans="1:46">
      <c r="A3" s="6">
        <v>43831</v>
      </c>
      <c r="B3" s="5" t="s">
        <v>45</v>
      </c>
      <c r="C3" s="4">
        <v>28605308</v>
      </c>
      <c r="D3" s="4">
        <v>14388475</v>
      </c>
      <c r="E3" s="4">
        <v>10105811</v>
      </c>
      <c r="F3" s="4">
        <v>9857958</v>
      </c>
      <c r="G3" s="4">
        <v>273459899</v>
      </c>
      <c r="H3" s="4">
        <v>105851533</v>
      </c>
      <c r="I3" s="4">
        <v>273459899</v>
      </c>
      <c r="J3" s="4">
        <v>105851533</v>
      </c>
      <c r="K3" s="4"/>
      <c r="L3" s="5">
        <v>4299.8</v>
      </c>
      <c r="M3" s="5">
        <v>4261.28</v>
      </c>
      <c r="N3" s="5">
        <v>73752.65</v>
      </c>
      <c r="O3" s="5"/>
      <c r="P3" s="5"/>
      <c r="Q3" s="10">
        <v>18.5</v>
      </c>
      <c r="R3" s="4" t="s">
        <v>46</v>
      </c>
      <c r="S3" s="4">
        <v>350</v>
      </c>
      <c r="T3" s="4">
        <v>370</v>
      </c>
      <c r="U3" s="4">
        <v>8301</v>
      </c>
      <c r="V3" s="4">
        <v>6253</v>
      </c>
      <c r="W3" s="5">
        <v>4.51</v>
      </c>
      <c r="X3" s="5">
        <v>3.66</v>
      </c>
      <c r="Y3" s="4">
        <v>1440</v>
      </c>
      <c r="Z3" s="4"/>
      <c r="AA3" s="13">
        <f t="shared" ref="AA3:AF3" si="0">IF(OR(C4=""),"",C4-C3)</f>
        <v>38624</v>
      </c>
      <c r="AB3" s="13">
        <f t="shared" si="0"/>
        <v>46116</v>
      </c>
      <c r="AC3" s="13">
        <f t="shared" si="0"/>
        <v>49383</v>
      </c>
      <c r="AD3" s="13">
        <f t="shared" si="0"/>
        <v>42968</v>
      </c>
      <c r="AE3" s="13">
        <f t="shared" si="0"/>
        <v>181830</v>
      </c>
      <c r="AF3" s="13">
        <f t="shared" si="0"/>
        <v>4012</v>
      </c>
      <c r="AG3" s="13">
        <f>IF(OR(AA3="",AB3="",AC3=""),"",AA3+AB3+AC3+AD3-AE3)</f>
        <v>-4739</v>
      </c>
      <c r="AH3" s="13">
        <f>IF(OR(I4=""),"",I4-I3)</f>
        <v>181830</v>
      </c>
      <c r="AI3" s="13">
        <f>IF(OR(J4=""),"",J4-J3)</f>
        <v>4012</v>
      </c>
      <c r="AJ3" s="13">
        <f>IF(OR(AH3="",AI3=""),"",AH3-AI3)</f>
        <v>177818</v>
      </c>
      <c r="AK3" s="13">
        <v>3000</v>
      </c>
      <c r="AL3" s="13">
        <f>IF(OR(L4="",M4=""),"",ROUND((L4-L3+M4-M3)*1200,0))</f>
        <v>0</v>
      </c>
      <c r="AM3" s="13">
        <f>IF(OR(N4=""),"",(ROUND((N4-N3)*2,0)))</f>
        <v>0</v>
      </c>
      <c r="AN3" s="13">
        <f>IF(OR(S3=""),"",ROUND(S3*7.1,0))</f>
        <v>2485</v>
      </c>
      <c r="AO3" s="13">
        <f t="shared" ref="AO3:AO33" si="1">IF(OR(T3=""),"",ROUND(T3*2.4,0))</f>
        <v>888</v>
      </c>
      <c r="AP3" s="13">
        <v>3395</v>
      </c>
      <c r="AQ3" s="17">
        <f t="shared" ref="AQ3:AQ33" si="2">IF(OR($AJ3=""),"",ROUND(AL3/$AJ3*1000,1))</f>
        <v>0</v>
      </c>
      <c r="AR3" s="17">
        <f t="shared" ref="AR3:AR33" si="3">IF(OR($AJ3=""),"",ROUND(AM3/$AJ3*1000,2))</f>
        <v>0</v>
      </c>
      <c r="AS3" s="18">
        <f t="shared" ref="AS3:AS33" si="4">IF(OR($AJ3=""),"",ROUND(AN3/$AJ3*1000,1))</f>
        <v>14</v>
      </c>
      <c r="AT3" s="17">
        <f>IF(OR($AJ3=""),"",ROUND(AO3/$AJ3*1000,2))</f>
        <v>4.99</v>
      </c>
    </row>
    <row r="4" spans="1:46">
      <c r="A4" s="6">
        <f>A3+1</f>
        <v>43832</v>
      </c>
      <c r="B4" s="5" t="s">
        <v>47</v>
      </c>
      <c r="C4" s="4">
        <v>28643932</v>
      </c>
      <c r="D4" s="4">
        <v>14434591</v>
      </c>
      <c r="E4" s="4">
        <v>10155194</v>
      </c>
      <c r="F4" s="4">
        <v>9900926</v>
      </c>
      <c r="G4" s="4">
        <v>273641729</v>
      </c>
      <c r="H4" s="4">
        <v>105855545</v>
      </c>
      <c r="I4" s="4">
        <v>273641729</v>
      </c>
      <c r="J4" s="4">
        <v>105855545</v>
      </c>
      <c r="K4" s="4"/>
      <c r="L4" s="5">
        <v>4299.8</v>
      </c>
      <c r="M4" s="5">
        <v>4261.28</v>
      </c>
      <c r="N4" s="5">
        <v>73752.65</v>
      </c>
      <c r="O4" s="5"/>
      <c r="P4" s="5"/>
      <c r="Q4" s="10">
        <v>18.7</v>
      </c>
      <c r="R4" s="4" t="s">
        <v>46</v>
      </c>
      <c r="S4" s="4">
        <v>360</v>
      </c>
      <c r="T4" s="4">
        <v>380</v>
      </c>
      <c r="U4" s="4">
        <v>8851</v>
      </c>
      <c r="V4" s="4">
        <v>5412</v>
      </c>
      <c r="W4" s="5">
        <v>4.8</v>
      </c>
      <c r="X4" s="5">
        <v>3.42</v>
      </c>
      <c r="Y4" s="4">
        <v>1440</v>
      </c>
      <c r="Z4" s="4"/>
      <c r="AA4" s="13">
        <f t="shared" ref="AA4:AA33" si="5">IF(OR(C5=""),"",C5-C4)</f>
        <v>37577</v>
      </c>
      <c r="AB4" s="13">
        <f t="shared" ref="AB4:AB33" si="6">IF(OR(D5=""),"",D5-D4)</f>
        <v>43036</v>
      </c>
      <c r="AC4" s="13">
        <f t="shared" ref="AC4:AC33" si="7">IF(OR(E5=""),"",E5-E4)</f>
        <v>46117</v>
      </c>
      <c r="AD4" s="13">
        <f t="shared" ref="AD4:AD33" si="8">IF(OR(F5=""),"",F5-F4)</f>
        <v>40930</v>
      </c>
      <c r="AE4" s="13">
        <f t="shared" ref="AE4:AE33" si="9">IF(OR(G5=""),"",G5-G4)</f>
        <v>152361</v>
      </c>
      <c r="AF4" s="13">
        <f t="shared" ref="AF4:AF33" si="10">IF(OR(H5=""),"",H5-H4)</f>
        <v>5169</v>
      </c>
      <c r="AG4" s="13">
        <f t="shared" ref="AG4:AG33" si="11">IF(OR(AA4="",AB4="",AC4=""),"",AA4+AB4+AC4+AD4-AE4)</f>
        <v>15299</v>
      </c>
      <c r="AH4" s="13">
        <f t="shared" ref="AH4:AH33" si="12">IF(OR(I5=""),"",I5-I4)</f>
        <v>152361</v>
      </c>
      <c r="AI4" s="13">
        <f t="shared" ref="AI4:AI33" si="13">IF(OR(J5=""),"",J5-J4)</f>
        <v>5169</v>
      </c>
      <c r="AJ4" s="13">
        <f t="shared" ref="AJ4:AJ33" si="14">IF(OR(AH4="",AI4=""),"",AH4-AI4)</f>
        <v>147192</v>
      </c>
      <c r="AK4" s="13">
        <v>3600</v>
      </c>
      <c r="AL4" s="13">
        <f t="shared" ref="AL4:AL33" si="15">IF(OR(L5="",M5=""),"",ROUND((L5-L4+M5-M4)*1200,0))</f>
        <v>0</v>
      </c>
      <c r="AM4" s="13">
        <f t="shared" ref="AM4:AM33" si="16">IF(OR(N5=""),"",(ROUND((N5-N4)*2,0)))</f>
        <v>0</v>
      </c>
      <c r="AN4" s="13">
        <f t="shared" ref="AN4:AN33" si="17">IF(OR(S4=""),"",ROUND(S4*7.1,0))</f>
        <v>2556</v>
      </c>
      <c r="AO4" s="13">
        <f t="shared" si="1"/>
        <v>912</v>
      </c>
      <c r="AP4" s="13">
        <v>3208</v>
      </c>
      <c r="AQ4" s="17">
        <f t="shared" si="2"/>
        <v>0</v>
      </c>
      <c r="AR4" s="17">
        <f t="shared" si="3"/>
        <v>0</v>
      </c>
      <c r="AS4" s="18">
        <f t="shared" si="4"/>
        <v>17.4</v>
      </c>
      <c r="AT4" s="17">
        <f t="shared" ref="AT4:AT33" si="18">IF(OR($AJ4=""),"",ROUND(AO4/$AJ4*1000,2))</f>
        <v>6.2</v>
      </c>
    </row>
    <row r="5" spans="1:46">
      <c r="A5" s="6">
        <f t="shared" ref="A5:A34" si="19">A4+1</f>
        <v>43833</v>
      </c>
      <c r="B5" s="5" t="s">
        <v>48</v>
      </c>
      <c r="C5" s="4">
        <v>28681509</v>
      </c>
      <c r="D5" s="4">
        <v>14477627</v>
      </c>
      <c r="E5" s="4">
        <v>10201311</v>
      </c>
      <c r="F5" s="4">
        <v>9941856</v>
      </c>
      <c r="G5" s="4">
        <v>273794090</v>
      </c>
      <c r="H5" s="4">
        <v>105860714</v>
      </c>
      <c r="I5" s="4">
        <v>273794090</v>
      </c>
      <c r="J5" s="4">
        <v>105860714</v>
      </c>
      <c r="K5" s="4"/>
      <c r="L5" s="5">
        <v>4299.8</v>
      </c>
      <c r="M5" s="5">
        <v>4261.28</v>
      </c>
      <c r="N5" s="5">
        <v>73752.65</v>
      </c>
      <c r="O5" s="5"/>
      <c r="P5" s="5"/>
      <c r="Q5" s="10">
        <v>18.5</v>
      </c>
      <c r="R5" s="4" t="s">
        <v>46</v>
      </c>
      <c r="S5" s="4">
        <v>470</v>
      </c>
      <c r="T5" s="4">
        <v>490</v>
      </c>
      <c r="U5" s="4">
        <v>8261</v>
      </c>
      <c r="V5" s="4">
        <v>5425</v>
      </c>
      <c r="W5" s="5">
        <v>6.3</v>
      </c>
      <c r="X5" s="5">
        <v>2.69</v>
      </c>
      <c r="Y5" s="4">
        <v>1440</v>
      </c>
      <c r="Z5" s="4" t="s">
        <v>49</v>
      </c>
      <c r="AA5" s="13">
        <f t="shared" si="5"/>
        <v>35397</v>
      </c>
      <c r="AB5" s="13">
        <f t="shared" si="6"/>
        <v>40571</v>
      </c>
      <c r="AC5" s="13">
        <f t="shared" si="7"/>
        <v>44403</v>
      </c>
      <c r="AD5" s="13">
        <f t="shared" si="8"/>
        <v>39675</v>
      </c>
      <c r="AE5" s="13">
        <f t="shared" si="9"/>
        <v>147857</v>
      </c>
      <c r="AF5" s="13">
        <f t="shared" si="10"/>
        <v>5311</v>
      </c>
      <c r="AG5" s="13">
        <f t="shared" si="11"/>
        <v>12189</v>
      </c>
      <c r="AH5" s="13">
        <f t="shared" si="12"/>
        <v>147857</v>
      </c>
      <c r="AI5" s="13">
        <f t="shared" si="13"/>
        <v>5311</v>
      </c>
      <c r="AJ5" s="13">
        <f t="shared" si="14"/>
        <v>142546</v>
      </c>
      <c r="AK5" s="13">
        <v>3500</v>
      </c>
      <c r="AL5" s="13">
        <f t="shared" si="15"/>
        <v>0</v>
      </c>
      <c r="AM5" s="13">
        <f t="shared" si="16"/>
        <v>0</v>
      </c>
      <c r="AN5" s="13">
        <f t="shared" si="17"/>
        <v>3337</v>
      </c>
      <c r="AO5" s="13">
        <f t="shared" si="1"/>
        <v>1176</v>
      </c>
      <c r="AP5" s="13">
        <v>3286</v>
      </c>
      <c r="AQ5" s="17">
        <f t="shared" si="2"/>
        <v>0</v>
      </c>
      <c r="AR5" s="17">
        <f t="shared" si="3"/>
        <v>0</v>
      </c>
      <c r="AS5" s="18">
        <f t="shared" si="4"/>
        <v>23.4</v>
      </c>
      <c r="AT5" s="17">
        <f t="shared" si="18"/>
        <v>8.25</v>
      </c>
    </row>
    <row r="6" ht="28.5" spans="1:46">
      <c r="A6" s="6">
        <f t="shared" si="19"/>
        <v>43834</v>
      </c>
      <c r="B6" s="5" t="s">
        <v>50</v>
      </c>
      <c r="C6" s="4">
        <v>28716906</v>
      </c>
      <c r="D6" s="4">
        <v>14518198</v>
      </c>
      <c r="E6" s="4">
        <v>10245714</v>
      </c>
      <c r="F6" s="4">
        <v>9981531</v>
      </c>
      <c r="G6" s="4">
        <v>273941947</v>
      </c>
      <c r="H6" s="4">
        <v>105866025</v>
      </c>
      <c r="I6" s="4">
        <v>273941947</v>
      </c>
      <c r="J6" s="4">
        <v>105866025</v>
      </c>
      <c r="K6" s="4"/>
      <c r="L6" s="5">
        <v>4299.8</v>
      </c>
      <c r="M6" s="5">
        <v>4261.28</v>
      </c>
      <c r="N6" s="5">
        <v>73752.65</v>
      </c>
      <c r="O6" s="5"/>
      <c r="P6" s="5"/>
      <c r="Q6" s="10">
        <v>18.3</v>
      </c>
      <c r="R6" s="4" t="s">
        <v>46</v>
      </c>
      <c r="S6" s="4">
        <v>700</v>
      </c>
      <c r="T6" s="4">
        <v>720</v>
      </c>
      <c r="U6" s="4">
        <v>9112</v>
      </c>
      <c r="V6" s="4">
        <v>7500</v>
      </c>
      <c r="W6" s="5">
        <v>7.3</v>
      </c>
      <c r="X6" s="5">
        <v>4.05</v>
      </c>
      <c r="Y6" s="4">
        <v>1440</v>
      </c>
      <c r="Z6" s="4" t="s">
        <v>51</v>
      </c>
      <c r="AA6" s="13">
        <f t="shared" si="5"/>
        <v>43202</v>
      </c>
      <c r="AB6" s="13">
        <f t="shared" si="6"/>
        <v>51040</v>
      </c>
      <c r="AC6" s="13">
        <f t="shared" si="7"/>
        <v>55572</v>
      </c>
      <c r="AD6" s="13">
        <f t="shared" si="8"/>
        <v>48868</v>
      </c>
      <c r="AE6" s="13">
        <f t="shared" si="9"/>
        <v>174996</v>
      </c>
      <c r="AF6" s="13">
        <f t="shared" si="10"/>
        <v>5363</v>
      </c>
      <c r="AG6" s="13">
        <f t="shared" si="11"/>
        <v>23686</v>
      </c>
      <c r="AH6" s="13">
        <f t="shared" si="12"/>
        <v>174996</v>
      </c>
      <c r="AI6" s="13">
        <f t="shared" si="13"/>
        <v>5363</v>
      </c>
      <c r="AJ6" s="13">
        <f t="shared" si="14"/>
        <v>169633</v>
      </c>
      <c r="AK6" s="13">
        <v>3600</v>
      </c>
      <c r="AL6" s="13">
        <f t="shared" si="15"/>
        <v>0</v>
      </c>
      <c r="AM6" s="13">
        <f t="shared" si="16"/>
        <v>0</v>
      </c>
      <c r="AN6" s="13">
        <f t="shared" si="17"/>
        <v>4970</v>
      </c>
      <c r="AO6" s="13">
        <f t="shared" si="1"/>
        <v>1728</v>
      </c>
      <c r="AP6" s="13">
        <v>3385</v>
      </c>
      <c r="AQ6" s="17">
        <f t="shared" si="2"/>
        <v>0</v>
      </c>
      <c r="AR6" s="17">
        <f t="shared" si="3"/>
        <v>0</v>
      </c>
      <c r="AS6" s="18">
        <f t="shared" si="4"/>
        <v>29.3</v>
      </c>
      <c r="AT6" s="17">
        <f t="shared" si="18"/>
        <v>10.19</v>
      </c>
    </row>
    <row r="7" spans="1:46">
      <c r="A7" s="6">
        <f t="shared" si="19"/>
        <v>43835</v>
      </c>
      <c r="B7" s="5" t="s">
        <v>50</v>
      </c>
      <c r="C7" s="4">
        <v>28760108</v>
      </c>
      <c r="D7" s="4">
        <v>14569238</v>
      </c>
      <c r="E7" s="4">
        <v>10301286</v>
      </c>
      <c r="F7" s="4">
        <v>10030399</v>
      </c>
      <c r="G7" s="4">
        <v>274116943</v>
      </c>
      <c r="H7" s="4">
        <v>105871388</v>
      </c>
      <c r="I7" s="4">
        <v>274116943</v>
      </c>
      <c r="J7" s="4">
        <v>105871388</v>
      </c>
      <c r="K7" s="4"/>
      <c r="L7" s="5">
        <v>4299.8</v>
      </c>
      <c r="M7" s="5">
        <v>4261.28</v>
      </c>
      <c r="N7" s="5">
        <v>73752.65</v>
      </c>
      <c r="O7" s="5"/>
      <c r="P7" s="5"/>
      <c r="Q7" s="10">
        <v>18.2</v>
      </c>
      <c r="R7" s="4" t="s">
        <v>52</v>
      </c>
      <c r="S7" s="4">
        <v>590</v>
      </c>
      <c r="T7" s="4">
        <v>600</v>
      </c>
      <c r="U7" s="4">
        <v>10211</v>
      </c>
      <c r="V7" s="4">
        <v>8641</v>
      </c>
      <c r="W7" s="5">
        <v>7.24</v>
      </c>
      <c r="X7" s="5">
        <v>6.5</v>
      </c>
      <c r="Y7" s="4">
        <v>1440</v>
      </c>
      <c r="Z7" s="4" t="s">
        <v>53</v>
      </c>
      <c r="AA7" s="13">
        <f t="shared" si="5"/>
        <v>49225</v>
      </c>
      <c r="AB7" s="13">
        <f t="shared" si="6"/>
        <v>61637</v>
      </c>
      <c r="AC7" s="13">
        <f t="shared" si="7"/>
        <v>63992</v>
      </c>
      <c r="AD7" s="13">
        <f t="shared" si="8"/>
        <v>60740</v>
      </c>
      <c r="AE7" s="13">
        <f t="shared" si="9"/>
        <v>209826</v>
      </c>
      <c r="AF7" s="13">
        <f t="shared" si="10"/>
        <v>5321</v>
      </c>
      <c r="AG7" s="13">
        <f t="shared" si="11"/>
        <v>25768</v>
      </c>
      <c r="AH7" s="13">
        <f t="shared" si="12"/>
        <v>209826</v>
      </c>
      <c r="AI7" s="13">
        <f t="shared" si="13"/>
        <v>5321</v>
      </c>
      <c r="AJ7" s="13">
        <f t="shared" si="14"/>
        <v>204505</v>
      </c>
      <c r="AK7" s="13">
        <v>3500</v>
      </c>
      <c r="AL7" s="13">
        <f t="shared" si="15"/>
        <v>0</v>
      </c>
      <c r="AM7" s="13">
        <f t="shared" si="16"/>
        <v>0</v>
      </c>
      <c r="AN7" s="13">
        <f t="shared" si="17"/>
        <v>4189</v>
      </c>
      <c r="AO7" s="13">
        <f t="shared" si="1"/>
        <v>1440</v>
      </c>
      <c r="AP7" s="13">
        <v>2985</v>
      </c>
      <c r="AQ7" s="17">
        <f t="shared" si="2"/>
        <v>0</v>
      </c>
      <c r="AR7" s="17">
        <f t="shared" si="3"/>
        <v>0</v>
      </c>
      <c r="AS7" s="18">
        <f t="shared" si="4"/>
        <v>20.5</v>
      </c>
      <c r="AT7" s="17">
        <f t="shared" si="18"/>
        <v>7.04</v>
      </c>
    </row>
    <row r="8" spans="1:46">
      <c r="A8" s="6">
        <f t="shared" si="19"/>
        <v>43836</v>
      </c>
      <c r="B8" s="5" t="s">
        <v>50</v>
      </c>
      <c r="C8" s="4">
        <v>28809333</v>
      </c>
      <c r="D8" s="4">
        <v>14630875</v>
      </c>
      <c r="E8" s="4">
        <v>10365278</v>
      </c>
      <c r="F8" s="4">
        <v>10091139</v>
      </c>
      <c r="G8" s="4">
        <v>274326769</v>
      </c>
      <c r="H8" s="4">
        <v>105876709</v>
      </c>
      <c r="I8" s="4">
        <v>274326769</v>
      </c>
      <c r="J8" s="4">
        <v>105876709</v>
      </c>
      <c r="K8" s="4"/>
      <c r="L8" s="5">
        <v>4299.8</v>
      </c>
      <c r="M8" s="5">
        <v>4261.28</v>
      </c>
      <c r="N8" s="5">
        <v>73752.65</v>
      </c>
      <c r="O8" s="5"/>
      <c r="P8" s="5"/>
      <c r="Q8" s="10">
        <v>18.5</v>
      </c>
      <c r="R8" s="4" t="s">
        <v>46</v>
      </c>
      <c r="S8" s="4">
        <v>640</v>
      </c>
      <c r="T8" s="4">
        <v>660</v>
      </c>
      <c r="U8" s="4">
        <v>9152</v>
      </c>
      <c r="V8" s="4">
        <v>8612</v>
      </c>
      <c r="W8" s="5">
        <v>7.2</v>
      </c>
      <c r="X8" s="5">
        <v>5.08</v>
      </c>
      <c r="Y8" s="4">
        <v>1440</v>
      </c>
      <c r="Z8" s="4"/>
      <c r="AA8" s="13">
        <f t="shared" si="5"/>
        <v>46890</v>
      </c>
      <c r="AB8" s="13">
        <f t="shared" si="6"/>
        <v>58061</v>
      </c>
      <c r="AC8" s="13">
        <f t="shared" si="7"/>
        <v>58440</v>
      </c>
      <c r="AD8" s="13">
        <f t="shared" si="8"/>
        <v>55614</v>
      </c>
      <c r="AE8" s="13">
        <f t="shared" si="9"/>
        <v>205416</v>
      </c>
      <c r="AF8" s="13">
        <f t="shared" si="10"/>
        <v>5303</v>
      </c>
      <c r="AG8" s="13">
        <f t="shared" si="11"/>
        <v>13589</v>
      </c>
      <c r="AH8" s="13">
        <f t="shared" si="12"/>
        <v>205416</v>
      </c>
      <c r="AI8" s="13">
        <f t="shared" si="13"/>
        <v>5303</v>
      </c>
      <c r="AJ8" s="13">
        <f t="shared" si="14"/>
        <v>200113</v>
      </c>
      <c r="AK8" s="13">
        <v>3200</v>
      </c>
      <c r="AL8" s="13">
        <f t="shared" si="15"/>
        <v>0</v>
      </c>
      <c r="AM8" s="13">
        <f t="shared" si="16"/>
        <v>0</v>
      </c>
      <c r="AN8" s="13">
        <f t="shared" si="17"/>
        <v>4544</v>
      </c>
      <c r="AO8" s="13">
        <f t="shared" si="1"/>
        <v>1584</v>
      </c>
      <c r="AP8" s="13">
        <v>2711</v>
      </c>
      <c r="AQ8" s="17">
        <f t="shared" si="2"/>
        <v>0</v>
      </c>
      <c r="AR8" s="17">
        <f t="shared" si="3"/>
        <v>0</v>
      </c>
      <c r="AS8" s="18">
        <f t="shared" si="4"/>
        <v>22.7</v>
      </c>
      <c r="AT8" s="17">
        <f t="shared" si="18"/>
        <v>7.92</v>
      </c>
    </row>
    <row r="9" spans="1:46">
      <c r="A9" s="6">
        <f t="shared" si="19"/>
        <v>43837</v>
      </c>
      <c r="B9" s="5" t="s">
        <v>50</v>
      </c>
      <c r="C9" s="4">
        <v>28856223</v>
      </c>
      <c r="D9" s="4">
        <v>14688936</v>
      </c>
      <c r="E9" s="4">
        <v>10423718</v>
      </c>
      <c r="F9" s="4">
        <v>10146753</v>
      </c>
      <c r="G9" s="4">
        <v>274532185</v>
      </c>
      <c r="H9" s="4">
        <v>105882012</v>
      </c>
      <c r="I9" s="4">
        <v>274532185</v>
      </c>
      <c r="J9" s="4">
        <v>105882012</v>
      </c>
      <c r="K9" s="4"/>
      <c r="L9" s="5">
        <v>4299.8</v>
      </c>
      <c r="M9" s="5">
        <v>4261.28</v>
      </c>
      <c r="N9" s="5">
        <v>73752.65</v>
      </c>
      <c r="O9" s="5"/>
      <c r="P9" s="5"/>
      <c r="Q9" s="10">
        <v>18.5</v>
      </c>
      <c r="R9" s="4" t="s">
        <v>54</v>
      </c>
      <c r="S9" s="4">
        <v>520</v>
      </c>
      <c r="T9" s="4">
        <v>530</v>
      </c>
      <c r="U9" s="4">
        <v>9253</v>
      </c>
      <c r="V9" s="4">
        <v>6870</v>
      </c>
      <c r="W9" s="5">
        <v>5.13</v>
      </c>
      <c r="X9" s="5">
        <v>2.81</v>
      </c>
      <c r="Y9" s="4">
        <v>1380</v>
      </c>
      <c r="Z9" s="4"/>
      <c r="AA9" s="13">
        <f t="shared" si="5"/>
        <v>44596</v>
      </c>
      <c r="AB9" s="13">
        <f t="shared" si="6"/>
        <v>56194</v>
      </c>
      <c r="AC9" s="13">
        <f t="shared" si="7"/>
        <v>56191</v>
      </c>
      <c r="AD9" s="13">
        <f t="shared" si="8"/>
        <v>52942</v>
      </c>
      <c r="AE9" s="13">
        <f t="shared" si="9"/>
        <v>211110</v>
      </c>
      <c r="AF9" s="13">
        <f t="shared" si="10"/>
        <v>5213</v>
      </c>
      <c r="AG9" s="13">
        <f t="shared" si="11"/>
        <v>-1187</v>
      </c>
      <c r="AH9" s="13">
        <f t="shared" si="12"/>
        <v>211110</v>
      </c>
      <c r="AI9" s="13">
        <f t="shared" si="13"/>
        <v>5213</v>
      </c>
      <c r="AJ9" s="13">
        <f t="shared" si="14"/>
        <v>205897</v>
      </c>
      <c r="AK9" s="13">
        <v>3600</v>
      </c>
      <c r="AL9" s="13">
        <f t="shared" si="15"/>
        <v>0</v>
      </c>
      <c r="AM9" s="13">
        <f t="shared" si="16"/>
        <v>0</v>
      </c>
      <c r="AN9" s="13">
        <f t="shared" si="17"/>
        <v>3692</v>
      </c>
      <c r="AO9" s="13">
        <f t="shared" si="1"/>
        <v>1272</v>
      </c>
      <c r="AP9" s="13">
        <v>2889</v>
      </c>
      <c r="AQ9" s="17">
        <f t="shared" si="2"/>
        <v>0</v>
      </c>
      <c r="AR9" s="17">
        <f t="shared" si="3"/>
        <v>0</v>
      </c>
      <c r="AS9" s="18">
        <f t="shared" si="4"/>
        <v>17.9</v>
      </c>
      <c r="AT9" s="17">
        <f t="shared" si="18"/>
        <v>6.18</v>
      </c>
    </row>
    <row r="10" spans="1:46">
      <c r="A10" s="6">
        <f t="shared" si="19"/>
        <v>43838</v>
      </c>
      <c r="B10" s="5" t="s">
        <v>55</v>
      </c>
      <c r="C10" s="4">
        <v>28900819</v>
      </c>
      <c r="D10" s="4">
        <v>14745130</v>
      </c>
      <c r="E10" s="4">
        <v>10479909</v>
      </c>
      <c r="F10" s="4">
        <v>10199695</v>
      </c>
      <c r="G10" s="4">
        <v>274743295</v>
      </c>
      <c r="H10" s="4">
        <v>105887225</v>
      </c>
      <c r="I10" s="4">
        <v>274743295</v>
      </c>
      <c r="J10" s="4">
        <v>105887225</v>
      </c>
      <c r="K10" s="4"/>
      <c r="L10" s="5">
        <v>4299.8</v>
      </c>
      <c r="M10" s="5">
        <v>4261.28</v>
      </c>
      <c r="N10" s="5">
        <v>73752.65</v>
      </c>
      <c r="O10" s="5"/>
      <c r="P10" s="5"/>
      <c r="Q10" s="10">
        <v>18.3</v>
      </c>
      <c r="R10" s="4" t="s">
        <v>54</v>
      </c>
      <c r="S10" s="4">
        <v>500</v>
      </c>
      <c r="T10" s="4">
        <v>510</v>
      </c>
      <c r="U10" s="4">
        <v>9125</v>
      </c>
      <c r="V10" s="4">
        <v>6875</v>
      </c>
      <c r="W10" s="5">
        <v>2.18</v>
      </c>
      <c r="X10" s="5">
        <v>5.41</v>
      </c>
      <c r="Y10" s="4">
        <v>1400</v>
      </c>
      <c r="Z10" s="4"/>
      <c r="AA10" s="13">
        <f t="shared" si="5"/>
        <v>41721</v>
      </c>
      <c r="AB10" s="13">
        <f t="shared" si="6"/>
        <v>51331</v>
      </c>
      <c r="AC10" s="13">
        <f t="shared" si="7"/>
        <v>54420</v>
      </c>
      <c r="AD10" s="13">
        <f t="shared" si="8"/>
        <v>47536</v>
      </c>
      <c r="AE10" s="13">
        <f t="shared" si="9"/>
        <v>176214</v>
      </c>
      <c r="AF10" s="13">
        <f t="shared" si="10"/>
        <v>5319</v>
      </c>
      <c r="AG10" s="13">
        <f t="shared" si="11"/>
        <v>18794</v>
      </c>
      <c r="AH10" s="13">
        <f t="shared" si="12"/>
        <v>185881</v>
      </c>
      <c r="AI10" s="13">
        <f t="shared" si="13"/>
        <v>5319</v>
      </c>
      <c r="AJ10" s="13">
        <f t="shared" si="14"/>
        <v>180562</v>
      </c>
      <c r="AK10" s="13">
        <v>3500</v>
      </c>
      <c r="AL10" s="13">
        <f t="shared" si="15"/>
        <v>0</v>
      </c>
      <c r="AM10" s="13">
        <f t="shared" si="16"/>
        <v>0</v>
      </c>
      <c r="AN10" s="13">
        <f t="shared" si="17"/>
        <v>3550</v>
      </c>
      <c r="AO10" s="13">
        <f t="shared" si="1"/>
        <v>1224</v>
      </c>
      <c r="AP10" s="13">
        <v>2768</v>
      </c>
      <c r="AQ10" s="17">
        <f t="shared" si="2"/>
        <v>0</v>
      </c>
      <c r="AR10" s="17">
        <f t="shared" si="3"/>
        <v>0</v>
      </c>
      <c r="AS10" s="18">
        <f t="shared" si="4"/>
        <v>19.7</v>
      </c>
      <c r="AT10" s="17">
        <f t="shared" si="18"/>
        <v>6.78</v>
      </c>
    </row>
    <row r="11" spans="1:46">
      <c r="A11" s="6">
        <f t="shared" si="19"/>
        <v>43839</v>
      </c>
      <c r="B11" s="5" t="s">
        <v>45</v>
      </c>
      <c r="C11" s="4">
        <v>28942540</v>
      </c>
      <c r="D11" s="4">
        <v>14796461</v>
      </c>
      <c r="E11" s="4">
        <v>10534329</v>
      </c>
      <c r="F11" s="4">
        <v>10247231</v>
      </c>
      <c r="G11" s="4">
        <v>274919509</v>
      </c>
      <c r="H11" s="4">
        <v>105892544</v>
      </c>
      <c r="I11" s="4">
        <v>274929176</v>
      </c>
      <c r="J11" s="4">
        <v>105892544</v>
      </c>
      <c r="K11" s="4"/>
      <c r="L11" s="5">
        <v>4299.8</v>
      </c>
      <c r="M11" s="5">
        <v>4261.28</v>
      </c>
      <c r="N11" s="5">
        <v>73752.65</v>
      </c>
      <c r="O11" s="5"/>
      <c r="P11" s="5"/>
      <c r="Q11" s="10">
        <v>18</v>
      </c>
      <c r="R11" s="4" t="s">
        <v>54</v>
      </c>
      <c r="S11" s="4">
        <v>630</v>
      </c>
      <c r="T11" s="4">
        <v>650</v>
      </c>
      <c r="U11" s="4">
        <v>8511</v>
      </c>
      <c r="V11" s="4">
        <v>5920</v>
      </c>
      <c r="W11" s="5">
        <v>5.06</v>
      </c>
      <c r="X11" s="5">
        <v>3.8</v>
      </c>
      <c r="Y11" s="4">
        <v>1440</v>
      </c>
      <c r="Z11" s="4"/>
      <c r="AA11" s="13">
        <f t="shared" si="5"/>
        <v>41561</v>
      </c>
      <c r="AB11" s="13">
        <f t="shared" si="6"/>
        <v>50983</v>
      </c>
      <c r="AC11" s="13">
        <f t="shared" si="7"/>
        <v>54413</v>
      </c>
      <c r="AD11" s="13">
        <f t="shared" si="8"/>
        <v>46817</v>
      </c>
      <c r="AE11" s="13">
        <f t="shared" si="9"/>
        <v>208619</v>
      </c>
      <c r="AF11" s="13">
        <f t="shared" si="10"/>
        <v>5654</v>
      </c>
      <c r="AG11" s="13">
        <f t="shared" si="11"/>
        <v>-14845</v>
      </c>
      <c r="AH11" s="13">
        <f t="shared" si="12"/>
        <v>198952</v>
      </c>
      <c r="AI11" s="13">
        <f t="shared" si="13"/>
        <v>5654</v>
      </c>
      <c r="AJ11" s="13">
        <f t="shared" si="14"/>
        <v>193298</v>
      </c>
      <c r="AK11" s="13">
        <v>3800</v>
      </c>
      <c r="AL11" s="13">
        <f t="shared" si="15"/>
        <v>0</v>
      </c>
      <c r="AM11" s="13">
        <f t="shared" si="16"/>
        <v>0</v>
      </c>
      <c r="AN11" s="13">
        <f t="shared" si="17"/>
        <v>4473</v>
      </c>
      <c r="AO11" s="13">
        <f t="shared" si="1"/>
        <v>1560</v>
      </c>
      <c r="AP11" s="13">
        <v>2799</v>
      </c>
      <c r="AQ11" s="17">
        <f t="shared" si="2"/>
        <v>0</v>
      </c>
      <c r="AR11" s="17">
        <f t="shared" si="3"/>
        <v>0</v>
      </c>
      <c r="AS11" s="18">
        <f t="shared" si="4"/>
        <v>23.1</v>
      </c>
      <c r="AT11" s="17">
        <f t="shared" si="18"/>
        <v>8.07</v>
      </c>
    </row>
    <row r="12" spans="1:46">
      <c r="A12" s="6">
        <f t="shared" si="19"/>
        <v>43840</v>
      </c>
      <c r="B12" s="5" t="s">
        <v>50</v>
      </c>
      <c r="C12" s="4">
        <v>28984101</v>
      </c>
      <c r="D12" s="4">
        <v>14847444</v>
      </c>
      <c r="E12" s="4">
        <v>10588742</v>
      </c>
      <c r="F12" s="4">
        <v>10294048</v>
      </c>
      <c r="G12" s="4">
        <v>275128128</v>
      </c>
      <c r="H12" s="4">
        <v>105898198</v>
      </c>
      <c r="I12" s="4">
        <v>275128128</v>
      </c>
      <c r="J12" s="4">
        <v>105898198</v>
      </c>
      <c r="K12" s="4"/>
      <c r="L12" s="5">
        <v>4299.8</v>
      </c>
      <c r="M12" s="5">
        <v>4261.28</v>
      </c>
      <c r="N12" s="5">
        <v>73752.65</v>
      </c>
      <c r="O12" s="5"/>
      <c r="P12" s="5"/>
      <c r="Q12" s="10">
        <v>18.2</v>
      </c>
      <c r="R12" s="4" t="s">
        <v>54</v>
      </c>
      <c r="S12" s="4">
        <v>700</v>
      </c>
      <c r="T12" s="4">
        <v>710</v>
      </c>
      <c r="U12" s="4">
        <v>10213</v>
      </c>
      <c r="V12" s="4">
        <v>6021</v>
      </c>
      <c r="W12" s="5">
        <v>3.55</v>
      </c>
      <c r="X12" s="5">
        <v>2.41</v>
      </c>
      <c r="Y12" s="4">
        <v>420</v>
      </c>
      <c r="Z12" s="4" t="s">
        <v>56</v>
      </c>
      <c r="AA12" s="13">
        <f t="shared" si="5"/>
        <v>50312</v>
      </c>
      <c r="AB12" s="13">
        <f t="shared" si="6"/>
        <v>64142</v>
      </c>
      <c r="AC12" s="13">
        <f t="shared" si="7"/>
        <v>64013</v>
      </c>
      <c r="AD12" s="13">
        <f t="shared" si="8"/>
        <v>57729</v>
      </c>
      <c r="AE12" s="13">
        <f t="shared" si="9"/>
        <v>197672</v>
      </c>
      <c r="AF12" s="13">
        <f t="shared" si="10"/>
        <v>5514</v>
      </c>
      <c r="AG12" s="13">
        <f t="shared" si="11"/>
        <v>38524</v>
      </c>
      <c r="AH12" s="13">
        <f t="shared" si="12"/>
        <v>197672</v>
      </c>
      <c r="AI12" s="13">
        <f t="shared" si="13"/>
        <v>5514</v>
      </c>
      <c r="AJ12" s="13">
        <f t="shared" si="14"/>
        <v>192158</v>
      </c>
      <c r="AK12" s="13">
        <v>3600</v>
      </c>
      <c r="AL12" s="13">
        <f t="shared" si="15"/>
        <v>0</v>
      </c>
      <c r="AM12" s="13">
        <f t="shared" si="16"/>
        <v>0</v>
      </c>
      <c r="AN12" s="13">
        <f t="shared" si="17"/>
        <v>4970</v>
      </c>
      <c r="AO12" s="13">
        <f t="shared" si="1"/>
        <v>1704</v>
      </c>
      <c r="AP12" s="13">
        <v>2806</v>
      </c>
      <c r="AQ12" s="17">
        <f t="shared" si="2"/>
        <v>0</v>
      </c>
      <c r="AR12" s="17">
        <f t="shared" si="3"/>
        <v>0</v>
      </c>
      <c r="AS12" s="18">
        <f t="shared" si="4"/>
        <v>25.9</v>
      </c>
      <c r="AT12" s="17">
        <f t="shared" si="18"/>
        <v>8.87</v>
      </c>
    </row>
    <row r="13" spans="1:46">
      <c r="A13" s="6">
        <f t="shared" si="19"/>
        <v>43841</v>
      </c>
      <c r="B13" s="5" t="s">
        <v>50</v>
      </c>
      <c r="C13" s="4">
        <v>29034413</v>
      </c>
      <c r="D13" s="4">
        <v>14911586</v>
      </c>
      <c r="E13" s="4">
        <v>10652755</v>
      </c>
      <c r="F13" s="4">
        <v>10351777</v>
      </c>
      <c r="G13" s="4">
        <v>275325800</v>
      </c>
      <c r="H13" s="4">
        <v>105903712</v>
      </c>
      <c r="I13" s="4">
        <v>275325800</v>
      </c>
      <c r="J13" s="4">
        <v>105903712</v>
      </c>
      <c r="K13" s="4"/>
      <c r="L13" s="5">
        <v>4299.8</v>
      </c>
      <c r="M13" s="5">
        <v>4261.28</v>
      </c>
      <c r="N13" s="5">
        <v>73752.65</v>
      </c>
      <c r="O13" s="5"/>
      <c r="P13" s="5"/>
      <c r="Q13" s="10">
        <v>18.5</v>
      </c>
      <c r="R13" s="4" t="s">
        <v>46</v>
      </c>
      <c r="S13" s="4">
        <v>720</v>
      </c>
      <c r="T13" s="4">
        <v>740</v>
      </c>
      <c r="U13" s="4">
        <v>9056</v>
      </c>
      <c r="V13" s="4">
        <v>7412</v>
      </c>
      <c r="W13" s="5">
        <v>5.12</v>
      </c>
      <c r="X13" s="5">
        <v>3.78</v>
      </c>
      <c r="Y13" s="4">
        <v>1320</v>
      </c>
      <c r="Z13" s="4"/>
      <c r="AA13" s="13">
        <f t="shared" si="5"/>
        <v>44757</v>
      </c>
      <c r="AB13" s="13">
        <f t="shared" si="6"/>
        <v>58873</v>
      </c>
      <c r="AC13" s="13">
        <f t="shared" si="7"/>
        <v>52150</v>
      </c>
      <c r="AD13" s="13">
        <f t="shared" si="8"/>
        <v>47187</v>
      </c>
      <c r="AE13" s="13">
        <f t="shared" si="9"/>
        <v>197445</v>
      </c>
      <c r="AF13" s="13">
        <f t="shared" si="10"/>
        <v>5587</v>
      </c>
      <c r="AG13" s="13">
        <f t="shared" si="11"/>
        <v>5522</v>
      </c>
      <c r="AH13" s="13">
        <f t="shared" si="12"/>
        <v>197445</v>
      </c>
      <c r="AI13" s="13">
        <f t="shared" si="13"/>
        <v>5587</v>
      </c>
      <c r="AJ13" s="13">
        <f t="shared" si="14"/>
        <v>191858</v>
      </c>
      <c r="AK13" s="13">
        <v>3300</v>
      </c>
      <c r="AL13" s="13">
        <f t="shared" si="15"/>
        <v>1488</v>
      </c>
      <c r="AM13" s="13">
        <f t="shared" si="16"/>
        <v>10</v>
      </c>
      <c r="AN13" s="13">
        <f t="shared" si="17"/>
        <v>5112</v>
      </c>
      <c r="AO13" s="13">
        <f t="shared" si="1"/>
        <v>1776</v>
      </c>
      <c r="AP13" s="13">
        <v>2836</v>
      </c>
      <c r="AQ13" s="17">
        <f t="shared" si="2"/>
        <v>7.8</v>
      </c>
      <c r="AR13" s="17">
        <f t="shared" si="3"/>
        <v>0.05</v>
      </c>
      <c r="AS13" s="18">
        <f t="shared" si="4"/>
        <v>26.6</v>
      </c>
      <c r="AT13" s="17">
        <f t="shared" si="18"/>
        <v>9.26</v>
      </c>
    </row>
    <row r="14" spans="1:46">
      <c r="A14" s="6">
        <f t="shared" si="19"/>
        <v>43842</v>
      </c>
      <c r="B14" s="5" t="s">
        <v>48</v>
      </c>
      <c r="C14" s="4">
        <v>29079170</v>
      </c>
      <c r="D14" s="4">
        <v>14970459</v>
      </c>
      <c r="E14" s="4">
        <v>10704905</v>
      </c>
      <c r="F14" s="4">
        <v>10398964</v>
      </c>
      <c r="G14" s="4">
        <v>275523245</v>
      </c>
      <c r="H14" s="4">
        <v>105909299</v>
      </c>
      <c r="I14" s="4">
        <v>275523245</v>
      </c>
      <c r="J14" s="4">
        <v>105909299</v>
      </c>
      <c r="K14" s="4"/>
      <c r="L14" s="5">
        <v>4299.8</v>
      </c>
      <c r="M14" s="5">
        <v>4262.52</v>
      </c>
      <c r="N14" s="5">
        <v>73757.46</v>
      </c>
      <c r="O14" s="5"/>
      <c r="P14" s="5"/>
      <c r="Q14" s="10">
        <v>18.7</v>
      </c>
      <c r="R14" s="4" t="s">
        <v>46</v>
      </c>
      <c r="S14" s="4">
        <v>520</v>
      </c>
      <c r="T14" s="4">
        <v>550</v>
      </c>
      <c r="U14" s="4">
        <v>9021</v>
      </c>
      <c r="V14" s="4">
        <v>5596</v>
      </c>
      <c r="W14" s="5">
        <v>5.6</v>
      </c>
      <c r="X14" s="5">
        <v>3.5</v>
      </c>
      <c r="Y14" s="4">
        <v>1440</v>
      </c>
      <c r="Z14" s="4"/>
      <c r="AA14" s="13">
        <f t="shared" si="5"/>
        <v>42974</v>
      </c>
      <c r="AB14" s="13">
        <f t="shared" si="6"/>
        <v>56457</v>
      </c>
      <c r="AC14" s="13">
        <f t="shared" si="7"/>
        <v>51034</v>
      </c>
      <c r="AD14" s="13">
        <f t="shared" si="8"/>
        <v>45917</v>
      </c>
      <c r="AE14" s="13">
        <f t="shared" si="9"/>
        <v>192360</v>
      </c>
      <c r="AF14" s="13">
        <f t="shared" si="10"/>
        <v>5534</v>
      </c>
      <c r="AG14" s="13">
        <f t="shared" si="11"/>
        <v>4022</v>
      </c>
      <c r="AH14" s="13">
        <f t="shared" si="12"/>
        <v>192360</v>
      </c>
      <c r="AI14" s="13">
        <f t="shared" si="13"/>
        <v>5534</v>
      </c>
      <c r="AJ14" s="13">
        <f t="shared" si="14"/>
        <v>186826</v>
      </c>
      <c r="AK14" s="13">
        <v>3500</v>
      </c>
      <c r="AL14" s="13">
        <f t="shared" si="15"/>
        <v>3912</v>
      </c>
      <c r="AM14" s="13">
        <f t="shared" si="16"/>
        <v>51</v>
      </c>
      <c r="AN14" s="13">
        <f t="shared" si="17"/>
        <v>3692</v>
      </c>
      <c r="AO14" s="13">
        <f t="shared" si="1"/>
        <v>1320</v>
      </c>
      <c r="AP14" s="13">
        <v>3152</v>
      </c>
      <c r="AQ14" s="17">
        <f t="shared" si="2"/>
        <v>20.9</v>
      </c>
      <c r="AR14" s="17">
        <f t="shared" si="3"/>
        <v>0.27</v>
      </c>
      <c r="AS14" s="18">
        <f t="shared" si="4"/>
        <v>19.8</v>
      </c>
      <c r="AT14" s="17">
        <f t="shared" si="18"/>
        <v>7.07</v>
      </c>
    </row>
    <row r="15" spans="1:46">
      <c r="A15" s="6">
        <f t="shared" si="19"/>
        <v>43843</v>
      </c>
      <c r="B15" s="5" t="s">
        <v>50</v>
      </c>
      <c r="C15" s="4">
        <v>29122144</v>
      </c>
      <c r="D15" s="4">
        <v>15026916</v>
      </c>
      <c r="E15" s="4">
        <v>10755939</v>
      </c>
      <c r="F15" s="4">
        <v>10444881</v>
      </c>
      <c r="G15" s="4">
        <v>275715605</v>
      </c>
      <c r="H15" s="4">
        <v>105914833</v>
      </c>
      <c r="I15" s="4">
        <v>275715605</v>
      </c>
      <c r="J15" s="4">
        <v>105914833</v>
      </c>
      <c r="K15" s="4"/>
      <c r="L15" s="5">
        <v>4299.8</v>
      </c>
      <c r="M15" s="5">
        <v>4265.78</v>
      </c>
      <c r="N15" s="5">
        <v>73782.82</v>
      </c>
      <c r="O15" s="5"/>
      <c r="P15" s="5"/>
      <c r="Q15" s="10">
        <v>18.2</v>
      </c>
      <c r="R15" s="4" t="s">
        <v>46</v>
      </c>
      <c r="S15" s="4">
        <v>470</v>
      </c>
      <c r="T15" s="4">
        <v>500</v>
      </c>
      <c r="U15" s="4">
        <v>7990</v>
      </c>
      <c r="V15" s="4">
        <v>7211</v>
      </c>
      <c r="W15" s="5">
        <v>4.72</v>
      </c>
      <c r="X15" s="5">
        <v>3.32</v>
      </c>
      <c r="Y15" s="4">
        <v>1440</v>
      </c>
      <c r="Z15" s="4"/>
      <c r="AA15" s="13">
        <f t="shared" si="5"/>
        <v>40004</v>
      </c>
      <c r="AB15" s="13">
        <f t="shared" si="6"/>
        <v>52409</v>
      </c>
      <c r="AC15" s="13">
        <f t="shared" si="7"/>
        <v>47379</v>
      </c>
      <c r="AD15" s="13">
        <f t="shared" si="8"/>
        <v>42668</v>
      </c>
      <c r="AE15" s="13">
        <f t="shared" si="9"/>
        <v>181716</v>
      </c>
      <c r="AF15" s="13">
        <f t="shared" si="10"/>
        <v>5545</v>
      </c>
      <c r="AG15" s="13">
        <f t="shared" si="11"/>
        <v>744</v>
      </c>
      <c r="AH15" s="13">
        <f t="shared" si="12"/>
        <v>181716</v>
      </c>
      <c r="AI15" s="13">
        <f t="shared" si="13"/>
        <v>5545</v>
      </c>
      <c r="AJ15" s="13">
        <f t="shared" si="14"/>
        <v>176171</v>
      </c>
      <c r="AK15" s="13">
        <v>3200</v>
      </c>
      <c r="AL15" s="13">
        <f t="shared" si="15"/>
        <v>1296</v>
      </c>
      <c r="AM15" s="13">
        <f t="shared" si="16"/>
        <v>19</v>
      </c>
      <c r="AN15" s="13">
        <f t="shared" si="17"/>
        <v>3337</v>
      </c>
      <c r="AO15" s="13">
        <f t="shared" si="1"/>
        <v>1200</v>
      </c>
      <c r="AP15" s="13">
        <v>3099</v>
      </c>
      <c r="AQ15" s="17">
        <f t="shared" si="2"/>
        <v>7.4</v>
      </c>
      <c r="AR15" s="17">
        <f t="shared" si="3"/>
        <v>0.11</v>
      </c>
      <c r="AS15" s="18">
        <f t="shared" si="4"/>
        <v>18.9</v>
      </c>
      <c r="AT15" s="17">
        <f t="shared" si="18"/>
        <v>6.81</v>
      </c>
    </row>
    <row r="16" spans="1:46">
      <c r="A16" s="6">
        <f t="shared" si="19"/>
        <v>43844</v>
      </c>
      <c r="B16" s="5" t="s">
        <v>50</v>
      </c>
      <c r="C16" s="4">
        <v>29162148</v>
      </c>
      <c r="D16" s="4">
        <v>15079325</v>
      </c>
      <c r="E16" s="4">
        <v>10803318</v>
      </c>
      <c r="F16" s="4">
        <v>10487549</v>
      </c>
      <c r="G16" s="4">
        <v>275897321</v>
      </c>
      <c r="H16" s="4">
        <v>105920378</v>
      </c>
      <c r="I16" s="4">
        <v>275897321</v>
      </c>
      <c r="J16" s="4">
        <v>105920378</v>
      </c>
      <c r="K16" s="4"/>
      <c r="L16" s="5">
        <v>4299.8</v>
      </c>
      <c r="M16" s="5">
        <v>4266.86</v>
      </c>
      <c r="N16" s="5">
        <v>73792.24</v>
      </c>
      <c r="O16" s="5"/>
      <c r="P16" s="5"/>
      <c r="Q16" s="10">
        <v>18.4</v>
      </c>
      <c r="R16" s="4" t="s">
        <v>46</v>
      </c>
      <c r="S16" s="4">
        <v>350</v>
      </c>
      <c r="T16" s="4">
        <v>370</v>
      </c>
      <c r="U16" s="4">
        <v>7845</v>
      </c>
      <c r="V16" s="4">
        <v>5412</v>
      </c>
      <c r="W16" s="5">
        <v>4.6</v>
      </c>
      <c r="X16" s="5">
        <v>2.56</v>
      </c>
      <c r="Y16" s="4">
        <v>1320</v>
      </c>
      <c r="Z16" s="4"/>
      <c r="AA16" s="13">
        <f t="shared" si="5"/>
        <v>39540</v>
      </c>
      <c r="AB16" s="13">
        <f t="shared" si="6"/>
        <v>48318</v>
      </c>
      <c r="AC16" s="13">
        <f t="shared" si="7"/>
        <v>45986</v>
      </c>
      <c r="AD16" s="13">
        <f t="shared" si="8"/>
        <v>41162</v>
      </c>
      <c r="AE16" s="13">
        <f t="shared" si="9"/>
        <v>178124</v>
      </c>
      <c r="AF16" s="13">
        <f t="shared" si="10"/>
        <v>5534</v>
      </c>
      <c r="AG16" s="13">
        <f t="shared" si="11"/>
        <v>-3118</v>
      </c>
      <c r="AH16" s="13">
        <f t="shared" si="12"/>
        <v>178124</v>
      </c>
      <c r="AI16" s="13">
        <f t="shared" si="13"/>
        <v>5534</v>
      </c>
      <c r="AJ16" s="13">
        <f t="shared" si="14"/>
        <v>172590</v>
      </c>
      <c r="AK16" s="13">
        <v>3500</v>
      </c>
      <c r="AL16" s="13">
        <f t="shared" si="15"/>
        <v>0</v>
      </c>
      <c r="AM16" s="13">
        <f t="shared" si="16"/>
        <v>0</v>
      </c>
      <c r="AN16" s="13">
        <f t="shared" si="17"/>
        <v>2485</v>
      </c>
      <c r="AO16" s="13">
        <f t="shared" si="1"/>
        <v>888</v>
      </c>
      <c r="AP16" s="13">
        <v>3205</v>
      </c>
      <c r="AQ16" s="17">
        <f t="shared" si="2"/>
        <v>0</v>
      </c>
      <c r="AR16" s="17">
        <f t="shared" si="3"/>
        <v>0</v>
      </c>
      <c r="AS16" s="18">
        <f t="shared" si="4"/>
        <v>14.4</v>
      </c>
      <c r="AT16" s="17">
        <f t="shared" si="18"/>
        <v>5.15</v>
      </c>
    </row>
    <row r="17" spans="1:46">
      <c r="A17" s="6">
        <f t="shared" si="19"/>
        <v>43845</v>
      </c>
      <c r="B17" s="5" t="s">
        <v>48</v>
      </c>
      <c r="C17" s="4">
        <v>29201688</v>
      </c>
      <c r="D17" s="4">
        <v>15127643</v>
      </c>
      <c r="E17" s="4">
        <v>10849304</v>
      </c>
      <c r="F17" s="4">
        <v>10528711</v>
      </c>
      <c r="G17" s="4">
        <v>276075445</v>
      </c>
      <c r="H17" s="4">
        <v>105925912</v>
      </c>
      <c r="I17" s="4">
        <v>276075445</v>
      </c>
      <c r="J17" s="4">
        <v>105925912</v>
      </c>
      <c r="K17" s="4"/>
      <c r="L17" s="5">
        <v>4299.8</v>
      </c>
      <c r="M17" s="5">
        <v>4266.86</v>
      </c>
      <c r="N17" s="5">
        <v>73792.24</v>
      </c>
      <c r="O17" s="5"/>
      <c r="P17" s="5"/>
      <c r="Q17" s="10">
        <v>17.8</v>
      </c>
      <c r="R17" s="4" t="s">
        <v>46</v>
      </c>
      <c r="S17" s="4">
        <v>380</v>
      </c>
      <c r="T17" s="4">
        <v>300</v>
      </c>
      <c r="U17" s="4">
        <v>7600</v>
      </c>
      <c r="V17" s="4">
        <v>4300</v>
      </c>
      <c r="W17" s="5">
        <v>4.6</v>
      </c>
      <c r="X17" s="5">
        <v>2.5</v>
      </c>
      <c r="Y17" s="4">
        <v>978</v>
      </c>
      <c r="Z17" s="4"/>
      <c r="AA17" s="13">
        <f t="shared" si="5"/>
        <v>38575</v>
      </c>
      <c r="AB17" s="13">
        <f t="shared" si="6"/>
        <v>45918</v>
      </c>
      <c r="AC17" s="13">
        <f t="shared" si="7"/>
        <v>44477</v>
      </c>
      <c r="AD17" s="13">
        <f t="shared" si="8"/>
        <v>40027</v>
      </c>
      <c r="AE17" s="13">
        <f t="shared" si="9"/>
        <v>167153</v>
      </c>
      <c r="AF17" s="13">
        <f t="shared" si="10"/>
        <v>5470</v>
      </c>
      <c r="AG17" s="13">
        <f t="shared" si="11"/>
        <v>1844</v>
      </c>
      <c r="AH17" s="13">
        <f t="shared" si="12"/>
        <v>167153</v>
      </c>
      <c r="AI17" s="13">
        <f t="shared" si="13"/>
        <v>5470</v>
      </c>
      <c r="AJ17" s="13">
        <f t="shared" si="14"/>
        <v>161683</v>
      </c>
      <c r="AK17" s="13">
        <v>5000</v>
      </c>
      <c r="AL17" s="13">
        <f t="shared" si="15"/>
        <v>0</v>
      </c>
      <c r="AM17" s="13">
        <f t="shared" si="16"/>
        <v>0</v>
      </c>
      <c r="AN17" s="13">
        <f t="shared" si="17"/>
        <v>2698</v>
      </c>
      <c r="AO17" s="13">
        <f t="shared" si="1"/>
        <v>720</v>
      </c>
      <c r="AP17" s="13">
        <v>3155</v>
      </c>
      <c r="AQ17" s="17">
        <f t="shared" si="2"/>
        <v>0</v>
      </c>
      <c r="AR17" s="17">
        <f t="shared" si="3"/>
        <v>0</v>
      </c>
      <c r="AS17" s="18">
        <f t="shared" si="4"/>
        <v>16.7</v>
      </c>
      <c r="AT17" s="17">
        <f t="shared" si="18"/>
        <v>4.45</v>
      </c>
    </row>
    <row r="18" spans="1:46">
      <c r="A18" s="6">
        <f t="shared" si="19"/>
        <v>43846</v>
      </c>
      <c r="B18" s="5" t="s">
        <v>55</v>
      </c>
      <c r="C18" s="4">
        <v>29240263</v>
      </c>
      <c r="D18" s="4">
        <v>15173561</v>
      </c>
      <c r="E18" s="4">
        <v>10893781</v>
      </c>
      <c r="F18" s="4">
        <v>10568738</v>
      </c>
      <c r="G18" s="4">
        <v>276242598</v>
      </c>
      <c r="H18" s="4">
        <v>105931382</v>
      </c>
      <c r="I18" s="4">
        <v>276242598</v>
      </c>
      <c r="J18" s="4">
        <v>105931382</v>
      </c>
      <c r="K18" s="4"/>
      <c r="L18" s="5">
        <v>4299.8</v>
      </c>
      <c r="M18" s="5">
        <v>4266.86</v>
      </c>
      <c r="N18" s="5">
        <v>73792.24</v>
      </c>
      <c r="O18" s="5"/>
      <c r="P18" s="5"/>
      <c r="Q18" s="10">
        <v>17.6</v>
      </c>
      <c r="R18" s="4" t="s">
        <v>46</v>
      </c>
      <c r="S18" s="4">
        <v>450</v>
      </c>
      <c r="T18" s="4">
        <v>470</v>
      </c>
      <c r="U18" s="4">
        <v>7512</v>
      </c>
      <c r="V18" s="4">
        <v>3146</v>
      </c>
      <c r="W18" s="5">
        <v>5.24</v>
      </c>
      <c r="X18" s="5">
        <v>2.35</v>
      </c>
      <c r="Y18" s="4">
        <v>1260</v>
      </c>
      <c r="Z18" s="4"/>
      <c r="AA18" s="13">
        <f t="shared" si="5"/>
        <v>36218</v>
      </c>
      <c r="AB18" s="13">
        <f t="shared" si="6"/>
        <v>42559</v>
      </c>
      <c r="AC18" s="13">
        <f t="shared" si="7"/>
        <v>40995</v>
      </c>
      <c r="AD18" s="13">
        <f t="shared" si="8"/>
        <v>37138</v>
      </c>
      <c r="AE18" s="13">
        <f t="shared" si="9"/>
        <v>154241</v>
      </c>
      <c r="AF18" s="13">
        <f t="shared" si="10"/>
        <v>5596</v>
      </c>
      <c r="AG18" s="13">
        <f t="shared" si="11"/>
        <v>2669</v>
      </c>
      <c r="AH18" s="13">
        <f t="shared" si="12"/>
        <v>154241</v>
      </c>
      <c r="AI18" s="13">
        <f t="shared" si="13"/>
        <v>5596</v>
      </c>
      <c r="AJ18" s="13">
        <f t="shared" si="14"/>
        <v>148645</v>
      </c>
      <c r="AK18" s="13">
        <v>5200</v>
      </c>
      <c r="AL18" s="13">
        <f t="shared" si="15"/>
        <v>0</v>
      </c>
      <c r="AM18" s="13">
        <f t="shared" si="16"/>
        <v>0</v>
      </c>
      <c r="AN18" s="13">
        <f t="shared" si="17"/>
        <v>3195</v>
      </c>
      <c r="AO18" s="13">
        <f t="shared" si="1"/>
        <v>1128</v>
      </c>
      <c r="AP18" s="13">
        <v>2825</v>
      </c>
      <c r="AQ18" s="17">
        <f t="shared" si="2"/>
        <v>0</v>
      </c>
      <c r="AR18" s="17">
        <f t="shared" si="3"/>
        <v>0</v>
      </c>
      <c r="AS18" s="18">
        <f t="shared" si="4"/>
        <v>21.5</v>
      </c>
      <c r="AT18" s="17">
        <f t="shared" si="18"/>
        <v>7.59</v>
      </c>
    </row>
    <row r="19" spans="1:46">
      <c r="A19" s="6">
        <f t="shared" si="19"/>
        <v>43847</v>
      </c>
      <c r="B19" s="5" t="s">
        <v>50</v>
      </c>
      <c r="C19" s="4">
        <v>29276481</v>
      </c>
      <c r="D19" s="4">
        <v>15216120</v>
      </c>
      <c r="E19" s="4">
        <v>10934776</v>
      </c>
      <c r="F19" s="4">
        <v>10605876</v>
      </c>
      <c r="G19" s="4">
        <v>276396839</v>
      </c>
      <c r="H19" s="4">
        <v>105936978</v>
      </c>
      <c r="I19" s="4">
        <v>276396839</v>
      </c>
      <c r="J19" s="4">
        <v>105936978</v>
      </c>
      <c r="K19" s="4"/>
      <c r="L19" s="5">
        <v>4299.8</v>
      </c>
      <c r="M19" s="5">
        <v>4266.86</v>
      </c>
      <c r="N19" s="5">
        <v>73792.24</v>
      </c>
      <c r="O19" s="5"/>
      <c r="P19" s="5"/>
      <c r="Q19" s="10">
        <v>20.8</v>
      </c>
      <c r="R19" s="4" t="s">
        <v>46</v>
      </c>
      <c r="S19" s="4">
        <v>750</v>
      </c>
      <c r="T19" s="4">
        <v>760</v>
      </c>
      <c r="U19" s="4">
        <v>7994</v>
      </c>
      <c r="V19" s="4">
        <v>3139</v>
      </c>
      <c r="W19" s="5">
        <v>4.52</v>
      </c>
      <c r="X19" s="5">
        <v>2.8</v>
      </c>
      <c r="Y19" s="4">
        <v>1230</v>
      </c>
      <c r="Z19" s="4"/>
      <c r="AA19" s="13">
        <f t="shared" si="5"/>
        <v>37871</v>
      </c>
      <c r="AB19" s="13">
        <f t="shared" si="6"/>
        <v>45017</v>
      </c>
      <c r="AC19" s="13">
        <f t="shared" si="7"/>
        <v>43390</v>
      </c>
      <c r="AD19" s="13">
        <f t="shared" si="8"/>
        <v>38996</v>
      </c>
      <c r="AE19" s="13">
        <f t="shared" si="9"/>
        <v>164922</v>
      </c>
      <c r="AF19" s="13">
        <f t="shared" si="10"/>
        <v>5560</v>
      </c>
      <c r="AG19" s="13">
        <f t="shared" si="11"/>
        <v>352</v>
      </c>
      <c r="AH19" s="13">
        <f t="shared" si="12"/>
        <v>164922</v>
      </c>
      <c r="AI19" s="13">
        <f t="shared" si="13"/>
        <v>5560</v>
      </c>
      <c r="AJ19" s="13">
        <f t="shared" si="14"/>
        <v>159362</v>
      </c>
      <c r="AK19" s="13">
        <v>5000</v>
      </c>
      <c r="AL19" s="13">
        <f t="shared" si="15"/>
        <v>1644</v>
      </c>
      <c r="AM19" s="13">
        <f t="shared" si="16"/>
        <v>3</v>
      </c>
      <c r="AN19" s="13">
        <f t="shared" si="17"/>
        <v>5325</v>
      </c>
      <c r="AO19" s="13">
        <f t="shared" si="1"/>
        <v>1824</v>
      </c>
      <c r="AP19" s="13">
        <v>2453</v>
      </c>
      <c r="AQ19" s="17">
        <f t="shared" si="2"/>
        <v>10.3</v>
      </c>
      <c r="AR19" s="17">
        <f t="shared" si="3"/>
        <v>0.02</v>
      </c>
      <c r="AS19" s="18">
        <f t="shared" si="4"/>
        <v>33.4</v>
      </c>
      <c r="AT19" s="17">
        <f t="shared" si="18"/>
        <v>11.45</v>
      </c>
    </row>
    <row r="20" spans="1:46">
      <c r="A20" s="6">
        <f t="shared" si="19"/>
        <v>43848</v>
      </c>
      <c r="B20" s="5" t="s">
        <v>50</v>
      </c>
      <c r="C20" s="4">
        <v>29314352</v>
      </c>
      <c r="D20" s="4">
        <v>15261137</v>
      </c>
      <c r="E20" s="4">
        <v>10978166</v>
      </c>
      <c r="F20" s="4">
        <v>10644872</v>
      </c>
      <c r="G20" s="4">
        <v>276561761</v>
      </c>
      <c r="H20" s="4">
        <v>105942538</v>
      </c>
      <c r="I20" s="4">
        <v>276561761</v>
      </c>
      <c r="J20" s="4">
        <v>105942538</v>
      </c>
      <c r="K20" s="4"/>
      <c r="L20" s="5">
        <v>4299.8</v>
      </c>
      <c r="M20" s="5">
        <v>4268.23</v>
      </c>
      <c r="N20" s="5">
        <v>73793.77</v>
      </c>
      <c r="O20" s="5"/>
      <c r="P20" s="5"/>
      <c r="Q20" s="10">
        <v>22.5</v>
      </c>
      <c r="R20" s="4" t="s">
        <v>46</v>
      </c>
      <c r="S20" s="4">
        <v>700</v>
      </c>
      <c r="T20" s="4">
        <v>710</v>
      </c>
      <c r="U20" s="4">
        <v>7237</v>
      </c>
      <c r="V20" s="4">
        <v>5104</v>
      </c>
      <c r="W20" s="5">
        <v>5.53</v>
      </c>
      <c r="X20" s="5">
        <v>2.67</v>
      </c>
      <c r="Y20" s="4">
        <v>1260</v>
      </c>
      <c r="Z20" s="4"/>
      <c r="AA20" s="13">
        <f t="shared" si="5"/>
        <v>37113</v>
      </c>
      <c r="AB20" s="13">
        <f t="shared" si="6"/>
        <v>42974</v>
      </c>
      <c r="AC20" s="13">
        <f t="shared" si="7"/>
        <v>41949</v>
      </c>
      <c r="AD20" s="13">
        <f t="shared" si="8"/>
        <v>37849</v>
      </c>
      <c r="AE20" s="13">
        <f t="shared" si="9"/>
        <v>151904</v>
      </c>
      <c r="AF20" s="13">
        <f t="shared" si="10"/>
        <v>5528</v>
      </c>
      <c r="AG20" s="13">
        <f t="shared" si="11"/>
        <v>7981</v>
      </c>
      <c r="AH20" s="13">
        <f t="shared" si="12"/>
        <v>151904</v>
      </c>
      <c r="AI20" s="13">
        <f t="shared" si="13"/>
        <v>5528</v>
      </c>
      <c r="AJ20" s="13">
        <f t="shared" si="14"/>
        <v>146376</v>
      </c>
      <c r="AK20" s="13">
        <v>5100</v>
      </c>
      <c r="AL20" s="13">
        <f t="shared" si="15"/>
        <v>9060</v>
      </c>
      <c r="AM20" s="13">
        <f t="shared" si="16"/>
        <v>51</v>
      </c>
      <c r="AN20" s="13">
        <f t="shared" si="17"/>
        <v>4970</v>
      </c>
      <c r="AO20" s="13">
        <f t="shared" si="1"/>
        <v>1704</v>
      </c>
      <c r="AP20" s="13">
        <v>3191</v>
      </c>
      <c r="AQ20" s="17">
        <f t="shared" si="2"/>
        <v>61.9</v>
      </c>
      <c r="AR20" s="17">
        <f t="shared" si="3"/>
        <v>0.35</v>
      </c>
      <c r="AS20" s="18">
        <f t="shared" si="4"/>
        <v>34</v>
      </c>
      <c r="AT20" s="17">
        <f t="shared" si="18"/>
        <v>11.64</v>
      </c>
    </row>
    <row r="21" spans="1:46">
      <c r="A21" s="6">
        <f t="shared" si="19"/>
        <v>43849</v>
      </c>
      <c r="B21" s="5" t="s">
        <v>50</v>
      </c>
      <c r="C21" s="4">
        <v>29351465</v>
      </c>
      <c r="D21" s="4">
        <v>15304111</v>
      </c>
      <c r="E21" s="4">
        <v>11020115</v>
      </c>
      <c r="F21" s="4">
        <v>10682721</v>
      </c>
      <c r="G21" s="4">
        <v>276713665</v>
      </c>
      <c r="H21" s="4">
        <v>105948066</v>
      </c>
      <c r="I21" s="4">
        <v>276713665</v>
      </c>
      <c r="J21" s="4">
        <v>105948066</v>
      </c>
      <c r="K21" s="4"/>
      <c r="L21" s="5">
        <v>4299.8</v>
      </c>
      <c r="M21" s="5">
        <v>4275.78</v>
      </c>
      <c r="N21" s="5">
        <v>73819.17</v>
      </c>
      <c r="O21" s="5"/>
      <c r="P21" s="5"/>
      <c r="Q21" s="10">
        <v>25</v>
      </c>
      <c r="R21" s="4" t="s">
        <v>46</v>
      </c>
      <c r="S21" s="4">
        <v>480</v>
      </c>
      <c r="T21" s="4">
        <v>500</v>
      </c>
      <c r="U21" s="4">
        <v>8039</v>
      </c>
      <c r="V21" s="4">
        <v>4979</v>
      </c>
      <c r="W21" s="5">
        <v>5.42</v>
      </c>
      <c r="X21" s="5">
        <v>2.9</v>
      </c>
      <c r="Y21" s="4">
        <v>1140</v>
      </c>
      <c r="Z21" s="4"/>
      <c r="AA21" s="13">
        <f t="shared" si="5"/>
        <v>39498</v>
      </c>
      <c r="AB21" s="13">
        <f t="shared" si="6"/>
        <v>47209</v>
      </c>
      <c r="AC21" s="13">
        <f t="shared" si="7"/>
        <v>45751</v>
      </c>
      <c r="AD21" s="13">
        <f t="shared" si="8"/>
        <v>40772</v>
      </c>
      <c r="AE21" s="13">
        <f t="shared" si="9"/>
        <v>171566</v>
      </c>
      <c r="AF21" s="13">
        <f t="shared" si="10"/>
        <v>5514</v>
      </c>
      <c r="AG21" s="13">
        <f t="shared" si="11"/>
        <v>1664</v>
      </c>
      <c r="AH21" s="13">
        <f t="shared" si="12"/>
        <v>171566</v>
      </c>
      <c r="AI21" s="13">
        <f t="shared" si="13"/>
        <v>5514</v>
      </c>
      <c r="AJ21" s="13">
        <f t="shared" si="14"/>
        <v>166052</v>
      </c>
      <c r="AK21" s="13">
        <v>4000</v>
      </c>
      <c r="AL21" s="13">
        <f t="shared" si="15"/>
        <v>0</v>
      </c>
      <c r="AM21" s="13">
        <f t="shared" si="16"/>
        <v>0</v>
      </c>
      <c r="AN21" s="13">
        <f t="shared" si="17"/>
        <v>3408</v>
      </c>
      <c r="AO21" s="13">
        <f t="shared" si="1"/>
        <v>1200</v>
      </c>
      <c r="AP21" s="13">
        <v>3140</v>
      </c>
      <c r="AQ21" s="17">
        <f t="shared" si="2"/>
        <v>0</v>
      </c>
      <c r="AR21" s="17">
        <f t="shared" si="3"/>
        <v>0</v>
      </c>
      <c r="AS21" s="18">
        <f t="shared" si="4"/>
        <v>20.5</v>
      </c>
      <c r="AT21" s="17">
        <f t="shared" si="18"/>
        <v>7.23</v>
      </c>
    </row>
    <row r="22" spans="1:46">
      <c r="A22" s="6">
        <f t="shared" si="19"/>
        <v>43850</v>
      </c>
      <c r="B22" s="5" t="s">
        <v>50</v>
      </c>
      <c r="C22" s="4">
        <v>29390963</v>
      </c>
      <c r="D22" s="4">
        <v>15351320</v>
      </c>
      <c r="E22" s="4">
        <v>11065866</v>
      </c>
      <c r="F22" s="4">
        <v>10723493</v>
      </c>
      <c r="G22" s="4">
        <v>276885231</v>
      </c>
      <c r="H22" s="4">
        <v>105953580</v>
      </c>
      <c r="I22" s="4">
        <v>276885231</v>
      </c>
      <c r="J22" s="4">
        <v>105953580</v>
      </c>
      <c r="K22" s="4"/>
      <c r="L22" s="5">
        <v>4299.8</v>
      </c>
      <c r="M22" s="5">
        <v>4275.78</v>
      </c>
      <c r="N22" s="5">
        <v>73819.17</v>
      </c>
      <c r="O22" s="5"/>
      <c r="P22" s="5"/>
      <c r="Q22" s="10">
        <v>17.8</v>
      </c>
      <c r="R22" s="4" t="s">
        <v>54</v>
      </c>
      <c r="S22" s="4">
        <v>650</v>
      </c>
      <c r="T22" s="4">
        <v>640</v>
      </c>
      <c r="U22" s="4">
        <v>6582</v>
      </c>
      <c r="V22" s="4">
        <v>1825</v>
      </c>
      <c r="W22" s="5">
        <v>4.61</v>
      </c>
      <c r="X22" s="5">
        <v>2.23</v>
      </c>
      <c r="Y22" s="4">
        <v>1080</v>
      </c>
      <c r="Z22" s="4" t="s">
        <v>57</v>
      </c>
      <c r="AA22" s="13">
        <f t="shared" si="5"/>
        <v>33159</v>
      </c>
      <c r="AB22" s="13">
        <f t="shared" si="6"/>
        <v>38044</v>
      </c>
      <c r="AC22" s="13">
        <f t="shared" si="7"/>
        <v>36835</v>
      </c>
      <c r="AD22" s="13">
        <f t="shared" si="8"/>
        <v>33406</v>
      </c>
      <c r="AE22" s="13">
        <f t="shared" si="9"/>
        <v>138915</v>
      </c>
      <c r="AF22" s="13">
        <f t="shared" si="10"/>
        <v>5535</v>
      </c>
      <c r="AG22" s="13">
        <f t="shared" si="11"/>
        <v>2529</v>
      </c>
      <c r="AH22" s="13">
        <f t="shared" si="12"/>
        <v>138915</v>
      </c>
      <c r="AI22" s="13">
        <f t="shared" si="13"/>
        <v>5535</v>
      </c>
      <c r="AJ22" s="13">
        <f t="shared" si="14"/>
        <v>133380</v>
      </c>
      <c r="AK22" s="13">
        <v>4200</v>
      </c>
      <c r="AL22" s="13">
        <f t="shared" si="15"/>
        <v>0</v>
      </c>
      <c r="AM22" s="13">
        <f t="shared" si="16"/>
        <v>0</v>
      </c>
      <c r="AN22" s="13">
        <f t="shared" si="17"/>
        <v>4615</v>
      </c>
      <c r="AO22" s="13">
        <f t="shared" si="1"/>
        <v>1536</v>
      </c>
      <c r="AP22" s="13">
        <v>3235</v>
      </c>
      <c r="AQ22" s="17">
        <f t="shared" si="2"/>
        <v>0</v>
      </c>
      <c r="AR22" s="17">
        <f t="shared" si="3"/>
        <v>0</v>
      </c>
      <c r="AS22" s="18">
        <f t="shared" si="4"/>
        <v>34.6</v>
      </c>
      <c r="AT22" s="17">
        <f t="shared" si="18"/>
        <v>11.52</v>
      </c>
    </row>
    <row r="23" spans="1:46">
      <c r="A23" s="6">
        <f t="shared" si="19"/>
        <v>43851</v>
      </c>
      <c r="B23" s="5" t="s">
        <v>50</v>
      </c>
      <c r="C23" s="4">
        <v>29424122</v>
      </c>
      <c r="D23" s="4">
        <v>15389364</v>
      </c>
      <c r="E23" s="4">
        <v>11102701</v>
      </c>
      <c r="F23" s="4">
        <v>10756899</v>
      </c>
      <c r="G23" s="4">
        <v>277024146</v>
      </c>
      <c r="H23" s="4">
        <v>105959115</v>
      </c>
      <c r="I23" s="4">
        <v>277024146</v>
      </c>
      <c r="J23" s="4">
        <v>105959115</v>
      </c>
      <c r="K23" s="4"/>
      <c r="L23" s="5">
        <v>4299.8</v>
      </c>
      <c r="M23" s="5">
        <v>4275.78</v>
      </c>
      <c r="N23" s="5">
        <v>73819.17</v>
      </c>
      <c r="O23" s="5"/>
      <c r="P23" s="5"/>
      <c r="Q23" s="10">
        <v>18</v>
      </c>
      <c r="R23" s="4" t="s">
        <v>54</v>
      </c>
      <c r="S23" s="4">
        <v>450</v>
      </c>
      <c r="T23" s="4">
        <v>460</v>
      </c>
      <c r="U23" s="4">
        <v>7302</v>
      </c>
      <c r="V23" s="4">
        <v>6391</v>
      </c>
      <c r="W23" s="5">
        <v>4.78</v>
      </c>
      <c r="X23" s="5">
        <v>3.79</v>
      </c>
      <c r="Y23" s="4">
        <v>1440</v>
      </c>
      <c r="Z23" s="4"/>
      <c r="AA23" s="13">
        <f t="shared" si="5"/>
        <v>37197</v>
      </c>
      <c r="AB23" s="13">
        <f t="shared" si="6"/>
        <v>43214</v>
      </c>
      <c r="AC23" s="13">
        <f t="shared" si="7"/>
        <v>42697</v>
      </c>
      <c r="AD23" s="13">
        <f t="shared" si="8"/>
        <v>38683</v>
      </c>
      <c r="AE23" s="13">
        <f t="shared" si="9"/>
        <v>159735</v>
      </c>
      <c r="AF23" s="13">
        <f t="shared" si="10"/>
        <v>5540</v>
      </c>
      <c r="AG23" s="13">
        <f t="shared" si="11"/>
        <v>2056</v>
      </c>
      <c r="AH23" s="13">
        <f t="shared" si="12"/>
        <v>159735</v>
      </c>
      <c r="AI23" s="13">
        <f t="shared" si="13"/>
        <v>5540</v>
      </c>
      <c r="AJ23" s="13">
        <f t="shared" si="14"/>
        <v>154195</v>
      </c>
      <c r="AK23" s="13">
        <v>4000</v>
      </c>
      <c r="AL23" s="13">
        <f t="shared" si="15"/>
        <v>0</v>
      </c>
      <c r="AM23" s="13">
        <f t="shared" si="16"/>
        <v>0</v>
      </c>
      <c r="AN23" s="13">
        <f t="shared" si="17"/>
        <v>3195</v>
      </c>
      <c r="AO23" s="13">
        <f t="shared" si="1"/>
        <v>1104</v>
      </c>
      <c r="AP23" s="13">
        <v>2954</v>
      </c>
      <c r="AQ23" s="17">
        <f t="shared" si="2"/>
        <v>0</v>
      </c>
      <c r="AR23" s="17">
        <f t="shared" si="3"/>
        <v>0</v>
      </c>
      <c r="AS23" s="18">
        <f t="shared" si="4"/>
        <v>20.7</v>
      </c>
      <c r="AT23" s="17">
        <f t="shared" si="18"/>
        <v>7.16</v>
      </c>
    </row>
    <row r="24" spans="1:46">
      <c r="A24" s="6">
        <f t="shared" si="19"/>
        <v>43852</v>
      </c>
      <c r="B24" s="5" t="s">
        <v>47</v>
      </c>
      <c r="C24" s="4">
        <v>29461319</v>
      </c>
      <c r="D24" s="4">
        <v>15432578</v>
      </c>
      <c r="E24" s="4">
        <v>11145398</v>
      </c>
      <c r="F24" s="4">
        <v>10795582</v>
      </c>
      <c r="G24" s="4">
        <v>277183881</v>
      </c>
      <c r="H24" s="4">
        <v>105964655</v>
      </c>
      <c r="I24" s="4">
        <v>277183881</v>
      </c>
      <c r="J24" s="4">
        <v>105964655</v>
      </c>
      <c r="K24" s="4"/>
      <c r="L24" s="5">
        <v>4299.8</v>
      </c>
      <c r="M24" s="5">
        <v>4275.78</v>
      </c>
      <c r="N24" s="5">
        <v>73819.17</v>
      </c>
      <c r="O24" s="5"/>
      <c r="P24" s="5"/>
      <c r="Q24" s="10">
        <v>17.3</v>
      </c>
      <c r="R24" s="4" t="s">
        <v>54</v>
      </c>
      <c r="S24" s="4">
        <v>440</v>
      </c>
      <c r="T24" s="4">
        <v>450</v>
      </c>
      <c r="U24" s="4">
        <v>8336</v>
      </c>
      <c r="V24" s="4">
        <v>5236</v>
      </c>
      <c r="W24" s="5">
        <v>4.12</v>
      </c>
      <c r="X24" s="5">
        <v>2.43</v>
      </c>
      <c r="Y24" s="4">
        <v>960</v>
      </c>
      <c r="Z24" s="4"/>
      <c r="AA24" s="13">
        <f t="shared" si="5"/>
        <v>41629</v>
      </c>
      <c r="AB24" s="13">
        <f t="shared" si="6"/>
        <v>50004</v>
      </c>
      <c r="AC24" s="13">
        <f t="shared" si="7"/>
        <v>48241</v>
      </c>
      <c r="AD24" s="13">
        <f t="shared" si="8"/>
        <v>42720</v>
      </c>
      <c r="AE24" s="13">
        <f t="shared" si="9"/>
        <v>170875</v>
      </c>
      <c r="AF24" s="13">
        <f t="shared" si="10"/>
        <v>5554</v>
      </c>
      <c r="AG24" s="13">
        <f t="shared" si="11"/>
        <v>11719</v>
      </c>
      <c r="AH24" s="13">
        <f t="shared" si="12"/>
        <v>170875</v>
      </c>
      <c r="AI24" s="13">
        <f t="shared" si="13"/>
        <v>5554</v>
      </c>
      <c r="AJ24" s="13">
        <f t="shared" si="14"/>
        <v>165321</v>
      </c>
      <c r="AK24" s="13">
        <v>4690</v>
      </c>
      <c r="AL24" s="13">
        <f t="shared" si="15"/>
        <v>0</v>
      </c>
      <c r="AM24" s="13">
        <f t="shared" si="16"/>
        <v>0</v>
      </c>
      <c r="AN24" s="13">
        <f t="shared" si="17"/>
        <v>3124</v>
      </c>
      <c r="AO24" s="13">
        <f t="shared" si="1"/>
        <v>1080</v>
      </c>
      <c r="AP24" s="13">
        <v>3011</v>
      </c>
      <c r="AQ24" s="17">
        <f t="shared" si="2"/>
        <v>0</v>
      </c>
      <c r="AR24" s="17">
        <f t="shared" si="3"/>
        <v>0</v>
      </c>
      <c r="AS24" s="18">
        <f t="shared" si="4"/>
        <v>18.9</v>
      </c>
      <c r="AT24" s="17">
        <f t="shared" si="18"/>
        <v>6.53</v>
      </c>
    </row>
    <row r="25" spans="1:46">
      <c r="A25" s="6">
        <f t="shared" si="19"/>
        <v>43853</v>
      </c>
      <c r="B25" s="5" t="s">
        <v>48</v>
      </c>
      <c r="C25" s="4">
        <v>29502948</v>
      </c>
      <c r="D25" s="4">
        <v>15482582</v>
      </c>
      <c r="E25" s="4">
        <v>11193639</v>
      </c>
      <c r="F25" s="4">
        <v>10838302</v>
      </c>
      <c r="G25" s="4">
        <v>277354756</v>
      </c>
      <c r="H25" s="4">
        <v>105970209</v>
      </c>
      <c r="I25" s="4">
        <v>277354756</v>
      </c>
      <c r="J25" s="4">
        <v>105970209</v>
      </c>
      <c r="K25" s="4"/>
      <c r="L25" s="5">
        <v>4299.8</v>
      </c>
      <c r="M25" s="5">
        <v>4275.78</v>
      </c>
      <c r="N25" s="5">
        <v>73819.17</v>
      </c>
      <c r="O25" s="5"/>
      <c r="P25" s="5"/>
      <c r="Q25" s="10">
        <v>17.1</v>
      </c>
      <c r="R25" s="4" t="s">
        <v>52</v>
      </c>
      <c r="S25" s="4">
        <v>650</v>
      </c>
      <c r="T25" s="4">
        <v>660</v>
      </c>
      <c r="U25" s="4">
        <v>10378</v>
      </c>
      <c r="V25" s="4">
        <v>8264</v>
      </c>
      <c r="W25" s="5">
        <v>6.21</v>
      </c>
      <c r="X25" s="5">
        <v>3.58</v>
      </c>
      <c r="Y25" s="4">
        <v>1440</v>
      </c>
      <c r="Z25" s="4"/>
      <c r="AA25" s="13">
        <f t="shared" si="5"/>
        <v>50908</v>
      </c>
      <c r="AB25" s="13">
        <f t="shared" si="6"/>
        <v>60143</v>
      </c>
      <c r="AC25" s="13">
        <f t="shared" si="7"/>
        <v>60952</v>
      </c>
      <c r="AD25" s="13">
        <f t="shared" si="8"/>
        <v>57581</v>
      </c>
      <c r="AE25" s="13">
        <f t="shared" si="9"/>
        <v>207300</v>
      </c>
      <c r="AF25" s="13">
        <f t="shared" si="10"/>
        <v>5513</v>
      </c>
      <c r="AG25" s="13">
        <f t="shared" si="11"/>
        <v>22284</v>
      </c>
      <c r="AH25" s="13">
        <f t="shared" si="12"/>
        <v>207300</v>
      </c>
      <c r="AI25" s="13">
        <f t="shared" si="13"/>
        <v>5513</v>
      </c>
      <c r="AJ25" s="13">
        <f t="shared" si="14"/>
        <v>201787</v>
      </c>
      <c r="AK25" s="13">
        <v>4300</v>
      </c>
      <c r="AL25" s="13">
        <f t="shared" si="15"/>
        <v>0</v>
      </c>
      <c r="AM25" s="13">
        <f t="shared" si="16"/>
        <v>0</v>
      </c>
      <c r="AN25" s="13">
        <f t="shared" si="17"/>
        <v>4615</v>
      </c>
      <c r="AO25" s="13">
        <f t="shared" si="1"/>
        <v>1584</v>
      </c>
      <c r="AP25" s="13">
        <v>3165</v>
      </c>
      <c r="AQ25" s="17">
        <f t="shared" si="2"/>
        <v>0</v>
      </c>
      <c r="AR25" s="17">
        <f t="shared" si="3"/>
        <v>0</v>
      </c>
      <c r="AS25" s="18">
        <f t="shared" si="4"/>
        <v>22.9</v>
      </c>
      <c r="AT25" s="17">
        <f t="shared" si="18"/>
        <v>7.85</v>
      </c>
    </row>
    <row r="26" spans="1:46">
      <c r="A26" s="6">
        <f t="shared" si="19"/>
        <v>43854</v>
      </c>
      <c r="B26" s="5" t="s">
        <v>50</v>
      </c>
      <c r="C26" s="4">
        <v>29553856</v>
      </c>
      <c r="D26" s="4">
        <v>15542725</v>
      </c>
      <c r="E26" s="4">
        <v>11254591</v>
      </c>
      <c r="F26" s="4">
        <v>10895883</v>
      </c>
      <c r="G26" s="4">
        <v>277562056</v>
      </c>
      <c r="H26" s="4">
        <v>105975722</v>
      </c>
      <c r="I26" s="4">
        <v>277562056</v>
      </c>
      <c r="J26" s="4">
        <v>105975722</v>
      </c>
      <c r="K26" s="4"/>
      <c r="L26" s="5">
        <v>4299.8</v>
      </c>
      <c r="M26" s="5">
        <v>4275.78</v>
      </c>
      <c r="N26" s="5">
        <v>73819.17</v>
      </c>
      <c r="O26" s="5"/>
      <c r="P26" s="5"/>
      <c r="Q26" s="10">
        <v>16.4</v>
      </c>
      <c r="R26" s="4" t="s">
        <v>52</v>
      </c>
      <c r="S26" s="4">
        <v>700</v>
      </c>
      <c r="T26" s="4">
        <v>690</v>
      </c>
      <c r="U26" s="4">
        <v>9129</v>
      </c>
      <c r="V26" s="4">
        <v>7884</v>
      </c>
      <c r="W26" s="5">
        <v>6.5</v>
      </c>
      <c r="X26" s="5">
        <v>5.11</v>
      </c>
      <c r="Y26" s="4">
        <v>1440</v>
      </c>
      <c r="Z26" s="4"/>
      <c r="AA26" s="13">
        <f t="shared" si="5"/>
        <v>47352</v>
      </c>
      <c r="AB26" s="13">
        <f t="shared" si="6"/>
        <v>60273</v>
      </c>
      <c r="AC26" s="13">
        <f t="shared" si="7"/>
        <v>56050</v>
      </c>
      <c r="AD26" s="13">
        <f t="shared" si="8"/>
        <v>52687</v>
      </c>
      <c r="AE26" s="13">
        <f t="shared" si="9"/>
        <v>206729</v>
      </c>
      <c r="AF26" s="13">
        <f t="shared" si="10"/>
        <v>5522</v>
      </c>
      <c r="AG26" s="13">
        <f t="shared" si="11"/>
        <v>9633</v>
      </c>
      <c r="AH26" s="13">
        <f t="shared" si="12"/>
        <v>206729</v>
      </c>
      <c r="AI26" s="13">
        <f t="shared" si="13"/>
        <v>5522</v>
      </c>
      <c r="AJ26" s="13">
        <f t="shared" si="14"/>
        <v>201207</v>
      </c>
      <c r="AK26" s="13">
        <v>4200</v>
      </c>
      <c r="AL26" s="13">
        <f t="shared" si="15"/>
        <v>0</v>
      </c>
      <c r="AM26" s="13">
        <f t="shared" si="16"/>
        <v>0</v>
      </c>
      <c r="AN26" s="13">
        <f t="shared" si="17"/>
        <v>4970</v>
      </c>
      <c r="AO26" s="13">
        <f t="shared" si="1"/>
        <v>1656</v>
      </c>
      <c r="AP26" s="13">
        <v>2850</v>
      </c>
      <c r="AQ26" s="17">
        <f t="shared" si="2"/>
        <v>0</v>
      </c>
      <c r="AR26" s="17">
        <f t="shared" si="3"/>
        <v>0</v>
      </c>
      <c r="AS26" s="18">
        <f t="shared" si="4"/>
        <v>24.7</v>
      </c>
      <c r="AT26" s="17">
        <f t="shared" si="18"/>
        <v>8.23</v>
      </c>
    </row>
    <row r="27" spans="1:46">
      <c r="A27" s="6">
        <f t="shared" si="19"/>
        <v>43855</v>
      </c>
      <c r="B27" s="5" t="s">
        <v>50</v>
      </c>
      <c r="C27" s="4">
        <v>29601208</v>
      </c>
      <c r="D27" s="4">
        <v>15602998</v>
      </c>
      <c r="E27" s="4">
        <v>11310641</v>
      </c>
      <c r="F27" s="4">
        <v>10948570</v>
      </c>
      <c r="G27" s="4">
        <v>277768785</v>
      </c>
      <c r="H27" s="4">
        <v>105981244</v>
      </c>
      <c r="I27" s="4">
        <v>277768785</v>
      </c>
      <c r="J27" s="4">
        <v>105981244</v>
      </c>
      <c r="K27" s="4"/>
      <c r="L27" s="5">
        <v>4299.8</v>
      </c>
      <c r="M27" s="5">
        <v>4275.78</v>
      </c>
      <c r="N27" s="5">
        <v>73819.17</v>
      </c>
      <c r="O27" s="5"/>
      <c r="P27" s="5"/>
      <c r="Q27" s="10">
        <v>16.7</v>
      </c>
      <c r="R27" s="4" t="s">
        <v>54</v>
      </c>
      <c r="S27" s="4">
        <v>500</v>
      </c>
      <c r="T27" s="4">
        <v>520</v>
      </c>
      <c r="U27" s="4">
        <v>9206</v>
      </c>
      <c r="V27" s="4">
        <v>7791</v>
      </c>
      <c r="W27" s="5">
        <v>5.25</v>
      </c>
      <c r="X27" s="5">
        <v>3.07</v>
      </c>
      <c r="Y27" s="4">
        <v>1290</v>
      </c>
      <c r="Z27" s="4"/>
      <c r="AA27" s="13">
        <f t="shared" si="5"/>
        <v>46824</v>
      </c>
      <c r="AB27" s="13">
        <f t="shared" si="6"/>
        <v>58594</v>
      </c>
      <c r="AC27" s="13">
        <f t="shared" si="7"/>
        <v>55650</v>
      </c>
      <c r="AD27" s="13">
        <f t="shared" si="8"/>
        <v>51206</v>
      </c>
      <c r="AE27" s="13">
        <f t="shared" si="9"/>
        <v>206166</v>
      </c>
      <c r="AF27" s="13">
        <f t="shared" si="10"/>
        <v>5536</v>
      </c>
      <c r="AG27" s="13">
        <f t="shared" si="11"/>
        <v>6108</v>
      </c>
      <c r="AH27" s="13">
        <f t="shared" si="12"/>
        <v>206166</v>
      </c>
      <c r="AI27" s="13">
        <f t="shared" si="13"/>
        <v>5536</v>
      </c>
      <c r="AJ27" s="13">
        <f t="shared" si="14"/>
        <v>200630</v>
      </c>
      <c r="AK27" s="13">
        <v>4000</v>
      </c>
      <c r="AL27" s="13">
        <f t="shared" si="15"/>
        <v>0</v>
      </c>
      <c r="AM27" s="13">
        <f t="shared" si="16"/>
        <v>0</v>
      </c>
      <c r="AN27" s="13">
        <f t="shared" si="17"/>
        <v>3550</v>
      </c>
      <c r="AO27" s="13">
        <f t="shared" si="1"/>
        <v>1248</v>
      </c>
      <c r="AP27" s="13">
        <v>3011</v>
      </c>
      <c r="AQ27" s="17">
        <f t="shared" si="2"/>
        <v>0</v>
      </c>
      <c r="AR27" s="17">
        <f t="shared" si="3"/>
        <v>0</v>
      </c>
      <c r="AS27" s="18">
        <f t="shared" si="4"/>
        <v>17.7</v>
      </c>
      <c r="AT27" s="17">
        <f t="shared" si="18"/>
        <v>6.22</v>
      </c>
    </row>
    <row r="28" spans="1:46">
      <c r="A28" s="6">
        <f t="shared" si="19"/>
        <v>43856</v>
      </c>
      <c r="B28" s="5" t="s">
        <v>50</v>
      </c>
      <c r="C28" s="4">
        <v>29648032</v>
      </c>
      <c r="D28" s="4">
        <v>15661592</v>
      </c>
      <c r="E28" s="4">
        <v>11366291</v>
      </c>
      <c r="F28" s="4">
        <v>10999776</v>
      </c>
      <c r="G28" s="4">
        <v>277974951</v>
      </c>
      <c r="H28" s="4">
        <v>105986780</v>
      </c>
      <c r="I28" s="4">
        <v>277974951</v>
      </c>
      <c r="J28" s="4">
        <v>105986780</v>
      </c>
      <c r="K28" s="4"/>
      <c r="L28" s="5">
        <v>4299.8</v>
      </c>
      <c r="M28" s="5">
        <v>4275.78</v>
      </c>
      <c r="N28" s="5">
        <v>73819.17</v>
      </c>
      <c r="O28" s="5"/>
      <c r="P28" s="5"/>
      <c r="Q28" s="10">
        <v>16.5</v>
      </c>
      <c r="R28" s="4" t="s">
        <v>54</v>
      </c>
      <c r="S28" s="4">
        <v>650</v>
      </c>
      <c r="T28" s="4">
        <v>640</v>
      </c>
      <c r="U28" s="4">
        <v>9696</v>
      </c>
      <c r="V28" s="4">
        <v>7994</v>
      </c>
      <c r="W28" s="5">
        <v>7.56</v>
      </c>
      <c r="X28" s="5">
        <v>2.75</v>
      </c>
      <c r="Y28" s="4">
        <v>1230</v>
      </c>
      <c r="Z28" s="4"/>
      <c r="AA28" s="13">
        <f t="shared" si="5"/>
        <v>48677</v>
      </c>
      <c r="AB28" s="13">
        <f t="shared" si="6"/>
        <v>61068</v>
      </c>
      <c r="AC28" s="13">
        <f t="shared" si="7"/>
        <v>56857</v>
      </c>
      <c r="AD28" s="13">
        <f t="shared" si="8"/>
        <v>53993</v>
      </c>
      <c r="AE28" s="13">
        <f t="shared" si="9"/>
        <v>206199</v>
      </c>
      <c r="AF28" s="13">
        <f t="shared" si="10"/>
        <v>5512</v>
      </c>
      <c r="AG28" s="13">
        <f t="shared" si="11"/>
        <v>14396</v>
      </c>
      <c r="AH28" s="13">
        <f t="shared" si="12"/>
        <v>206199</v>
      </c>
      <c r="AI28" s="13">
        <f t="shared" si="13"/>
        <v>5512</v>
      </c>
      <c r="AJ28" s="13">
        <f t="shared" si="14"/>
        <v>200687</v>
      </c>
      <c r="AK28" s="13">
        <v>4200</v>
      </c>
      <c r="AL28" s="13">
        <f t="shared" si="15"/>
        <v>0</v>
      </c>
      <c r="AM28" s="13">
        <f t="shared" si="16"/>
        <v>0</v>
      </c>
      <c r="AN28" s="13">
        <f t="shared" si="17"/>
        <v>4615</v>
      </c>
      <c r="AO28" s="13">
        <f t="shared" si="1"/>
        <v>1536</v>
      </c>
      <c r="AP28" s="13">
        <v>3356</v>
      </c>
      <c r="AQ28" s="17">
        <f t="shared" si="2"/>
        <v>0</v>
      </c>
      <c r="AR28" s="17">
        <f t="shared" si="3"/>
        <v>0</v>
      </c>
      <c r="AS28" s="18">
        <f t="shared" si="4"/>
        <v>23</v>
      </c>
      <c r="AT28" s="17">
        <f t="shared" si="18"/>
        <v>7.65</v>
      </c>
    </row>
    <row r="29" spans="1:46">
      <c r="A29" s="6">
        <f t="shared" si="19"/>
        <v>43857</v>
      </c>
      <c r="B29" s="5" t="s">
        <v>50</v>
      </c>
      <c r="C29" s="4">
        <v>29696709</v>
      </c>
      <c r="D29" s="4">
        <v>15722660</v>
      </c>
      <c r="E29" s="4">
        <v>11423148</v>
      </c>
      <c r="F29" s="4">
        <v>11053769</v>
      </c>
      <c r="G29" s="4">
        <v>278181150</v>
      </c>
      <c r="H29" s="4">
        <v>105992292</v>
      </c>
      <c r="I29" s="4">
        <v>278181150</v>
      </c>
      <c r="J29" s="4">
        <v>105992292</v>
      </c>
      <c r="K29" s="4"/>
      <c r="L29" s="5">
        <v>4299.8</v>
      </c>
      <c r="M29" s="5">
        <v>4275.78</v>
      </c>
      <c r="N29" s="5">
        <v>73819.17</v>
      </c>
      <c r="O29" s="5"/>
      <c r="P29" s="5"/>
      <c r="Q29" s="10">
        <v>16</v>
      </c>
      <c r="R29" s="4" t="s">
        <v>52</v>
      </c>
      <c r="S29" s="4">
        <v>550</v>
      </c>
      <c r="T29" s="4">
        <v>560</v>
      </c>
      <c r="U29" s="4">
        <v>10352</v>
      </c>
      <c r="V29" s="4">
        <v>7998</v>
      </c>
      <c r="W29" s="5">
        <v>7.46</v>
      </c>
      <c r="X29" s="5">
        <v>4.78</v>
      </c>
      <c r="Y29" s="4">
        <v>1440</v>
      </c>
      <c r="Z29" s="4"/>
      <c r="AA29" s="13">
        <f t="shared" si="5"/>
        <v>51273</v>
      </c>
      <c r="AB29" s="13">
        <f t="shared" si="6"/>
        <v>63323</v>
      </c>
      <c r="AC29" s="13">
        <f t="shared" si="7"/>
        <v>57678</v>
      </c>
      <c r="AD29" s="13">
        <f t="shared" si="8"/>
        <v>55976</v>
      </c>
      <c r="AE29" s="13">
        <f t="shared" si="9"/>
        <v>209908</v>
      </c>
      <c r="AF29" s="13">
        <f t="shared" si="10"/>
        <v>5508</v>
      </c>
      <c r="AG29" s="13">
        <f t="shared" si="11"/>
        <v>18342</v>
      </c>
      <c r="AH29" s="13">
        <f t="shared" si="12"/>
        <v>209908</v>
      </c>
      <c r="AI29" s="13">
        <f t="shared" si="13"/>
        <v>5508</v>
      </c>
      <c r="AJ29" s="13">
        <f t="shared" si="14"/>
        <v>204400</v>
      </c>
      <c r="AK29" s="13">
        <v>4300</v>
      </c>
      <c r="AL29" s="13">
        <f t="shared" si="15"/>
        <v>0</v>
      </c>
      <c r="AM29" s="13">
        <f t="shared" si="16"/>
        <v>0</v>
      </c>
      <c r="AN29" s="13">
        <f t="shared" si="17"/>
        <v>3905</v>
      </c>
      <c r="AO29" s="13">
        <f t="shared" si="1"/>
        <v>1344</v>
      </c>
      <c r="AP29" s="13">
        <v>3484</v>
      </c>
      <c r="AQ29" s="17">
        <f t="shared" si="2"/>
        <v>0</v>
      </c>
      <c r="AR29" s="17">
        <f t="shared" si="3"/>
        <v>0</v>
      </c>
      <c r="AS29" s="18">
        <f t="shared" si="4"/>
        <v>19.1</v>
      </c>
      <c r="AT29" s="17">
        <f t="shared" si="18"/>
        <v>6.58</v>
      </c>
    </row>
    <row r="30" spans="1:46">
      <c r="A30" s="6">
        <f t="shared" si="19"/>
        <v>43858</v>
      </c>
      <c r="B30" s="5" t="s">
        <v>50</v>
      </c>
      <c r="C30" s="4">
        <v>29747982</v>
      </c>
      <c r="D30" s="4">
        <v>15785983</v>
      </c>
      <c r="E30" s="4">
        <v>11480826</v>
      </c>
      <c r="F30" s="4">
        <v>11109745</v>
      </c>
      <c r="G30" s="4">
        <v>278391058</v>
      </c>
      <c r="H30" s="4">
        <v>105997800</v>
      </c>
      <c r="I30" s="4">
        <v>278391058</v>
      </c>
      <c r="J30" s="4">
        <v>105997800</v>
      </c>
      <c r="K30" s="4"/>
      <c r="L30" s="5">
        <v>4299.8</v>
      </c>
      <c r="M30" s="5">
        <v>4275.78</v>
      </c>
      <c r="N30" s="5">
        <v>73819.17</v>
      </c>
      <c r="O30" s="5"/>
      <c r="P30" s="5"/>
      <c r="Q30" s="10">
        <v>16.4</v>
      </c>
      <c r="R30" s="4" t="s">
        <v>54</v>
      </c>
      <c r="S30" s="4">
        <v>480</v>
      </c>
      <c r="T30" s="4">
        <v>500</v>
      </c>
      <c r="U30" s="4">
        <v>9352</v>
      </c>
      <c r="V30" s="4">
        <v>8119</v>
      </c>
      <c r="W30" s="5">
        <v>7.39</v>
      </c>
      <c r="X30" s="5">
        <v>5.12</v>
      </c>
      <c r="Y30" s="4">
        <v>1440</v>
      </c>
      <c r="Z30" s="4"/>
      <c r="AA30" s="13">
        <f t="shared" si="5"/>
        <v>48718</v>
      </c>
      <c r="AB30" s="13">
        <f t="shared" si="6"/>
        <v>61279</v>
      </c>
      <c r="AC30" s="13">
        <f t="shared" si="7"/>
        <v>56394</v>
      </c>
      <c r="AD30" s="13">
        <f t="shared" si="8"/>
        <v>53948</v>
      </c>
      <c r="AE30" s="13">
        <f t="shared" si="9"/>
        <v>213414</v>
      </c>
      <c r="AF30" s="13">
        <f t="shared" si="10"/>
        <v>5520</v>
      </c>
      <c r="AG30" s="13">
        <f t="shared" si="11"/>
        <v>6925</v>
      </c>
      <c r="AH30" s="13">
        <f t="shared" si="12"/>
        <v>213414</v>
      </c>
      <c r="AI30" s="13">
        <f t="shared" si="13"/>
        <v>5520</v>
      </c>
      <c r="AJ30" s="13">
        <f t="shared" si="14"/>
        <v>207894</v>
      </c>
      <c r="AK30" s="13">
        <v>4500</v>
      </c>
      <c r="AL30" s="13">
        <f t="shared" si="15"/>
        <v>0</v>
      </c>
      <c r="AM30" s="13">
        <f t="shared" si="16"/>
        <v>0</v>
      </c>
      <c r="AN30" s="13">
        <f t="shared" si="17"/>
        <v>3408</v>
      </c>
      <c r="AO30" s="13">
        <f t="shared" si="1"/>
        <v>1200</v>
      </c>
      <c r="AP30" s="13">
        <v>3059</v>
      </c>
      <c r="AQ30" s="17">
        <f t="shared" si="2"/>
        <v>0</v>
      </c>
      <c r="AR30" s="17">
        <f t="shared" si="3"/>
        <v>0</v>
      </c>
      <c r="AS30" s="18">
        <f t="shared" si="4"/>
        <v>16.4</v>
      </c>
      <c r="AT30" s="17">
        <f t="shared" si="18"/>
        <v>5.77</v>
      </c>
    </row>
    <row r="31" spans="1:46">
      <c r="A31" s="6">
        <f t="shared" si="19"/>
        <v>43859</v>
      </c>
      <c r="B31" s="5" t="s">
        <v>50</v>
      </c>
      <c r="C31" s="4">
        <v>29796700</v>
      </c>
      <c r="D31" s="4">
        <v>15847262</v>
      </c>
      <c r="E31" s="4">
        <v>11537220</v>
      </c>
      <c r="F31" s="4">
        <v>11163693</v>
      </c>
      <c r="G31" s="4">
        <v>278604472</v>
      </c>
      <c r="H31" s="4">
        <v>106003320</v>
      </c>
      <c r="I31" s="4">
        <v>278604472</v>
      </c>
      <c r="J31" s="4">
        <v>106003320</v>
      </c>
      <c r="K31" s="4"/>
      <c r="L31" s="5">
        <v>4299.8</v>
      </c>
      <c r="M31" s="5">
        <v>4275.78</v>
      </c>
      <c r="N31" s="5">
        <v>73819.17</v>
      </c>
      <c r="O31" s="5"/>
      <c r="P31" s="5"/>
      <c r="Q31" s="10">
        <v>16.6</v>
      </c>
      <c r="R31" s="4" t="s">
        <v>54</v>
      </c>
      <c r="S31" s="4">
        <v>520</v>
      </c>
      <c r="T31" s="4">
        <v>510</v>
      </c>
      <c r="U31" s="4">
        <v>9674</v>
      </c>
      <c r="V31" s="4">
        <v>6992</v>
      </c>
      <c r="W31" s="5">
        <v>7.06</v>
      </c>
      <c r="X31" s="5">
        <v>4.82</v>
      </c>
      <c r="Y31" s="4">
        <v>1440</v>
      </c>
      <c r="Z31" s="4"/>
      <c r="AA31" s="13">
        <f t="shared" si="5"/>
        <v>46596</v>
      </c>
      <c r="AB31" s="13">
        <f t="shared" si="6"/>
        <v>58333</v>
      </c>
      <c r="AC31" s="13">
        <f t="shared" si="7"/>
        <v>56689</v>
      </c>
      <c r="AD31" s="13">
        <f t="shared" si="8"/>
        <v>51803</v>
      </c>
      <c r="AE31" s="13">
        <f t="shared" si="9"/>
        <v>206573</v>
      </c>
      <c r="AF31" s="13">
        <f t="shared" si="10"/>
        <v>5544</v>
      </c>
      <c r="AG31" s="13">
        <f t="shared" si="11"/>
        <v>6848</v>
      </c>
      <c r="AH31" s="13">
        <f t="shared" si="12"/>
        <v>206573</v>
      </c>
      <c r="AI31" s="13">
        <f t="shared" si="13"/>
        <v>5544</v>
      </c>
      <c r="AJ31" s="13">
        <f t="shared" si="14"/>
        <v>201029</v>
      </c>
      <c r="AK31" s="13">
        <v>4300</v>
      </c>
      <c r="AL31" s="13">
        <f t="shared" si="15"/>
        <v>0</v>
      </c>
      <c r="AM31" s="13">
        <f t="shared" si="16"/>
        <v>0</v>
      </c>
      <c r="AN31" s="13">
        <f t="shared" si="17"/>
        <v>3692</v>
      </c>
      <c r="AO31" s="13">
        <f t="shared" si="1"/>
        <v>1224</v>
      </c>
      <c r="AP31" s="13">
        <v>2803</v>
      </c>
      <c r="AQ31" s="17">
        <f t="shared" si="2"/>
        <v>0</v>
      </c>
      <c r="AR31" s="17">
        <f t="shared" si="3"/>
        <v>0</v>
      </c>
      <c r="AS31" s="18">
        <f t="shared" si="4"/>
        <v>18.4</v>
      </c>
      <c r="AT31" s="17">
        <f t="shared" si="18"/>
        <v>6.09</v>
      </c>
    </row>
    <row r="32" spans="1:46">
      <c r="A32" s="6">
        <f t="shared" si="19"/>
        <v>43860</v>
      </c>
      <c r="B32" s="5" t="s">
        <v>50</v>
      </c>
      <c r="C32" s="4">
        <v>29843296</v>
      </c>
      <c r="D32" s="4">
        <v>15905595</v>
      </c>
      <c r="E32" s="4">
        <v>11593909</v>
      </c>
      <c r="F32" s="4">
        <v>11215496</v>
      </c>
      <c r="G32" s="4">
        <v>278811045</v>
      </c>
      <c r="H32" s="4">
        <v>106008864</v>
      </c>
      <c r="I32" s="4">
        <v>278811045</v>
      </c>
      <c r="J32" s="4">
        <v>106008864</v>
      </c>
      <c r="K32" s="4"/>
      <c r="L32" s="5">
        <v>4299.8</v>
      </c>
      <c r="M32" s="5">
        <v>4275.78</v>
      </c>
      <c r="N32" s="5">
        <v>73819.17</v>
      </c>
      <c r="O32" s="5"/>
      <c r="P32" s="5"/>
      <c r="Q32" s="10">
        <v>16.5</v>
      </c>
      <c r="R32" s="4" t="s">
        <v>54</v>
      </c>
      <c r="S32" s="4">
        <v>300</v>
      </c>
      <c r="T32" s="4">
        <v>280</v>
      </c>
      <c r="U32" s="4">
        <v>9215</v>
      </c>
      <c r="V32" s="4">
        <v>8451</v>
      </c>
      <c r="W32" s="5">
        <v>6.1</v>
      </c>
      <c r="X32" s="5">
        <v>4.2</v>
      </c>
      <c r="Y32" s="4">
        <v>1440</v>
      </c>
      <c r="Z32" s="4"/>
      <c r="AA32" s="13">
        <f t="shared" si="5"/>
        <v>49037</v>
      </c>
      <c r="AB32" s="13">
        <f t="shared" si="6"/>
        <v>61511</v>
      </c>
      <c r="AC32" s="13">
        <f t="shared" si="7"/>
        <v>57845</v>
      </c>
      <c r="AD32" s="13">
        <f t="shared" si="8"/>
        <v>54536</v>
      </c>
      <c r="AE32" s="13">
        <f t="shared" si="9"/>
        <v>212465</v>
      </c>
      <c r="AF32" s="13">
        <f t="shared" si="10"/>
        <v>5493</v>
      </c>
      <c r="AG32" s="13">
        <f t="shared" si="11"/>
        <v>10464</v>
      </c>
      <c r="AH32" s="13">
        <f t="shared" si="12"/>
        <v>212465</v>
      </c>
      <c r="AI32" s="13">
        <f t="shared" si="13"/>
        <v>5493</v>
      </c>
      <c r="AJ32" s="13">
        <f t="shared" si="14"/>
        <v>206972</v>
      </c>
      <c r="AK32" s="13">
        <v>4500</v>
      </c>
      <c r="AL32" s="13">
        <f t="shared" si="15"/>
        <v>0</v>
      </c>
      <c r="AM32" s="13">
        <f t="shared" si="16"/>
        <v>0</v>
      </c>
      <c r="AN32" s="13">
        <f t="shared" si="17"/>
        <v>2130</v>
      </c>
      <c r="AO32" s="13">
        <f t="shared" si="1"/>
        <v>672</v>
      </c>
      <c r="AP32" s="13">
        <v>2911</v>
      </c>
      <c r="AQ32" s="17">
        <f t="shared" si="2"/>
        <v>0</v>
      </c>
      <c r="AR32" s="17">
        <f t="shared" si="3"/>
        <v>0</v>
      </c>
      <c r="AS32" s="18">
        <f t="shared" si="4"/>
        <v>10.3</v>
      </c>
      <c r="AT32" s="17">
        <f t="shared" si="18"/>
        <v>3.25</v>
      </c>
    </row>
    <row r="33" spans="1:46">
      <c r="A33" s="6">
        <f t="shared" si="19"/>
        <v>43861</v>
      </c>
      <c r="B33" s="5" t="s">
        <v>48</v>
      </c>
      <c r="C33" s="4">
        <v>29892333</v>
      </c>
      <c r="D33" s="4">
        <v>15967106</v>
      </c>
      <c r="E33" s="4">
        <v>11651754</v>
      </c>
      <c r="F33" s="4">
        <v>11270032</v>
      </c>
      <c r="G33" s="4">
        <v>279023510</v>
      </c>
      <c r="H33" s="4">
        <v>106014357</v>
      </c>
      <c r="I33" s="4">
        <v>279023510</v>
      </c>
      <c r="J33" s="4">
        <v>106014357</v>
      </c>
      <c r="K33" s="4"/>
      <c r="L33" s="5">
        <v>4299.8</v>
      </c>
      <c r="M33" s="5">
        <v>4275.78</v>
      </c>
      <c r="N33" s="5">
        <v>73819.17</v>
      </c>
      <c r="O33" s="5"/>
      <c r="P33" s="5"/>
      <c r="Q33" s="10">
        <v>16</v>
      </c>
      <c r="R33" s="4" t="s">
        <v>46</v>
      </c>
      <c r="S33" s="4">
        <v>310</v>
      </c>
      <c r="T33" s="4">
        <v>330</v>
      </c>
      <c r="U33" s="4">
        <v>8656</v>
      </c>
      <c r="V33" s="4">
        <v>3041</v>
      </c>
      <c r="W33" s="5">
        <v>4.3</v>
      </c>
      <c r="X33" s="5">
        <v>2.46</v>
      </c>
      <c r="Y33" s="4">
        <v>1140</v>
      </c>
      <c r="Z33" s="4"/>
      <c r="AA33" s="13">
        <f t="shared" si="5"/>
        <v>47300</v>
      </c>
      <c r="AB33" s="13">
        <f t="shared" si="6"/>
        <v>50711</v>
      </c>
      <c r="AC33" s="13">
        <f t="shared" si="7"/>
        <v>49795</v>
      </c>
      <c r="AD33" s="13">
        <f t="shared" si="8"/>
        <v>43084</v>
      </c>
      <c r="AE33" s="13">
        <f t="shared" si="9"/>
        <v>186488</v>
      </c>
      <c r="AF33" s="13">
        <f t="shared" si="10"/>
        <v>5472</v>
      </c>
      <c r="AG33" s="13">
        <f t="shared" si="11"/>
        <v>4402</v>
      </c>
      <c r="AH33" s="13">
        <f t="shared" si="12"/>
        <v>186488</v>
      </c>
      <c r="AI33" s="13">
        <f t="shared" si="13"/>
        <v>5472</v>
      </c>
      <c r="AJ33" s="13">
        <f t="shared" si="14"/>
        <v>181016</v>
      </c>
      <c r="AK33" s="13">
        <v>4800</v>
      </c>
      <c r="AL33" s="13">
        <f t="shared" si="15"/>
        <v>0</v>
      </c>
      <c r="AM33" s="13">
        <f t="shared" si="16"/>
        <v>0</v>
      </c>
      <c r="AN33" s="13">
        <f t="shared" si="17"/>
        <v>2201</v>
      </c>
      <c r="AO33" s="13">
        <f t="shared" si="1"/>
        <v>792</v>
      </c>
      <c r="AP33" s="13">
        <v>2985</v>
      </c>
      <c r="AQ33" s="17">
        <f t="shared" si="2"/>
        <v>0</v>
      </c>
      <c r="AR33" s="17">
        <f t="shared" si="3"/>
        <v>0</v>
      </c>
      <c r="AS33" s="18">
        <f t="shared" si="4"/>
        <v>12.2</v>
      </c>
      <c r="AT33" s="17">
        <f t="shared" si="18"/>
        <v>4.38</v>
      </c>
    </row>
    <row r="34" spans="1:46">
      <c r="A34" s="6">
        <f t="shared" si="19"/>
        <v>43862</v>
      </c>
      <c r="B34" s="5" t="s">
        <v>55</v>
      </c>
      <c r="C34" s="4">
        <v>29939633</v>
      </c>
      <c r="D34" s="4">
        <v>16017817</v>
      </c>
      <c r="E34" s="4">
        <v>11701549</v>
      </c>
      <c r="F34" s="4">
        <v>11313116</v>
      </c>
      <c r="G34" s="4">
        <v>279209998</v>
      </c>
      <c r="H34" s="4">
        <v>106019829</v>
      </c>
      <c r="I34" s="4">
        <v>279209998</v>
      </c>
      <c r="J34" s="4">
        <v>106019829</v>
      </c>
      <c r="K34" s="4"/>
      <c r="L34" s="5">
        <v>4299.8</v>
      </c>
      <c r="M34" s="5">
        <v>4275.78</v>
      </c>
      <c r="N34" s="5">
        <v>73819.17</v>
      </c>
      <c r="O34" s="5"/>
      <c r="P34" s="5"/>
      <c r="Q34" s="10"/>
      <c r="R34" s="4"/>
      <c r="Z34" s="14"/>
      <c r="AK34" s="15"/>
      <c r="AN34" s="1"/>
      <c r="AO34" s="1"/>
      <c r="AP34" s="1"/>
      <c r="AQ34" s="12"/>
      <c r="AR34" s="2"/>
      <c r="AS34" s="12"/>
      <c r="AT34" s="2"/>
    </row>
    <row r="35" spans="16:46">
      <c r="P35" s="2"/>
      <c r="Q35" s="12"/>
      <c r="AK35" s="15"/>
      <c r="AN35" s="1"/>
      <c r="AO35" s="1"/>
      <c r="AP35" s="1"/>
      <c r="AQ35" s="12"/>
      <c r="AR35" s="2"/>
      <c r="AS35" s="12"/>
      <c r="AT35" s="2"/>
    </row>
    <row r="36" spans="16:46">
      <c r="P36" s="2"/>
      <c r="Q36" s="12"/>
      <c r="AA36" s="1" t="str">
        <f t="shared" ref="AA36:AF36" si="20">IF(OR(C37=""),"",C37-C36)</f>
        <v/>
      </c>
      <c r="AB36" s="1" t="str">
        <f t="shared" si="20"/>
        <v/>
      </c>
      <c r="AC36" s="1" t="str">
        <f t="shared" si="20"/>
        <v/>
      </c>
      <c r="AD36" s="1" t="str">
        <f t="shared" si="20"/>
        <v/>
      </c>
      <c r="AE36" s="1" t="str">
        <f t="shared" si="20"/>
        <v/>
      </c>
      <c r="AF36" s="1" t="str">
        <f t="shared" si="20"/>
        <v/>
      </c>
      <c r="AG36" s="1" t="str">
        <f>IF(OR(AA36="",AB36="",AC36=""),"",AA36+AB36+AC36+AD36-AE36)</f>
        <v/>
      </c>
      <c r="AH36" s="16">
        <f t="shared" ref="AH36:AO36" si="21">SUM(AH3:AH34)</f>
        <v>5750099</v>
      </c>
      <c r="AI36" s="16">
        <f t="shared" si="21"/>
        <v>168296</v>
      </c>
      <c r="AJ36" s="16">
        <f t="shared" si="21"/>
        <v>5581803</v>
      </c>
      <c r="AK36" s="16">
        <f t="shared" si="21"/>
        <v>124690</v>
      </c>
      <c r="AL36" s="16">
        <f t="shared" si="21"/>
        <v>17400</v>
      </c>
      <c r="AM36" s="16">
        <f t="shared" si="21"/>
        <v>134</v>
      </c>
      <c r="AN36" s="16">
        <f t="shared" si="21"/>
        <v>117008</v>
      </c>
      <c r="AO36" s="16">
        <f t="shared" si="21"/>
        <v>40224</v>
      </c>
      <c r="AP36" s="16"/>
      <c r="AQ36" s="19">
        <f>IF(OR($AJ36=0),"",ROUND(AL36/$AJ36*1000,1))</f>
        <v>3.1</v>
      </c>
      <c r="AR36" s="19">
        <f>IF(OR($AJ36=0),"",ROUND(AM36/$AJ36*1000,2))</f>
        <v>0.02</v>
      </c>
      <c r="AS36" s="20">
        <f>IF(OR($AJ36=0),"",ROUND(AN36/$AJ36*1000,1))</f>
        <v>21</v>
      </c>
      <c r="AT36" s="19">
        <f>IF(OR($AJ36=0),"",ROUND(AO36/$AJ36*1000,2))</f>
        <v>7.21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43"/>
  <sheetViews>
    <sheetView showGridLines="0" zoomScale="110" zoomScaleNormal="110" workbookViewId="0">
      <pane xSplit="2" ySplit="2" topLeftCell="V18" activePane="bottomRight" state="frozen"/>
      <selection/>
      <selection pane="topRight"/>
      <selection pane="bottomLeft"/>
      <selection pane="bottomRight" activeCell="L35" sqref="L35"/>
    </sheetView>
  </sheetViews>
  <sheetFormatPr defaultColWidth="10.6666666666667" defaultRowHeight="14.25"/>
  <cols>
    <col min="1" max="1" width="7.33333333333333" style="1" customWidth="1"/>
    <col min="2" max="2" width="8.66666666666667" style="2" customWidth="1"/>
    <col min="3" max="3" width="10.775" style="1" customWidth="1"/>
    <col min="4" max="4" width="11.8833333333333" style="1" customWidth="1"/>
    <col min="5" max="5" width="13.775" style="1" customWidth="1"/>
    <col min="6" max="7" width="12.775" style="1" customWidth="1"/>
    <col min="8" max="8" width="12" style="1" customWidth="1"/>
    <col min="9" max="9" width="13.2166666666667" style="1" customWidth="1"/>
    <col min="10" max="10" width="11.8833333333333" style="1" customWidth="1"/>
    <col min="11" max="11" width="8" style="1" customWidth="1"/>
    <col min="12" max="13" width="8.33333333333333" style="2" customWidth="1"/>
    <col min="14" max="14" width="9.33333333333333" style="2" customWidth="1"/>
    <col min="15" max="15" width="8.33333333333333" style="2" customWidth="1"/>
    <col min="16" max="16" width="9.66666666666667" style="1" customWidth="1"/>
    <col min="17" max="18" width="8.10833333333333" style="1" customWidth="1"/>
    <col min="19" max="19" width="7.66666666666667" style="1" customWidth="1"/>
    <col min="20" max="22" width="8.10833333333333" style="1" customWidth="1"/>
    <col min="23" max="24" width="8.10833333333333" style="2" customWidth="1"/>
    <col min="25" max="25" width="8.10833333333333" style="1" customWidth="1"/>
    <col min="26" max="26" width="15.6666666666667" style="1" customWidth="1"/>
    <col min="27" max="32" width="8.10833333333333" style="1" customWidth="1"/>
    <col min="33" max="33" width="9.44166666666667" style="1" customWidth="1"/>
    <col min="34" max="34" width="8" style="1" customWidth="1"/>
    <col min="35" max="36" width="8.10833333333333" style="1" customWidth="1"/>
    <col min="37" max="39" width="6.66666666666667" style="1" customWidth="1"/>
    <col min="40" max="40" width="6.66666666666667" style="2" customWidth="1"/>
    <col min="41" max="42" width="8.10833333333333" style="2" customWidth="1"/>
    <col min="43" max="43" width="8.33333333333333" style="3" customWidth="1"/>
    <col min="44" max="44" width="7" style="3" customWidth="1"/>
    <col min="45" max="45" width="6.66666666666667" style="3" customWidth="1"/>
    <col min="46" max="46" width="8.10833333333333" style="3" customWidth="1"/>
    <col min="47" max="16384" width="10.6666666666667" style="3"/>
  </cols>
  <sheetData>
    <row r="2" ht="42.75" spans="1:46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3" t="s">
        <v>34</v>
      </c>
      <c r="AK2" s="13" t="s">
        <v>35</v>
      </c>
      <c r="AL2" s="13" t="s">
        <v>36</v>
      </c>
      <c r="AM2" s="13" t="s">
        <v>37</v>
      </c>
      <c r="AN2" s="7" t="s">
        <v>38</v>
      </c>
      <c r="AO2" s="7" t="s">
        <v>39</v>
      </c>
      <c r="AP2" s="7" t="s">
        <v>40</v>
      </c>
      <c r="AQ2" s="13" t="s">
        <v>41</v>
      </c>
      <c r="AR2" s="13" t="s">
        <v>42</v>
      </c>
      <c r="AS2" s="7" t="s">
        <v>43</v>
      </c>
      <c r="AT2" s="7" t="s">
        <v>44</v>
      </c>
    </row>
    <row r="3" spans="1:46">
      <c r="A3" s="6">
        <v>43862</v>
      </c>
      <c r="B3" s="7" t="str">
        <f>'1'!B34</f>
        <v>仇昊</v>
      </c>
      <c r="C3" s="7">
        <f>'1'!C34</f>
        <v>29939633</v>
      </c>
      <c r="D3" s="7">
        <f>'1'!D34</f>
        <v>16017817</v>
      </c>
      <c r="E3" s="7">
        <f>'1'!E34</f>
        <v>11701549</v>
      </c>
      <c r="F3" s="7">
        <f>'1'!F34</f>
        <v>11313116</v>
      </c>
      <c r="G3" s="7">
        <f>'1'!G34</f>
        <v>279209998</v>
      </c>
      <c r="H3" s="7">
        <f>'1'!H34</f>
        <v>106019829</v>
      </c>
      <c r="I3" s="7">
        <f>'1'!I34</f>
        <v>279209998</v>
      </c>
      <c r="J3" s="7">
        <f>'1'!J34</f>
        <v>106019829</v>
      </c>
      <c r="K3" s="7">
        <f>'1'!K34</f>
        <v>0</v>
      </c>
      <c r="L3" s="7">
        <f>'1'!L34</f>
        <v>4299.8</v>
      </c>
      <c r="M3" s="7">
        <f>'1'!M34</f>
        <v>4275.78</v>
      </c>
      <c r="N3" s="7">
        <f>'1'!N34</f>
        <v>73819.17</v>
      </c>
      <c r="O3" s="7">
        <f>'1'!O34</f>
        <v>0</v>
      </c>
      <c r="P3" s="7">
        <f>'1'!P34</f>
        <v>0</v>
      </c>
      <c r="Q3" s="7">
        <f>'1'!Q34</f>
        <v>0</v>
      </c>
      <c r="R3" s="7">
        <f>'1'!R34</f>
        <v>0</v>
      </c>
      <c r="S3" s="4">
        <v>300</v>
      </c>
      <c r="T3" s="4">
        <v>280</v>
      </c>
      <c r="U3" s="4">
        <v>4856</v>
      </c>
      <c r="V3" s="4">
        <v>2635</v>
      </c>
      <c r="W3" s="5">
        <v>3.72</v>
      </c>
      <c r="X3" s="5">
        <v>2.95</v>
      </c>
      <c r="Y3" s="4">
        <v>960</v>
      </c>
      <c r="Z3" s="4"/>
      <c r="AA3" s="13">
        <f t="shared" ref="AA3:AF3" si="0">IF(OR(C4=""),"",C4-C3)</f>
        <v>19386</v>
      </c>
      <c r="AB3" s="13">
        <f t="shared" si="0"/>
        <v>28129</v>
      </c>
      <c r="AC3" s="13">
        <f t="shared" si="0"/>
        <v>26661</v>
      </c>
      <c r="AD3" s="13">
        <f t="shared" si="0"/>
        <v>24867</v>
      </c>
      <c r="AE3" s="13">
        <f t="shared" si="0"/>
        <v>98977</v>
      </c>
      <c r="AF3" s="13">
        <f t="shared" si="0"/>
        <v>5331</v>
      </c>
      <c r="AG3" s="13">
        <f t="shared" ref="AG3:AG33" si="1">IF(OR(AA3="",AB3="",AC3=""),"",AA3+AB3+AC3+AD3-AE3)</f>
        <v>66</v>
      </c>
      <c r="AH3" s="13">
        <f t="shared" ref="AH3:AH33" si="2">IF(OR(I4=""),"",I4-I3)</f>
        <v>98977</v>
      </c>
      <c r="AI3" s="13">
        <f t="shared" ref="AI3:AI33" si="3">IF(OR(J4=""),"",J4-J3)</f>
        <v>5331</v>
      </c>
      <c r="AJ3" s="13">
        <f t="shared" ref="AJ3:AJ33" si="4">IF(OR(AH3="",AI3=""),"",AH3-AI3)</f>
        <v>93646</v>
      </c>
      <c r="AK3" s="13">
        <v>4800</v>
      </c>
      <c r="AL3" s="13">
        <f t="shared" ref="AL3:AL33" si="5">IF(OR(L4="",M4=""),"",ROUND((L4-L3+M4-M3)*1200,0))</f>
        <v>0</v>
      </c>
      <c r="AM3" s="13">
        <f t="shared" ref="AM3:AM33" si="6">IF(OR(N4=""),"",(ROUND((N4-N3)*2,0)))</f>
        <v>0</v>
      </c>
      <c r="AN3" s="13">
        <f t="shared" ref="AN3:AN33" si="7">IF(OR(S3=""),"",ROUND(S3*7.1,0))</f>
        <v>2130</v>
      </c>
      <c r="AO3" s="13">
        <f t="shared" ref="AO3:AO33" si="8">IF(OR(T3=""),"",ROUND(T3*2.4,0))</f>
        <v>672</v>
      </c>
      <c r="AP3" s="13">
        <v>2920</v>
      </c>
      <c r="AQ3" s="17">
        <f t="shared" ref="AQ3:AQ33" si="9">IF(OR($AJ3=""),"",ROUND(AL3/$AJ3*1000,1))</f>
        <v>0</v>
      </c>
      <c r="AR3" s="17">
        <f t="shared" ref="AR3:AR33" si="10">IF(OR($AJ3=""),"",ROUND(AM3/$AJ3*1000,2))</f>
        <v>0</v>
      </c>
      <c r="AS3" s="18">
        <f t="shared" ref="AS3:AS33" si="11">IF(OR($AJ3=""),"",ROUND(AN3/$AJ3*1000,1))</f>
        <v>22.7</v>
      </c>
      <c r="AT3" s="17">
        <f t="shared" ref="AT3:AT33" si="12">IF(OR($AJ3=""),"",ROUND(AO3/$AJ3*1000,2))</f>
        <v>7.18</v>
      </c>
    </row>
    <row r="4" spans="1:46">
      <c r="A4" s="6">
        <f>A3+1</f>
        <v>43863</v>
      </c>
      <c r="B4" s="5" t="s">
        <v>45</v>
      </c>
      <c r="C4" s="4">
        <v>29959019</v>
      </c>
      <c r="D4" s="4">
        <v>16045946</v>
      </c>
      <c r="E4" s="4">
        <v>11728210</v>
      </c>
      <c r="F4" s="4">
        <v>11337983</v>
      </c>
      <c r="G4" s="4">
        <v>279308975</v>
      </c>
      <c r="H4" s="4">
        <v>106025160</v>
      </c>
      <c r="I4" s="4">
        <v>279308975</v>
      </c>
      <c r="J4" s="4">
        <v>106025160</v>
      </c>
      <c r="K4" s="4"/>
      <c r="L4" s="5">
        <v>4299.8</v>
      </c>
      <c r="M4" s="5">
        <v>4275.78</v>
      </c>
      <c r="N4" s="5">
        <v>73819.17</v>
      </c>
      <c r="O4" s="5"/>
      <c r="P4" s="5"/>
      <c r="Q4" s="10">
        <v>15</v>
      </c>
      <c r="R4" s="4" t="s">
        <v>54</v>
      </c>
      <c r="S4" s="4">
        <v>320</v>
      </c>
      <c r="T4" s="4">
        <v>300</v>
      </c>
      <c r="U4" s="4">
        <v>4907</v>
      </c>
      <c r="V4" s="4">
        <v>2495</v>
      </c>
      <c r="W4" s="5">
        <v>3.81</v>
      </c>
      <c r="X4" s="5">
        <v>2.91</v>
      </c>
      <c r="Y4" s="4">
        <v>960</v>
      </c>
      <c r="Z4" s="4"/>
      <c r="AA4" s="13">
        <f t="shared" ref="AA4:AF4" si="13">IF(OR(C5=""),"",C5-C4)</f>
        <v>24280</v>
      </c>
      <c r="AB4" s="13">
        <f t="shared" si="13"/>
        <v>27512</v>
      </c>
      <c r="AC4" s="13">
        <f t="shared" si="13"/>
        <v>26346</v>
      </c>
      <c r="AD4" s="13">
        <f t="shared" si="13"/>
        <v>24195</v>
      </c>
      <c r="AE4" s="13">
        <f t="shared" si="13"/>
        <v>105340</v>
      </c>
      <c r="AF4" s="13">
        <f t="shared" si="13"/>
        <v>5702</v>
      </c>
      <c r="AG4" s="13">
        <f t="shared" si="1"/>
        <v>-3007</v>
      </c>
      <c r="AH4" s="13">
        <f t="shared" si="2"/>
        <v>103794</v>
      </c>
      <c r="AI4" s="13">
        <f t="shared" si="3"/>
        <v>5702</v>
      </c>
      <c r="AJ4" s="13">
        <f t="shared" si="4"/>
        <v>98092</v>
      </c>
      <c r="AK4" s="13">
        <v>4800</v>
      </c>
      <c r="AL4" s="13">
        <f t="shared" si="5"/>
        <v>0</v>
      </c>
      <c r="AM4" s="13">
        <f t="shared" si="6"/>
        <v>0</v>
      </c>
      <c r="AN4" s="13">
        <f t="shared" si="7"/>
        <v>2272</v>
      </c>
      <c r="AO4" s="13">
        <f t="shared" si="8"/>
        <v>720</v>
      </c>
      <c r="AP4" s="13">
        <v>3052</v>
      </c>
      <c r="AQ4" s="17">
        <f t="shared" si="9"/>
        <v>0</v>
      </c>
      <c r="AR4" s="17">
        <f t="shared" si="10"/>
        <v>0</v>
      </c>
      <c r="AS4" s="18">
        <f t="shared" si="11"/>
        <v>23.2</v>
      </c>
      <c r="AT4" s="17">
        <f t="shared" si="12"/>
        <v>7.34</v>
      </c>
    </row>
    <row r="5" spans="1:46">
      <c r="A5" s="6">
        <f t="shared" ref="A5:A32" si="14">A4+1</f>
        <v>43864</v>
      </c>
      <c r="B5" s="5" t="s">
        <v>47</v>
      </c>
      <c r="C5" s="4">
        <v>29983299</v>
      </c>
      <c r="D5" s="4">
        <v>16073458</v>
      </c>
      <c r="E5" s="4">
        <v>11754556</v>
      </c>
      <c r="F5" s="4">
        <v>11362178</v>
      </c>
      <c r="G5" s="4">
        <v>279414315</v>
      </c>
      <c r="H5" s="4">
        <v>106030862</v>
      </c>
      <c r="I5" s="4">
        <v>279412769</v>
      </c>
      <c r="J5" s="4">
        <v>106030862</v>
      </c>
      <c r="K5" s="4"/>
      <c r="L5" s="5">
        <v>4299.8</v>
      </c>
      <c r="M5" s="5">
        <v>4275.78</v>
      </c>
      <c r="N5" s="5">
        <v>73819.17</v>
      </c>
      <c r="O5" s="5"/>
      <c r="P5" s="5"/>
      <c r="Q5" s="10">
        <v>15.2</v>
      </c>
      <c r="R5" s="4" t="s">
        <v>54</v>
      </c>
      <c r="S5" s="4">
        <v>100</v>
      </c>
      <c r="T5" s="4">
        <v>100</v>
      </c>
      <c r="U5" s="4">
        <v>5054</v>
      </c>
      <c r="V5" s="4">
        <v>4212</v>
      </c>
      <c r="W5" s="5">
        <v>4.63</v>
      </c>
      <c r="X5" s="5">
        <v>3.1</v>
      </c>
      <c r="Y5" s="4">
        <v>1380</v>
      </c>
      <c r="Z5" s="4"/>
      <c r="AA5" s="13">
        <f t="shared" ref="AA5:AF5" si="15">IF(OR(C6=""),"",C6-C5)</f>
        <v>24770</v>
      </c>
      <c r="AB5" s="13">
        <f t="shared" si="15"/>
        <v>27520</v>
      </c>
      <c r="AC5" s="13">
        <f t="shared" si="15"/>
        <v>26142</v>
      </c>
      <c r="AD5" s="13">
        <f t="shared" si="15"/>
        <v>24629</v>
      </c>
      <c r="AE5" s="13">
        <f t="shared" si="15"/>
        <v>98457</v>
      </c>
      <c r="AF5" s="13">
        <f t="shared" si="15"/>
        <v>5440</v>
      </c>
      <c r="AG5" s="13">
        <f t="shared" si="1"/>
        <v>4604</v>
      </c>
      <c r="AH5" s="13">
        <f t="shared" si="2"/>
        <v>100003</v>
      </c>
      <c r="AI5" s="13">
        <f t="shared" si="3"/>
        <v>5440</v>
      </c>
      <c r="AJ5" s="13">
        <f t="shared" si="4"/>
        <v>94563</v>
      </c>
      <c r="AK5" s="13">
        <v>4500</v>
      </c>
      <c r="AL5" s="13">
        <f t="shared" si="5"/>
        <v>0</v>
      </c>
      <c r="AM5" s="13">
        <f t="shared" si="6"/>
        <v>0</v>
      </c>
      <c r="AN5" s="13">
        <f t="shared" si="7"/>
        <v>710</v>
      </c>
      <c r="AO5" s="13">
        <f t="shared" si="8"/>
        <v>240</v>
      </c>
      <c r="AP5" s="13">
        <v>5460</v>
      </c>
      <c r="AQ5" s="17">
        <f t="shared" si="9"/>
        <v>0</v>
      </c>
      <c r="AR5" s="17">
        <f t="shared" si="10"/>
        <v>0</v>
      </c>
      <c r="AS5" s="18">
        <f t="shared" si="11"/>
        <v>7.5</v>
      </c>
      <c r="AT5" s="17">
        <f t="shared" si="12"/>
        <v>2.54</v>
      </c>
    </row>
    <row r="6" spans="1:46">
      <c r="A6" s="6">
        <f t="shared" si="14"/>
        <v>43865</v>
      </c>
      <c r="B6" s="5" t="s">
        <v>58</v>
      </c>
      <c r="C6" s="4">
        <v>30008069</v>
      </c>
      <c r="D6" s="4">
        <v>16100978</v>
      </c>
      <c r="E6" s="4">
        <v>11780698</v>
      </c>
      <c r="F6" s="4">
        <v>11386807</v>
      </c>
      <c r="G6" s="4">
        <v>279512772</v>
      </c>
      <c r="H6" s="4">
        <v>106036302</v>
      </c>
      <c r="I6" s="4">
        <v>279512772</v>
      </c>
      <c r="J6" s="4">
        <v>106036302</v>
      </c>
      <c r="K6" s="4"/>
      <c r="L6" s="5">
        <v>4299.8</v>
      </c>
      <c r="M6" s="5">
        <v>4275.78</v>
      </c>
      <c r="N6" s="5">
        <v>73819.17</v>
      </c>
      <c r="O6" s="5"/>
      <c r="P6" s="5"/>
      <c r="Q6" s="10">
        <v>16</v>
      </c>
      <c r="R6" s="4" t="s">
        <v>46</v>
      </c>
      <c r="S6" s="4">
        <v>100</v>
      </c>
      <c r="T6" s="4">
        <v>100</v>
      </c>
      <c r="U6" s="4">
        <v>5040</v>
      </c>
      <c r="V6" s="4">
        <v>3592</v>
      </c>
      <c r="W6" s="5">
        <v>4.85</v>
      </c>
      <c r="X6" s="5">
        <v>2.75</v>
      </c>
      <c r="Y6" s="4">
        <v>1080</v>
      </c>
      <c r="Z6" s="4"/>
      <c r="AA6" s="13">
        <f t="shared" ref="AA6:AF6" si="16">IF(OR(C7=""),"",C7-C6)</f>
        <v>24975</v>
      </c>
      <c r="AB6" s="13">
        <f t="shared" si="16"/>
        <v>27280</v>
      </c>
      <c r="AC6" s="13">
        <f t="shared" si="16"/>
        <v>26028</v>
      </c>
      <c r="AD6" s="13">
        <f t="shared" si="16"/>
        <v>24237</v>
      </c>
      <c r="AE6" s="13">
        <f t="shared" si="16"/>
        <v>96217</v>
      </c>
      <c r="AF6" s="13">
        <f t="shared" si="16"/>
        <v>5413</v>
      </c>
      <c r="AG6" s="13">
        <f t="shared" si="1"/>
        <v>6303</v>
      </c>
      <c r="AH6" s="13">
        <f t="shared" si="2"/>
        <v>96217</v>
      </c>
      <c r="AI6" s="13">
        <f t="shared" si="3"/>
        <v>5413</v>
      </c>
      <c r="AJ6" s="13">
        <f t="shared" si="4"/>
        <v>90804</v>
      </c>
      <c r="AK6" s="13">
        <v>4000</v>
      </c>
      <c r="AL6" s="13">
        <f t="shared" si="5"/>
        <v>0</v>
      </c>
      <c r="AM6" s="13">
        <f t="shared" si="6"/>
        <v>0</v>
      </c>
      <c r="AN6" s="13">
        <f t="shared" si="7"/>
        <v>710</v>
      </c>
      <c r="AO6" s="13">
        <f t="shared" si="8"/>
        <v>240</v>
      </c>
      <c r="AP6" s="13">
        <v>3181</v>
      </c>
      <c r="AQ6" s="17">
        <f t="shared" si="9"/>
        <v>0</v>
      </c>
      <c r="AR6" s="17">
        <f t="shared" si="10"/>
        <v>0</v>
      </c>
      <c r="AS6" s="18">
        <f t="shared" si="11"/>
        <v>7.8</v>
      </c>
      <c r="AT6" s="17">
        <f t="shared" si="12"/>
        <v>2.64</v>
      </c>
    </row>
    <row r="7" spans="1:46">
      <c r="A7" s="6">
        <f t="shared" si="14"/>
        <v>43866</v>
      </c>
      <c r="B7" s="5" t="s">
        <v>50</v>
      </c>
      <c r="C7" s="4">
        <v>30033044</v>
      </c>
      <c r="D7" s="4">
        <v>16128258</v>
      </c>
      <c r="E7" s="4">
        <v>11806726</v>
      </c>
      <c r="F7" s="4">
        <v>11411044</v>
      </c>
      <c r="G7" s="4">
        <v>279608989</v>
      </c>
      <c r="H7" s="4">
        <v>106041715</v>
      </c>
      <c r="I7" s="4">
        <v>279608989</v>
      </c>
      <c r="J7" s="4">
        <v>106041715</v>
      </c>
      <c r="K7" s="4"/>
      <c r="L7" s="5">
        <v>4299.8</v>
      </c>
      <c r="M7" s="5">
        <v>4275.78</v>
      </c>
      <c r="N7" s="5">
        <v>73819.17</v>
      </c>
      <c r="O7" s="5"/>
      <c r="P7" s="5"/>
      <c r="Q7" s="10">
        <v>14.5</v>
      </c>
      <c r="R7" s="4" t="s">
        <v>46</v>
      </c>
      <c r="S7" s="4">
        <v>260</v>
      </c>
      <c r="T7" s="4">
        <v>250</v>
      </c>
      <c r="U7" s="4">
        <v>4528</v>
      </c>
      <c r="V7" s="4">
        <v>3752</v>
      </c>
      <c r="W7" s="5">
        <v>4.95</v>
      </c>
      <c r="X7" s="5">
        <v>3.25</v>
      </c>
      <c r="Y7" s="4">
        <v>1260</v>
      </c>
      <c r="Z7" s="4"/>
      <c r="AA7" s="13">
        <f t="shared" ref="AA7:AF7" si="17">IF(OR(C8=""),"",C8-C7)</f>
        <v>24175</v>
      </c>
      <c r="AB7" s="13">
        <f t="shared" si="17"/>
        <v>26567</v>
      </c>
      <c r="AC7" s="13">
        <f t="shared" si="17"/>
        <v>24971</v>
      </c>
      <c r="AD7" s="13">
        <f t="shared" si="17"/>
        <v>23454</v>
      </c>
      <c r="AE7" s="13">
        <f t="shared" si="17"/>
        <v>98239</v>
      </c>
      <c r="AF7" s="13">
        <f t="shared" si="17"/>
        <v>5485</v>
      </c>
      <c r="AG7" s="13">
        <f t="shared" si="1"/>
        <v>928</v>
      </c>
      <c r="AH7" s="13">
        <f t="shared" si="2"/>
        <v>98239</v>
      </c>
      <c r="AI7" s="13">
        <f t="shared" si="3"/>
        <v>5485</v>
      </c>
      <c r="AJ7" s="13">
        <f t="shared" si="4"/>
        <v>92754</v>
      </c>
      <c r="AK7" s="13">
        <v>4000</v>
      </c>
      <c r="AL7" s="13">
        <f t="shared" si="5"/>
        <v>0</v>
      </c>
      <c r="AM7" s="13">
        <f t="shared" si="6"/>
        <v>0</v>
      </c>
      <c r="AN7" s="13">
        <f t="shared" si="7"/>
        <v>1846</v>
      </c>
      <c r="AO7" s="13">
        <f t="shared" si="8"/>
        <v>600</v>
      </c>
      <c r="AP7" s="13">
        <v>3096</v>
      </c>
      <c r="AQ7" s="17">
        <f t="shared" si="9"/>
        <v>0</v>
      </c>
      <c r="AR7" s="17">
        <f t="shared" si="10"/>
        <v>0</v>
      </c>
      <c r="AS7" s="18">
        <f t="shared" si="11"/>
        <v>19.9</v>
      </c>
      <c r="AT7" s="17">
        <f t="shared" si="12"/>
        <v>6.47</v>
      </c>
    </row>
    <row r="8" spans="1:46">
      <c r="A8" s="6">
        <f t="shared" si="14"/>
        <v>43867</v>
      </c>
      <c r="B8" s="5" t="s">
        <v>45</v>
      </c>
      <c r="C8" s="4">
        <v>30057219</v>
      </c>
      <c r="D8" s="4">
        <v>16154825</v>
      </c>
      <c r="E8" s="4">
        <v>11831697</v>
      </c>
      <c r="F8" s="4">
        <v>11434498</v>
      </c>
      <c r="G8" s="4">
        <v>279707228</v>
      </c>
      <c r="H8" s="4">
        <v>106047200</v>
      </c>
      <c r="I8" s="4">
        <v>279707228</v>
      </c>
      <c r="J8" s="4">
        <v>106047200</v>
      </c>
      <c r="K8" s="4"/>
      <c r="L8" s="5">
        <v>4299.8</v>
      </c>
      <c r="M8" s="5">
        <v>4275.78</v>
      </c>
      <c r="N8" s="5">
        <v>73819.17</v>
      </c>
      <c r="O8" s="5"/>
      <c r="P8" s="5"/>
      <c r="Q8" s="10">
        <v>15</v>
      </c>
      <c r="R8" s="4" t="s">
        <v>46</v>
      </c>
      <c r="S8" s="4">
        <v>430</v>
      </c>
      <c r="T8" s="4">
        <v>420</v>
      </c>
      <c r="U8" s="4">
        <v>6083</v>
      </c>
      <c r="V8" s="4">
        <v>4011</v>
      </c>
      <c r="W8" s="5">
        <v>4.35</v>
      </c>
      <c r="X8" s="5">
        <v>2.55</v>
      </c>
      <c r="Y8" s="4">
        <v>1230</v>
      </c>
      <c r="Z8" s="4"/>
      <c r="AA8" s="13">
        <f t="shared" ref="AA8:AF8" si="18">IF(OR(C9=""),"",C9-C8)</f>
        <v>31167</v>
      </c>
      <c r="AB8" s="13">
        <f t="shared" si="18"/>
        <v>35531</v>
      </c>
      <c r="AC8" s="13">
        <f t="shared" si="18"/>
        <v>33523</v>
      </c>
      <c r="AD8" s="13">
        <f t="shared" si="18"/>
        <v>30613</v>
      </c>
      <c r="AE8" s="13">
        <f t="shared" si="18"/>
        <v>124592</v>
      </c>
      <c r="AF8" s="13">
        <f t="shared" si="18"/>
        <v>5461</v>
      </c>
      <c r="AG8" s="13">
        <f t="shared" si="1"/>
        <v>6242</v>
      </c>
      <c r="AH8" s="13">
        <f t="shared" si="2"/>
        <v>124592</v>
      </c>
      <c r="AI8" s="13">
        <f t="shared" si="3"/>
        <v>5461</v>
      </c>
      <c r="AJ8" s="13">
        <f t="shared" si="4"/>
        <v>119131</v>
      </c>
      <c r="AK8" s="13">
        <v>4200</v>
      </c>
      <c r="AL8" s="13">
        <f t="shared" si="5"/>
        <v>0</v>
      </c>
      <c r="AM8" s="13">
        <f t="shared" si="6"/>
        <v>0</v>
      </c>
      <c r="AN8" s="13">
        <f t="shared" si="7"/>
        <v>3053</v>
      </c>
      <c r="AO8" s="13">
        <f t="shared" si="8"/>
        <v>1008</v>
      </c>
      <c r="AP8" s="13">
        <v>2998</v>
      </c>
      <c r="AQ8" s="17">
        <f t="shared" si="9"/>
        <v>0</v>
      </c>
      <c r="AR8" s="17">
        <f t="shared" si="10"/>
        <v>0</v>
      </c>
      <c r="AS8" s="18">
        <f t="shared" si="11"/>
        <v>25.6</v>
      </c>
      <c r="AT8" s="17">
        <f t="shared" si="12"/>
        <v>8.46</v>
      </c>
    </row>
    <row r="9" spans="1:46">
      <c r="A9" s="6">
        <f t="shared" si="14"/>
        <v>43868</v>
      </c>
      <c r="B9" s="5" t="s">
        <v>50</v>
      </c>
      <c r="C9" s="4">
        <v>30088386</v>
      </c>
      <c r="D9" s="4">
        <v>16190356</v>
      </c>
      <c r="E9" s="4">
        <v>11865220</v>
      </c>
      <c r="F9" s="4">
        <v>11465111</v>
      </c>
      <c r="G9" s="4">
        <v>279831820</v>
      </c>
      <c r="H9" s="4">
        <v>106052661</v>
      </c>
      <c r="I9" s="4">
        <v>279831820</v>
      </c>
      <c r="J9" s="4">
        <v>106052661</v>
      </c>
      <c r="K9" s="4"/>
      <c r="L9" s="5">
        <v>4299.8</v>
      </c>
      <c r="M9" s="5">
        <v>4275.78</v>
      </c>
      <c r="N9" s="5">
        <v>73819.17</v>
      </c>
      <c r="O9" s="5"/>
      <c r="P9" s="5"/>
      <c r="Q9" s="10">
        <v>13.8</v>
      </c>
      <c r="R9" s="4" t="s">
        <v>59</v>
      </c>
      <c r="S9" s="4">
        <v>700</v>
      </c>
      <c r="T9" s="4">
        <v>680</v>
      </c>
      <c r="U9" s="4">
        <v>10249</v>
      </c>
      <c r="V9" s="4">
        <v>3212</v>
      </c>
      <c r="W9" s="5">
        <v>6.92</v>
      </c>
      <c r="X9" s="5">
        <v>2.54</v>
      </c>
      <c r="Y9" s="4">
        <v>1260</v>
      </c>
      <c r="Z9" s="4"/>
      <c r="AA9" s="13">
        <f t="shared" ref="AA9:AF9" si="19">IF(OR(C10=""),"",C10-C9)</f>
        <v>43789</v>
      </c>
      <c r="AB9" s="13">
        <f t="shared" si="19"/>
        <v>54265</v>
      </c>
      <c r="AC9" s="13">
        <f t="shared" si="19"/>
        <v>48935</v>
      </c>
      <c r="AD9" s="13">
        <f t="shared" si="19"/>
        <v>46100</v>
      </c>
      <c r="AE9" s="13">
        <f t="shared" si="19"/>
        <v>170080</v>
      </c>
      <c r="AF9" s="13">
        <f t="shared" si="19"/>
        <v>5489</v>
      </c>
      <c r="AG9" s="13">
        <f t="shared" si="1"/>
        <v>23009</v>
      </c>
      <c r="AH9" s="13">
        <f t="shared" si="2"/>
        <v>170080</v>
      </c>
      <c r="AI9" s="13">
        <f t="shared" si="3"/>
        <v>5489</v>
      </c>
      <c r="AJ9" s="13">
        <f t="shared" si="4"/>
        <v>164591</v>
      </c>
      <c r="AK9" s="13">
        <v>4000</v>
      </c>
      <c r="AL9" s="13">
        <f t="shared" si="5"/>
        <v>0</v>
      </c>
      <c r="AM9" s="13">
        <f t="shared" si="6"/>
        <v>0</v>
      </c>
      <c r="AN9" s="13">
        <f t="shared" si="7"/>
        <v>4970</v>
      </c>
      <c r="AO9" s="13">
        <f t="shared" si="8"/>
        <v>1632</v>
      </c>
      <c r="AP9" s="13">
        <v>3049</v>
      </c>
      <c r="AQ9" s="17">
        <f t="shared" si="9"/>
        <v>0</v>
      </c>
      <c r="AR9" s="17">
        <f t="shared" si="10"/>
        <v>0</v>
      </c>
      <c r="AS9" s="18">
        <f t="shared" si="11"/>
        <v>30.2</v>
      </c>
      <c r="AT9" s="17">
        <f t="shared" si="12"/>
        <v>9.92</v>
      </c>
    </row>
    <row r="10" spans="1:46">
      <c r="A10" s="6">
        <f t="shared" si="14"/>
        <v>43869</v>
      </c>
      <c r="B10" s="5" t="s">
        <v>50</v>
      </c>
      <c r="C10" s="4">
        <v>30132175</v>
      </c>
      <c r="D10" s="4">
        <v>16244621</v>
      </c>
      <c r="E10" s="4">
        <v>11914155</v>
      </c>
      <c r="F10" s="4">
        <v>11511211</v>
      </c>
      <c r="G10" s="4">
        <v>280001900</v>
      </c>
      <c r="H10" s="4">
        <v>106058150</v>
      </c>
      <c r="I10" s="4">
        <v>280001900</v>
      </c>
      <c r="J10" s="4">
        <v>106058150</v>
      </c>
      <c r="K10" s="4"/>
      <c r="L10" s="5">
        <v>4299.8</v>
      </c>
      <c r="M10" s="5">
        <v>4275.78</v>
      </c>
      <c r="N10" s="5">
        <v>73819.17</v>
      </c>
      <c r="O10" s="5"/>
      <c r="P10" s="5"/>
      <c r="Q10" s="10">
        <v>13</v>
      </c>
      <c r="R10" s="4" t="s">
        <v>54</v>
      </c>
      <c r="S10" s="4">
        <v>670</v>
      </c>
      <c r="T10" s="4">
        <v>650</v>
      </c>
      <c r="U10" s="4">
        <v>9470</v>
      </c>
      <c r="V10" s="4">
        <v>8108</v>
      </c>
      <c r="W10" s="5">
        <v>6.87</v>
      </c>
      <c r="X10" s="5">
        <v>6.07</v>
      </c>
      <c r="Y10" s="4">
        <v>1440</v>
      </c>
      <c r="Z10" s="4"/>
      <c r="AA10" s="13">
        <f t="shared" ref="AA10:AF10" si="20">IF(OR(C11=""),"",C11-C10)</f>
        <v>48278</v>
      </c>
      <c r="AB10" s="13">
        <f t="shared" si="20"/>
        <v>59275</v>
      </c>
      <c r="AC10" s="13">
        <f t="shared" si="20"/>
        <v>54164</v>
      </c>
      <c r="AD10" s="13">
        <f t="shared" si="20"/>
        <v>53529</v>
      </c>
      <c r="AE10" s="13">
        <f t="shared" si="20"/>
        <v>212811</v>
      </c>
      <c r="AF10" s="13">
        <f t="shared" si="20"/>
        <v>5527</v>
      </c>
      <c r="AG10" s="13">
        <f t="shared" si="1"/>
        <v>2435</v>
      </c>
      <c r="AH10" s="13">
        <f t="shared" si="2"/>
        <v>212811</v>
      </c>
      <c r="AI10" s="13">
        <f t="shared" si="3"/>
        <v>5527</v>
      </c>
      <c r="AJ10" s="13">
        <f t="shared" si="4"/>
        <v>207284</v>
      </c>
      <c r="AK10" s="13">
        <v>4000</v>
      </c>
      <c r="AL10" s="13">
        <f t="shared" si="5"/>
        <v>0</v>
      </c>
      <c r="AM10" s="13">
        <f t="shared" si="6"/>
        <v>0</v>
      </c>
      <c r="AN10" s="13">
        <f t="shared" si="7"/>
        <v>4757</v>
      </c>
      <c r="AO10" s="13">
        <f t="shared" si="8"/>
        <v>1560</v>
      </c>
      <c r="AP10" s="13">
        <v>3045</v>
      </c>
      <c r="AQ10" s="17">
        <f t="shared" si="9"/>
        <v>0</v>
      </c>
      <c r="AR10" s="17">
        <f t="shared" si="10"/>
        <v>0</v>
      </c>
      <c r="AS10" s="18">
        <f t="shared" si="11"/>
        <v>22.9</v>
      </c>
      <c r="AT10" s="17">
        <f t="shared" si="12"/>
        <v>7.53</v>
      </c>
    </row>
    <row r="11" spans="1:46">
      <c r="A11" s="6">
        <f t="shared" si="14"/>
        <v>43870</v>
      </c>
      <c r="B11" s="5" t="s">
        <v>50</v>
      </c>
      <c r="C11" s="4">
        <v>30180453</v>
      </c>
      <c r="D11" s="4">
        <v>16303896</v>
      </c>
      <c r="E11" s="4">
        <v>11968319</v>
      </c>
      <c r="F11" s="4">
        <v>11564740</v>
      </c>
      <c r="G11" s="4">
        <v>280214711</v>
      </c>
      <c r="H11" s="4">
        <v>106063677</v>
      </c>
      <c r="I11" s="4">
        <v>280214711</v>
      </c>
      <c r="J11" s="4">
        <v>106063677</v>
      </c>
      <c r="K11" s="4"/>
      <c r="L11" s="5">
        <v>4299.8</v>
      </c>
      <c r="M11" s="5">
        <v>4275.78</v>
      </c>
      <c r="N11" s="5">
        <v>73819.17</v>
      </c>
      <c r="O11" s="5"/>
      <c r="P11" s="5"/>
      <c r="Q11" s="10">
        <v>13.5</v>
      </c>
      <c r="R11" s="4" t="s">
        <v>54</v>
      </c>
      <c r="S11" s="4">
        <v>680</v>
      </c>
      <c r="T11" s="4">
        <v>670</v>
      </c>
      <c r="U11" s="4">
        <v>9409</v>
      </c>
      <c r="V11" s="4">
        <v>7645</v>
      </c>
      <c r="W11" s="5">
        <v>6.17</v>
      </c>
      <c r="X11" s="5">
        <v>4.28</v>
      </c>
      <c r="Y11" s="4">
        <v>1440</v>
      </c>
      <c r="Z11" s="4"/>
      <c r="AA11" s="13">
        <f t="shared" ref="AA11:AF11" si="21">IF(OR(C12=""),"",C12-C11)</f>
        <v>48599</v>
      </c>
      <c r="AB11" s="13">
        <f t="shared" si="21"/>
        <v>60786</v>
      </c>
      <c r="AC11" s="13">
        <f t="shared" si="21"/>
        <v>54880</v>
      </c>
      <c r="AD11" s="13">
        <f t="shared" si="21"/>
        <v>53224</v>
      </c>
      <c r="AE11" s="13">
        <f t="shared" si="21"/>
        <v>211672</v>
      </c>
      <c r="AF11" s="13">
        <f t="shared" si="21"/>
        <v>5489</v>
      </c>
      <c r="AG11" s="13">
        <f t="shared" si="1"/>
        <v>5817</v>
      </c>
      <c r="AH11" s="13">
        <f t="shared" si="2"/>
        <v>211672</v>
      </c>
      <c r="AI11" s="13">
        <f t="shared" si="3"/>
        <v>5489</v>
      </c>
      <c r="AJ11" s="13">
        <f t="shared" si="4"/>
        <v>206183</v>
      </c>
      <c r="AK11" s="13">
        <v>3800</v>
      </c>
      <c r="AL11" s="13">
        <f t="shared" si="5"/>
        <v>0</v>
      </c>
      <c r="AM11" s="13">
        <f t="shared" si="6"/>
        <v>0</v>
      </c>
      <c r="AN11" s="13">
        <f t="shared" si="7"/>
        <v>4828</v>
      </c>
      <c r="AO11" s="13">
        <f t="shared" si="8"/>
        <v>1608</v>
      </c>
      <c r="AP11" s="13">
        <v>2985</v>
      </c>
      <c r="AQ11" s="17">
        <f t="shared" si="9"/>
        <v>0</v>
      </c>
      <c r="AR11" s="17">
        <f t="shared" si="10"/>
        <v>0</v>
      </c>
      <c r="AS11" s="18">
        <f t="shared" si="11"/>
        <v>23.4</v>
      </c>
      <c r="AT11" s="17">
        <f t="shared" si="12"/>
        <v>7.8</v>
      </c>
    </row>
    <row r="12" spans="1:46">
      <c r="A12" s="6">
        <f t="shared" si="14"/>
        <v>43871</v>
      </c>
      <c r="B12" s="5" t="s">
        <v>50</v>
      </c>
      <c r="C12" s="4">
        <v>30229052</v>
      </c>
      <c r="D12" s="4">
        <v>16364682</v>
      </c>
      <c r="E12" s="4">
        <v>12023199</v>
      </c>
      <c r="F12" s="4">
        <v>11617964</v>
      </c>
      <c r="G12" s="4">
        <v>280426383</v>
      </c>
      <c r="H12" s="4">
        <v>106069166</v>
      </c>
      <c r="I12" s="4">
        <v>280426383</v>
      </c>
      <c r="J12" s="4">
        <v>106069166</v>
      </c>
      <c r="K12" s="4"/>
      <c r="L12" s="5">
        <v>4299.8</v>
      </c>
      <c r="M12" s="5">
        <v>4275.78</v>
      </c>
      <c r="N12" s="5">
        <v>73819.17</v>
      </c>
      <c r="O12" s="5"/>
      <c r="P12" s="5"/>
      <c r="Q12" s="10">
        <v>15.6</v>
      </c>
      <c r="R12" s="4" t="s">
        <v>54</v>
      </c>
      <c r="S12" s="4">
        <v>470</v>
      </c>
      <c r="T12" s="4">
        <v>480</v>
      </c>
      <c r="U12" s="4">
        <v>9266</v>
      </c>
      <c r="V12" s="4">
        <v>7778</v>
      </c>
      <c r="W12" s="5">
        <v>5.64</v>
      </c>
      <c r="X12" s="5">
        <v>3.95</v>
      </c>
      <c r="Y12" s="4">
        <v>1440</v>
      </c>
      <c r="Z12" s="4"/>
      <c r="AA12" s="13">
        <f t="shared" ref="AA12:AF12" si="22">IF(OR(C13=""),"",C13-C12)</f>
        <v>47262</v>
      </c>
      <c r="AB12" s="13">
        <f t="shared" si="22"/>
        <v>59006</v>
      </c>
      <c r="AC12" s="13">
        <f t="shared" si="22"/>
        <v>55055</v>
      </c>
      <c r="AD12" s="13">
        <f t="shared" si="22"/>
        <v>52271</v>
      </c>
      <c r="AE12" s="13">
        <f t="shared" si="22"/>
        <v>210714</v>
      </c>
      <c r="AF12" s="13">
        <f t="shared" si="22"/>
        <v>5471</v>
      </c>
      <c r="AG12" s="13">
        <f t="shared" si="1"/>
        <v>2880</v>
      </c>
      <c r="AH12" s="13">
        <f t="shared" si="2"/>
        <v>210714</v>
      </c>
      <c r="AI12" s="13">
        <f t="shared" si="3"/>
        <v>5471</v>
      </c>
      <c r="AJ12" s="13">
        <f t="shared" si="4"/>
        <v>205243</v>
      </c>
      <c r="AK12" s="13">
        <v>4000</v>
      </c>
      <c r="AL12" s="13">
        <f t="shared" si="5"/>
        <v>0</v>
      </c>
      <c r="AM12" s="13">
        <f t="shared" si="6"/>
        <v>0</v>
      </c>
      <c r="AN12" s="13">
        <f t="shared" si="7"/>
        <v>3337</v>
      </c>
      <c r="AO12" s="13">
        <f t="shared" si="8"/>
        <v>1152</v>
      </c>
      <c r="AP12" s="13">
        <v>3251</v>
      </c>
      <c r="AQ12" s="17">
        <f t="shared" si="9"/>
        <v>0</v>
      </c>
      <c r="AR12" s="17">
        <f t="shared" si="10"/>
        <v>0</v>
      </c>
      <c r="AS12" s="18">
        <f t="shared" si="11"/>
        <v>16.3</v>
      </c>
      <c r="AT12" s="17">
        <f t="shared" si="12"/>
        <v>5.61</v>
      </c>
    </row>
    <row r="13" spans="1:46">
      <c r="A13" s="6">
        <f t="shared" si="14"/>
        <v>43872</v>
      </c>
      <c r="B13" s="5" t="s">
        <v>50</v>
      </c>
      <c r="C13" s="4">
        <v>30276314</v>
      </c>
      <c r="D13" s="4">
        <v>16423688</v>
      </c>
      <c r="E13" s="4">
        <v>12078254</v>
      </c>
      <c r="F13" s="4">
        <v>11670235</v>
      </c>
      <c r="G13" s="4">
        <v>280637097</v>
      </c>
      <c r="H13" s="4">
        <v>106074637</v>
      </c>
      <c r="I13" s="4">
        <v>280637097</v>
      </c>
      <c r="J13" s="4">
        <v>106074637</v>
      </c>
      <c r="K13" s="4"/>
      <c r="L13" s="5">
        <v>4299.8</v>
      </c>
      <c r="M13" s="5">
        <v>4275.78</v>
      </c>
      <c r="N13" s="5">
        <v>73819.17</v>
      </c>
      <c r="O13" s="5"/>
      <c r="P13" s="5"/>
      <c r="Q13" s="10">
        <v>15.8</v>
      </c>
      <c r="R13" s="4" t="s">
        <v>52</v>
      </c>
      <c r="S13" s="4">
        <v>350</v>
      </c>
      <c r="T13" s="4">
        <v>360</v>
      </c>
      <c r="U13" s="4">
        <v>9275</v>
      </c>
      <c r="V13" s="4">
        <v>9001</v>
      </c>
      <c r="W13" s="5">
        <v>6.34</v>
      </c>
      <c r="X13" s="5">
        <v>4.3</v>
      </c>
      <c r="Y13" s="4">
        <v>1440</v>
      </c>
      <c r="Z13" s="4"/>
      <c r="AA13" s="13">
        <f t="shared" ref="AA13:AF13" si="23">IF(OR(C14=""),"",C14-C13)</f>
        <v>49097</v>
      </c>
      <c r="AB13" s="13">
        <f t="shared" si="23"/>
        <v>60977</v>
      </c>
      <c r="AC13" s="13">
        <f t="shared" si="23"/>
        <v>56470</v>
      </c>
      <c r="AD13" s="13">
        <f t="shared" si="23"/>
        <v>55048</v>
      </c>
      <c r="AE13" s="13">
        <f t="shared" si="23"/>
        <v>209747</v>
      </c>
      <c r="AF13" s="13">
        <f t="shared" si="23"/>
        <v>5463</v>
      </c>
      <c r="AG13" s="13">
        <f t="shared" si="1"/>
        <v>11845</v>
      </c>
      <c r="AH13" s="13">
        <f t="shared" si="2"/>
        <v>209747</v>
      </c>
      <c r="AI13" s="13">
        <f t="shared" si="3"/>
        <v>5463</v>
      </c>
      <c r="AJ13" s="13">
        <f t="shared" si="4"/>
        <v>204284</v>
      </c>
      <c r="AK13" s="13">
        <v>4320</v>
      </c>
      <c r="AL13" s="13">
        <f t="shared" si="5"/>
        <v>0</v>
      </c>
      <c r="AM13" s="13">
        <f t="shared" si="6"/>
        <v>0</v>
      </c>
      <c r="AN13" s="13">
        <f t="shared" si="7"/>
        <v>2485</v>
      </c>
      <c r="AO13" s="13">
        <f t="shared" si="8"/>
        <v>864</v>
      </c>
      <c r="AP13" s="13">
        <v>3185</v>
      </c>
      <c r="AQ13" s="17">
        <f t="shared" si="9"/>
        <v>0</v>
      </c>
      <c r="AR13" s="17">
        <f t="shared" si="10"/>
        <v>0</v>
      </c>
      <c r="AS13" s="18">
        <f t="shared" si="11"/>
        <v>12.2</v>
      </c>
      <c r="AT13" s="17">
        <f t="shared" si="12"/>
        <v>4.23</v>
      </c>
    </row>
    <row r="14" spans="1:46">
      <c r="A14" s="6">
        <f t="shared" si="14"/>
        <v>43873</v>
      </c>
      <c r="B14" s="5" t="s">
        <v>48</v>
      </c>
      <c r="C14" s="4">
        <v>30325411</v>
      </c>
      <c r="D14" s="4">
        <v>16484665</v>
      </c>
      <c r="E14" s="4">
        <v>12134724</v>
      </c>
      <c r="F14" s="4">
        <v>11725283</v>
      </c>
      <c r="G14" s="4">
        <v>280846844</v>
      </c>
      <c r="H14" s="4">
        <v>106080100</v>
      </c>
      <c r="I14" s="4">
        <v>280846844</v>
      </c>
      <c r="J14" s="4">
        <v>106080100</v>
      </c>
      <c r="K14" s="4"/>
      <c r="L14" s="5">
        <v>4299.8</v>
      </c>
      <c r="M14" s="5">
        <v>4275.78</v>
      </c>
      <c r="N14" s="5">
        <v>73819.17</v>
      </c>
      <c r="O14" s="5"/>
      <c r="P14" s="5"/>
      <c r="Q14" s="10">
        <v>14</v>
      </c>
      <c r="R14" s="4" t="s">
        <v>52</v>
      </c>
      <c r="S14" s="4">
        <v>340</v>
      </c>
      <c r="T14" s="4">
        <v>360</v>
      </c>
      <c r="U14" s="4">
        <v>9308</v>
      </c>
      <c r="V14" s="4">
        <v>9006</v>
      </c>
      <c r="W14" s="5">
        <v>6.06</v>
      </c>
      <c r="X14" s="5">
        <v>5.14</v>
      </c>
      <c r="Y14" s="4">
        <v>1440</v>
      </c>
      <c r="Z14" s="4"/>
      <c r="AA14" s="13">
        <f t="shared" ref="AA14:AF14" si="24">IF(OR(C15=""),"",C15-C14)</f>
        <v>48354</v>
      </c>
      <c r="AB14" s="13">
        <f t="shared" si="24"/>
        <v>60811</v>
      </c>
      <c r="AC14" s="13">
        <f t="shared" si="24"/>
        <v>56434</v>
      </c>
      <c r="AD14" s="13">
        <f t="shared" si="24"/>
        <v>54632</v>
      </c>
      <c r="AE14" s="13">
        <f t="shared" si="24"/>
        <v>209277</v>
      </c>
      <c r="AF14" s="13">
        <f t="shared" si="24"/>
        <v>5447</v>
      </c>
      <c r="AG14" s="13">
        <f t="shared" si="1"/>
        <v>10954</v>
      </c>
      <c r="AH14" s="13">
        <f t="shared" si="2"/>
        <v>209277</v>
      </c>
      <c r="AI14" s="13">
        <f t="shared" si="3"/>
        <v>5447</v>
      </c>
      <c r="AJ14" s="13">
        <f t="shared" si="4"/>
        <v>203830</v>
      </c>
      <c r="AK14" s="13">
        <v>4200</v>
      </c>
      <c r="AL14" s="13">
        <f t="shared" si="5"/>
        <v>0</v>
      </c>
      <c r="AM14" s="13">
        <f t="shared" si="6"/>
        <v>0</v>
      </c>
      <c r="AN14" s="13">
        <f t="shared" si="7"/>
        <v>2414</v>
      </c>
      <c r="AO14" s="13">
        <f t="shared" si="8"/>
        <v>864</v>
      </c>
      <c r="AP14" s="13">
        <v>3089</v>
      </c>
      <c r="AQ14" s="17">
        <f t="shared" si="9"/>
        <v>0</v>
      </c>
      <c r="AR14" s="17">
        <f t="shared" si="10"/>
        <v>0</v>
      </c>
      <c r="AS14" s="18">
        <f t="shared" si="11"/>
        <v>11.8</v>
      </c>
      <c r="AT14" s="17">
        <f t="shared" si="12"/>
        <v>4.24</v>
      </c>
    </row>
    <row r="15" spans="1:46">
      <c r="A15" s="6">
        <f t="shared" si="14"/>
        <v>43874</v>
      </c>
      <c r="B15" s="5" t="s">
        <v>55</v>
      </c>
      <c r="C15" s="4">
        <v>30373765</v>
      </c>
      <c r="D15" s="4">
        <v>16545476</v>
      </c>
      <c r="E15" s="4">
        <v>12191158</v>
      </c>
      <c r="F15" s="4">
        <v>11779915</v>
      </c>
      <c r="G15" s="4">
        <v>281056121</v>
      </c>
      <c r="H15" s="4">
        <v>106085547</v>
      </c>
      <c r="I15" s="4">
        <v>281056121</v>
      </c>
      <c r="J15" s="4">
        <v>106085547</v>
      </c>
      <c r="K15" s="4"/>
      <c r="L15" s="5">
        <v>4299.8</v>
      </c>
      <c r="M15" s="5">
        <v>4275.78</v>
      </c>
      <c r="N15" s="5">
        <v>73819.17</v>
      </c>
      <c r="O15" s="5"/>
      <c r="P15" s="5"/>
      <c r="Q15" s="10">
        <v>14.1</v>
      </c>
      <c r="R15" s="4" t="s">
        <v>54</v>
      </c>
      <c r="S15" s="4">
        <v>480</v>
      </c>
      <c r="T15" s="4">
        <v>470</v>
      </c>
      <c r="U15" s="4">
        <v>9348</v>
      </c>
      <c r="V15" s="4">
        <v>7878</v>
      </c>
      <c r="W15" s="5">
        <v>5.87</v>
      </c>
      <c r="X15" s="5">
        <v>4.72</v>
      </c>
      <c r="Y15" s="4">
        <v>1440</v>
      </c>
      <c r="Z15" s="4"/>
      <c r="AA15" s="13">
        <f t="shared" ref="AA15:AF15" si="25">IF(OR(C16=""),"",C16-C15)</f>
        <v>47740</v>
      </c>
      <c r="AB15" s="13">
        <f t="shared" si="25"/>
        <v>59593</v>
      </c>
      <c r="AC15" s="13">
        <f t="shared" si="25"/>
        <v>55989</v>
      </c>
      <c r="AD15" s="13">
        <f t="shared" si="25"/>
        <v>53297</v>
      </c>
      <c r="AE15" s="13">
        <f t="shared" si="25"/>
        <v>210630</v>
      </c>
      <c r="AF15" s="13">
        <f t="shared" si="25"/>
        <v>5511</v>
      </c>
      <c r="AG15" s="13">
        <f t="shared" si="1"/>
        <v>5989</v>
      </c>
      <c r="AH15" s="13">
        <f t="shared" si="2"/>
        <v>210630</v>
      </c>
      <c r="AI15" s="13">
        <f t="shared" si="3"/>
        <v>5511</v>
      </c>
      <c r="AJ15" s="13">
        <f t="shared" si="4"/>
        <v>205119</v>
      </c>
      <c r="AK15" s="13">
        <v>4000</v>
      </c>
      <c r="AL15" s="13">
        <f t="shared" si="5"/>
        <v>0</v>
      </c>
      <c r="AM15" s="13">
        <f t="shared" si="6"/>
        <v>0</v>
      </c>
      <c r="AN15" s="13">
        <f t="shared" si="7"/>
        <v>3408</v>
      </c>
      <c r="AO15" s="13">
        <f t="shared" si="8"/>
        <v>1128</v>
      </c>
      <c r="AP15" s="13">
        <v>2994</v>
      </c>
      <c r="AQ15" s="17">
        <f t="shared" si="9"/>
        <v>0</v>
      </c>
      <c r="AR15" s="17">
        <f t="shared" si="10"/>
        <v>0</v>
      </c>
      <c r="AS15" s="18">
        <f t="shared" si="11"/>
        <v>16.6</v>
      </c>
      <c r="AT15" s="17">
        <f t="shared" si="12"/>
        <v>5.5</v>
      </c>
    </row>
    <row r="16" spans="1:46">
      <c r="A16" s="6">
        <f t="shared" si="14"/>
        <v>43875</v>
      </c>
      <c r="B16" s="5" t="s">
        <v>50</v>
      </c>
      <c r="C16" s="4">
        <v>30421505</v>
      </c>
      <c r="D16" s="4">
        <v>16605069</v>
      </c>
      <c r="E16" s="4">
        <v>12247147</v>
      </c>
      <c r="F16" s="4">
        <v>11833212</v>
      </c>
      <c r="G16" s="4">
        <v>281266751</v>
      </c>
      <c r="H16" s="4">
        <v>106091058</v>
      </c>
      <c r="I16" s="4">
        <v>281266751</v>
      </c>
      <c r="J16" s="4">
        <v>106091058</v>
      </c>
      <c r="K16" s="4"/>
      <c r="L16" s="5">
        <v>4299.8</v>
      </c>
      <c r="M16" s="5">
        <v>4275.78</v>
      </c>
      <c r="N16" s="5">
        <v>73819.17</v>
      </c>
      <c r="O16" s="5"/>
      <c r="P16" s="5"/>
      <c r="Q16" s="10">
        <v>15</v>
      </c>
      <c r="R16" s="4" t="s">
        <v>46</v>
      </c>
      <c r="S16" s="4">
        <v>570</v>
      </c>
      <c r="T16" s="4">
        <v>590</v>
      </c>
      <c r="U16" s="4">
        <v>9201</v>
      </c>
      <c r="V16" s="4">
        <v>7784</v>
      </c>
      <c r="W16" s="5">
        <v>5.87</v>
      </c>
      <c r="X16" s="5">
        <v>4.35</v>
      </c>
      <c r="Y16" s="4">
        <v>1440</v>
      </c>
      <c r="Z16" s="4"/>
      <c r="AA16" s="13">
        <f t="shared" ref="AA16:AF16" si="26">IF(OR(C17=""),"",C17-C16)</f>
        <v>46259</v>
      </c>
      <c r="AB16" s="13">
        <f t="shared" si="26"/>
        <v>57615</v>
      </c>
      <c r="AC16" s="13">
        <f t="shared" si="26"/>
        <v>54899</v>
      </c>
      <c r="AD16" s="13">
        <f t="shared" si="26"/>
        <v>51580</v>
      </c>
      <c r="AE16" s="13">
        <f t="shared" si="26"/>
        <v>207587</v>
      </c>
      <c r="AF16" s="13">
        <f t="shared" si="26"/>
        <v>5467</v>
      </c>
      <c r="AG16" s="13">
        <f t="shared" si="1"/>
        <v>2766</v>
      </c>
      <c r="AH16" s="13">
        <f t="shared" si="2"/>
        <v>207587</v>
      </c>
      <c r="AI16" s="13">
        <f t="shared" si="3"/>
        <v>5467</v>
      </c>
      <c r="AJ16" s="13">
        <f t="shared" si="4"/>
        <v>202120</v>
      </c>
      <c r="AK16" s="13">
        <v>4000</v>
      </c>
      <c r="AL16" s="13">
        <f t="shared" si="5"/>
        <v>0</v>
      </c>
      <c r="AM16" s="13">
        <f t="shared" si="6"/>
        <v>0</v>
      </c>
      <c r="AN16" s="13">
        <f t="shared" si="7"/>
        <v>4047</v>
      </c>
      <c r="AO16" s="13">
        <f t="shared" si="8"/>
        <v>1416</v>
      </c>
      <c r="AP16" s="13">
        <v>3075</v>
      </c>
      <c r="AQ16" s="17">
        <f t="shared" si="9"/>
        <v>0</v>
      </c>
      <c r="AR16" s="17">
        <f t="shared" si="10"/>
        <v>0</v>
      </c>
      <c r="AS16" s="18">
        <f t="shared" si="11"/>
        <v>20</v>
      </c>
      <c r="AT16" s="17">
        <f t="shared" si="12"/>
        <v>7.01</v>
      </c>
    </row>
    <row r="17" spans="1:46">
      <c r="A17" s="6">
        <f t="shared" si="14"/>
        <v>43876</v>
      </c>
      <c r="B17" s="5" t="s">
        <v>50</v>
      </c>
      <c r="C17" s="4">
        <v>30467764</v>
      </c>
      <c r="D17" s="4">
        <v>16662684</v>
      </c>
      <c r="E17" s="4">
        <v>12302046</v>
      </c>
      <c r="F17" s="4">
        <v>11884792</v>
      </c>
      <c r="G17" s="4">
        <v>281474338</v>
      </c>
      <c r="H17" s="4">
        <v>106096525</v>
      </c>
      <c r="I17" s="4">
        <v>281474338</v>
      </c>
      <c r="J17" s="4">
        <v>106096525</v>
      </c>
      <c r="K17" s="4"/>
      <c r="L17" s="5">
        <v>4299.8</v>
      </c>
      <c r="M17" s="5">
        <v>4275.78</v>
      </c>
      <c r="N17" s="5">
        <v>73819.17</v>
      </c>
      <c r="O17" s="5"/>
      <c r="P17" s="5"/>
      <c r="Q17" s="10">
        <v>14.3</v>
      </c>
      <c r="R17" s="4" t="s">
        <v>54</v>
      </c>
      <c r="S17" s="4">
        <v>550</v>
      </c>
      <c r="T17" s="4">
        <v>570</v>
      </c>
      <c r="U17" s="4">
        <v>9228</v>
      </c>
      <c r="V17" s="4">
        <v>7894</v>
      </c>
      <c r="W17" s="5">
        <v>4.45</v>
      </c>
      <c r="X17" s="5">
        <v>3.79</v>
      </c>
      <c r="Y17" s="4">
        <v>1440</v>
      </c>
      <c r="Z17" s="4"/>
      <c r="AA17" s="13">
        <f t="shared" ref="AA17:AF22" si="27">IF(OR(C18=""),"",C18-C17)</f>
        <v>47652</v>
      </c>
      <c r="AB17" s="13">
        <f t="shared" si="27"/>
        <v>59408</v>
      </c>
      <c r="AC17" s="13">
        <f t="shared" si="27"/>
        <v>56729</v>
      </c>
      <c r="AD17" s="13">
        <f t="shared" si="27"/>
        <v>52924</v>
      </c>
      <c r="AE17" s="13">
        <f t="shared" si="27"/>
        <v>201862</v>
      </c>
      <c r="AF17" s="13">
        <f t="shared" si="27"/>
        <v>5473</v>
      </c>
      <c r="AG17" s="13">
        <f t="shared" si="1"/>
        <v>14851</v>
      </c>
      <c r="AH17" s="13">
        <f t="shared" si="2"/>
        <v>201862</v>
      </c>
      <c r="AI17" s="13">
        <f t="shared" si="3"/>
        <v>5473</v>
      </c>
      <c r="AJ17" s="13">
        <f t="shared" si="4"/>
        <v>196389</v>
      </c>
      <c r="AK17" s="13">
        <v>4200</v>
      </c>
      <c r="AL17" s="13">
        <f t="shared" si="5"/>
        <v>0</v>
      </c>
      <c r="AM17" s="13">
        <f t="shared" si="6"/>
        <v>0</v>
      </c>
      <c r="AN17" s="13">
        <f t="shared" si="7"/>
        <v>3905</v>
      </c>
      <c r="AO17" s="13">
        <f t="shared" si="8"/>
        <v>1368</v>
      </c>
      <c r="AP17" s="13">
        <v>3101</v>
      </c>
      <c r="AQ17" s="17">
        <f t="shared" si="9"/>
        <v>0</v>
      </c>
      <c r="AR17" s="17">
        <f t="shared" si="10"/>
        <v>0</v>
      </c>
      <c r="AS17" s="18">
        <f t="shared" si="11"/>
        <v>19.9</v>
      </c>
      <c r="AT17" s="17">
        <f t="shared" si="12"/>
        <v>6.97</v>
      </c>
    </row>
    <row r="18" spans="1:46">
      <c r="A18" s="6">
        <f t="shared" si="14"/>
        <v>43877</v>
      </c>
      <c r="B18" s="5" t="s">
        <v>50</v>
      </c>
      <c r="C18" s="4">
        <v>30515416</v>
      </c>
      <c r="D18" s="4">
        <v>16722092</v>
      </c>
      <c r="E18" s="4">
        <v>12358775</v>
      </c>
      <c r="F18" s="4">
        <v>11937716</v>
      </c>
      <c r="G18" s="4">
        <v>281676200</v>
      </c>
      <c r="H18" s="4">
        <v>106101998</v>
      </c>
      <c r="I18" s="4">
        <v>281676200</v>
      </c>
      <c r="J18" s="4">
        <v>106101998</v>
      </c>
      <c r="K18" s="4"/>
      <c r="L18" s="5">
        <v>4299.8</v>
      </c>
      <c r="M18" s="5">
        <v>4275.78</v>
      </c>
      <c r="N18" s="5">
        <v>73819.17</v>
      </c>
      <c r="O18" s="5"/>
      <c r="P18" s="5"/>
      <c r="Q18" s="10">
        <v>15.5</v>
      </c>
      <c r="R18" s="4" t="s">
        <v>54</v>
      </c>
      <c r="S18" s="4">
        <v>540</v>
      </c>
      <c r="T18" s="4">
        <v>550</v>
      </c>
      <c r="U18" s="4">
        <v>9246</v>
      </c>
      <c r="V18" s="4">
        <v>7680</v>
      </c>
      <c r="W18" s="5">
        <v>4.75</v>
      </c>
      <c r="X18" s="5">
        <v>2.79</v>
      </c>
      <c r="Y18" s="4">
        <v>1260</v>
      </c>
      <c r="Z18" s="4"/>
      <c r="AA18" s="13">
        <f t="shared" ref="AA18:AF18" si="28">IF(OR(C19=""),"",C19-C18)</f>
        <v>47718</v>
      </c>
      <c r="AB18" s="13">
        <f t="shared" si="28"/>
        <v>59876</v>
      </c>
      <c r="AC18" s="13">
        <f t="shared" si="28"/>
        <v>56108</v>
      </c>
      <c r="AD18" s="13">
        <f t="shared" si="28"/>
        <v>53999</v>
      </c>
      <c r="AE18" s="13">
        <f t="shared" si="27"/>
        <v>207900</v>
      </c>
      <c r="AF18" s="13">
        <f t="shared" si="28"/>
        <v>5453</v>
      </c>
      <c r="AG18" s="13">
        <f t="shared" si="1"/>
        <v>9801</v>
      </c>
      <c r="AH18" s="13">
        <f t="shared" si="2"/>
        <v>207900</v>
      </c>
      <c r="AI18" s="13">
        <f t="shared" si="3"/>
        <v>5453</v>
      </c>
      <c r="AJ18" s="13">
        <f t="shared" si="4"/>
        <v>202447</v>
      </c>
      <c r="AK18" s="13">
        <v>4200</v>
      </c>
      <c r="AL18" s="13">
        <f t="shared" si="5"/>
        <v>0</v>
      </c>
      <c r="AM18" s="13">
        <f t="shared" si="6"/>
        <v>0</v>
      </c>
      <c r="AN18" s="13">
        <f t="shared" si="7"/>
        <v>3834</v>
      </c>
      <c r="AO18" s="13">
        <f t="shared" si="8"/>
        <v>1320</v>
      </c>
      <c r="AP18" s="13">
        <v>2996</v>
      </c>
      <c r="AQ18" s="17">
        <f t="shared" si="9"/>
        <v>0</v>
      </c>
      <c r="AR18" s="17">
        <f t="shared" si="10"/>
        <v>0</v>
      </c>
      <c r="AS18" s="18">
        <f t="shared" si="11"/>
        <v>18.9</v>
      </c>
      <c r="AT18" s="17">
        <f t="shared" si="12"/>
        <v>6.52</v>
      </c>
    </row>
    <row r="19" spans="1:46">
      <c r="A19" s="6">
        <f t="shared" si="14"/>
        <v>43878</v>
      </c>
      <c r="B19" s="5" t="s">
        <v>50</v>
      </c>
      <c r="C19" s="4">
        <v>30563134</v>
      </c>
      <c r="D19" s="4">
        <v>16781968</v>
      </c>
      <c r="E19" s="4">
        <v>12414883</v>
      </c>
      <c r="F19" s="4">
        <v>11991715</v>
      </c>
      <c r="G19" s="4">
        <v>281884100</v>
      </c>
      <c r="H19" s="4">
        <v>106107451</v>
      </c>
      <c r="I19" s="4">
        <v>281884100</v>
      </c>
      <c r="J19" s="4">
        <v>106107451</v>
      </c>
      <c r="K19" s="4"/>
      <c r="L19" s="5">
        <v>4299.8</v>
      </c>
      <c r="M19" s="5">
        <v>4275.78</v>
      </c>
      <c r="N19" s="5">
        <v>73819.17</v>
      </c>
      <c r="O19" s="5"/>
      <c r="P19" s="5"/>
      <c r="Q19" s="10">
        <v>15.1</v>
      </c>
      <c r="R19" s="4" t="s">
        <v>54</v>
      </c>
      <c r="S19" s="4">
        <v>500</v>
      </c>
      <c r="T19" s="4">
        <v>510</v>
      </c>
      <c r="U19" s="4">
        <v>9314</v>
      </c>
      <c r="V19" s="4">
        <v>8097</v>
      </c>
      <c r="W19" s="5">
        <v>4.3</v>
      </c>
      <c r="X19" s="5">
        <v>2.95</v>
      </c>
      <c r="Y19" s="4">
        <v>960</v>
      </c>
      <c r="Z19" s="4"/>
      <c r="AA19" s="13">
        <f t="shared" ref="AA19:AF19" si="29">IF(OR(C20=""),"",C20-C19)</f>
        <v>46507</v>
      </c>
      <c r="AB19" s="13">
        <f t="shared" si="29"/>
        <v>58243</v>
      </c>
      <c r="AC19" s="13">
        <f t="shared" si="29"/>
        <v>55281</v>
      </c>
      <c r="AD19" s="13">
        <f t="shared" si="29"/>
        <v>52071</v>
      </c>
      <c r="AE19" s="13">
        <f t="shared" si="27"/>
        <v>201658</v>
      </c>
      <c r="AF19" s="13">
        <f t="shared" si="29"/>
        <v>5461</v>
      </c>
      <c r="AG19" s="13">
        <f t="shared" si="1"/>
        <v>10444</v>
      </c>
      <c r="AH19" s="13">
        <f t="shared" si="2"/>
        <v>201658</v>
      </c>
      <c r="AI19" s="13">
        <f t="shared" si="3"/>
        <v>5461</v>
      </c>
      <c r="AJ19" s="13">
        <f t="shared" si="4"/>
        <v>196197</v>
      </c>
      <c r="AK19" s="13">
        <v>4200</v>
      </c>
      <c r="AL19" s="13">
        <f t="shared" si="5"/>
        <v>0</v>
      </c>
      <c r="AM19" s="13">
        <f t="shared" si="6"/>
        <v>0</v>
      </c>
      <c r="AN19" s="13">
        <f t="shared" si="7"/>
        <v>3550</v>
      </c>
      <c r="AO19" s="13">
        <f t="shared" si="8"/>
        <v>1224</v>
      </c>
      <c r="AP19" s="13">
        <v>3024</v>
      </c>
      <c r="AQ19" s="17">
        <f t="shared" si="9"/>
        <v>0</v>
      </c>
      <c r="AR19" s="17">
        <f t="shared" si="10"/>
        <v>0</v>
      </c>
      <c r="AS19" s="18">
        <f t="shared" si="11"/>
        <v>18.1</v>
      </c>
      <c r="AT19" s="17">
        <f t="shared" si="12"/>
        <v>6.24</v>
      </c>
    </row>
    <row r="20" spans="1:46">
      <c r="A20" s="6">
        <f t="shared" si="14"/>
        <v>43879</v>
      </c>
      <c r="B20" s="5" t="s">
        <v>60</v>
      </c>
      <c r="C20" s="4">
        <v>30609641</v>
      </c>
      <c r="D20" s="4">
        <v>16840211</v>
      </c>
      <c r="E20" s="4">
        <v>12470164</v>
      </c>
      <c r="F20" s="4">
        <v>12043786</v>
      </c>
      <c r="G20" s="4">
        <v>282085758</v>
      </c>
      <c r="H20" s="4">
        <v>106112912</v>
      </c>
      <c r="I20" s="4">
        <v>282085758</v>
      </c>
      <c r="J20" s="4">
        <v>106112912</v>
      </c>
      <c r="K20" s="4"/>
      <c r="L20" s="5">
        <v>4299.8</v>
      </c>
      <c r="M20" s="5">
        <v>4275.78</v>
      </c>
      <c r="N20" s="5">
        <v>73819.17</v>
      </c>
      <c r="O20" s="5"/>
      <c r="P20" s="5"/>
      <c r="Q20" s="10">
        <v>15.3</v>
      </c>
      <c r="R20" s="4" t="s">
        <v>54</v>
      </c>
      <c r="S20" s="4">
        <v>350</v>
      </c>
      <c r="T20" s="4">
        <v>370</v>
      </c>
      <c r="U20" s="4">
        <v>9223</v>
      </c>
      <c r="V20" s="4">
        <v>6636</v>
      </c>
      <c r="W20" s="5">
        <v>5.16</v>
      </c>
      <c r="X20" s="5">
        <v>2.78</v>
      </c>
      <c r="Y20" s="4">
        <v>1320</v>
      </c>
      <c r="Z20" s="4"/>
      <c r="AA20" s="13">
        <f t="shared" ref="AA20:AF20" si="30">IF(OR(C21=""),"",C21-C20)</f>
        <v>45717</v>
      </c>
      <c r="AB20" s="13">
        <f t="shared" si="30"/>
        <v>57076</v>
      </c>
      <c r="AC20" s="13">
        <f t="shared" si="30"/>
        <v>54314</v>
      </c>
      <c r="AD20" s="13">
        <f t="shared" si="30"/>
        <v>50823</v>
      </c>
      <c r="AE20" s="13">
        <f t="shared" si="27"/>
        <v>200359</v>
      </c>
      <c r="AF20" s="13">
        <f t="shared" si="30"/>
        <v>5520</v>
      </c>
      <c r="AG20" s="13">
        <f t="shared" si="1"/>
        <v>7571</v>
      </c>
      <c r="AH20" s="13">
        <f t="shared" si="2"/>
        <v>200359</v>
      </c>
      <c r="AI20" s="13">
        <f t="shared" si="3"/>
        <v>5520</v>
      </c>
      <c r="AJ20" s="13">
        <f t="shared" si="4"/>
        <v>194839</v>
      </c>
      <c r="AK20" s="13">
        <v>4200</v>
      </c>
      <c r="AL20" s="13">
        <f t="shared" si="5"/>
        <v>0</v>
      </c>
      <c r="AM20" s="13">
        <f t="shared" si="6"/>
        <v>0</v>
      </c>
      <c r="AN20" s="13">
        <f t="shared" si="7"/>
        <v>2485</v>
      </c>
      <c r="AO20" s="13">
        <f t="shared" si="8"/>
        <v>888</v>
      </c>
      <c r="AP20" s="13">
        <v>2845</v>
      </c>
      <c r="AQ20" s="17">
        <f t="shared" si="9"/>
        <v>0</v>
      </c>
      <c r="AR20" s="17">
        <f t="shared" si="10"/>
        <v>0</v>
      </c>
      <c r="AS20" s="18">
        <f t="shared" si="11"/>
        <v>12.8</v>
      </c>
      <c r="AT20" s="17">
        <f t="shared" si="12"/>
        <v>4.56</v>
      </c>
    </row>
    <row r="21" spans="1:46">
      <c r="A21" s="6">
        <f t="shared" si="14"/>
        <v>43880</v>
      </c>
      <c r="B21" s="5" t="s">
        <v>47</v>
      </c>
      <c r="C21" s="4">
        <v>30655358</v>
      </c>
      <c r="D21" s="4">
        <v>16897287</v>
      </c>
      <c r="E21" s="4">
        <v>12524478</v>
      </c>
      <c r="F21" s="4">
        <v>12094609</v>
      </c>
      <c r="G21" s="4">
        <v>282286117</v>
      </c>
      <c r="H21" s="4">
        <v>106118432</v>
      </c>
      <c r="I21" s="4">
        <v>282286117</v>
      </c>
      <c r="J21" s="4">
        <v>106118432</v>
      </c>
      <c r="K21" s="4"/>
      <c r="L21" s="5">
        <v>4299.8</v>
      </c>
      <c r="M21" s="5">
        <v>4275.78</v>
      </c>
      <c r="N21" s="5">
        <v>73819.17</v>
      </c>
      <c r="O21" s="5"/>
      <c r="P21" s="5"/>
      <c r="Q21" s="10">
        <v>15.2</v>
      </c>
      <c r="R21" s="4" t="s">
        <v>54</v>
      </c>
      <c r="S21" s="4">
        <v>370</v>
      </c>
      <c r="T21" s="4">
        <v>380</v>
      </c>
      <c r="U21" s="4">
        <v>9396</v>
      </c>
      <c r="V21" s="4">
        <v>7206</v>
      </c>
      <c r="W21" s="5">
        <v>6.2</v>
      </c>
      <c r="X21" s="5">
        <v>5.2</v>
      </c>
      <c r="Y21" s="4">
        <v>1440</v>
      </c>
      <c r="Z21" s="4"/>
      <c r="AA21" s="13">
        <f t="shared" ref="AA21:AF21" si="31">IF(OR(C22=""),"",C22-C21)</f>
        <v>48191</v>
      </c>
      <c r="AB21" s="13">
        <f t="shared" si="31"/>
        <v>59712</v>
      </c>
      <c r="AC21" s="13">
        <f t="shared" si="31"/>
        <v>55379</v>
      </c>
      <c r="AD21" s="13">
        <f t="shared" si="31"/>
        <v>53363</v>
      </c>
      <c r="AE21" s="13">
        <f t="shared" si="27"/>
        <v>198580</v>
      </c>
      <c r="AF21" s="13">
        <f t="shared" si="31"/>
        <v>5473</v>
      </c>
      <c r="AG21" s="13">
        <f t="shared" si="1"/>
        <v>18065</v>
      </c>
      <c r="AH21" s="13">
        <f t="shared" si="2"/>
        <v>198580</v>
      </c>
      <c r="AI21" s="13">
        <f t="shared" si="3"/>
        <v>5473</v>
      </c>
      <c r="AJ21" s="13">
        <f t="shared" si="4"/>
        <v>193107</v>
      </c>
      <c r="AK21" s="13">
        <v>4200</v>
      </c>
      <c r="AL21" s="13">
        <f t="shared" si="5"/>
        <v>0</v>
      </c>
      <c r="AM21" s="13">
        <f t="shared" si="6"/>
        <v>0</v>
      </c>
      <c r="AN21" s="13">
        <f t="shared" si="7"/>
        <v>2627</v>
      </c>
      <c r="AO21" s="13">
        <f t="shared" si="8"/>
        <v>912</v>
      </c>
      <c r="AP21" s="13">
        <v>2799</v>
      </c>
      <c r="AQ21" s="17">
        <f t="shared" si="9"/>
        <v>0</v>
      </c>
      <c r="AR21" s="17">
        <f t="shared" si="10"/>
        <v>0</v>
      </c>
      <c r="AS21" s="18">
        <f t="shared" si="11"/>
        <v>13.6</v>
      </c>
      <c r="AT21" s="17">
        <f t="shared" si="12"/>
        <v>4.72</v>
      </c>
    </row>
    <row r="22" spans="1:46">
      <c r="A22" s="6">
        <f t="shared" si="14"/>
        <v>43881</v>
      </c>
      <c r="B22" s="5" t="s">
        <v>48</v>
      </c>
      <c r="C22" s="4">
        <v>30703549</v>
      </c>
      <c r="D22" s="4">
        <v>16956999</v>
      </c>
      <c r="E22" s="4">
        <v>12579857</v>
      </c>
      <c r="F22" s="4">
        <v>12147972</v>
      </c>
      <c r="G22" s="4">
        <v>282484697</v>
      </c>
      <c r="H22" s="4">
        <v>106123905</v>
      </c>
      <c r="I22" s="4">
        <v>282484697</v>
      </c>
      <c r="J22" s="4">
        <v>106123905</v>
      </c>
      <c r="K22" s="4"/>
      <c r="L22" s="5">
        <v>4299.8</v>
      </c>
      <c r="M22" s="5">
        <v>4275.78</v>
      </c>
      <c r="N22" s="5">
        <v>73819.17</v>
      </c>
      <c r="O22" s="5"/>
      <c r="P22" s="5"/>
      <c r="Q22" s="10">
        <v>14.7</v>
      </c>
      <c r="R22" s="4" t="s">
        <v>46</v>
      </c>
      <c r="S22" s="4">
        <v>530</v>
      </c>
      <c r="T22" s="4">
        <v>540</v>
      </c>
      <c r="U22" s="4">
        <v>9240</v>
      </c>
      <c r="V22" s="4">
        <v>8018</v>
      </c>
      <c r="W22" s="5">
        <v>6.8</v>
      </c>
      <c r="X22" s="5">
        <v>5.45</v>
      </c>
      <c r="Y22" s="4">
        <v>1440</v>
      </c>
      <c r="Z22" s="4"/>
      <c r="AA22" s="13">
        <f t="shared" ref="AA22:AF22" si="32">IF(OR(C23=""),"",C23-C22)</f>
        <v>45416</v>
      </c>
      <c r="AB22" s="13">
        <f t="shared" si="32"/>
        <v>56168</v>
      </c>
      <c r="AC22" s="13">
        <f t="shared" si="32"/>
        <v>53459</v>
      </c>
      <c r="AD22" s="13">
        <f t="shared" si="32"/>
        <v>49380</v>
      </c>
      <c r="AE22" s="13">
        <f t="shared" si="27"/>
        <v>200069</v>
      </c>
      <c r="AF22" s="13">
        <f t="shared" si="32"/>
        <v>5443</v>
      </c>
      <c r="AG22" s="13">
        <f t="shared" si="1"/>
        <v>4354</v>
      </c>
      <c r="AH22" s="13">
        <f t="shared" si="2"/>
        <v>200069</v>
      </c>
      <c r="AI22" s="13">
        <f t="shared" si="3"/>
        <v>5443</v>
      </c>
      <c r="AJ22" s="13">
        <f t="shared" si="4"/>
        <v>194626</v>
      </c>
      <c r="AK22" s="13">
        <v>3000</v>
      </c>
      <c r="AL22" s="13">
        <f t="shared" si="5"/>
        <v>14964</v>
      </c>
      <c r="AM22" s="13">
        <f t="shared" si="6"/>
        <v>6</v>
      </c>
      <c r="AN22" s="13">
        <f t="shared" si="7"/>
        <v>3763</v>
      </c>
      <c r="AO22" s="13">
        <f t="shared" si="8"/>
        <v>1296</v>
      </c>
      <c r="AP22" s="13">
        <v>2810</v>
      </c>
      <c r="AQ22" s="17">
        <f t="shared" si="9"/>
        <v>76.9</v>
      </c>
      <c r="AR22" s="17">
        <f t="shared" si="10"/>
        <v>0.03</v>
      </c>
      <c r="AS22" s="18">
        <f t="shared" si="11"/>
        <v>19.3</v>
      </c>
      <c r="AT22" s="17">
        <f t="shared" si="12"/>
        <v>6.66</v>
      </c>
    </row>
    <row r="23" spans="1:46">
      <c r="A23" s="6">
        <f t="shared" si="14"/>
        <v>43882</v>
      </c>
      <c r="B23" s="5" t="s">
        <v>50</v>
      </c>
      <c r="C23" s="4">
        <v>30748965</v>
      </c>
      <c r="D23" s="4">
        <v>17013167</v>
      </c>
      <c r="E23" s="4">
        <v>12633316</v>
      </c>
      <c r="F23" s="4">
        <v>12197352</v>
      </c>
      <c r="G23" s="4">
        <v>282684766</v>
      </c>
      <c r="H23" s="4">
        <v>106129348</v>
      </c>
      <c r="I23" s="4">
        <v>282684766</v>
      </c>
      <c r="J23" s="4">
        <v>106129348</v>
      </c>
      <c r="K23" s="4"/>
      <c r="L23" s="5">
        <v>4299.8</v>
      </c>
      <c r="M23" s="5">
        <v>4288.25</v>
      </c>
      <c r="N23" s="5">
        <v>73822.35</v>
      </c>
      <c r="O23" s="5"/>
      <c r="P23" s="5"/>
      <c r="Q23" s="10">
        <v>14.7</v>
      </c>
      <c r="R23" s="4" t="s">
        <v>46</v>
      </c>
      <c r="S23" s="4">
        <v>750</v>
      </c>
      <c r="T23" s="4">
        <v>730</v>
      </c>
      <c r="U23" s="4">
        <v>9315</v>
      </c>
      <c r="V23" s="4">
        <v>7917</v>
      </c>
      <c r="W23" s="5">
        <v>6.38</v>
      </c>
      <c r="X23" s="5">
        <v>5.08</v>
      </c>
      <c r="Y23" s="4">
        <v>1440</v>
      </c>
      <c r="Z23" s="4"/>
      <c r="AA23" s="13">
        <f t="shared" ref="AA23:AF23" si="33">IF(OR(C24=""),"",C24-C23)</f>
        <v>48885</v>
      </c>
      <c r="AB23" s="13">
        <f t="shared" si="33"/>
        <v>58881</v>
      </c>
      <c r="AC23" s="13">
        <f t="shared" si="33"/>
        <v>54564</v>
      </c>
      <c r="AD23" s="13">
        <f t="shared" si="33"/>
        <v>54073</v>
      </c>
      <c r="AE23" s="13">
        <f t="shared" si="33"/>
        <v>207248</v>
      </c>
      <c r="AF23" s="13">
        <f t="shared" si="33"/>
        <v>5658</v>
      </c>
      <c r="AG23" s="13">
        <f t="shared" si="1"/>
        <v>9155</v>
      </c>
      <c r="AH23" s="13">
        <f t="shared" si="2"/>
        <v>207248</v>
      </c>
      <c r="AI23" s="13">
        <f t="shared" si="3"/>
        <v>5658</v>
      </c>
      <c r="AJ23" s="13">
        <f t="shared" si="4"/>
        <v>201590</v>
      </c>
      <c r="AK23" s="13">
        <v>2000</v>
      </c>
      <c r="AL23" s="13">
        <f t="shared" si="5"/>
        <v>5976</v>
      </c>
      <c r="AM23" s="13">
        <f t="shared" si="6"/>
        <v>27</v>
      </c>
      <c r="AN23" s="13">
        <f t="shared" si="7"/>
        <v>5325</v>
      </c>
      <c r="AO23" s="13">
        <f t="shared" si="8"/>
        <v>1752</v>
      </c>
      <c r="AP23" s="13">
        <v>2802</v>
      </c>
      <c r="AQ23" s="17">
        <f t="shared" si="9"/>
        <v>29.6</v>
      </c>
      <c r="AR23" s="17">
        <f t="shared" si="10"/>
        <v>0.13</v>
      </c>
      <c r="AS23" s="18">
        <f t="shared" si="11"/>
        <v>26.4</v>
      </c>
      <c r="AT23" s="17">
        <f t="shared" si="12"/>
        <v>8.69</v>
      </c>
    </row>
    <row r="24" spans="1:46">
      <c r="A24" s="6">
        <f t="shared" si="14"/>
        <v>43883</v>
      </c>
      <c r="B24" s="5" t="s">
        <v>50</v>
      </c>
      <c r="C24" s="4">
        <v>30797850</v>
      </c>
      <c r="D24" s="4">
        <v>17072048</v>
      </c>
      <c r="E24" s="4">
        <v>12687880</v>
      </c>
      <c r="F24" s="4">
        <v>12251425</v>
      </c>
      <c r="G24" s="4">
        <v>282892014</v>
      </c>
      <c r="H24" s="4">
        <v>106135006</v>
      </c>
      <c r="I24" s="4">
        <v>282892014</v>
      </c>
      <c r="J24" s="4">
        <v>106135006</v>
      </c>
      <c r="K24" s="4"/>
      <c r="L24" s="5">
        <v>4299.8</v>
      </c>
      <c r="M24" s="5">
        <v>4293.23</v>
      </c>
      <c r="N24" s="5">
        <v>73835.91</v>
      </c>
      <c r="O24" s="5"/>
      <c r="P24" s="5"/>
      <c r="Q24" s="10">
        <v>15</v>
      </c>
      <c r="R24" s="4" t="s">
        <v>54</v>
      </c>
      <c r="S24" s="4">
        <v>580</v>
      </c>
      <c r="T24" s="4">
        <v>600</v>
      </c>
      <c r="U24" s="4">
        <v>9201</v>
      </c>
      <c r="V24" s="4">
        <v>7188</v>
      </c>
      <c r="W24" s="5">
        <v>5.98</v>
      </c>
      <c r="X24" s="5">
        <v>4.2</v>
      </c>
      <c r="Y24" s="4">
        <v>1440</v>
      </c>
      <c r="Z24" s="4"/>
      <c r="AA24" s="13">
        <f t="shared" ref="AA24:AF24" si="34">IF(OR(C25=""),"",C25-C24)</f>
        <v>46376</v>
      </c>
      <c r="AB24" s="13">
        <f t="shared" si="34"/>
        <v>57978</v>
      </c>
      <c r="AC24" s="13">
        <f t="shared" si="34"/>
        <v>53228</v>
      </c>
      <c r="AD24" s="13">
        <f t="shared" si="34"/>
        <v>51990</v>
      </c>
      <c r="AE24" s="13">
        <f t="shared" si="34"/>
        <v>204107</v>
      </c>
      <c r="AF24" s="13">
        <f t="shared" si="34"/>
        <v>5713</v>
      </c>
      <c r="AG24" s="13">
        <f t="shared" si="1"/>
        <v>5465</v>
      </c>
      <c r="AH24" s="13">
        <f t="shared" si="2"/>
        <v>204107</v>
      </c>
      <c r="AI24" s="13">
        <f t="shared" si="3"/>
        <v>5713</v>
      </c>
      <c r="AJ24" s="13">
        <f t="shared" si="4"/>
        <v>198394</v>
      </c>
      <c r="AK24" s="13">
        <v>2000</v>
      </c>
      <c r="AL24" s="13">
        <f t="shared" si="5"/>
        <v>3720</v>
      </c>
      <c r="AM24" s="13">
        <f t="shared" si="6"/>
        <v>9</v>
      </c>
      <c r="AN24" s="13">
        <f t="shared" si="7"/>
        <v>4118</v>
      </c>
      <c r="AO24" s="13">
        <f t="shared" si="8"/>
        <v>1440</v>
      </c>
      <c r="AP24" s="13">
        <v>2758</v>
      </c>
      <c r="AQ24" s="17">
        <f t="shared" si="9"/>
        <v>18.8</v>
      </c>
      <c r="AR24" s="17">
        <f t="shared" si="10"/>
        <v>0.05</v>
      </c>
      <c r="AS24" s="18">
        <f t="shared" si="11"/>
        <v>20.8</v>
      </c>
      <c r="AT24" s="17">
        <f t="shared" si="12"/>
        <v>7.26</v>
      </c>
    </row>
    <row r="25" spans="1:46">
      <c r="A25" s="6">
        <f t="shared" si="14"/>
        <v>43884</v>
      </c>
      <c r="B25" s="5" t="s">
        <v>50</v>
      </c>
      <c r="C25" s="4">
        <v>30844226</v>
      </c>
      <c r="D25" s="4">
        <v>17130026</v>
      </c>
      <c r="E25" s="4">
        <v>12741108</v>
      </c>
      <c r="F25" s="4">
        <v>12303415</v>
      </c>
      <c r="G25" s="4">
        <v>283096121</v>
      </c>
      <c r="H25" s="4">
        <v>106140719</v>
      </c>
      <c r="I25" s="4">
        <v>283096121</v>
      </c>
      <c r="J25" s="4">
        <v>106140719</v>
      </c>
      <c r="K25" s="4"/>
      <c r="L25" s="5">
        <v>4299.8</v>
      </c>
      <c r="M25" s="5">
        <v>4296.33</v>
      </c>
      <c r="N25" s="5">
        <v>73840.25</v>
      </c>
      <c r="O25" s="5"/>
      <c r="P25" s="5"/>
      <c r="Q25" s="10">
        <v>14.8</v>
      </c>
      <c r="R25" s="4" t="s">
        <v>46</v>
      </c>
      <c r="S25" s="4">
        <v>430</v>
      </c>
      <c r="T25" s="4">
        <v>450</v>
      </c>
      <c r="U25" s="4">
        <v>9248</v>
      </c>
      <c r="V25" s="4">
        <v>6950</v>
      </c>
      <c r="W25" s="5">
        <v>5.65</v>
      </c>
      <c r="X25" s="5">
        <v>4.38</v>
      </c>
      <c r="Y25" s="4">
        <v>1440</v>
      </c>
      <c r="Z25" s="4"/>
      <c r="AA25" s="13">
        <f t="shared" ref="AA25:AF25" si="35">IF(OR(C26=""),"",C26-C25)</f>
        <v>47627</v>
      </c>
      <c r="AB25" s="13">
        <f t="shared" si="35"/>
        <v>59857</v>
      </c>
      <c r="AC25" s="13">
        <f t="shared" si="35"/>
        <v>55204</v>
      </c>
      <c r="AD25" s="13">
        <f t="shared" si="35"/>
        <v>53941</v>
      </c>
      <c r="AE25" s="13">
        <f t="shared" si="35"/>
        <v>203431</v>
      </c>
      <c r="AF25" s="13">
        <f t="shared" si="35"/>
        <v>5665</v>
      </c>
      <c r="AG25" s="13">
        <f t="shared" si="1"/>
        <v>13198</v>
      </c>
      <c r="AH25" s="13">
        <f t="shared" si="2"/>
        <v>203431</v>
      </c>
      <c r="AI25" s="13">
        <f t="shared" si="3"/>
        <v>5665</v>
      </c>
      <c r="AJ25" s="13">
        <f t="shared" si="4"/>
        <v>197766</v>
      </c>
      <c r="AK25" s="13">
        <v>3200</v>
      </c>
      <c r="AL25" s="13">
        <f t="shared" si="5"/>
        <v>0</v>
      </c>
      <c r="AM25" s="13">
        <f t="shared" si="6"/>
        <v>0</v>
      </c>
      <c r="AN25" s="13">
        <f t="shared" si="7"/>
        <v>3053</v>
      </c>
      <c r="AO25" s="13">
        <f t="shared" si="8"/>
        <v>1080</v>
      </c>
      <c r="AP25" s="13">
        <v>2798</v>
      </c>
      <c r="AQ25" s="17">
        <f t="shared" si="9"/>
        <v>0</v>
      </c>
      <c r="AR25" s="17">
        <f t="shared" si="10"/>
        <v>0</v>
      </c>
      <c r="AS25" s="18">
        <f t="shared" si="11"/>
        <v>15.4</v>
      </c>
      <c r="AT25" s="17">
        <f t="shared" si="12"/>
        <v>5.46</v>
      </c>
    </row>
    <row r="26" spans="1:46">
      <c r="A26" s="6">
        <f t="shared" si="14"/>
        <v>43885</v>
      </c>
      <c r="B26" s="5" t="s">
        <v>50</v>
      </c>
      <c r="C26" s="4">
        <v>30891853</v>
      </c>
      <c r="D26" s="4">
        <v>17189883</v>
      </c>
      <c r="E26" s="4">
        <v>12796312</v>
      </c>
      <c r="F26" s="4">
        <v>12357356</v>
      </c>
      <c r="G26" s="4">
        <v>283299552</v>
      </c>
      <c r="H26" s="4">
        <v>106146384</v>
      </c>
      <c r="I26" s="4">
        <v>283299552</v>
      </c>
      <c r="J26" s="4">
        <v>106146384</v>
      </c>
      <c r="K26" s="4"/>
      <c r="L26" s="5">
        <v>4299.8</v>
      </c>
      <c r="M26" s="5">
        <v>4296.33</v>
      </c>
      <c r="N26" s="5">
        <v>73840.25</v>
      </c>
      <c r="O26" s="5"/>
      <c r="P26" s="5"/>
      <c r="Q26" s="10">
        <v>15</v>
      </c>
      <c r="R26" s="4" t="s">
        <v>46</v>
      </c>
      <c r="S26" s="4">
        <v>320</v>
      </c>
      <c r="T26" s="4">
        <v>300</v>
      </c>
      <c r="U26" s="4">
        <v>9235</v>
      </c>
      <c r="V26" s="4">
        <v>8022</v>
      </c>
      <c r="W26" s="5">
        <v>5.39</v>
      </c>
      <c r="X26" s="5">
        <v>4.06</v>
      </c>
      <c r="Y26" s="4">
        <v>1440</v>
      </c>
      <c r="Z26" s="4"/>
      <c r="AA26" s="13">
        <f t="shared" ref="AA26:AF26" si="36">IF(OR(C27=""),"",C27-C26)</f>
        <v>45387</v>
      </c>
      <c r="AB26" s="13">
        <f t="shared" si="36"/>
        <v>56278</v>
      </c>
      <c r="AC26" s="13">
        <f t="shared" si="36"/>
        <v>53330</v>
      </c>
      <c r="AD26" s="13">
        <f t="shared" si="36"/>
        <v>50757</v>
      </c>
      <c r="AE26" s="13">
        <f t="shared" si="36"/>
        <v>195367</v>
      </c>
      <c r="AF26" s="13">
        <f t="shared" si="36"/>
        <v>2218</v>
      </c>
      <c r="AG26" s="13">
        <f t="shared" si="1"/>
        <v>10385</v>
      </c>
      <c r="AH26" s="13">
        <f t="shared" si="2"/>
        <v>195367</v>
      </c>
      <c r="AI26" s="13">
        <f t="shared" si="3"/>
        <v>2218</v>
      </c>
      <c r="AJ26" s="13">
        <f t="shared" si="4"/>
        <v>193149</v>
      </c>
      <c r="AK26" s="13">
        <v>2800</v>
      </c>
      <c r="AL26" s="13">
        <f t="shared" si="5"/>
        <v>14160</v>
      </c>
      <c r="AM26" s="13">
        <f t="shared" si="6"/>
        <v>25</v>
      </c>
      <c r="AN26" s="13">
        <f t="shared" si="7"/>
        <v>2272</v>
      </c>
      <c r="AO26" s="13">
        <f t="shared" si="8"/>
        <v>720</v>
      </c>
      <c r="AP26" s="13">
        <v>2738</v>
      </c>
      <c r="AQ26" s="17">
        <f t="shared" si="9"/>
        <v>73.3</v>
      </c>
      <c r="AR26" s="17">
        <f t="shared" si="10"/>
        <v>0.13</v>
      </c>
      <c r="AS26" s="18">
        <f t="shared" si="11"/>
        <v>11.8</v>
      </c>
      <c r="AT26" s="17">
        <f t="shared" si="12"/>
        <v>3.73</v>
      </c>
    </row>
    <row r="27" spans="1:46">
      <c r="A27" s="6">
        <f t="shared" si="14"/>
        <v>43886</v>
      </c>
      <c r="B27" s="5" t="s">
        <v>50</v>
      </c>
      <c r="C27" s="4">
        <v>30937240</v>
      </c>
      <c r="D27" s="4">
        <v>17246161</v>
      </c>
      <c r="E27" s="4">
        <v>12849642</v>
      </c>
      <c r="F27" s="4">
        <v>12408113</v>
      </c>
      <c r="G27" s="4">
        <v>283494919</v>
      </c>
      <c r="H27" s="4">
        <v>106148602</v>
      </c>
      <c r="I27" s="4">
        <v>283494919</v>
      </c>
      <c r="J27" s="4">
        <v>106148602</v>
      </c>
      <c r="K27" s="4"/>
      <c r="L27" s="5">
        <v>4299.8</v>
      </c>
      <c r="M27" s="5">
        <v>4308.13</v>
      </c>
      <c r="N27" s="5">
        <v>73852.85</v>
      </c>
      <c r="O27" s="5"/>
      <c r="P27" s="5"/>
      <c r="Q27" s="10">
        <v>16.1</v>
      </c>
      <c r="R27" s="4" t="s">
        <v>46</v>
      </c>
      <c r="S27" s="4">
        <v>420</v>
      </c>
      <c r="T27" s="4">
        <v>450</v>
      </c>
      <c r="U27" s="4">
        <v>9097</v>
      </c>
      <c r="V27" s="4">
        <v>8192</v>
      </c>
      <c r="W27" s="5">
        <v>4.98</v>
      </c>
      <c r="X27" s="5">
        <v>3.27</v>
      </c>
      <c r="Y27" s="4">
        <v>1440</v>
      </c>
      <c r="Z27" s="4"/>
      <c r="AA27" s="13">
        <f t="shared" ref="AA27:AF27" si="37">IF(OR(C28=""),"",C28-C27)</f>
        <v>47407</v>
      </c>
      <c r="AB27" s="13">
        <f t="shared" si="37"/>
        <v>58822</v>
      </c>
      <c r="AC27" s="13">
        <f t="shared" si="37"/>
        <v>54176</v>
      </c>
      <c r="AD27" s="13">
        <f t="shared" si="37"/>
        <v>53712</v>
      </c>
      <c r="AE27" s="13">
        <f t="shared" si="37"/>
        <v>202305</v>
      </c>
      <c r="AF27" s="13">
        <f t="shared" si="37"/>
        <v>4894</v>
      </c>
      <c r="AG27" s="13">
        <f t="shared" si="1"/>
        <v>11812</v>
      </c>
      <c r="AH27" s="13">
        <f t="shared" si="2"/>
        <v>202305</v>
      </c>
      <c r="AI27" s="13">
        <f t="shared" si="3"/>
        <v>4894</v>
      </c>
      <c r="AJ27" s="13">
        <f t="shared" si="4"/>
        <v>197411</v>
      </c>
      <c r="AK27" s="13">
        <v>4000</v>
      </c>
      <c r="AL27" s="13">
        <f t="shared" si="5"/>
        <v>0</v>
      </c>
      <c r="AM27" s="13">
        <f t="shared" si="6"/>
        <v>0</v>
      </c>
      <c r="AN27" s="13">
        <f t="shared" si="7"/>
        <v>2982</v>
      </c>
      <c r="AO27" s="13">
        <f t="shared" si="8"/>
        <v>1080</v>
      </c>
      <c r="AP27" s="13">
        <v>2985</v>
      </c>
      <c r="AQ27" s="17">
        <f t="shared" si="9"/>
        <v>0</v>
      </c>
      <c r="AR27" s="17">
        <f t="shared" si="10"/>
        <v>0</v>
      </c>
      <c r="AS27" s="18">
        <f t="shared" si="11"/>
        <v>15.1</v>
      </c>
      <c r="AT27" s="17">
        <f t="shared" si="12"/>
        <v>5.47</v>
      </c>
    </row>
    <row r="28" spans="1:46">
      <c r="A28" s="6">
        <f t="shared" si="14"/>
        <v>43887</v>
      </c>
      <c r="B28" s="5" t="s">
        <v>50</v>
      </c>
      <c r="C28" s="4">
        <v>30984647</v>
      </c>
      <c r="D28" s="4">
        <v>17304983</v>
      </c>
      <c r="E28" s="4">
        <v>12903818</v>
      </c>
      <c r="F28" s="4">
        <v>12461825</v>
      </c>
      <c r="G28" s="4">
        <v>283697224</v>
      </c>
      <c r="H28" s="4">
        <v>106153496</v>
      </c>
      <c r="I28" s="4">
        <v>283697224</v>
      </c>
      <c r="J28" s="4">
        <v>106153496</v>
      </c>
      <c r="K28" s="4"/>
      <c r="L28" s="5">
        <v>4299.8</v>
      </c>
      <c r="M28" s="5">
        <v>4308.13</v>
      </c>
      <c r="N28" s="5">
        <v>73852.85</v>
      </c>
      <c r="O28" s="5"/>
      <c r="P28" s="5"/>
      <c r="Q28" s="10">
        <v>16.5</v>
      </c>
      <c r="R28" s="4" t="s">
        <v>46</v>
      </c>
      <c r="S28" s="4">
        <v>400</v>
      </c>
      <c r="T28" s="4">
        <v>410</v>
      </c>
      <c r="U28" s="4">
        <v>8607</v>
      </c>
      <c r="V28" s="4">
        <v>8199</v>
      </c>
      <c r="W28" s="5">
        <v>4.3</v>
      </c>
      <c r="X28" s="5">
        <v>3.12</v>
      </c>
      <c r="Y28" s="4">
        <v>1200</v>
      </c>
      <c r="Z28" s="4"/>
      <c r="AA28" s="13">
        <f t="shared" ref="AA28:AF28" si="38">IF(OR(C29=""),"",C29-C28)</f>
        <v>44749</v>
      </c>
      <c r="AB28" s="13">
        <f t="shared" si="38"/>
        <v>55131</v>
      </c>
      <c r="AC28" s="13">
        <f t="shared" si="38"/>
        <v>52203</v>
      </c>
      <c r="AD28" s="13">
        <f t="shared" si="38"/>
        <v>49351</v>
      </c>
      <c r="AE28" s="13">
        <f t="shared" si="38"/>
        <v>194762</v>
      </c>
      <c r="AF28" s="13">
        <f t="shared" si="38"/>
        <v>5197</v>
      </c>
      <c r="AG28" s="13">
        <f t="shared" si="1"/>
        <v>6672</v>
      </c>
      <c r="AH28" s="13">
        <f t="shared" si="2"/>
        <v>194762</v>
      </c>
      <c r="AI28" s="13">
        <f t="shared" si="3"/>
        <v>5197</v>
      </c>
      <c r="AJ28" s="13">
        <f t="shared" si="4"/>
        <v>189565</v>
      </c>
      <c r="AK28" s="13">
        <v>4000</v>
      </c>
      <c r="AL28" s="13">
        <f t="shared" si="5"/>
        <v>0</v>
      </c>
      <c r="AM28" s="13">
        <f t="shared" si="6"/>
        <v>0</v>
      </c>
      <c r="AN28" s="13">
        <f t="shared" si="7"/>
        <v>2840</v>
      </c>
      <c r="AO28" s="13">
        <f t="shared" si="8"/>
        <v>984</v>
      </c>
      <c r="AP28" s="13">
        <v>3251</v>
      </c>
      <c r="AQ28" s="17">
        <f t="shared" si="9"/>
        <v>0</v>
      </c>
      <c r="AR28" s="17">
        <f t="shared" si="10"/>
        <v>0</v>
      </c>
      <c r="AS28" s="18">
        <f t="shared" si="11"/>
        <v>15</v>
      </c>
      <c r="AT28" s="17">
        <f t="shared" si="12"/>
        <v>5.19</v>
      </c>
    </row>
    <row r="29" spans="1:46">
      <c r="A29" s="6">
        <f t="shared" si="14"/>
        <v>43888</v>
      </c>
      <c r="B29" s="5" t="s">
        <v>47</v>
      </c>
      <c r="C29" s="4">
        <v>31029396</v>
      </c>
      <c r="D29" s="4">
        <v>17360114</v>
      </c>
      <c r="E29" s="4">
        <v>12956021</v>
      </c>
      <c r="F29" s="4">
        <v>12511176</v>
      </c>
      <c r="G29" s="4">
        <v>283891986</v>
      </c>
      <c r="H29" s="4">
        <v>106158693</v>
      </c>
      <c r="I29" s="4">
        <v>283891986</v>
      </c>
      <c r="J29" s="4">
        <v>106158693</v>
      </c>
      <c r="K29" s="4"/>
      <c r="L29" s="5">
        <v>4299.8</v>
      </c>
      <c r="M29" s="5">
        <v>4308.13</v>
      </c>
      <c r="N29" s="5">
        <v>73852.85</v>
      </c>
      <c r="O29" s="5"/>
      <c r="P29" s="5"/>
      <c r="Q29" s="10">
        <v>16.5</v>
      </c>
      <c r="R29" s="4" t="s">
        <v>46</v>
      </c>
      <c r="S29" s="4">
        <v>630</v>
      </c>
      <c r="T29" s="4">
        <v>650</v>
      </c>
      <c r="U29" s="4">
        <v>9066</v>
      </c>
      <c r="V29" s="4">
        <v>7017</v>
      </c>
      <c r="W29" s="5">
        <v>5.48</v>
      </c>
      <c r="X29" s="5">
        <v>3.3</v>
      </c>
      <c r="Y29" s="4">
        <v>1440</v>
      </c>
      <c r="Z29" s="4"/>
      <c r="AA29" s="13">
        <f t="shared" ref="AA29:AF29" si="39">IF(OR(C30=""),"",C30-C29)</f>
        <v>45334</v>
      </c>
      <c r="AB29" s="13">
        <f t="shared" si="39"/>
        <v>56085</v>
      </c>
      <c r="AC29" s="13">
        <f t="shared" si="39"/>
        <v>52594</v>
      </c>
      <c r="AD29" s="13">
        <f t="shared" si="39"/>
        <v>49417</v>
      </c>
      <c r="AE29" s="13">
        <f t="shared" si="39"/>
        <v>190014</v>
      </c>
      <c r="AF29" s="13">
        <f t="shared" si="39"/>
        <v>5192</v>
      </c>
      <c r="AG29" s="13">
        <f t="shared" si="1"/>
        <v>13416</v>
      </c>
      <c r="AH29" s="13">
        <f t="shared" si="2"/>
        <v>190014</v>
      </c>
      <c r="AI29" s="13">
        <f t="shared" si="3"/>
        <v>5192</v>
      </c>
      <c r="AJ29" s="13">
        <f t="shared" si="4"/>
        <v>184822</v>
      </c>
      <c r="AK29" s="13">
        <v>4100</v>
      </c>
      <c r="AL29" s="13">
        <f t="shared" si="5"/>
        <v>10452</v>
      </c>
      <c r="AM29" s="13">
        <f t="shared" si="6"/>
        <v>2</v>
      </c>
      <c r="AN29" s="13">
        <f t="shared" si="7"/>
        <v>4473</v>
      </c>
      <c r="AO29" s="13">
        <f t="shared" si="8"/>
        <v>1560</v>
      </c>
      <c r="AP29" s="13">
        <v>3014</v>
      </c>
      <c r="AQ29" s="17">
        <f t="shared" si="9"/>
        <v>56.6</v>
      </c>
      <c r="AR29" s="17">
        <f t="shared" si="10"/>
        <v>0.01</v>
      </c>
      <c r="AS29" s="18">
        <f t="shared" si="11"/>
        <v>24.2</v>
      </c>
      <c r="AT29" s="17">
        <f t="shared" si="12"/>
        <v>8.44</v>
      </c>
    </row>
    <row r="30" spans="1:46">
      <c r="A30" s="6">
        <f t="shared" si="14"/>
        <v>43889</v>
      </c>
      <c r="B30" s="5" t="s">
        <v>50</v>
      </c>
      <c r="C30" s="4">
        <v>31074730</v>
      </c>
      <c r="D30" s="4">
        <v>17416199</v>
      </c>
      <c r="E30" s="4">
        <v>13008615</v>
      </c>
      <c r="F30" s="4">
        <v>12560593</v>
      </c>
      <c r="G30" s="4">
        <v>284082000</v>
      </c>
      <c r="H30" s="4">
        <v>106163885</v>
      </c>
      <c r="I30" s="4">
        <v>284082000</v>
      </c>
      <c r="J30" s="4">
        <v>106163885</v>
      </c>
      <c r="K30" s="4"/>
      <c r="L30" s="5">
        <v>4299.8</v>
      </c>
      <c r="M30" s="5">
        <v>4316.84</v>
      </c>
      <c r="N30" s="5">
        <v>73853.91</v>
      </c>
      <c r="O30" s="5"/>
      <c r="P30" s="5"/>
      <c r="Q30" s="10">
        <v>16.7</v>
      </c>
      <c r="R30" s="4" t="s">
        <v>46</v>
      </c>
      <c r="S30" s="4">
        <v>730</v>
      </c>
      <c r="T30" s="4">
        <v>750</v>
      </c>
      <c r="U30" s="4">
        <v>9052</v>
      </c>
      <c r="V30" s="4">
        <v>7125</v>
      </c>
      <c r="W30" s="5">
        <v>5.73</v>
      </c>
      <c r="X30" s="5">
        <v>3.49</v>
      </c>
      <c r="Y30" s="4">
        <v>1440</v>
      </c>
      <c r="Z30" s="4"/>
      <c r="AA30" s="13">
        <f t="shared" ref="AA30:AF30" si="40">IF(OR(C31=""),"",C31-C30)</f>
        <v>43784</v>
      </c>
      <c r="AB30" s="13">
        <f t="shared" si="40"/>
        <v>53821</v>
      </c>
      <c r="AC30" s="13">
        <f t="shared" si="40"/>
        <v>51439</v>
      </c>
      <c r="AD30" s="13">
        <f t="shared" si="40"/>
        <v>45519</v>
      </c>
      <c r="AE30" s="13">
        <f t="shared" si="40"/>
        <v>186894</v>
      </c>
      <c r="AF30" s="13">
        <f t="shared" si="40"/>
        <v>5508</v>
      </c>
      <c r="AG30" s="13">
        <f t="shared" si="1"/>
        <v>7669</v>
      </c>
      <c r="AH30" s="13">
        <f t="shared" si="2"/>
        <v>186894</v>
      </c>
      <c r="AI30" s="13">
        <f t="shared" si="3"/>
        <v>5508</v>
      </c>
      <c r="AJ30" s="13">
        <f t="shared" si="4"/>
        <v>181386</v>
      </c>
      <c r="AK30" s="13">
        <v>3900</v>
      </c>
      <c r="AL30" s="13">
        <f t="shared" si="5"/>
        <v>11160</v>
      </c>
      <c r="AM30" s="13">
        <f t="shared" si="6"/>
        <v>34</v>
      </c>
      <c r="AN30" s="13">
        <f t="shared" si="7"/>
        <v>5183</v>
      </c>
      <c r="AO30" s="13">
        <f t="shared" si="8"/>
        <v>1800</v>
      </c>
      <c r="AP30" s="13">
        <v>2167</v>
      </c>
      <c r="AQ30" s="17">
        <f t="shared" si="9"/>
        <v>61.5</v>
      </c>
      <c r="AR30" s="17">
        <f t="shared" si="10"/>
        <v>0.19</v>
      </c>
      <c r="AS30" s="18">
        <f t="shared" si="11"/>
        <v>28.6</v>
      </c>
      <c r="AT30" s="17">
        <f t="shared" si="12"/>
        <v>9.92</v>
      </c>
    </row>
    <row r="31" spans="1:46">
      <c r="A31" s="6">
        <f t="shared" si="14"/>
        <v>43890</v>
      </c>
      <c r="B31" s="5" t="s">
        <v>50</v>
      </c>
      <c r="C31" s="4">
        <v>31118514</v>
      </c>
      <c r="D31" s="4">
        <v>17470020</v>
      </c>
      <c r="E31" s="4">
        <v>13060054</v>
      </c>
      <c r="F31" s="4">
        <v>12606112</v>
      </c>
      <c r="G31" s="4">
        <v>284268894</v>
      </c>
      <c r="H31" s="4">
        <v>106169393</v>
      </c>
      <c r="I31" s="4">
        <v>284268894</v>
      </c>
      <c r="J31" s="4">
        <v>106169393</v>
      </c>
      <c r="K31" s="4"/>
      <c r="L31" s="5">
        <v>4299.8</v>
      </c>
      <c r="M31" s="5">
        <v>4326.14</v>
      </c>
      <c r="N31" s="5">
        <v>73871.03</v>
      </c>
      <c r="O31" s="5"/>
      <c r="P31" s="5"/>
      <c r="Q31" s="10">
        <v>17.8</v>
      </c>
      <c r="R31" s="4" t="s">
        <v>46</v>
      </c>
      <c r="S31" s="4"/>
      <c r="T31" s="4"/>
      <c r="U31" s="4"/>
      <c r="V31" s="4"/>
      <c r="W31" s="5"/>
      <c r="X31" s="5"/>
      <c r="Y31" s="4"/>
      <c r="Z31" s="4"/>
      <c r="AA31" s="13" t="str">
        <f t="shared" ref="AA31:AF31" si="41">IF(OR(C32=""),"",C32-C31)</f>
        <v/>
      </c>
      <c r="AB31" s="13" t="str">
        <f t="shared" si="41"/>
        <v/>
      </c>
      <c r="AC31" s="13" t="str">
        <f t="shared" si="41"/>
        <v/>
      </c>
      <c r="AD31" s="13" t="str">
        <f t="shared" si="41"/>
        <v/>
      </c>
      <c r="AE31" s="13" t="str">
        <f t="shared" si="41"/>
        <v/>
      </c>
      <c r="AF31" s="13" t="str">
        <f t="shared" si="41"/>
        <v/>
      </c>
      <c r="AG31" s="13" t="str">
        <f t="shared" si="1"/>
        <v/>
      </c>
      <c r="AH31" s="13" t="str">
        <f t="shared" si="2"/>
        <v/>
      </c>
      <c r="AI31" s="13" t="str">
        <f t="shared" si="3"/>
        <v/>
      </c>
      <c r="AJ31" s="13" t="str">
        <f t="shared" si="4"/>
        <v/>
      </c>
      <c r="AK31" s="13" t="str">
        <f t="shared" ref="AK31:AK33" si="42">IF(K31="","",K32-K31)</f>
        <v/>
      </c>
      <c r="AL31" s="13" t="str">
        <f t="shared" si="5"/>
        <v/>
      </c>
      <c r="AM31" s="13" t="str">
        <f t="shared" si="6"/>
        <v/>
      </c>
      <c r="AN31" s="13" t="str">
        <f t="shared" si="7"/>
        <v/>
      </c>
      <c r="AO31" s="13" t="str">
        <f t="shared" si="8"/>
        <v/>
      </c>
      <c r="AP31" s="13"/>
      <c r="AQ31" s="17" t="str">
        <f t="shared" si="9"/>
        <v/>
      </c>
      <c r="AR31" s="17" t="str">
        <f t="shared" si="10"/>
        <v/>
      </c>
      <c r="AS31" s="18" t="str">
        <f t="shared" si="11"/>
        <v/>
      </c>
      <c r="AT31" s="17" t="str">
        <f t="shared" si="12"/>
        <v/>
      </c>
    </row>
    <row r="32" spans="1:46">
      <c r="A32" s="6">
        <f t="shared" si="14"/>
        <v>43891</v>
      </c>
      <c r="B32" s="5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  <c r="N32" s="5"/>
      <c r="O32" s="5"/>
      <c r="P32" s="5"/>
      <c r="Q32" s="10"/>
      <c r="R32" s="4"/>
      <c r="S32" s="4"/>
      <c r="T32" s="4"/>
      <c r="U32" s="4"/>
      <c r="V32" s="4"/>
      <c r="W32" s="5"/>
      <c r="X32" s="5"/>
      <c r="Y32" s="4"/>
      <c r="Z32" s="4"/>
      <c r="AA32" s="13" t="str">
        <f t="shared" ref="AA32:AF32" si="43">IF(OR(C33=""),"",C33-C32)</f>
        <v/>
      </c>
      <c r="AB32" s="13" t="str">
        <f t="shared" si="43"/>
        <v/>
      </c>
      <c r="AC32" s="13" t="str">
        <f t="shared" si="43"/>
        <v/>
      </c>
      <c r="AD32" s="13" t="str">
        <f t="shared" si="43"/>
        <v/>
      </c>
      <c r="AE32" s="13" t="str">
        <f t="shared" si="43"/>
        <v/>
      </c>
      <c r="AF32" s="13" t="str">
        <f t="shared" si="43"/>
        <v/>
      </c>
      <c r="AG32" s="13" t="str">
        <f t="shared" si="1"/>
        <v/>
      </c>
      <c r="AH32" s="13" t="str">
        <f t="shared" si="2"/>
        <v/>
      </c>
      <c r="AI32" s="13" t="str">
        <f t="shared" si="3"/>
        <v/>
      </c>
      <c r="AJ32" s="13" t="str">
        <f t="shared" si="4"/>
        <v/>
      </c>
      <c r="AK32" s="13" t="str">
        <f t="shared" si="42"/>
        <v/>
      </c>
      <c r="AL32" s="13" t="str">
        <f t="shared" si="5"/>
        <v/>
      </c>
      <c r="AM32" s="13" t="str">
        <f t="shared" si="6"/>
        <v/>
      </c>
      <c r="AN32" s="13" t="str">
        <f t="shared" si="7"/>
        <v/>
      </c>
      <c r="AO32" s="13" t="str">
        <f t="shared" si="8"/>
        <v/>
      </c>
      <c r="AP32" s="13"/>
      <c r="AQ32" s="17" t="str">
        <f t="shared" si="9"/>
        <v/>
      </c>
      <c r="AR32" s="17" t="str">
        <f t="shared" si="10"/>
        <v/>
      </c>
      <c r="AS32" s="18" t="str">
        <f t="shared" si="11"/>
        <v/>
      </c>
      <c r="AT32" s="17" t="str">
        <f t="shared" si="12"/>
        <v/>
      </c>
    </row>
    <row r="33" spans="1:46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  <c r="N33" s="5"/>
      <c r="O33" s="5"/>
      <c r="P33" s="5"/>
      <c r="Q33" s="10"/>
      <c r="R33" s="4"/>
      <c r="S33" s="4"/>
      <c r="T33" s="4"/>
      <c r="U33" s="4"/>
      <c r="V33" s="4"/>
      <c r="W33" s="5"/>
      <c r="X33" s="5"/>
      <c r="Y33" s="4"/>
      <c r="Z33" s="4"/>
      <c r="AA33" s="13" t="str">
        <f t="shared" ref="AA33:AF33" si="44">IF(OR(C34=""),"",C34-C33)</f>
        <v/>
      </c>
      <c r="AB33" s="13" t="str">
        <f t="shared" si="44"/>
        <v/>
      </c>
      <c r="AC33" s="13" t="str">
        <f t="shared" si="44"/>
        <v/>
      </c>
      <c r="AD33" s="13" t="str">
        <f t="shared" si="44"/>
        <v/>
      </c>
      <c r="AE33" s="13" t="str">
        <f t="shared" si="44"/>
        <v/>
      </c>
      <c r="AF33" s="13" t="str">
        <f t="shared" si="44"/>
        <v/>
      </c>
      <c r="AG33" s="13" t="str">
        <f t="shared" si="1"/>
        <v/>
      </c>
      <c r="AH33" s="13" t="str">
        <f t="shared" si="2"/>
        <v/>
      </c>
      <c r="AI33" s="13" t="str">
        <f t="shared" si="3"/>
        <v/>
      </c>
      <c r="AJ33" s="13" t="str">
        <f t="shared" si="4"/>
        <v/>
      </c>
      <c r="AK33" s="13" t="str">
        <f t="shared" si="42"/>
        <v/>
      </c>
      <c r="AL33" s="13" t="str">
        <f t="shared" si="5"/>
        <v/>
      </c>
      <c r="AM33" s="13" t="str">
        <f t="shared" si="6"/>
        <v/>
      </c>
      <c r="AN33" s="13" t="str">
        <f t="shared" si="7"/>
        <v/>
      </c>
      <c r="AO33" s="13" t="str">
        <f t="shared" si="8"/>
        <v/>
      </c>
      <c r="AP33" s="13"/>
      <c r="AQ33" s="17" t="str">
        <f t="shared" si="9"/>
        <v/>
      </c>
      <c r="AR33" s="17" t="str">
        <f t="shared" si="10"/>
        <v/>
      </c>
      <c r="AS33" s="18" t="str">
        <f t="shared" si="11"/>
        <v/>
      </c>
      <c r="AT33" s="17" t="str">
        <f t="shared" si="12"/>
        <v/>
      </c>
    </row>
    <row r="34" spans="1:46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10"/>
      <c r="R34" s="4"/>
      <c r="Z34" s="14"/>
      <c r="AK34" s="15"/>
      <c r="AN34" s="1"/>
      <c r="AO34" s="1"/>
      <c r="AP34" s="1"/>
      <c r="AQ34" s="12"/>
      <c r="AR34" s="2"/>
      <c r="AS34" s="12"/>
      <c r="AT34" s="2"/>
    </row>
    <row r="35" spans="16:46">
      <c r="P35" s="2"/>
      <c r="Q35" s="12"/>
      <c r="AK35" s="15"/>
      <c r="AN35" s="1"/>
      <c r="AO35" s="1"/>
      <c r="AP35" s="1"/>
      <c r="AQ35" s="12"/>
      <c r="AR35" s="2"/>
      <c r="AS35" s="12"/>
      <c r="AT35" s="2"/>
    </row>
    <row r="36" spans="16:46">
      <c r="P36" s="2"/>
      <c r="Q36" s="12"/>
      <c r="AA36" s="1" t="str">
        <f t="shared" ref="AA36:AF36" si="45">IF(OR(C37=""),"",C37-C36)</f>
        <v/>
      </c>
      <c r="AB36" s="1" t="str">
        <f t="shared" si="45"/>
        <v/>
      </c>
      <c r="AC36" s="1" t="str">
        <f t="shared" si="45"/>
        <v/>
      </c>
      <c r="AD36" s="1" t="str">
        <f t="shared" si="45"/>
        <v/>
      </c>
      <c r="AE36" s="1" t="str">
        <f t="shared" si="45"/>
        <v/>
      </c>
      <c r="AF36" s="1" t="str">
        <f t="shared" si="45"/>
        <v/>
      </c>
      <c r="AG36" s="1" t="str">
        <f>IF(OR(AA36="",AB36="",AC36=""),"",AA36+AB36+AC36+AD36-AE36)</f>
        <v/>
      </c>
      <c r="AH36" s="16">
        <f t="shared" ref="AH36:AO36" si="46">SUM(AH3:AH34)</f>
        <v>5058896</v>
      </c>
      <c r="AI36" s="16">
        <f t="shared" si="46"/>
        <v>149564</v>
      </c>
      <c r="AJ36" s="16">
        <f t="shared" si="46"/>
        <v>4909332</v>
      </c>
      <c r="AK36" s="16">
        <f t="shared" si="46"/>
        <v>108620</v>
      </c>
      <c r="AL36" s="16">
        <f t="shared" si="46"/>
        <v>60432</v>
      </c>
      <c r="AM36" s="16">
        <f t="shared" si="46"/>
        <v>103</v>
      </c>
      <c r="AN36" s="16">
        <f t="shared" si="46"/>
        <v>91377</v>
      </c>
      <c r="AO36" s="16">
        <f t="shared" si="46"/>
        <v>31128</v>
      </c>
      <c r="AP36" s="16"/>
      <c r="AQ36" s="19">
        <f>IF(OR($AJ36=0),"",ROUND(AL36/$AJ36*1000,1))</f>
        <v>12.3</v>
      </c>
      <c r="AR36" s="19">
        <f>IF(OR($AJ36=0),"",ROUND(AM36/$AJ36*1000,2))</f>
        <v>0.02</v>
      </c>
      <c r="AS36" s="20">
        <f>IF(OR($AJ36=0),"",ROUND(AN36/$AJ36*1000,1))</f>
        <v>18.6</v>
      </c>
      <c r="AT36" s="19">
        <f>IF(OR($AJ36=0),"",ROUND(AO36/$AJ36*1000,2))</f>
        <v>6.34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43"/>
  <sheetViews>
    <sheetView showGridLines="0" zoomScale="110" zoomScaleNormal="110" workbookViewId="0">
      <pane xSplit="2" ySplit="2" topLeftCell="S9" activePane="bottomRight" state="frozen"/>
      <selection/>
      <selection pane="topRight"/>
      <selection pane="bottomLeft"/>
      <selection pane="bottomRight" activeCell="AQ30" sqref="AQ30"/>
    </sheetView>
  </sheetViews>
  <sheetFormatPr defaultColWidth="10.6666666666667" defaultRowHeight="14.25"/>
  <cols>
    <col min="1" max="1" width="8.21666666666667" style="1" customWidth="1"/>
    <col min="2" max="2" width="8.66666666666667" style="2" customWidth="1"/>
    <col min="3" max="3" width="12" style="1" customWidth="1"/>
    <col min="4" max="4" width="12.4416666666667" style="1" customWidth="1"/>
    <col min="5" max="5" width="9.88333333333333" style="1" customWidth="1"/>
    <col min="6" max="6" width="13.4416666666667" style="1" customWidth="1"/>
    <col min="7" max="7" width="11.4416666666667" style="1" customWidth="1"/>
    <col min="8" max="9" width="11.8833333333333" style="1" customWidth="1"/>
    <col min="10" max="10" width="11.4416666666667" style="1" customWidth="1"/>
    <col min="11" max="11" width="8" style="1" customWidth="1"/>
    <col min="12" max="12" width="8.33333333333333" style="2" customWidth="1"/>
    <col min="13" max="13" width="10.3333333333333" style="2" customWidth="1"/>
    <col min="14" max="14" width="9.88333333333333" style="2" customWidth="1"/>
    <col min="15" max="15" width="8.33333333333333" style="2" customWidth="1"/>
    <col min="16" max="16" width="9.66666666666667" style="1" customWidth="1"/>
    <col min="17" max="18" width="8.10833333333333" style="1" customWidth="1"/>
    <col min="19" max="19" width="7.66666666666667" style="1" customWidth="1"/>
    <col min="20" max="22" width="8.10833333333333" style="1" customWidth="1"/>
    <col min="23" max="24" width="8.10833333333333" style="2" customWidth="1"/>
    <col min="25" max="25" width="8.10833333333333" style="1" customWidth="1"/>
    <col min="26" max="26" width="15.6666666666667" style="1" customWidth="1"/>
    <col min="27" max="33" width="8.10833333333333" style="1" customWidth="1"/>
    <col min="34" max="34" width="8" style="1" customWidth="1"/>
    <col min="35" max="36" width="8.10833333333333" style="1" customWidth="1"/>
    <col min="37" max="39" width="6.66666666666667" style="1" customWidth="1"/>
    <col min="40" max="40" width="6.66666666666667" style="2" customWidth="1"/>
    <col min="41" max="42" width="8.10833333333333" style="2" customWidth="1"/>
    <col min="43" max="43" width="9" style="3" customWidth="1"/>
    <col min="44" max="44" width="7" style="3" customWidth="1"/>
    <col min="45" max="45" width="6.66666666666667" style="3" customWidth="1"/>
    <col min="46" max="46" width="8.10833333333333" style="3" customWidth="1"/>
    <col min="47" max="16384" width="10.6666666666667" style="3"/>
  </cols>
  <sheetData>
    <row r="2" ht="42.75" spans="1:46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3" t="s">
        <v>34</v>
      </c>
      <c r="AK2" s="13" t="s">
        <v>35</v>
      </c>
      <c r="AL2" s="13" t="s">
        <v>36</v>
      </c>
      <c r="AM2" s="13" t="s">
        <v>37</v>
      </c>
      <c r="AN2" s="7" t="s">
        <v>38</v>
      </c>
      <c r="AO2" s="7" t="s">
        <v>39</v>
      </c>
      <c r="AP2" s="7" t="s">
        <v>40</v>
      </c>
      <c r="AQ2" s="13" t="s">
        <v>41</v>
      </c>
      <c r="AR2" s="13" t="s">
        <v>42</v>
      </c>
      <c r="AS2" s="7" t="s">
        <v>43</v>
      </c>
      <c r="AT2" s="7" t="s">
        <v>44</v>
      </c>
    </row>
    <row r="3" spans="1:46">
      <c r="A3" s="6">
        <v>43891</v>
      </c>
      <c r="B3" s="7" t="s">
        <v>50</v>
      </c>
      <c r="C3" s="13">
        <v>31118514</v>
      </c>
      <c r="D3" s="13">
        <v>17470020</v>
      </c>
      <c r="E3" s="13">
        <v>13060054</v>
      </c>
      <c r="F3" s="13">
        <v>12606112</v>
      </c>
      <c r="G3" s="13">
        <v>284268894</v>
      </c>
      <c r="H3" s="13">
        <v>106169393</v>
      </c>
      <c r="I3" s="13">
        <v>284268894</v>
      </c>
      <c r="J3" s="13">
        <v>106169393</v>
      </c>
      <c r="K3" s="13"/>
      <c r="L3" s="13">
        <v>4299.8</v>
      </c>
      <c r="M3" s="13">
        <v>4326.14</v>
      </c>
      <c r="N3" s="13">
        <v>73871.03</v>
      </c>
      <c r="O3" s="13"/>
      <c r="P3" s="13"/>
      <c r="Q3" s="13">
        <v>17.8</v>
      </c>
      <c r="R3" s="13" t="s">
        <v>46</v>
      </c>
      <c r="S3" s="13">
        <v>650</v>
      </c>
      <c r="T3" s="13">
        <v>680</v>
      </c>
      <c r="U3" s="13">
        <v>8954</v>
      </c>
      <c r="V3" s="13">
        <v>6456</v>
      </c>
      <c r="W3" s="13">
        <v>4.86</v>
      </c>
      <c r="X3" s="13">
        <v>3.46</v>
      </c>
      <c r="Y3" s="13">
        <v>1440</v>
      </c>
      <c r="Z3" s="13"/>
      <c r="AA3" s="13">
        <f t="shared" ref="AA3:AF3" si="0">IF(OR(C4=""),"",C4-C3)</f>
        <v>44491</v>
      </c>
      <c r="AB3" s="13">
        <f t="shared" si="0"/>
        <v>54941</v>
      </c>
      <c r="AC3" s="13">
        <f t="shared" si="0"/>
        <v>51181</v>
      </c>
      <c r="AD3" s="13">
        <f t="shared" si="0"/>
        <v>47080</v>
      </c>
      <c r="AE3" s="13">
        <f t="shared" si="0"/>
        <v>189159</v>
      </c>
      <c r="AF3" s="13">
        <f t="shared" si="0"/>
        <v>5520</v>
      </c>
      <c r="AG3" s="13">
        <f t="shared" ref="AG3:AG33" si="1">IF(OR(AA3="",AB3="",AC3=""),"",AA3+AB3+AC3+AD3-AE3)</f>
        <v>8534</v>
      </c>
      <c r="AH3" s="13">
        <f t="shared" ref="AH3:AH33" si="2">IF(OR(I4=""),"",I4-I3)</f>
        <v>189159</v>
      </c>
      <c r="AI3" s="13">
        <f t="shared" ref="AI3:AI33" si="3">IF(OR(J4=""),"",J4-J3)</f>
        <v>5520</v>
      </c>
      <c r="AJ3" s="13">
        <f t="shared" ref="AJ3:AJ33" si="4">IF(OR(AH3="",AI3=""),"",AH3-AI3)</f>
        <v>183639</v>
      </c>
      <c r="AK3" s="13">
        <v>4300</v>
      </c>
      <c r="AL3" s="13">
        <f t="shared" ref="AL3:AL33" si="5">IF(OR(L4="",M4=""),"",ROUND((L4-L3+M4-M3)*1200,0))</f>
        <v>3192</v>
      </c>
      <c r="AM3" s="13">
        <f t="shared" ref="AM3:AM33" si="6">IF(OR(N4=""),"",(ROUND((N4-N3)*2,0)))</f>
        <v>12</v>
      </c>
      <c r="AN3" s="13">
        <f t="shared" ref="AN3:AN33" si="7">IF(OR(S3=""),"",ROUND(S3*7.1,0))</f>
        <v>4615</v>
      </c>
      <c r="AO3" s="13">
        <f t="shared" ref="AO3:AO33" si="8">IF(OR(T3=""),"",ROUND(T3*2.4,0))</f>
        <v>1632</v>
      </c>
      <c r="AP3" s="13">
        <v>2182</v>
      </c>
      <c r="AQ3" s="17">
        <f t="shared" ref="AQ3:AQ33" si="9">IF(OR($AJ3=""),"",ROUND(AL3/$AJ3*1000,1))</f>
        <v>17.4</v>
      </c>
      <c r="AR3" s="17">
        <f t="shared" ref="AR3:AR33" si="10">IF(OR($AJ3=""),"",ROUND(AM3/$AJ3*1000,2))</f>
        <v>0.07</v>
      </c>
      <c r="AS3" s="18">
        <f t="shared" ref="AS3:AS33" si="11">IF(OR($AJ3=""),"",ROUND(AN3/$AJ3*1000,1))</f>
        <v>25.1</v>
      </c>
      <c r="AT3" s="17">
        <f t="shared" ref="AT3:AT33" si="12">IF(OR($AJ3=""),"",ROUND(AO3/$AJ3*1000,2))</f>
        <v>8.89</v>
      </c>
    </row>
    <row r="4" spans="1:46">
      <c r="A4" s="6">
        <v>43526</v>
      </c>
      <c r="B4" s="5" t="s">
        <v>50</v>
      </c>
      <c r="C4" s="4">
        <v>31163005</v>
      </c>
      <c r="D4" s="4">
        <v>17524961</v>
      </c>
      <c r="E4" s="4">
        <v>13111235</v>
      </c>
      <c r="F4" s="4">
        <v>12653192</v>
      </c>
      <c r="G4" s="4">
        <v>284458053</v>
      </c>
      <c r="H4" s="4">
        <v>106174913</v>
      </c>
      <c r="I4" s="4">
        <v>284458053</v>
      </c>
      <c r="J4" s="4">
        <v>106174913</v>
      </c>
      <c r="K4" s="5"/>
      <c r="L4" s="5">
        <v>4299.8</v>
      </c>
      <c r="M4" s="5">
        <v>4328.8</v>
      </c>
      <c r="N4" s="5">
        <v>73876.91</v>
      </c>
      <c r="O4" s="5"/>
      <c r="P4" s="10"/>
      <c r="Q4" s="4">
        <v>19</v>
      </c>
      <c r="R4" s="4" t="s">
        <v>46</v>
      </c>
      <c r="S4" s="4">
        <v>700</v>
      </c>
      <c r="T4" s="4">
        <v>690</v>
      </c>
      <c r="U4" s="4">
        <v>8347</v>
      </c>
      <c r="V4" s="4">
        <v>6618</v>
      </c>
      <c r="W4" s="5">
        <v>4.76</v>
      </c>
      <c r="X4" s="5">
        <v>3.4</v>
      </c>
      <c r="Y4" s="4">
        <v>1440</v>
      </c>
      <c r="Z4" s="4"/>
      <c r="AA4" s="13">
        <f t="shared" ref="AA4:AF4" si="13">IF(OR(C5=""),"",C5-C4)</f>
        <v>46547</v>
      </c>
      <c r="AB4" s="13">
        <f t="shared" si="13"/>
        <v>57747</v>
      </c>
      <c r="AC4" s="13">
        <f t="shared" si="13"/>
        <v>47273</v>
      </c>
      <c r="AD4" s="13">
        <f t="shared" si="13"/>
        <v>40922</v>
      </c>
      <c r="AE4" s="13">
        <f t="shared" si="13"/>
        <v>181829</v>
      </c>
      <c r="AF4" s="13">
        <f t="shared" si="13"/>
        <v>5493</v>
      </c>
      <c r="AG4" s="13">
        <f t="shared" si="1"/>
        <v>10660</v>
      </c>
      <c r="AH4" s="13">
        <f t="shared" ref="AH4:AI7" si="14">IF(OR(I5=""),"",I5-I4)</f>
        <v>181829</v>
      </c>
      <c r="AI4" s="13">
        <f t="shared" si="14"/>
        <v>5493</v>
      </c>
      <c r="AJ4" s="13">
        <f t="shared" si="4"/>
        <v>176336</v>
      </c>
      <c r="AK4" s="13">
        <v>4500</v>
      </c>
      <c r="AL4" s="13">
        <f t="shared" si="5"/>
        <v>11388</v>
      </c>
      <c r="AM4" s="13">
        <f t="shared" si="6"/>
        <v>57</v>
      </c>
      <c r="AN4" s="13">
        <f t="shared" si="7"/>
        <v>4970</v>
      </c>
      <c r="AO4" s="13">
        <f t="shared" si="8"/>
        <v>1656</v>
      </c>
      <c r="AP4" s="13">
        <v>2174</v>
      </c>
      <c r="AQ4" s="17">
        <f t="shared" si="9"/>
        <v>64.6</v>
      </c>
      <c r="AR4" s="17">
        <f t="shared" si="10"/>
        <v>0.32</v>
      </c>
      <c r="AS4" s="18">
        <f t="shared" si="11"/>
        <v>28.2</v>
      </c>
      <c r="AT4" s="17">
        <f t="shared" si="12"/>
        <v>9.39</v>
      </c>
    </row>
    <row r="5" spans="1:46">
      <c r="A5" s="6">
        <v>43527</v>
      </c>
      <c r="B5" s="5" t="s">
        <v>50</v>
      </c>
      <c r="C5" s="4">
        <v>31209552</v>
      </c>
      <c r="D5" s="4">
        <v>17582708</v>
      </c>
      <c r="E5" s="4">
        <v>13158508</v>
      </c>
      <c r="F5" s="4">
        <v>12694114</v>
      </c>
      <c r="G5" s="4">
        <v>284639882</v>
      </c>
      <c r="H5" s="4">
        <v>106180406</v>
      </c>
      <c r="I5" s="4">
        <v>284639882</v>
      </c>
      <c r="J5" s="4">
        <v>106180406</v>
      </c>
      <c r="K5" s="4"/>
      <c r="L5" s="5">
        <v>4299.8</v>
      </c>
      <c r="M5" s="5">
        <v>4338.29</v>
      </c>
      <c r="N5" s="5">
        <v>73905.52</v>
      </c>
      <c r="O5" s="5"/>
      <c r="P5" s="5"/>
      <c r="Q5" s="10">
        <v>18</v>
      </c>
      <c r="R5" s="4" t="s">
        <v>46</v>
      </c>
      <c r="S5" s="4">
        <v>470</v>
      </c>
      <c r="T5" s="4">
        <v>490</v>
      </c>
      <c r="U5" s="4">
        <v>8546</v>
      </c>
      <c r="V5" s="4">
        <v>7536</v>
      </c>
      <c r="W5" s="5">
        <v>4.26</v>
      </c>
      <c r="X5" s="5">
        <v>3.35</v>
      </c>
      <c r="Y5" s="4">
        <v>1440</v>
      </c>
      <c r="Z5" s="4"/>
      <c r="AA5" s="13">
        <f t="shared" ref="AA5:AF5" si="15">IF(OR(C6=""),"",C6-C5)</f>
        <v>49069</v>
      </c>
      <c r="AB5" s="13">
        <f t="shared" si="15"/>
        <v>60486</v>
      </c>
      <c r="AC5" s="13">
        <f t="shared" si="15"/>
        <v>48740</v>
      </c>
      <c r="AD5" s="13">
        <f t="shared" si="15"/>
        <v>42856</v>
      </c>
      <c r="AE5" s="13">
        <f t="shared" si="15"/>
        <v>187066</v>
      </c>
      <c r="AF5" s="13">
        <f t="shared" si="15"/>
        <v>5490</v>
      </c>
      <c r="AG5" s="13">
        <f t="shared" si="1"/>
        <v>14085</v>
      </c>
      <c r="AH5" s="13">
        <f t="shared" si="14"/>
        <v>187066</v>
      </c>
      <c r="AI5" s="13">
        <f t="shared" si="14"/>
        <v>5490</v>
      </c>
      <c r="AJ5" s="13">
        <f t="shared" si="4"/>
        <v>181576</v>
      </c>
      <c r="AK5" s="13">
        <v>4300</v>
      </c>
      <c r="AL5" s="13">
        <f t="shared" si="5"/>
        <v>11640</v>
      </c>
      <c r="AM5" s="13">
        <f t="shared" si="6"/>
        <v>54</v>
      </c>
      <c r="AN5" s="13">
        <f t="shared" si="7"/>
        <v>3337</v>
      </c>
      <c r="AO5" s="13">
        <f t="shared" si="8"/>
        <v>1176</v>
      </c>
      <c r="AP5" s="13">
        <v>2139</v>
      </c>
      <c r="AQ5" s="17">
        <f t="shared" si="9"/>
        <v>64.1</v>
      </c>
      <c r="AR5" s="17">
        <f t="shared" si="10"/>
        <v>0.3</v>
      </c>
      <c r="AS5" s="18">
        <f t="shared" si="11"/>
        <v>18.4</v>
      </c>
      <c r="AT5" s="17">
        <f t="shared" si="12"/>
        <v>6.48</v>
      </c>
    </row>
    <row r="6" ht="13.2" customHeight="1" spans="1:46">
      <c r="A6" s="6">
        <v>43528</v>
      </c>
      <c r="B6" s="5" t="s">
        <v>50</v>
      </c>
      <c r="C6" s="4">
        <v>31258621</v>
      </c>
      <c r="D6" s="4">
        <v>17643194</v>
      </c>
      <c r="E6" s="4">
        <v>13207248</v>
      </c>
      <c r="F6" s="4">
        <v>12736970</v>
      </c>
      <c r="G6" s="4">
        <v>284826948</v>
      </c>
      <c r="H6" s="4">
        <v>106185896</v>
      </c>
      <c r="I6" s="4">
        <v>284826948</v>
      </c>
      <c r="J6" s="4">
        <v>106185896</v>
      </c>
      <c r="K6" s="4"/>
      <c r="L6" s="5">
        <v>4299.8</v>
      </c>
      <c r="M6" s="5">
        <v>4347.99</v>
      </c>
      <c r="N6" s="5">
        <v>73932.62</v>
      </c>
      <c r="O6" s="5"/>
      <c r="P6" s="5"/>
      <c r="Q6" s="10">
        <v>18.5</v>
      </c>
      <c r="R6" s="4" t="s">
        <v>46</v>
      </c>
      <c r="S6" s="4">
        <v>330</v>
      </c>
      <c r="T6" s="4">
        <v>350</v>
      </c>
      <c r="U6" s="4">
        <v>8761</v>
      </c>
      <c r="V6" s="4">
        <v>8058</v>
      </c>
      <c r="W6" s="5">
        <v>6.1</v>
      </c>
      <c r="X6" s="5">
        <v>3.54</v>
      </c>
      <c r="Y6" s="4">
        <v>1440</v>
      </c>
      <c r="Z6" s="4" t="s">
        <v>61</v>
      </c>
      <c r="AA6" s="13">
        <f t="shared" ref="AA6:AF7" si="16">IF(OR(C7=""),"",C7-C6)</f>
        <v>43410</v>
      </c>
      <c r="AB6" s="13">
        <f t="shared" si="16"/>
        <v>53397</v>
      </c>
      <c r="AC6" s="13">
        <f t="shared" si="16"/>
        <v>48432</v>
      </c>
      <c r="AD6" s="13">
        <f t="shared" si="16"/>
        <v>45110</v>
      </c>
      <c r="AE6" s="13">
        <f t="shared" si="16"/>
        <v>187840</v>
      </c>
      <c r="AF6" s="13">
        <f t="shared" si="16"/>
        <v>5485</v>
      </c>
      <c r="AG6" s="13">
        <f t="shared" si="1"/>
        <v>2509</v>
      </c>
      <c r="AH6" s="13">
        <f t="shared" si="14"/>
        <v>187840</v>
      </c>
      <c r="AI6" s="13">
        <f t="shared" si="14"/>
        <v>5485</v>
      </c>
      <c r="AJ6" s="13">
        <f t="shared" si="4"/>
        <v>182355</v>
      </c>
      <c r="AK6" s="13">
        <v>4500</v>
      </c>
      <c r="AL6" s="13">
        <f t="shared" si="5"/>
        <v>41</v>
      </c>
      <c r="AM6" s="13">
        <f t="shared" si="6"/>
        <v>0</v>
      </c>
      <c r="AN6" s="13">
        <f t="shared" si="7"/>
        <v>2343</v>
      </c>
      <c r="AO6" s="13">
        <f t="shared" si="8"/>
        <v>840</v>
      </c>
      <c r="AP6" s="13">
        <v>1845</v>
      </c>
      <c r="AQ6" s="17">
        <f t="shared" si="9"/>
        <v>0.2</v>
      </c>
      <c r="AR6" s="17">
        <f t="shared" si="10"/>
        <v>0</v>
      </c>
      <c r="AS6" s="18">
        <f t="shared" si="11"/>
        <v>12.8</v>
      </c>
      <c r="AT6" s="17">
        <f t="shared" si="12"/>
        <v>4.61</v>
      </c>
    </row>
    <row r="7" spans="1:46">
      <c r="A7" s="6">
        <v>43529</v>
      </c>
      <c r="B7" s="5" t="s">
        <v>55</v>
      </c>
      <c r="C7" s="4">
        <v>31302031</v>
      </c>
      <c r="D7" s="4">
        <v>17696591</v>
      </c>
      <c r="E7" s="4">
        <v>13255680</v>
      </c>
      <c r="F7" s="4">
        <v>12782080</v>
      </c>
      <c r="G7" s="4">
        <f>285010788+4000</f>
        <v>285014788</v>
      </c>
      <c r="H7" s="4">
        <f>106191271+110</f>
        <v>106191381</v>
      </c>
      <c r="I7" s="4">
        <v>285014788</v>
      </c>
      <c r="J7" s="4">
        <v>106191381</v>
      </c>
      <c r="K7" s="4"/>
      <c r="L7" s="5">
        <v>4299.8</v>
      </c>
      <c r="M7" s="5">
        <v>4348.024</v>
      </c>
      <c r="N7" s="5">
        <v>73932.806</v>
      </c>
      <c r="O7" s="5"/>
      <c r="P7" s="5"/>
      <c r="Q7" s="10">
        <v>19.8</v>
      </c>
      <c r="R7" s="4" t="s">
        <v>46</v>
      </c>
      <c r="S7" s="4">
        <v>340</v>
      </c>
      <c r="T7" s="4">
        <v>360</v>
      </c>
      <c r="U7" s="4">
        <v>9125</v>
      </c>
      <c r="V7" s="4">
        <v>8235</v>
      </c>
      <c r="W7" s="5">
        <v>5.78</v>
      </c>
      <c r="X7" s="5">
        <v>4.05</v>
      </c>
      <c r="Y7" s="4">
        <v>1440</v>
      </c>
      <c r="Z7" s="4"/>
      <c r="AA7" s="13">
        <f t="shared" si="16"/>
        <v>46802</v>
      </c>
      <c r="AB7" s="13">
        <f t="shared" si="16"/>
        <v>58352</v>
      </c>
      <c r="AC7" s="13">
        <f t="shared" si="16"/>
        <v>52062</v>
      </c>
      <c r="AD7" s="13">
        <f t="shared" si="16"/>
        <v>52464</v>
      </c>
      <c r="AE7" s="13">
        <f t="shared" si="16"/>
        <v>194077</v>
      </c>
      <c r="AF7" s="13">
        <f t="shared" si="16"/>
        <v>5285</v>
      </c>
      <c r="AG7" s="13">
        <f t="shared" si="1"/>
        <v>15603</v>
      </c>
      <c r="AH7" s="13">
        <f t="shared" si="14"/>
        <v>194077</v>
      </c>
      <c r="AI7" s="13">
        <f t="shared" si="14"/>
        <v>5285</v>
      </c>
      <c r="AJ7" s="13">
        <f t="shared" si="4"/>
        <v>188792</v>
      </c>
      <c r="AK7" s="13">
        <v>4500</v>
      </c>
      <c r="AL7" s="13">
        <f t="shared" si="5"/>
        <v>0</v>
      </c>
      <c r="AM7" s="13">
        <f t="shared" si="6"/>
        <v>0</v>
      </c>
      <c r="AN7" s="13">
        <f t="shared" si="7"/>
        <v>2414</v>
      </c>
      <c r="AO7" s="13">
        <f t="shared" si="8"/>
        <v>864</v>
      </c>
      <c r="AP7" s="13">
        <v>1780</v>
      </c>
      <c r="AQ7" s="17">
        <f t="shared" si="9"/>
        <v>0</v>
      </c>
      <c r="AR7" s="17">
        <f t="shared" si="10"/>
        <v>0</v>
      </c>
      <c r="AS7" s="18">
        <f t="shared" si="11"/>
        <v>12.8</v>
      </c>
      <c r="AT7" s="17">
        <f t="shared" si="12"/>
        <v>4.58</v>
      </c>
    </row>
    <row r="8" spans="1:46">
      <c r="A8" s="6">
        <v>43530</v>
      </c>
      <c r="B8" s="5" t="s">
        <v>45</v>
      </c>
      <c r="C8" s="4">
        <v>31348833</v>
      </c>
      <c r="D8" s="4">
        <v>17754943</v>
      </c>
      <c r="E8" s="4">
        <v>13307742</v>
      </c>
      <c r="F8" s="4">
        <v>12834544</v>
      </c>
      <c r="G8" s="4">
        <v>285208865</v>
      </c>
      <c r="H8" s="4">
        <v>106196666</v>
      </c>
      <c r="I8" s="4">
        <v>285208865</v>
      </c>
      <c r="J8" s="4">
        <v>106196666</v>
      </c>
      <c r="K8" s="4"/>
      <c r="L8" s="5">
        <v>4299.8</v>
      </c>
      <c r="M8" s="5">
        <v>4348.024</v>
      </c>
      <c r="N8" s="5">
        <v>73932.806</v>
      </c>
      <c r="O8" s="5"/>
      <c r="P8" s="5"/>
      <c r="Q8" s="10">
        <v>20.5</v>
      </c>
      <c r="R8" s="4" t="s">
        <v>46</v>
      </c>
      <c r="S8" s="4">
        <v>490</v>
      </c>
      <c r="T8" s="4">
        <v>480</v>
      </c>
      <c r="U8" s="4">
        <v>8911</v>
      </c>
      <c r="V8" s="4">
        <v>5572</v>
      </c>
      <c r="W8" s="5">
        <v>5.72</v>
      </c>
      <c r="X8" s="5">
        <v>3.55</v>
      </c>
      <c r="Y8" s="4">
        <v>1440</v>
      </c>
      <c r="Z8" s="4"/>
      <c r="AA8" s="13">
        <f t="shared" ref="AA8:AF8" si="17">IF(OR(C9=""),"",C9-C8)</f>
        <v>45227</v>
      </c>
      <c r="AB8" s="13">
        <f t="shared" si="17"/>
        <v>55577</v>
      </c>
      <c r="AC8" s="13">
        <f t="shared" si="17"/>
        <v>51285</v>
      </c>
      <c r="AD8" s="13">
        <f t="shared" si="17"/>
        <v>50182</v>
      </c>
      <c r="AE8" s="13">
        <f t="shared" si="17"/>
        <v>200294</v>
      </c>
      <c r="AF8" s="13">
        <f t="shared" si="17"/>
        <v>5635</v>
      </c>
      <c r="AG8" s="13">
        <f t="shared" si="1"/>
        <v>1977</v>
      </c>
      <c r="AH8" s="13">
        <f t="shared" si="2"/>
        <v>200294</v>
      </c>
      <c r="AI8" s="13">
        <f t="shared" si="3"/>
        <v>5635</v>
      </c>
      <c r="AJ8" s="13">
        <f t="shared" si="4"/>
        <v>194659</v>
      </c>
      <c r="AK8" s="13">
        <v>4300</v>
      </c>
      <c r="AL8" s="13">
        <f t="shared" si="5"/>
        <v>655</v>
      </c>
      <c r="AM8" s="13">
        <f t="shared" si="6"/>
        <v>4</v>
      </c>
      <c r="AN8" s="13">
        <f t="shared" si="7"/>
        <v>3479</v>
      </c>
      <c r="AO8" s="13">
        <f t="shared" si="8"/>
        <v>1152</v>
      </c>
      <c r="AP8" s="13">
        <v>1805</v>
      </c>
      <c r="AQ8" s="17">
        <f t="shared" si="9"/>
        <v>3.4</v>
      </c>
      <c r="AR8" s="17">
        <f t="shared" si="10"/>
        <v>0.02</v>
      </c>
      <c r="AS8" s="18">
        <f t="shared" si="11"/>
        <v>17.9</v>
      </c>
      <c r="AT8" s="17">
        <f t="shared" si="12"/>
        <v>5.92</v>
      </c>
    </row>
    <row r="9" spans="1:46">
      <c r="A9" s="6">
        <v>43531</v>
      </c>
      <c r="B9" s="5" t="s">
        <v>50</v>
      </c>
      <c r="C9" s="4">
        <v>31394060</v>
      </c>
      <c r="D9" s="4">
        <v>17810520</v>
      </c>
      <c r="E9" s="4">
        <v>13359027</v>
      </c>
      <c r="F9" s="4">
        <v>12884726</v>
      </c>
      <c r="G9" s="4">
        <v>285409159</v>
      </c>
      <c r="H9" s="4">
        <v>106202301</v>
      </c>
      <c r="I9" s="4">
        <v>285409159</v>
      </c>
      <c r="J9" s="4">
        <v>106202301</v>
      </c>
      <c r="K9" s="4"/>
      <c r="L9" s="5">
        <v>4299.8</v>
      </c>
      <c r="M9" s="5">
        <v>4348.57</v>
      </c>
      <c r="N9" s="5">
        <v>73934.6</v>
      </c>
      <c r="O9" s="5"/>
      <c r="P9" s="5"/>
      <c r="Q9" s="10">
        <v>17.8</v>
      </c>
      <c r="R9" s="4" t="s">
        <v>46</v>
      </c>
      <c r="S9" s="4">
        <v>640</v>
      </c>
      <c r="T9" s="4">
        <v>660</v>
      </c>
      <c r="U9" s="4">
        <v>8997</v>
      </c>
      <c r="V9" s="4">
        <v>6047</v>
      </c>
      <c r="W9" s="5">
        <v>5.38</v>
      </c>
      <c r="X9" s="5">
        <v>3.48</v>
      </c>
      <c r="Y9" s="4">
        <v>1440</v>
      </c>
      <c r="Z9" s="4"/>
      <c r="AA9" s="13">
        <f t="shared" ref="AA9:AF9" si="18">IF(OR(C10=""),"",C10-C9)</f>
        <v>46543</v>
      </c>
      <c r="AB9" s="13">
        <f t="shared" si="18"/>
        <v>58016</v>
      </c>
      <c r="AC9" s="13">
        <f t="shared" si="18"/>
        <v>46658</v>
      </c>
      <c r="AD9" s="13">
        <f t="shared" si="18"/>
        <v>44705</v>
      </c>
      <c r="AE9" s="13">
        <f t="shared" si="18"/>
        <v>179971</v>
      </c>
      <c r="AF9" s="13">
        <f t="shared" si="18"/>
        <v>5470</v>
      </c>
      <c r="AG9" s="13">
        <f t="shared" si="1"/>
        <v>15951</v>
      </c>
      <c r="AH9" s="13">
        <f t="shared" si="2"/>
        <v>179971</v>
      </c>
      <c r="AI9" s="13">
        <f t="shared" si="3"/>
        <v>5470</v>
      </c>
      <c r="AJ9" s="13">
        <f t="shared" si="4"/>
        <v>174501</v>
      </c>
      <c r="AK9" s="13">
        <v>4500</v>
      </c>
      <c r="AL9" s="13">
        <f t="shared" si="5"/>
        <v>15396</v>
      </c>
      <c r="AM9" s="13">
        <f t="shared" si="6"/>
        <v>68</v>
      </c>
      <c r="AN9" s="13">
        <f t="shared" si="7"/>
        <v>4544</v>
      </c>
      <c r="AO9" s="13">
        <f t="shared" si="8"/>
        <v>1584</v>
      </c>
      <c r="AP9" s="13">
        <v>2192</v>
      </c>
      <c r="AQ9" s="17">
        <f t="shared" si="9"/>
        <v>88.2</v>
      </c>
      <c r="AR9" s="17">
        <f t="shared" si="10"/>
        <v>0.39</v>
      </c>
      <c r="AS9" s="18">
        <f t="shared" si="11"/>
        <v>26</v>
      </c>
      <c r="AT9" s="17">
        <f t="shared" si="12"/>
        <v>9.08</v>
      </c>
    </row>
    <row r="10" spans="1:46">
      <c r="A10" s="6">
        <v>43532</v>
      </c>
      <c r="B10" s="5" t="s">
        <v>50</v>
      </c>
      <c r="C10" s="4">
        <v>31440603</v>
      </c>
      <c r="D10" s="4">
        <v>17868536</v>
      </c>
      <c r="E10" s="4">
        <v>13405685</v>
      </c>
      <c r="F10" s="4">
        <v>12929431</v>
      </c>
      <c r="G10" s="4">
        <v>285589130</v>
      </c>
      <c r="H10" s="4">
        <v>106207771</v>
      </c>
      <c r="I10" s="4">
        <v>285589130</v>
      </c>
      <c r="J10" s="4">
        <v>106207771</v>
      </c>
      <c r="K10" s="4"/>
      <c r="L10" s="5">
        <v>4299.8</v>
      </c>
      <c r="M10" s="5">
        <v>4361.4</v>
      </c>
      <c r="N10" s="5">
        <v>73968.62</v>
      </c>
      <c r="O10" s="5"/>
      <c r="P10" s="5"/>
      <c r="Q10" s="10">
        <v>18.6</v>
      </c>
      <c r="R10" s="4" t="s">
        <v>46</v>
      </c>
      <c r="S10" s="4">
        <v>410</v>
      </c>
      <c r="T10" s="4">
        <v>430</v>
      </c>
      <c r="U10" s="4">
        <v>8426</v>
      </c>
      <c r="V10" s="4">
        <v>7197</v>
      </c>
      <c r="W10" s="5">
        <v>5.5</v>
      </c>
      <c r="X10" s="5">
        <v>3.3</v>
      </c>
      <c r="Y10" s="4">
        <v>1440</v>
      </c>
      <c r="Z10" s="4"/>
      <c r="AA10" s="13">
        <f t="shared" ref="AA10:AF10" si="19">IF(OR(C11=""),"",C11-C10)</f>
        <v>47433</v>
      </c>
      <c r="AB10" s="13">
        <f t="shared" si="19"/>
        <v>58920</v>
      </c>
      <c r="AC10" s="13">
        <f t="shared" si="19"/>
        <v>46517</v>
      </c>
      <c r="AD10" s="13">
        <f t="shared" si="19"/>
        <v>43177</v>
      </c>
      <c r="AE10" s="13">
        <f t="shared" si="19"/>
        <v>188320</v>
      </c>
      <c r="AF10" s="13">
        <f t="shared" si="19"/>
        <v>5445</v>
      </c>
      <c r="AG10" s="13">
        <f t="shared" si="1"/>
        <v>7727</v>
      </c>
      <c r="AH10" s="13">
        <f t="shared" si="2"/>
        <v>188320</v>
      </c>
      <c r="AI10" s="13">
        <f t="shared" si="3"/>
        <v>5445</v>
      </c>
      <c r="AJ10" s="13">
        <f t="shared" si="4"/>
        <v>182875</v>
      </c>
      <c r="AK10" s="13">
        <v>4500</v>
      </c>
      <c r="AL10" s="13">
        <f t="shared" si="5"/>
        <v>0</v>
      </c>
      <c r="AM10" s="13">
        <f t="shared" si="6"/>
        <v>0</v>
      </c>
      <c r="AN10" s="13">
        <f t="shared" si="7"/>
        <v>2911</v>
      </c>
      <c r="AO10" s="13">
        <f t="shared" si="8"/>
        <v>1032</v>
      </c>
      <c r="AP10" s="13">
        <v>2737</v>
      </c>
      <c r="AQ10" s="17">
        <f t="shared" si="9"/>
        <v>0</v>
      </c>
      <c r="AR10" s="17">
        <f t="shared" si="10"/>
        <v>0</v>
      </c>
      <c r="AS10" s="18">
        <f t="shared" si="11"/>
        <v>15.9</v>
      </c>
      <c r="AT10" s="17">
        <f t="shared" si="12"/>
        <v>5.64</v>
      </c>
    </row>
    <row r="11" spans="1:46">
      <c r="A11" s="6">
        <v>43533</v>
      </c>
      <c r="B11" s="5" t="s">
        <v>50</v>
      </c>
      <c r="C11" s="4">
        <v>31488036</v>
      </c>
      <c r="D11" s="4">
        <v>17927456</v>
      </c>
      <c r="E11" s="4">
        <v>13452202</v>
      </c>
      <c r="F11" s="4">
        <v>12972608</v>
      </c>
      <c r="G11" s="4">
        <v>285777450</v>
      </c>
      <c r="H11" s="4">
        <v>106213216</v>
      </c>
      <c r="I11" s="4">
        <v>285777450</v>
      </c>
      <c r="J11" s="4">
        <v>106213216</v>
      </c>
      <c r="K11" s="4"/>
      <c r="L11" s="5">
        <v>4299.8</v>
      </c>
      <c r="M11" s="5">
        <v>4361.4</v>
      </c>
      <c r="N11" s="5">
        <v>73968.62</v>
      </c>
      <c r="O11" s="5"/>
      <c r="P11" s="5"/>
      <c r="Q11" s="10">
        <v>18.8</v>
      </c>
      <c r="R11" s="4" t="s">
        <v>46</v>
      </c>
      <c r="S11" s="4">
        <v>800</v>
      </c>
      <c r="T11" s="4">
        <v>820</v>
      </c>
      <c r="U11" s="4">
        <v>8799</v>
      </c>
      <c r="V11" s="4">
        <v>7037</v>
      </c>
      <c r="W11" s="5">
        <v>5.79</v>
      </c>
      <c r="X11" s="5">
        <v>3.54</v>
      </c>
      <c r="Y11" s="4">
        <v>1440</v>
      </c>
      <c r="Z11" s="4"/>
      <c r="AA11" s="13">
        <f t="shared" ref="AA11:AF11" si="20">IF(OR(C12=""),"",C12-C11)</f>
        <v>45981</v>
      </c>
      <c r="AB11" s="13">
        <f t="shared" si="20"/>
        <v>56777</v>
      </c>
      <c r="AC11" s="13">
        <f t="shared" si="20"/>
        <v>44804</v>
      </c>
      <c r="AD11" s="13">
        <f t="shared" si="20"/>
        <v>41319</v>
      </c>
      <c r="AE11" s="13">
        <f t="shared" si="20"/>
        <v>180566</v>
      </c>
      <c r="AF11" s="13">
        <f t="shared" si="20"/>
        <v>5435</v>
      </c>
      <c r="AG11" s="13">
        <f t="shared" si="1"/>
        <v>8315</v>
      </c>
      <c r="AH11" s="13">
        <f t="shared" si="2"/>
        <v>180566</v>
      </c>
      <c r="AI11" s="13">
        <f t="shared" si="3"/>
        <v>5435</v>
      </c>
      <c r="AJ11" s="13">
        <f t="shared" si="4"/>
        <v>175131</v>
      </c>
      <c r="AK11" s="13">
        <v>4700</v>
      </c>
      <c r="AL11" s="13">
        <f t="shared" si="5"/>
        <v>21312</v>
      </c>
      <c r="AM11" s="13">
        <f t="shared" si="6"/>
        <v>53</v>
      </c>
      <c r="AN11" s="13">
        <f t="shared" si="7"/>
        <v>5680</v>
      </c>
      <c r="AO11" s="13">
        <f t="shared" si="8"/>
        <v>1968</v>
      </c>
      <c r="AP11" s="13">
        <v>3101</v>
      </c>
      <c r="AQ11" s="17">
        <f t="shared" si="9"/>
        <v>121.7</v>
      </c>
      <c r="AR11" s="17">
        <f t="shared" si="10"/>
        <v>0.3</v>
      </c>
      <c r="AS11" s="18">
        <f t="shared" si="11"/>
        <v>32.4</v>
      </c>
      <c r="AT11" s="17">
        <f t="shared" si="12"/>
        <v>11.24</v>
      </c>
    </row>
    <row r="12" spans="1:46">
      <c r="A12" s="6">
        <v>43534</v>
      </c>
      <c r="B12" s="5" t="s">
        <v>50</v>
      </c>
      <c r="C12" s="4">
        <v>31534017</v>
      </c>
      <c r="D12" s="4">
        <v>17984233</v>
      </c>
      <c r="E12" s="4">
        <v>13497006</v>
      </c>
      <c r="F12" s="4">
        <v>13013927</v>
      </c>
      <c r="G12" s="4">
        <v>285958016</v>
      </c>
      <c r="H12" s="4">
        <v>106218651</v>
      </c>
      <c r="I12" s="4">
        <v>285958016</v>
      </c>
      <c r="J12" s="4">
        <v>106218651</v>
      </c>
      <c r="K12" s="4"/>
      <c r="L12" s="5">
        <v>4299.8</v>
      </c>
      <c r="M12" s="5">
        <v>4379.16</v>
      </c>
      <c r="N12" s="5">
        <v>73995.35</v>
      </c>
      <c r="O12" s="5"/>
      <c r="P12" s="5"/>
      <c r="Q12" s="10">
        <v>19</v>
      </c>
      <c r="R12" s="4" t="s">
        <v>46</v>
      </c>
      <c r="S12" s="4">
        <v>760</v>
      </c>
      <c r="T12" s="4">
        <v>770</v>
      </c>
      <c r="U12" s="4">
        <v>8596</v>
      </c>
      <c r="V12" s="4">
        <v>7152</v>
      </c>
      <c r="W12" s="5">
        <v>5.61</v>
      </c>
      <c r="X12" s="5">
        <v>3.67</v>
      </c>
      <c r="Y12" s="4">
        <v>1440</v>
      </c>
      <c r="Z12" s="4"/>
      <c r="AA12" s="13">
        <f t="shared" ref="AA12:AF12" si="21">IF(OR(C13=""),"",C13-C12)</f>
        <v>45566</v>
      </c>
      <c r="AB12" s="13">
        <f t="shared" si="21"/>
        <v>56420</v>
      </c>
      <c r="AC12" s="13">
        <f t="shared" si="21"/>
        <v>46417</v>
      </c>
      <c r="AD12" s="13">
        <f t="shared" si="21"/>
        <v>42685</v>
      </c>
      <c r="AE12" s="13">
        <f t="shared" si="21"/>
        <v>182368</v>
      </c>
      <c r="AF12" s="13">
        <f t="shared" si="21"/>
        <v>5488</v>
      </c>
      <c r="AG12" s="13">
        <f t="shared" si="1"/>
        <v>8720</v>
      </c>
      <c r="AH12" s="13">
        <f t="shared" si="2"/>
        <v>182368</v>
      </c>
      <c r="AI12" s="13">
        <f t="shared" si="3"/>
        <v>5488</v>
      </c>
      <c r="AJ12" s="13">
        <f t="shared" si="4"/>
        <v>176880</v>
      </c>
      <c r="AK12" s="13">
        <v>5200</v>
      </c>
      <c r="AL12" s="13">
        <f t="shared" si="5"/>
        <v>8976</v>
      </c>
      <c r="AM12" s="13">
        <f t="shared" si="6"/>
        <v>68</v>
      </c>
      <c r="AN12" s="13">
        <f t="shared" si="7"/>
        <v>5396</v>
      </c>
      <c r="AO12" s="13">
        <f t="shared" si="8"/>
        <v>1848</v>
      </c>
      <c r="AP12" s="13">
        <v>2765</v>
      </c>
      <c r="AQ12" s="17">
        <f t="shared" si="9"/>
        <v>50.7</v>
      </c>
      <c r="AR12" s="17">
        <f t="shared" si="10"/>
        <v>0.38</v>
      </c>
      <c r="AS12" s="18">
        <f t="shared" si="11"/>
        <v>30.5</v>
      </c>
      <c r="AT12" s="17">
        <f t="shared" si="12"/>
        <v>10.45</v>
      </c>
    </row>
    <row r="13" spans="1:46">
      <c r="A13" s="6">
        <v>43535</v>
      </c>
      <c r="B13" s="5" t="s">
        <v>50</v>
      </c>
      <c r="C13" s="4">
        <v>31579583</v>
      </c>
      <c r="D13" s="4">
        <v>18040653</v>
      </c>
      <c r="E13" s="4">
        <v>13543423</v>
      </c>
      <c r="F13" s="4">
        <v>13056612</v>
      </c>
      <c r="G13" s="4">
        <v>286140384</v>
      </c>
      <c r="H13" s="4">
        <v>106224139</v>
      </c>
      <c r="I13" s="4">
        <v>286140384</v>
      </c>
      <c r="J13" s="4">
        <v>106224139</v>
      </c>
      <c r="K13" s="4"/>
      <c r="L13" s="5">
        <v>4299.8</v>
      </c>
      <c r="M13" s="5">
        <v>4386.64</v>
      </c>
      <c r="N13" s="5">
        <v>74029.29</v>
      </c>
      <c r="O13" s="5"/>
      <c r="P13" s="5"/>
      <c r="Q13" s="10">
        <v>19.1</v>
      </c>
      <c r="R13" s="4" t="s">
        <v>46</v>
      </c>
      <c r="S13" s="4">
        <v>650</v>
      </c>
      <c r="T13" s="4">
        <v>640</v>
      </c>
      <c r="U13" s="4">
        <v>8751</v>
      </c>
      <c r="V13" s="4">
        <v>7582</v>
      </c>
      <c r="W13" s="5">
        <v>4.96</v>
      </c>
      <c r="X13" s="5">
        <v>3.52</v>
      </c>
      <c r="Y13" s="4">
        <v>1440</v>
      </c>
      <c r="Z13" s="4"/>
      <c r="AA13" s="13">
        <f t="shared" ref="AA13:AF13" si="22">IF(OR(C14=""),"",C14-C13)</f>
        <v>47783</v>
      </c>
      <c r="AB13" s="13">
        <f t="shared" si="22"/>
        <v>59623</v>
      </c>
      <c r="AC13" s="13">
        <f t="shared" si="22"/>
        <v>48775</v>
      </c>
      <c r="AD13" s="13">
        <f t="shared" si="22"/>
        <v>46827</v>
      </c>
      <c r="AE13" s="13">
        <f t="shared" si="22"/>
        <v>192836</v>
      </c>
      <c r="AF13" s="13">
        <f t="shared" si="22"/>
        <v>5444</v>
      </c>
      <c r="AG13" s="13">
        <f t="shared" si="1"/>
        <v>10172</v>
      </c>
      <c r="AH13" s="13">
        <f t="shared" si="2"/>
        <v>192836</v>
      </c>
      <c r="AI13" s="13">
        <f t="shared" si="3"/>
        <v>5444</v>
      </c>
      <c r="AJ13" s="13">
        <f t="shared" si="4"/>
        <v>187392</v>
      </c>
      <c r="AK13" s="13">
        <v>5000</v>
      </c>
      <c r="AL13" s="13">
        <f t="shared" si="5"/>
        <v>0</v>
      </c>
      <c r="AM13" s="13">
        <f t="shared" si="6"/>
        <v>0</v>
      </c>
      <c r="AN13" s="13">
        <f t="shared" si="7"/>
        <v>4615</v>
      </c>
      <c r="AO13" s="13">
        <f t="shared" si="8"/>
        <v>1536</v>
      </c>
      <c r="AP13" s="13">
        <v>2804</v>
      </c>
      <c r="AQ13" s="17">
        <f t="shared" si="9"/>
        <v>0</v>
      </c>
      <c r="AR13" s="17">
        <f t="shared" si="10"/>
        <v>0</v>
      </c>
      <c r="AS13" s="18">
        <f t="shared" si="11"/>
        <v>24.6</v>
      </c>
      <c r="AT13" s="17">
        <f t="shared" si="12"/>
        <v>8.2</v>
      </c>
    </row>
    <row r="14" spans="1:46">
      <c r="A14" s="6">
        <v>43536</v>
      </c>
      <c r="B14" s="5" t="s">
        <v>50</v>
      </c>
      <c r="C14" s="4">
        <v>31627366</v>
      </c>
      <c r="D14" s="4">
        <v>18100276</v>
      </c>
      <c r="E14" s="4">
        <v>13592198</v>
      </c>
      <c r="F14" s="4">
        <v>13103439</v>
      </c>
      <c r="G14" s="4">
        <v>286333220</v>
      </c>
      <c r="H14" s="4">
        <v>106229583</v>
      </c>
      <c r="I14" s="4">
        <v>286333220</v>
      </c>
      <c r="J14" s="4">
        <v>106229583</v>
      </c>
      <c r="K14" s="4"/>
      <c r="L14" s="5">
        <v>4299.8</v>
      </c>
      <c r="M14" s="5">
        <v>4386.64</v>
      </c>
      <c r="N14" s="5">
        <v>74029.39</v>
      </c>
      <c r="O14" s="5"/>
      <c r="P14" s="5"/>
      <c r="Q14" s="10">
        <v>19.5</v>
      </c>
      <c r="R14" s="4" t="s">
        <v>46</v>
      </c>
      <c r="S14" s="4">
        <v>340</v>
      </c>
      <c r="T14" s="4">
        <v>360</v>
      </c>
      <c r="U14" s="4">
        <v>8558</v>
      </c>
      <c r="V14" s="4">
        <v>6057</v>
      </c>
      <c r="W14" s="5">
        <v>5.24</v>
      </c>
      <c r="X14" s="5">
        <v>2.76</v>
      </c>
      <c r="Y14" s="4">
        <f>Y13-60</f>
        <v>1380</v>
      </c>
      <c r="Z14" s="4"/>
      <c r="AA14" s="13">
        <f t="shared" ref="AA14:AF14" si="23">IF(OR(C15=""),"",C15-C14)</f>
        <v>45691</v>
      </c>
      <c r="AB14" s="13">
        <f t="shared" si="23"/>
        <v>56423</v>
      </c>
      <c r="AC14" s="13">
        <f t="shared" si="23"/>
        <v>47297</v>
      </c>
      <c r="AD14" s="13">
        <f t="shared" si="23"/>
        <v>44019</v>
      </c>
      <c r="AE14" s="13">
        <f t="shared" si="23"/>
        <v>185575</v>
      </c>
      <c r="AF14" s="13">
        <f t="shared" si="23"/>
        <v>5382</v>
      </c>
      <c r="AG14" s="13">
        <f t="shared" si="1"/>
        <v>7855</v>
      </c>
      <c r="AH14" s="13">
        <f t="shared" si="2"/>
        <v>185575</v>
      </c>
      <c r="AI14" s="13">
        <f t="shared" si="3"/>
        <v>5382</v>
      </c>
      <c r="AJ14" s="13">
        <f t="shared" si="4"/>
        <v>180193</v>
      </c>
      <c r="AK14" s="13">
        <v>5100</v>
      </c>
      <c r="AL14" s="13">
        <f t="shared" si="5"/>
        <v>1368</v>
      </c>
      <c r="AM14" s="13">
        <f t="shared" si="6"/>
        <v>9</v>
      </c>
      <c r="AN14" s="13">
        <f t="shared" si="7"/>
        <v>2414</v>
      </c>
      <c r="AO14" s="13">
        <f t="shared" si="8"/>
        <v>864</v>
      </c>
      <c r="AP14" s="13">
        <v>2775</v>
      </c>
      <c r="AQ14" s="17">
        <f t="shared" si="9"/>
        <v>7.6</v>
      </c>
      <c r="AR14" s="17">
        <f t="shared" si="10"/>
        <v>0.05</v>
      </c>
      <c r="AS14" s="18">
        <f t="shared" si="11"/>
        <v>13.4</v>
      </c>
      <c r="AT14" s="17">
        <f t="shared" si="12"/>
        <v>4.79</v>
      </c>
    </row>
    <row r="15" spans="1:46">
      <c r="A15" s="6">
        <v>43537</v>
      </c>
      <c r="B15" s="5" t="s">
        <v>55</v>
      </c>
      <c r="C15" s="4">
        <v>31673057</v>
      </c>
      <c r="D15" s="4">
        <v>18156699</v>
      </c>
      <c r="E15" s="4">
        <v>13639495</v>
      </c>
      <c r="F15" s="4">
        <v>13147458</v>
      </c>
      <c r="G15" s="4">
        <v>286518795</v>
      </c>
      <c r="H15" s="4">
        <v>106234965</v>
      </c>
      <c r="I15" s="4">
        <v>286518795</v>
      </c>
      <c r="J15" s="4">
        <v>106234965</v>
      </c>
      <c r="K15" s="4"/>
      <c r="L15" s="5">
        <v>4299.8</v>
      </c>
      <c r="M15" s="5">
        <v>4387.78</v>
      </c>
      <c r="N15" s="5">
        <v>74033.827</v>
      </c>
      <c r="O15" s="5"/>
      <c r="P15" s="5"/>
      <c r="Q15" s="10">
        <v>20.1</v>
      </c>
      <c r="R15" s="4" t="s">
        <v>46</v>
      </c>
      <c r="S15" s="4">
        <v>470</v>
      </c>
      <c r="T15" s="4">
        <v>480</v>
      </c>
      <c r="U15" s="4">
        <v>8611</v>
      </c>
      <c r="V15" s="4">
        <v>6661</v>
      </c>
      <c r="W15" s="5">
        <v>5.12</v>
      </c>
      <c r="X15" s="5">
        <v>2.54</v>
      </c>
      <c r="Y15" s="4">
        <v>1200</v>
      </c>
      <c r="Z15" s="4"/>
      <c r="AA15" s="13">
        <f t="shared" ref="AA15:AF15" si="24">IF(OR(C16=""),"",C16-C15)</f>
        <v>45494</v>
      </c>
      <c r="AB15" s="13">
        <f t="shared" si="24"/>
        <v>56194</v>
      </c>
      <c r="AC15" s="13">
        <f t="shared" si="24"/>
        <v>46571</v>
      </c>
      <c r="AD15" s="13">
        <f t="shared" si="24"/>
        <v>44011</v>
      </c>
      <c r="AE15" s="13">
        <f t="shared" si="24"/>
        <v>186898</v>
      </c>
      <c r="AF15" s="13">
        <f t="shared" si="24"/>
        <v>5422</v>
      </c>
      <c r="AG15" s="13">
        <f t="shared" si="1"/>
        <v>5372</v>
      </c>
      <c r="AH15" s="13">
        <f t="shared" si="2"/>
        <v>186898</v>
      </c>
      <c r="AI15" s="13">
        <f t="shared" si="3"/>
        <v>5422</v>
      </c>
      <c r="AJ15" s="13">
        <f t="shared" si="4"/>
        <v>181476</v>
      </c>
      <c r="AK15" s="13">
        <v>5200</v>
      </c>
      <c r="AL15" s="13">
        <f t="shared" si="5"/>
        <v>10464</v>
      </c>
      <c r="AM15" s="13">
        <f t="shared" si="6"/>
        <v>26</v>
      </c>
      <c r="AN15" s="13">
        <f t="shared" si="7"/>
        <v>3337</v>
      </c>
      <c r="AO15" s="13">
        <f t="shared" si="8"/>
        <v>1152</v>
      </c>
      <c r="AP15" s="13">
        <v>2139</v>
      </c>
      <c r="AQ15" s="17">
        <f t="shared" si="9"/>
        <v>57.7</v>
      </c>
      <c r="AR15" s="17">
        <f t="shared" si="10"/>
        <v>0.14</v>
      </c>
      <c r="AS15" s="18">
        <f t="shared" si="11"/>
        <v>18.4</v>
      </c>
      <c r="AT15" s="17">
        <f t="shared" si="12"/>
        <v>6.35</v>
      </c>
    </row>
    <row r="16" spans="1:46">
      <c r="A16" s="6">
        <v>43538</v>
      </c>
      <c r="B16" s="5" t="s">
        <v>50</v>
      </c>
      <c r="C16" s="4">
        <v>31718551</v>
      </c>
      <c r="D16" s="4">
        <v>18212893</v>
      </c>
      <c r="E16" s="4">
        <v>13686066</v>
      </c>
      <c r="F16" s="4">
        <v>13191469</v>
      </c>
      <c r="G16" s="4">
        <v>286705693</v>
      </c>
      <c r="H16" s="4">
        <v>106240387</v>
      </c>
      <c r="I16" s="4">
        <v>286705693</v>
      </c>
      <c r="J16" s="4">
        <v>106240387</v>
      </c>
      <c r="K16" s="4"/>
      <c r="L16" s="5">
        <v>4299.8</v>
      </c>
      <c r="M16" s="5">
        <v>4396.5</v>
      </c>
      <c r="N16" s="5">
        <v>74046.85</v>
      </c>
      <c r="O16" s="5"/>
      <c r="P16" s="5"/>
      <c r="Q16" s="10">
        <v>20</v>
      </c>
      <c r="R16" s="4" t="s">
        <v>46</v>
      </c>
      <c r="S16" s="4">
        <v>820</v>
      </c>
      <c r="T16" s="4">
        <v>800</v>
      </c>
      <c r="U16" s="4">
        <v>8263</v>
      </c>
      <c r="V16" s="4">
        <v>6751</v>
      </c>
      <c r="W16" s="5">
        <v>4.58</v>
      </c>
      <c r="X16" s="5">
        <v>2.62</v>
      </c>
      <c r="Y16" s="4">
        <v>1110</v>
      </c>
      <c r="Z16" s="4"/>
      <c r="AA16" s="13">
        <f t="shared" ref="AA16:AF16" si="25">IF(OR(C17=""),"",C17-C16)</f>
        <v>44971</v>
      </c>
      <c r="AB16" s="13">
        <f t="shared" si="25"/>
        <v>56352</v>
      </c>
      <c r="AC16" s="13">
        <f t="shared" si="25"/>
        <v>45914</v>
      </c>
      <c r="AD16" s="13">
        <f t="shared" si="25"/>
        <v>43042</v>
      </c>
      <c r="AE16" s="13">
        <f t="shared" si="25"/>
        <v>185215</v>
      </c>
      <c r="AF16" s="13">
        <f t="shared" si="25"/>
        <v>5430</v>
      </c>
      <c r="AG16" s="13">
        <f t="shared" si="1"/>
        <v>5064</v>
      </c>
      <c r="AH16" s="13">
        <f t="shared" si="2"/>
        <v>185215</v>
      </c>
      <c r="AI16" s="13">
        <f t="shared" si="3"/>
        <v>5430</v>
      </c>
      <c r="AJ16" s="13">
        <f t="shared" si="4"/>
        <v>179785</v>
      </c>
      <c r="AK16" s="13">
        <v>5000</v>
      </c>
      <c r="AL16" s="13">
        <f t="shared" si="5"/>
        <v>0</v>
      </c>
      <c r="AM16" s="13">
        <f t="shared" si="6"/>
        <v>0</v>
      </c>
      <c r="AN16" s="13">
        <f t="shared" si="7"/>
        <v>5822</v>
      </c>
      <c r="AO16" s="13">
        <f t="shared" si="8"/>
        <v>1920</v>
      </c>
      <c r="AP16" s="13">
        <v>2764</v>
      </c>
      <c r="AQ16" s="17">
        <f t="shared" si="9"/>
        <v>0</v>
      </c>
      <c r="AR16" s="17">
        <f t="shared" si="10"/>
        <v>0</v>
      </c>
      <c r="AS16" s="18">
        <f t="shared" si="11"/>
        <v>32.4</v>
      </c>
      <c r="AT16" s="17">
        <f t="shared" si="12"/>
        <v>10.68</v>
      </c>
    </row>
    <row r="17" spans="1:46">
      <c r="A17" s="6">
        <v>43539</v>
      </c>
      <c r="B17" s="5" t="s">
        <v>50</v>
      </c>
      <c r="C17" s="4">
        <v>31763522</v>
      </c>
      <c r="D17" s="4">
        <v>18269245</v>
      </c>
      <c r="E17" s="4">
        <v>13731980</v>
      </c>
      <c r="F17" s="4">
        <v>13234511</v>
      </c>
      <c r="G17" s="4">
        <v>286890908</v>
      </c>
      <c r="H17" s="4">
        <v>106245817</v>
      </c>
      <c r="I17" s="4">
        <v>286890908</v>
      </c>
      <c r="J17" s="4">
        <v>106245817</v>
      </c>
      <c r="K17" s="4"/>
      <c r="L17" s="5">
        <v>4299.8</v>
      </c>
      <c r="M17" s="5">
        <v>4396.5</v>
      </c>
      <c r="N17" s="5">
        <v>74046.85</v>
      </c>
      <c r="O17" s="5"/>
      <c r="P17" s="5"/>
      <c r="Q17" s="10">
        <v>20</v>
      </c>
      <c r="R17" s="4" t="s">
        <v>46</v>
      </c>
      <c r="S17" s="4">
        <v>750</v>
      </c>
      <c r="T17" s="4">
        <v>760</v>
      </c>
      <c r="U17" s="4">
        <v>8092</v>
      </c>
      <c r="V17" s="4">
        <v>6312</v>
      </c>
      <c r="W17" s="5">
        <v>5.56</v>
      </c>
      <c r="X17" s="5">
        <v>2.35</v>
      </c>
      <c r="Y17" s="4">
        <v>1260</v>
      </c>
      <c r="Z17" s="4"/>
      <c r="AA17" s="13">
        <f t="shared" ref="AA17:AF17" si="26">IF(OR(C18=""),"",C18-C17)</f>
        <v>44164</v>
      </c>
      <c r="AB17" s="13">
        <f t="shared" si="26"/>
        <v>55057</v>
      </c>
      <c r="AC17" s="13">
        <f t="shared" si="26"/>
        <v>45359</v>
      </c>
      <c r="AD17" s="13">
        <f t="shared" si="26"/>
        <v>41242</v>
      </c>
      <c r="AE17" s="13">
        <f t="shared" si="26"/>
        <v>174005</v>
      </c>
      <c r="AF17" s="13">
        <f t="shared" si="26"/>
        <v>5448</v>
      </c>
      <c r="AG17" s="13">
        <f t="shared" si="1"/>
        <v>11817</v>
      </c>
      <c r="AH17" s="13">
        <f t="shared" si="2"/>
        <v>174005</v>
      </c>
      <c r="AI17" s="13">
        <f t="shared" si="3"/>
        <v>5448</v>
      </c>
      <c r="AJ17" s="13">
        <f t="shared" si="4"/>
        <v>168557</v>
      </c>
      <c r="AK17" s="13">
        <v>5000</v>
      </c>
      <c r="AL17" s="13">
        <f t="shared" si="5"/>
        <v>2652</v>
      </c>
      <c r="AM17" s="13">
        <f t="shared" si="6"/>
        <v>17</v>
      </c>
      <c r="AN17" s="13">
        <f t="shared" si="7"/>
        <v>5325</v>
      </c>
      <c r="AO17" s="13">
        <f t="shared" si="8"/>
        <v>1824</v>
      </c>
      <c r="AP17" s="13">
        <v>2429</v>
      </c>
      <c r="AQ17" s="17">
        <f t="shared" si="9"/>
        <v>15.7</v>
      </c>
      <c r="AR17" s="17">
        <f t="shared" si="10"/>
        <v>0.1</v>
      </c>
      <c r="AS17" s="18">
        <f t="shared" si="11"/>
        <v>31.6</v>
      </c>
      <c r="AT17" s="17">
        <f t="shared" si="12"/>
        <v>10.82</v>
      </c>
    </row>
    <row r="18" spans="1:46">
      <c r="A18" s="6">
        <v>43540</v>
      </c>
      <c r="B18" s="5" t="s">
        <v>50</v>
      </c>
      <c r="C18" s="4">
        <v>31807686</v>
      </c>
      <c r="D18" s="4">
        <v>18324302</v>
      </c>
      <c r="E18" s="4">
        <v>13777339</v>
      </c>
      <c r="F18" s="4">
        <v>13275753</v>
      </c>
      <c r="G18" s="4">
        <v>287064913</v>
      </c>
      <c r="H18" s="4">
        <v>106251265</v>
      </c>
      <c r="I18" s="4">
        <v>287064913</v>
      </c>
      <c r="J18" s="4">
        <v>106251265</v>
      </c>
      <c r="K18" s="4"/>
      <c r="L18" s="5">
        <v>4299.8</v>
      </c>
      <c r="M18" s="5">
        <v>4398.71</v>
      </c>
      <c r="N18" s="5">
        <v>74055.1</v>
      </c>
      <c r="O18" s="5"/>
      <c r="P18" s="5"/>
      <c r="Q18" s="10">
        <v>19.5</v>
      </c>
      <c r="R18" s="4" t="s">
        <v>46</v>
      </c>
      <c r="S18" s="4">
        <v>720</v>
      </c>
      <c r="T18" s="4">
        <v>730</v>
      </c>
      <c r="U18" s="4">
        <v>8536</v>
      </c>
      <c r="V18" s="4">
        <v>6859</v>
      </c>
      <c r="W18" s="5">
        <v>5.13</v>
      </c>
      <c r="X18" s="5">
        <v>3.99</v>
      </c>
      <c r="Y18" s="4">
        <v>1440</v>
      </c>
      <c r="Z18" s="4"/>
      <c r="AA18" s="13">
        <f t="shared" ref="AA18:AF18" si="27">IF(OR(C19=""),"",C19-C18)</f>
        <v>45739</v>
      </c>
      <c r="AB18" s="13">
        <f t="shared" si="27"/>
        <v>57550</v>
      </c>
      <c r="AC18" s="13">
        <f t="shared" si="27"/>
        <v>46657</v>
      </c>
      <c r="AD18" s="13">
        <f t="shared" si="27"/>
        <v>44234</v>
      </c>
      <c r="AE18" s="13">
        <f t="shared" si="27"/>
        <v>186185</v>
      </c>
      <c r="AF18" s="13">
        <f t="shared" si="27"/>
        <v>5329</v>
      </c>
      <c r="AG18" s="13">
        <f t="shared" si="1"/>
        <v>7995</v>
      </c>
      <c r="AH18" s="13">
        <f t="shared" si="2"/>
        <v>186185</v>
      </c>
      <c r="AI18" s="13">
        <f t="shared" si="3"/>
        <v>5329</v>
      </c>
      <c r="AJ18" s="13">
        <f t="shared" si="4"/>
        <v>180856</v>
      </c>
      <c r="AK18" s="13">
        <v>5100</v>
      </c>
      <c r="AL18" s="13">
        <f t="shared" si="5"/>
        <v>2136</v>
      </c>
      <c r="AM18" s="13">
        <f t="shared" si="6"/>
        <v>14</v>
      </c>
      <c r="AN18" s="13">
        <f t="shared" si="7"/>
        <v>5112</v>
      </c>
      <c r="AO18" s="13">
        <f t="shared" si="8"/>
        <v>1752</v>
      </c>
      <c r="AP18" s="13">
        <v>2611</v>
      </c>
      <c r="AQ18" s="17">
        <f t="shared" si="9"/>
        <v>11.8</v>
      </c>
      <c r="AR18" s="17">
        <f t="shared" si="10"/>
        <v>0.08</v>
      </c>
      <c r="AS18" s="18">
        <f t="shared" si="11"/>
        <v>28.3</v>
      </c>
      <c r="AT18" s="17">
        <f t="shared" si="12"/>
        <v>9.69</v>
      </c>
    </row>
    <row r="19" spans="1:46">
      <c r="A19" s="6">
        <v>43541</v>
      </c>
      <c r="B19" s="5" t="s">
        <v>50</v>
      </c>
      <c r="C19" s="4">
        <v>31853425</v>
      </c>
      <c r="D19" s="4">
        <v>18381852</v>
      </c>
      <c r="E19" s="4">
        <v>13823996</v>
      </c>
      <c r="F19" s="4">
        <v>13319987</v>
      </c>
      <c r="G19" s="4">
        <v>287251098</v>
      </c>
      <c r="H19" s="4">
        <v>106256594</v>
      </c>
      <c r="I19" s="4">
        <v>287251098</v>
      </c>
      <c r="J19" s="4">
        <v>106256594</v>
      </c>
      <c r="K19" s="4"/>
      <c r="L19" s="5">
        <v>4299.8</v>
      </c>
      <c r="M19" s="5">
        <v>4400.49</v>
      </c>
      <c r="N19" s="5">
        <v>74062.28</v>
      </c>
      <c r="O19" s="5"/>
      <c r="P19" s="5"/>
      <c r="Q19" s="10">
        <v>19.2</v>
      </c>
      <c r="R19" s="4" t="s">
        <v>54</v>
      </c>
      <c r="S19" s="4">
        <v>700</v>
      </c>
      <c r="T19" s="4">
        <v>720</v>
      </c>
      <c r="U19" s="4">
        <v>10269</v>
      </c>
      <c r="V19" s="4">
        <v>8299</v>
      </c>
      <c r="W19" s="5">
        <v>7.29</v>
      </c>
      <c r="X19" s="5">
        <v>4.19</v>
      </c>
      <c r="Y19" s="4">
        <v>1440</v>
      </c>
      <c r="Z19" s="4"/>
      <c r="AA19" s="13">
        <f t="shared" ref="AA19:AF19" si="28">IF(OR(C20=""),"",C20-C19)</f>
        <v>58625</v>
      </c>
      <c r="AB19" s="13">
        <f t="shared" si="28"/>
        <v>71330</v>
      </c>
      <c r="AC19" s="13">
        <f t="shared" si="28"/>
        <v>55327</v>
      </c>
      <c r="AD19" s="13">
        <f t="shared" si="28"/>
        <v>55542</v>
      </c>
      <c r="AE19" s="13">
        <f t="shared" si="28"/>
        <v>199019</v>
      </c>
      <c r="AF19" s="13">
        <f t="shared" si="28"/>
        <v>5486</v>
      </c>
      <c r="AG19" s="13">
        <f t="shared" si="1"/>
        <v>41805</v>
      </c>
      <c r="AH19" s="13">
        <f t="shared" si="2"/>
        <v>199019</v>
      </c>
      <c r="AI19" s="13">
        <f t="shared" si="3"/>
        <v>5486</v>
      </c>
      <c r="AJ19" s="13">
        <f t="shared" si="4"/>
        <v>193533</v>
      </c>
      <c r="AK19" s="13">
        <v>5000</v>
      </c>
      <c r="AL19" s="13">
        <f t="shared" si="5"/>
        <v>0</v>
      </c>
      <c r="AM19" s="13">
        <f t="shared" si="6"/>
        <v>0</v>
      </c>
      <c r="AN19" s="13">
        <f t="shared" si="7"/>
        <v>4970</v>
      </c>
      <c r="AO19" s="13">
        <f t="shared" si="8"/>
        <v>1728</v>
      </c>
      <c r="AP19" s="13">
        <v>3190</v>
      </c>
      <c r="AQ19" s="17">
        <f t="shared" si="9"/>
        <v>0</v>
      </c>
      <c r="AR19" s="17">
        <f t="shared" si="10"/>
        <v>0</v>
      </c>
      <c r="AS19" s="18">
        <f t="shared" si="11"/>
        <v>25.7</v>
      </c>
      <c r="AT19" s="17">
        <f t="shared" si="12"/>
        <v>8.93</v>
      </c>
    </row>
    <row r="20" spans="1:46">
      <c r="A20" s="6">
        <v>43542</v>
      </c>
      <c r="B20" s="5" t="s">
        <v>50</v>
      </c>
      <c r="C20" s="4">
        <v>31912050</v>
      </c>
      <c r="D20" s="4">
        <v>18453182</v>
      </c>
      <c r="E20" s="4">
        <v>13879323</v>
      </c>
      <c r="F20" s="4">
        <v>13375529</v>
      </c>
      <c r="G20" s="4">
        <v>287450117</v>
      </c>
      <c r="H20" s="4">
        <v>106262080</v>
      </c>
      <c r="I20" s="4">
        <v>287450117</v>
      </c>
      <c r="J20" s="4">
        <v>106262080</v>
      </c>
      <c r="K20" s="4"/>
      <c r="L20" s="5">
        <v>4299.8</v>
      </c>
      <c r="M20" s="5">
        <v>4400.49</v>
      </c>
      <c r="N20" s="5">
        <v>74062.33</v>
      </c>
      <c r="O20" s="5"/>
      <c r="P20" s="5"/>
      <c r="Q20" s="10">
        <v>17.5</v>
      </c>
      <c r="R20" s="4" t="s">
        <v>52</v>
      </c>
      <c r="S20" s="4">
        <v>550</v>
      </c>
      <c r="T20" s="4">
        <v>560</v>
      </c>
      <c r="U20" s="4">
        <v>9123</v>
      </c>
      <c r="V20" s="4">
        <v>8890</v>
      </c>
      <c r="W20" s="5">
        <v>6.91</v>
      </c>
      <c r="X20" s="5">
        <v>6.06</v>
      </c>
      <c r="Y20" s="4">
        <v>1440</v>
      </c>
      <c r="Z20" s="4"/>
      <c r="AA20" s="13">
        <f t="shared" ref="AA20:AF20" si="29">IF(OR(C21=""),"",C21-C20)</f>
        <v>41459</v>
      </c>
      <c r="AB20" s="13">
        <f t="shared" si="29"/>
        <v>48044</v>
      </c>
      <c r="AC20" s="13">
        <f t="shared" si="29"/>
        <v>60428</v>
      </c>
      <c r="AD20" s="13">
        <f t="shared" si="29"/>
        <v>61829</v>
      </c>
      <c r="AE20" s="13">
        <f t="shared" si="29"/>
        <v>206476</v>
      </c>
      <c r="AF20" s="13">
        <f t="shared" si="29"/>
        <v>5375</v>
      </c>
      <c r="AG20" s="13">
        <f t="shared" si="1"/>
        <v>5284</v>
      </c>
      <c r="AH20" s="13">
        <f t="shared" si="2"/>
        <v>206476</v>
      </c>
      <c r="AI20" s="13">
        <f t="shared" si="3"/>
        <v>5375</v>
      </c>
      <c r="AJ20" s="13">
        <f t="shared" si="4"/>
        <v>201101</v>
      </c>
      <c r="AK20" s="13">
        <v>5000</v>
      </c>
      <c r="AL20" s="13">
        <f t="shared" si="5"/>
        <v>0</v>
      </c>
      <c r="AM20" s="13">
        <f t="shared" si="6"/>
        <v>0</v>
      </c>
      <c r="AN20" s="13">
        <f t="shared" si="7"/>
        <v>3905</v>
      </c>
      <c r="AO20" s="13">
        <f t="shared" si="8"/>
        <v>1344</v>
      </c>
      <c r="AP20" s="13">
        <v>2798</v>
      </c>
      <c r="AQ20" s="17">
        <f t="shared" si="9"/>
        <v>0</v>
      </c>
      <c r="AR20" s="17">
        <f t="shared" si="10"/>
        <v>0</v>
      </c>
      <c r="AS20" s="18">
        <f t="shared" si="11"/>
        <v>19.4</v>
      </c>
      <c r="AT20" s="17">
        <f t="shared" si="12"/>
        <v>6.68</v>
      </c>
    </row>
    <row r="21" spans="1:46">
      <c r="A21" s="6">
        <v>43543</v>
      </c>
      <c r="B21" s="5" t="s">
        <v>50</v>
      </c>
      <c r="C21" s="4">
        <v>31953509</v>
      </c>
      <c r="D21" s="4">
        <v>18501226</v>
      </c>
      <c r="E21" s="4">
        <v>13939751</v>
      </c>
      <c r="F21" s="4">
        <v>13437358</v>
      </c>
      <c r="G21" s="4">
        <v>287656593</v>
      </c>
      <c r="H21" s="4">
        <v>106267455</v>
      </c>
      <c r="I21" s="4">
        <v>287656593</v>
      </c>
      <c r="J21" s="4">
        <v>106267455</v>
      </c>
      <c r="K21" s="4"/>
      <c r="L21" s="5">
        <v>4299.8</v>
      </c>
      <c r="M21" s="5">
        <v>4400.49</v>
      </c>
      <c r="N21" s="5">
        <v>74062.33</v>
      </c>
      <c r="O21" s="5"/>
      <c r="P21" s="5"/>
      <c r="Q21" s="10">
        <v>18.1</v>
      </c>
      <c r="R21" s="4" t="s">
        <v>54</v>
      </c>
      <c r="S21" s="4">
        <v>360</v>
      </c>
      <c r="T21" s="4">
        <v>350</v>
      </c>
      <c r="U21" s="4">
        <v>9136</v>
      </c>
      <c r="V21" s="4">
        <v>8625</v>
      </c>
      <c r="W21" s="5">
        <v>6.37</v>
      </c>
      <c r="X21" s="5">
        <v>4.05</v>
      </c>
      <c r="Y21" s="4">
        <v>1440</v>
      </c>
      <c r="Z21" s="4"/>
      <c r="AA21" s="13">
        <f t="shared" ref="AA21:AF21" si="30">IF(OR(C22=""),"",C22-C21)</f>
        <v>38530</v>
      </c>
      <c r="AB21" s="13">
        <f t="shared" si="30"/>
        <v>43879</v>
      </c>
      <c r="AC21" s="13">
        <f t="shared" si="30"/>
        <v>68416</v>
      </c>
      <c r="AD21" s="13">
        <f t="shared" si="30"/>
        <v>69743</v>
      </c>
      <c r="AE21" s="13">
        <f t="shared" si="30"/>
        <v>206407</v>
      </c>
      <c r="AF21" s="13">
        <f t="shared" si="30"/>
        <v>5471</v>
      </c>
      <c r="AG21" s="13">
        <f t="shared" si="1"/>
        <v>14161</v>
      </c>
      <c r="AH21" s="13">
        <f t="shared" si="2"/>
        <v>206407</v>
      </c>
      <c r="AI21" s="13">
        <f t="shared" si="3"/>
        <v>5471</v>
      </c>
      <c r="AJ21" s="13">
        <f t="shared" si="4"/>
        <v>200936</v>
      </c>
      <c r="AK21" s="13">
        <v>5500</v>
      </c>
      <c r="AL21" s="13">
        <f t="shared" si="5"/>
        <v>0</v>
      </c>
      <c r="AM21" s="13">
        <f t="shared" si="6"/>
        <v>0</v>
      </c>
      <c r="AN21" s="13">
        <f t="shared" si="7"/>
        <v>2556</v>
      </c>
      <c r="AO21" s="13">
        <f t="shared" si="8"/>
        <v>840</v>
      </c>
      <c r="AP21" s="13">
        <v>2031</v>
      </c>
      <c r="AQ21" s="17">
        <f t="shared" si="9"/>
        <v>0</v>
      </c>
      <c r="AR21" s="17">
        <f t="shared" si="10"/>
        <v>0</v>
      </c>
      <c r="AS21" s="18">
        <f t="shared" si="11"/>
        <v>12.7</v>
      </c>
      <c r="AT21" s="17">
        <f t="shared" si="12"/>
        <v>4.18</v>
      </c>
    </row>
    <row r="22" spans="1:46">
      <c r="A22" s="6">
        <v>43544</v>
      </c>
      <c r="B22" s="5" t="s">
        <v>50</v>
      </c>
      <c r="C22" s="4">
        <v>31992039</v>
      </c>
      <c r="D22" s="4">
        <v>18545105</v>
      </c>
      <c r="E22" s="4">
        <v>14008167</v>
      </c>
      <c r="F22" s="4">
        <v>13507101</v>
      </c>
      <c r="G22" s="4">
        <v>287863000</v>
      </c>
      <c r="H22" s="4">
        <v>106272926</v>
      </c>
      <c r="I22" s="4">
        <v>287863000</v>
      </c>
      <c r="J22" s="4">
        <v>106272926</v>
      </c>
      <c r="K22" s="4"/>
      <c r="L22" s="5">
        <v>4299.8</v>
      </c>
      <c r="M22" s="5">
        <v>4400.49</v>
      </c>
      <c r="N22" s="5">
        <v>74062.33</v>
      </c>
      <c r="O22" s="5"/>
      <c r="P22" s="5"/>
      <c r="Q22" s="10">
        <v>17.3</v>
      </c>
      <c r="R22" s="4" t="s">
        <v>54</v>
      </c>
      <c r="S22" s="4">
        <v>300</v>
      </c>
      <c r="T22" s="4">
        <v>280</v>
      </c>
      <c r="U22" s="4">
        <v>9258</v>
      </c>
      <c r="V22" s="4">
        <v>8736</v>
      </c>
      <c r="W22" s="5">
        <v>6.67</v>
      </c>
      <c r="X22" s="5">
        <v>6.05</v>
      </c>
      <c r="Y22" s="4">
        <v>1440</v>
      </c>
      <c r="Z22" s="4"/>
      <c r="AA22" s="13">
        <f t="shared" ref="AA22:AF22" si="31">IF(OR(C23=""),"",C23-C22)</f>
        <v>34812</v>
      </c>
      <c r="AB22" s="13">
        <f t="shared" si="31"/>
        <v>39950</v>
      </c>
      <c r="AC22" s="13">
        <f t="shared" si="31"/>
        <v>67085</v>
      </c>
      <c r="AD22" s="13">
        <f t="shared" si="31"/>
        <v>68146</v>
      </c>
      <c r="AE22" s="13">
        <f t="shared" si="31"/>
        <v>202097</v>
      </c>
      <c r="AF22" s="13">
        <f t="shared" si="31"/>
        <v>5390</v>
      </c>
      <c r="AG22" s="13">
        <f t="shared" si="1"/>
        <v>7896</v>
      </c>
      <c r="AH22" s="13">
        <f t="shared" si="2"/>
        <v>202097</v>
      </c>
      <c r="AI22" s="13">
        <f t="shared" si="3"/>
        <v>5390</v>
      </c>
      <c r="AJ22" s="13">
        <f t="shared" si="4"/>
        <v>196707</v>
      </c>
      <c r="AK22" s="13">
        <v>5300</v>
      </c>
      <c r="AL22" s="13">
        <f t="shared" si="5"/>
        <v>0</v>
      </c>
      <c r="AM22" s="13">
        <f t="shared" si="6"/>
        <v>0</v>
      </c>
      <c r="AN22" s="13">
        <f t="shared" si="7"/>
        <v>2130</v>
      </c>
      <c r="AO22" s="13">
        <f t="shared" si="8"/>
        <v>672</v>
      </c>
      <c r="AP22" s="13">
        <v>2170</v>
      </c>
      <c r="AQ22" s="17">
        <f t="shared" si="9"/>
        <v>0</v>
      </c>
      <c r="AR22" s="17">
        <f t="shared" si="10"/>
        <v>0</v>
      </c>
      <c r="AS22" s="18">
        <f t="shared" si="11"/>
        <v>10.8</v>
      </c>
      <c r="AT22" s="17">
        <f t="shared" si="12"/>
        <v>3.42</v>
      </c>
    </row>
    <row r="23" spans="1:46">
      <c r="A23" s="6">
        <v>43545</v>
      </c>
      <c r="B23" s="5" t="s">
        <v>50</v>
      </c>
      <c r="C23" s="4">
        <v>32026851</v>
      </c>
      <c r="D23" s="4">
        <v>18585055</v>
      </c>
      <c r="E23" s="4">
        <v>14075252</v>
      </c>
      <c r="F23" s="4">
        <v>13575247</v>
      </c>
      <c r="G23" s="4">
        <v>288065097</v>
      </c>
      <c r="H23" s="4">
        <v>106278316</v>
      </c>
      <c r="I23" s="4">
        <v>288065097</v>
      </c>
      <c r="J23" s="4">
        <v>106278316</v>
      </c>
      <c r="K23" s="4"/>
      <c r="L23" s="5">
        <v>4299.8</v>
      </c>
      <c r="M23" s="5">
        <v>4400.49</v>
      </c>
      <c r="N23" s="5">
        <v>74062.33</v>
      </c>
      <c r="O23" s="5"/>
      <c r="P23" s="5"/>
      <c r="Q23" s="10">
        <v>17.2</v>
      </c>
      <c r="R23" s="4" t="s">
        <v>52</v>
      </c>
      <c r="S23" s="4">
        <v>300</v>
      </c>
      <c r="T23" s="4">
        <v>310</v>
      </c>
      <c r="U23" s="4">
        <v>9325</v>
      </c>
      <c r="V23" s="4">
        <v>9116</v>
      </c>
      <c r="W23" s="5">
        <v>7.74</v>
      </c>
      <c r="X23" s="5">
        <v>6.96</v>
      </c>
      <c r="Y23" s="4">
        <v>1440</v>
      </c>
      <c r="Z23" s="4"/>
      <c r="AA23" s="13">
        <f t="shared" ref="AA23:AF23" si="32">IF(OR(C24=""),"",C24-C23)</f>
        <v>36011</v>
      </c>
      <c r="AB23" s="13">
        <f t="shared" si="32"/>
        <v>41494</v>
      </c>
      <c r="AC23" s="13">
        <f t="shared" si="32"/>
        <v>70625</v>
      </c>
      <c r="AD23" s="13">
        <f t="shared" si="32"/>
        <v>71678</v>
      </c>
      <c r="AE23" s="13">
        <f t="shared" si="32"/>
        <v>210858</v>
      </c>
      <c r="AF23" s="13">
        <f t="shared" si="32"/>
        <v>5466</v>
      </c>
      <c r="AG23" s="13">
        <f t="shared" si="1"/>
        <v>8950</v>
      </c>
      <c r="AH23" s="13">
        <f t="shared" si="2"/>
        <v>210858</v>
      </c>
      <c r="AI23" s="13">
        <f t="shared" si="3"/>
        <v>5466</v>
      </c>
      <c r="AJ23" s="13">
        <f t="shared" si="4"/>
        <v>205392</v>
      </c>
      <c r="AK23" s="13">
        <v>5200</v>
      </c>
      <c r="AL23" s="13">
        <f t="shared" si="5"/>
        <v>0</v>
      </c>
      <c r="AM23" s="13">
        <f t="shared" si="6"/>
        <v>0</v>
      </c>
      <c r="AN23" s="13">
        <f t="shared" si="7"/>
        <v>2130</v>
      </c>
      <c r="AO23" s="13">
        <f t="shared" si="8"/>
        <v>744</v>
      </c>
      <c r="AP23" s="13">
        <v>2183</v>
      </c>
      <c r="AQ23" s="17">
        <f t="shared" si="9"/>
        <v>0</v>
      </c>
      <c r="AR23" s="17">
        <f t="shared" si="10"/>
        <v>0</v>
      </c>
      <c r="AS23" s="18">
        <f t="shared" si="11"/>
        <v>10.4</v>
      </c>
      <c r="AT23" s="17">
        <f t="shared" si="12"/>
        <v>3.62</v>
      </c>
    </row>
    <row r="24" spans="1:46">
      <c r="A24" s="6">
        <v>43546</v>
      </c>
      <c r="B24" s="5" t="s">
        <v>50</v>
      </c>
      <c r="C24" s="4">
        <v>32062862</v>
      </c>
      <c r="D24" s="4">
        <v>18626549</v>
      </c>
      <c r="E24" s="4">
        <v>14145877</v>
      </c>
      <c r="F24" s="4">
        <v>13646925</v>
      </c>
      <c r="G24" s="4">
        <v>288275955</v>
      </c>
      <c r="H24" s="4">
        <v>106283782</v>
      </c>
      <c r="I24" s="4">
        <v>288275955</v>
      </c>
      <c r="J24" s="4">
        <v>106283782</v>
      </c>
      <c r="K24" s="4"/>
      <c r="L24" s="5">
        <v>4299.8</v>
      </c>
      <c r="M24" s="5">
        <v>4400.49</v>
      </c>
      <c r="N24" s="5">
        <v>74062.33</v>
      </c>
      <c r="O24" s="5"/>
      <c r="P24" s="5"/>
      <c r="Q24" s="10">
        <v>17.5</v>
      </c>
      <c r="R24" s="4" t="s">
        <v>52</v>
      </c>
      <c r="S24" s="4">
        <v>350</v>
      </c>
      <c r="T24" s="4">
        <v>330</v>
      </c>
      <c r="U24" s="4">
        <v>9012</v>
      </c>
      <c r="V24" s="4">
        <v>8836</v>
      </c>
      <c r="W24" s="5">
        <v>6.35</v>
      </c>
      <c r="X24" s="5">
        <v>6</v>
      </c>
      <c r="Y24" s="4">
        <v>1440</v>
      </c>
      <c r="Z24" s="4"/>
      <c r="AA24" s="13">
        <f t="shared" ref="AA24:AF24" si="33">IF(OR(C25=""),"",C25-C24)</f>
        <v>32871</v>
      </c>
      <c r="AB24" s="13">
        <f t="shared" si="33"/>
        <v>38219</v>
      </c>
      <c r="AC24" s="13">
        <f t="shared" si="33"/>
        <v>65154</v>
      </c>
      <c r="AD24" s="13">
        <f t="shared" si="33"/>
        <v>67773</v>
      </c>
      <c r="AE24" s="13">
        <f t="shared" si="33"/>
        <v>195532</v>
      </c>
      <c r="AF24" s="13">
        <f t="shared" si="33"/>
        <v>5347</v>
      </c>
      <c r="AG24" s="13">
        <f t="shared" si="1"/>
        <v>8485</v>
      </c>
      <c r="AH24" s="13">
        <f t="shared" si="2"/>
        <v>195532</v>
      </c>
      <c r="AI24" s="13">
        <f t="shared" si="3"/>
        <v>5347</v>
      </c>
      <c r="AJ24" s="13">
        <f t="shared" si="4"/>
        <v>190185</v>
      </c>
      <c r="AK24" s="13">
        <v>5200</v>
      </c>
      <c r="AL24" s="13">
        <f t="shared" si="5"/>
        <v>0</v>
      </c>
      <c r="AM24" s="13">
        <f t="shared" si="6"/>
        <v>0</v>
      </c>
      <c r="AN24" s="13">
        <f t="shared" si="7"/>
        <v>2485</v>
      </c>
      <c r="AO24" s="13">
        <f t="shared" si="8"/>
        <v>792</v>
      </c>
      <c r="AP24" s="13">
        <v>2478</v>
      </c>
      <c r="AQ24" s="17">
        <f t="shared" si="9"/>
        <v>0</v>
      </c>
      <c r="AR24" s="17">
        <f t="shared" si="10"/>
        <v>0</v>
      </c>
      <c r="AS24" s="18">
        <f t="shared" si="11"/>
        <v>13.1</v>
      </c>
      <c r="AT24" s="17">
        <f t="shared" si="12"/>
        <v>4.16</v>
      </c>
    </row>
    <row r="25" spans="1:46">
      <c r="A25" s="6">
        <v>43547</v>
      </c>
      <c r="B25" s="5" t="s">
        <v>50</v>
      </c>
      <c r="C25" s="4">
        <v>32095733</v>
      </c>
      <c r="D25" s="4">
        <v>18664768</v>
      </c>
      <c r="E25" s="4">
        <v>14211031</v>
      </c>
      <c r="F25" s="4">
        <v>13714698</v>
      </c>
      <c r="G25" s="4">
        <v>288471487</v>
      </c>
      <c r="H25" s="4">
        <v>106289129</v>
      </c>
      <c r="I25" s="4">
        <v>288471487</v>
      </c>
      <c r="J25" s="4">
        <v>106289129</v>
      </c>
      <c r="K25" s="4"/>
      <c r="L25" s="5">
        <v>4299.8</v>
      </c>
      <c r="M25" s="5">
        <v>4400.49</v>
      </c>
      <c r="N25" s="5">
        <v>74062.33</v>
      </c>
      <c r="O25" s="5"/>
      <c r="P25" s="5"/>
      <c r="Q25" s="10">
        <v>18.5</v>
      </c>
      <c r="R25" s="4" t="s">
        <v>54</v>
      </c>
      <c r="S25" s="4">
        <v>410</v>
      </c>
      <c r="T25" s="4">
        <v>390</v>
      </c>
      <c r="U25" s="4">
        <v>9078</v>
      </c>
      <c r="V25" s="4">
        <v>8496</v>
      </c>
      <c r="W25" s="5">
        <v>6.13</v>
      </c>
      <c r="X25" s="5">
        <v>5.98</v>
      </c>
      <c r="Y25" s="4">
        <v>1440</v>
      </c>
      <c r="Z25" s="4"/>
      <c r="AA25" s="13">
        <f t="shared" ref="AA25:AF25" si="34">IF(OR(C26=""),"",C26-C25)</f>
        <v>35238</v>
      </c>
      <c r="AB25" s="13">
        <f t="shared" si="34"/>
        <v>40656</v>
      </c>
      <c r="AC25" s="13">
        <f t="shared" si="34"/>
        <v>69046</v>
      </c>
      <c r="AD25" s="13">
        <f t="shared" si="34"/>
        <v>70489</v>
      </c>
      <c r="AE25" s="13">
        <f t="shared" si="34"/>
        <v>206530</v>
      </c>
      <c r="AF25" s="13">
        <f t="shared" si="34"/>
        <v>5423</v>
      </c>
      <c r="AG25" s="13">
        <f t="shared" si="1"/>
        <v>8899</v>
      </c>
      <c r="AH25" s="13">
        <f t="shared" si="2"/>
        <v>206530</v>
      </c>
      <c r="AI25" s="13">
        <f t="shared" si="3"/>
        <v>5423</v>
      </c>
      <c r="AJ25" s="13">
        <f t="shared" si="4"/>
        <v>201107</v>
      </c>
      <c r="AK25" s="13">
        <v>5200</v>
      </c>
      <c r="AL25" s="13">
        <f t="shared" si="5"/>
        <v>0</v>
      </c>
      <c r="AM25" s="13">
        <f t="shared" si="6"/>
        <v>0</v>
      </c>
      <c r="AN25" s="13">
        <f t="shared" si="7"/>
        <v>2911</v>
      </c>
      <c r="AO25" s="13">
        <f t="shared" si="8"/>
        <v>936</v>
      </c>
      <c r="AP25" s="13">
        <v>3255</v>
      </c>
      <c r="AQ25" s="17">
        <f t="shared" si="9"/>
        <v>0</v>
      </c>
      <c r="AR25" s="17">
        <f t="shared" si="10"/>
        <v>0</v>
      </c>
      <c r="AS25" s="18">
        <f t="shared" si="11"/>
        <v>14.5</v>
      </c>
      <c r="AT25" s="17">
        <f t="shared" si="12"/>
        <v>4.65</v>
      </c>
    </row>
    <row r="26" spans="1:46">
      <c r="A26" s="6">
        <v>43548</v>
      </c>
      <c r="B26" s="5" t="s">
        <v>50</v>
      </c>
      <c r="C26" s="4">
        <v>32130971</v>
      </c>
      <c r="D26" s="4">
        <v>18705424</v>
      </c>
      <c r="E26" s="4">
        <v>14280077</v>
      </c>
      <c r="F26" s="4">
        <v>13785187</v>
      </c>
      <c r="G26" s="4">
        <v>288678017</v>
      </c>
      <c r="H26" s="4">
        <v>106294552</v>
      </c>
      <c r="I26" s="4">
        <v>288678017</v>
      </c>
      <c r="J26" s="4">
        <v>106294552</v>
      </c>
      <c r="K26" s="4"/>
      <c r="L26" s="5">
        <v>4299.8</v>
      </c>
      <c r="M26" s="5">
        <v>4400.49</v>
      </c>
      <c r="N26" s="5">
        <v>74062.33</v>
      </c>
      <c r="O26" s="5"/>
      <c r="P26" s="5"/>
      <c r="Q26" s="10">
        <v>15.8</v>
      </c>
      <c r="R26" s="4" t="s">
        <v>46</v>
      </c>
      <c r="S26" s="4">
        <v>390</v>
      </c>
      <c r="T26" s="4">
        <v>380</v>
      </c>
      <c r="U26" s="4">
        <v>9185</v>
      </c>
      <c r="V26" s="4">
        <v>8952</v>
      </c>
      <c r="W26" s="5">
        <v>6.32</v>
      </c>
      <c r="X26" s="5">
        <v>5.96</v>
      </c>
      <c r="Y26" s="4">
        <v>1440</v>
      </c>
      <c r="Z26" s="4"/>
      <c r="AA26" s="13">
        <f t="shared" ref="AA26:AF26" si="35">IF(OR(C27=""),"",C27-C26)</f>
        <v>35822</v>
      </c>
      <c r="AB26" s="13">
        <f t="shared" si="35"/>
        <v>40815</v>
      </c>
      <c r="AC26" s="13">
        <f t="shared" si="35"/>
        <v>69600</v>
      </c>
      <c r="AD26" s="13">
        <f t="shared" si="35"/>
        <v>70409</v>
      </c>
      <c r="AE26" s="13">
        <f t="shared" si="35"/>
        <v>207717</v>
      </c>
      <c r="AF26" s="13">
        <f t="shared" si="35"/>
        <v>5334</v>
      </c>
      <c r="AG26" s="13">
        <f t="shared" si="1"/>
        <v>8929</v>
      </c>
      <c r="AH26" s="13">
        <f t="shared" si="2"/>
        <v>207717</v>
      </c>
      <c r="AI26" s="13">
        <f t="shared" si="3"/>
        <v>5334</v>
      </c>
      <c r="AJ26" s="13">
        <f t="shared" si="4"/>
        <v>202383</v>
      </c>
      <c r="AK26" s="13">
        <v>5200</v>
      </c>
      <c r="AL26" s="13">
        <f t="shared" si="5"/>
        <v>0</v>
      </c>
      <c r="AM26" s="13">
        <f t="shared" si="6"/>
        <v>0</v>
      </c>
      <c r="AN26" s="13">
        <f t="shared" si="7"/>
        <v>2769</v>
      </c>
      <c r="AO26" s="13">
        <f t="shared" si="8"/>
        <v>912</v>
      </c>
      <c r="AP26" s="13">
        <v>3082</v>
      </c>
      <c r="AQ26" s="17">
        <f t="shared" si="9"/>
        <v>0</v>
      </c>
      <c r="AR26" s="17">
        <f t="shared" si="10"/>
        <v>0</v>
      </c>
      <c r="AS26" s="18">
        <f t="shared" si="11"/>
        <v>13.7</v>
      </c>
      <c r="AT26" s="17">
        <f t="shared" si="12"/>
        <v>4.51</v>
      </c>
    </row>
    <row r="27" spans="1:46">
      <c r="A27" s="6">
        <v>43549</v>
      </c>
      <c r="B27" s="5" t="s">
        <v>50</v>
      </c>
      <c r="C27" s="4">
        <v>32166793</v>
      </c>
      <c r="D27" s="4">
        <v>18746239</v>
      </c>
      <c r="E27" s="4">
        <v>14349677</v>
      </c>
      <c r="F27" s="4">
        <v>13855596</v>
      </c>
      <c r="G27" s="4">
        <v>288885734</v>
      </c>
      <c r="H27" s="4">
        <v>106299886</v>
      </c>
      <c r="I27" s="4">
        <v>288885734</v>
      </c>
      <c r="J27" s="4">
        <v>106299886</v>
      </c>
      <c r="K27" s="4"/>
      <c r="L27" s="5">
        <v>4299.8</v>
      </c>
      <c r="M27" s="5">
        <v>4400.49</v>
      </c>
      <c r="N27" s="5">
        <v>74062.33</v>
      </c>
      <c r="O27" s="5"/>
      <c r="P27" s="5"/>
      <c r="Q27" s="10">
        <v>15.8</v>
      </c>
      <c r="R27" s="4" t="s">
        <v>52</v>
      </c>
      <c r="S27" s="4">
        <v>420</v>
      </c>
      <c r="T27" s="4">
        <v>400</v>
      </c>
      <c r="U27" s="4">
        <v>9258</v>
      </c>
      <c r="V27" s="4">
        <v>8999</v>
      </c>
      <c r="W27" s="5">
        <v>7.89</v>
      </c>
      <c r="X27" s="5">
        <v>7</v>
      </c>
      <c r="Y27" s="4">
        <v>1440</v>
      </c>
      <c r="Z27" s="4"/>
      <c r="AA27" s="13">
        <f t="shared" ref="AA27:AF27" si="36">IF(OR(C28=""),"",C28-C27)</f>
        <v>35295</v>
      </c>
      <c r="AB27" s="13">
        <f t="shared" si="36"/>
        <v>40553</v>
      </c>
      <c r="AC27" s="13">
        <f t="shared" si="36"/>
        <v>69222</v>
      </c>
      <c r="AD27" s="13">
        <f t="shared" si="36"/>
        <v>70093</v>
      </c>
      <c r="AE27" s="13">
        <f t="shared" si="36"/>
        <v>212328</v>
      </c>
      <c r="AF27" s="13">
        <f t="shared" si="36"/>
        <v>5449</v>
      </c>
      <c r="AG27" s="13">
        <f t="shared" si="1"/>
        <v>2835</v>
      </c>
      <c r="AH27" s="13">
        <f t="shared" si="2"/>
        <v>212328</v>
      </c>
      <c r="AI27" s="13">
        <f t="shared" si="3"/>
        <v>5449</v>
      </c>
      <c r="AJ27" s="13">
        <f t="shared" si="4"/>
        <v>206879</v>
      </c>
      <c r="AK27" s="13">
        <v>5100</v>
      </c>
      <c r="AL27" s="13">
        <f t="shared" si="5"/>
        <v>0</v>
      </c>
      <c r="AM27" s="13">
        <f t="shared" si="6"/>
        <v>0</v>
      </c>
      <c r="AN27" s="13">
        <f t="shared" si="7"/>
        <v>2982</v>
      </c>
      <c r="AO27" s="13">
        <f t="shared" si="8"/>
        <v>960</v>
      </c>
      <c r="AP27" s="13">
        <v>3108</v>
      </c>
      <c r="AQ27" s="17">
        <f t="shared" si="9"/>
        <v>0</v>
      </c>
      <c r="AR27" s="17">
        <f t="shared" si="10"/>
        <v>0</v>
      </c>
      <c r="AS27" s="18">
        <f t="shared" si="11"/>
        <v>14.4</v>
      </c>
      <c r="AT27" s="17">
        <f t="shared" si="12"/>
        <v>4.64</v>
      </c>
    </row>
    <row r="28" spans="1:46">
      <c r="A28" s="6">
        <v>43550</v>
      </c>
      <c r="B28" s="5" t="s">
        <v>50</v>
      </c>
      <c r="C28" s="4">
        <v>32202088</v>
      </c>
      <c r="D28" s="4">
        <v>18786792</v>
      </c>
      <c r="E28" s="4">
        <v>14418899</v>
      </c>
      <c r="F28" s="4">
        <v>13925689</v>
      </c>
      <c r="G28" s="4">
        <v>289098062</v>
      </c>
      <c r="H28" s="4">
        <v>106305335</v>
      </c>
      <c r="I28" s="4">
        <v>289098062</v>
      </c>
      <c r="J28" s="4">
        <v>106305335</v>
      </c>
      <c r="K28" s="4"/>
      <c r="L28" s="5">
        <v>4299.8</v>
      </c>
      <c r="M28" s="5">
        <v>4400.49</v>
      </c>
      <c r="N28" s="5">
        <v>74062.33</v>
      </c>
      <c r="O28" s="5"/>
      <c r="P28" s="5"/>
      <c r="Q28" s="10">
        <v>17</v>
      </c>
      <c r="R28" s="4" t="s">
        <v>52</v>
      </c>
      <c r="S28" s="4">
        <v>400</v>
      </c>
      <c r="T28" s="4">
        <v>380</v>
      </c>
      <c r="U28" s="4">
        <v>9112</v>
      </c>
      <c r="V28" s="4">
        <v>8983</v>
      </c>
      <c r="W28" s="5">
        <v>7.58</v>
      </c>
      <c r="X28" s="5">
        <v>6.56</v>
      </c>
      <c r="Y28" s="4">
        <v>1440</v>
      </c>
      <c r="Z28" s="4"/>
      <c r="AA28" s="13">
        <f t="shared" ref="AA28:AF28" si="37">IF(OR(C29=""),"",C29-C28)</f>
        <v>33846</v>
      </c>
      <c r="AB28" s="13">
        <f t="shared" si="37"/>
        <v>39129</v>
      </c>
      <c r="AC28" s="13">
        <f t="shared" si="37"/>
        <v>72796</v>
      </c>
      <c r="AD28" s="13">
        <f t="shared" si="37"/>
        <v>74009</v>
      </c>
      <c r="AE28" s="13">
        <f t="shared" si="37"/>
        <v>206804</v>
      </c>
      <c r="AF28" s="13">
        <f t="shared" si="37"/>
        <v>5347</v>
      </c>
      <c r="AG28" s="13">
        <f t="shared" si="1"/>
        <v>12976</v>
      </c>
      <c r="AH28" s="13">
        <f t="shared" si="2"/>
        <v>206804</v>
      </c>
      <c r="AI28" s="13">
        <f t="shared" si="3"/>
        <v>5347</v>
      </c>
      <c r="AJ28" s="13">
        <f t="shared" si="4"/>
        <v>201457</v>
      </c>
      <c r="AK28" s="13">
        <v>5200</v>
      </c>
      <c r="AL28" s="13">
        <f t="shared" si="5"/>
        <v>0</v>
      </c>
      <c r="AM28" s="13">
        <f t="shared" si="6"/>
        <v>0</v>
      </c>
      <c r="AN28" s="13">
        <f t="shared" si="7"/>
        <v>2840</v>
      </c>
      <c r="AO28" s="13">
        <f t="shared" si="8"/>
        <v>912</v>
      </c>
      <c r="AP28" s="13">
        <v>2790</v>
      </c>
      <c r="AQ28" s="17">
        <f t="shared" si="9"/>
        <v>0</v>
      </c>
      <c r="AR28" s="17">
        <f t="shared" si="10"/>
        <v>0</v>
      </c>
      <c r="AS28" s="18">
        <f t="shared" si="11"/>
        <v>14.1</v>
      </c>
      <c r="AT28" s="17">
        <f t="shared" si="12"/>
        <v>4.53</v>
      </c>
    </row>
    <row r="29" spans="1:46">
      <c r="A29" s="6">
        <v>43551</v>
      </c>
      <c r="B29" s="5" t="s">
        <v>50</v>
      </c>
      <c r="C29" s="4">
        <v>32235934</v>
      </c>
      <c r="D29" s="4">
        <v>18825921</v>
      </c>
      <c r="E29" s="4">
        <v>14491695</v>
      </c>
      <c r="F29" s="4">
        <v>13999698</v>
      </c>
      <c r="G29" s="4">
        <v>289304866</v>
      </c>
      <c r="H29" s="4">
        <v>106310682</v>
      </c>
      <c r="I29" s="4">
        <v>289304866</v>
      </c>
      <c r="J29" s="4">
        <v>106310682</v>
      </c>
      <c r="K29" s="4"/>
      <c r="L29" s="5">
        <v>4299.8</v>
      </c>
      <c r="M29" s="5">
        <v>4400.49</v>
      </c>
      <c r="N29" s="5">
        <v>74062.33</v>
      </c>
      <c r="O29" s="5"/>
      <c r="P29" s="5"/>
      <c r="Q29" s="10">
        <v>16.6</v>
      </c>
      <c r="R29" s="4" t="s">
        <v>54</v>
      </c>
      <c r="S29" s="4">
        <v>600</v>
      </c>
      <c r="T29" s="4">
        <v>580</v>
      </c>
      <c r="U29" s="4">
        <v>9085</v>
      </c>
      <c r="V29" s="4">
        <v>8047</v>
      </c>
      <c r="W29" s="5">
        <v>6.72</v>
      </c>
      <c r="X29" s="5">
        <v>5.59</v>
      </c>
      <c r="Y29" s="4">
        <v>1440</v>
      </c>
      <c r="Z29" s="4"/>
      <c r="AA29" s="13">
        <f t="shared" ref="AA29:AF29" si="38">IF(OR(C30=""),"",C30-C29)</f>
        <v>34888</v>
      </c>
      <c r="AB29" s="13">
        <f t="shared" si="38"/>
        <v>40315</v>
      </c>
      <c r="AC29" s="13">
        <f t="shared" si="38"/>
        <v>71776</v>
      </c>
      <c r="AD29" s="13">
        <f t="shared" si="38"/>
        <v>73104</v>
      </c>
      <c r="AE29" s="13">
        <f t="shared" si="38"/>
        <v>210396</v>
      </c>
      <c r="AF29" s="13">
        <f t="shared" si="38"/>
        <v>5687</v>
      </c>
      <c r="AG29" s="13">
        <f t="shared" si="1"/>
        <v>9687</v>
      </c>
      <c r="AH29" s="13">
        <f t="shared" si="2"/>
        <v>210396</v>
      </c>
      <c r="AI29" s="13">
        <f t="shared" si="3"/>
        <v>5687</v>
      </c>
      <c r="AJ29" s="13">
        <f t="shared" si="4"/>
        <v>204709</v>
      </c>
      <c r="AK29" s="13">
        <v>5000</v>
      </c>
      <c r="AL29" s="13">
        <f t="shared" si="5"/>
        <v>132</v>
      </c>
      <c r="AM29" s="13">
        <f t="shared" si="6"/>
        <v>2</v>
      </c>
      <c r="AN29" s="13">
        <f t="shared" si="7"/>
        <v>4260</v>
      </c>
      <c r="AO29" s="13">
        <f t="shared" si="8"/>
        <v>1392</v>
      </c>
      <c r="AP29" s="13">
        <v>3255</v>
      </c>
      <c r="AQ29" s="17">
        <f t="shared" si="9"/>
        <v>0.6</v>
      </c>
      <c r="AR29" s="17">
        <f t="shared" si="10"/>
        <v>0.01</v>
      </c>
      <c r="AS29" s="18">
        <f t="shared" si="11"/>
        <v>20.8</v>
      </c>
      <c r="AT29" s="17">
        <f t="shared" si="12"/>
        <v>6.8</v>
      </c>
    </row>
    <row r="30" spans="1:46">
      <c r="A30" s="6">
        <v>43552</v>
      </c>
      <c r="B30" s="5" t="s">
        <v>50</v>
      </c>
      <c r="C30" s="4">
        <v>32270822</v>
      </c>
      <c r="D30" s="4">
        <v>18866236</v>
      </c>
      <c r="E30" s="4">
        <v>14563471</v>
      </c>
      <c r="F30" s="4">
        <v>14072802</v>
      </c>
      <c r="G30" s="4">
        <v>289515262</v>
      </c>
      <c r="H30" s="4">
        <v>106316369</v>
      </c>
      <c r="I30" s="4">
        <v>289515262</v>
      </c>
      <c r="J30" s="4">
        <v>106316369</v>
      </c>
      <c r="K30" s="4"/>
      <c r="L30" s="5">
        <v>4299.8</v>
      </c>
      <c r="M30" s="5">
        <v>4400.6</v>
      </c>
      <c r="N30" s="5">
        <v>74063.23</v>
      </c>
      <c r="O30" s="5"/>
      <c r="P30" s="5"/>
      <c r="Q30" s="10">
        <v>18</v>
      </c>
      <c r="R30" s="4" t="s">
        <v>46</v>
      </c>
      <c r="S30" s="4">
        <v>800</v>
      </c>
      <c r="T30" s="4">
        <v>780</v>
      </c>
      <c r="U30" s="4">
        <v>9190</v>
      </c>
      <c r="V30" s="4">
        <v>7864</v>
      </c>
      <c r="W30" s="5">
        <v>5.98</v>
      </c>
      <c r="X30" s="5">
        <v>5.46</v>
      </c>
      <c r="Y30" s="4">
        <v>1440</v>
      </c>
      <c r="Z30" s="4"/>
      <c r="AA30" s="13">
        <f t="shared" ref="AA30:AF30" si="39">IF(OR(C31=""),"",C31-C30)</f>
        <v>33773</v>
      </c>
      <c r="AB30" s="13">
        <f t="shared" si="39"/>
        <v>39345</v>
      </c>
      <c r="AC30" s="13">
        <f t="shared" si="39"/>
        <v>70518</v>
      </c>
      <c r="AD30" s="13">
        <f t="shared" si="39"/>
        <v>71746</v>
      </c>
      <c r="AE30" s="13">
        <f t="shared" si="39"/>
        <v>208290</v>
      </c>
      <c r="AF30" s="13">
        <f t="shared" si="39"/>
        <v>5156</v>
      </c>
      <c r="AG30" s="13">
        <f t="shared" si="1"/>
        <v>7092</v>
      </c>
      <c r="AH30" s="13">
        <f t="shared" si="2"/>
        <v>208290</v>
      </c>
      <c r="AI30" s="13">
        <f t="shared" si="3"/>
        <v>5156</v>
      </c>
      <c r="AJ30" s="13">
        <f t="shared" si="4"/>
        <v>203134</v>
      </c>
      <c r="AK30" s="13">
        <v>5000</v>
      </c>
      <c r="AL30" s="13">
        <f t="shared" si="5"/>
        <v>0</v>
      </c>
      <c r="AM30" s="13">
        <f t="shared" si="6"/>
        <v>0</v>
      </c>
      <c r="AN30" s="13">
        <f t="shared" si="7"/>
        <v>5680</v>
      </c>
      <c r="AO30" s="13">
        <f t="shared" si="8"/>
        <v>1872</v>
      </c>
      <c r="AP30" s="13">
        <v>2850</v>
      </c>
      <c r="AQ30" s="17">
        <f t="shared" si="9"/>
        <v>0</v>
      </c>
      <c r="AR30" s="17">
        <f t="shared" si="10"/>
        <v>0</v>
      </c>
      <c r="AS30" s="18">
        <f t="shared" si="11"/>
        <v>28</v>
      </c>
      <c r="AT30" s="17">
        <f t="shared" si="12"/>
        <v>9.22</v>
      </c>
    </row>
    <row r="31" spans="1:46">
      <c r="A31" s="6">
        <v>43553</v>
      </c>
      <c r="B31" s="5" t="s">
        <v>50</v>
      </c>
      <c r="C31" s="4">
        <v>32304595</v>
      </c>
      <c r="D31" s="4">
        <v>18905581</v>
      </c>
      <c r="E31" s="4">
        <v>14633989</v>
      </c>
      <c r="F31" s="4">
        <v>14144548</v>
      </c>
      <c r="G31" s="4">
        <v>289723552</v>
      </c>
      <c r="H31" s="4">
        <v>106321525</v>
      </c>
      <c r="I31" s="4">
        <v>289723552</v>
      </c>
      <c r="J31" s="4">
        <v>106321525</v>
      </c>
      <c r="K31" s="4"/>
      <c r="L31" s="5">
        <v>4299.8</v>
      </c>
      <c r="M31" s="5">
        <v>4400.6</v>
      </c>
      <c r="N31" s="5">
        <v>74063.3</v>
      </c>
      <c r="O31" s="5"/>
      <c r="P31" s="5"/>
      <c r="Q31" s="10">
        <v>19.3</v>
      </c>
      <c r="R31" s="4" t="s">
        <v>46</v>
      </c>
      <c r="S31" s="4">
        <v>660</v>
      </c>
      <c r="T31" s="4">
        <v>650</v>
      </c>
      <c r="U31" s="4">
        <v>9225</v>
      </c>
      <c r="V31" s="4">
        <v>8193</v>
      </c>
      <c r="W31" s="5">
        <v>5.56</v>
      </c>
      <c r="X31" s="5">
        <v>5.05</v>
      </c>
      <c r="Y31" s="4">
        <v>1440</v>
      </c>
      <c r="Z31" s="4"/>
      <c r="AA31" s="13">
        <f t="shared" ref="AA31:AF31" si="40">IF(OR(C32=""),"",C32-C31)</f>
        <v>51317</v>
      </c>
      <c r="AB31" s="13">
        <f t="shared" si="40"/>
        <v>63913</v>
      </c>
      <c r="AC31" s="13">
        <f t="shared" si="40"/>
        <v>51645</v>
      </c>
      <c r="AD31" s="13">
        <f t="shared" si="40"/>
        <v>49488</v>
      </c>
      <c r="AE31" s="13">
        <f t="shared" si="40"/>
        <v>208695</v>
      </c>
      <c r="AF31" s="13">
        <f t="shared" si="40"/>
        <v>5448</v>
      </c>
      <c r="AG31" s="13">
        <f t="shared" si="1"/>
        <v>7668</v>
      </c>
      <c r="AH31" s="13">
        <f t="shared" si="2"/>
        <v>208695</v>
      </c>
      <c r="AI31" s="13">
        <f t="shared" si="3"/>
        <v>5448</v>
      </c>
      <c r="AJ31" s="13">
        <f t="shared" si="4"/>
        <v>203247</v>
      </c>
      <c r="AK31" s="13">
        <v>5100</v>
      </c>
      <c r="AL31" s="13">
        <f t="shared" si="5"/>
        <v>0</v>
      </c>
      <c r="AM31" s="13">
        <f t="shared" si="6"/>
        <v>0</v>
      </c>
      <c r="AN31" s="13">
        <f t="shared" si="7"/>
        <v>4686</v>
      </c>
      <c r="AO31" s="13">
        <f t="shared" si="8"/>
        <v>1560</v>
      </c>
      <c r="AP31" s="13">
        <v>2422</v>
      </c>
      <c r="AQ31" s="17">
        <f t="shared" si="9"/>
        <v>0</v>
      </c>
      <c r="AR31" s="17">
        <f t="shared" si="10"/>
        <v>0</v>
      </c>
      <c r="AS31" s="18">
        <f t="shared" si="11"/>
        <v>23.1</v>
      </c>
      <c r="AT31" s="17">
        <f t="shared" si="12"/>
        <v>7.68</v>
      </c>
    </row>
    <row r="32" spans="1:46">
      <c r="A32" s="6">
        <v>43554</v>
      </c>
      <c r="B32" s="5" t="s">
        <v>50</v>
      </c>
      <c r="C32" s="4">
        <v>32355912</v>
      </c>
      <c r="D32" s="4">
        <v>18969494</v>
      </c>
      <c r="E32" s="4">
        <v>14685634</v>
      </c>
      <c r="F32" s="4">
        <v>14194036</v>
      </c>
      <c r="G32" s="4">
        <v>289932247</v>
      </c>
      <c r="H32" s="4">
        <v>106326973</v>
      </c>
      <c r="I32" s="4">
        <v>289932247</v>
      </c>
      <c r="J32" s="4">
        <v>106326973</v>
      </c>
      <c r="K32" s="4"/>
      <c r="L32" s="5">
        <v>4299.8</v>
      </c>
      <c r="M32" s="5">
        <v>4400.6</v>
      </c>
      <c r="N32" s="5">
        <v>74063.3</v>
      </c>
      <c r="O32" s="5"/>
      <c r="P32" s="5"/>
      <c r="Q32" s="10">
        <v>19.4</v>
      </c>
      <c r="R32" s="4" t="s">
        <v>54</v>
      </c>
      <c r="S32" s="4">
        <v>620</v>
      </c>
      <c r="T32" s="4">
        <v>640</v>
      </c>
      <c r="U32" s="4">
        <v>9268</v>
      </c>
      <c r="V32" s="4">
        <v>8765</v>
      </c>
      <c r="W32" s="5">
        <v>5.78</v>
      </c>
      <c r="X32" s="5">
        <v>5.32</v>
      </c>
      <c r="Y32" s="4">
        <v>1440</v>
      </c>
      <c r="Z32" s="4"/>
      <c r="AA32" s="13">
        <f t="shared" ref="AA32:AF32" si="41">IF(OR(C33=""),"",C33-C32)</f>
        <v>50158</v>
      </c>
      <c r="AB32" s="13">
        <f t="shared" si="41"/>
        <v>62179</v>
      </c>
      <c r="AC32" s="13">
        <f t="shared" si="41"/>
        <v>49016</v>
      </c>
      <c r="AD32" s="13">
        <f t="shared" si="41"/>
        <v>47182</v>
      </c>
      <c r="AE32" s="13">
        <f t="shared" si="41"/>
        <v>207238</v>
      </c>
      <c r="AF32" s="13">
        <f t="shared" si="41"/>
        <v>5423</v>
      </c>
      <c r="AG32" s="13">
        <f t="shared" si="1"/>
        <v>1297</v>
      </c>
      <c r="AH32" s="13">
        <f t="shared" si="2"/>
        <v>207238</v>
      </c>
      <c r="AI32" s="13">
        <f t="shared" si="3"/>
        <v>5423</v>
      </c>
      <c r="AJ32" s="13">
        <f t="shared" si="4"/>
        <v>201815</v>
      </c>
      <c r="AK32" s="13">
        <v>5100</v>
      </c>
      <c r="AL32" s="13">
        <f t="shared" si="5"/>
        <v>4284</v>
      </c>
      <c r="AM32" s="13">
        <f t="shared" si="6"/>
        <v>0</v>
      </c>
      <c r="AN32" s="13">
        <f t="shared" si="7"/>
        <v>4402</v>
      </c>
      <c r="AO32" s="13">
        <f t="shared" si="8"/>
        <v>1536</v>
      </c>
      <c r="AP32" s="13">
        <v>2016</v>
      </c>
      <c r="AQ32" s="17">
        <f t="shared" si="9"/>
        <v>21.2</v>
      </c>
      <c r="AR32" s="17">
        <f t="shared" si="10"/>
        <v>0</v>
      </c>
      <c r="AS32" s="18">
        <f t="shared" si="11"/>
        <v>21.8</v>
      </c>
      <c r="AT32" s="17">
        <f t="shared" si="12"/>
        <v>7.61</v>
      </c>
    </row>
    <row r="33" spans="1:46">
      <c r="A33" s="6">
        <v>43555</v>
      </c>
      <c r="B33" s="5" t="s">
        <v>50</v>
      </c>
      <c r="C33" s="4">
        <v>32406070</v>
      </c>
      <c r="D33" s="4">
        <v>19031673</v>
      </c>
      <c r="E33" s="4">
        <v>14734650</v>
      </c>
      <c r="F33" s="4">
        <v>14241218</v>
      </c>
      <c r="G33" s="4">
        <v>290139485</v>
      </c>
      <c r="H33" s="4">
        <v>106332396</v>
      </c>
      <c r="I33" s="4">
        <v>290139485</v>
      </c>
      <c r="J33" s="4">
        <v>106332396</v>
      </c>
      <c r="K33" s="4"/>
      <c r="L33" s="5">
        <v>4299.8</v>
      </c>
      <c r="M33" s="5">
        <v>4404.17</v>
      </c>
      <c r="N33" s="5">
        <v>74063.44</v>
      </c>
      <c r="O33" s="5"/>
      <c r="P33" s="5"/>
      <c r="Q33" s="10">
        <v>19</v>
      </c>
      <c r="R33" s="4" t="s">
        <v>46</v>
      </c>
      <c r="S33" s="4">
        <v>580</v>
      </c>
      <c r="T33" s="4">
        <v>600</v>
      </c>
      <c r="U33" s="4">
        <v>9198</v>
      </c>
      <c r="V33" s="4">
        <v>8259</v>
      </c>
      <c r="W33" s="5">
        <v>6.07</v>
      </c>
      <c r="X33" s="5">
        <v>5.45</v>
      </c>
      <c r="Y33" s="4">
        <v>1440</v>
      </c>
      <c r="Z33" s="4"/>
      <c r="AA33" s="13">
        <f t="shared" ref="AA33:AF33" si="42">IF(OR(C34=""),"",C34-C33)</f>
        <v>53207</v>
      </c>
      <c r="AB33" s="13">
        <f t="shared" si="42"/>
        <v>66095</v>
      </c>
      <c r="AC33" s="13">
        <f t="shared" si="42"/>
        <v>52458</v>
      </c>
      <c r="AD33" s="13">
        <f t="shared" si="42"/>
        <v>50110</v>
      </c>
      <c r="AE33" s="13">
        <f t="shared" si="42"/>
        <v>208098</v>
      </c>
      <c r="AF33" s="13">
        <f t="shared" si="42"/>
        <v>5415</v>
      </c>
      <c r="AG33" s="13">
        <f t="shared" si="1"/>
        <v>13772</v>
      </c>
      <c r="AH33" s="13">
        <f t="shared" si="2"/>
        <v>208098</v>
      </c>
      <c r="AI33" s="13">
        <f t="shared" si="3"/>
        <v>5415</v>
      </c>
      <c r="AJ33" s="13">
        <f t="shared" si="4"/>
        <v>202683</v>
      </c>
      <c r="AK33" s="13">
        <v>5000</v>
      </c>
      <c r="AL33" s="13">
        <f t="shared" si="5"/>
        <v>0</v>
      </c>
      <c r="AM33" s="13">
        <f t="shared" si="6"/>
        <v>0</v>
      </c>
      <c r="AN33" s="13">
        <f t="shared" si="7"/>
        <v>4118</v>
      </c>
      <c r="AO33" s="13">
        <f t="shared" si="8"/>
        <v>1440</v>
      </c>
      <c r="AP33" s="13">
        <v>2290</v>
      </c>
      <c r="AQ33" s="17">
        <f t="shared" si="9"/>
        <v>0</v>
      </c>
      <c r="AR33" s="17">
        <f t="shared" si="10"/>
        <v>0</v>
      </c>
      <c r="AS33" s="18">
        <f t="shared" si="11"/>
        <v>20.3</v>
      </c>
      <c r="AT33" s="17">
        <f t="shared" si="12"/>
        <v>7.1</v>
      </c>
    </row>
    <row r="34" spans="1:46">
      <c r="A34" s="6">
        <v>43556</v>
      </c>
      <c r="B34" s="5" t="s">
        <v>50</v>
      </c>
      <c r="C34" s="4">
        <v>32459277</v>
      </c>
      <c r="D34" s="4">
        <v>19097768</v>
      </c>
      <c r="E34" s="4">
        <v>14787108</v>
      </c>
      <c r="F34" s="4">
        <v>14291328</v>
      </c>
      <c r="G34" s="4">
        <v>290347583</v>
      </c>
      <c r="H34" s="4">
        <v>106337811</v>
      </c>
      <c r="I34" s="4">
        <v>290347583</v>
      </c>
      <c r="J34" s="4">
        <v>106337811</v>
      </c>
      <c r="K34" s="4"/>
      <c r="L34" s="5">
        <v>4299.8</v>
      </c>
      <c r="M34" s="5">
        <v>4404.17</v>
      </c>
      <c r="N34" s="5">
        <v>74063.44</v>
      </c>
      <c r="O34" s="5"/>
      <c r="P34" s="5"/>
      <c r="Q34" s="10">
        <v>19.8</v>
      </c>
      <c r="R34" s="4" t="s">
        <v>54</v>
      </c>
      <c r="Z34" s="14"/>
      <c r="AK34" s="15"/>
      <c r="AN34" s="1"/>
      <c r="AO34" s="1"/>
      <c r="AP34" s="1"/>
      <c r="AQ34" s="12"/>
      <c r="AR34" s="2"/>
      <c r="AS34" s="12"/>
      <c r="AT34" s="2"/>
    </row>
    <row r="35" spans="16:46">
      <c r="P35" s="2"/>
      <c r="Q35" s="12"/>
      <c r="AK35" s="15"/>
      <c r="AN35" s="1"/>
      <c r="AO35" s="1"/>
      <c r="AP35" s="1"/>
      <c r="AQ35" s="12"/>
      <c r="AR35" s="2"/>
      <c r="AS35" s="12"/>
      <c r="AT35" s="2"/>
    </row>
    <row r="36" spans="16:46">
      <c r="P36" s="2"/>
      <c r="Q36" s="12"/>
      <c r="AA36" s="1" t="str">
        <f t="shared" ref="AA36:AF36" si="43">IF(OR(C37=""),"",C37-C36)</f>
        <v/>
      </c>
      <c r="AB36" s="1" t="str">
        <f t="shared" si="43"/>
        <v/>
      </c>
      <c r="AC36" s="1" t="str">
        <f t="shared" si="43"/>
        <v/>
      </c>
      <c r="AD36" s="1" t="str">
        <f t="shared" si="43"/>
        <v/>
      </c>
      <c r="AE36" s="1" t="str">
        <f t="shared" si="43"/>
        <v/>
      </c>
      <c r="AF36" s="1" t="str">
        <f t="shared" si="43"/>
        <v/>
      </c>
      <c r="AG36" s="1" t="str">
        <f>IF(OR(AA36="",AB36="",AC36=""),"",AA36+AB36+AC36+AD36-AE36)</f>
        <v/>
      </c>
      <c r="AH36" s="16">
        <f t="shared" ref="AH36:AO36" si="44">SUM(AH3:AH34)</f>
        <v>6078689</v>
      </c>
      <c r="AI36" s="16">
        <f t="shared" si="44"/>
        <v>168418</v>
      </c>
      <c r="AJ36" s="16">
        <f t="shared" si="44"/>
        <v>5910271</v>
      </c>
      <c r="AK36" s="16">
        <f t="shared" si="44"/>
        <v>152800</v>
      </c>
      <c r="AL36" s="16">
        <f t="shared" si="44"/>
        <v>93636</v>
      </c>
      <c r="AM36" s="16">
        <f t="shared" si="44"/>
        <v>384</v>
      </c>
      <c r="AN36" s="16">
        <f t="shared" si="44"/>
        <v>119138</v>
      </c>
      <c r="AO36" s="16">
        <f t="shared" si="44"/>
        <v>40440</v>
      </c>
      <c r="AP36" s="16"/>
      <c r="AQ36" s="19">
        <f>IF(OR($AJ36=0),"",ROUND(AL36/$AJ36*1000,1))</f>
        <v>15.8</v>
      </c>
      <c r="AR36" s="19">
        <f>IF(OR($AJ36=0),"",ROUND(AM36/$AJ36*1000,2))</f>
        <v>0.06</v>
      </c>
      <c r="AS36" s="20">
        <f>IF(OR($AJ36=0),"",ROUND(AN36/$AJ36*1000,1))</f>
        <v>20.2</v>
      </c>
      <c r="AT36" s="19">
        <f>IF(OR($AJ36=0),"",ROUND(AO36/$AJ36*1000,2))</f>
        <v>6.84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43"/>
  <sheetViews>
    <sheetView showGridLines="0" zoomScale="110" zoomScaleNormal="110" workbookViewId="0">
      <pane xSplit="2" ySplit="2" topLeftCell="R15" activePane="bottomRight" state="frozen"/>
      <selection/>
      <selection pane="topRight"/>
      <selection pane="bottomLeft"/>
      <selection pane="bottomRight" activeCell="AP32" sqref="AP32"/>
    </sheetView>
  </sheetViews>
  <sheetFormatPr defaultColWidth="10.6666666666667" defaultRowHeight="14.25"/>
  <cols>
    <col min="1" max="1" width="7.775" style="1" customWidth="1"/>
    <col min="2" max="2" width="8.66666666666667" style="2" customWidth="1"/>
    <col min="3" max="3" width="12.6666666666667" style="1" customWidth="1"/>
    <col min="4" max="4" width="13.2166666666667" style="1" customWidth="1"/>
    <col min="5" max="5" width="12.3333333333333" style="1" customWidth="1"/>
    <col min="6" max="6" width="11.6666666666667" style="1" customWidth="1"/>
    <col min="7" max="7" width="13.8833333333333" style="1" customWidth="1"/>
    <col min="8" max="8" width="13.6666666666667" style="1" customWidth="1"/>
    <col min="9" max="9" width="14.1083333333333" style="1" customWidth="1"/>
    <col min="10" max="10" width="14.2166666666667" style="1" customWidth="1"/>
    <col min="11" max="11" width="8" style="1" customWidth="1"/>
    <col min="12" max="13" width="8.33333333333333" style="2" customWidth="1"/>
    <col min="14" max="14" width="9.44166666666667" style="2" customWidth="1"/>
    <col min="15" max="15" width="8.33333333333333" style="2" customWidth="1"/>
    <col min="16" max="16" width="9.66666666666667" style="1" customWidth="1"/>
    <col min="17" max="18" width="8.10833333333333" style="1" customWidth="1"/>
    <col min="19" max="19" width="7.66666666666667" style="1" customWidth="1"/>
    <col min="20" max="22" width="8.10833333333333" style="1" customWidth="1"/>
    <col min="23" max="24" width="8.10833333333333" style="2" customWidth="1"/>
    <col min="25" max="25" width="8.10833333333333" style="1" customWidth="1"/>
    <col min="26" max="26" width="15.6666666666667" style="1" customWidth="1"/>
    <col min="27" max="33" width="8.10833333333333" style="1" customWidth="1"/>
    <col min="34" max="34" width="8.21666666666667" style="1" customWidth="1"/>
    <col min="35" max="36" width="8.10833333333333" style="1" customWidth="1"/>
    <col min="37" max="39" width="6.66666666666667" style="1" customWidth="1"/>
    <col min="40" max="40" width="6.66666666666667" style="2" customWidth="1"/>
    <col min="41" max="42" width="8.10833333333333" style="2" customWidth="1"/>
    <col min="43" max="43" width="6.44166666666667" style="3" customWidth="1"/>
    <col min="44" max="44" width="7" style="3" customWidth="1"/>
    <col min="45" max="45" width="7.88333333333333" style="3" customWidth="1"/>
    <col min="46" max="46" width="8.10833333333333" style="3"/>
    <col min="47" max="16384" width="10.6666666666667" style="3"/>
  </cols>
  <sheetData>
    <row r="2" ht="42.75" spans="1:46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3" t="s">
        <v>34</v>
      </c>
      <c r="AK2" s="13" t="s">
        <v>35</v>
      </c>
      <c r="AL2" s="13" t="s">
        <v>36</v>
      </c>
      <c r="AM2" s="13" t="s">
        <v>37</v>
      </c>
      <c r="AN2" s="7" t="s">
        <v>38</v>
      </c>
      <c r="AO2" s="7" t="s">
        <v>39</v>
      </c>
      <c r="AP2" s="7" t="s">
        <v>40</v>
      </c>
      <c r="AQ2" s="13" t="s">
        <v>41</v>
      </c>
      <c r="AR2" s="13" t="s">
        <v>42</v>
      </c>
      <c r="AS2" s="7" t="s">
        <v>43</v>
      </c>
      <c r="AT2" s="7" t="s">
        <v>44</v>
      </c>
    </row>
    <row r="3" spans="1:46">
      <c r="A3" s="6">
        <v>43556</v>
      </c>
      <c r="B3" s="7" t="str">
        <f>'3'!B34</f>
        <v>易萍</v>
      </c>
      <c r="C3" s="7">
        <f>'3'!C34</f>
        <v>32459277</v>
      </c>
      <c r="D3" s="7">
        <f>'3'!D34</f>
        <v>19097768</v>
      </c>
      <c r="E3" s="7">
        <f>'3'!E34</f>
        <v>14787108</v>
      </c>
      <c r="F3" s="7">
        <f>'3'!F34</f>
        <v>14291328</v>
      </c>
      <c r="G3" s="7">
        <f>'3'!G34</f>
        <v>290347583</v>
      </c>
      <c r="H3" s="7">
        <f>'3'!H34</f>
        <v>106337811</v>
      </c>
      <c r="I3" s="7">
        <f>'3'!I34</f>
        <v>290347583</v>
      </c>
      <c r="J3" s="7">
        <f>'3'!J34</f>
        <v>106337811</v>
      </c>
      <c r="K3" s="7">
        <f>'3'!K34</f>
        <v>0</v>
      </c>
      <c r="L3" s="7">
        <f>'3'!L34</f>
        <v>4299.8</v>
      </c>
      <c r="M3" s="7">
        <f>'3'!M34</f>
        <v>4404.17</v>
      </c>
      <c r="N3" s="7">
        <f>'3'!N34</f>
        <v>74063.44</v>
      </c>
      <c r="O3" s="7"/>
      <c r="P3" s="7"/>
      <c r="Q3" s="7">
        <v>19.2</v>
      </c>
      <c r="R3" s="7" t="str">
        <f>'3'!R34</f>
        <v>阴</v>
      </c>
      <c r="S3" s="4">
        <v>550</v>
      </c>
      <c r="T3" s="4">
        <v>540</v>
      </c>
      <c r="U3" s="4">
        <v>9161</v>
      </c>
      <c r="V3" s="4">
        <v>8711</v>
      </c>
      <c r="W3" s="5">
        <v>5.48</v>
      </c>
      <c r="X3" s="5">
        <v>4.54</v>
      </c>
      <c r="Y3" s="4">
        <v>1378</v>
      </c>
      <c r="Z3" s="4"/>
      <c r="AA3" s="13">
        <f t="shared" ref="AA3:AF3" si="0">IF(OR(C4=""),"",C4-C3)</f>
        <v>62842</v>
      </c>
      <c r="AB3" s="13">
        <f t="shared" si="0"/>
        <v>71826</v>
      </c>
      <c r="AC3" s="13">
        <f t="shared" si="0"/>
        <v>40558</v>
      </c>
      <c r="AD3" s="13">
        <f t="shared" si="0"/>
        <v>38842</v>
      </c>
      <c r="AE3" s="13">
        <f t="shared" si="0"/>
        <v>209115</v>
      </c>
      <c r="AF3" s="13">
        <f t="shared" si="0"/>
        <v>5415</v>
      </c>
      <c r="AG3" s="13">
        <f t="shared" ref="AG3:AG33" si="1">IF(OR(AA3="",AB3="",AC3=""),"",AA3+AB3+AC3+AD3-AE3)</f>
        <v>4953</v>
      </c>
      <c r="AH3" s="13">
        <f t="shared" ref="AH3:AH33" si="2">IF(OR(I4=""),"",I4-I3)</f>
        <v>209115</v>
      </c>
      <c r="AI3" s="13">
        <f t="shared" ref="AI3:AI33" si="3">IF(OR(J4=""),"",J4-J3)</f>
        <v>5415</v>
      </c>
      <c r="AJ3" s="13">
        <f t="shared" ref="AJ3:AJ33" si="4">IF(OR(AH3="",AI3=""),"",AH3-AI3)</f>
        <v>203700</v>
      </c>
      <c r="AK3" s="13">
        <v>4900</v>
      </c>
      <c r="AL3" s="13">
        <f t="shared" ref="AL3:AL33" si="5">IF(OR(L4="",M4=""),"",ROUND((L4-L3+M4-M3)*1200,0))</f>
        <v>0</v>
      </c>
      <c r="AM3" s="13">
        <f t="shared" ref="AM3:AM33" si="6">IF(OR(N4=""),"",(ROUND((N4-N3)*2,0)))</f>
        <v>0</v>
      </c>
      <c r="AN3" s="13">
        <f t="shared" ref="AN3:AN33" si="7">IF(OR(S3=""),"",ROUND(S3*7.1,0))</f>
        <v>3905</v>
      </c>
      <c r="AO3" s="13">
        <f t="shared" ref="AO3:AO33" si="8">IF(OR(T3=""),"",ROUND(T3*2.4,0))</f>
        <v>1296</v>
      </c>
      <c r="AP3" s="13">
        <v>2639</v>
      </c>
      <c r="AQ3" s="17">
        <f t="shared" ref="AQ3:AQ33" si="9">IF(OR($AJ3=""),"",ROUND(AL3/$AJ3*1000,1))</f>
        <v>0</v>
      </c>
      <c r="AR3" s="17">
        <f t="shared" ref="AR3:AR33" si="10">IF(OR($AJ3=""),"",ROUND(AM3/$AJ3*1000,2))</f>
        <v>0</v>
      </c>
      <c r="AS3" s="18">
        <f t="shared" ref="AS3:AS33" si="11">IF(OR($AJ3=""),"",ROUND(AN3/$AJ3*1000,1))</f>
        <v>19.2</v>
      </c>
      <c r="AT3" s="17">
        <f t="shared" ref="AT3:AT33" si="12">IF(OR($AJ3=""),"",ROUND(AO3/$AJ3*1000,2))</f>
        <v>6.36</v>
      </c>
    </row>
    <row r="4" spans="1:46">
      <c r="A4" s="6">
        <v>43557</v>
      </c>
      <c r="B4" s="5" t="s">
        <v>50</v>
      </c>
      <c r="C4" s="4">
        <v>32522119</v>
      </c>
      <c r="D4" s="4">
        <v>19169594</v>
      </c>
      <c r="E4" s="4">
        <v>14827666</v>
      </c>
      <c r="F4" s="4">
        <v>14330170</v>
      </c>
      <c r="G4" s="4">
        <v>290556698</v>
      </c>
      <c r="H4" s="4">
        <v>106343226</v>
      </c>
      <c r="I4" s="4">
        <v>290556698</v>
      </c>
      <c r="J4" s="4">
        <v>106343226</v>
      </c>
      <c r="K4" s="4"/>
      <c r="L4" s="5">
        <v>4299.8</v>
      </c>
      <c r="M4" s="5">
        <v>4404.17</v>
      </c>
      <c r="N4" s="5">
        <v>74063.44</v>
      </c>
      <c r="O4" s="5"/>
      <c r="P4" s="5"/>
      <c r="Q4" s="10">
        <v>19.8</v>
      </c>
      <c r="R4" s="4" t="s">
        <v>54</v>
      </c>
      <c r="S4" s="4">
        <v>500</v>
      </c>
      <c r="T4" s="4">
        <v>490</v>
      </c>
      <c r="U4" s="4">
        <v>9248</v>
      </c>
      <c r="V4" s="4">
        <v>8982</v>
      </c>
      <c r="W4" s="5">
        <v>5.54</v>
      </c>
      <c r="X4" s="5">
        <v>3.92</v>
      </c>
      <c r="Y4" s="4">
        <v>1377</v>
      </c>
      <c r="Z4" s="4"/>
      <c r="AA4" s="13">
        <f t="shared" ref="AA4:AF4" si="13">IF(OR(C5=""),"",C5-C4)</f>
        <v>67778</v>
      </c>
      <c r="AB4" s="13">
        <f t="shared" si="13"/>
        <v>78432</v>
      </c>
      <c r="AC4" s="13">
        <f t="shared" si="13"/>
        <v>36826</v>
      </c>
      <c r="AD4" s="13">
        <f t="shared" si="13"/>
        <v>35621</v>
      </c>
      <c r="AE4" s="13">
        <f t="shared" si="13"/>
        <v>207889</v>
      </c>
      <c r="AF4" s="13">
        <f t="shared" si="13"/>
        <v>5402</v>
      </c>
      <c r="AG4" s="13">
        <f t="shared" si="1"/>
        <v>10768</v>
      </c>
      <c r="AH4" s="13">
        <f t="shared" si="2"/>
        <v>207889</v>
      </c>
      <c r="AI4" s="13">
        <f t="shared" si="3"/>
        <v>5402</v>
      </c>
      <c r="AJ4" s="13">
        <f t="shared" si="4"/>
        <v>202487</v>
      </c>
      <c r="AK4" s="13">
        <v>4900</v>
      </c>
      <c r="AL4" s="13">
        <f t="shared" si="5"/>
        <v>0</v>
      </c>
      <c r="AM4" s="13">
        <f t="shared" si="6"/>
        <v>0</v>
      </c>
      <c r="AN4" s="13">
        <f t="shared" si="7"/>
        <v>3550</v>
      </c>
      <c r="AO4" s="13">
        <f t="shared" si="8"/>
        <v>1176</v>
      </c>
      <c r="AP4" s="13">
        <v>2749</v>
      </c>
      <c r="AQ4" s="17">
        <f t="shared" si="9"/>
        <v>0</v>
      </c>
      <c r="AR4" s="17">
        <f t="shared" si="10"/>
        <v>0</v>
      </c>
      <c r="AS4" s="18">
        <f t="shared" si="11"/>
        <v>17.5</v>
      </c>
      <c r="AT4" s="17">
        <f t="shared" si="12"/>
        <v>5.81</v>
      </c>
    </row>
    <row r="5" spans="1:46">
      <c r="A5" s="6">
        <v>43558</v>
      </c>
      <c r="B5" s="5" t="s">
        <v>50</v>
      </c>
      <c r="C5" s="4">
        <v>32589897</v>
      </c>
      <c r="D5" s="4">
        <v>19248026</v>
      </c>
      <c r="E5" s="4">
        <v>14864492</v>
      </c>
      <c r="F5" s="4">
        <v>14365791</v>
      </c>
      <c r="G5" s="4">
        <v>290764587</v>
      </c>
      <c r="H5" s="4">
        <v>106348628</v>
      </c>
      <c r="I5" s="4">
        <v>290764587</v>
      </c>
      <c r="J5" s="4">
        <v>106348628</v>
      </c>
      <c r="K5" s="4"/>
      <c r="L5" s="5">
        <v>4299.8</v>
      </c>
      <c r="M5" s="5">
        <v>4404.17</v>
      </c>
      <c r="N5" s="5">
        <v>74063.44</v>
      </c>
      <c r="O5" s="5"/>
      <c r="P5" s="5"/>
      <c r="Q5" s="10">
        <v>19.8</v>
      </c>
      <c r="R5" s="4" t="s">
        <v>46</v>
      </c>
      <c r="S5" s="4">
        <v>480</v>
      </c>
      <c r="T5" s="4">
        <v>460</v>
      </c>
      <c r="U5" s="4">
        <v>9198</v>
      </c>
      <c r="V5" s="4">
        <v>8935</v>
      </c>
      <c r="W5" s="5">
        <v>7.21</v>
      </c>
      <c r="X5" s="5">
        <v>5.05</v>
      </c>
      <c r="Y5" s="4">
        <v>1312</v>
      </c>
      <c r="Z5" s="4"/>
      <c r="AA5" s="13">
        <f t="shared" ref="AA5:AF5" si="14">IF(OR(C6=""),"",C6-C5)</f>
        <v>67568</v>
      </c>
      <c r="AB5" s="13">
        <f t="shared" si="14"/>
        <v>78755</v>
      </c>
      <c r="AC5" s="13">
        <f t="shared" si="14"/>
        <v>37463</v>
      </c>
      <c r="AD5" s="13">
        <f t="shared" si="14"/>
        <v>36294</v>
      </c>
      <c r="AE5" s="13">
        <f t="shared" si="14"/>
        <v>214413</v>
      </c>
      <c r="AF5" s="13">
        <f t="shared" si="14"/>
        <v>5422</v>
      </c>
      <c r="AG5" s="13">
        <f t="shared" si="1"/>
        <v>5667</v>
      </c>
      <c r="AH5" s="13">
        <f t="shared" si="2"/>
        <v>213939</v>
      </c>
      <c r="AI5" s="13">
        <f t="shared" si="3"/>
        <v>5428</v>
      </c>
      <c r="AJ5" s="13">
        <f t="shared" si="4"/>
        <v>208511</v>
      </c>
      <c r="AK5" s="13">
        <v>5000</v>
      </c>
      <c r="AL5" s="13">
        <f t="shared" si="5"/>
        <v>0</v>
      </c>
      <c r="AM5" s="13">
        <f t="shared" si="6"/>
        <v>0</v>
      </c>
      <c r="AN5" s="13">
        <f t="shared" si="7"/>
        <v>3408</v>
      </c>
      <c r="AO5" s="13">
        <f t="shared" si="8"/>
        <v>1104</v>
      </c>
      <c r="AP5" s="13">
        <v>2533</v>
      </c>
      <c r="AQ5" s="17">
        <f t="shared" si="9"/>
        <v>0</v>
      </c>
      <c r="AR5" s="17">
        <f t="shared" si="10"/>
        <v>0</v>
      </c>
      <c r="AS5" s="18">
        <f t="shared" si="11"/>
        <v>16.3</v>
      </c>
      <c r="AT5" s="17">
        <f t="shared" si="12"/>
        <v>5.29</v>
      </c>
    </row>
    <row r="6" spans="1:46">
      <c r="A6" s="6">
        <v>43559</v>
      </c>
      <c r="B6" s="5" t="s">
        <v>50</v>
      </c>
      <c r="C6" s="4">
        <v>32657465</v>
      </c>
      <c r="D6" s="4">
        <v>19326781</v>
      </c>
      <c r="E6" s="4">
        <v>14901955</v>
      </c>
      <c r="F6" s="4">
        <v>14402085</v>
      </c>
      <c r="G6" s="4">
        <v>290979000</v>
      </c>
      <c r="H6" s="4">
        <v>106354050</v>
      </c>
      <c r="I6" s="4">
        <v>290978526</v>
      </c>
      <c r="J6" s="4">
        <v>106354056</v>
      </c>
      <c r="K6" s="4"/>
      <c r="L6" s="5">
        <v>4299.8</v>
      </c>
      <c r="M6" s="5">
        <v>4404.17</v>
      </c>
      <c r="N6" s="5">
        <v>74063.44</v>
      </c>
      <c r="O6" s="5"/>
      <c r="P6" s="5"/>
      <c r="Q6" s="10">
        <v>25</v>
      </c>
      <c r="R6" s="4" t="s">
        <v>46</v>
      </c>
      <c r="S6" s="4">
        <v>380</v>
      </c>
      <c r="T6" s="4">
        <v>360</v>
      </c>
      <c r="U6" s="4">
        <v>9245</v>
      </c>
      <c r="V6" s="4">
        <v>8874</v>
      </c>
      <c r="W6" s="5">
        <v>7.13</v>
      </c>
      <c r="X6" s="5">
        <v>5.68</v>
      </c>
      <c r="Y6" s="4">
        <v>1374</v>
      </c>
      <c r="Z6" s="4"/>
      <c r="AA6" s="13">
        <f t="shared" ref="AA6:AF6" si="15">IF(OR(C7=""),"",C7-C6)</f>
        <v>66676</v>
      </c>
      <c r="AB6" s="13">
        <f t="shared" si="15"/>
        <v>78116</v>
      </c>
      <c r="AC6" s="13">
        <f t="shared" si="15"/>
        <v>35250</v>
      </c>
      <c r="AD6" s="13">
        <f t="shared" si="15"/>
        <v>34189</v>
      </c>
      <c r="AE6" s="13">
        <f t="shared" si="15"/>
        <v>208367</v>
      </c>
      <c r="AF6" s="13">
        <f t="shared" si="15"/>
        <v>5454</v>
      </c>
      <c r="AG6" s="13">
        <f t="shared" si="1"/>
        <v>5864</v>
      </c>
      <c r="AH6" s="13">
        <f t="shared" si="2"/>
        <v>209037</v>
      </c>
      <c r="AI6" s="13">
        <f t="shared" si="3"/>
        <v>5448</v>
      </c>
      <c r="AJ6" s="13">
        <f t="shared" si="4"/>
        <v>203589</v>
      </c>
      <c r="AK6" s="13">
        <v>5000</v>
      </c>
      <c r="AL6" s="13">
        <f t="shared" si="5"/>
        <v>0</v>
      </c>
      <c r="AM6" s="13">
        <f t="shared" si="6"/>
        <v>0</v>
      </c>
      <c r="AN6" s="13">
        <f t="shared" si="7"/>
        <v>2698</v>
      </c>
      <c r="AO6" s="13">
        <f t="shared" si="8"/>
        <v>864</v>
      </c>
      <c r="AP6" s="13">
        <v>2805</v>
      </c>
      <c r="AQ6" s="17">
        <f t="shared" si="9"/>
        <v>0</v>
      </c>
      <c r="AR6" s="17">
        <f t="shared" si="10"/>
        <v>0</v>
      </c>
      <c r="AS6" s="18">
        <f t="shared" si="11"/>
        <v>13.3</v>
      </c>
      <c r="AT6" s="17">
        <f t="shared" si="12"/>
        <v>4.24</v>
      </c>
    </row>
    <row r="7" spans="1:46">
      <c r="A7" s="6">
        <v>43560</v>
      </c>
      <c r="B7" s="5" t="s">
        <v>48</v>
      </c>
      <c r="C7" s="4">
        <v>32724141</v>
      </c>
      <c r="D7" s="4">
        <v>19404897</v>
      </c>
      <c r="E7" s="4">
        <v>14937205</v>
      </c>
      <c r="F7" s="4">
        <v>14436274</v>
      </c>
      <c r="G7" s="4">
        <v>291187367</v>
      </c>
      <c r="H7" s="4">
        <v>106359504</v>
      </c>
      <c r="I7" s="4">
        <v>291187563</v>
      </c>
      <c r="J7" s="4">
        <v>106359504</v>
      </c>
      <c r="K7" s="4"/>
      <c r="L7" s="5">
        <v>4299.8</v>
      </c>
      <c r="M7" s="5">
        <v>4404.17</v>
      </c>
      <c r="N7" s="5">
        <v>74063.44</v>
      </c>
      <c r="O7" s="5"/>
      <c r="P7" s="5"/>
      <c r="Q7" s="10">
        <v>19.8</v>
      </c>
      <c r="R7" s="4" t="s">
        <v>54</v>
      </c>
      <c r="S7" s="4">
        <v>450</v>
      </c>
      <c r="T7" s="4">
        <v>440</v>
      </c>
      <c r="U7" s="4">
        <v>9197</v>
      </c>
      <c r="V7" s="4">
        <v>7411</v>
      </c>
      <c r="W7" s="5">
        <v>5.65</v>
      </c>
      <c r="X7" s="5">
        <v>3.02</v>
      </c>
      <c r="Y7" s="4">
        <v>1260</v>
      </c>
      <c r="Z7" s="4"/>
      <c r="AA7" s="13">
        <f t="shared" ref="AA7:AF7" si="16">IF(OR(C8=""),"",C8-C7)</f>
        <v>65742</v>
      </c>
      <c r="AB7" s="13">
        <f t="shared" si="16"/>
        <v>77479</v>
      </c>
      <c r="AC7" s="13">
        <f t="shared" si="16"/>
        <v>34903</v>
      </c>
      <c r="AD7" s="13">
        <f t="shared" si="16"/>
        <v>34021</v>
      </c>
      <c r="AE7" s="13">
        <f t="shared" si="16"/>
        <v>210557</v>
      </c>
      <c r="AF7" s="13">
        <f t="shared" si="16"/>
        <v>5369</v>
      </c>
      <c r="AG7" s="13">
        <f t="shared" si="1"/>
        <v>1588</v>
      </c>
      <c r="AH7" s="13">
        <f t="shared" si="2"/>
        <v>210169</v>
      </c>
      <c r="AI7" s="13">
        <f t="shared" si="3"/>
        <v>5369</v>
      </c>
      <c r="AJ7" s="13">
        <f t="shared" si="4"/>
        <v>204800</v>
      </c>
      <c r="AK7" s="13">
        <v>5000</v>
      </c>
      <c r="AL7" s="13">
        <f t="shared" si="5"/>
        <v>0</v>
      </c>
      <c r="AM7" s="13">
        <f t="shared" si="6"/>
        <v>0</v>
      </c>
      <c r="AN7" s="13">
        <f t="shared" si="7"/>
        <v>3195</v>
      </c>
      <c r="AO7" s="13">
        <f t="shared" si="8"/>
        <v>1056</v>
      </c>
      <c r="AP7" s="13">
        <v>2900</v>
      </c>
      <c r="AQ7" s="17">
        <f t="shared" si="9"/>
        <v>0</v>
      </c>
      <c r="AR7" s="17">
        <f t="shared" si="10"/>
        <v>0</v>
      </c>
      <c r="AS7" s="18">
        <f t="shared" si="11"/>
        <v>15.6</v>
      </c>
      <c r="AT7" s="17">
        <f t="shared" si="12"/>
        <v>5.16</v>
      </c>
    </row>
    <row r="8" spans="1:46">
      <c r="A8" s="6">
        <v>43561</v>
      </c>
      <c r="B8" s="5" t="s">
        <v>50</v>
      </c>
      <c r="C8" s="4">
        <v>32789883</v>
      </c>
      <c r="D8" s="4">
        <v>19482376</v>
      </c>
      <c r="E8" s="4">
        <v>14972108</v>
      </c>
      <c r="F8" s="4">
        <v>14470295</v>
      </c>
      <c r="G8" s="4">
        <v>291397924</v>
      </c>
      <c r="H8" s="4">
        <v>106364873</v>
      </c>
      <c r="I8" s="4">
        <v>291397732</v>
      </c>
      <c r="J8" s="4">
        <v>106364873</v>
      </c>
      <c r="K8" s="4"/>
      <c r="L8" s="5">
        <v>4299.8</v>
      </c>
      <c r="M8" s="5">
        <v>4404.17</v>
      </c>
      <c r="N8" s="5">
        <v>74063.44</v>
      </c>
      <c r="O8" s="5"/>
      <c r="P8" s="5"/>
      <c r="Q8" s="10">
        <v>19.7</v>
      </c>
      <c r="R8" s="11" t="s">
        <v>46</v>
      </c>
      <c r="S8" s="4">
        <v>650</v>
      </c>
      <c r="T8" s="4">
        <v>640</v>
      </c>
      <c r="U8" s="4">
        <v>8717</v>
      </c>
      <c r="V8" s="4">
        <v>7318</v>
      </c>
      <c r="W8" s="5">
        <v>5.17</v>
      </c>
      <c r="X8" s="5">
        <v>2.96</v>
      </c>
      <c r="Y8" s="4">
        <v>1170</v>
      </c>
      <c r="Z8" s="4"/>
      <c r="AA8" s="13">
        <f t="shared" ref="AA8:AF8" si="17">IF(OR(C9=""),"",C9-C8)</f>
        <v>50377</v>
      </c>
      <c r="AB8" s="13">
        <f t="shared" si="17"/>
        <v>60411</v>
      </c>
      <c r="AC8" s="13">
        <f t="shared" si="17"/>
        <v>42540</v>
      </c>
      <c r="AD8" s="13">
        <f t="shared" si="17"/>
        <v>40846</v>
      </c>
      <c r="AE8" s="13">
        <f t="shared" si="17"/>
        <v>183362</v>
      </c>
      <c r="AF8" s="13">
        <f t="shared" si="17"/>
        <v>5396</v>
      </c>
      <c r="AG8" s="13">
        <f t="shared" si="1"/>
        <v>10812</v>
      </c>
      <c r="AH8" s="13">
        <f t="shared" si="2"/>
        <v>183474</v>
      </c>
      <c r="AI8" s="13">
        <f t="shared" si="3"/>
        <v>5396</v>
      </c>
      <c r="AJ8" s="13">
        <f t="shared" si="4"/>
        <v>178078</v>
      </c>
      <c r="AK8" s="13">
        <v>5000</v>
      </c>
      <c r="AL8" s="13">
        <f t="shared" si="5"/>
        <v>0</v>
      </c>
      <c r="AM8" s="13">
        <f t="shared" si="6"/>
        <v>0</v>
      </c>
      <c r="AN8" s="13">
        <f t="shared" si="7"/>
        <v>4615</v>
      </c>
      <c r="AO8" s="13">
        <f t="shared" si="8"/>
        <v>1536</v>
      </c>
      <c r="AP8" s="13">
        <v>2592</v>
      </c>
      <c r="AQ8" s="17">
        <f t="shared" si="9"/>
        <v>0</v>
      </c>
      <c r="AR8" s="17">
        <f t="shared" si="10"/>
        <v>0</v>
      </c>
      <c r="AS8" s="18">
        <f t="shared" si="11"/>
        <v>25.9</v>
      </c>
      <c r="AT8" s="17">
        <f t="shared" si="12"/>
        <v>8.63</v>
      </c>
    </row>
    <row r="9" spans="1:46">
      <c r="A9" s="6">
        <v>43562</v>
      </c>
      <c r="B9" s="22" t="s">
        <v>50</v>
      </c>
      <c r="C9" s="4">
        <v>32840260</v>
      </c>
      <c r="D9" s="4">
        <v>19542787</v>
      </c>
      <c r="E9" s="4">
        <v>15014648</v>
      </c>
      <c r="F9" s="4">
        <v>14511141</v>
      </c>
      <c r="G9" s="4">
        <v>291581286</v>
      </c>
      <c r="H9" s="4">
        <v>106370269</v>
      </c>
      <c r="I9" s="4">
        <v>291581206</v>
      </c>
      <c r="J9" s="4">
        <v>106370269</v>
      </c>
      <c r="K9" s="4"/>
      <c r="L9" s="5">
        <v>4299.8</v>
      </c>
      <c r="M9" s="5">
        <v>4404.17</v>
      </c>
      <c r="N9" s="5">
        <v>74063.44</v>
      </c>
      <c r="O9" s="5"/>
      <c r="P9" s="5"/>
      <c r="Q9" s="10">
        <v>20</v>
      </c>
      <c r="R9" s="11" t="s">
        <v>62</v>
      </c>
      <c r="S9" s="4">
        <v>680</v>
      </c>
      <c r="T9" s="4">
        <v>670</v>
      </c>
      <c r="U9" s="4">
        <v>9265</v>
      </c>
      <c r="V9" s="4">
        <v>8061</v>
      </c>
      <c r="W9" s="5">
        <v>4.68</v>
      </c>
      <c r="X9" s="5">
        <v>4.02</v>
      </c>
      <c r="Y9" s="4">
        <v>1440</v>
      </c>
      <c r="Z9" s="4"/>
      <c r="AA9" s="13">
        <f t="shared" ref="AA9:AF9" si="18">IF(OR(C10=""),"",C10-C9)</f>
        <v>47337</v>
      </c>
      <c r="AB9" s="13">
        <f t="shared" si="18"/>
        <v>57488</v>
      </c>
      <c r="AC9" s="13">
        <f t="shared" si="18"/>
        <v>52684</v>
      </c>
      <c r="AD9" s="13">
        <f t="shared" si="18"/>
        <v>51864</v>
      </c>
      <c r="AE9" s="13">
        <f t="shared" si="18"/>
        <v>202674</v>
      </c>
      <c r="AF9" s="13">
        <f t="shared" si="18"/>
        <v>5405</v>
      </c>
      <c r="AG9" s="13">
        <f t="shared" si="1"/>
        <v>6699</v>
      </c>
      <c r="AH9" s="13">
        <f t="shared" si="2"/>
        <v>202754</v>
      </c>
      <c r="AI9" s="13">
        <f t="shared" si="3"/>
        <v>5411</v>
      </c>
      <c r="AJ9" s="13">
        <f t="shared" si="4"/>
        <v>197343</v>
      </c>
      <c r="AK9" s="13">
        <v>5100</v>
      </c>
      <c r="AL9" s="13">
        <f t="shared" si="5"/>
        <v>168</v>
      </c>
      <c r="AM9" s="13">
        <f t="shared" si="6"/>
        <v>3</v>
      </c>
      <c r="AN9" s="13">
        <f t="shared" si="7"/>
        <v>4828</v>
      </c>
      <c r="AO9" s="13">
        <f t="shared" si="8"/>
        <v>1608</v>
      </c>
      <c r="AP9" s="13">
        <v>2595</v>
      </c>
      <c r="AQ9" s="17">
        <f t="shared" si="9"/>
        <v>0.9</v>
      </c>
      <c r="AR9" s="17">
        <f t="shared" si="10"/>
        <v>0.02</v>
      </c>
      <c r="AS9" s="18">
        <f t="shared" si="11"/>
        <v>24.5</v>
      </c>
      <c r="AT9" s="17">
        <f t="shared" si="12"/>
        <v>8.15</v>
      </c>
    </row>
    <row r="10" spans="1:46">
      <c r="A10" s="6">
        <v>43563</v>
      </c>
      <c r="B10" s="22" t="s">
        <v>50</v>
      </c>
      <c r="C10" s="4">
        <v>32887597</v>
      </c>
      <c r="D10" s="4">
        <v>19600275</v>
      </c>
      <c r="E10" s="4">
        <v>15067332</v>
      </c>
      <c r="F10" s="4">
        <v>14563005</v>
      </c>
      <c r="G10" s="4">
        <v>291783960</v>
      </c>
      <c r="H10" s="4">
        <v>106375674</v>
      </c>
      <c r="I10" s="4">
        <v>291783960</v>
      </c>
      <c r="J10" s="4">
        <v>106375680</v>
      </c>
      <c r="K10" s="4"/>
      <c r="L10" s="5">
        <v>4299.8</v>
      </c>
      <c r="M10" s="5">
        <v>4404.31</v>
      </c>
      <c r="N10" s="5">
        <v>74064.76</v>
      </c>
      <c r="O10" s="5"/>
      <c r="P10" s="5"/>
      <c r="Q10" s="10">
        <v>20.5</v>
      </c>
      <c r="R10" s="11" t="s">
        <v>46</v>
      </c>
      <c r="S10" s="4">
        <v>450</v>
      </c>
      <c r="T10" s="4">
        <v>440</v>
      </c>
      <c r="U10" s="4">
        <v>9315</v>
      </c>
      <c r="V10" s="4">
        <v>8214</v>
      </c>
      <c r="W10" s="5">
        <v>5.8</v>
      </c>
      <c r="X10" s="5">
        <v>4.9</v>
      </c>
      <c r="Y10" s="4">
        <v>1434</v>
      </c>
      <c r="Z10" s="4"/>
      <c r="AA10" s="13">
        <f t="shared" ref="AA10:AF10" si="19">IF(OR(C11=""),"",C11-C10)</f>
        <v>47883</v>
      </c>
      <c r="AB10" s="13">
        <f t="shared" si="19"/>
        <v>59881</v>
      </c>
      <c r="AC10" s="13">
        <f t="shared" si="19"/>
        <v>52935</v>
      </c>
      <c r="AD10" s="13">
        <f t="shared" si="19"/>
        <v>54379</v>
      </c>
      <c r="AE10" s="13">
        <f t="shared" si="19"/>
        <v>208336</v>
      </c>
      <c r="AF10" s="13">
        <f t="shared" si="19"/>
        <v>5405</v>
      </c>
      <c r="AG10" s="13">
        <f t="shared" si="1"/>
        <v>6742</v>
      </c>
      <c r="AH10" s="13">
        <f t="shared" si="2"/>
        <v>208856</v>
      </c>
      <c r="AI10" s="13">
        <f t="shared" si="3"/>
        <v>5410</v>
      </c>
      <c r="AJ10" s="13">
        <f t="shared" si="4"/>
        <v>203446</v>
      </c>
      <c r="AK10" s="13">
        <v>5000</v>
      </c>
      <c r="AL10" s="13">
        <f t="shared" si="5"/>
        <v>0</v>
      </c>
      <c r="AM10" s="13">
        <f t="shared" si="6"/>
        <v>0</v>
      </c>
      <c r="AN10" s="13">
        <f t="shared" si="7"/>
        <v>3195</v>
      </c>
      <c r="AO10" s="13">
        <f t="shared" si="8"/>
        <v>1056</v>
      </c>
      <c r="AP10" s="13">
        <v>2885</v>
      </c>
      <c r="AQ10" s="17">
        <f t="shared" si="9"/>
        <v>0</v>
      </c>
      <c r="AR10" s="17">
        <f t="shared" si="10"/>
        <v>0</v>
      </c>
      <c r="AS10" s="18">
        <f t="shared" si="11"/>
        <v>15.7</v>
      </c>
      <c r="AT10" s="17">
        <f t="shared" si="12"/>
        <v>5.19</v>
      </c>
    </row>
    <row r="11" spans="1:46">
      <c r="A11" s="6">
        <v>43564</v>
      </c>
      <c r="B11" s="5" t="s">
        <v>48</v>
      </c>
      <c r="C11" s="4">
        <v>32935480</v>
      </c>
      <c r="D11" s="4">
        <v>19660156</v>
      </c>
      <c r="E11" s="4">
        <v>15120267</v>
      </c>
      <c r="F11" s="4">
        <v>14617384</v>
      </c>
      <c r="G11" s="4">
        <v>291992296</v>
      </c>
      <c r="H11" s="4">
        <v>106381079</v>
      </c>
      <c r="I11" s="4">
        <v>291992816</v>
      </c>
      <c r="J11" s="11">
        <f>106381128-38</f>
        <v>106381090</v>
      </c>
      <c r="K11" s="4"/>
      <c r="L11" s="5">
        <v>4299.8</v>
      </c>
      <c r="M11" s="5">
        <v>4404.31</v>
      </c>
      <c r="N11" s="5">
        <v>74064.76</v>
      </c>
      <c r="O11" s="5"/>
      <c r="P11" s="5"/>
      <c r="Q11" s="10">
        <v>20.3</v>
      </c>
      <c r="R11" s="11" t="s">
        <v>46</v>
      </c>
      <c r="S11" s="4">
        <v>440</v>
      </c>
      <c r="T11" s="4">
        <v>460</v>
      </c>
      <c r="U11" s="4">
        <v>9284</v>
      </c>
      <c r="V11" s="4">
        <v>8078</v>
      </c>
      <c r="W11" s="5">
        <v>5.62</v>
      </c>
      <c r="X11" s="5">
        <v>4.05</v>
      </c>
      <c r="Y11" s="4">
        <v>1444</v>
      </c>
      <c r="Z11" s="4"/>
      <c r="AA11" s="13">
        <f t="shared" ref="AA11:AF11" si="20">IF(OR(C12=""),"",C12-C11)</f>
        <v>48825</v>
      </c>
      <c r="AB11" s="13">
        <f t="shared" si="20"/>
        <v>61195</v>
      </c>
      <c r="AC11" s="13">
        <f t="shared" si="20"/>
        <v>53631</v>
      </c>
      <c r="AD11" s="13">
        <f t="shared" si="20"/>
        <v>55629</v>
      </c>
      <c r="AE11" s="13">
        <f t="shared" si="20"/>
        <v>209300</v>
      </c>
      <c r="AF11" s="13">
        <f t="shared" si="20"/>
        <v>5388</v>
      </c>
      <c r="AG11" s="13">
        <f t="shared" si="1"/>
        <v>9980</v>
      </c>
      <c r="AH11" s="13">
        <f t="shared" si="2"/>
        <v>208780</v>
      </c>
      <c r="AI11" s="13">
        <f t="shared" si="3"/>
        <v>5377</v>
      </c>
      <c r="AJ11" s="13">
        <f t="shared" si="4"/>
        <v>203403</v>
      </c>
      <c r="AK11" s="13">
        <v>5000</v>
      </c>
      <c r="AL11" s="13">
        <f t="shared" si="5"/>
        <v>0</v>
      </c>
      <c r="AM11" s="13">
        <f t="shared" si="6"/>
        <v>0</v>
      </c>
      <c r="AN11" s="13">
        <f t="shared" si="7"/>
        <v>3124</v>
      </c>
      <c r="AO11" s="13">
        <f t="shared" si="8"/>
        <v>1104</v>
      </c>
      <c r="AP11" s="13">
        <v>2655</v>
      </c>
      <c r="AQ11" s="17">
        <f t="shared" si="9"/>
        <v>0</v>
      </c>
      <c r="AR11" s="17">
        <f t="shared" si="10"/>
        <v>0</v>
      </c>
      <c r="AS11" s="18">
        <f t="shared" si="11"/>
        <v>15.4</v>
      </c>
      <c r="AT11" s="17">
        <f t="shared" si="12"/>
        <v>5.43</v>
      </c>
    </row>
    <row r="12" spans="1:46">
      <c r="A12" s="6">
        <v>43565</v>
      </c>
      <c r="B12" s="5" t="s">
        <v>55</v>
      </c>
      <c r="C12" s="4">
        <v>32984305</v>
      </c>
      <c r="D12" s="4">
        <v>19721351</v>
      </c>
      <c r="E12" s="4">
        <v>15173898</v>
      </c>
      <c r="F12" s="4">
        <v>14673013</v>
      </c>
      <c r="G12" s="4">
        <v>292201596</v>
      </c>
      <c r="H12" s="4">
        <v>106386467</v>
      </c>
      <c r="I12" s="4">
        <v>292201596</v>
      </c>
      <c r="J12" s="4">
        <v>106386467</v>
      </c>
      <c r="K12" s="4"/>
      <c r="L12" s="5">
        <v>4299.8</v>
      </c>
      <c r="M12" s="5">
        <v>4404.31</v>
      </c>
      <c r="N12" s="5">
        <v>74064.76</v>
      </c>
      <c r="O12" s="5"/>
      <c r="P12" s="5"/>
      <c r="Q12" s="10">
        <v>20.9</v>
      </c>
      <c r="R12" s="11" t="s">
        <v>46</v>
      </c>
      <c r="S12" s="4">
        <v>800</v>
      </c>
      <c r="T12" s="4">
        <v>820</v>
      </c>
      <c r="U12" s="4">
        <v>9354</v>
      </c>
      <c r="V12" s="4">
        <v>7365</v>
      </c>
      <c r="W12" s="5">
        <v>5.65</v>
      </c>
      <c r="X12" s="5">
        <v>4.6</v>
      </c>
      <c r="Y12" s="4">
        <v>1440</v>
      </c>
      <c r="Z12" s="4"/>
      <c r="AA12" s="13">
        <f t="shared" ref="AA12:AF12" si="21">IF(OR(C13=""),"",C13-C12)</f>
        <v>45414</v>
      </c>
      <c r="AB12" s="13">
        <f t="shared" si="21"/>
        <v>54013</v>
      </c>
      <c r="AC12" s="13">
        <f t="shared" si="21"/>
        <v>50579</v>
      </c>
      <c r="AD12" s="13">
        <f t="shared" si="21"/>
        <v>49445</v>
      </c>
      <c r="AE12" s="13">
        <f t="shared" si="21"/>
        <v>195177</v>
      </c>
      <c r="AF12" s="13">
        <f t="shared" si="21"/>
        <v>5423</v>
      </c>
      <c r="AG12" s="13">
        <f t="shared" si="1"/>
        <v>4274</v>
      </c>
      <c r="AH12" s="13">
        <f t="shared" si="2"/>
        <v>195342</v>
      </c>
      <c r="AI12" s="13">
        <f t="shared" si="3"/>
        <v>5429</v>
      </c>
      <c r="AJ12" s="13">
        <f t="shared" si="4"/>
        <v>189913</v>
      </c>
      <c r="AK12" s="13">
        <v>5000</v>
      </c>
      <c r="AL12" s="13">
        <f t="shared" si="5"/>
        <v>0</v>
      </c>
      <c r="AM12" s="13">
        <f t="shared" si="6"/>
        <v>0</v>
      </c>
      <c r="AN12" s="13">
        <f t="shared" si="7"/>
        <v>5680</v>
      </c>
      <c r="AO12" s="13">
        <f t="shared" si="8"/>
        <v>1968</v>
      </c>
      <c r="AP12" s="13">
        <v>2917</v>
      </c>
      <c r="AQ12" s="17">
        <f t="shared" si="9"/>
        <v>0</v>
      </c>
      <c r="AR12" s="17">
        <f t="shared" si="10"/>
        <v>0</v>
      </c>
      <c r="AS12" s="18">
        <f t="shared" si="11"/>
        <v>29.9</v>
      </c>
      <c r="AT12" s="17">
        <f t="shared" si="12"/>
        <v>10.36</v>
      </c>
    </row>
    <row r="13" spans="1:46">
      <c r="A13" s="6">
        <v>43566</v>
      </c>
      <c r="B13" s="5" t="s">
        <v>50</v>
      </c>
      <c r="C13" s="4">
        <v>33029719</v>
      </c>
      <c r="D13" s="4">
        <v>19775364</v>
      </c>
      <c r="E13" s="4">
        <v>15224477</v>
      </c>
      <c r="F13" s="4">
        <v>14722458</v>
      </c>
      <c r="G13" s="4">
        <v>292396773</v>
      </c>
      <c r="H13" s="4">
        <v>106391890</v>
      </c>
      <c r="I13" s="4">
        <v>292396938</v>
      </c>
      <c r="J13" s="4">
        <v>106391896</v>
      </c>
      <c r="K13" s="4"/>
      <c r="L13" s="5">
        <v>4299.8</v>
      </c>
      <c r="M13" s="5">
        <v>4404.31</v>
      </c>
      <c r="N13" s="5">
        <v>74064.76</v>
      </c>
      <c r="O13" s="5"/>
      <c r="P13" s="5"/>
      <c r="Q13" s="10">
        <v>23</v>
      </c>
      <c r="R13" s="4" t="s">
        <v>46</v>
      </c>
      <c r="S13" s="4">
        <v>700</v>
      </c>
      <c r="T13" s="4">
        <v>720</v>
      </c>
      <c r="U13" s="4">
        <v>9236</v>
      </c>
      <c r="V13" s="4">
        <v>6925</v>
      </c>
      <c r="W13" s="5">
        <v>6.36</v>
      </c>
      <c r="X13" s="5">
        <v>4.05</v>
      </c>
      <c r="Y13" s="4">
        <v>1440</v>
      </c>
      <c r="Z13" s="4"/>
      <c r="AA13" s="13">
        <f t="shared" ref="AA13:AF13" si="22">IF(OR(C14=""),"",C14-C13)</f>
        <v>45989</v>
      </c>
      <c r="AB13" s="13">
        <f t="shared" si="22"/>
        <v>56620</v>
      </c>
      <c r="AC13" s="13">
        <f t="shared" si="22"/>
        <v>51498</v>
      </c>
      <c r="AD13" s="13">
        <f t="shared" si="22"/>
        <v>51163</v>
      </c>
      <c r="AE13" s="13">
        <f t="shared" si="22"/>
        <v>198530</v>
      </c>
      <c r="AF13" s="13">
        <f t="shared" si="22"/>
        <v>5425</v>
      </c>
      <c r="AG13" s="13">
        <f t="shared" si="1"/>
        <v>6740</v>
      </c>
      <c r="AH13" s="13">
        <f t="shared" si="2"/>
        <v>198332</v>
      </c>
      <c r="AI13" s="13">
        <f t="shared" si="3"/>
        <v>5416</v>
      </c>
      <c r="AJ13" s="13">
        <f t="shared" si="4"/>
        <v>192916</v>
      </c>
      <c r="AK13" s="13">
        <v>5000</v>
      </c>
      <c r="AL13" s="13">
        <f t="shared" si="5"/>
        <v>24000</v>
      </c>
      <c r="AM13" s="13">
        <f t="shared" si="6"/>
        <v>10</v>
      </c>
      <c r="AN13" s="13">
        <f t="shared" si="7"/>
        <v>4970</v>
      </c>
      <c r="AO13" s="13">
        <f t="shared" si="8"/>
        <v>1728</v>
      </c>
      <c r="AP13" s="13">
        <v>3463</v>
      </c>
      <c r="AQ13" s="17">
        <f t="shared" si="9"/>
        <v>124.4</v>
      </c>
      <c r="AR13" s="17">
        <f t="shared" si="10"/>
        <v>0.05</v>
      </c>
      <c r="AS13" s="18">
        <f t="shared" si="11"/>
        <v>25.8</v>
      </c>
      <c r="AT13" s="17">
        <f t="shared" si="12"/>
        <v>8.96</v>
      </c>
    </row>
    <row r="14" spans="1:46">
      <c r="A14" s="6">
        <v>43567</v>
      </c>
      <c r="B14" s="5" t="s">
        <v>50</v>
      </c>
      <c r="C14" s="4">
        <v>33075708</v>
      </c>
      <c r="D14" s="4">
        <v>19831984</v>
      </c>
      <c r="E14" s="4">
        <v>15275975</v>
      </c>
      <c r="F14" s="4">
        <v>14773621</v>
      </c>
      <c r="G14" s="4">
        <v>292595303</v>
      </c>
      <c r="H14" s="4">
        <v>106397315</v>
      </c>
      <c r="I14" s="4">
        <v>292595270</v>
      </c>
      <c r="J14" s="4">
        <v>106397312</v>
      </c>
      <c r="K14" s="4"/>
      <c r="L14" s="5">
        <v>4299.8</v>
      </c>
      <c r="M14" s="5">
        <v>4424.31</v>
      </c>
      <c r="N14" s="5">
        <v>74069.72</v>
      </c>
      <c r="O14" s="5"/>
      <c r="P14" s="5"/>
      <c r="Q14" s="10">
        <v>25</v>
      </c>
      <c r="R14" s="4" t="s">
        <v>46</v>
      </c>
      <c r="S14" s="4">
        <v>550</v>
      </c>
      <c r="T14" s="4">
        <v>570</v>
      </c>
      <c r="U14" s="4">
        <v>9182</v>
      </c>
      <c r="V14" s="4">
        <v>2874</v>
      </c>
      <c r="W14" s="5">
        <v>4.45</v>
      </c>
      <c r="X14" s="5">
        <v>2.5</v>
      </c>
      <c r="Y14" s="4">
        <v>1200</v>
      </c>
      <c r="Z14" s="4"/>
      <c r="AA14" s="13">
        <f t="shared" ref="AA14:AF14" si="23">IF(OR(C15=""),"",C15-C14)</f>
        <v>44464</v>
      </c>
      <c r="AB14" s="13">
        <f t="shared" si="23"/>
        <v>53533</v>
      </c>
      <c r="AC14" s="13">
        <f t="shared" si="23"/>
        <v>49201</v>
      </c>
      <c r="AD14" s="13">
        <f t="shared" si="23"/>
        <v>48582</v>
      </c>
      <c r="AE14" s="13">
        <f t="shared" si="23"/>
        <v>188738</v>
      </c>
      <c r="AF14" s="13">
        <f t="shared" si="23"/>
        <v>5443</v>
      </c>
      <c r="AG14" s="13">
        <f t="shared" si="1"/>
        <v>7042</v>
      </c>
      <c r="AH14" s="13">
        <f t="shared" si="2"/>
        <v>189421</v>
      </c>
      <c r="AI14" s="13">
        <f t="shared" si="3"/>
        <v>5416</v>
      </c>
      <c r="AJ14" s="13">
        <f t="shared" si="4"/>
        <v>184005</v>
      </c>
      <c r="AK14" s="13">
        <v>5000</v>
      </c>
      <c r="AL14" s="13">
        <f t="shared" si="5"/>
        <v>0</v>
      </c>
      <c r="AM14" s="13">
        <f t="shared" si="6"/>
        <v>0</v>
      </c>
      <c r="AN14" s="13">
        <f t="shared" si="7"/>
        <v>3905</v>
      </c>
      <c r="AO14" s="13">
        <f t="shared" si="8"/>
        <v>1368</v>
      </c>
      <c r="AP14" s="13">
        <v>4200</v>
      </c>
      <c r="AQ14" s="17">
        <f t="shared" si="9"/>
        <v>0</v>
      </c>
      <c r="AR14" s="17">
        <f t="shared" si="10"/>
        <v>0</v>
      </c>
      <c r="AS14" s="18">
        <f t="shared" si="11"/>
        <v>21.2</v>
      </c>
      <c r="AT14" s="17">
        <f t="shared" si="12"/>
        <v>7.43</v>
      </c>
    </row>
    <row r="15" spans="1:46">
      <c r="A15" s="6">
        <v>43568</v>
      </c>
      <c r="B15" s="5" t="s">
        <v>50</v>
      </c>
      <c r="C15" s="4">
        <v>33120172</v>
      </c>
      <c r="D15" s="4">
        <v>19885517</v>
      </c>
      <c r="E15" s="4">
        <v>15325176</v>
      </c>
      <c r="F15" s="4">
        <v>14822203</v>
      </c>
      <c r="G15" s="4">
        <v>292784041</v>
      </c>
      <c r="H15" s="4">
        <v>106402758</v>
      </c>
      <c r="I15" s="4">
        <v>292784691</v>
      </c>
      <c r="J15" s="4">
        <v>106402728</v>
      </c>
      <c r="K15" s="4"/>
      <c r="L15" s="5">
        <v>4299.8</v>
      </c>
      <c r="M15" s="5">
        <v>4424.31</v>
      </c>
      <c r="N15" s="5">
        <v>74069.72</v>
      </c>
      <c r="O15" s="5"/>
      <c r="P15" s="5"/>
      <c r="Q15" s="10">
        <v>22</v>
      </c>
      <c r="R15" s="4" t="s">
        <v>52</v>
      </c>
      <c r="S15" s="4">
        <v>480</v>
      </c>
      <c r="T15" s="4">
        <v>500</v>
      </c>
      <c r="U15" s="4">
        <v>10536</v>
      </c>
      <c r="V15" s="4">
        <v>4754</v>
      </c>
      <c r="W15" s="5">
        <v>7.45</v>
      </c>
      <c r="X15" s="5">
        <v>2.63</v>
      </c>
      <c r="Y15" s="4">
        <v>1290</v>
      </c>
      <c r="Z15" s="4"/>
      <c r="AA15" s="13">
        <f t="shared" ref="AA15:AF15" si="24">IF(OR(C16=""),"",C16-C15)</f>
        <v>53150</v>
      </c>
      <c r="AB15" s="13">
        <f t="shared" si="24"/>
        <v>65943</v>
      </c>
      <c r="AC15" s="13">
        <f t="shared" si="24"/>
        <v>57151</v>
      </c>
      <c r="AD15" s="13">
        <f t="shared" si="24"/>
        <v>58335</v>
      </c>
      <c r="AE15" s="13">
        <f t="shared" si="24"/>
        <v>205663</v>
      </c>
      <c r="AF15" s="13">
        <f t="shared" si="24"/>
        <v>5394</v>
      </c>
      <c r="AG15" s="13">
        <f t="shared" si="1"/>
        <v>28916</v>
      </c>
      <c r="AH15" s="13">
        <f t="shared" si="2"/>
        <v>204966</v>
      </c>
      <c r="AI15" s="13">
        <f t="shared" si="3"/>
        <v>5424</v>
      </c>
      <c r="AJ15" s="13">
        <f t="shared" si="4"/>
        <v>199542</v>
      </c>
      <c r="AK15" s="13">
        <v>5000</v>
      </c>
      <c r="AL15" s="13">
        <f t="shared" si="5"/>
        <v>0</v>
      </c>
      <c r="AM15" s="13">
        <f t="shared" si="6"/>
        <v>0</v>
      </c>
      <c r="AN15" s="13">
        <f t="shared" si="7"/>
        <v>3408</v>
      </c>
      <c r="AO15" s="13">
        <f t="shared" si="8"/>
        <v>1200</v>
      </c>
      <c r="AP15" s="13">
        <v>3015</v>
      </c>
      <c r="AQ15" s="17">
        <f t="shared" si="9"/>
        <v>0</v>
      </c>
      <c r="AR15" s="17">
        <f t="shared" si="10"/>
        <v>0</v>
      </c>
      <c r="AS15" s="18">
        <f t="shared" si="11"/>
        <v>17.1</v>
      </c>
      <c r="AT15" s="17">
        <f t="shared" si="12"/>
        <v>6.01</v>
      </c>
    </row>
    <row r="16" spans="1:46">
      <c r="A16" s="6">
        <v>43569</v>
      </c>
      <c r="B16" s="5" t="s">
        <v>50</v>
      </c>
      <c r="C16" s="4">
        <v>33173322</v>
      </c>
      <c r="D16" s="4">
        <v>19951460</v>
      </c>
      <c r="E16" s="4">
        <v>15382327</v>
      </c>
      <c r="F16" s="4">
        <v>14880538</v>
      </c>
      <c r="G16" s="4">
        <v>292989704</v>
      </c>
      <c r="H16" s="4">
        <v>106408152</v>
      </c>
      <c r="I16" s="4">
        <v>292989657</v>
      </c>
      <c r="J16" s="4">
        <v>106408152</v>
      </c>
      <c r="K16" s="4"/>
      <c r="L16" s="5">
        <v>4299.8</v>
      </c>
      <c r="M16" s="5">
        <v>4424.31</v>
      </c>
      <c r="N16" s="5">
        <v>74069.72</v>
      </c>
      <c r="O16" s="5"/>
      <c r="P16" s="5"/>
      <c r="Q16" s="10">
        <v>21</v>
      </c>
      <c r="R16" s="4" t="s">
        <v>54</v>
      </c>
      <c r="S16" s="4">
        <v>730</v>
      </c>
      <c r="T16" s="4">
        <v>720</v>
      </c>
      <c r="U16" s="4">
        <v>10412</v>
      </c>
      <c r="V16" s="4">
        <v>8214</v>
      </c>
      <c r="W16" s="5">
        <v>6.74</v>
      </c>
      <c r="X16" s="5">
        <v>5.76</v>
      </c>
      <c r="Y16" s="4">
        <v>1440</v>
      </c>
      <c r="Z16" s="4"/>
      <c r="AA16" s="13">
        <f t="shared" ref="AA16:AF16" si="25">IF(OR(C17=""),"",C17-C16)</f>
        <v>53298</v>
      </c>
      <c r="AB16" s="13">
        <f t="shared" si="25"/>
        <v>66305</v>
      </c>
      <c r="AC16" s="13">
        <f t="shared" si="25"/>
        <v>57489</v>
      </c>
      <c r="AD16" s="13">
        <f t="shared" si="25"/>
        <v>59098</v>
      </c>
      <c r="AE16" s="13">
        <f t="shared" si="25"/>
        <v>214160</v>
      </c>
      <c r="AF16" s="13">
        <f t="shared" si="25"/>
        <v>5427</v>
      </c>
      <c r="AG16" s="13">
        <f t="shared" si="1"/>
        <v>22030</v>
      </c>
      <c r="AH16" s="13">
        <f t="shared" si="2"/>
        <v>214017</v>
      </c>
      <c r="AI16" s="13">
        <f t="shared" si="3"/>
        <v>5456</v>
      </c>
      <c r="AJ16" s="13">
        <f t="shared" si="4"/>
        <v>208561</v>
      </c>
      <c r="AK16" s="13">
        <v>5000</v>
      </c>
      <c r="AL16" s="13">
        <f t="shared" si="5"/>
        <v>0</v>
      </c>
      <c r="AM16" s="13">
        <f t="shared" si="6"/>
        <v>0</v>
      </c>
      <c r="AN16" s="13">
        <f t="shared" si="7"/>
        <v>5183</v>
      </c>
      <c r="AO16" s="13">
        <f t="shared" si="8"/>
        <v>1728</v>
      </c>
      <c r="AP16" s="13">
        <v>2713</v>
      </c>
      <c r="AQ16" s="17">
        <f t="shared" si="9"/>
        <v>0</v>
      </c>
      <c r="AR16" s="17">
        <f t="shared" si="10"/>
        <v>0</v>
      </c>
      <c r="AS16" s="18">
        <f t="shared" si="11"/>
        <v>24.9</v>
      </c>
      <c r="AT16" s="17">
        <f t="shared" si="12"/>
        <v>8.29</v>
      </c>
    </row>
    <row r="17" spans="1:46">
      <c r="A17" s="6">
        <v>43570</v>
      </c>
      <c r="B17" s="5" t="s">
        <v>50</v>
      </c>
      <c r="C17" s="4">
        <v>33226620</v>
      </c>
      <c r="D17" s="4">
        <v>20017765</v>
      </c>
      <c r="E17" s="4">
        <v>15439816</v>
      </c>
      <c r="F17" s="4">
        <v>14939636</v>
      </c>
      <c r="G17" s="4">
        <v>293203864</v>
      </c>
      <c r="H17" s="4">
        <v>106413579</v>
      </c>
      <c r="I17" s="4">
        <v>293203674</v>
      </c>
      <c r="J17" s="4">
        <v>106413608</v>
      </c>
      <c r="K17" s="4"/>
      <c r="L17" s="5">
        <v>4299.8</v>
      </c>
      <c r="M17" s="5">
        <v>4424.31</v>
      </c>
      <c r="N17" s="5">
        <v>74069.72</v>
      </c>
      <c r="O17" s="5"/>
      <c r="P17" s="5"/>
      <c r="Q17" s="10">
        <v>22</v>
      </c>
      <c r="R17" s="4" t="s">
        <v>54</v>
      </c>
      <c r="S17" s="4">
        <v>420</v>
      </c>
      <c r="T17" s="4">
        <v>440</v>
      </c>
      <c r="U17" s="4">
        <v>9284</v>
      </c>
      <c r="V17" s="4">
        <v>8685</v>
      </c>
      <c r="W17" s="5">
        <v>6.45</v>
      </c>
      <c r="X17" s="5">
        <v>6.01</v>
      </c>
      <c r="Y17" s="4">
        <v>1440</v>
      </c>
      <c r="Z17" s="4"/>
      <c r="AA17" s="13">
        <f t="shared" ref="AA17:AF17" si="26">IF(OR(C18=""),"",C18-C17)</f>
        <v>48738</v>
      </c>
      <c r="AB17" s="13">
        <f t="shared" si="26"/>
        <v>59893</v>
      </c>
      <c r="AC17" s="13">
        <f t="shared" si="26"/>
        <v>53935</v>
      </c>
      <c r="AD17" s="13">
        <f t="shared" si="26"/>
        <v>54601</v>
      </c>
      <c r="AE17" s="13">
        <f t="shared" si="26"/>
        <v>213221</v>
      </c>
      <c r="AF17" s="13">
        <f t="shared" si="26"/>
        <v>5427</v>
      </c>
      <c r="AG17" s="13">
        <f t="shared" si="1"/>
        <v>3946</v>
      </c>
      <c r="AH17" s="13">
        <f t="shared" si="2"/>
        <v>213267</v>
      </c>
      <c r="AI17" s="13">
        <f t="shared" si="3"/>
        <v>5416</v>
      </c>
      <c r="AJ17" s="13">
        <f t="shared" si="4"/>
        <v>207851</v>
      </c>
      <c r="AK17" s="13">
        <v>5000</v>
      </c>
      <c r="AL17" s="13">
        <f t="shared" si="5"/>
        <v>0</v>
      </c>
      <c r="AM17" s="13">
        <f t="shared" si="6"/>
        <v>0</v>
      </c>
      <c r="AN17" s="13">
        <f t="shared" si="7"/>
        <v>2982</v>
      </c>
      <c r="AO17" s="13">
        <f t="shared" si="8"/>
        <v>1056</v>
      </c>
      <c r="AP17" s="13">
        <v>2684</v>
      </c>
      <c r="AQ17" s="17">
        <f t="shared" si="9"/>
        <v>0</v>
      </c>
      <c r="AR17" s="17">
        <f t="shared" si="10"/>
        <v>0</v>
      </c>
      <c r="AS17" s="18">
        <f t="shared" si="11"/>
        <v>14.3</v>
      </c>
      <c r="AT17" s="17">
        <f t="shared" si="12"/>
        <v>5.08</v>
      </c>
    </row>
    <row r="18" spans="1:46">
      <c r="A18" s="6">
        <v>43571</v>
      </c>
      <c r="B18" s="5" t="s">
        <v>50</v>
      </c>
      <c r="C18" s="4">
        <v>33275358</v>
      </c>
      <c r="D18" s="4">
        <v>20077658</v>
      </c>
      <c r="E18" s="4">
        <v>15493751</v>
      </c>
      <c r="F18" s="4">
        <v>14994237</v>
      </c>
      <c r="G18" s="4">
        <v>293417085</v>
      </c>
      <c r="H18" s="4">
        <v>106419006</v>
      </c>
      <c r="I18" s="4">
        <v>293416941</v>
      </c>
      <c r="J18" s="4">
        <v>106419024</v>
      </c>
      <c r="K18" s="4"/>
      <c r="L18" s="5">
        <v>4299.8</v>
      </c>
      <c r="M18" s="5">
        <v>4424.31</v>
      </c>
      <c r="N18" s="5">
        <v>74069.72</v>
      </c>
      <c r="O18" s="5"/>
      <c r="P18" s="5"/>
      <c r="Q18" s="10">
        <v>24</v>
      </c>
      <c r="R18" s="4" t="s">
        <v>46</v>
      </c>
      <c r="S18" s="4">
        <v>370</v>
      </c>
      <c r="T18" s="4">
        <v>380</v>
      </c>
      <c r="U18" s="4">
        <v>9214</v>
      </c>
      <c r="V18" s="4">
        <v>8975</v>
      </c>
      <c r="W18" s="5">
        <v>6.59</v>
      </c>
      <c r="X18" s="5">
        <v>5.86</v>
      </c>
      <c r="Y18" s="4">
        <v>1440</v>
      </c>
      <c r="Z18" s="4"/>
      <c r="AA18" s="13">
        <f t="shared" ref="AA18:AF18" si="27">IF(OR(C19=""),"",C19-C18)</f>
        <v>49869</v>
      </c>
      <c r="AB18" s="13">
        <f t="shared" si="27"/>
        <v>61215</v>
      </c>
      <c r="AC18" s="13">
        <f t="shared" si="27"/>
        <v>55515</v>
      </c>
      <c r="AD18" s="13">
        <f t="shared" si="27"/>
        <v>55687</v>
      </c>
      <c r="AE18" s="13">
        <f t="shared" si="27"/>
        <v>212877</v>
      </c>
      <c r="AF18" s="13">
        <f t="shared" si="27"/>
        <v>5429</v>
      </c>
      <c r="AG18" s="13">
        <f t="shared" si="1"/>
        <v>9409</v>
      </c>
      <c r="AH18" s="13">
        <f t="shared" si="2"/>
        <v>212823</v>
      </c>
      <c r="AI18" s="13">
        <f t="shared" si="3"/>
        <v>5411</v>
      </c>
      <c r="AJ18" s="13">
        <f t="shared" si="4"/>
        <v>207412</v>
      </c>
      <c r="AK18" s="13">
        <v>5000</v>
      </c>
      <c r="AL18" s="13">
        <f t="shared" si="5"/>
        <v>3864</v>
      </c>
      <c r="AM18" s="13">
        <f t="shared" si="6"/>
        <v>1</v>
      </c>
      <c r="AN18" s="13">
        <f t="shared" si="7"/>
        <v>2627</v>
      </c>
      <c r="AO18" s="13">
        <f t="shared" si="8"/>
        <v>912</v>
      </c>
      <c r="AP18" s="13">
        <v>2840</v>
      </c>
      <c r="AQ18" s="17">
        <f t="shared" si="9"/>
        <v>18.6</v>
      </c>
      <c r="AR18" s="17">
        <f t="shared" si="10"/>
        <v>0</v>
      </c>
      <c r="AS18" s="18">
        <f t="shared" si="11"/>
        <v>12.7</v>
      </c>
      <c r="AT18" s="17">
        <f t="shared" si="12"/>
        <v>4.4</v>
      </c>
    </row>
    <row r="19" spans="1:46">
      <c r="A19" s="6">
        <v>43572</v>
      </c>
      <c r="B19" s="5" t="s">
        <v>48</v>
      </c>
      <c r="C19" s="4">
        <v>33325227</v>
      </c>
      <c r="D19" s="4">
        <v>20138873</v>
      </c>
      <c r="E19" s="4">
        <v>15549266</v>
      </c>
      <c r="F19" s="4">
        <v>15049924</v>
      </c>
      <c r="G19" s="4">
        <v>293629962</v>
      </c>
      <c r="H19" s="4">
        <v>106424435</v>
      </c>
      <c r="I19" s="4">
        <v>293629764</v>
      </c>
      <c r="J19" s="4">
        <v>106424435</v>
      </c>
      <c r="K19" s="4"/>
      <c r="L19" s="5">
        <v>4299.8</v>
      </c>
      <c r="M19" s="5">
        <v>4427.53</v>
      </c>
      <c r="N19" s="5">
        <v>74070.14</v>
      </c>
      <c r="O19" s="5"/>
      <c r="P19" s="5"/>
      <c r="Q19" s="10">
        <v>21.3</v>
      </c>
      <c r="R19" s="4" t="s">
        <v>46</v>
      </c>
      <c r="S19" s="4">
        <v>660</v>
      </c>
      <c r="T19" s="4">
        <v>650</v>
      </c>
      <c r="U19" s="4">
        <v>9350</v>
      </c>
      <c r="V19" s="4">
        <v>8005</v>
      </c>
      <c r="W19" s="5">
        <v>6.16</v>
      </c>
      <c r="X19" s="5">
        <v>4.8</v>
      </c>
      <c r="Y19" s="4">
        <v>1440</v>
      </c>
      <c r="Z19" s="4"/>
      <c r="AA19" s="13">
        <f t="shared" ref="AA19:AF19" si="28">IF(OR(C20=""),"",C20-C19)</f>
        <v>47535</v>
      </c>
      <c r="AB19" s="13">
        <f t="shared" si="28"/>
        <v>59524</v>
      </c>
      <c r="AC19" s="13">
        <f t="shared" si="28"/>
        <v>53230</v>
      </c>
      <c r="AD19" s="13">
        <f t="shared" si="28"/>
        <v>54271</v>
      </c>
      <c r="AE19" s="13">
        <f t="shared" si="28"/>
        <v>212889</v>
      </c>
      <c r="AF19" s="13">
        <f t="shared" si="28"/>
        <v>5434</v>
      </c>
      <c r="AG19" s="13">
        <f t="shared" si="1"/>
        <v>1671</v>
      </c>
      <c r="AH19" s="13">
        <f t="shared" si="2"/>
        <v>212520</v>
      </c>
      <c r="AI19" s="13">
        <f t="shared" si="3"/>
        <v>5434</v>
      </c>
      <c r="AJ19" s="13">
        <f t="shared" si="4"/>
        <v>207086</v>
      </c>
      <c r="AK19" s="13">
        <v>5000</v>
      </c>
      <c r="AL19" s="13">
        <f t="shared" si="5"/>
        <v>0</v>
      </c>
      <c r="AM19" s="13">
        <f t="shared" si="6"/>
        <v>0</v>
      </c>
      <c r="AN19" s="13">
        <f t="shared" si="7"/>
        <v>4686</v>
      </c>
      <c r="AO19" s="13">
        <f t="shared" si="8"/>
        <v>1560</v>
      </c>
      <c r="AP19" s="13">
        <v>3300</v>
      </c>
      <c r="AQ19" s="17">
        <f t="shared" si="9"/>
        <v>0</v>
      </c>
      <c r="AR19" s="17">
        <f t="shared" si="10"/>
        <v>0</v>
      </c>
      <c r="AS19" s="18">
        <f t="shared" si="11"/>
        <v>22.6</v>
      </c>
      <c r="AT19" s="17">
        <f t="shared" si="12"/>
        <v>7.53</v>
      </c>
    </row>
    <row r="20" spans="1:46">
      <c r="A20" s="6">
        <v>43573</v>
      </c>
      <c r="B20" s="5" t="s">
        <v>50</v>
      </c>
      <c r="C20" s="4">
        <v>33372762</v>
      </c>
      <c r="D20" s="4">
        <v>20198397</v>
      </c>
      <c r="E20" s="4">
        <v>15602496</v>
      </c>
      <c r="F20" s="4">
        <v>15104195</v>
      </c>
      <c r="G20" s="4">
        <v>293842851</v>
      </c>
      <c r="H20" s="4">
        <v>106429869</v>
      </c>
      <c r="I20" s="4">
        <v>293842284</v>
      </c>
      <c r="J20" s="4">
        <v>106429869</v>
      </c>
      <c r="K20" s="4"/>
      <c r="L20" s="5">
        <v>4299.8</v>
      </c>
      <c r="M20" s="5">
        <v>4427.53</v>
      </c>
      <c r="N20" s="5">
        <v>74070.14</v>
      </c>
      <c r="O20" s="5"/>
      <c r="P20" s="5"/>
      <c r="Q20" s="10">
        <v>21.5</v>
      </c>
      <c r="R20" s="4" t="s">
        <v>54</v>
      </c>
      <c r="S20" s="4">
        <v>690</v>
      </c>
      <c r="T20" s="4">
        <v>700</v>
      </c>
      <c r="U20" s="4">
        <v>9285</v>
      </c>
      <c r="V20" s="4">
        <v>8228</v>
      </c>
      <c r="W20" s="5">
        <v>6.3</v>
      </c>
      <c r="X20" s="5">
        <v>5.56</v>
      </c>
      <c r="Y20" s="4">
        <v>1440</v>
      </c>
      <c r="Z20" s="4"/>
      <c r="AA20" s="13">
        <f t="shared" ref="AA20:AF20" si="29">IF(OR(C21=""),"",C21-C20)</f>
        <v>48670</v>
      </c>
      <c r="AB20" s="13">
        <f t="shared" si="29"/>
        <v>60891</v>
      </c>
      <c r="AC20" s="13">
        <f t="shared" si="29"/>
        <v>54555</v>
      </c>
      <c r="AD20" s="13">
        <f t="shared" si="29"/>
        <v>55469</v>
      </c>
      <c r="AE20" s="13">
        <f t="shared" si="29"/>
        <v>211394</v>
      </c>
      <c r="AF20" s="13">
        <f t="shared" si="29"/>
        <v>5418</v>
      </c>
      <c r="AG20" s="13">
        <f t="shared" si="1"/>
        <v>8191</v>
      </c>
      <c r="AH20" s="13">
        <f t="shared" si="2"/>
        <v>211778</v>
      </c>
      <c r="AI20" s="13">
        <f t="shared" si="3"/>
        <v>5418</v>
      </c>
      <c r="AJ20" s="13">
        <f t="shared" si="4"/>
        <v>206360</v>
      </c>
      <c r="AK20" s="13">
        <v>3500</v>
      </c>
      <c r="AL20" s="13">
        <f t="shared" si="5"/>
        <v>0</v>
      </c>
      <c r="AM20" s="13">
        <f t="shared" si="6"/>
        <v>0</v>
      </c>
      <c r="AN20" s="13">
        <f t="shared" si="7"/>
        <v>4899</v>
      </c>
      <c r="AO20" s="13">
        <f t="shared" si="8"/>
        <v>1680</v>
      </c>
      <c r="AP20" s="13">
        <v>3569</v>
      </c>
      <c r="AQ20" s="17">
        <f t="shared" si="9"/>
        <v>0</v>
      </c>
      <c r="AR20" s="17">
        <f t="shared" si="10"/>
        <v>0</v>
      </c>
      <c r="AS20" s="18">
        <f t="shared" si="11"/>
        <v>23.7</v>
      </c>
      <c r="AT20" s="17">
        <f t="shared" si="12"/>
        <v>8.14</v>
      </c>
    </row>
    <row r="21" spans="1:46">
      <c r="A21" s="6">
        <v>43574</v>
      </c>
      <c r="B21" s="5" t="s">
        <v>50</v>
      </c>
      <c r="C21" s="4">
        <v>33421432</v>
      </c>
      <c r="D21" s="4">
        <v>20259288</v>
      </c>
      <c r="E21" s="4">
        <v>15657051</v>
      </c>
      <c r="F21" s="4">
        <v>15159664</v>
      </c>
      <c r="G21" s="4">
        <v>294054245</v>
      </c>
      <c r="H21" s="4">
        <v>106435287</v>
      </c>
      <c r="I21" s="4">
        <v>294054062</v>
      </c>
      <c r="J21" s="4">
        <v>106435287</v>
      </c>
      <c r="K21" s="4"/>
      <c r="L21" s="5">
        <v>4299.8</v>
      </c>
      <c r="M21" s="5">
        <v>4427.53</v>
      </c>
      <c r="N21" s="5">
        <v>74070.14</v>
      </c>
      <c r="O21" s="5"/>
      <c r="P21" s="5"/>
      <c r="Q21" s="10">
        <v>22</v>
      </c>
      <c r="R21" s="11" t="s">
        <v>46</v>
      </c>
      <c r="S21" s="4">
        <v>660</v>
      </c>
      <c r="T21" s="4">
        <v>680</v>
      </c>
      <c r="U21" s="4">
        <v>9185</v>
      </c>
      <c r="V21" s="4">
        <v>7562</v>
      </c>
      <c r="W21" s="5">
        <v>6.31</v>
      </c>
      <c r="X21" s="5">
        <v>5.64</v>
      </c>
      <c r="Y21" s="4">
        <v>1440</v>
      </c>
      <c r="Z21" s="4"/>
      <c r="AA21" s="13">
        <f t="shared" ref="AA21:AF21" si="30">IF(OR(C22=""),"",C22-C21)</f>
        <v>47144</v>
      </c>
      <c r="AB21" s="13">
        <f t="shared" si="30"/>
        <v>57981</v>
      </c>
      <c r="AC21" s="13">
        <f t="shared" si="30"/>
        <v>53304</v>
      </c>
      <c r="AD21" s="13">
        <f t="shared" si="30"/>
        <v>52945</v>
      </c>
      <c r="AE21" s="13">
        <f t="shared" si="30"/>
        <v>208683</v>
      </c>
      <c r="AF21" s="13">
        <f t="shared" si="30"/>
        <v>5413</v>
      </c>
      <c r="AG21" s="13">
        <f t="shared" si="1"/>
        <v>2691</v>
      </c>
      <c r="AH21" s="13">
        <f t="shared" si="2"/>
        <v>209054</v>
      </c>
      <c r="AI21" s="13">
        <f t="shared" si="3"/>
        <v>5413</v>
      </c>
      <c r="AJ21" s="13">
        <f t="shared" si="4"/>
        <v>203641</v>
      </c>
      <c r="AK21" s="13">
        <v>3000</v>
      </c>
      <c r="AL21" s="13">
        <f t="shared" si="5"/>
        <v>0</v>
      </c>
      <c r="AM21" s="13">
        <f t="shared" si="6"/>
        <v>0</v>
      </c>
      <c r="AN21" s="13">
        <f t="shared" si="7"/>
        <v>4686</v>
      </c>
      <c r="AO21" s="13">
        <f t="shared" si="8"/>
        <v>1632</v>
      </c>
      <c r="AP21" s="13">
        <v>3500</v>
      </c>
      <c r="AQ21" s="17">
        <f t="shared" si="9"/>
        <v>0</v>
      </c>
      <c r="AR21" s="17">
        <f t="shared" si="10"/>
        <v>0</v>
      </c>
      <c r="AS21" s="18">
        <f t="shared" si="11"/>
        <v>23</v>
      </c>
      <c r="AT21" s="17">
        <f t="shared" si="12"/>
        <v>8.01</v>
      </c>
    </row>
    <row r="22" spans="1:46">
      <c r="A22" s="6">
        <v>43575</v>
      </c>
      <c r="B22" s="22" t="s">
        <v>50</v>
      </c>
      <c r="C22" s="4">
        <v>33468576</v>
      </c>
      <c r="D22" s="4">
        <v>20317269</v>
      </c>
      <c r="E22" s="4">
        <v>15710355</v>
      </c>
      <c r="F22" s="4">
        <v>15212609</v>
      </c>
      <c r="G22" s="4">
        <v>294262928</v>
      </c>
      <c r="H22" s="4">
        <v>106440700</v>
      </c>
      <c r="I22" s="4">
        <v>294263116</v>
      </c>
      <c r="J22" s="4">
        <v>106440700</v>
      </c>
      <c r="K22" s="4"/>
      <c r="L22" s="5">
        <v>4299.8</v>
      </c>
      <c r="M22" s="5">
        <v>4427.53</v>
      </c>
      <c r="N22" s="5">
        <v>74070.14</v>
      </c>
      <c r="O22" s="5"/>
      <c r="P22" s="5"/>
      <c r="Q22" s="10">
        <v>20.9</v>
      </c>
      <c r="R22" s="11" t="s">
        <v>46</v>
      </c>
      <c r="S22" s="4">
        <v>750</v>
      </c>
      <c r="T22" s="4">
        <v>760</v>
      </c>
      <c r="U22" s="4">
        <v>9265</v>
      </c>
      <c r="V22" s="4">
        <v>8012</v>
      </c>
      <c r="W22" s="5">
        <v>6.5</v>
      </c>
      <c r="X22" s="5">
        <v>4.75</v>
      </c>
      <c r="Y22" s="4">
        <v>1440</v>
      </c>
      <c r="Z22" s="4"/>
      <c r="AA22" s="13">
        <f t="shared" ref="AA22:AF22" si="31">IF(OR(C23=""),"",C23-C22)</f>
        <v>48398</v>
      </c>
      <c r="AB22" s="13">
        <f t="shared" si="31"/>
        <v>60520</v>
      </c>
      <c r="AC22" s="13">
        <f t="shared" si="31"/>
        <v>54367</v>
      </c>
      <c r="AD22" s="13">
        <f t="shared" si="31"/>
        <v>54843</v>
      </c>
      <c r="AE22" s="13">
        <f t="shared" si="31"/>
        <v>211679</v>
      </c>
      <c r="AF22" s="13">
        <f t="shared" si="31"/>
        <v>5426</v>
      </c>
      <c r="AG22" s="13">
        <f t="shared" si="1"/>
        <v>6449</v>
      </c>
      <c r="AH22" s="13">
        <f t="shared" si="2"/>
        <v>211716</v>
      </c>
      <c r="AI22" s="13">
        <f t="shared" si="3"/>
        <v>5426</v>
      </c>
      <c r="AJ22" s="13">
        <f t="shared" si="4"/>
        <v>206290</v>
      </c>
      <c r="AK22" s="13">
        <v>4100</v>
      </c>
      <c r="AL22" s="13">
        <f t="shared" si="5"/>
        <v>0</v>
      </c>
      <c r="AM22" s="13">
        <f t="shared" si="6"/>
        <v>0</v>
      </c>
      <c r="AN22" s="13">
        <f t="shared" si="7"/>
        <v>5325</v>
      </c>
      <c r="AO22" s="13">
        <f t="shared" si="8"/>
        <v>1824</v>
      </c>
      <c r="AP22" s="13">
        <v>2799</v>
      </c>
      <c r="AQ22" s="17">
        <f t="shared" si="9"/>
        <v>0</v>
      </c>
      <c r="AR22" s="17">
        <f t="shared" si="10"/>
        <v>0</v>
      </c>
      <c r="AS22" s="18">
        <f t="shared" si="11"/>
        <v>25.8</v>
      </c>
      <c r="AT22" s="17">
        <f t="shared" si="12"/>
        <v>8.84</v>
      </c>
    </row>
    <row r="23" spans="1:46">
      <c r="A23" s="6">
        <v>43576</v>
      </c>
      <c r="B23" s="5" t="s">
        <v>50</v>
      </c>
      <c r="C23" s="4">
        <v>33516974</v>
      </c>
      <c r="D23" s="4">
        <v>20377789</v>
      </c>
      <c r="E23" s="4">
        <v>15764722</v>
      </c>
      <c r="F23" s="4">
        <v>15267452</v>
      </c>
      <c r="G23" s="4">
        <v>294474607</v>
      </c>
      <c r="H23" s="4">
        <v>106446126</v>
      </c>
      <c r="I23" s="4">
        <v>294474832</v>
      </c>
      <c r="J23" s="4">
        <v>106446126</v>
      </c>
      <c r="K23" s="4"/>
      <c r="L23" s="5">
        <v>4299.8</v>
      </c>
      <c r="M23" s="5">
        <v>4427.53</v>
      </c>
      <c r="N23" s="5">
        <v>74070.14</v>
      </c>
      <c r="O23" s="5"/>
      <c r="P23" s="5"/>
      <c r="Q23" s="10">
        <v>19.5</v>
      </c>
      <c r="R23" s="11" t="s">
        <v>46</v>
      </c>
      <c r="S23" s="4">
        <v>590</v>
      </c>
      <c r="T23" s="4">
        <v>600</v>
      </c>
      <c r="U23" s="4">
        <v>9145</v>
      </c>
      <c r="V23" s="4">
        <v>7945</v>
      </c>
      <c r="W23" s="5">
        <v>6.21</v>
      </c>
      <c r="X23" s="5">
        <v>3.67</v>
      </c>
      <c r="Y23" s="4">
        <v>1373</v>
      </c>
      <c r="Z23" s="4"/>
      <c r="AA23" s="13">
        <f t="shared" ref="AA23:AF23" si="32">IF(OR(C24=""),"",C24-C23)</f>
        <v>48381</v>
      </c>
      <c r="AB23" s="13">
        <f t="shared" si="32"/>
        <v>60284</v>
      </c>
      <c r="AC23" s="13">
        <f t="shared" si="32"/>
        <v>54500</v>
      </c>
      <c r="AD23" s="13">
        <f t="shared" si="32"/>
        <v>54954</v>
      </c>
      <c r="AE23" s="13">
        <f t="shared" si="32"/>
        <v>212940</v>
      </c>
      <c r="AF23" s="13">
        <f t="shared" si="32"/>
        <v>5434</v>
      </c>
      <c r="AG23" s="13">
        <f t="shared" si="1"/>
        <v>5179</v>
      </c>
      <c r="AH23" s="13">
        <f t="shared" si="2"/>
        <v>212476</v>
      </c>
      <c r="AI23" s="13">
        <f t="shared" si="3"/>
        <v>5426</v>
      </c>
      <c r="AJ23" s="13">
        <f t="shared" si="4"/>
        <v>207050</v>
      </c>
      <c r="AK23" s="13">
        <v>4100</v>
      </c>
      <c r="AL23" s="13">
        <f t="shared" si="5"/>
        <v>0</v>
      </c>
      <c r="AM23" s="13">
        <f t="shared" si="6"/>
        <v>0</v>
      </c>
      <c r="AN23" s="13">
        <f t="shared" si="7"/>
        <v>4189</v>
      </c>
      <c r="AO23" s="13">
        <f t="shared" si="8"/>
        <v>1440</v>
      </c>
      <c r="AP23" s="13">
        <v>4560</v>
      </c>
      <c r="AQ23" s="17">
        <f t="shared" si="9"/>
        <v>0</v>
      </c>
      <c r="AR23" s="17">
        <f t="shared" si="10"/>
        <v>0</v>
      </c>
      <c r="AS23" s="18">
        <f t="shared" si="11"/>
        <v>20.2</v>
      </c>
      <c r="AT23" s="17">
        <f t="shared" si="12"/>
        <v>6.95</v>
      </c>
    </row>
    <row r="24" spans="1:46">
      <c r="A24" s="6">
        <v>43577</v>
      </c>
      <c r="B24" s="5" t="s">
        <v>48</v>
      </c>
      <c r="C24" s="4">
        <v>33565355</v>
      </c>
      <c r="D24" s="4">
        <v>20438073</v>
      </c>
      <c r="E24" s="4">
        <v>15819222</v>
      </c>
      <c r="F24" s="4">
        <v>15322406</v>
      </c>
      <c r="G24" s="4">
        <v>294687547</v>
      </c>
      <c r="H24" s="4">
        <v>106451560</v>
      </c>
      <c r="I24" s="4">
        <v>294687308</v>
      </c>
      <c r="J24" s="4">
        <v>106451552</v>
      </c>
      <c r="K24" s="4"/>
      <c r="L24" s="5">
        <v>4299.8</v>
      </c>
      <c r="M24" s="5">
        <v>4427.53</v>
      </c>
      <c r="N24" s="5">
        <v>74070.14</v>
      </c>
      <c r="O24" s="5"/>
      <c r="P24" s="5"/>
      <c r="Q24" s="10">
        <v>22.9</v>
      </c>
      <c r="R24" s="11" t="s">
        <v>46</v>
      </c>
      <c r="S24" s="4">
        <v>350</v>
      </c>
      <c r="T24" s="4">
        <v>370</v>
      </c>
      <c r="U24" s="4">
        <v>9378</v>
      </c>
      <c r="V24" s="4">
        <v>5845</v>
      </c>
      <c r="W24" s="5">
        <v>4.4</v>
      </c>
      <c r="X24" s="5">
        <v>3.6</v>
      </c>
      <c r="Y24" s="4">
        <v>1324</v>
      </c>
      <c r="Z24" s="4"/>
      <c r="AA24" s="13">
        <f t="shared" ref="AA24:AF24" si="33">IF(OR(C25=""),"",C25-C24)</f>
        <v>46991</v>
      </c>
      <c r="AB24" s="13">
        <f t="shared" si="33"/>
        <v>58286</v>
      </c>
      <c r="AC24" s="13">
        <f t="shared" si="33"/>
        <v>52794</v>
      </c>
      <c r="AD24" s="13">
        <f t="shared" si="33"/>
        <v>53450</v>
      </c>
      <c r="AE24" s="13">
        <f t="shared" si="33"/>
        <v>206983</v>
      </c>
      <c r="AF24" s="13">
        <f t="shared" si="33"/>
        <v>5470</v>
      </c>
      <c r="AG24" s="13">
        <f t="shared" si="1"/>
        <v>4538</v>
      </c>
      <c r="AH24" s="13">
        <f t="shared" si="2"/>
        <v>205696</v>
      </c>
      <c r="AI24" s="13">
        <f t="shared" si="3"/>
        <v>5478</v>
      </c>
      <c r="AJ24" s="13">
        <f t="shared" si="4"/>
        <v>200218</v>
      </c>
      <c r="AK24" s="13">
        <v>3960</v>
      </c>
      <c r="AL24" s="13">
        <f t="shared" si="5"/>
        <v>3360</v>
      </c>
      <c r="AM24" s="13">
        <f t="shared" si="6"/>
        <v>17</v>
      </c>
      <c r="AN24" s="13">
        <f t="shared" si="7"/>
        <v>2485</v>
      </c>
      <c r="AO24" s="13">
        <f t="shared" si="8"/>
        <v>888</v>
      </c>
      <c r="AP24" s="13">
        <v>3460</v>
      </c>
      <c r="AQ24" s="17">
        <f t="shared" si="9"/>
        <v>16.8</v>
      </c>
      <c r="AR24" s="17">
        <f t="shared" si="10"/>
        <v>0.08</v>
      </c>
      <c r="AS24" s="18">
        <f t="shared" si="11"/>
        <v>12.4</v>
      </c>
      <c r="AT24" s="17">
        <f t="shared" si="12"/>
        <v>4.44</v>
      </c>
    </row>
    <row r="25" spans="1:46">
      <c r="A25" s="6">
        <v>43578</v>
      </c>
      <c r="B25" s="5" t="s">
        <v>47</v>
      </c>
      <c r="C25" s="4">
        <v>33612346</v>
      </c>
      <c r="D25" s="4">
        <v>20496359</v>
      </c>
      <c r="E25" s="4">
        <v>15872016</v>
      </c>
      <c r="F25" s="4">
        <v>15375856</v>
      </c>
      <c r="G25" s="4">
        <v>294894530</v>
      </c>
      <c r="H25" s="4">
        <v>106457030</v>
      </c>
      <c r="I25" s="4">
        <v>294893004</v>
      </c>
      <c r="J25" s="4">
        <v>106457030</v>
      </c>
      <c r="K25" s="4"/>
      <c r="L25" s="5">
        <v>4299.8</v>
      </c>
      <c r="M25" s="5">
        <v>4430.33</v>
      </c>
      <c r="N25" s="5">
        <v>74078.68</v>
      </c>
      <c r="O25" s="5"/>
      <c r="P25" s="5"/>
      <c r="Q25" s="10">
        <v>24</v>
      </c>
      <c r="R25" s="11" t="s">
        <v>46</v>
      </c>
      <c r="S25" s="4">
        <v>700</v>
      </c>
      <c r="T25" s="4">
        <v>720</v>
      </c>
      <c r="U25" s="4">
        <v>9136</v>
      </c>
      <c r="V25" s="4">
        <v>5947</v>
      </c>
      <c r="W25" s="5">
        <v>4.46</v>
      </c>
      <c r="X25" s="5">
        <v>2.54</v>
      </c>
      <c r="Y25" s="4">
        <v>1230</v>
      </c>
      <c r="Z25" s="4"/>
      <c r="AA25" s="13">
        <f t="shared" ref="AA25:AF25" si="34">IF(OR(C26=""),"",C26-C25)</f>
        <v>45761</v>
      </c>
      <c r="AB25" s="13">
        <f t="shared" si="34"/>
        <v>55352</v>
      </c>
      <c r="AC25" s="13">
        <f t="shared" si="34"/>
        <v>51408</v>
      </c>
      <c r="AD25" s="13">
        <f t="shared" si="34"/>
        <v>49930</v>
      </c>
      <c r="AE25" s="13">
        <f t="shared" si="34"/>
        <v>192845</v>
      </c>
      <c r="AF25" s="13">
        <f t="shared" si="34"/>
        <v>5375</v>
      </c>
      <c r="AG25" s="13">
        <f t="shared" si="1"/>
        <v>9606</v>
      </c>
      <c r="AH25" s="13">
        <f t="shared" si="2"/>
        <v>194371</v>
      </c>
      <c r="AI25" s="13">
        <f t="shared" si="3"/>
        <v>5370</v>
      </c>
      <c r="AJ25" s="13">
        <f t="shared" si="4"/>
        <v>189001</v>
      </c>
      <c r="AK25" s="13">
        <v>3740</v>
      </c>
      <c r="AL25" s="13">
        <f t="shared" si="5"/>
        <v>0</v>
      </c>
      <c r="AM25" s="13">
        <f t="shared" si="6"/>
        <v>0</v>
      </c>
      <c r="AN25" s="13">
        <f t="shared" si="7"/>
        <v>4970</v>
      </c>
      <c r="AO25" s="13">
        <f t="shared" si="8"/>
        <v>1728</v>
      </c>
      <c r="AP25" s="13">
        <v>4076</v>
      </c>
      <c r="AQ25" s="17">
        <f t="shared" si="9"/>
        <v>0</v>
      </c>
      <c r="AR25" s="17">
        <f t="shared" si="10"/>
        <v>0</v>
      </c>
      <c r="AS25" s="18">
        <f t="shared" si="11"/>
        <v>26.3</v>
      </c>
      <c r="AT25" s="17">
        <f t="shared" si="12"/>
        <v>9.14</v>
      </c>
    </row>
    <row r="26" spans="1:46">
      <c r="A26" s="6">
        <v>43579</v>
      </c>
      <c r="B26" s="5" t="s">
        <v>50</v>
      </c>
      <c r="C26" s="4">
        <v>33658107</v>
      </c>
      <c r="D26" s="4">
        <v>20551711</v>
      </c>
      <c r="E26" s="4">
        <v>15923424</v>
      </c>
      <c r="F26" s="4">
        <v>15425786</v>
      </c>
      <c r="G26" s="4">
        <v>295087375</v>
      </c>
      <c r="H26" s="4">
        <v>106462405</v>
      </c>
      <c r="I26" s="4">
        <v>295087375</v>
      </c>
      <c r="J26" s="4">
        <v>106462400</v>
      </c>
      <c r="K26" s="4"/>
      <c r="L26" s="5">
        <v>4299.8</v>
      </c>
      <c r="M26" s="5">
        <v>4430.33</v>
      </c>
      <c r="N26" s="5">
        <v>74078.68</v>
      </c>
      <c r="O26" s="5"/>
      <c r="P26" s="5"/>
      <c r="Q26" s="10">
        <v>23</v>
      </c>
      <c r="R26" s="4" t="s">
        <v>46</v>
      </c>
      <c r="S26" s="4">
        <v>800</v>
      </c>
      <c r="T26" s="4">
        <v>790</v>
      </c>
      <c r="U26" s="4">
        <v>8851</v>
      </c>
      <c r="V26" s="4">
        <v>7541</v>
      </c>
      <c r="W26" s="5">
        <v>4.68</v>
      </c>
      <c r="X26" s="5">
        <v>2.5</v>
      </c>
      <c r="Y26" s="4">
        <v>1220</v>
      </c>
      <c r="Z26" s="4"/>
      <c r="AA26" s="13">
        <f t="shared" ref="AA26:AF26" si="35">IF(OR(C27=""),"",C27-C26)</f>
        <v>45336</v>
      </c>
      <c r="AB26" s="13">
        <f t="shared" si="35"/>
        <v>55823</v>
      </c>
      <c r="AC26" s="13">
        <f t="shared" si="35"/>
        <v>51145</v>
      </c>
      <c r="AD26" s="13">
        <f t="shared" si="35"/>
        <v>50110</v>
      </c>
      <c r="AE26" s="13">
        <f t="shared" si="35"/>
        <v>192654</v>
      </c>
      <c r="AF26" s="13">
        <f t="shared" si="35"/>
        <v>5438</v>
      </c>
      <c r="AG26" s="13">
        <f t="shared" si="1"/>
        <v>9760</v>
      </c>
      <c r="AH26" s="13">
        <f t="shared" si="2"/>
        <v>192061</v>
      </c>
      <c r="AI26" s="13">
        <f t="shared" si="3"/>
        <v>5446</v>
      </c>
      <c r="AJ26" s="13">
        <f t="shared" si="4"/>
        <v>186615</v>
      </c>
      <c r="AK26" s="13">
        <v>4000</v>
      </c>
      <c r="AL26" s="13">
        <f t="shared" si="5"/>
        <v>0</v>
      </c>
      <c r="AM26" s="13">
        <f t="shared" si="6"/>
        <v>0</v>
      </c>
      <c r="AN26" s="13">
        <f t="shared" si="7"/>
        <v>5680</v>
      </c>
      <c r="AO26" s="13">
        <f t="shared" si="8"/>
        <v>1896</v>
      </c>
      <c r="AP26" s="13">
        <v>3016</v>
      </c>
      <c r="AQ26" s="17">
        <f t="shared" si="9"/>
        <v>0</v>
      </c>
      <c r="AR26" s="17">
        <f t="shared" si="10"/>
        <v>0</v>
      </c>
      <c r="AS26" s="18">
        <f t="shared" si="11"/>
        <v>30.4</v>
      </c>
      <c r="AT26" s="17">
        <f t="shared" si="12"/>
        <v>10.16</v>
      </c>
    </row>
    <row r="27" spans="1:46">
      <c r="A27" s="6">
        <v>43580</v>
      </c>
      <c r="B27" s="5" t="s">
        <v>50</v>
      </c>
      <c r="C27" s="4">
        <v>33703443</v>
      </c>
      <c r="D27" s="4">
        <v>20607534</v>
      </c>
      <c r="E27" s="4">
        <v>15974569</v>
      </c>
      <c r="F27" s="4">
        <v>15475896</v>
      </c>
      <c r="G27" s="4">
        <v>295280029</v>
      </c>
      <c r="H27" s="4">
        <v>106467843</v>
      </c>
      <c r="I27" s="4">
        <v>295279436</v>
      </c>
      <c r="J27" s="4">
        <v>106467846</v>
      </c>
      <c r="K27" s="4"/>
      <c r="L27" s="5">
        <v>4299.8</v>
      </c>
      <c r="M27" s="5">
        <v>4430.33</v>
      </c>
      <c r="N27" s="5">
        <v>74078.68</v>
      </c>
      <c r="O27" s="5"/>
      <c r="P27" s="5"/>
      <c r="Q27" s="10">
        <v>22</v>
      </c>
      <c r="R27" s="4" t="s">
        <v>52</v>
      </c>
      <c r="S27" s="4">
        <v>500</v>
      </c>
      <c r="T27" s="4">
        <v>520</v>
      </c>
      <c r="U27" s="4">
        <v>10451</v>
      </c>
      <c r="V27" s="4">
        <v>8265</v>
      </c>
      <c r="W27" s="5">
        <v>7.89</v>
      </c>
      <c r="X27" s="5">
        <v>4.6</v>
      </c>
      <c r="Y27" s="4">
        <v>1440</v>
      </c>
      <c r="Z27" s="4"/>
      <c r="AA27" s="13">
        <f t="shared" ref="AA27:AF27" si="36">IF(OR(C28=""),"",C28-C27)</f>
        <v>52543</v>
      </c>
      <c r="AB27" s="13">
        <f t="shared" si="36"/>
        <v>62868</v>
      </c>
      <c r="AC27" s="13">
        <f t="shared" si="36"/>
        <v>59381</v>
      </c>
      <c r="AD27" s="13">
        <f t="shared" si="36"/>
        <v>61250</v>
      </c>
      <c r="AE27" s="13">
        <f t="shared" si="36"/>
        <v>210431</v>
      </c>
      <c r="AF27" s="13">
        <f t="shared" si="36"/>
        <v>5418</v>
      </c>
      <c r="AG27" s="13">
        <f t="shared" si="1"/>
        <v>25611</v>
      </c>
      <c r="AH27" s="13">
        <f t="shared" si="2"/>
        <v>210902</v>
      </c>
      <c r="AI27" s="13">
        <f t="shared" si="3"/>
        <v>5410</v>
      </c>
      <c r="AJ27" s="13">
        <f t="shared" si="4"/>
        <v>205492</v>
      </c>
      <c r="AK27" s="13">
        <v>4100</v>
      </c>
      <c r="AL27" s="13">
        <f t="shared" si="5"/>
        <v>0</v>
      </c>
      <c r="AM27" s="13">
        <f t="shared" si="6"/>
        <v>0</v>
      </c>
      <c r="AN27" s="13">
        <f t="shared" si="7"/>
        <v>3550</v>
      </c>
      <c r="AO27" s="13">
        <f t="shared" si="8"/>
        <v>1248</v>
      </c>
      <c r="AP27" s="13">
        <v>2904</v>
      </c>
      <c r="AQ27" s="17">
        <f t="shared" si="9"/>
        <v>0</v>
      </c>
      <c r="AR27" s="17">
        <f t="shared" si="10"/>
        <v>0</v>
      </c>
      <c r="AS27" s="18">
        <f t="shared" si="11"/>
        <v>17.3</v>
      </c>
      <c r="AT27" s="17">
        <f t="shared" si="12"/>
        <v>6.07</v>
      </c>
    </row>
    <row r="28" spans="1:46">
      <c r="A28" s="6">
        <v>43581</v>
      </c>
      <c r="B28" s="5" t="s">
        <v>50</v>
      </c>
      <c r="C28" s="4">
        <v>33755986</v>
      </c>
      <c r="D28" s="4">
        <v>20670402</v>
      </c>
      <c r="E28" s="4">
        <v>16033950</v>
      </c>
      <c r="F28" s="4">
        <v>15537146</v>
      </c>
      <c r="G28" s="4">
        <v>295490460</v>
      </c>
      <c r="H28" s="4">
        <v>106473261</v>
      </c>
      <c r="I28" s="4">
        <v>295490338</v>
      </c>
      <c r="J28" s="4">
        <v>106473256</v>
      </c>
      <c r="K28" s="4"/>
      <c r="L28" s="5">
        <v>4299.8</v>
      </c>
      <c r="M28" s="5">
        <v>4430.33</v>
      </c>
      <c r="N28" s="5">
        <v>74078.68</v>
      </c>
      <c r="O28" s="5"/>
      <c r="P28" s="5"/>
      <c r="Q28" s="10">
        <v>21</v>
      </c>
      <c r="R28" s="4" t="s">
        <v>54</v>
      </c>
      <c r="S28" s="4">
        <v>750</v>
      </c>
      <c r="T28" s="4">
        <v>760</v>
      </c>
      <c r="U28" s="4">
        <v>10202</v>
      </c>
      <c r="V28" s="4">
        <v>8026</v>
      </c>
      <c r="W28" s="5">
        <v>7.42</v>
      </c>
      <c r="X28" s="5">
        <v>6.43</v>
      </c>
      <c r="Y28" s="4">
        <v>1440</v>
      </c>
      <c r="Z28" s="4"/>
      <c r="AA28" s="13">
        <f t="shared" ref="AA28:AF28" si="37">IF(OR(C29=""),"",C29-C28)</f>
        <v>49559</v>
      </c>
      <c r="AB28" s="13">
        <f t="shared" si="37"/>
        <v>61935</v>
      </c>
      <c r="AC28" s="13">
        <f t="shared" si="37"/>
        <v>55469</v>
      </c>
      <c r="AD28" s="13">
        <f t="shared" si="37"/>
        <v>56870</v>
      </c>
      <c r="AE28" s="13">
        <f t="shared" si="37"/>
        <v>209083</v>
      </c>
      <c r="AF28" s="13">
        <f t="shared" si="37"/>
        <v>5440</v>
      </c>
      <c r="AG28" s="13">
        <f t="shared" si="1"/>
        <v>14750</v>
      </c>
      <c r="AH28" s="13">
        <f t="shared" si="2"/>
        <v>208919</v>
      </c>
      <c r="AI28" s="13">
        <f t="shared" si="3"/>
        <v>5440</v>
      </c>
      <c r="AJ28" s="13">
        <f t="shared" si="4"/>
        <v>203479</v>
      </c>
      <c r="AK28" s="13">
        <v>4100</v>
      </c>
      <c r="AL28" s="13">
        <f t="shared" si="5"/>
        <v>0</v>
      </c>
      <c r="AM28" s="13">
        <f t="shared" si="6"/>
        <v>0</v>
      </c>
      <c r="AN28" s="13">
        <f t="shared" si="7"/>
        <v>5325</v>
      </c>
      <c r="AO28" s="13">
        <f t="shared" si="8"/>
        <v>1824</v>
      </c>
      <c r="AP28" s="13">
        <v>2943</v>
      </c>
      <c r="AQ28" s="17">
        <f t="shared" si="9"/>
        <v>0</v>
      </c>
      <c r="AR28" s="17">
        <f t="shared" si="10"/>
        <v>0</v>
      </c>
      <c r="AS28" s="18">
        <f t="shared" si="11"/>
        <v>26.2</v>
      </c>
      <c r="AT28" s="17">
        <f t="shared" si="12"/>
        <v>8.96</v>
      </c>
    </row>
    <row r="29" spans="1:46">
      <c r="A29" s="6">
        <v>43582</v>
      </c>
      <c r="B29" s="5" t="s">
        <v>50</v>
      </c>
      <c r="C29" s="4">
        <v>33805545</v>
      </c>
      <c r="D29" s="4">
        <v>20732337</v>
      </c>
      <c r="E29" s="4">
        <v>16089419</v>
      </c>
      <c r="F29" s="4">
        <v>15594016</v>
      </c>
      <c r="G29" s="4">
        <v>295699543</v>
      </c>
      <c r="H29" s="4">
        <v>106478701</v>
      </c>
      <c r="I29" s="4">
        <v>295699257</v>
      </c>
      <c r="J29" s="4">
        <v>106478696</v>
      </c>
      <c r="K29" s="4"/>
      <c r="L29" s="5">
        <v>4299.8</v>
      </c>
      <c r="M29" s="5">
        <v>4430.33</v>
      </c>
      <c r="N29" s="5">
        <v>74078.68</v>
      </c>
      <c r="O29" s="5"/>
      <c r="P29" s="5"/>
      <c r="Q29" s="10">
        <v>21</v>
      </c>
      <c r="R29" s="11" t="s">
        <v>46</v>
      </c>
      <c r="S29" s="4">
        <v>510</v>
      </c>
      <c r="T29" s="4">
        <v>520</v>
      </c>
      <c r="U29" s="4">
        <v>9464</v>
      </c>
      <c r="V29" s="4">
        <v>7844</v>
      </c>
      <c r="W29" s="5">
        <v>6.95</v>
      </c>
      <c r="X29" s="5">
        <v>5.57</v>
      </c>
      <c r="Y29" s="4">
        <v>1440</v>
      </c>
      <c r="Z29" s="4"/>
      <c r="AA29" s="13">
        <f t="shared" ref="AA29:AF29" si="38">IF(OR(C30=""),"",C30-C29)</f>
        <v>47926</v>
      </c>
      <c r="AB29" s="13">
        <f t="shared" si="38"/>
        <v>59857</v>
      </c>
      <c r="AC29" s="13">
        <f t="shared" si="38"/>
        <v>53771</v>
      </c>
      <c r="AD29" s="13">
        <f t="shared" si="38"/>
        <v>54776</v>
      </c>
      <c r="AE29" s="13">
        <f t="shared" si="38"/>
        <v>208705</v>
      </c>
      <c r="AF29" s="13">
        <f t="shared" si="38"/>
        <v>5409</v>
      </c>
      <c r="AG29" s="13">
        <f t="shared" si="1"/>
        <v>7625</v>
      </c>
      <c r="AH29" s="13">
        <f t="shared" si="2"/>
        <v>209634</v>
      </c>
      <c r="AI29" s="13">
        <f t="shared" si="3"/>
        <v>5424</v>
      </c>
      <c r="AJ29" s="13">
        <f t="shared" si="4"/>
        <v>204210</v>
      </c>
      <c r="AK29" s="13">
        <v>3800</v>
      </c>
      <c r="AL29" s="13">
        <f t="shared" si="5"/>
        <v>0</v>
      </c>
      <c r="AM29" s="13">
        <f t="shared" si="6"/>
        <v>0</v>
      </c>
      <c r="AN29" s="13">
        <f t="shared" si="7"/>
        <v>3621</v>
      </c>
      <c r="AO29" s="13">
        <f t="shared" si="8"/>
        <v>1248</v>
      </c>
      <c r="AP29" s="13">
        <v>2566</v>
      </c>
      <c r="AQ29" s="17">
        <f t="shared" si="9"/>
        <v>0</v>
      </c>
      <c r="AR29" s="17">
        <f t="shared" si="10"/>
        <v>0</v>
      </c>
      <c r="AS29" s="18">
        <f t="shared" si="11"/>
        <v>17.7</v>
      </c>
      <c r="AT29" s="17">
        <f t="shared" si="12"/>
        <v>6.11</v>
      </c>
    </row>
    <row r="30" spans="1:46">
      <c r="A30" s="6">
        <v>43583</v>
      </c>
      <c r="B30" s="5" t="s">
        <v>50</v>
      </c>
      <c r="C30" s="4">
        <v>33853471</v>
      </c>
      <c r="D30" s="4">
        <v>20792194</v>
      </c>
      <c r="E30" s="4">
        <v>16143190</v>
      </c>
      <c r="F30" s="4">
        <v>15648792</v>
      </c>
      <c r="G30" s="4">
        <v>295908248</v>
      </c>
      <c r="H30" s="4">
        <v>106484110</v>
      </c>
      <c r="I30" s="4">
        <v>295908891</v>
      </c>
      <c r="J30" s="4">
        <v>106484120</v>
      </c>
      <c r="K30" s="4"/>
      <c r="L30" s="5">
        <v>4299.8</v>
      </c>
      <c r="M30" s="5">
        <v>4430.33</v>
      </c>
      <c r="N30" s="5">
        <v>74078.68</v>
      </c>
      <c r="O30" s="5"/>
      <c r="P30" s="5"/>
      <c r="Q30" s="10">
        <v>23</v>
      </c>
      <c r="R30" s="4" t="s">
        <v>54</v>
      </c>
      <c r="S30" s="4">
        <v>400</v>
      </c>
      <c r="T30" s="4">
        <v>420</v>
      </c>
      <c r="U30" s="4">
        <v>9492</v>
      </c>
      <c r="V30" s="4">
        <v>8011</v>
      </c>
      <c r="W30" s="5">
        <v>7.96</v>
      </c>
      <c r="X30" s="5">
        <v>5.75</v>
      </c>
      <c r="Y30" s="4">
        <v>1440</v>
      </c>
      <c r="Z30" s="4"/>
      <c r="AA30" s="13">
        <f t="shared" ref="AA30:AF30" si="39">IF(OR(C31=""),"",C31-C30)</f>
        <v>48486</v>
      </c>
      <c r="AB30" s="13">
        <f t="shared" si="39"/>
        <v>59981</v>
      </c>
      <c r="AC30" s="13">
        <f t="shared" si="39"/>
        <v>54253</v>
      </c>
      <c r="AD30" s="13">
        <f t="shared" si="39"/>
        <v>55691</v>
      </c>
      <c r="AE30" s="13">
        <f t="shared" si="39"/>
        <v>213618</v>
      </c>
      <c r="AF30" s="13">
        <f t="shared" si="39"/>
        <v>5434</v>
      </c>
      <c r="AG30" s="13">
        <f t="shared" si="1"/>
        <v>4793</v>
      </c>
      <c r="AH30" s="13">
        <f t="shared" si="2"/>
        <v>213571</v>
      </c>
      <c r="AI30" s="13">
        <f t="shared" si="3"/>
        <v>5464</v>
      </c>
      <c r="AJ30" s="13">
        <f t="shared" si="4"/>
        <v>208107</v>
      </c>
      <c r="AK30" s="13">
        <v>4100</v>
      </c>
      <c r="AL30" s="13">
        <f t="shared" si="5"/>
        <v>0</v>
      </c>
      <c r="AM30" s="13">
        <f t="shared" si="6"/>
        <v>0</v>
      </c>
      <c r="AN30" s="13">
        <f t="shared" si="7"/>
        <v>2840</v>
      </c>
      <c r="AO30" s="13">
        <f t="shared" si="8"/>
        <v>1008</v>
      </c>
      <c r="AP30" s="13">
        <v>2866</v>
      </c>
      <c r="AQ30" s="17">
        <f t="shared" si="9"/>
        <v>0</v>
      </c>
      <c r="AR30" s="17">
        <f t="shared" si="10"/>
        <v>0</v>
      </c>
      <c r="AS30" s="18">
        <f t="shared" si="11"/>
        <v>13.6</v>
      </c>
      <c r="AT30" s="17">
        <f t="shared" si="12"/>
        <v>4.84</v>
      </c>
    </row>
    <row r="31" spans="1:46">
      <c r="A31" s="6">
        <v>43584</v>
      </c>
      <c r="B31" s="5" t="s">
        <v>50</v>
      </c>
      <c r="C31" s="4">
        <v>33901957</v>
      </c>
      <c r="D31" s="4">
        <v>20852175</v>
      </c>
      <c r="E31" s="4">
        <v>16197443</v>
      </c>
      <c r="F31" s="4">
        <v>15704483</v>
      </c>
      <c r="G31" s="4">
        <v>296121866</v>
      </c>
      <c r="H31" s="4">
        <v>106489544</v>
      </c>
      <c r="I31" s="4">
        <v>296122462</v>
      </c>
      <c r="J31" s="4">
        <v>106489584</v>
      </c>
      <c r="K31" s="4"/>
      <c r="L31" s="5">
        <v>4299.8</v>
      </c>
      <c r="M31" s="5">
        <v>4430.33</v>
      </c>
      <c r="N31" s="5">
        <v>74078.68</v>
      </c>
      <c r="O31" s="5"/>
      <c r="P31" s="5"/>
      <c r="Q31" s="10">
        <v>22</v>
      </c>
      <c r="R31" s="4" t="s">
        <v>54</v>
      </c>
      <c r="S31" s="4">
        <v>350</v>
      </c>
      <c r="T31" s="4">
        <v>370</v>
      </c>
      <c r="U31" s="4">
        <v>9527</v>
      </c>
      <c r="V31" s="4">
        <v>8164</v>
      </c>
      <c r="W31" s="5">
        <v>7.95</v>
      </c>
      <c r="X31" s="5">
        <v>6.89</v>
      </c>
      <c r="Y31" s="4">
        <v>1440</v>
      </c>
      <c r="Z31" s="4"/>
      <c r="AA31" s="13">
        <f t="shared" ref="AA31:AF31" si="40">IF(OR(C32=""),"",C32-C31)</f>
        <v>47899</v>
      </c>
      <c r="AB31" s="13">
        <f t="shared" si="40"/>
        <v>59473</v>
      </c>
      <c r="AC31" s="13">
        <f t="shared" si="40"/>
        <v>54160</v>
      </c>
      <c r="AD31" s="13">
        <f t="shared" si="40"/>
        <v>55155</v>
      </c>
      <c r="AE31" s="13">
        <f t="shared" si="40"/>
        <v>213401</v>
      </c>
      <c r="AF31" s="13">
        <f t="shared" si="40"/>
        <v>5429</v>
      </c>
      <c r="AG31" s="13">
        <f t="shared" si="1"/>
        <v>3286</v>
      </c>
      <c r="AH31" s="13">
        <f t="shared" si="2"/>
        <v>213270</v>
      </c>
      <c r="AI31" s="13">
        <f t="shared" si="3"/>
        <v>5448</v>
      </c>
      <c r="AJ31" s="13">
        <f t="shared" si="4"/>
        <v>207822</v>
      </c>
      <c r="AK31" s="13">
        <v>4000</v>
      </c>
      <c r="AL31" s="13">
        <f t="shared" si="5"/>
        <v>0</v>
      </c>
      <c r="AM31" s="13">
        <f t="shared" si="6"/>
        <v>0</v>
      </c>
      <c r="AN31" s="13">
        <f t="shared" si="7"/>
        <v>2485</v>
      </c>
      <c r="AO31" s="13">
        <f t="shared" si="8"/>
        <v>888</v>
      </c>
      <c r="AP31" s="13">
        <v>2555</v>
      </c>
      <c r="AQ31" s="17">
        <f t="shared" si="9"/>
        <v>0</v>
      </c>
      <c r="AR31" s="17">
        <f t="shared" si="10"/>
        <v>0</v>
      </c>
      <c r="AS31" s="18">
        <f t="shared" si="11"/>
        <v>12</v>
      </c>
      <c r="AT31" s="17">
        <f t="shared" si="12"/>
        <v>4.27</v>
      </c>
    </row>
    <row r="32" spans="1:46">
      <c r="A32" s="6">
        <v>43585</v>
      </c>
      <c r="B32" s="5" t="s">
        <v>55</v>
      </c>
      <c r="C32" s="4">
        <v>33949856</v>
      </c>
      <c r="D32" s="4">
        <v>20911648</v>
      </c>
      <c r="E32" s="4">
        <v>16251603</v>
      </c>
      <c r="F32" s="4">
        <v>15759638</v>
      </c>
      <c r="G32" s="4">
        <v>296335267</v>
      </c>
      <c r="H32" s="4">
        <v>106494973</v>
      </c>
      <c r="I32" s="4">
        <v>296335732</v>
      </c>
      <c r="J32" s="4">
        <v>106495032</v>
      </c>
      <c r="K32" s="4"/>
      <c r="L32" s="5">
        <v>4299.8</v>
      </c>
      <c r="M32" s="5">
        <v>4430.33</v>
      </c>
      <c r="N32" s="5">
        <v>74078.68</v>
      </c>
      <c r="O32" s="5"/>
      <c r="P32" s="5"/>
      <c r="Q32" s="10">
        <v>23.5</v>
      </c>
      <c r="R32" s="11" t="s">
        <v>46</v>
      </c>
      <c r="S32" s="4">
        <v>300</v>
      </c>
      <c r="T32" s="4">
        <v>320</v>
      </c>
      <c r="U32" s="4">
        <v>9451</v>
      </c>
      <c r="V32" s="4">
        <v>8967</v>
      </c>
      <c r="W32" s="5">
        <v>7.45</v>
      </c>
      <c r="X32" s="5">
        <v>6.08</v>
      </c>
      <c r="Y32" s="4">
        <v>1440</v>
      </c>
      <c r="Z32" s="4"/>
      <c r="AA32" s="13">
        <f t="shared" ref="AA32:AF32" si="41">IF(OR(C33=""),"",C33-C32)</f>
        <v>47670</v>
      </c>
      <c r="AB32" s="13">
        <f t="shared" si="41"/>
        <v>59302</v>
      </c>
      <c r="AC32" s="13">
        <f t="shared" si="41"/>
        <v>53677</v>
      </c>
      <c r="AD32" s="13">
        <f t="shared" si="41"/>
        <v>54610</v>
      </c>
      <c r="AE32" s="13">
        <f t="shared" si="41"/>
        <v>213744</v>
      </c>
      <c r="AF32" s="13">
        <f t="shared" si="41"/>
        <v>5459</v>
      </c>
      <c r="AG32" s="13">
        <f t="shared" si="1"/>
        <v>1515</v>
      </c>
      <c r="AH32" s="13">
        <f t="shared" si="2"/>
        <v>213285</v>
      </c>
      <c r="AI32" s="13">
        <f t="shared" si="3"/>
        <v>5400</v>
      </c>
      <c r="AJ32" s="13">
        <f t="shared" si="4"/>
        <v>207885</v>
      </c>
      <c r="AK32" s="13">
        <v>4000</v>
      </c>
      <c r="AL32" s="13">
        <f t="shared" si="5"/>
        <v>0</v>
      </c>
      <c r="AM32" s="13">
        <f t="shared" si="6"/>
        <v>0</v>
      </c>
      <c r="AN32" s="13">
        <f t="shared" si="7"/>
        <v>2130</v>
      </c>
      <c r="AO32" s="13">
        <f t="shared" si="8"/>
        <v>768</v>
      </c>
      <c r="AP32" s="13">
        <v>2610</v>
      </c>
      <c r="AQ32" s="17">
        <f t="shared" si="9"/>
        <v>0</v>
      </c>
      <c r="AR32" s="17">
        <f t="shared" si="10"/>
        <v>0</v>
      </c>
      <c r="AS32" s="18">
        <f t="shared" si="11"/>
        <v>10.2</v>
      </c>
      <c r="AT32" s="17">
        <f t="shared" si="12"/>
        <v>3.69</v>
      </c>
    </row>
    <row r="33" spans="1:46">
      <c r="A33" s="6">
        <v>43586</v>
      </c>
      <c r="B33" s="5" t="s">
        <v>45</v>
      </c>
      <c r="C33" s="4">
        <v>33997526</v>
      </c>
      <c r="D33" s="4">
        <v>20970950</v>
      </c>
      <c r="E33" s="4">
        <v>16305280</v>
      </c>
      <c r="F33" s="4">
        <v>15814248</v>
      </c>
      <c r="G33" s="4">
        <v>296549011</v>
      </c>
      <c r="H33" s="4">
        <v>106500432</v>
      </c>
      <c r="I33" s="4">
        <v>296549017</v>
      </c>
      <c r="J33" s="4">
        <v>106500432</v>
      </c>
      <c r="K33" s="4"/>
      <c r="L33" s="5">
        <v>4299.8</v>
      </c>
      <c r="M33" s="5">
        <v>4430.33</v>
      </c>
      <c r="N33" s="5">
        <v>74078.68</v>
      </c>
      <c r="O33" s="5"/>
      <c r="P33" s="5"/>
      <c r="Q33" s="10"/>
      <c r="R33" s="4"/>
      <c r="S33" s="4"/>
      <c r="T33" s="4"/>
      <c r="U33" s="4"/>
      <c r="V33" s="4"/>
      <c r="W33" s="5"/>
      <c r="X33" s="5"/>
      <c r="Y33" s="4"/>
      <c r="Z33" s="4"/>
      <c r="AA33" s="13" t="str">
        <f t="shared" ref="AA33:AF33" si="42">IF(OR(C34=""),"",C34-C33)</f>
        <v/>
      </c>
      <c r="AB33" s="13" t="str">
        <f t="shared" si="42"/>
        <v/>
      </c>
      <c r="AC33" s="13" t="str">
        <f t="shared" si="42"/>
        <v/>
      </c>
      <c r="AD33" s="13" t="str">
        <f t="shared" si="42"/>
        <v/>
      </c>
      <c r="AE33" s="13" t="str">
        <f t="shared" si="42"/>
        <v/>
      </c>
      <c r="AF33" s="13" t="str">
        <f t="shared" si="42"/>
        <v/>
      </c>
      <c r="AG33" s="13" t="str">
        <f t="shared" si="1"/>
        <v/>
      </c>
      <c r="AH33" s="13" t="str">
        <f t="shared" si="2"/>
        <v/>
      </c>
      <c r="AI33" s="13" t="str">
        <f t="shared" si="3"/>
        <v/>
      </c>
      <c r="AJ33" s="13" t="str">
        <f t="shared" si="4"/>
        <v/>
      </c>
      <c r="AK33" s="13" t="str">
        <f t="shared" ref="AK33" si="43">IF(K33="","",K34-K33)</f>
        <v/>
      </c>
      <c r="AL33" s="13" t="str">
        <f t="shared" si="5"/>
        <v/>
      </c>
      <c r="AM33" s="13" t="str">
        <f t="shared" si="6"/>
        <v/>
      </c>
      <c r="AN33" s="13" t="str">
        <f t="shared" si="7"/>
        <v/>
      </c>
      <c r="AO33" s="13" t="str">
        <f t="shared" si="8"/>
        <v/>
      </c>
      <c r="AP33" s="13"/>
      <c r="AQ33" s="17" t="str">
        <f t="shared" si="9"/>
        <v/>
      </c>
      <c r="AR33" s="17" t="str">
        <f t="shared" si="10"/>
        <v/>
      </c>
      <c r="AS33" s="18" t="str">
        <f t="shared" si="11"/>
        <v/>
      </c>
      <c r="AT33" s="17" t="str">
        <f t="shared" si="12"/>
        <v/>
      </c>
    </row>
    <row r="34" spans="1:46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10"/>
      <c r="R34" s="4"/>
      <c r="Z34" s="14"/>
      <c r="AK34" s="15"/>
      <c r="AN34" s="1"/>
      <c r="AO34" s="1"/>
      <c r="AP34" s="1"/>
      <c r="AQ34" s="12"/>
      <c r="AR34" s="2"/>
      <c r="AS34" s="12"/>
      <c r="AT34" s="2"/>
    </row>
    <row r="35" spans="16:46">
      <c r="P35" s="2"/>
      <c r="Q35" s="12"/>
      <c r="AK35" s="15"/>
      <c r="AN35" s="1"/>
      <c r="AO35" s="1"/>
      <c r="AP35" s="1"/>
      <c r="AQ35" s="12"/>
      <c r="AR35" s="2"/>
      <c r="AS35" s="12"/>
      <c r="AT35" s="2"/>
    </row>
    <row r="36" spans="16:46">
      <c r="P36" s="2"/>
      <c r="Q36" s="12"/>
      <c r="AA36" s="1" t="str">
        <f t="shared" ref="AA36:AF36" si="44">IF(OR(C37=""),"",C37-C36)</f>
        <v/>
      </c>
      <c r="AB36" s="1" t="str">
        <f t="shared" si="44"/>
        <v/>
      </c>
      <c r="AC36" s="1" t="str">
        <f t="shared" si="44"/>
        <v/>
      </c>
      <c r="AD36" s="1" t="str">
        <f t="shared" si="44"/>
        <v/>
      </c>
      <c r="AE36" s="1" t="str">
        <f t="shared" si="44"/>
        <v/>
      </c>
      <c r="AF36" s="1" t="str">
        <f t="shared" si="44"/>
        <v/>
      </c>
      <c r="AG36" s="1" t="str">
        <f>IF(OR(AA36="",AB36="",AC36=""),"",AA36+AB36+AC36+AD36-AE36)</f>
        <v/>
      </c>
      <c r="AH36" s="16">
        <f t="shared" ref="AH36:AO36" si="45">SUM(AH3:AH34)</f>
        <v>6201434</v>
      </c>
      <c r="AI36" s="16">
        <f t="shared" si="45"/>
        <v>162621</v>
      </c>
      <c r="AJ36" s="16">
        <f t="shared" si="45"/>
        <v>6038813</v>
      </c>
      <c r="AK36" s="16">
        <f t="shared" si="45"/>
        <v>135400</v>
      </c>
      <c r="AL36" s="16">
        <f t="shared" si="45"/>
        <v>31392</v>
      </c>
      <c r="AM36" s="16">
        <f t="shared" si="45"/>
        <v>31</v>
      </c>
      <c r="AN36" s="16">
        <f t="shared" si="45"/>
        <v>118144</v>
      </c>
      <c r="AO36" s="16">
        <f t="shared" si="45"/>
        <v>40392</v>
      </c>
      <c r="AP36" s="16"/>
      <c r="AQ36" s="19">
        <f>IF(OR($AJ36=0),"",ROUND(AL36/$AJ36*1000,1))</f>
        <v>5.2</v>
      </c>
      <c r="AR36" s="19">
        <f>IF(OR($AJ36=0),"",ROUND(AM36/$AJ36*1000,2))</f>
        <v>0.01</v>
      </c>
      <c r="AS36" s="20">
        <f>IF(OR($AJ36=0),"",ROUND(AN36/$AJ36*1000,1))</f>
        <v>19.6</v>
      </c>
      <c r="AT36" s="19">
        <f>IF(OR($AJ36=0),"",ROUND(AO36/$AJ36*1000,2))</f>
        <v>6.69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pageSetup paperSize="9" orientation="portrait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43"/>
  <sheetViews>
    <sheetView showGridLines="0" zoomScale="110" zoomScaleNormal="110" workbookViewId="0">
      <pane xSplit="2" ySplit="2" topLeftCell="Q3" activePane="bottomRight" state="frozen"/>
      <selection/>
      <selection pane="topRight"/>
      <selection pane="bottomLeft"/>
      <selection pane="bottomRight" activeCell="AP2" sqref="AP2"/>
    </sheetView>
  </sheetViews>
  <sheetFormatPr defaultColWidth="10.6666666666667" defaultRowHeight="14.25"/>
  <cols>
    <col min="1" max="1" width="7.44166666666667" style="1" customWidth="1"/>
    <col min="2" max="2" width="8.66666666666667" style="2" customWidth="1"/>
    <col min="3" max="3" width="11.8833333333333" style="1" customWidth="1"/>
    <col min="4" max="4" width="12.3333333333333" style="1" customWidth="1"/>
    <col min="5" max="5" width="12.1083333333333" style="1" customWidth="1"/>
    <col min="6" max="6" width="12.2166666666667" style="1" customWidth="1"/>
    <col min="7" max="7" width="13.6666666666667" style="1" customWidth="1"/>
    <col min="8" max="8" width="13.3333333333333" style="1" customWidth="1"/>
    <col min="9" max="9" width="14" style="1" customWidth="1"/>
    <col min="10" max="10" width="13.8833333333333" style="1" customWidth="1"/>
    <col min="11" max="11" width="8" style="1" customWidth="1"/>
    <col min="12" max="13" width="8.33333333333333" style="2" customWidth="1"/>
    <col min="14" max="14" width="9.66666666666667" style="2" customWidth="1"/>
    <col min="15" max="15" width="8.33333333333333" style="2" customWidth="1"/>
    <col min="16" max="16" width="9.66666666666667" style="1" customWidth="1"/>
    <col min="17" max="18" width="8.10833333333333" style="1" customWidth="1"/>
    <col min="19" max="19" width="7.66666666666667" style="1" customWidth="1"/>
    <col min="20" max="22" width="8.10833333333333" style="1" customWidth="1"/>
    <col min="23" max="24" width="8.10833333333333" style="2" customWidth="1"/>
    <col min="25" max="25" width="8.10833333333333" style="1" customWidth="1"/>
    <col min="26" max="26" width="15.6666666666667" style="1" customWidth="1"/>
    <col min="27" max="31" width="8.10833333333333" style="1" customWidth="1"/>
    <col min="32" max="32" width="7.44166666666667" style="1" customWidth="1"/>
    <col min="33" max="33" width="8.10833333333333" style="1" customWidth="1"/>
    <col min="34" max="34" width="9.44166666666667" style="1" customWidth="1"/>
    <col min="35" max="36" width="8.10833333333333" style="1" customWidth="1"/>
    <col min="37" max="37" width="6.66666666666667" style="1" customWidth="1"/>
    <col min="38" max="38" width="7.10833333333333" style="1" customWidth="1"/>
    <col min="39" max="39" width="6.66666666666667" style="1" customWidth="1"/>
    <col min="40" max="40" width="6.66666666666667" style="2" customWidth="1"/>
    <col min="41" max="42" width="8.10833333333333" style="2" customWidth="1"/>
    <col min="43" max="43" width="7.775" style="3" customWidth="1"/>
    <col min="44" max="44" width="8.66666666666667" style="3" customWidth="1"/>
    <col min="45" max="45" width="8.21666666666667" style="3" customWidth="1"/>
    <col min="46" max="46" width="8.10833333333333" style="3" customWidth="1"/>
    <col min="47" max="16384" width="10.6666666666667" style="3"/>
  </cols>
  <sheetData>
    <row r="2" ht="42.75" spans="1:46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3" t="s">
        <v>34</v>
      </c>
      <c r="AK2" s="13" t="s">
        <v>35</v>
      </c>
      <c r="AL2" s="13" t="s">
        <v>36</v>
      </c>
      <c r="AM2" s="13" t="s">
        <v>37</v>
      </c>
      <c r="AN2" s="7" t="s">
        <v>38</v>
      </c>
      <c r="AO2" s="7" t="s">
        <v>39</v>
      </c>
      <c r="AP2" s="26" t="s">
        <v>40</v>
      </c>
      <c r="AQ2" s="13" t="s">
        <v>41</v>
      </c>
      <c r="AR2" s="13" t="s">
        <v>42</v>
      </c>
      <c r="AS2" s="7" t="s">
        <v>43</v>
      </c>
      <c r="AT2" s="7" t="s">
        <v>44</v>
      </c>
    </row>
    <row r="3" spans="1:46">
      <c r="A3" s="6">
        <v>43586</v>
      </c>
      <c r="B3" s="7" t="str">
        <f>'4'!B33</f>
        <v>胡叶青</v>
      </c>
      <c r="C3" s="7">
        <f>'4'!C33</f>
        <v>33997526</v>
      </c>
      <c r="D3" s="7">
        <f>'4'!D33</f>
        <v>20970950</v>
      </c>
      <c r="E3" s="7">
        <f>'4'!E33</f>
        <v>16305280</v>
      </c>
      <c r="F3" s="7">
        <f>'4'!F33</f>
        <v>15814248</v>
      </c>
      <c r="G3" s="7">
        <f>'4'!G33</f>
        <v>296549011</v>
      </c>
      <c r="H3" s="7">
        <f>'4'!H33</f>
        <v>106500432</v>
      </c>
      <c r="I3" s="7">
        <f>'4'!I33</f>
        <v>296549017</v>
      </c>
      <c r="J3" s="7">
        <f>'4'!J33</f>
        <v>106500432</v>
      </c>
      <c r="K3" s="7">
        <f>'4'!K33</f>
        <v>0</v>
      </c>
      <c r="L3" s="7">
        <f>'4'!L33</f>
        <v>4299.8</v>
      </c>
      <c r="M3" s="7">
        <f>'4'!M33</f>
        <v>4430.33</v>
      </c>
      <c r="N3" s="7">
        <f>'4'!N33</f>
        <v>74078.68</v>
      </c>
      <c r="O3" s="7">
        <f>'4'!O33</f>
        <v>0</v>
      </c>
      <c r="P3" s="7">
        <f>'4'!P33</f>
        <v>0</v>
      </c>
      <c r="Q3" s="7">
        <f>'4'!Q33</f>
        <v>0</v>
      </c>
      <c r="R3" s="7">
        <f>'4'!R33</f>
        <v>0</v>
      </c>
      <c r="S3" s="4">
        <v>250</v>
      </c>
      <c r="T3" s="4">
        <v>260</v>
      </c>
      <c r="U3" s="4">
        <v>9245</v>
      </c>
      <c r="V3" s="4">
        <v>7845</v>
      </c>
      <c r="W3" s="5">
        <v>6.58</v>
      </c>
      <c r="X3" s="5">
        <v>4.78</v>
      </c>
      <c r="Y3" s="4">
        <v>1440</v>
      </c>
      <c r="Z3" s="4"/>
      <c r="AA3" s="13">
        <f t="shared" ref="AA3:AF3" si="0">IF(OR(C4=""),"",C4-C3)</f>
        <v>49181</v>
      </c>
      <c r="AB3" s="13">
        <f t="shared" si="0"/>
        <v>60656</v>
      </c>
      <c r="AC3" s="13">
        <f t="shared" si="0"/>
        <v>55728</v>
      </c>
      <c r="AD3" s="13">
        <f t="shared" si="0"/>
        <v>57075</v>
      </c>
      <c r="AE3" s="13">
        <f t="shared" si="0"/>
        <v>212786</v>
      </c>
      <c r="AF3" s="13">
        <f t="shared" si="0"/>
        <v>5432</v>
      </c>
      <c r="AG3" s="13">
        <f t="shared" ref="AG3:AG33" si="1">IF(OR(AA3="",AB3="",AC3=""),"",AA3+AB3+AC3+AD3-AE3)</f>
        <v>9854</v>
      </c>
      <c r="AH3" s="13">
        <f t="shared" ref="AH3:AH33" si="2">IF(OR(I4=""),"",I4-I3)</f>
        <v>212780</v>
      </c>
      <c r="AI3" s="13">
        <f t="shared" ref="AI3:AI33" si="3">IF(OR(J4=""),"",J4-J3)</f>
        <v>5432</v>
      </c>
      <c r="AJ3" s="13">
        <f t="shared" ref="AJ3:AJ33" si="4">IF(OR(AH3="",AI3=""),"",AH3-AI3)</f>
        <v>207348</v>
      </c>
      <c r="AK3" s="13">
        <v>3100</v>
      </c>
      <c r="AL3" s="13">
        <f t="shared" ref="AL3:AL33" si="5">IF(OR(L4="",M4=""),"",ROUND((L4-L3+M4-M3)*1200,0))</f>
        <v>0</v>
      </c>
      <c r="AM3" s="13">
        <f t="shared" ref="AM3:AM33" si="6">IF(OR(N4=""),"",(ROUND((N4-N3)*2,0)))</f>
        <v>0</v>
      </c>
      <c r="AN3" s="13">
        <f t="shared" ref="AN3:AN33" si="7">IF(OR(S3=""),"",ROUND(S3*7.1,0))</f>
        <v>1775</v>
      </c>
      <c r="AO3" s="13">
        <f t="shared" ref="AO3:AO33" si="8">IF(OR(T3=""),"",ROUND(T3*2.4,0))</f>
        <v>624</v>
      </c>
      <c r="AP3" s="13">
        <v>2560</v>
      </c>
      <c r="AQ3" s="17">
        <f t="shared" ref="AQ3:AQ33" si="9">IF(OR($AJ3=""),"",ROUND(AL3/$AJ3*1000,1))</f>
        <v>0</v>
      </c>
      <c r="AR3" s="17">
        <f t="shared" ref="AR3:AR33" si="10">IF(OR($AJ3=""),"",ROUND(AM3/$AJ3*1000,2))</f>
        <v>0</v>
      </c>
      <c r="AS3" s="18">
        <f t="shared" ref="AS3:AS33" si="11">IF(OR($AJ3=""),"",ROUND(AN3/$AJ3*1000,1))</f>
        <v>8.6</v>
      </c>
      <c r="AT3" s="17">
        <f t="shared" ref="AT3:AT33" si="12">IF(OR($AJ3=""),"",ROUND(AO3/$AJ3*1000,2))</f>
        <v>3.01</v>
      </c>
    </row>
    <row r="4" spans="1:46">
      <c r="A4" s="6">
        <v>43587</v>
      </c>
      <c r="B4" s="5" t="s">
        <v>48</v>
      </c>
      <c r="C4" s="4">
        <v>34046707</v>
      </c>
      <c r="D4" s="4">
        <v>21031606</v>
      </c>
      <c r="E4" s="4">
        <v>16361008</v>
      </c>
      <c r="F4" s="4">
        <v>15871323</v>
      </c>
      <c r="G4" s="4">
        <v>296761797</v>
      </c>
      <c r="H4" s="4">
        <v>106505864</v>
      </c>
      <c r="I4" s="11">
        <v>296761797</v>
      </c>
      <c r="J4" s="4">
        <v>106505864</v>
      </c>
      <c r="K4" s="4"/>
      <c r="L4" s="5">
        <v>4299.8</v>
      </c>
      <c r="M4" s="5">
        <v>4430.33</v>
      </c>
      <c r="N4" s="5">
        <v>74078.68</v>
      </c>
      <c r="O4" s="5"/>
      <c r="P4" s="5"/>
      <c r="Q4" s="10">
        <v>21.4</v>
      </c>
      <c r="R4" s="4" t="s">
        <v>46</v>
      </c>
      <c r="S4" s="4">
        <v>330</v>
      </c>
      <c r="T4" s="4">
        <v>320</v>
      </c>
      <c r="U4" s="4">
        <v>9378</v>
      </c>
      <c r="V4" s="4">
        <v>8745</v>
      </c>
      <c r="W4" s="5">
        <v>4.95</v>
      </c>
      <c r="X4" s="5">
        <v>3.52</v>
      </c>
      <c r="Y4" s="4">
        <v>1440</v>
      </c>
      <c r="Z4" s="4"/>
      <c r="AA4" s="13">
        <f t="shared" ref="AA4:AF4" si="13">IF(OR(C5=""),"",C5-C4)</f>
        <v>48632</v>
      </c>
      <c r="AB4" s="13">
        <f t="shared" si="13"/>
        <v>59864</v>
      </c>
      <c r="AC4" s="13">
        <f t="shared" si="13"/>
        <v>55495</v>
      </c>
      <c r="AD4" s="13">
        <f t="shared" si="13"/>
        <v>56526</v>
      </c>
      <c r="AE4" s="13">
        <f t="shared" si="13"/>
        <v>210498</v>
      </c>
      <c r="AF4" s="13">
        <f t="shared" si="13"/>
        <v>5426</v>
      </c>
      <c r="AG4" s="13">
        <f t="shared" si="1"/>
        <v>10019</v>
      </c>
      <c r="AH4" s="13">
        <f t="shared" si="2"/>
        <v>210172</v>
      </c>
      <c r="AI4" s="13">
        <f t="shared" si="3"/>
        <v>5416</v>
      </c>
      <c r="AJ4" s="13">
        <f t="shared" si="4"/>
        <v>204756</v>
      </c>
      <c r="AK4" s="13">
        <v>4000</v>
      </c>
      <c r="AL4" s="13">
        <f t="shared" si="5"/>
        <v>84</v>
      </c>
      <c r="AM4" s="13">
        <f t="shared" si="6"/>
        <v>0</v>
      </c>
      <c r="AN4" s="13">
        <f t="shared" si="7"/>
        <v>2343</v>
      </c>
      <c r="AO4" s="13">
        <f t="shared" si="8"/>
        <v>768</v>
      </c>
      <c r="AP4" s="13">
        <v>3930</v>
      </c>
      <c r="AQ4" s="17">
        <f t="shared" si="9"/>
        <v>0.4</v>
      </c>
      <c r="AR4" s="17">
        <f t="shared" si="10"/>
        <v>0</v>
      </c>
      <c r="AS4" s="18">
        <f t="shared" si="11"/>
        <v>11.4</v>
      </c>
      <c r="AT4" s="17">
        <f t="shared" si="12"/>
        <v>3.75</v>
      </c>
    </row>
    <row r="5" spans="1:46">
      <c r="A5" s="6">
        <v>43588</v>
      </c>
      <c r="B5" s="5" t="s">
        <v>48</v>
      </c>
      <c r="C5" s="4">
        <v>34095339</v>
      </c>
      <c r="D5" s="4">
        <v>21091470</v>
      </c>
      <c r="E5" s="4">
        <v>16416503</v>
      </c>
      <c r="F5" s="4">
        <v>15927849</v>
      </c>
      <c r="G5" s="4">
        <v>296972295</v>
      </c>
      <c r="H5" s="4">
        <v>106511290</v>
      </c>
      <c r="I5" s="11">
        <v>296971969</v>
      </c>
      <c r="J5" s="4">
        <v>106511280</v>
      </c>
      <c r="K5" s="4"/>
      <c r="L5" s="5">
        <v>4299.8</v>
      </c>
      <c r="M5" s="5">
        <v>4430.4</v>
      </c>
      <c r="N5" s="5">
        <v>74078.85</v>
      </c>
      <c r="O5" s="5"/>
      <c r="P5" s="5"/>
      <c r="Q5" s="10">
        <v>22</v>
      </c>
      <c r="R5" s="4" t="s">
        <v>46</v>
      </c>
      <c r="S5" s="4">
        <v>300</v>
      </c>
      <c r="T5" s="4">
        <v>320</v>
      </c>
      <c r="U5" s="4">
        <v>9475</v>
      </c>
      <c r="V5" s="4">
        <v>8088</v>
      </c>
      <c r="W5" s="5">
        <v>4.56</v>
      </c>
      <c r="X5" s="5">
        <v>2.71</v>
      </c>
      <c r="Y5" s="4">
        <v>1377</v>
      </c>
      <c r="Z5" s="4"/>
      <c r="AA5" s="13">
        <f t="shared" ref="AA5:AF5" si="14">IF(OR(C6=""),"",C6-C5)</f>
        <v>46139</v>
      </c>
      <c r="AB5" s="13">
        <f t="shared" si="14"/>
        <v>56999</v>
      </c>
      <c r="AC5" s="13">
        <f t="shared" si="14"/>
        <v>52880</v>
      </c>
      <c r="AD5" s="13">
        <f t="shared" si="14"/>
        <v>53771</v>
      </c>
      <c r="AE5" s="13">
        <f t="shared" si="14"/>
        <v>211120</v>
      </c>
      <c r="AF5" s="13">
        <f t="shared" si="14"/>
        <v>5413</v>
      </c>
      <c r="AG5" s="13">
        <f t="shared" si="1"/>
        <v>-1331</v>
      </c>
      <c r="AH5" s="13">
        <f t="shared" si="2"/>
        <v>211662</v>
      </c>
      <c r="AI5" s="13">
        <f t="shared" si="3"/>
        <v>5425</v>
      </c>
      <c r="AJ5" s="13">
        <f t="shared" si="4"/>
        <v>206237</v>
      </c>
      <c r="AK5" s="13">
        <v>4100</v>
      </c>
      <c r="AL5" s="13">
        <f t="shared" si="5"/>
        <v>0</v>
      </c>
      <c r="AM5" s="13">
        <f t="shared" si="6"/>
        <v>0</v>
      </c>
      <c r="AN5" s="13">
        <f t="shared" si="7"/>
        <v>2130</v>
      </c>
      <c r="AO5" s="13">
        <f t="shared" si="8"/>
        <v>768</v>
      </c>
      <c r="AP5" s="13">
        <v>4250</v>
      </c>
      <c r="AQ5" s="17">
        <f t="shared" si="9"/>
        <v>0</v>
      </c>
      <c r="AR5" s="17">
        <f t="shared" si="10"/>
        <v>0</v>
      </c>
      <c r="AS5" s="18">
        <f t="shared" si="11"/>
        <v>10.3</v>
      </c>
      <c r="AT5" s="17">
        <f t="shared" si="12"/>
        <v>3.72</v>
      </c>
    </row>
    <row r="6" spans="1:46">
      <c r="A6" s="6">
        <v>43589</v>
      </c>
      <c r="B6" s="5" t="s">
        <v>55</v>
      </c>
      <c r="C6" s="4">
        <v>34141478</v>
      </c>
      <c r="D6" s="4">
        <v>21148469</v>
      </c>
      <c r="E6" s="4">
        <v>16469383</v>
      </c>
      <c r="F6" s="4">
        <v>15981620</v>
      </c>
      <c r="G6" s="4">
        <v>297183415</v>
      </c>
      <c r="H6" s="4">
        <v>106516703</v>
      </c>
      <c r="I6" s="11">
        <v>297183631</v>
      </c>
      <c r="J6" s="4">
        <v>106516705</v>
      </c>
      <c r="K6" s="4"/>
      <c r="L6" s="5">
        <v>4299.8</v>
      </c>
      <c r="M6" s="5">
        <v>4430.4</v>
      </c>
      <c r="N6" s="5">
        <v>74078.85</v>
      </c>
      <c r="O6" s="5"/>
      <c r="P6" s="5"/>
      <c r="Q6" s="10">
        <v>22.5</v>
      </c>
      <c r="R6" s="4" t="s">
        <v>46</v>
      </c>
      <c r="S6" s="4">
        <v>600</v>
      </c>
      <c r="T6" s="4">
        <v>620</v>
      </c>
      <c r="U6" s="4">
        <v>9200</v>
      </c>
      <c r="V6" s="4">
        <v>7811</v>
      </c>
      <c r="W6" s="5">
        <v>5.9</v>
      </c>
      <c r="X6" s="5">
        <v>3</v>
      </c>
      <c r="Y6" s="4">
        <v>1260</v>
      </c>
      <c r="Z6" s="4"/>
      <c r="AA6" s="13">
        <f t="shared" ref="AA6:AF6" si="15">IF(OR(C7=""),"",C7-C6)</f>
        <v>46905</v>
      </c>
      <c r="AB6" s="13">
        <f t="shared" si="15"/>
        <v>58146</v>
      </c>
      <c r="AC6" s="13">
        <f t="shared" si="15"/>
        <v>53811</v>
      </c>
      <c r="AD6" s="13">
        <f t="shared" si="15"/>
        <v>53987</v>
      </c>
      <c r="AE6" s="13">
        <f t="shared" si="15"/>
        <v>206871</v>
      </c>
      <c r="AF6" s="13">
        <f t="shared" si="15"/>
        <v>5420</v>
      </c>
      <c r="AG6" s="13">
        <f t="shared" si="1"/>
        <v>5978</v>
      </c>
      <c r="AH6" s="13">
        <f t="shared" si="2"/>
        <v>206719</v>
      </c>
      <c r="AI6" s="13">
        <f t="shared" si="3"/>
        <v>5415</v>
      </c>
      <c r="AJ6" s="13">
        <f t="shared" si="4"/>
        <v>201304</v>
      </c>
      <c r="AK6" s="13">
        <v>3800</v>
      </c>
      <c r="AL6" s="13">
        <f t="shared" si="5"/>
        <v>0</v>
      </c>
      <c r="AM6" s="13">
        <f t="shared" si="6"/>
        <v>0</v>
      </c>
      <c r="AN6" s="13">
        <f t="shared" si="7"/>
        <v>4260</v>
      </c>
      <c r="AO6" s="13">
        <f t="shared" si="8"/>
        <v>1488</v>
      </c>
      <c r="AP6" s="13">
        <v>3844</v>
      </c>
      <c r="AQ6" s="17">
        <f t="shared" si="9"/>
        <v>0</v>
      </c>
      <c r="AR6" s="17">
        <f t="shared" si="10"/>
        <v>0</v>
      </c>
      <c r="AS6" s="18">
        <f t="shared" si="11"/>
        <v>21.2</v>
      </c>
      <c r="AT6" s="17">
        <f t="shared" si="12"/>
        <v>7.39</v>
      </c>
    </row>
    <row r="7" spans="1:46">
      <c r="A7" s="6">
        <v>43590</v>
      </c>
      <c r="B7" s="5" t="s">
        <v>50</v>
      </c>
      <c r="C7" s="4">
        <v>34188383</v>
      </c>
      <c r="D7" s="4">
        <v>21206615</v>
      </c>
      <c r="E7" s="4">
        <v>16523194</v>
      </c>
      <c r="F7" s="4">
        <v>16035607</v>
      </c>
      <c r="G7" s="4">
        <v>297390286</v>
      </c>
      <c r="H7" s="4">
        <v>106522123</v>
      </c>
      <c r="I7" s="11">
        <v>297390350</v>
      </c>
      <c r="J7" s="4">
        <v>106522120</v>
      </c>
      <c r="K7" s="4"/>
      <c r="L7" s="5">
        <v>4299.8</v>
      </c>
      <c r="M7" s="5">
        <v>4430.4</v>
      </c>
      <c r="N7" s="5">
        <v>74078.85</v>
      </c>
      <c r="O7" s="5"/>
      <c r="P7" s="5"/>
      <c r="Q7" s="10">
        <v>25</v>
      </c>
      <c r="R7" s="4" t="s">
        <v>46</v>
      </c>
      <c r="S7" s="4">
        <v>570</v>
      </c>
      <c r="T7" s="4">
        <v>590</v>
      </c>
      <c r="U7" s="4">
        <v>9370</v>
      </c>
      <c r="V7" s="4">
        <v>7795</v>
      </c>
      <c r="W7" s="5">
        <v>5.55</v>
      </c>
      <c r="X7" s="5">
        <v>4.21</v>
      </c>
      <c r="Y7" s="4">
        <v>1440</v>
      </c>
      <c r="Z7" s="4"/>
      <c r="AA7" s="13">
        <f t="shared" ref="AA7:AF7" si="16">IF(OR(C8=""),"",C8-C7)</f>
        <v>47004</v>
      </c>
      <c r="AB7" s="13">
        <f t="shared" si="16"/>
        <v>58425</v>
      </c>
      <c r="AC7" s="13">
        <f t="shared" si="16"/>
        <v>54101</v>
      </c>
      <c r="AD7" s="13">
        <f t="shared" si="16"/>
        <v>54647</v>
      </c>
      <c r="AE7" s="13">
        <f t="shared" si="16"/>
        <v>207972</v>
      </c>
      <c r="AF7" s="13">
        <f t="shared" si="16"/>
        <v>5289</v>
      </c>
      <c r="AG7" s="13">
        <f t="shared" si="1"/>
        <v>6205</v>
      </c>
      <c r="AH7" s="13">
        <f t="shared" si="2"/>
        <v>207786</v>
      </c>
      <c r="AI7" s="13">
        <f t="shared" si="3"/>
        <v>5288</v>
      </c>
      <c r="AJ7" s="13">
        <f t="shared" si="4"/>
        <v>202498</v>
      </c>
      <c r="AK7" s="13">
        <v>3600</v>
      </c>
      <c r="AL7" s="13">
        <f t="shared" si="5"/>
        <v>0</v>
      </c>
      <c r="AM7" s="13">
        <f t="shared" si="6"/>
        <v>0</v>
      </c>
      <c r="AN7" s="13">
        <f t="shared" si="7"/>
        <v>4047</v>
      </c>
      <c r="AO7" s="13">
        <f t="shared" si="8"/>
        <v>1416</v>
      </c>
      <c r="AP7" s="13">
        <v>3224</v>
      </c>
      <c r="AQ7" s="17">
        <f t="shared" si="9"/>
        <v>0</v>
      </c>
      <c r="AR7" s="17">
        <f t="shared" si="10"/>
        <v>0</v>
      </c>
      <c r="AS7" s="18">
        <f t="shared" si="11"/>
        <v>20</v>
      </c>
      <c r="AT7" s="17">
        <f t="shared" si="12"/>
        <v>6.99</v>
      </c>
    </row>
    <row r="8" spans="1:46">
      <c r="A8" s="6">
        <v>43591</v>
      </c>
      <c r="B8" s="5" t="s">
        <v>50</v>
      </c>
      <c r="C8" s="4">
        <v>34235387</v>
      </c>
      <c r="D8" s="4">
        <v>21265040</v>
      </c>
      <c r="E8" s="4">
        <v>16577295</v>
      </c>
      <c r="F8" s="4">
        <v>16090254</v>
      </c>
      <c r="G8" s="4">
        <v>297598258</v>
      </c>
      <c r="H8" s="4">
        <v>106527412</v>
      </c>
      <c r="I8" s="11">
        <v>297598136</v>
      </c>
      <c r="J8" s="4">
        <v>106527408</v>
      </c>
      <c r="K8" s="4"/>
      <c r="L8" s="5">
        <v>4299.8</v>
      </c>
      <c r="M8" s="5">
        <v>4430.4</v>
      </c>
      <c r="N8" s="5">
        <v>74078.85</v>
      </c>
      <c r="O8" s="5"/>
      <c r="P8" s="5"/>
      <c r="Q8" s="10">
        <v>26</v>
      </c>
      <c r="R8" s="4" t="s">
        <v>46</v>
      </c>
      <c r="S8" s="4">
        <v>700</v>
      </c>
      <c r="T8" s="4">
        <v>710</v>
      </c>
      <c r="U8" s="4">
        <v>9286</v>
      </c>
      <c r="V8" s="4">
        <v>8152</v>
      </c>
      <c r="W8" s="5">
        <v>5.49</v>
      </c>
      <c r="X8" s="5">
        <v>4.07</v>
      </c>
      <c r="Y8" s="4">
        <v>1440</v>
      </c>
      <c r="Z8" s="4"/>
      <c r="AA8" s="13">
        <f t="shared" ref="AA8:AF8" si="17">IF(OR(C9=""),"",C9-C8)</f>
        <v>47795</v>
      </c>
      <c r="AB8" s="13">
        <f t="shared" si="17"/>
        <v>59527</v>
      </c>
      <c r="AC8" s="13">
        <f t="shared" si="17"/>
        <v>53468</v>
      </c>
      <c r="AD8" s="13">
        <f t="shared" si="17"/>
        <v>54846</v>
      </c>
      <c r="AE8" s="13">
        <f t="shared" si="17"/>
        <v>211975</v>
      </c>
      <c r="AF8" s="13">
        <f t="shared" si="17"/>
        <v>5421</v>
      </c>
      <c r="AG8" s="13">
        <f t="shared" si="1"/>
        <v>3661</v>
      </c>
      <c r="AH8" s="13">
        <f t="shared" si="2"/>
        <v>212054</v>
      </c>
      <c r="AI8" s="13">
        <f t="shared" si="3"/>
        <v>5416</v>
      </c>
      <c r="AJ8" s="13">
        <f t="shared" si="4"/>
        <v>206638</v>
      </c>
      <c r="AK8" s="13">
        <v>4000</v>
      </c>
      <c r="AL8" s="13">
        <f t="shared" si="5"/>
        <v>0</v>
      </c>
      <c r="AM8" s="13">
        <f t="shared" si="6"/>
        <v>0</v>
      </c>
      <c r="AN8" s="13">
        <f t="shared" si="7"/>
        <v>4970</v>
      </c>
      <c r="AO8" s="13">
        <f t="shared" si="8"/>
        <v>1704</v>
      </c>
      <c r="AP8" s="13">
        <v>3568</v>
      </c>
      <c r="AQ8" s="17">
        <f t="shared" si="9"/>
        <v>0</v>
      </c>
      <c r="AR8" s="17">
        <f t="shared" si="10"/>
        <v>0</v>
      </c>
      <c r="AS8" s="18">
        <f t="shared" si="11"/>
        <v>24.1</v>
      </c>
      <c r="AT8" s="17">
        <f t="shared" si="12"/>
        <v>8.25</v>
      </c>
    </row>
    <row r="9" spans="1:46">
      <c r="A9" s="6">
        <v>43592</v>
      </c>
      <c r="B9" s="5" t="s">
        <v>50</v>
      </c>
      <c r="C9" s="4">
        <v>34283182</v>
      </c>
      <c r="D9" s="4">
        <v>21324567</v>
      </c>
      <c r="E9" s="4">
        <v>16630763</v>
      </c>
      <c r="F9" s="4">
        <v>16145100</v>
      </c>
      <c r="G9" s="4">
        <v>297810233</v>
      </c>
      <c r="H9" s="4">
        <v>106532833</v>
      </c>
      <c r="I9" s="11">
        <v>297810190</v>
      </c>
      <c r="J9" s="4">
        <v>106532824</v>
      </c>
      <c r="K9" s="4"/>
      <c r="L9" s="5">
        <v>4299.8</v>
      </c>
      <c r="M9" s="5">
        <v>4430.4</v>
      </c>
      <c r="N9" s="5">
        <v>74078.85</v>
      </c>
      <c r="O9" s="5"/>
      <c r="P9" s="5"/>
      <c r="Q9" s="10">
        <v>23.8</v>
      </c>
      <c r="R9" s="4" t="s">
        <v>46</v>
      </c>
      <c r="S9" s="4">
        <v>360</v>
      </c>
      <c r="T9" s="4">
        <v>370</v>
      </c>
      <c r="U9" s="4">
        <v>9240</v>
      </c>
      <c r="V9" s="4">
        <v>8860</v>
      </c>
      <c r="W9" s="5">
        <v>5.6</v>
      </c>
      <c r="X9" s="5">
        <v>3.8</v>
      </c>
      <c r="Y9" s="4">
        <v>1440</v>
      </c>
      <c r="Z9" s="4"/>
      <c r="AA9" s="13">
        <f t="shared" ref="AA9:AF9" si="18">IF(OR(C10=""),"",C10-C9)</f>
        <v>48286</v>
      </c>
      <c r="AB9" s="13">
        <f t="shared" si="18"/>
        <v>60328</v>
      </c>
      <c r="AC9" s="13">
        <f t="shared" si="18"/>
        <v>54971</v>
      </c>
      <c r="AD9" s="13">
        <f t="shared" si="18"/>
        <v>56795</v>
      </c>
      <c r="AE9" s="13">
        <f t="shared" si="18"/>
        <v>210764</v>
      </c>
      <c r="AF9" s="13">
        <f t="shared" si="18"/>
        <v>5396</v>
      </c>
      <c r="AG9" s="13">
        <f t="shared" si="1"/>
        <v>9616</v>
      </c>
      <c r="AH9" s="13">
        <f t="shared" si="2"/>
        <v>212171</v>
      </c>
      <c r="AI9" s="13">
        <f t="shared" si="3"/>
        <v>5432</v>
      </c>
      <c r="AJ9" s="13">
        <f t="shared" si="4"/>
        <v>206739</v>
      </c>
      <c r="AK9" s="13">
        <v>3900</v>
      </c>
      <c r="AL9" s="13">
        <f t="shared" si="5"/>
        <v>0</v>
      </c>
      <c r="AM9" s="13">
        <f t="shared" si="6"/>
        <v>0</v>
      </c>
      <c r="AN9" s="13">
        <f t="shared" si="7"/>
        <v>2556</v>
      </c>
      <c r="AO9" s="13">
        <f t="shared" si="8"/>
        <v>888</v>
      </c>
      <c r="AP9" s="13">
        <v>3450</v>
      </c>
      <c r="AQ9" s="17">
        <f t="shared" si="9"/>
        <v>0</v>
      </c>
      <c r="AR9" s="17">
        <f t="shared" si="10"/>
        <v>0</v>
      </c>
      <c r="AS9" s="18">
        <f t="shared" si="11"/>
        <v>12.4</v>
      </c>
      <c r="AT9" s="17">
        <f t="shared" si="12"/>
        <v>4.3</v>
      </c>
    </row>
    <row r="10" spans="1:46">
      <c r="A10" s="6">
        <v>43593</v>
      </c>
      <c r="B10" s="22" t="s">
        <v>58</v>
      </c>
      <c r="C10" s="4">
        <v>34331468</v>
      </c>
      <c r="D10" s="4">
        <v>21384895</v>
      </c>
      <c r="E10" s="4">
        <v>16685734</v>
      </c>
      <c r="F10" s="4">
        <v>16201895</v>
      </c>
      <c r="G10" s="4">
        <v>298020997</v>
      </c>
      <c r="H10" s="4">
        <v>106538229</v>
      </c>
      <c r="I10" s="11">
        <v>298022361</v>
      </c>
      <c r="J10" s="4">
        <v>106538256</v>
      </c>
      <c r="K10" s="4"/>
      <c r="L10" s="5">
        <v>4299.8</v>
      </c>
      <c r="M10" s="5">
        <v>4430.4</v>
      </c>
      <c r="N10" s="5">
        <v>74078.85</v>
      </c>
      <c r="O10" s="5"/>
      <c r="P10" s="5"/>
      <c r="Q10" s="10">
        <v>23.5</v>
      </c>
      <c r="R10" s="4" t="s">
        <v>46</v>
      </c>
      <c r="S10" s="4">
        <v>520</v>
      </c>
      <c r="T10" s="4">
        <v>540</v>
      </c>
      <c r="U10" s="4">
        <v>9317</v>
      </c>
      <c r="V10" s="4">
        <v>7063</v>
      </c>
      <c r="W10" s="5">
        <v>4.53</v>
      </c>
      <c r="X10" s="5">
        <v>2.52</v>
      </c>
      <c r="Y10" s="4">
        <v>1320</v>
      </c>
      <c r="Z10" s="4"/>
      <c r="AA10" s="13">
        <f t="shared" ref="AA10:AF10" si="19">IF(OR(C11=""),"",C11-C10)</f>
        <v>47312</v>
      </c>
      <c r="AB10" s="13">
        <f t="shared" si="19"/>
        <v>58408</v>
      </c>
      <c r="AC10" s="13">
        <f t="shared" si="19"/>
        <v>53470</v>
      </c>
      <c r="AD10" s="13">
        <f t="shared" si="19"/>
        <v>54864</v>
      </c>
      <c r="AE10" s="13">
        <f t="shared" si="19"/>
        <v>212087</v>
      </c>
      <c r="AF10" s="13">
        <f t="shared" si="19"/>
        <v>5460</v>
      </c>
      <c r="AG10" s="13">
        <f t="shared" si="1"/>
        <v>1967</v>
      </c>
      <c r="AH10" s="13">
        <f t="shared" si="2"/>
        <v>210565</v>
      </c>
      <c r="AI10" s="13">
        <f t="shared" si="3"/>
        <v>5424</v>
      </c>
      <c r="AJ10" s="13">
        <f t="shared" si="4"/>
        <v>205141</v>
      </c>
      <c r="AK10" s="13">
        <v>4000</v>
      </c>
      <c r="AL10" s="13">
        <f t="shared" si="5"/>
        <v>0</v>
      </c>
      <c r="AM10" s="13">
        <f t="shared" si="6"/>
        <v>0</v>
      </c>
      <c r="AN10" s="13">
        <f t="shared" si="7"/>
        <v>3692</v>
      </c>
      <c r="AO10" s="13">
        <f t="shared" si="8"/>
        <v>1296</v>
      </c>
      <c r="AP10" s="13">
        <v>3420</v>
      </c>
      <c r="AQ10" s="17">
        <f t="shared" si="9"/>
        <v>0</v>
      </c>
      <c r="AR10" s="17">
        <f t="shared" si="10"/>
        <v>0</v>
      </c>
      <c r="AS10" s="18">
        <f t="shared" si="11"/>
        <v>18</v>
      </c>
      <c r="AT10" s="17">
        <f t="shared" si="12"/>
        <v>6.32</v>
      </c>
    </row>
    <row r="11" spans="1:46">
      <c r="A11" s="6">
        <v>43594</v>
      </c>
      <c r="B11" s="5" t="s">
        <v>50</v>
      </c>
      <c r="C11" s="4">
        <v>34378780</v>
      </c>
      <c r="D11" s="4">
        <v>21443303</v>
      </c>
      <c r="E11" s="4">
        <v>16739204</v>
      </c>
      <c r="F11" s="4">
        <v>16256759</v>
      </c>
      <c r="G11" s="4">
        <v>298233084</v>
      </c>
      <c r="H11" s="4">
        <v>106543689</v>
      </c>
      <c r="I11" s="11">
        <v>298232926</v>
      </c>
      <c r="J11" s="4">
        <v>106543680</v>
      </c>
      <c r="K11" s="4"/>
      <c r="L11" s="5">
        <v>4299.8</v>
      </c>
      <c r="M11" s="5">
        <v>4430.4</v>
      </c>
      <c r="N11" s="5">
        <v>74078.85</v>
      </c>
      <c r="O11" s="5"/>
      <c r="P11" s="5"/>
      <c r="Q11" s="10">
        <v>22.5</v>
      </c>
      <c r="R11" s="4" t="s">
        <v>46</v>
      </c>
      <c r="S11" s="4">
        <v>580</v>
      </c>
      <c r="T11" s="4">
        <v>600</v>
      </c>
      <c r="U11" s="4">
        <v>8611</v>
      </c>
      <c r="V11" s="4">
        <v>3320</v>
      </c>
      <c r="W11" s="5">
        <v>4.07</v>
      </c>
      <c r="X11" s="5">
        <v>2.49</v>
      </c>
      <c r="Y11" s="4">
        <v>990</v>
      </c>
      <c r="Z11" s="4"/>
      <c r="AA11" s="13">
        <f t="shared" ref="AA11:AF11" si="20">IF(OR(C12=""),"",C12-C11)</f>
        <v>41446</v>
      </c>
      <c r="AB11" s="13">
        <f t="shared" si="20"/>
        <v>50378</v>
      </c>
      <c r="AC11" s="13">
        <f t="shared" si="20"/>
        <v>46664</v>
      </c>
      <c r="AD11" s="13">
        <f t="shared" si="20"/>
        <v>46273</v>
      </c>
      <c r="AE11" s="13">
        <f t="shared" si="20"/>
        <v>182513</v>
      </c>
      <c r="AF11" s="13">
        <f t="shared" si="20"/>
        <v>5415</v>
      </c>
      <c r="AG11" s="13">
        <f t="shared" si="1"/>
        <v>2248</v>
      </c>
      <c r="AH11" s="13">
        <f t="shared" si="2"/>
        <v>182729</v>
      </c>
      <c r="AI11" s="13">
        <f t="shared" si="3"/>
        <v>5424</v>
      </c>
      <c r="AJ11" s="13">
        <f t="shared" si="4"/>
        <v>177305</v>
      </c>
      <c r="AK11" s="13">
        <v>3800</v>
      </c>
      <c r="AL11" s="13">
        <f t="shared" si="5"/>
        <v>0</v>
      </c>
      <c r="AM11" s="13">
        <f t="shared" si="6"/>
        <v>0</v>
      </c>
      <c r="AN11" s="13">
        <f t="shared" si="7"/>
        <v>4118</v>
      </c>
      <c r="AO11" s="13">
        <f t="shared" si="8"/>
        <v>1440</v>
      </c>
      <c r="AP11" s="13">
        <v>4706</v>
      </c>
      <c r="AQ11" s="17">
        <f t="shared" si="9"/>
        <v>0</v>
      </c>
      <c r="AR11" s="17">
        <f t="shared" si="10"/>
        <v>0</v>
      </c>
      <c r="AS11" s="18">
        <f t="shared" si="11"/>
        <v>23.2</v>
      </c>
      <c r="AT11" s="17">
        <f t="shared" si="12"/>
        <v>8.12</v>
      </c>
    </row>
    <row r="12" spans="1:46">
      <c r="A12" s="6">
        <v>43595</v>
      </c>
      <c r="B12" s="5" t="s">
        <v>50</v>
      </c>
      <c r="C12" s="4">
        <v>34420226</v>
      </c>
      <c r="D12" s="4">
        <v>21493681</v>
      </c>
      <c r="E12" s="4">
        <v>16785868</v>
      </c>
      <c r="F12" s="4">
        <v>16303032</v>
      </c>
      <c r="G12" s="4">
        <v>298415597</v>
      </c>
      <c r="H12" s="4">
        <v>106549104</v>
      </c>
      <c r="I12" s="11">
        <v>298415655</v>
      </c>
      <c r="J12" s="4">
        <v>106549104</v>
      </c>
      <c r="K12" s="4"/>
      <c r="L12" s="5">
        <v>4299.8</v>
      </c>
      <c r="M12" s="5">
        <v>4430.4</v>
      </c>
      <c r="N12" s="5">
        <v>74078.85</v>
      </c>
      <c r="O12" s="5"/>
      <c r="P12" s="5"/>
      <c r="Q12" s="10">
        <v>24</v>
      </c>
      <c r="R12" s="4" t="s">
        <v>54</v>
      </c>
      <c r="S12" s="4">
        <v>700</v>
      </c>
      <c r="T12" s="4">
        <v>720</v>
      </c>
      <c r="U12" s="4">
        <v>8496</v>
      </c>
      <c r="V12" s="4">
        <v>3216</v>
      </c>
      <c r="W12" s="5">
        <v>5.07</v>
      </c>
      <c r="X12" s="5">
        <v>2.52</v>
      </c>
      <c r="Y12" s="4">
        <v>1200</v>
      </c>
      <c r="Z12" s="4"/>
      <c r="AA12" s="13">
        <f t="shared" ref="AA12:AF12" si="21">IF(OR(C13=""),"",C13-C12)</f>
        <v>39432</v>
      </c>
      <c r="AB12" s="13">
        <f t="shared" si="21"/>
        <v>45187</v>
      </c>
      <c r="AC12" s="13">
        <f t="shared" si="21"/>
        <v>42859</v>
      </c>
      <c r="AD12" s="13">
        <f t="shared" si="21"/>
        <v>41887</v>
      </c>
      <c r="AE12" s="13">
        <f t="shared" si="21"/>
        <v>162202</v>
      </c>
      <c r="AF12" s="13">
        <f t="shared" si="21"/>
        <v>5452</v>
      </c>
      <c r="AG12" s="13">
        <f t="shared" si="1"/>
        <v>7163</v>
      </c>
      <c r="AH12" s="13">
        <f t="shared" si="2"/>
        <v>161780</v>
      </c>
      <c r="AI12" s="13">
        <f t="shared" si="3"/>
        <v>5456</v>
      </c>
      <c r="AJ12" s="13">
        <f t="shared" si="4"/>
        <v>156324</v>
      </c>
      <c r="AK12" s="13">
        <v>4000</v>
      </c>
      <c r="AL12" s="13">
        <f t="shared" si="5"/>
        <v>0</v>
      </c>
      <c r="AM12" s="13">
        <f t="shared" si="6"/>
        <v>0</v>
      </c>
      <c r="AN12" s="13">
        <f t="shared" si="7"/>
        <v>4970</v>
      </c>
      <c r="AO12" s="13">
        <f t="shared" si="8"/>
        <v>1728</v>
      </c>
      <c r="AP12" s="13">
        <v>3739</v>
      </c>
      <c r="AQ12" s="17">
        <f t="shared" si="9"/>
        <v>0</v>
      </c>
      <c r="AR12" s="17">
        <f t="shared" si="10"/>
        <v>0</v>
      </c>
      <c r="AS12" s="18">
        <f t="shared" si="11"/>
        <v>31.8</v>
      </c>
      <c r="AT12" s="17">
        <f t="shared" si="12"/>
        <v>11.05</v>
      </c>
    </row>
    <row r="13" spans="1:46">
      <c r="A13" s="6">
        <v>43596</v>
      </c>
      <c r="B13" s="5" t="s">
        <v>50</v>
      </c>
      <c r="C13" s="4">
        <v>34459658</v>
      </c>
      <c r="D13" s="4">
        <v>21538868</v>
      </c>
      <c r="E13" s="4">
        <v>16828727</v>
      </c>
      <c r="F13" s="4">
        <v>16344919</v>
      </c>
      <c r="G13" s="4">
        <v>298577799</v>
      </c>
      <c r="H13" s="4">
        <v>106554556</v>
      </c>
      <c r="I13" s="11">
        <v>298577435</v>
      </c>
      <c r="J13" s="4">
        <v>106554560</v>
      </c>
      <c r="K13" s="4"/>
      <c r="L13" s="5">
        <v>4299.8</v>
      </c>
      <c r="M13" s="5">
        <v>4430.4</v>
      </c>
      <c r="N13" s="5">
        <v>74078.85</v>
      </c>
      <c r="O13" s="5"/>
      <c r="P13" s="5"/>
      <c r="Q13" s="10">
        <v>22</v>
      </c>
      <c r="R13" s="4" t="s">
        <v>54</v>
      </c>
      <c r="S13" s="4">
        <v>570</v>
      </c>
      <c r="T13" s="4">
        <v>580</v>
      </c>
      <c r="U13" s="4">
        <v>7892</v>
      </c>
      <c r="V13" s="4">
        <v>3286</v>
      </c>
      <c r="W13" s="5">
        <v>5.55</v>
      </c>
      <c r="X13" s="5">
        <v>2.69</v>
      </c>
      <c r="Y13" s="4">
        <v>1230</v>
      </c>
      <c r="Z13" s="4"/>
      <c r="AA13" s="13">
        <f t="shared" ref="AA13:AF13" si="22">IF(OR(C14=""),"",C14-C13)</f>
        <v>37490</v>
      </c>
      <c r="AB13" s="13">
        <f t="shared" si="22"/>
        <v>45031</v>
      </c>
      <c r="AC13" s="13">
        <f t="shared" si="22"/>
        <v>42905</v>
      </c>
      <c r="AD13" s="13">
        <f t="shared" si="22"/>
        <v>42519</v>
      </c>
      <c r="AE13" s="13">
        <f t="shared" si="22"/>
        <v>159636</v>
      </c>
      <c r="AF13" s="13">
        <f t="shared" si="22"/>
        <v>5395</v>
      </c>
      <c r="AG13" s="13">
        <f t="shared" si="1"/>
        <v>8309</v>
      </c>
      <c r="AH13" s="13">
        <f t="shared" si="2"/>
        <v>160080</v>
      </c>
      <c r="AI13" s="13">
        <f t="shared" si="3"/>
        <v>5392</v>
      </c>
      <c r="AJ13" s="13">
        <f t="shared" si="4"/>
        <v>154688</v>
      </c>
      <c r="AK13" s="13">
        <v>4000</v>
      </c>
      <c r="AL13" s="13">
        <f t="shared" si="5"/>
        <v>0</v>
      </c>
      <c r="AM13" s="13">
        <f t="shared" si="6"/>
        <v>0</v>
      </c>
      <c r="AN13" s="13">
        <f t="shared" si="7"/>
        <v>4047</v>
      </c>
      <c r="AO13" s="13">
        <f t="shared" si="8"/>
        <v>1392</v>
      </c>
      <c r="AP13" s="13">
        <v>3075</v>
      </c>
      <c r="AQ13" s="17">
        <f t="shared" si="9"/>
        <v>0</v>
      </c>
      <c r="AR13" s="17">
        <f t="shared" si="10"/>
        <v>0</v>
      </c>
      <c r="AS13" s="18">
        <f t="shared" si="11"/>
        <v>26.2</v>
      </c>
      <c r="AT13" s="17">
        <f t="shared" si="12"/>
        <v>9</v>
      </c>
    </row>
    <row r="14" spans="1:46">
      <c r="A14" s="6">
        <v>43597</v>
      </c>
      <c r="B14" s="5" t="s">
        <v>50</v>
      </c>
      <c r="C14" s="4">
        <v>34497148</v>
      </c>
      <c r="D14" s="4">
        <v>21583899</v>
      </c>
      <c r="E14" s="4">
        <v>16871632</v>
      </c>
      <c r="F14" s="4">
        <v>16387438</v>
      </c>
      <c r="G14" s="4">
        <v>298737435</v>
      </c>
      <c r="H14" s="4">
        <v>106559951</v>
      </c>
      <c r="I14" s="11">
        <v>298737515</v>
      </c>
      <c r="J14" s="4">
        <v>106559952</v>
      </c>
      <c r="K14" s="4"/>
      <c r="L14" s="5">
        <v>4299.8</v>
      </c>
      <c r="M14" s="5">
        <v>4430.4</v>
      </c>
      <c r="N14" s="5">
        <v>74078.85</v>
      </c>
      <c r="O14" s="5"/>
      <c r="P14" s="5"/>
      <c r="Q14" s="10">
        <v>23</v>
      </c>
      <c r="R14" s="4" t="s">
        <v>54</v>
      </c>
      <c r="S14" s="4">
        <v>600</v>
      </c>
      <c r="T14" s="4">
        <v>620</v>
      </c>
      <c r="U14" s="4">
        <v>9011</v>
      </c>
      <c r="V14" s="4">
        <v>6139</v>
      </c>
      <c r="W14" s="5">
        <v>4.51</v>
      </c>
      <c r="X14" s="5">
        <v>2.51</v>
      </c>
      <c r="Y14" s="4">
        <v>1320</v>
      </c>
      <c r="Z14" s="4"/>
      <c r="AA14" s="13">
        <f t="shared" ref="AA14:AF14" si="23">IF(OR(C15=""),"",C15-C14)</f>
        <v>41553</v>
      </c>
      <c r="AB14" s="13">
        <f t="shared" si="23"/>
        <v>49504</v>
      </c>
      <c r="AC14" s="13">
        <f t="shared" si="23"/>
        <v>46707</v>
      </c>
      <c r="AD14" s="13">
        <f t="shared" si="23"/>
        <v>45939</v>
      </c>
      <c r="AE14" s="13">
        <f t="shared" si="23"/>
        <v>179115</v>
      </c>
      <c r="AF14" s="13">
        <f t="shared" si="23"/>
        <v>5435</v>
      </c>
      <c r="AG14" s="13">
        <f t="shared" si="1"/>
        <v>4588</v>
      </c>
      <c r="AH14" s="13">
        <f t="shared" si="2"/>
        <v>179006</v>
      </c>
      <c r="AI14" s="13">
        <f t="shared" si="3"/>
        <v>5432</v>
      </c>
      <c r="AJ14" s="13">
        <f t="shared" si="4"/>
        <v>173574</v>
      </c>
      <c r="AK14" s="13">
        <v>4000</v>
      </c>
      <c r="AL14" s="13">
        <f t="shared" si="5"/>
        <v>0</v>
      </c>
      <c r="AM14" s="13">
        <f t="shared" si="6"/>
        <v>0</v>
      </c>
      <c r="AN14" s="13">
        <f t="shared" si="7"/>
        <v>4260</v>
      </c>
      <c r="AO14" s="13">
        <f t="shared" si="8"/>
        <v>1488</v>
      </c>
      <c r="AP14" s="13">
        <v>3244</v>
      </c>
      <c r="AQ14" s="17">
        <f t="shared" si="9"/>
        <v>0</v>
      </c>
      <c r="AR14" s="17">
        <f t="shared" si="10"/>
        <v>0</v>
      </c>
      <c r="AS14" s="18">
        <f t="shared" si="11"/>
        <v>24.5</v>
      </c>
      <c r="AT14" s="17">
        <f t="shared" si="12"/>
        <v>8.57</v>
      </c>
    </row>
    <row r="15" spans="1:46">
      <c r="A15" s="6">
        <v>43598</v>
      </c>
      <c r="B15" s="5" t="s">
        <v>50</v>
      </c>
      <c r="C15" s="4">
        <v>34538701</v>
      </c>
      <c r="D15" s="4">
        <v>21633403</v>
      </c>
      <c r="E15" s="4">
        <v>16918339</v>
      </c>
      <c r="F15" s="4">
        <v>16433377</v>
      </c>
      <c r="G15" s="4">
        <v>298916550</v>
      </c>
      <c r="H15" s="4">
        <v>106565386</v>
      </c>
      <c r="I15" s="11">
        <v>298916521</v>
      </c>
      <c r="J15" s="4">
        <v>106565384</v>
      </c>
      <c r="K15" s="4"/>
      <c r="L15" s="5">
        <v>4299.8</v>
      </c>
      <c r="M15" s="5">
        <v>4430.4</v>
      </c>
      <c r="N15" s="5">
        <v>74078.85</v>
      </c>
      <c r="O15" s="5"/>
      <c r="P15" s="5"/>
      <c r="Q15" s="10">
        <v>22</v>
      </c>
      <c r="R15" s="4" t="s">
        <v>52</v>
      </c>
      <c r="S15" s="4">
        <v>300</v>
      </c>
      <c r="T15" s="4">
        <v>320</v>
      </c>
      <c r="U15" s="4">
        <v>7685</v>
      </c>
      <c r="V15" s="4">
        <v>5260</v>
      </c>
      <c r="W15" s="5">
        <v>5.94</v>
      </c>
      <c r="X15" s="5">
        <v>3.28</v>
      </c>
      <c r="Y15" s="4">
        <v>1440</v>
      </c>
      <c r="Z15" s="4"/>
      <c r="AA15" s="13">
        <f t="shared" ref="AA15:AF15" si="24">IF(OR(C16=""),"",C16-C15)</f>
        <v>38719</v>
      </c>
      <c r="AB15" s="13">
        <f t="shared" si="24"/>
        <v>44959</v>
      </c>
      <c r="AC15" s="13">
        <f t="shared" si="24"/>
        <v>42632</v>
      </c>
      <c r="AD15" s="13">
        <f t="shared" si="24"/>
        <v>42042</v>
      </c>
      <c r="AE15" s="13">
        <f t="shared" si="24"/>
        <v>164155</v>
      </c>
      <c r="AF15" s="13">
        <f t="shared" si="24"/>
        <v>5433</v>
      </c>
      <c r="AG15" s="13">
        <f t="shared" si="1"/>
        <v>4197</v>
      </c>
      <c r="AH15" s="13">
        <f t="shared" si="2"/>
        <v>163950</v>
      </c>
      <c r="AI15" s="13">
        <f t="shared" si="3"/>
        <v>5440</v>
      </c>
      <c r="AJ15" s="13">
        <f t="shared" si="4"/>
        <v>158510</v>
      </c>
      <c r="AK15" s="13">
        <v>3800</v>
      </c>
      <c r="AL15" s="13">
        <f t="shared" si="5"/>
        <v>0</v>
      </c>
      <c r="AM15" s="13">
        <f t="shared" si="6"/>
        <v>0</v>
      </c>
      <c r="AN15" s="13">
        <f t="shared" si="7"/>
        <v>2130</v>
      </c>
      <c r="AO15" s="13">
        <f t="shared" si="8"/>
        <v>768</v>
      </c>
      <c r="AP15" s="13">
        <v>3577</v>
      </c>
      <c r="AQ15" s="17">
        <f t="shared" si="9"/>
        <v>0</v>
      </c>
      <c r="AR15" s="17">
        <f t="shared" si="10"/>
        <v>0</v>
      </c>
      <c r="AS15" s="18">
        <f t="shared" si="11"/>
        <v>13.4</v>
      </c>
      <c r="AT15" s="17">
        <f t="shared" si="12"/>
        <v>4.85</v>
      </c>
    </row>
    <row r="16" spans="1:46">
      <c r="A16" s="6">
        <v>43599</v>
      </c>
      <c r="B16" s="5" t="s">
        <v>47</v>
      </c>
      <c r="C16" s="4">
        <v>34577420</v>
      </c>
      <c r="D16" s="4">
        <v>21678362</v>
      </c>
      <c r="E16" s="4">
        <v>16960971</v>
      </c>
      <c r="F16" s="4">
        <v>16475419</v>
      </c>
      <c r="G16" s="4">
        <v>299080705</v>
      </c>
      <c r="H16" s="4">
        <v>106570819</v>
      </c>
      <c r="I16" s="11">
        <v>299080471</v>
      </c>
      <c r="J16" s="4">
        <v>106570824</v>
      </c>
      <c r="K16" s="4"/>
      <c r="L16" s="5">
        <v>4299.8</v>
      </c>
      <c r="M16" s="5">
        <v>4430.4</v>
      </c>
      <c r="N16" s="5">
        <v>74078.85</v>
      </c>
      <c r="O16" s="5"/>
      <c r="P16" s="5"/>
      <c r="Q16" s="10">
        <v>23</v>
      </c>
      <c r="R16" s="4" t="s">
        <v>46</v>
      </c>
      <c r="S16" s="4">
        <v>250</v>
      </c>
      <c r="T16" s="4">
        <v>270</v>
      </c>
      <c r="U16" s="4">
        <v>10524</v>
      </c>
      <c r="V16" s="4">
        <v>7745</v>
      </c>
      <c r="W16" s="5">
        <v>7.22</v>
      </c>
      <c r="X16" s="5">
        <v>2.76</v>
      </c>
      <c r="Y16" s="4">
        <v>1440</v>
      </c>
      <c r="Z16" s="4"/>
      <c r="AA16" s="13">
        <f t="shared" ref="AA16:AF16" si="25">IF(OR(C17=""),"",C17-C16)</f>
        <v>51910</v>
      </c>
      <c r="AB16" s="13">
        <f t="shared" si="25"/>
        <v>54081</v>
      </c>
      <c r="AC16" s="13">
        <f t="shared" si="25"/>
        <v>56742</v>
      </c>
      <c r="AD16" s="13">
        <f t="shared" si="25"/>
        <v>58381</v>
      </c>
      <c r="AE16" s="13">
        <f t="shared" si="25"/>
        <v>211739</v>
      </c>
      <c r="AF16" s="13">
        <f t="shared" si="25"/>
        <v>5452</v>
      </c>
      <c r="AG16" s="13">
        <f t="shared" si="1"/>
        <v>9375</v>
      </c>
      <c r="AH16" s="13">
        <f t="shared" si="2"/>
        <v>211061</v>
      </c>
      <c r="AI16" s="13">
        <f t="shared" si="3"/>
        <v>5447</v>
      </c>
      <c r="AJ16" s="13">
        <f t="shared" si="4"/>
        <v>205614</v>
      </c>
      <c r="AK16" s="13">
        <v>3900</v>
      </c>
      <c r="AL16" s="13">
        <f t="shared" si="5"/>
        <v>0</v>
      </c>
      <c r="AM16" s="13">
        <f t="shared" si="6"/>
        <v>3</v>
      </c>
      <c r="AN16" s="13">
        <f t="shared" si="7"/>
        <v>1775</v>
      </c>
      <c r="AO16" s="13">
        <f t="shared" si="8"/>
        <v>648</v>
      </c>
      <c r="AP16" s="13">
        <v>4640</v>
      </c>
      <c r="AQ16" s="17">
        <f t="shared" si="9"/>
        <v>0</v>
      </c>
      <c r="AR16" s="17">
        <f t="shared" si="10"/>
        <v>0.01</v>
      </c>
      <c r="AS16" s="18">
        <f t="shared" si="11"/>
        <v>8.6</v>
      </c>
      <c r="AT16" s="17">
        <f t="shared" si="12"/>
        <v>3.15</v>
      </c>
    </row>
    <row r="17" spans="1:46">
      <c r="A17" s="6">
        <v>43600</v>
      </c>
      <c r="B17" s="5" t="s">
        <v>48</v>
      </c>
      <c r="C17" s="4">
        <v>34629330</v>
      </c>
      <c r="D17" s="4">
        <v>21732443</v>
      </c>
      <c r="E17" s="4">
        <v>17017713</v>
      </c>
      <c r="F17" s="4">
        <v>16533800</v>
      </c>
      <c r="G17" s="4">
        <v>299292444</v>
      </c>
      <c r="H17" s="4">
        <v>106576271</v>
      </c>
      <c r="I17" s="11">
        <v>299291532</v>
      </c>
      <c r="J17" s="4">
        <v>106576271</v>
      </c>
      <c r="K17" s="4"/>
      <c r="L17" s="5">
        <v>4299.8</v>
      </c>
      <c r="M17" s="5">
        <v>4430.4</v>
      </c>
      <c r="N17" s="5">
        <v>74080.33</v>
      </c>
      <c r="O17" s="5"/>
      <c r="P17" s="5"/>
      <c r="Q17" s="10">
        <v>23.9</v>
      </c>
      <c r="R17" s="4" t="s">
        <v>46</v>
      </c>
      <c r="S17" s="4">
        <v>550</v>
      </c>
      <c r="T17" s="4">
        <v>570</v>
      </c>
      <c r="U17" s="4">
        <v>7939</v>
      </c>
      <c r="V17" s="4">
        <v>6169</v>
      </c>
      <c r="W17" s="5">
        <v>4.94</v>
      </c>
      <c r="X17" s="5">
        <v>2.56</v>
      </c>
      <c r="Y17" s="4">
        <v>960</v>
      </c>
      <c r="Z17" s="4"/>
      <c r="AA17" s="13">
        <f t="shared" ref="AA17:AF17" si="26">IF(OR(C18=""),"",C18-C17)</f>
        <v>36958</v>
      </c>
      <c r="AB17" s="13">
        <f t="shared" si="26"/>
        <v>52348</v>
      </c>
      <c r="AC17" s="13">
        <f t="shared" si="26"/>
        <v>40320</v>
      </c>
      <c r="AD17" s="13">
        <f t="shared" si="26"/>
        <v>40253</v>
      </c>
      <c r="AE17" s="13">
        <f t="shared" si="26"/>
        <v>162108</v>
      </c>
      <c r="AF17" s="13">
        <f t="shared" si="26"/>
        <v>5384</v>
      </c>
      <c r="AG17" s="13">
        <f t="shared" si="1"/>
        <v>7771</v>
      </c>
      <c r="AH17" s="13">
        <f t="shared" si="2"/>
        <v>162905</v>
      </c>
      <c r="AI17" s="13">
        <f t="shared" si="3"/>
        <v>5401</v>
      </c>
      <c r="AJ17" s="13">
        <f t="shared" si="4"/>
        <v>157504</v>
      </c>
      <c r="AK17" s="13">
        <v>4000</v>
      </c>
      <c r="AL17" s="13">
        <f t="shared" si="5"/>
        <v>0</v>
      </c>
      <c r="AM17" s="13">
        <f t="shared" si="6"/>
        <v>0</v>
      </c>
      <c r="AN17" s="13">
        <f t="shared" si="7"/>
        <v>3905</v>
      </c>
      <c r="AO17" s="13">
        <f t="shared" si="8"/>
        <v>1368</v>
      </c>
      <c r="AP17" s="13">
        <v>4187</v>
      </c>
      <c r="AQ17" s="17">
        <f t="shared" si="9"/>
        <v>0</v>
      </c>
      <c r="AR17" s="17">
        <f t="shared" si="10"/>
        <v>0</v>
      </c>
      <c r="AS17" s="18">
        <f t="shared" si="11"/>
        <v>24.8</v>
      </c>
      <c r="AT17" s="17">
        <f t="shared" si="12"/>
        <v>8.69</v>
      </c>
    </row>
    <row r="18" spans="1:46">
      <c r="A18" s="6">
        <v>43601</v>
      </c>
      <c r="B18" s="5" t="s">
        <v>50</v>
      </c>
      <c r="C18" s="4">
        <v>34666288</v>
      </c>
      <c r="D18" s="4">
        <v>21784791</v>
      </c>
      <c r="E18" s="4">
        <v>17058033</v>
      </c>
      <c r="F18" s="4">
        <v>16574053</v>
      </c>
      <c r="G18" s="4">
        <v>299454552</v>
      </c>
      <c r="H18" s="4">
        <v>106581655</v>
      </c>
      <c r="I18" s="11">
        <v>299454437</v>
      </c>
      <c r="J18" s="4">
        <v>106581672</v>
      </c>
      <c r="K18" s="4"/>
      <c r="L18" s="5">
        <v>4299.8</v>
      </c>
      <c r="M18" s="5">
        <v>4430.4</v>
      </c>
      <c r="N18" s="5">
        <v>74080.33</v>
      </c>
      <c r="O18" s="5"/>
      <c r="P18" s="5"/>
      <c r="Q18" s="10">
        <v>23.9</v>
      </c>
      <c r="R18" s="4" t="s">
        <v>46</v>
      </c>
      <c r="S18" s="4">
        <v>660</v>
      </c>
      <c r="T18" s="4">
        <v>680</v>
      </c>
      <c r="U18" s="4">
        <v>7859</v>
      </c>
      <c r="V18" s="4">
        <v>6547</v>
      </c>
      <c r="W18" s="5">
        <v>5.11</v>
      </c>
      <c r="X18" s="5">
        <v>2.65</v>
      </c>
      <c r="Y18" s="4">
        <v>1110</v>
      </c>
      <c r="Z18" s="4"/>
      <c r="AA18" s="13">
        <f t="shared" ref="AA18:AF18" si="27">IF(OR(C19=""),"",C19-C18)</f>
        <v>40627</v>
      </c>
      <c r="AB18" s="13">
        <f t="shared" si="27"/>
        <v>47413</v>
      </c>
      <c r="AC18" s="13">
        <f t="shared" si="27"/>
        <v>45208</v>
      </c>
      <c r="AD18" s="13">
        <f t="shared" si="27"/>
        <v>43475</v>
      </c>
      <c r="AE18" s="13">
        <f t="shared" si="27"/>
        <v>168377</v>
      </c>
      <c r="AF18" s="13">
        <f t="shared" si="27"/>
        <v>5438</v>
      </c>
      <c r="AG18" s="13">
        <f t="shared" si="1"/>
        <v>8346</v>
      </c>
      <c r="AH18" s="13">
        <f t="shared" si="2"/>
        <v>168447</v>
      </c>
      <c r="AI18" s="13">
        <f t="shared" si="3"/>
        <v>5416</v>
      </c>
      <c r="AJ18" s="13">
        <f t="shared" si="4"/>
        <v>163031</v>
      </c>
      <c r="AK18" s="13">
        <v>4000</v>
      </c>
      <c r="AL18" s="13">
        <f t="shared" si="5"/>
        <v>0</v>
      </c>
      <c r="AM18" s="13">
        <f t="shared" si="6"/>
        <v>0</v>
      </c>
      <c r="AN18" s="13">
        <f t="shared" si="7"/>
        <v>4686</v>
      </c>
      <c r="AO18" s="13">
        <f t="shared" si="8"/>
        <v>1632</v>
      </c>
      <c r="AP18" s="13">
        <v>4040</v>
      </c>
      <c r="AQ18" s="17">
        <f t="shared" si="9"/>
        <v>0</v>
      </c>
      <c r="AR18" s="17">
        <f t="shared" si="10"/>
        <v>0</v>
      </c>
      <c r="AS18" s="18">
        <f t="shared" si="11"/>
        <v>28.7</v>
      </c>
      <c r="AT18" s="17">
        <f t="shared" si="12"/>
        <v>10.01</v>
      </c>
    </row>
    <row r="19" spans="1:46">
      <c r="A19" s="6">
        <v>43602</v>
      </c>
      <c r="B19" s="5" t="s">
        <v>50</v>
      </c>
      <c r="C19" s="4">
        <v>34706915</v>
      </c>
      <c r="D19" s="4">
        <v>21832204</v>
      </c>
      <c r="E19" s="4">
        <v>17103241</v>
      </c>
      <c r="F19" s="4">
        <v>16617528</v>
      </c>
      <c r="G19" s="4">
        <v>299622929</v>
      </c>
      <c r="H19" s="4">
        <v>106587093</v>
      </c>
      <c r="I19" s="11">
        <v>299622884</v>
      </c>
      <c r="J19" s="4">
        <v>106587088</v>
      </c>
      <c r="K19" s="4"/>
      <c r="L19" s="5">
        <v>4299.8</v>
      </c>
      <c r="M19" s="5">
        <v>4430.4</v>
      </c>
      <c r="N19" s="5">
        <v>74080.33</v>
      </c>
      <c r="O19" s="5"/>
      <c r="P19" s="5"/>
      <c r="Q19" s="10">
        <v>24</v>
      </c>
      <c r="R19" s="4" t="s">
        <v>46</v>
      </c>
      <c r="S19" s="4">
        <v>700</v>
      </c>
      <c r="T19" s="4">
        <v>720</v>
      </c>
      <c r="U19" s="4">
        <v>8921</v>
      </c>
      <c r="V19" s="4">
        <v>4250</v>
      </c>
      <c r="W19" s="5">
        <v>4.77</v>
      </c>
      <c r="X19" s="5">
        <v>2.51</v>
      </c>
      <c r="Y19" s="4">
        <v>1020</v>
      </c>
      <c r="Z19" s="4"/>
      <c r="AA19" s="13">
        <f t="shared" ref="AA19:AF19" si="28">IF(OR(C20=""),"",C20-C19)</f>
        <v>41204</v>
      </c>
      <c r="AB19" s="13">
        <f t="shared" si="28"/>
        <v>49336</v>
      </c>
      <c r="AC19" s="13">
        <f t="shared" si="28"/>
        <v>46037</v>
      </c>
      <c r="AD19" s="13">
        <f t="shared" si="28"/>
        <v>46255</v>
      </c>
      <c r="AE19" s="13">
        <f t="shared" si="28"/>
        <v>180766</v>
      </c>
      <c r="AF19" s="13">
        <f t="shared" si="28"/>
        <v>5427</v>
      </c>
      <c r="AG19" s="13">
        <f t="shared" si="1"/>
        <v>2066</v>
      </c>
      <c r="AH19" s="13">
        <f t="shared" si="2"/>
        <v>180757</v>
      </c>
      <c r="AI19" s="13">
        <f t="shared" si="3"/>
        <v>5424</v>
      </c>
      <c r="AJ19" s="13">
        <f t="shared" si="4"/>
        <v>175333</v>
      </c>
      <c r="AK19" s="13">
        <v>3800</v>
      </c>
      <c r="AL19" s="13">
        <f t="shared" si="5"/>
        <v>0</v>
      </c>
      <c r="AM19" s="13">
        <f t="shared" si="6"/>
        <v>0</v>
      </c>
      <c r="AN19" s="13">
        <f t="shared" si="7"/>
        <v>4970</v>
      </c>
      <c r="AO19" s="13">
        <f t="shared" si="8"/>
        <v>1728</v>
      </c>
      <c r="AP19" s="13">
        <v>4014</v>
      </c>
      <c r="AQ19" s="17">
        <f t="shared" si="9"/>
        <v>0</v>
      </c>
      <c r="AR19" s="17">
        <f t="shared" si="10"/>
        <v>0</v>
      </c>
      <c r="AS19" s="18">
        <f t="shared" si="11"/>
        <v>28.3</v>
      </c>
      <c r="AT19" s="17">
        <f t="shared" si="12"/>
        <v>9.86</v>
      </c>
    </row>
    <row r="20" spans="1:46">
      <c r="A20" s="6">
        <v>43603</v>
      </c>
      <c r="B20" s="5" t="s">
        <v>50</v>
      </c>
      <c r="C20" s="4">
        <v>34748119</v>
      </c>
      <c r="D20" s="4">
        <v>21881540</v>
      </c>
      <c r="E20" s="4">
        <v>17149278</v>
      </c>
      <c r="F20" s="4">
        <v>16663783</v>
      </c>
      <c r="G20" s="1">
        <v>299803695</v>
      </c>
      <c r="H20" s="4">
        <v>106592520</v>
      </c>
      <c r="I20" s="28">
        <v>299803641</v>
      </c>
      <c r="J20" s="4">
        <v>106592512</v>
      </c>
      <c r="K20" s="4"/>
      <c r="L20" s="5">
        <v>4299.8</v>
      </c>
      <c r="M20" s="5">
        <v>4430.4</v>
      </c>
      <c r="N20" s="5">
        <v>74080.33</v>
      </c>
      <c r="O20" s="5"/>
      <c r="P20" s="5"/>
      <c r="Q20" s="10">
        <v>24</v>
      </c>
      <c r="R20" s="4" t="s">
        <v>46</v>
      </c>
      <c r="S20" s="4">
        <v>500</v>
      </c>
      <c r="T20" s="4">
        <v>570</v>
      </c>
      <c r="U20" s="4">
        <v>9124</v>
      </c>
      <c r="V20" s="4">
        <v>2426</v>
      </c>
      <c r="W20" s="5">
        <v>4.2</v>
      </c>
      <c r="X20" s="5">
        <v>2.46</v>
      </c>
      <c r="Y20" s="4">
        <v>870</v>
      </c>
      <c r="Z20" s="4"/>
      <c r="AA20" s="13">
        <f t="shared" ref="AA20:AF20" si="29">IF(OR(C21=""),"",C21-C20)</f>
        <v>36930</v>
      </c>
      <c r="AB20" s="13">
        <f t="shared" si="29"/>
        <v>44710</v>
      </c>
      <c r="AC20" s="13">
        <f t="shared" si="29"/>
        <v>42612</v>
      </c>
      <c r="AD20" s="13">
        <f t="shared" si="29"/>
        <v>42807</v>
      </c>
      <c r="AE20" s="13">
        <f t="shared" si="29"/>
        <v>161254</v>
      </c>
      <c r="AF20" s="13">
        <f t="shared" si="29"/>
        <v>5426</v>
      </c>
      <c r="AG20" s="13">
        <f t="shared" si="1"/>
        <v>5805</v>
      </c>
      <c r="AH20" s="13">
        <f t="shared" si="2"/>
        <v>161232</v>
      </c>
      <c r="AI20" s="13">
        <f t="shared" ref="AI20" si="30">IF(OR(J21=""),"",J21-J20)</f>
        <v>5424</v>
      </c>
      <c r="AJ20" s="13">
        <f t="shared" ref="AJ20" si="31">IF(OR(AH20="",AI20=""),"",AH20-AI20)</f>
        <v>155808</v>
      </c>
      <c r="AK20" s="13">
        <v>4000</v>
      </c>
      <c r="AL20" s="13">
        <f t="shared" si="5"/>
        <v>0</v>
      </c>
      <c r="AM20" s="13">
        <f t="shared" si="6"/>
        <v>0</v>
      </c>
      <c r="AN20" s="13">
        <f t="shared" si="7"/>
        <v>3550</v>
      </c>
      <c r="AO20" s="13">
        <f t="shared" si="8"/>
        <v>1368</v>
      </c>
      <c r="AP20" s="13">
        <v>3678</v>
      </c>
      <c r="AQ20" s="17">
        <f t="shared" si="9"/>
        <v>0</v>
      </c>
      <c r="AR20" s="17">
        <f t="shared" si="10"/>
        <v>0</v>
      </c>
      <c r="AS20" s="18">
        <f t="shared" si="11"/>
        <v>22.8</v>
      </c>
      <c r="AT20" s="17">
        <f t="shared" si="12"/>
        <v>8.78</v>
      </c>
    </row>
    <row r="21" spans="1:46">
      <c r="A21" s="6">
        <v>43604</v>
      </c>
      <c r="B21" s="5" t="s">
        <v>50</v>
      </c>
      <c r="C21" s="4">
        <v>34785049</v>
      </c>
      <c r="D21" s="4">
        <v>21926250</v>
      </c>
      <c r="E21" s="4">
        <v>17191890</v>
      </c>
      <c r="F21" s="4">
        <v>16706590</v>
      </c>
      <c r="G21" s="4">
        <v>299964949</v>
      </c>
      <c r="H21" s="4">
        <v>106597946</v>
      </c>
      <c r="I21" s="11">
        <v>299964873</v>
      </c>
      <c r="J21" s="4">
        <v>106597936</v>
      </c>
      <c r="K21" s="4"/>
      <c r="L21" s="5">
        <v>4299.8</v>
      </c>
      <c r="M21" s="5">
        <v>4430.4</v>
      </c>
      <c r="N21" s="5">
        <v>74080.33</v>
      </c>
      <c r="O21" s="5"/>
      <c r="P21" s="5"/>
      <c r="Q21" s="10">
        <v>22</v>
      </c>
      <c r="R21" s="4" t="s">
        <v>54</v>
      </c>
      <c r="S21" s="4">
        <v>550</v>
      </c>
      <c r="T21" s="4">
        <v>530</v>
      </c>
      <c r="U21" s="4">
        <v>8769</v>
      </c>
      <c r="V21" s="4">
        <v>1120</v>
      </c>
      <c r="W21" s="5">
        <v>3.11</v>
      </c>
      <c r="X21" s="5">
        <v>2.45</v>
      </c>
      <c r="Y21" s="4">
        <v>810</v>
      </c>
      <c r="Z21" s="4"/>
      <c r="AA21" s="13">
        <f t="shared" ref="AA21:AF21" si="32">IF(OR(C22=""),"",C22-C21)</f>
        <v>33640</v>
      </c>
      <c r="AB21" s="13">
        <f t="shared" si="32"/>
        <v>40020</v>
      </c>
      <c r="AC21" s="13">
        <f t="shared" si="32"/>
        <v>38739</v>
      </c>
      <c r="AD21" s="13">
        <f t="shared" si="32"/>
        <v>38276</v>
      </c>
      <c r="AE21" s="13">
        <f t="shared" si="32"/>
        <v>146158</v>
      </c>
      <c r="AF21" s="13">
        <f t="shared" si="32"/>
        <v>5406</v>
      </c>
      <c r="AG21" s="13">
        <f t="shared" si="1"/>
        <v>4517</v>
      </c>
      <c r="AH21" s="13">
        <f t="shared" si="2"/>
        <v>146527</v>
      </c>
      <c r="AI21" s="13">
        <f t="shared" si="3"/>
        <v>5424</v>
      </c>
      <c r="AJ21" s="13">
        <f t="shared" si="4"/>
        <v>141103</v>
      </c>
      <c r="AK21" s="13">
        <v>4000</v>
      </c>
      <c r="AL21" s="13">
        <f t="shared" si="5"/>
        <v>0</v>
      </c>
      <c r="AM21" s="13">
        <f t="shared" si="6"/>
        <v>0</v>
      </c>
      <c r="AN21" s="13">
        <f t="shared" si="7"/>
        <v>3905</v>
      </c>
      <c r="AO21" s="13">
        <f t="shared" si="8"/>
        <v>1272</v>
      </c>
      <c r="AP21" s="13">
        <v>4135</v>
      </c>
      <c r="AQ21" s="17">
        <f t="shared" si="9"/>
        <v>0</v>
      </c>
      <c r="AR21" s="17">
        <f t="shared" si="10"/>
        <v>0</v>
      </c>
      <c r="AS21" s="18">
        <f t="shared" si="11"/>
        <v>27.7</v>
      </c>
      <c r="AT21" s="17">
        <f t="shared" si="12"/>
        <v>9.01</v>
      </c>
    </row>
    <row r="22" spans="1:46">
      <c r="A22" s="6">
        <v>43605</v>
      </c>
      <c r="B22" s="5" t="s">
        <v>50</v>
      </c>
      <c r="C22" s="4">
        <v>34818689</v>
      </c>
      <c r="D22" s="4">
        <v>21966270</v>
      </c>
      <c r="E22" s="4">
        <v>17230629</v>
      </c>
      <c r="F22" s="4">
        <v>16744866</v>
      </c>
      <c r="G22" s="4">
        <v>300111107</v>
      </c>
      <c r="H22" s="4">
        <v>106603352</v>
      </c>
      <c r="I22" s="11">
        <v>300111400</v>
      </c>
      <c r="J22" s="4">
        <v>106603360</v>
      </c>
      <c r="K22" s="4"/>
      <c r="L22" s="5">
        <v>4299.8</v>
      </c>
      <c r="M22" s="5">
        <v>4430.4</v>
      </c>
      <c r="N22" s="5">
        <v>74080.33</v>
      </c>
      <c r="O22" s="5"/>
      <c r="P22" s="5"/>
      <c r="Q22" s="10">
        <v>23</v>
      </c>
      <c r="R22" s="4" t="s">
        <v>63</v>
      </c>
      <c r="S22" s="4">
        <v>300</v>
      </c>
      <c r="T22" s="4">
        <v>320</v>
      </c>
      <c r="U22" s="4">
        <v>8215</v>
      </c>
      <c r="V22" s="4">
        <v>6321</v>
      </c>
      <c r="W22" s="5">
        <v>4.87</v>
      </c>
      <c r="X22" s="5">
        <v>2.38</v>
      </c>
      <c r="Y22" s="4">
        <v>1140</v>
      </c>
      <c r="Z22" s="4"/>
      <c r="AA22" s="13">
        <f t="shared" ref="AA22:AF22" si="33">IF(OR(C23=""),"",C23-C22)</f>
        <v>36648</v>
      </c>
      <c r="AB22" s="13">
        <f t="shared" si="33"/>
        <v>43479</v>
      </c>
      <c r="AC22" s="13">
        <f t="shared" si="33"/>
        <v>42326</v>
      </c>
      <c r="AD22" s="13">
        <f t="shared" si="33"/>
        <v>41477</v>
      </c>
      <c r="AE22" s="13">
        <f t="shared" si="33"/>
        <v>155946</v>
      </c>
      <c r="AF22" s="13">
        <f t="shared" si="33"/>
        <v>5464</v>
      </c>
      <c r="AG22" s="13">
        <f t="shared" si="1"/>
        <v>7984</v>
      </c>
      <c r="AH22" s="13">
        <f t="shared" si="2"/>
        <v>154922</v>
      </c>
      <c r="AI22" s="13">
        <f t="shared" si="3"/>
        <v>5446</v>
      </c>
      <c r="AJ22" s="13">
        <f t="shared" si="4"/>
        <v>149476</v>
      </c>
      <c r="AK22" s="13">
        <v>4000</v>
      </c>
      <c r="AL22" s="13">
        <f t="shared" si="5"/>
        <v>0</v>
      </c>
      <c r="AM22" s="13">
        <f t="shared" si="6"/>
        <v>0</v>
      </c>
      <c r="AN22" s="13">
        <f t="shared" si="7"/>
        <v>2130</v>
      </c>
      <c r="AO22" s="13">
        <f t="shared" si="8"/>
        <v>768</v>
      </c>
      <c r="AP22" s="13">
        <v>4068</v>
      </c>
      <c r="AQ22" s="17">
        <f t="shared" si="9"/>
        <v>0</v>
      </c>
      <c r="AR22" s="17">
        <f t="shared" si="10"/>
        <v>0</v>
      </c>
      <c r="AS22" s="18">
        <f t="shared" si="11"/>
        <v>14.2</v>
      </c>
      <c r="AT22" s="17">
        <f t="shared" si="12"/>
        <v>5.14</v>
      </c>
    </row>
    <row r="23" spans="1:46">
      <c r="A23" s="6">
        <v>43606</v>
      </c>
      <c r="B23" s="22" t="s">
        <v>45</v>
      </c>
      <c r="C23" s="4">
        <v>34855337</v>
      </c>
      <c r="D23" s="4">
        <v>22009749</v>
      </c>
      <c r="E23" s="4">
        <v>17272955</v>
      </c>
      <c r="F23" s="4">
        <v>16786343</v>
      </c>
      <c r="G23" s="4">
        <v>300267053</v>
      </c>
      <c r="H23" s="4">
        <v>106608816</v>
      </c>
      <c r="I23" s="29">
        <v>300266322</v>
      </c>
      <c r="J23" s="4">
        <v>106608806</v>
      </c>
      <c r="K23" s="4"/>
      <c r="L23" s="5">
        <v>4299.8</v>
      </c>
      <c r="M23" s="5">
        <v>4430.4</v>
      </c>
      <c r="N23" s="5">
        <v>74080.33</v>
      </c>
      <c r="O23" s="5"/>
      <c r="P23" s="5"/>
      <c r="Q23" s="10">
        <v>24.5</v>
      </c>
      <c r="R23" s="4" t="s">
        <v>46</v>
      </c>
      <c r="S23" s="4">
        <v>260</v>
      </c>
      <c r="T23" s="4">
        <v>280</v>
      </c>
      <c r="U23" s="4">
        <v>8145</v>
      </c>
      <c r="V23" s="4">
        <v>4215</v>
      </c>
      <c r="W23" s="5">
        <v>4.7</v>
      </c>
      <c r="X23" s="5">
        <v>2.2</v>
      </c>
      <c r="Y23" s="4">
        <v>1110</v>
      </c>
      <c r="Z23" s="4"/>
      <c r="AA23" s="13">
        <f t="shared" ref="AA23:AF23" si="34">IF(OR(C24=""),"",C24-C23)</f>
        <v>37823</v>
      </c>
      <c r="AB23" s="13">
        <f t="shared" si="34"/>
        <v>45276</v>
      </c>
      <c r="AC23" s="13">
        <f t="shared" si="34"/>
        <v>44038</v>
      </c>
      <c r="AD23" s="13">
        <f t="shared" si="34"/>
        <v>42482</v>
      </c>
      <c r="AE23" s="13">
        <f t="shared" si="34"/>
        <v>170016</v>
      </c>
      <c r="AF23" s="13">
        <f t="shared" si="34"/>
        <v>5426</v>
      </c>
      <c r="AG23" s="13">
        <f t="shared" si="1"/>
        <v>-397</v>
      </c>
      <c r="AH23" s="13">
        <f t="shared" si="2"/>
        <v>170487</v>
      </c>
      <c r="AI23" s="13">
        <f t="shared" si="3"/>
        <v>5410</v>
      </c>
      <c r="AJ23" s="13">
        <f t="shared" si="4"/>
        <v>165077</v>
      </c>
      <c r="AK23" s="13">
        <v>3800</v>
      </c>
      <c r="AL23" s="13">
        <f t="shared" si="5"/>
        <v>60</v>
      </c>
      <c r="AM23" s="13">
        <f t="shared" si="6"/>
        <v>23</v>
      </c>
      <c r="AN23" s="13">
        <f t="shared" si="7"/>
        <v>1846</v>
      </c>
      <c r="AO23" s="13">
        <f t="shared" si="8"/>
        <v>672</v>
      </c>
      <c r="AP23" s="13">
        <v>3311</v>
      </c>
      <c r="AQ23" s="17">
        <f t="shared" si="9"/>
        <v>0.4</v>
      </c>
      <c r="AR23" s="17">
        <f t="shared" si="10"/>
        <v>0.14</v>
      </c>
      <c r="AS23" s="18">
        <f t="shared" si="11"/>
        <v>11.2</v>
      </c>
      <c r="AT23" s="17">
        <f t="shared" si="12"/>
        <v>4.07</v>
      </c>
    </row>
    <row r="24" spans="1:46">
      <c r="A24" s="6">
        <v>43607</v>
      </c>
      <c r="B24" s="5" t="s">
        <v>48</v>
      </c>
      <c r="C24" s="4">
        <v>34893160</v>
      </c>
      <c r="D24" s="4">
        <v>22055025</v>
      </c>
      <c r="E24" s="4">
        <v>17316993</v>
      </c>
      <c r="F24" s="4">
        <v>16828825</v>
      </c>
      <c r="G24" s="11">
        <v>300437069</v>
      </c>
      <c r="H24" s="4">
        <v>106614242</v>
      </c>
      <c r="I24" s="11">
        <v>300436809</v>
      </c>
      <c r="J24" s="4">
        <v>106614216</v>
      </c>
      <c r="K24" s="4"/>
      <c r="L24" s="5">
        <v>4299.8</v>
      </c>
      <c r="M24" s="5">
        <v>4430.45</v>
      </c>
      <c r="N24" s="5">
        <v>74091.9</v>
      </c>
      <c r="O24" s="5"/>
      <c r="P24" s="5"/>
      <c r="Q24" s="10">
        <v>25.2</v>
      </c>
      <c r="R24" s="4" t="s">
        <v>46</v>
      </c>
      <c r="S24" s="4">
        <v>500</v>
      </c>
      <c r="T24" s="4">
        <v>520</v>
      </c>
      <c r="U24" s="4">
        <v>8278</v>
      </c>
      <c r="V24" s="4">
        <v>4310</v>
      </c>
      <c r="W24" s="5">
        <v>4.8</v>
      </c>
      <c r="X24" s="5">
        <v>2.35</v>
      </c>
      <c r="Y24" s="4">
        <v>1080</v>
      </c>
      <c r="Z24" s="4"/>
      <c r="AA24" s="13">
        <f t="shared" ref="AA24:AF24" si="35">IF(OR(C25=""),"",C25-C24)</f>
        <v>38383</v>
      </c>
      <c r="AB24" s="13">
        <f t="shared" si="35"/>
        <v>45719</v>
      </c>
      <c r="AC24" s="13">
        <f t="shared" si="35"/>
        <v>44903</v>
      </c>
      <c r="AD24" s="13">
        <f t="shared" si="35"/>
        <v>43768</v>
      </c>
      <c r="AE24" s="13">
        <f t="shared" si="35"/>
        <v>160565</v>
      </c>
      <c r="AF24" s="13">
        <f t="shared" si="35"/>
        <v>5424</v>
      </c>
      <c r="AG24" s="13">
        <f t="shared" si="1"/>
        <v>12208</v>
      </c>
      <c r="AH24" s="13">
        <f t="shared" si="2"/>
        <v>160407</v>
      </c>
      <c r="AI24" s="13">
        <f t="shared" si="3"/>
        <v>5424</v>
      </c>
      <c r="AJ24" s="13">
        <f t="shared" si="4"/>
        <v>154983</v>
      </c>
      <c r="AK24" s="13">
        <v>4000</v>
      </c>
      <c r="AL24" s="13">
        <f t="shared" si="5"/>
        <v>10932</v>
      </c>
      <c r="AM24" s="13">
        <f t="shared" si="6"/>
        <v>55</v>
      </c>
      <c r="AN24" s="13">
        <f t="shared" si="7"/>
        <v>3550</v>
      </c>
      <c r="AO24" s="13">
        <f t="shared" si="8"/>
        <v>1248</v>
      </c>
      <c r="AP24" s="13">
        <v>4218</v>
      </c>
      <c r="AQ24" s="17">
        <f t="shared" si="9"/>
        <v>70.5</v>
      </c>
      <c r="AR24" s="17">
        <f t="shared" si="10"/>
        <v>0.35</v>
      </c>
      <c r="AS24" s="18">
        <f t="shared" si="11"/>
        <v>22.9</v>
      </c>
      <c r="AT24" s="17">
        <f t="shared" si="12"/>
        <v>8.05</v>
      </c>
    </row>
    <row r="25" spans="1:46">
      <c r="A25" s="6">
        <v>43608</v>
      </c>
      <c r="B25" s="5" t="s">
        <v>48</v>
      </c>
      <c r="C25" s="4">
        <v>34931543</v>
      </c>
      <c r="D25" s="4">
        <v>22100744</v>
      </c>
      <c r="E25" s="4">
        <v>17361896</v>
      </c>
      <c r="F25" s="4">
        <v>16872593</v>
      </c>
      <c r="G25" s="4">
        <v>300597634</v>
      </c>
      <c r="H25" s="4">
        <v>106619666</v>
      </c>
      <c r="I25" s="11">
        <v>300597216</v>
      </c>
      <c r="J25" s="4">
        <v>106619640</v>
      </c>
      <c r="K25" s="4"/>
      <c r="L25" s="5">
        <v>4299.8</v>
      </c>
      <c r="M25" s="5">
        <v>4439.56</v>
      </c>
      <c r="N25" s="5">
        <v>74119.32</v>
      </c>
      <c r="O25" s="5"/>
      <c r="P25" s="5"/>
      <c r="Q25" s="10">
        <v>24.5</v>
      </c>
      <c r="R25" s="4" t="s">
        <v>46</v>
      </c>
      <c r="S25" s="4">
        <v>770</v>
      </c>
      <c r="T25" s="4">
        <v>750</v>
      </c>
      <c r="U25" s="4">
        <v>7413</v>
      </c>
      <c r="V25" s="4">
        <v>5497</v>
      </c>
      <c r="W25" s="5">
        <v>5.48</v>
      </c>
      <c r="X25" s="5">
        <v>2.54</v>
      </c>
      <c r="Y25" s="4">
        <v>1230</v>
      </c>
      <c r="Z25" s="4"/>
      <c r="AA25" s="13">
        <f t="shared" ref="AA25:AF25" si="36">IF(OR(C26=""),"",C26-C25)</f>
        <v>36386</v>
      </c>
      <c r="AB25" s="13">
        <f t="shared" si="36"/>
        <v>43449</v>
      </c>
      <c r="AC25" s="13">
        <f t="shared" si="36"/>
        <v>42608</v>
      </c>
      <c r="AD25" s="13">
        <f t="shared" si="36"/>
        <v>42225</v>
      </c>
      <c r="AE25" s="13">
        <f t="shared" si="36"/>
        <v>161883</v>
      </c>
      <c r="AF25" s="13">
        <f t="shared" si="36"/>
        <v>5408</v>
      </c>
      <c r="AG25" s="13">
        <f t="shared" si="1"/>
        <v>2785</v>
      </c>
      <c r="AH25" s="13">
        <f t="shared" si="2"/>
        <v>162315</v>
      </c>
      <c r="AI25" s="13">
        <f t="shared" si="3"/>
        <v>5440</v>
      </c>
      <c r="AJ25" s="13">
        <f t="shared" si="4"/>
        <v>156875</v>
      </c>
      <c r="AK25" s="13">
        <v>4200</v>
      </c>
      <c r="AL25" s="13">
        <f t="shared" si="5"/>
        <v>0</v>
      </c>
      <c r="AM25" s="13">
        <f t="shared" si="6"/>
        <v>0</v>
      </c>
      <c r="AN25" s="13">
        <f t="shared" si="7"/>
        <v>5467</v>
      </c>
      <c r="AO25" s="13">
        <f t="shared" si="8"/>
        <v>1800</v>
      </c>
      <c r="AP25" s="13">
        <v>3899</v>
      </c>
      <c r="AQ25" s="17">
        <f t="shared" si="9"/>
        <v>0</v>
      </c>
      <c r="AR25" s="17">
        <f t="shared" si="10"/>
        <v>0</v>
      </c>
      <c r="AS25" s="18">
        <f t="shared" si="11"/>
        <v>34.8</v>
      </c>
      <c r="AT25" s="17">
        <f t="shared" si="12"/>
        <v>11.47</v>
      </c>
    </row>
    <row r="26" spans="1:46">
      <c r="A26" s="6">
        <v>43609</v>
      </c>
      <c r="B26" s="5" t="s">
        <v>50</v>
      </c>
      <c r="C26" s="4">
        <v>34967929</v>
      </c>
      <c r="D26" s="4">
        <v>22144193</v>
      </c>
      <c r="E26" s="4">
        <v>17404504</v>
      </c>
      <c r="F26" s="4">
        <v>16914818</v>
      </c>
      <c r="G26" s="4">
        <v>300759517</v>
      </c>
      <c r="H26" s="4">
        <v>106625074</v>
      </c>
      <c r="I26" s="11">
        <v>300759531</v>
      </c>
      <c r="J26" s="4">
        <v>106625080</v>
      </c>
      <c r="K26" s="4"/>
      <c r="L26" s="5">
        <v>4299.8</v>
      </c>
      <c r="M26" s="5">
        <v>4439.56</v>
      </c>
      <c r="N26" s="5">
        <v>74119.32</v>
      </c>
      <c r="O26" s="5"/>
      <c r="P26" s="5"/>
      <c r="Q26" s="10">
        <v>25.4</v>
      </c>
      <c r="R26" s="4" t="s">
        <v>54</v>
      </c>
      <c r="S26" s="4">
        <v>540</v>
      </c>
      <c r="T26" s="4">
        <v>550</v>
      </c>
      <c r="U26" s="4">
        <v>8555</v>
      </c>
      <c r="V26" s="4">
        <v>3996</v>
      </c>
      <c r="W26" s="5">
        <v>5.74</v>
      </c>
      <c r="X26" s="5">
        <v>2.52</v>
      </c>
      <c r="Y26" s="4">
        <v>1200</v>
      </c>
      <c r="Z26" s="4"/>
      <c r="AA26" s="13">
        <f t="shared" ref="AA26:AF26" si="37">IF(OR(C27=""),"",C27-C26)</f>
        <v>40221</v>
      </c>
      <c r="AB26" s="13">
        <f t="shared" si="37"/>
        <v>48254</v>
      </c>
      <c r="AC26" s="13">
        <f t="shared" si="37"/>
        <v>47332</v>
      </c>
      <c r="AD26" s="13">
        <f t="shared" si="37"/>
        <v>45659</v>
      </c>
      <c r="AE26" s="13">
        <f t="shared" si="37"/>
        <v>174620</v>
      </c>
      <c r="AF26" s="13">
        <f t="shared" si="37"/>
        <v>5431</v>
      </c>
      <c r="AG26" s="13">
        <f t="shared" si="1"/>
        <v>6846</v>
      </c>
      <c r="AH26" s="13">
        <f t="shared" si="2"/>
        <v>174538</v>
      </c>
      <c r="AI26" s="13">
        <f t="shared" si="3"/>
        <v>5424</v>
      </c>
      <c r="AJ26" s="13">
        <f t="shared" si="4"/>
        <v>169114</v>
      </c>
      <c r="AK26" s="13">
        <v>4000</v>
      </c>
      <c r="AL26" s="13">
        <f t="shared" si="5"/>
        <v>0</v>
      </c>
      <c r="AM26" s="13">
        <f t="shared" si="6"/>
        <v>0</v>
      </c>
      <c r="AN26" s="13">
        <f t="shared" si="7"/>
        <v>3834</v>
      </c>
      <c r="AO26" s="13">
        <f t="shared" si="8"/>
        <v>1320</v>
      </c>
      <c r="AP26" s="13">
        <v>3577</v>
      </c>
      <c r="AQ26" s="17">
        <f t="shared" si="9"/>
        <v>0</v>
      </c>
      <c r="AR26" s="17">
        <f t="shared" si="10"/>
        <v>0</v>
      </c>
      <c r="AS26" s="18">
        <f t="shared" si="11"/>
        <v>22.7</v>
      </c>
      <c r="AT26" s="17">
        <f t="shared" si="12"/>
        <v>7.81</v>
      </c>
    </row>
    <row r="27" spans="1:46">
      <c r="A27" s="6">
        <v>43610</v>
      </c>
      <c r="B27" s="5" t="s">
        <v>50</v>
      </c>
      <c r="C27" s="4">
        <v>35008150</v>
      </c>
      <c r="D27" s="4">
        <v>22192447</v>
      </c>
      <c r="E27" s="4">
        <v>17451836</v>
      </c>
      <c r="F27" s="4">
        <v>16960477</v>
      </c>
      <c r="G27" s="4">
        <v>300934137</v>
      </c>
      <c r="H27" s="4">
        <v>106630505</v>
      </c>
      <c r="I27" s="11">
        <v>300934069</v>
      </c>
      <c r="J27" s="4">
        <v>106630504</v>
      </c>
      <c r="K27" s="4"/>
      <c r="L27" s="5">
        <v>4299.8</v>
      </c>
      <c r="M27" s="5">
        <v>4439.56</v>
      </c>
      <c r="N27" s="5">
        <v>74119.32</v>
      </c>
      <c r="O27" s="5"/>
      <c r="P27" s="5"/>
      <c r="Q27" s="10">
        <v>25</v>
      </c>
      <c r="R27" s="4" t="s">
        <v>46</v>
      </c>
      <c r="S27" s="4">
        <v>480</v>
      </c>
      <c r="T27" s="4">
        <v>500</v>
      </c>
      <c r="U27" s="4">
        <v>8907</v>
      </c>
      <c r="V27" s="4">
        <v>2733</v>
      </c>
      <c r="W27" s="5">
        <v>6.44</v>
      </c>
      <c r="X27" s="5">
        <v>2.45</v>
      </c>
      <c r="Y27" s="4">
        <v>1230</v>
      </c>
      <c r="Z27" s="4"/>
      <c r="AA27" s="13">
        <f t="shared" ref="AA27:AF27" si="38">IF(OR(C28=""),"",C28-C27)</f>
        <v>39618</v>
      </c>
      <c r="AB27" s="13">
        <f t="shared" si="38"/>
        <v>48519</v>
      </c>
      <c r="AC27" s="13">
        <f t="shared" si="38"/>
        <v>46435</v>
      </c>
      <c r="AD27" s="13">
        <f t="shared" si="38"/>
        <v>45929</v>
      </c>
      <c r="AE27" s="13">
        <f t="shared" si="38"/>
        <v>177579</v>
      </c>
      <c r="AF27" s="13">
        <f t="shared" si="38"/>
        <v>5430</v>
      </c>
      <c r="AG27" s="13">
        <f t="shared" si="1"/>
        <v>2922</v>
      </c>
      <c r="AH27" s="13">
        <f t="shared" si="2"/>
        <v>177472</v>
      </c>
      <c r="AI27" s="13">
        <f t="shared" si="3"/>
        <v>5424</v>
      </c>
      <c r="AJ27" s="13">
        <f t="shared" si="4"/>
        <v>172048</v>
      </c>
      <c r="AK27" s="13">
        <v>3700</v>
      </c>
      <c r="AL27" s="13">
        <f t="shared" si="5"/>
        <v>0</v>
      </c>
      <c r="AM27" s="13">
        <f t="shared" si="6"/>
        <v>0</v>
      </c>
      <c r="AN27" s="13">
        <f t="shared" si="7"/>
        <v>3408</v>
      </c>
      <c r="AO27" s="13">
        <f t="shared" si="8"/>
        <v>1200</v>
      </c>
      <c r="AP27" s="13">
        <v>3630</v>
      </c>
      <c r="AQ27" s="17">
        <f t="shared" si="9"/>
        <v>0</v>
      </c>
      <c r="AR27" s="17">
        <f t="shared" si="10"/>
        <v>0</v>
      </c>
      <c r="AS27" s="18">
        <f t="shared" si="11"/>
        <v>19.8</v>
      </c>
      <c r="AT27" s="17">
        <f t="shared" si="12"/>
        <v>6.97</v>
      </c>
    </row>
    <row r="28" spans="1:46">
      <c r="A28" s="6">
        <v>43611</v>
      </c>
      <c r="B28" s="5" t="s">
        <v>50</v>
      </c>
      <c r="C28" s="4">
        <v>35047768</v>
      </c>
      <c r="D28" s="4">
        <v>22240966</v>
      </c>
      <c r="E28" s="4">
        <v>17498271</v>
      </c>
      <c r="F28" s="4">
        <v>17006406</v>
      </c>
      <c r="G28" s="11">
        <v>301111716</v>
      </c>
      <c r="H28" s="4">
        <v>106635935</v>
      </c>
      <c r="I28" s="11">
        <v>301111541</v>
      </c>
      <c r="J28" s="4">
        <v>106635928</v>
      </c>
      <c r="K28" s="4"/>
      <c r="L28" s="5">
        <v>4299.8</v>
      </c>
      <c r="M28" s="5">
        <v>4439.56</v>
      </c>
      <c r="N28" s="5">
        <v>74119.32</v>
      </c>
      <c r="O28" s="5"/>
      <c r="P28" s="5"/>
      <c r="Q28" s="10">
        <v>25</v>
      </c>
      <c r="R28" s="4" t="s">
        <v>52</v>
      </c>
      <c r="S28" s="4">
        <v>640</v>
      </c>
      <c r="T28" s="4">
        <v>630</v>
      </c>
      <c r="U28" s="4">
        <v>8033</v>
      </c>
      <c r="V28" s="4">
        <v>5738</v>
      </c>
      <c r="W28" s="5">
        <v>5.3</v>
      </c>
      <c r="X28" s="5">
        <v>2.87</v>
      </c>
      <c r="Y28" s="4">
        <v>1380</v>
      </c>
      <c r="Z28" s="4"/>
      <c r="AA28" s="13">
        <f t="shared" ref="AA28:AF28" si="39">IF(OR(C29=""),"",C29-C28)</f>
        <v>38758</v>
      </c>
      <c r="AB28" s="13">
        <f t="shared" si="39"/>
        <v>46569</v>
      </c>
      <c r="AC28" s="13">
        <f t="shared" si="39"/>
        <v>45404</v>
      </c>
      <c r="AD28" s="13">
        <f t="shared" si="39"/>
        <v>44538</v>
      </c>
      <c r="AE28" s="13">
        <f t="shared" si="39"/>
        <v>168983</v>
      </c>
      <c r="AF28" s="13">
        <f t="shared" si="39"/>
        <v>5441</v>
      </c>
      <c r="AG28" s="13">
        <f t="shared" si="1"/>
        <v>6286</v>
      </c>
      <c r="AH28" s="13">
        <f t="shared" si="2"/>
        <v>168705</v>
      </c>
      <c r="AI28" s="13">
        <f t="shared" si="3"/>
        <v>5432</v>
      </c>
      <c r="AJ28" s="13">
        <f t="shared" si="4"/>
        <v>163273</v>
      </c>
      <c r="AK28" s="13">
        <v>3800</v>
      </c>
      <c r="AL28" s="13">
        <f t="shared" si="5"/>
        <v>0</v>
      </c>
      <c r="AM28" s="13">
        <f t="shared" si="6"/>
        <v>0</v>
      </c>
      <c r="AN28" s="13">
        <f t="shared" si="7"/>
        <v>4544</v>
      </c>
      <c r="AO28" s="13">
        <f t="shared" si="8"/>
        <v>1512</v>
      </c>
      <c r="AP28" s="13">
        <v>4294</v>
      </c>
      <c r="AQ28" s="17">
        <f t="shared" si="9"/>
        <v>0</v>
      </c>
      <c r="AR28" s="17">
        <f t="shared" si="10"/>
        <v>0</v>
      </c>
      <c r="AS28" s="18">
        <f t="shared" si="11"/>
        <v>27.8</v>
      </c>
      <c r="AT28" s="17">
        <f t="shared" si="12"/>
        <v>9.26</v>
      </c>
    </row>
    <row r="29" spans="1:46">
      <c r="A29" s="6">
        <v>43612</v>
      </c>
      <c r="B29" s="5" t="s">
        <v>50</v>
      </c>
      <c r="C29" s="4">
        <v>35086526</v>
      </c>
      <c r="D29" s="4">
        <v>22287535</v>
      </c>
      <c r="E29" s="4">
        <v>17543675</v>
      </c>
      <c r="F29" s="4">
        <v>17050944</v>
      </c>
      <c r="G29" s="4">
        <v>301280699</v>
      </c>
      <c r="H29" s="4">
        <v>106641376</v>
      </c>
      <c r="I29" s="11">
        <v>301280246</v>
      </c>
      <c r="J29" s="4">
        <v>106641360</v>
      </c>
      <c r="K29" s="4"/>
      <c r="L29" s="5">
        <v>4299.8</v>
      </c>
      <c r="M29" s="5">
        <v>4439.56</v>
      </c>
      <c r="N29" s="5">
        <v>74119.32</v>
      </c>
      <c r="O29" s="5"/>
      <c r="P29" s="5"/>
      <c r="Q29" s="10">
        <v>25</v>
      </c>
      <c r="R29" s="4" t="s">
        <v>54</v>
      </c>
      <c r="S29" s="4">
        <v>490</v>
      </c>
      <c r="T29" s="4">
        <v>510</v>
      </c>
      <c r="U29" s="4">
        <v>8664</v>
      </c>
      <c r="V29" s="4">
        <v>6432</v>
      </c>
      <c r="W29" s="5">
        <v>5.08</v>
      </c>
      <c r="X29" s="5">
        <v>3.24</v>
      </c>
      <c r="Y29" s="4">
        <v>1440</v>
      </c>
      <c r="Z29" s="4"/>
      <c r="AA29" s="13">
        <f t="shared" ref="AA29:AF29" si="40">IF(OR(C30=""),"",C30-C29)</f>
        <v>39872</v>
      </c>
      <c r="AB29" s="13">
        <f t="shared" si="40"/>
        <v>48361</v>
      </c>
      <c r="AC29" s="13">
        <f t="shared" si="40"/>
        <v>47218</v>
      </c>
      <c r="AD29" s="13">
        <f t="shared" si="40"/>
        <v>45748</v>
      </c>
      <c r="AE29" s="13">
        <f t="shared" si="40"/>
        <v>177832</v>
      </c>
      <c r="AF29" s="13">
        <f t="shared" si="40"/>
        <v>5513</v>
      </c>
      <c r="AG29" s="13">
        <f t="shared" si="1"/>
        <v>3367</v>
      </c>
      <c r="AH29" s="13">
        <f t="shared" si="2"/>
        <v>178701</v>
      </c>
      <c r="AI29" s="13">
        <f t="shared" si="3"/>
        <v>5440</v>
      </c>
      <c r="AJ29" s="13">
        <f t="shared" si="4"/>
        <v>173261</v>
      </c>
      <c r="AK29" s="13">
        <v>3200</v>
      </c>
      <c r="AL29" s="13">
        <f t="shared" si="5"/>
        <v>0</v>
      </c>
      <c r="AM29" s="13">
        <f t="shared" si="6"/>
        <v>0</v>
      </c>
      <c r="AN29" s="13">
        <f t="shared" si="7"/>
        <v>3479</v>
      </c>
      <c r="AO29" s="13">
        <f t="shared" si="8"/>
        <v>1224</v>
      </c>
      <c r="AP29" s="13">
        <v>4342</v>
      </c>
      <c r="AQ29" s="17">
        <f t="shared" si="9"/>
        <v>0</v>
      </c>
      <c r="AR29" s="17">
        <f t="shared" si="10"/>
        <v>0</v>
      </c>
      <c r="AS29" s="18">
        <f t="shared" si="11"/>
        <v>20.1</v>
      </c>
      <c r="AT29" s="17">
        <f t="shared" si="12"/>
        <v>7.06</v>
      </c>
    </row>
    <row r="30" spans="1:46">
      <c r="A30" s="6">
        <v>43613</v>
      </c>
      <c r="B30" s="5" t="s">
        <v>55</v>
      </c>
      <c r="C30" s="4">
        <v>35126398</v>
      </c>
      <c r="D30" s="4">
        <v>22335896</v>
      </c>
      <c r="E30" s="4">
        <v>17590893</v>
      </c>
      <c r="F30" s="4">
        <v>17096692</v>
      </c>
      <c r="G30" s="4">
        <v>301458531</v>
      </c>
      <c r="H30" s="4">
        <v>106646889</v>
      </c>
      <c r="I30" s="11">
        <v>301458947</v>
      </c>
      <c r="J30" s="4">
        <v>106646800</v>
      </c>
      <c r="K30" s="4"/>
      <c r="L30" s="5">
        <v>4299.8</v>
      </c>
      <c r="M30" s="5">
        <v>4439.56</v>
      </c>
      <c r="N30" s="5">
        <v>74119.32</v>
      </c>
      <c r="O30" s="5"/>
      <c r="P30" s="5"/>
      <c r="Q30" s="10">
        <v>25.7</v>
      </c>
      <c r="R30" s="4" t="s">
        <v>54</v>
      </c>
      <c r="S30" s="4">
        <v>350</v>
      </c>
      <c r="T30" s="4">
        <v>370</v>
      </c>
      <c r="U30" s="4">
        <v>8524</v>
      </c>
      <c r="V30" s="4">
        <v>6325</v>
      </c>
      <c r="W30" s="5">
        <v>5.28</v>
      </c>
      <c r="X30" s="5">
        <v>2.98</v>
      </c>
      <c r="Y30" s="4">
        <v>1140</v>
      </c>
      <c r="Z30" s="4"/>
      <c r="AA30" s="13">
        <f t="shared" ref="AA30:AF30" si="41">IF(OR(C31=""),"",C31-C30)</f>
        <v>38906</v>
      </c>
      <c r="AB30" s="13">
        <f t="shared" si="41"/>
        <v>46345</v>
      </c>
      <c r="AC30" s="13">
        <f t="shared" si="41"/>
        <v>45769</v>
      </c>
      <c r="AD30" s="13">
        <f t="shared" si="41"/>
        <v>44366</v>
      </c>
      <c r="AE30" s="13">
        <f t="shared" si="41"/>
        <v>169891</v>
      </c>
      <c r="AF30" s="13">
        <f t="shared" si="41"/>
        <v>5318</v>
      </c>
      <c r="AG30" s="13">
        <f t="shared" si="1"/>
        <v>5495</v>
      </c>
      <c r="AH30" s="13">
        <f t="shared" si="2"/>
        <v>169387</v>
      </c>
      <c r="AI30" s="13">
        <f t="shared" si="3"/>
        <v>5407</v>
      </c>
      <c r="AJ30" s="13">
        <f t="shared" si="4"/>
        <v>163980</v>
      </c>
      <c r="AK30" s="13">
        <v>3000</v>
      </c>
      <c r="AL30" s="13">
        <f t="shared" si="5"/>
        <v>0</v>
      </c>
      <c r="AM30" s="13">
        <f t="shared" si="6"/>
        <v>0</v>
      </c>
      <c r="AN30" s="13">
        <f t="shared" si="7"/>
        <v>2485</v>
      </c>
      <c r="AO30" s="13">
        <f t="shared" si="8"/>
        <v>888</v>
      </c>
      <c r="AP30" s="13">
        <v>4280</v>
      </c>
      <c r="AQ30" s="17">
        <f t="shared" si="9"/>
        <v>0</v>
      </c>
      <c r="AR30" s="17">
        <f t="shared" si="10"/>
        <v>0</v>
      </c>
      <c r="AS30" s="18">
        <f t="shared" si="11"/>
        <v>15.2</v>
      </c>
      <c r="AT30" s="17">
        <f t="shared" si="12"/>
        <v>5.42</v>
      </c>
    </row>
    <row r="31" spans="1:46">
      <c r="A31" s="6">
        <v>43614</v>
      </c>
      <c r="B31" s="22" t="s">
        <v>45</v>
      </c>
      <c r="C31" s="4">
        <v>35165304</v>
      </c>
      <c r="D31" s="4">
        <v>22382241</v>
      </c>
      <c r="E31" s="4">
        <v>17636662</v>
      </c>
      <c r="F31" s="4">
        <v>17141058</v>
      </c>
      <c r="G31" s="4">
        <v>301628422</v>
      </c>
      <c r="H31" s="4">
        <v>106652207</v>
      </c>
      <c r="I31" s="11">
        <v>301628334</v>
      </c>
      <c r="J31" s="4">
        <v>106652207</v>
      </c>
      <c r="K31" s="4"/>
      <c r="L31" s="5">
        <v>4299.8</v>
      </c>
      <c r="M31" s="5">
        <v>4439.56</v>
      </c>
      <c r="N31" s="5">
        <v>74119.32</v>
      </c>
      <c r="O31" s="5"/>
      <c r="P31" s="5"/>
      <c r="Q31" s="10">
        <v>23.5</v>
      </c>
      <c r="R31" s="4" t="s">
        <v>54</v>
      </c>
      <c r="S31" s="4">
        <v>560</v>
      </c>
      <c r="T31" s="4">
        <v>580</v>
      </c>
      <c r="U31" s="4">
        <v>8186</v>
      </c>
      <c r="V31" s="4">
        <v>6251</v>
      </c>
      <c r="W31" s="5">
        <v>5.08</v>
      </c>
      <c r="X31" s="5">
        <v>2.62</v>
      </c>
      <c r="Y31" s="4">
        <v>1110</v>
      </c>
      <c r="Z31" s="4"/>
      <c r="AA31" s="13">
        <f t="shared" ref="AA31:AF31" si="42">IF(OR(C32=""),"",C32-C31)</f>
        <v>39472</v>
      </c>
      <c r="AB31" s="13">
        <f t="shared" si="42"/>
        <v>47194</v>
      </c>
      <c r="AC31" s="13">
        <f t="shared" si="42"/>
        <v>46552</v>
      </c>
      <c r="AD31" s="13">
        <f t="shared" si="42"/>
        <v>44919</v>
      </c>
      <c r="AE31" s="13">
        <f t="shared" si="42"/>
        <v>175742</v>
      </c>
      <c r="AF31" s="13">
        <f t="shared" si="42"/>
        <v>5430</v>
      </c>
      <c r="AG31" s="13">
        <f t="shared" si="1"/>
        <v>2395</v>
      </c>
      <c r="AH31" s="13">
        <f t="shared" si="2"/>
        <v>175580</v>
      </c>
      <c r="AI31" s="13">
        <f t="shared" si="3"/>
        <v>5441</v>
      </c>
      <c r="AJ31" s="13">
        <f t="shared" si="4"/>
        <v>170139</v>
      </c>
      <c r="AK31" s="13">
        <v>3400</v>
      </c>
      <c r="AL31" s="13">
        <f t="shared" si="5"/>
        <v>0</v>
      </c>
      <c r="AM31" s="13">
        <f t="shared" si="6"/>
        <v>0</v>
      </c>
      <c r="AN31" s="13">
        <f t="shared" si="7"/>
        <v>3976</v>
      </c>
      <c r="AO31" s="13">
        <f t="shared" si="8"/>
        <v>1392</v>
      </c>
      <c r="AP31" s="13">
        <v>4195</v>
      </c>
      <c r="AQ31" s="17">
        <f t="shared" si="9"/>
        <v>0</v>
      </c>
      <c r="AR31" s="17">
        <f t="shared" si="10"/>
        <v>0</v>
      </c>
      <c r="AS31" s="18">
        <f t="shared" si="11"/>
        <v>23.4</v>
      </c>
      <c r="AT31" s="17">
        <f t="shared" si="12"/>
        <v>8.18</v>
      </c>
    </row>
    <row r="32" spans="1:46">
      <c r="A32" s="6">
        <v>43615</v>
      </c>
      <c r="B32" s="5" t="s">
        <v>50</v>
      </c>
      <c r="C32" s="4">
        <v>35204776</v>
      </c>
      <c r="D32" s="4">
        <v>22429435</v>
      </c>
      <c r="E32" s="4">
        <v>17683214</v>
      </c>
      <c r="F32" s="4">
        <v>17185977</v>
      </c>
      <c r="G32" s="4">
        <v>301804164</v>
      </c>
      <c r="H32" s="4">
        <v>106657637</v>
      </c>
      <c r="I32" s="11">
        <v>301803914</v>
      </c>
      <c r="J32" s="4">
        <v>106657648</v>
      </c>
      <c r="K32" s="4"/>
      <c r="L32" s="5">
        <v>4299.8</v>
      </c>
      <c r="M32" s="5">
        <v>4439.56</v>
      </c>
      <c r="N32" s="5">
        <v>74119.32</v>
      </c>
      <c r="O32" s="5"/>
      <c r="P32" s="5"/>
      <c r="Q32" s="10">
        <v>25</v>
      </c>
      <c r="R32" s="4" t="s">
        <v>54</v>
      </c>
      <c r="S32" s="4">
        <v>750</v>
      </c>
      <c r="T32" s="4">
        <v>770</v>
      </c>
      <c r="U32" s="4">
        <v>8595</v>
      </c>
      <c r="V32" s="4">
        <v>6676</v>
      </c>
      <c r="W32" s="5">
        <v>5.27</v>
      </c>
      <c r="X32" s="5">
        <v>2.66</v>
      </c>
      <c r="Y32" s="4">
        <v>1310</v>
      </c>
      <c r="Z32" s="4"/>
      <c r="AA32" s="13">
        <f t="shared" ref="AA32:AF32" si="43">IF(OR(C33=""),"",C33-C32)</f>
        <v>42124</v>
      </c>
      <c r="AB32" s="13">
        <f t="shared" si="43"/>
        <v>51389</v>
      </c>
      <c r="AC32" s="13">
        <f t="shared" si="43"/>
        <v>50148</v>
      </c>
      <c r="AD32" s="13">
        <f t="shared" si="43"/>
        <v>48658</v>
      </c>
      <c r="AE32" s="13">
        <f t="shared" si="43"/>
        <v>182675</v>
      </c>
      <c r="AF32" s="13">
        <f t="shared" si="43"/>
        <v>5418</v>
      </c>
      <c r="AG32" s="13">
        <f t="shared" si="1"/>
        <v>9644</v>
      </c>
      <c r="AH32" s="13">
        <f t="shared" si="2"/>
        <v>182925</v>
      </c>
      <c r="AI32" s="13">
        <f t="shared" si="3"/>
        <v>5407</v>
      </c>
      <c r="AJ32" s="13">
        <f t="shared" si="4"/>
        <v>177518</v>
      </c>
      <c r="AK32" s="13">
        <v>3900</v>
      </c>
      <c r="AL32" s="13">
        <f t="shared" si="5"/>
        <v>0</v>
      </c>
      <c r="AM32" s="13">
        <f t="shared" si="6"/>
        <v>0</v>
      </c>
      <c r="AN32" s="13">
        <f t="shared" si="7"/>
        <v>5325</v>
      </c>
      <c r="AO32" s="13">
        <f t="shared" si="8"/>
        <v>1848</v>
      </c>
      <c r="AP32" s="13">
        <v>4080</v>
      </c>
      <c r="AQ32" s="17">
        <f t="shared" si="9"/>
        <v>0</v>
      </c>
      <c r="AR32" s="17">
        <f t="shared" si="10"/>
        <v>0</v>
      </c>
      <c r="AS32" s="18">
        <f t="shared" si="11"/>
        <v>30</v>
      </c>
      <c r="AT32" s="17">
        <f t="shared" si="12"/>
        <v>10.41</v>
      </c>
    </row>
    <row r="33" spans="1:46">
      <c r="A33" s="6">
        <v>43616</v>
      </c>
      <c r="B33" s="5" t="s">
        <v>50</v>
      </c>
      <c r="C33" s="4">
        <v>35246900</v>
      </c>
      <c r="D33" s="4">
        <v>22480824</v>
      </c>
      <c r="E33" s="4">
        <v>17733362</v>
      </c>
      <c r="F33" s="4">
        <v>17234635</v>
      </c>
      <c r="G33" s="4">
        <v>301986839</v>
      </c>
      <c r="H33" s="4">
        <v>106663055</v>
      </c>
      <c r="I33" s="11">
        <v>301986839</v>
      </c>
      <c r="J33" s="4">
        <v>106663055</v>
      </c>
      <c r="K33" s="4"/>
      <c r="L33" s="5">
        <v>4299.8</v>
      </c>
      <c r="M33" s="5">
        <v>4439.56</v>
      </c>
      <c r="N33" s="5">
        <v>74119.32</v>
      </c>
      <c r="O33" s="5"/>
      <c r="P33" s="5"/>
      <c r="Q33" s="10">
        <v>25</v>
      </c>
      <c r="R33" s="11" t="s">
        <v>46</v>
      </c>
      <c r="S33" s="4">
        <v>580</v>
      </c>
      <c r="T33" s="4">
        <v>600</v>
      </c>
      <c r="U33" s="4">
        <v>8297</v>
      </c>
      <c r="V33" s="4">
        <v>7211</v>
      </c>
      <c r="W33" s="5">
        <v>5.95</v>
      </c>
      <c r="X33" s="5">
        <v>2.95</v>
      </c>
      <c r="Y33" s="4">
        <v>1350</v>
      </c>
      <c r="Z33" s="4"/>
      <c r="AA33" s="13">
        <f t="shared" ref="AA33:AF33" si="44">IF(OR(C34=""),"",C34-C33)</f>
        <v>40772</v>
      </c>
      <c r="AB33" s="13">
        <f t="shared" si="44"/>
        <v>49328</v>
      </c>
      <c r="AC33" s="13">
        <f t="shared" si="44"/>
        <v>48378</v>
      </c>
      <c r="AD33" s="13">
        <f t="shared" si="44"/>
        <v>46170</v>
      </c>
      <c r="AE33" s="13">
        <f t="shared" si="44"/>
        <v>182735</v>
      </c>
      <c r="AF33" s="13">
        <f t="shared" si="44"/>
        <v>5433</v>
      </c>
      <c r="AG33" s="13">
        <f t="shared" si="1"/>
        <v>1913</v>
      </c>
      <c r="AH33" s="13">
        <f t="shared" si="2"/>
        <v>182677</v>
      </c>
      <c r="AI33" s="13">
        <f t="shared" si="3"/>
        <v>5425</v>
      </c>
      <c r="AJ33" s="13">
        <f t="shared" si="4"/>
        <v>177252</v>
      </c>
      <c r="AK33" s="13">
        <v>2500</v>
      </c>
      <c r="AL33" s="13">
        <f t="shared" si="5"/>
        <v>4680</v>
      </c>
      <c r="AM33" s="13">
        <f t="shared" si="6"/>
        <v>11</v>
      </c>
      <c r="AN33" s="13">
        <f t="shared" si="7"/>
        <v>4118</v>
      </c>
      <c r="AO33" s="13">
        <f t="shared" si="8"/>
        <v>1440</v>
      </c>
      <c r="AP33" s="13">
        <v>4323</v>
      </c>
      <c r="AQ33" s="17">
        <f t="shared" si="9"/>
        <v>26.4</v>
      </c>
      <c r="AR33" s="17">
        <f t="shared" si="10"/>
        <v>0.06</v>
      </c>
      <c r="AS33" s="18">
        <f t="shared" si="11"/>
        <v>23.2</v>
      </c>
      <c r="AT33" s="17">
        <f t="shared" si="12"/>
        <v>8.12</v>
      </c>
    </row>
    <row r="34" spans="1:46">
      <c r="A34" s="6">
        <v>43617</v>
      </c>
      <c r="B34" s="22" t="s">
        <v>50</v>
      </c>
      <c r="C34" s="4">
        <v>35287672</v>
      </c>
      <c r="D34" s="4">
        <v>22530152</v>
      </c>
      <c r="E34" s="4">
        <v>17781740</v>
      </c>
      <c r="F34" s="4">
        <v>17280805</v>
      </c>
      <c r="G34" s="4">
        <v>302169574</v>
      </c>
      <c r="H34" s="4">
        <v>106668488</v>
      </c>
      <c r="I34" s="11">
        <v>302169516</v>
      </c>
      <c r="J34" s="4">
        <v>106668480</v>
      </c>
      <c r="K34" s="4"/>
      <c r="L34" s="5">
        <v>4299.8</v>
      </c>
      <c r="M34" s="5">
        <v>4443.46</v>
      </c>
      <c r="N34" s="5">
        <v>74124.91</v>
      </c>
      <c r="O34" s="5"/>
      <c r="P34" s="5"/>
      <c r="Q34" s="10">
        <v>25.4</v>
      </c>
      <c r="R34" s="11" t="s">
        <v>54</v>
      </c>
      <c r="Z34" s="14"/>
      <c r="AK34" s="15"/>
      <c r="AN34" s="1"/>
      <c r="AO34" s="1"/>
      <c r="AP34" s="1"/>
      <c r="AQ34" s="12"/>
      <c r="AR34" s="2"/>
      <c r="AS34" s="12"/>
      <c r="AT34" s="2"/>
    </row>
    <row r="35" spans="9:46">
      <c r="I35" s="28"/>
      <c r="P35" s="2"/>
      <c r="Q35" s="12"/>
      <c r="AK35" s="15"/>
      <c r="AN35" s="1"/>
      <c r="AO35" s="1"/>
      <c r="AP35" s="1"/>
      <c r="AQ35" s="12"/>
      <c r="AR35" s="2"/>
      <c r="AS35" s="12"/>
      <c r="AT35" s="2"/>
    </row>
    <row r="36" spans="16:46">
      <c r="P36" s="2"/>
      <c r="Q36" s="12"/>
      <c r="AA36" s="1" t="str">
        <f t="shared" ref="AA36:AF36" si="45">IF(OR(C37=""),"",C37-C36)</f>
        <v/>
      </c>
      <c r="AB36" s="1" t="str">
        <f t="shared" si="45"/>
        <v/>
      </c>
      <c r="AC36" s="1" t="str">
        <f t="shared" si="45"/>
        <v/>
      </c>
      <c r="AD36" s="1" t="str">
        <f t="shared" si="45"/>
        <v/>
      </c>
      <c r="AE36" s="1" t="str">
        <f t="shared" si="45"/>
        <v/>
      </c>
      <c r="AF36" s="1" t="str">
        <f t="shared" si="45"/>
        <v/>
      </c>
      <c r="AG36" s="1" t="str">
        <f>IF(OR(AA36="",AB36="",AC36=""),"",AA36+AB36+AC36+AD36-AE36)</f>
        <v/>
      </c>
      <c r="AH36" s="16">
        <f t="shared" ref="AH36:AO36" si="46">SUM(AH3:AH34)</f>
        <v>5620499</v>
      </c>
      <c r="AI36" s="16">
        <f t="shared" si="46"/>
        <v>168048</v>
      </c>
      <c r="AJ36" s="16">
        <f t="shared" si="46"/>
        <v>5452451</v>
      </c>
      <c r="AK36" s="16">
        <f t="shared" si="46"/>
        <v>117300</v>
      </c>
      <c r="AL36" s="16">
        <f t="shared" si="46"/>
        <v>15756</v>
      </c>
      <c r="AM36" s="16">
        <f t="shared" si="46"/>
        <v>92</v>
      </c>
      <c r="AN36" s="16">
        <f t="shared" si="46"/>
        <v>112251</v>
      </c>
      <c r="AO36" s="16">
        <f t="shared" si="46"/>
        <v>39096</v>
      </c>
      <c r="AP36" s="16"/>
      <c r="AQ36" s="19">
        <f>IF(OR($AJ36=0),"",ROUND(AL36/$AJ36*1000,1))</f>
        <v>2.9</v>
      </c>
      <c r="AR36" s="19">
        <f>IF(OR($AJ36=0),"",ROUND(AM36/$AJ36*1000,2))</f>
        <v>0.02</v>
      </c>
      <c r="AS36" s="20">
        <f>IF(OR($AJ36=0),"",ROUND(AN36/$AJ36*1000,1))</f>
        <v>20.6</v>
      </c>
      <c r="AT36" s="19">
        <f>IF(OR($AJ36=0),"",ROUND(AO36/$AJ36*1000,2))</f>
        <v>7.17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pageSetup paperSize="9" orientation="portrait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43"/>
  <sheetViews>
    <sheetView showGridLines="0" zoomScale="110" zoomScaleNormal="110" workbookViewId="0">
      <pane xSplit="2" ySplit="2" topLeftCell="Z18" activePane="bottomRight" state="frozen"/>
      <selection/>
      <selection pane="topRight"/>
      <selection pane="bottomLeft"/>
      <selection pane="bottomRight" activeCell="AP2" sqref="AP2"/>
    </sheetView>
  </sheetViews>
  <sheetFormatPr defaultColWidth="10.6666666666667" defaultRowHeight="14.25"/>
  <cols>
    <col min="1" max="1" width="7.33333333333333" style="1" customWidth="1"/>
    <col min="2" max="2" width="8.66666666666667" style="2" customWidth="1"/>
    <col min="3" max="3" width="12" style="1" customWidth="1"/>
    <col min="4" max="4" width="11.4416666666667" style="1" customWidth="1"/>
    <col min="5" max="5" width="10.8833333333333" style="1" customWidth="1"/>
    <col min="6" max="6" width="13.2166666666667" style="1" customWidth="1"/>
    <col min="7" max="7" width="14.4416666666667" style="1" customWidth="1"/>
    <col min="8" max="8" width="11" style="1" customWidth="1"/>
    <col min="9" max="9" width="11.6666666666667" style="1" customWidth="1"/>
    <col min="10" max="10" width="12.1083333333333" style="1" customWidth="1"/>
    <col min="11" max="11" width="8" style="1" customWidth="1"/>
    <col min="12" max="13" width="8.33333333333333" style="2" customWidth="1"/>
    <col min="14" max="14" width="9" style="2" customWidth="1"/>
    <col min="15" max="15" width="8.33333333333333" style="2" customWidth="1"/>
    <col min="16" max="16" width="9.66666666666667" style="1" customWidth="1"/>
    <col min="17" max="18" width="8.10833333333333" style="1" customWidth="1"/>
    <col min="19" max="19" width="7.66666666666667" style="1" customWidth="1"/>
    <col min="20" max="22" width="8.10833333333333" style="1" customWidth="1"/>
    <col min="23" max="24" width="8.10833333333333" style="2" customWidth="1"/>
    <col min="25" max="25" width="8.10833333333333" style="1" customWidth="1"/>
    <col min="26" max="26" width="15.6666666666667" style="1" customWidth="1"/>
    <col min="27" max="30" width="8.10833333333333" style="1" customWidth="1"/>
    <col min="31" max="31" width="11.2166666666667" style="1" customWidth="1"/>
    <col min="32" max="33" width="8.10833333333333" style="1" customWidth="1"/>
    <col min="34" max="34" width="7.66666666666667" style="1" customWidth="1"/>
    <col min="35" max="36" width="8.10833333333333" style="1" customWidth="1"/>
    <col min="37" max="39" width="6.66666666666667" style="1" customWidth="1"/>
    <col min="40" max="40" width="6.66666666666667" style="2" customWidth="1"/>
    <col min="41" max="42" width="8.10833333333333" style="2" customWidth="1"/>
    <col min="43" max="43" width="6.10833333333333" style="3" customWidth="1"/>
    <col min="44" max="44" width="7" style="3" customWidth="1"/>
    <col min="45" max="45" width="6.66666666666667" style="3" customWidth="1"/>
    <col min="46" max="46" width="8.10833333333333" style="3" customWidth="1"/>
    <col min="47" max="16384" width="10.6666666666667" style="3"/>
  </cols>
  <sheetData>
    <row r="2" ht="42.75" spans="1:46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3" t="s">
        <v>34</v>
      </c>
      <c r="AK2" s="13" t="s">
        <v>35</v>
      </c>
      <c r="AL2" s="13" t="s">
        <v>36</v>
      </c>
      <c r="AM2" s="13" t="s">
        <v>37</v>
      </c>
      <c r="AN2" s="7" t="s">
        <v>38</v>
      </c>
      <c r="AO2" s="7" t="s">
        <v>39</v>
      </c>
      <c r="AP2" s="26" t="s">
        <v>40</v>
      </c>
      <c r="AQ2" s="13" t="s">
        <v>41</v>
      </c>
      <c r="AR2" s="13" t="s">
        <v>42</v>
      </c>
      <c r="AS2" s="7" t="s">
        <v>43</v>
      </c>
      <c r="AT2" s="7" t="s">
        <v>44</v>
      </c>
    </row>
    <row r="3" spans="1:46">
      <c r="A3" s="6">
        <v>43617</v>
      </c>
      <c r="B3" s="7" t="str">
        <f>'5'!B34</f>
        <v>易萍</v>
      </c>
      <c r="C3" s="13">
        <f>'5'!C34</f>
        <v>35287672</v>
      </c>
      <c r="D3" s="13">
        <f>'5'!D34</f>
        <v>22530152</v>
      </c>
      <c r="E3" s="13">
        <f>'5'!E34</f>
        <v>17781740</v>
      </c>
      <c r="F3" s="13">
        <f>'5'!F34</f>
        <v>17280805</v>
      </c>
      <c r="G3" s="13">
        <f>'5'!G34</f>
        <v>302169574</v>
      </c>
      <c r="H3" s="13">
        <f>'5'!H34</f>
        <v>106668488</v>
      </c>
      <c r="I3" s="13">
        <f>'5'!I34</f>
        <v>302169516</v>
      </c>
      <c r="J3" s="13">
        <f>'5'!J34</f>
        <v>106668480</v>
      </c>
      <c r="K3" s="7">
        <f>'5'!K34</f>
        <v>0</v>
      </c>
      <c r="L3" s="7">
        <f>'5'!L34</f>
        <v>4299.8</v>
      </c>
      <c r="M3" s="7">
        <f>'5'!M34</f>
        <v>4443.46</v>
      </c>
      <c r="N3" s="7">
        <f>'5'!N34</f>
        <v>74124.91</v>
      </c>
      <c r="O3" s="7"/>
      <c r="P3" s="7"/>
      <c r="Q3" s="7">
        <v>25.8</v>
      </c>
      <c r="R3" s="26" t="s">
        <v>46</v>
      </c>
      <c r="S3" s="4">
        <v>400</v>
      </c>
      <c r="T3" s="4">
        <v>420</v>
      </c>
      <c r="U3" s="4">
        <v>8742</v>
      </c>
      <c r="V3" s="4">
        <v>8047</v>
      </c>
      <c r="W3" s="5">
        <v>5.56</v>
      </c>
      <c r="X3" s="5">
        <v>3.68</v>
      </c>
      <c r="Y3" s="4">
        <v>1440</v>
      </c>
      <c r="Z3" s="4"/>
      <c r="AA3" s="13">
        <f t="shared" ref="AA3:AF3" si="0">IF(OR(C4=""),"",C4-C3)</f>
        <v>44428</v>
      </c>
      <c r="AB3" s="13">
        <f t="shared" si="0"/>
        <v>55052</v>
      </c>
      <c r="AC3" s="13">
        <f t="shared" si="0"/>
        <v>52546</v>
      </c>
      <c r="AD3" s="13">
        <f t="shared" si="0"/>
        <v>51793</v>
      </c>
      <c r="AE3" s="13">
        <f t="shared" si="0"/>
        <v>198771</v>
      </c>
      <c r="AF3" s="13">
        <f t="shared" si="0"/>
        <v>5428</v>
      </c>
      <c r="AG3" s="13">
        <f t="shared" ref="AG3:AG33" si="1">IF(OR(AA3="",AB3="",AC3=""),"",AA3+AB3+AC3+AD3-AE3)</f>
        <v>5048</v>
      </c>
      <c r="AH3" s="13">
        <f t="shared" ref="AH3:AH33" si="2">IF(OR(I4=""),"",I4-I3)</f>
        <v>198881</v>
      </c>
      <c r="AI3" s="13">
        <f t="shared" ref="AI3:AI33" si="3">IF(OR(J4=""),"",J4-J3)</f>
        <v>5432</v>
      </c>
      <c r="AJ3" s="13">
        <f t="shared" ref="AJ3:AJ33" si="4">IF(OR(AH3="",AI3=""),"",AH3-AI3)</f>
        <v>193449</v>
      </c>
      <c r="AK3" s="13">
        <v>2500</v>
      </c>
      <c r="AL3" s="13">
        <f t="shared" ref="AL3:AL33" si="5">IF(OR(L4="",M4=""),"",ROUND((L4-L3+M4-M3)*1200,0))</f>
        <v>0</v>
      </c>
      <c r="AM3" s="13">
        <f t="shared" ref="AM3:AM33" si="6">IF(OR(N4=""),"",(ROUND((N4-N3)*2,0)))</f>
        <v>0</v>
      </c>
      <c r="AN3" s="13">
        <f t="shared" ref="AN3:AN33" si="7">IF(OR(S3=""),"",ROUND(S3*7.1,0))</f>
        <v>2840</v>
      </c>
      <c r="AO3" s="13">
        <f t="shared" ref="AO3:AO33" si="8">IF(OR(T3=""),"",ROUND(T3*2.4,0))</f>
        <v>1008</v>
      </c>
      <c r="AP3" s="13">
        <v>4203</v>
      </c>
      <c r="AQ3" s="17">
        <f t="shared" ref="AQ3:AQ33" si="9">IF(OR($AJ3=""),"",ROUND(AL3/$AJ3*1000,1))</f>
        <v>0</v>
      </c>
      <c r="AR3" s="17">
        <f t="shared" ref="AR3:AR33" si="10">IF(OR($AJ3=""),"",ROUND(AM3/$AJ3*1000,2))</f>
        <v>0</v>
      </c>
      <c r="AS3" s="18">
        <f t="shared" ref="AS3:AS33" si="11">IF(OR($AJ3=""),"",ROUND(AN3/$AJ3*1000,1))</f>
        <v>14.7</v>
      </c>
      <c r="AT3" s="17">
        <f t="shared" ref="AT3:AT33" si="12">IF(OR($AJ3=""),"",ROUND(AO3/$AJ3*1000,2))</f>
        <v>5.21</v>
      </c>
    </row>
    <row r="4" spans="1:46">
      <c r="A4" s="6">
        <v>43618</v>
      </c>
      <c r="B4" s="22" t="s">
        <v>50</v>
      </c>
      <c r="C4" s="4">
        <v>35332100</v>
      </c>
      <c r="D4" s="4">
        <v>22585204</v>
      </c>
      <c r="E4" s="4">
        <v>17834286</v>
      </c>
      <c r="F4" s="4">
        <v>17332598</v>
      </c>
      <c r="G4" s="4">
        <v>302368345</v>
      </c>
      <c r="H4" s="4">
        <v>106673916</v>
      </c>
      <c r="I4" s="4">
        <v>302368397</v>
      </c>
      <c r="J4" s="4">
        <v>106673912</v>
      </c>
      <c r="K4" s="4"/>
      <c r="L4" s="5">
        <v>4299.8</v>
      </c>
      <c r="M4" s="5">
        <v>4443.46</v>
      </c>
      <c r="N4" s="5">
        <v>74124.91</v>
      </c>
      <c r="O4" s="5"/>
      <c r="P4" s="5"/>
      <c r="Q4" s="27" t="s">
        <v>64</v>
      </c>
      <c r="R4" s="4" t="s">
        <v>46</v>
      </c>
      <c r="S4" s="4">
        <v>500</v>
      </c>
      <c r="T4" s="4">
        <v>480</v>
      </c>
      <c r="U4" s="4">
        <v>8347</v>
      </c>
      <c r="V4" s="4">
        <v>7855</v>
      </c>
      <c r="W4" s="5">
        <v>4.59</v>
      </c>
      <c r="X4" s="5">
        <v>3.65</v>
      </c>
      <c r="Y4" s="4">
        <v>1440</v>
      </c>
      <c r="Z4" s="4"/>
      <c r="AA4" s="13">
        <f t="shared" ref="AA4:AF4" si="13">IF(OR(C5=""),"",C5-C4)</f>
        <v>43068</v>
      </c>
      <c r="AB4" s="13">
        <f t="shared" si="13"/>
        <v>52303</v>
      </c>
      <c r="AC4" s="13">
        <f t="shared" si="13"/>
        <v>51093</v>
      </c>
      <c r="AD4" s="13">
        <f t="shared" si="13"/>
        <v>49014</v>
      </c>
      <c r="AE4" s="13">
        <f t="shared" si="13"/>
        <v>191693.333333313</v>
      </c>
      <c r="AF4" s="13">
        <f t="shared" si="13"/>
        <v>5440.33333332837</v>
      </c>
      <c r="AG4" s="13">
        <f t="shared" si="1"/>
        <v>3784.66666668653</v>
      </c>
      <c r="AH4" s="13">
        <f t="shared" si="2"/>
        <v>192211</v>
      </c>
      <c r="AI4" s="13">
        <f t="shared" si="3"/>
        <v>5444</v>
      </c>
      <c r="AJ4" s="13">
        <f t="shared" si="4"/>
        <v>186767</v>
      </c>
      <c r="AK4" s="13">
        <v>1320</v>
      </c>
      <c r="AL4" s="13">
        <f t="shared" si="5"/>
        <v>0</v>
      </c>
      <c r="AM4" s="13">
        <f t="shared" si="6"/>
        <v>0</v>
      </c>
      <c r="AN4" s="13">
        <f t="shared" si="7"/>
        <v>3550</v>
      </c>
      <c r="AO4" s="13">
        <f t="shared" si="8"/>
        <v>1152</v>
      </c>
      <c r="AP4" s="13">
        <v>3092</v>
      </c>
      <c r="AQ4" s="17">
        <f t="shared" si="9"/>
        <v>0</v>
      </c>
      <c r="AR4" s="17">
        <f t="shared" si="10"/>
        <v>0</v>
      </c>
      <c r="AS4" s="18">
        <f t="shared" si="11"/>
        <v>19</v>
      </c>
      <c r="AT4" s="17">
        <f t="shared" si="12"/>
        <v>6.17</v>
      </c>
    </row>
    <row r="5" spans="1:46">
      <c r="A5" s="6">
        <v>43619</v>
      </c>
      <c r="B5" s="5" t="s">
        <v>47</v>
      </c>
      <c r="C5" s="4">
        <v>35375168</v>
      </c>
      <c r="D5" s="4">
        <v>22637507</v>
      </c>
      <c r="E5" s="4">
        <v>17885379</v>
      </c>
      <c r="F5" s="4">
        <v>17381612</v>
      </c>
      <c r="G5" s="4">
        <f>302550705+8000/6+8000</f>
        <v>302560038.333333</v>
      </c>
      <c r="H5" s="4">
        <f>106679088+230/6+230</f>
        <v>106679356.333333</v>
      </c>
      <c r="I5" s="4">
        <v>302560608</v>
      </c>
      <c r="J5" s="4">
        <v>106679356</v>
      </c>
      <c r="K5" s="4"/>
      <c r="L5" s="5">
        <v>4299.8</v>
      </c>
      <c r="M5" s="5">
        <v>4443.46</v>
      </c>
      <c r="N5" s="5">
        <v>74124.91</v>
      </c>
      <c r="O5" s="5"/>
      <c r="P5" s="5"/>
      <c r="Q5" s="27" t="s">
        <v>65</v>
      </c>
      <c r="R5" s="4" t="s">
        <v>46</v>
      </c>
      <c r="S5" s="4">
        <v>250</v>
      </c>
      <c r="T5" s="4">
        <v>280</v>
      </c>
      <c r="U5" s="4">
        <v>7500</v>
      </c>
      <c r="V5" s="4">
        <v>6194</v>
      </c>
      <c r="W5" s="5">
        <v>4.5</v>
      </c>
      <c r="X5" s="5">
        <v>2.8</v>
      </c>
      <c r="Y5" s="4">
        <v>1320</v>
      </c>
      <c r="Z5" s="4"/>
      <c r="AA5" s="13">
        <f t="shared" ref="AA5:AF5" si="14">IF(OR(C6=""),"",C6-C5)</f>
        <v>37357</v>
      </c>
      <c r="AB5" s="13">
        <f t="shared" si="14"/>
        <v>44931</v>
      </c>
      <c r="AC5" s="13">
        <f t="shared" si="14"/>
        <v>44808</v>
      </c>
      <c r="AD5" s="13">
        <f t="shared" si="14"/>
        <v>44427</v>
      </c>
      <c r="AE5" s="13">
        <f t="shared" si="14"/>
        <v>168438.666666687</v>
      </c>
      <c r="AF5" s="13">
        <f t="shared" si="14"/>
        <v>5424.66666667163</v>
      </c>
      <c r="AG5" s="13">
        <f t="shared" si="1"/>
        <v>3084.33333331347</v>
      </c>
      <c r="AH5" s="13">
        <f t="shared" si="2"/>
        <v>167908</v>
      </c>
      <c r="AI5" s="13">
        <f t="shared" si="3"/>
        <v>5425</v>
      </c>
      <c r="AJ5" s="13">
        <f t="shared" si="4"/>
        <v>162483</v>
      </c>
      <c r="AK5" s="13">
        <v>1280</v>
      </c>
      <c r="AL5" s="13">
        <f t="shared" si="5"/>
        <v>0</v>
      </c>
      <c r="AM5" s="13">
        <f t="shared" si="6"/>
        <v>0</v>
      </c>
      <c r="AN5" s="13">
        <f t="shared" si="7"/>
        <v>1775</v>
      </c>
      <c r="AO5" s="13">
        <f t="shared" si="8"/>
        <v>672</v>
      </c>
      <c r="AP5" s="13">
        <v>5970</v>
      </c>
      <c r="AQ5" s="17">
        <f t="shared" si="9"/>
        <v>0</v>
      </c>
      <c r="AR5" s="17">
        <f t="shared" si="10"/>
        <v>0</v>
      </c>
      <c r="AS5" s="18">
        <f t="shared" si="11"/>
        <v>10.9</v>
      </c>
      <c r="AT5" s="17">
        <f t="shared" si="12"/>
        <v>4.14</v>
      </c>
    </row>
    <row r="6" spans="1:46">
      <c r="A6" s="6">
        <v>43620</v>
      </c>
      <c r="B6" s="22" t="s">
        <v>58</v>
      </c>
      <c r="C6" s="4">
        <v>35412525</v>
      </c>
      <c r="D6" s="4">
        <v>22682438</v>
      </c>
      <c r="E6" s="4">
        <v>17930187</v>
      </c>
      <c r="F6" s="4">
        <v>17426039</v>
      </c>
      <c r="G6" s="4">
        <v>302728477</v>
      </c>
      <c r="H6" s="4">
        <v>106684781</v>
      </c>
      <c r="I6" s="4">
        <v>302728516</v>
      </c>
      <c r="J6" s="4">
        <v>106684781</v>
      </c>
      <c r="K6" s="4"/>
      <c r="L6" s="5">
        <v>4299.8</v>
      </c>
      <c r="M6" s="5">
        <v>4443.46</v>
      </c>
      <c r="N6" s="5">
        <v>74124.91</v>
      </c>
      <c r="O6" s="5"/>
      <c r="P6" s="5"/>
      <c r="Q6" s="10">
        <v>26</v>
      </c>
      <c r="R6" s="11" t="s">
        <v>54</v>
      </c>
      <c r="S6" s="4">
        <v>260</v>
      </c>
      <c r="T6" s="4">
        <v>280</v>
      </c>
      <c r="U6" s="4">
        <v>9325</v>
      </c>
      <c r="V6" s="4">
        <v>6172</v>
      </c>
      <c r="W6" s="5">
        <v>7.07</v>
      </c>
      <c r="X6" s="5">
        <v>2.79</v>
      </c>
      <c r="Y6" s="4">
        <v>1380</v>
      </c>
      <c r="Z6" s="11"/>
      <c r="AA6" s="13">
        <f t="shared" ref="AA6:AF6" si="15">IF(OR(C7=""),"",C7-C6)</f>
        <v>42625</v>
      </c>
      <c r="AB6" s="13">
        <f t="shared" si="15"/>
        <v>52631</v>
      </c>
      <c r="AC6" s="13">
        <f t="shared" si="15"/>
        <v>51296</v>
      </c>
      <c r="AD6" s="13">
        <f t="shared" si="15"/>
        <v>52144</v>
      </c>
      <c r="AE6" s="13">
        <f t="shared" si="15"/>
        <v>193790</v>
      </c>
      <c r="AF6" s="13">
        <f t="shared" si="15"/>
        <v>5434</v>
      </c>
      <c r="AG6" s="13">
        <f t="shared" si="1"/>
        <v>4906</v>
      </c>
      <c r="AH6" s="13">
        <f t="shared" si="2"/>
        <v>193621</v>
      </c>
      <c r="AI6" s="13">
        <f t="shared" si="3"/>
        <v>5428.66666667163</v>
      </c>
      <c r="AJ6" s="13">
        <f t="shared" si="4"/>
        <v>188192.333333328</v>
      </c>
      <c r="AK6" s="13">
        <v>1340</v>
      </c>
      <c r="AL6" s="13">
        <f t="shared" si="5"/>
        <v>0</v>
      </c>
      <c r="AM6" s="13">
        <f t="shared" si="6"/>
        <v>0</v>
      </c>
      <c r="AN6" s="13">
        <f t="shared" si="7"/>
        <v>1846</v>
      </c>
      <c r="AO6" s="13">
        <f t="shared" si="8"/>
        <v>672</v>
      </c>
      <c r="AP6" s="13">
        <v>5580</v>
      </c>
      <c r="AQ6" s="17">
        <f t="shared" si="9"/>
        <v>0</v>
      </c>
      <c r="AR6" s="17">
        <f t="shared" si="10"/>
        <v>0</v>
      </c>
      <c r="AS6" s="18">
        <f t="shared" si="11"/>
        <v>9.8</v>
      </c>
      <c r="AT6" s="17">
        <f t="shared" si="12"/>
        <v>3.57</v>
      </c>
    </row>
    <row r="7" ht="28.5" spans="1:46">
      <c r="A7" s="6">
        <v>43621</v>
      </c>
      <c r="B7" s="5" t="s">
        <v>55</v>
      </c>
      <c r="C7" s="4">
        <v>35455150</v>
      </c>
      <c r="D7" s="4">
        <v>22735069</v>
      </c>
      <c r="E7" s="4">
        <v>17981483</v>
      </c>
      <c r="F7" s="4">
        <v>17478183</v>
      </c>
      <c r="G7" s="4">
        <v>302922267</v>
      </c>
      <c r="H7" s="4">
        <v>106690215</v>
      </c>
      <c r="I7" s="4">
        <v>302922137</v>
      </c>
      <c r="J7" s="4">
        <f>106690248-230/6</f>
        <v>106690209.666667</v>
      </c>
      <c r="K7" s="4"/>
      <c r="L7" s="5">
        <v>4299.8</v>
      </c>
      <c r="M7" s="5">
        <v>4443.46</v>
      </c>
      <c r="N7" s="5">
        <v>74124.91</v>
      </c>
      <c r="O7" s="5"/>
      <c r="P7" s="5"/>
      <c r="Q7" s="10">
        <v>26.2</v>
      </c>
      <c r="R7" s="11" t="s">
        <v>52</v>
      </c>
      <c r="S7" s="4">
        <v>470</v>
      </c>
      <c r="T7" s="4">
        <v>490</v>
      </c>
      <c r="U7" s="4">
        <v>10354</v>
      </c>
      <c r="V7" s="4">
        <v>8421</v>
      </c>
      <c r="W7" s="5">
        <v>7.57</v>
      </c>
      <c r="X7" s="5">
        <v>6.98</v>
      </c>
      <c r="Y7" s="4">
        <v>1440</v>
      </c>
      <c r="Z7" s="11" t="s">
        <v>66</v>
      </c>
      <c r="AA7" s="13">
        <f t="shared" ref="AA7:AF7" si="16">IF(OR(C8=""),"",C8-C7)</f>
        <v>54040</v>
      </c>
      <c r="AB7" s="13">
        <f t="shared" si="16"/>
        <v>67739</v>
      </c>
      <c r="AC7" s="13">
        <f t="shared" si="16"/>
        <v>57510</v>
      </c>
      <c r="AD7" s="13">
        <f t="shared" si="16"/>
        <v>59446</v>
      </c>
      <c r="AE7" s="13">
        <f t="shared" si="16"/>
        <v>213257</v>
      </c>
      <c r="AF7" s="13">
        <f t="shared" si="16"/>
        <v>5459</v>
      </c>
      <c r="AG7" s="13">
        <f t="shared" si="1"/>
        <v>25478</v>
      </c>
      <c r="AH7" s="13">
        <f t="shared" si="2"/>
        <v>212474</v>
      </c>
      <c r="AI7" s="13">
        <f t="shared" si="3"/>
        <v>5430.33333332837</v>
      </c>
      <c r="AJ7" s="13">
        <f t="shared" si="4"/>
        <v>207043.666666672</v>
      </c>
      <c r="AK7" s="13">
        <v>1500</v>
      </c>
      <c r="AL7" s="13">
        <f t="shared" si="5"/>
        <v>0</v>
      </c>
      <c r="AM7" s="13">
        <f t="shared" si="6"/>
        <v>0</v>
      </c>
      <c r="AN7" s="13">
        <f t="shared" si="7"/>
        <v>3337</v>
      </c>
      <c r="AO7" s="13">
        <f t="shared" si="8"/>
        <v>1176</v>
      </c>
      <c r="AP7" s="13">
        <v>4250</v>
      </c>
      <c r="AQ7" s="17">
        <f t="shared" si="9"/>
        <v>0</v>
      </c>
      <c r="AR7" s="17">
        <f t="shared" si="10"/>
        <v>0</v>
      </c>
      <c r="AS7" s="18">
        <f t="shared" si="11"/>
        <v>16.1</v>
      </c>
      <c r="AT7" s="17">
        <f t="shared" si="12"/>
        <v>5.68</v>
      </c>
    </row>
    <row r="8" spans="1:46">
      <c r="A8" s="6">
        <v>43622</v>
      </c>
      <c r="B8" s="22" t="s">
        <v>50</v>
      </c>
      <c r="C8" s="4">
        <v>35509190</v>
      </c>
      <c r="D8" s="4">
        <v>22802808</v>
      </c>
      <c r="E8" s="4">
        <v>18038993</v>
      </c>
      <c r="F8" s="4">
        <v>17537629</v>
      </c>
      <c r="G8" s="4">
        <v>303135524</v>
      </c>
      <c r="H8" s="4">
        <v>106695674</v>
      </c>
      <c r="I8" s="4">
        <v>303134611</v>
      </c>
      <c r="J8" s="4">
        <v>106695640</v>
      </c>
      <c r="K8" s="4"/>
      <c r="L8" s="5">
        <v>4299.8</v>
      </c>
      <c r="M8" s="5">
        <v>4443.46</v>
      </c>
      <c r="N8" s="5">
        <v>74124.91</v>
      </c>
      <c r="O8" s="5"/>
      <c r="P8" s="5"/>
      <c r="Q8" s="10">
        <v>26.5</v>
      </c>
      <c r="R8" s="11" t="s">
        <v>46</v>
      </c>
      <c r="S8" s="4">
        <v>850</v>
      </c>
      <c r="T8" s="4">
        <v>830</v>
      </c>
      <c r="U8" s="4">
        <v>10213</v>
      </c>
      <c r="V8" s="4">
        <v>8006</v>
      </c>
      <c r="W8" s="5">
        <v>7.68</v>
      </c>
      <c r="X8" s="5">
        <v>7.22</v>
      </c>
      <c r="Y8" s="4">
        <v>1440</v>
      </c>
      <c r="Z8" s="11" t="s">
        <v>67</v>
      </c>
      <c r="AA8" s="13">
        <f t="shared" ref="AA8:AF8" si="17">IF(OR(C9=""),"",C9-C8)</f>
        <v>51524</v>
      </c>
      <c r="AB8" s="13">
        <f t="shared" si="17"/>
        <v>64524</v>
      </c>
      <c r="AC8" s="13">
        <f t="shared" si="17"/>
        <v>55815</v>
      </c>
      <c r="AD8" s="13">
        <f t="shared" si="17"/>
        <v>57510</v>
      </c>
      <c r="AE8" s="13">
        <f t="shared" si="17"/>
        <v>207941</v>
      </c>
      <c r="AF8" s="13">
        <f t="shared" si="17"/>
        <v>5413</v>
      </c>
      <c r="AG8" s="13">
        <f t="shared" si="1"/>
        <v>21432</v>
      </c>
      <c r="AH8" s="13">
        <f t="shared" si="2"/>
        <v>208785</v>
      </c>
      <c r="AI8" s="13">
        <f t="shared" si="3"/>
        <v>5448</v>
      </c>
      <c r="AJ8" s="13">
        <f t="shared" si="4"/>
        <v>203337</v>
      </c>
      <c r="AK8" s="13">
        <v>1500</v>
      </c>
      <c r="AL8" s="13">
        <f t="shared" si="5"/>
        <v>0</v>
      </c>
      <c r="AM8" s="13">
        <f t="shared" si="6"/>
        <v>0</v>
      </c>
      <c r="AN8" s="13">
        <f t="shared" si="7"/>
        <v>6035</v>
      </c>
      <c r="AO8" s="13">
        <f t="shared" si="8"/>
        <v>1992</v>
      </c>
      <c r="AP8" s="13">
        <v>3558</v>
      </c>
      <c r="AQ8" s="17">
        <f t="shared" si="9"/>
        <v>0</v>
      </c>
      <c r="AR8" s="17">
        <f t="shared" si="10"/>
        <v>0</v>
      </c>
      <c r="AS8" s="18">
        <f t="shared" si="11"/>
        <v>29.7</v>
      </c>
      <c r="AT8" s="17">
        <f t="shared" si="12"/>
        <v>9.8</v>
      </c>
    </row>
    <row r="9" spans="1:46">
      <c r="A9" s="6">
        <v>43623</v>
      </c>
      <c r="B9" s="22" t="s">
        <v>50</v>
      </c>
      <c r="C9" s="4">
        <v>35560714</v>
      </c>
      <c r="D9" s="4">
        <v>22867332</v>
      </c>
      <c r="E9" s="4">
        <v>18094808</v>
      </c>
      <c r="F9" s="4">
        <v>17595139</v>
      </c>
      <c r="G9" s="4">
        <v>303343465</v>
      </c>
      <c r="H9" s="4">
        <v>106701087</v>
      </c>
      <c r="I9" s="4">
        <v>303343396</v>
      </c>
      <c r="J9" s="4">
        <v>106701088</v>
      </c>
      <c r="K9" s="4"/>
      <c r="L9" s="5">
        <v>4299.8</v>
      </c>
      <c r="M9" s="5">
        <v>4443.46</v>
      </c>
      <c r="N9" s="5">
        <v>74124.91</v>
      </c>
      <c r="O9" s="5"/>
      <c r="P9" s="5"/>
      <c r="Q9" s="10">
        <v>26</v>
      </c>
      <c r="R9" s="11" t="s">
        <v>46</v>
      </c>
      <c r="S9" s="4">
        <v>750</v>
      </c>
      <c r="T9" s="4">
        <v>760</v>
      </c>
      <c r="U9" s="4">
        <v>9277</v>
      </c>
      <c r="V9" s="4">
        <v>7943</v>
      </c>
      <c r="W9" s="5">
        <v>7.65</v>
      </c>
      <c r="X9" s="5">
        <v>6.63</v>
      </c>
      <c r="Y9" s="4">
        <v>1440</v>
      </c>
      <c r="Z9" s="4"/>
      <c r="AA9" s="13">
        <f t="shared" ref="AA9:AF9" si="18">IF(OR(C10=""),"",C10-C9)</f>
        <v>46404</v>
      </c>
      <c r="AB9" s="13">
        <f t="shared" si="18"/>
        <v>59502</v>
      </c>
      <c r="AC9" s="13">
        <f t="shared" si="18"/>
        <v>55328</v>
      </c>
      <c r="AD9" s="13">
        <f t="shared" si="18"/>
        <v>55853</v>
      </c>
      <c r="AE9" s="13">
        <f t="shared" si="18"/>
        <v>211711</v>
      </c>
      <c r="AF9" s="13">
        <f t="shared" si="18"/>
        <v>5428</v>
      </c>
      <c r="AG9" s="13">
        <f t="shared" si="1"/>
        <v>5376</v>
      </c>
      <c r="AH9" s="13">
        <f t="shared" si="2"/>
        <v>211971</v>
      </c>
      <c r="AI9" s="13">
        <f t="shared" si="3"/>
        <v>5432</v>
      </c>
      <c r="AJ9" s="13">
        <f t="shared" si="4"/>
        <v>206539</v>
      </c>
      <c r="AK9" s="13">
        <v>1500</v>
      </c>
      <c r="AL9" s="13">
        <f t="shared" si="5"/>
        <v>0</v>
      </c>
      <c r="AM9" s="13">
        <f t="shared" si="6"/>
        <v>0</v>
      </c>
      <c r="AN9" s="13">
        <f t="shared" si="7"/>
        <v>5325</v>
      </c>
      <c r="AO9" s="13">
        <f t="shared" si="8"/>
        <v>1824</v>
      </c>
      <c r="AP9" s="13">
        <v>2338</v>
      </c>
      <c r="AQ9" s="17">
        <f t="shared" si="9"/>
        <v>0</v>
      </c>
      <c r="AR9" s="17">
        <f t="shared" si="10"/>
        <v>0</v>
      </c>
      <c r="AS9" s="18">
        <f t="shared" si="11"/>
        <v>25.8</v>
      </c>
      <c r="AT9" s="17">
        <f t="shared" si="12"/>
        <v>8.83</v>
      </c>
    </row>
    <row r="10" spans="1:46">
      <c r="A10" s="6">
        <v>43624</v>
      </c>
      <c r="B10" s="5" t="s">
        <v>50</v>
      </c>
      <c r="C10" s="4">
        <v>35607118</v>
      </c>
      <c r="D10" s="4">
        <v>22926834</v>
      </c>
      <c r="E10" s="4">
        <v>18150136</v>
      </c>
      <c r="F10" s="4">
        <v>17650992</v>
      </c>
      <c r="G10" s="4">
        <v>303555176</v>
      </c>
      <c r="H10" s="4">
        <v>106706515</v>
      </c>
      <c r="I10" s="4">
        <v>303555367</v>
      </c>
      <c r="J10" s="4">
        <v>106706520</v>
      </c>
      <c r="K10" s="4"/>
      <c r="L10" s="5">
        <v>4299.8</v>
      </c>
      <c r="M10" s="5">
        <v>4443.46</v>
      </c>
      <c r="N10" s="5">
        <v>74124.91</v>
      </c>
      <c r="O10" s="5"/>
      <c r="P10" s="5"/>
      <c r="Q10" s="10">
        <v>25</v>
      </c>
      <c r="R10" s="4" t="s">
        <v>46</v>
      </c>
      <c r="S10" s="4">
        <v>400</v>
      </c>
      <c r="T10" s="4">
        <v>420</v>
      </c>
      <c r="U10" s="4">
        <v>9237</v>
      </c>
      <c r="V10" s="4">
        <v>7866</v>
      </c>
      <c r="W10" s="5">
        <v>6.86</v>
      </c>
      <c r="X10" s="5">
        <v>4.85</v>
      </c>
      <c r="Y10" s="4">
        <v>1440</v>
      </c>
      <c r="Z10" s="4"/>
      <c r="AA10" s="13">
        <f t="shared" ref="AA10:AF10" si="19">IF(OR(C11=""),"",C11-C10)</f>
        <v>45958</v>
      </c>
      <c r="AB10" s="13">
        <f t="shared" si="19"/>
        <v>58185</v>
      </c>
      <c r="AC10" s="13">
        <f t="shared" si="19"/>
        <v>54425</v>
      </c>
      <c r="AD10" s="13">
        <f t="shared" si="19"/>
        <v>55448</v>
      </c>
      <c r="AE10" s="13">
        <f t="shared" si="19"/>
        <v>211937</v>
      </c>
      <c r="AF10" s="13">
        <f t="shared" si="19"/>
        <v>5455</v>
      </c>
      <c r="AG10" s="13">
        <f t="shared" si="1"/>
        <v>2079</v>
      </c>
      <c r="AH10" s="13">
        <f t="shared" si="2"/>
        <v>211841</v>
      </c>
      <c r="AI10" s="13">
        <f t="shared" si="3"/>
        <v>5448</v>
      </c>
      <c r="AJ10" s="13">
        <f t="shared" si="4"/>
        <v>206393</v>
      </c>
      <c r="AK10" s="13">
        <v>1500</v>
      </c>
      <c r="AL10" s="13">
        <f t="shared" si="5"/>
        <v>0</v>
      </c>
      <c r="AM10" s="13">
        <f t="shared" si="6"/>
        <v>0</v>
      </c>
      <c r="AN10" s="13">
        <f t="shared" si="7"/>
        <v>2840</v>
      </c>
      <c r="AO10" s="13">
        <f t="shared" si="8"/>
        <v>1008</v>
      </c>
      <c r="AP10" s="13">
        <v>3736</v>
      </c>
      <c r="AQ10" s="17">
        <f t="shared" si="9"/>
        <v>0</v>
      </c>
      <c r="AR10" s="17">
        <f t="shared" si="10"/>
        <v>0</v>
      </c>
      <c r="AS10" s="18">
        <f t="shared" si="11"/>
        <v>13.8</v>
      </c>
      <c r="AT10" s="17">
        <f t="shared" si="12"/>
        <v>4.88</v>
      </c>
    </row>
    <row r="11" spans="1:46">
      <c r="A11" s="6">
        <v>43625</v>
      </c>
      <c r="B11" s="5" t="s">
        <v>50</v>
      </c>
      <c r="C11" s="4">
        <v>35653076</v>
      </c>
      <c r="D11" s="4">
        <v>22985019</v>
      </c>
      <c r="E11" s="4">
        <v>18204561</v>
      </c>
      <c r="F11" s="4">
        <v>17706440</v>
      </c>
      <c r="G11" s="4">
        <v>303767113</v>
      </c>
      <c r="H11" s="4">
        <v>106711970</v>
      </c>
      <c r="I11" s="4">
        <v>303767208</v>
      </c>
      <c r="J11" s="4">
        <v>106711968</v>
      </c>
      <c r="K11" s="4"/>
      <c r="L11" s="5">
        <v>4299.8</v>
      </c>
      <c r="M11" s="5">
        <v>4443.46</v>
      </c>
      <c r="N11" s="5">
        <v>74124.91</v>
      </c>
      <c r="O11" s="5"/>
      <c r="P11" s="5"/>
      <c r="Q11" s="10">
        <v>25.5</v>
      </c>
      <c r="R11" s="4" t="s">
        <v>54</v>
      </c>
      <c r="S11" s="4">
        <v>590</v>
      </c>
      <c r="T11" s="4">
        <v>570</v>
      </c>
      <c r="U11" s="4">
        <v>9185</v>
      </c>
      <c r="V11" s="4">
        <v>7987</v>
      </c>
      <c r="W11" s="5">
        <v>5.4</v>
      </c>
      <c r="X11" s="5">
        <v>3.56</v>
      </c>
      <c r="Y11" s="4">
        <v>1440</v>
      </c>
      <c r="Z11" s="4"/>
      <c r="AA11" s="13">
        <f t="shared" ref="AA11:AF11" si="20">IF(OR(C12=""),"",C12-C11)</f>
        <v>45253</v>
      </c>
      <c r="AB11" s="13">
        <f t="shared" si="20"/>
        <v>57408</v>
      </c>
      <c r="AC11" s="13">
        <f t="shared" si="20"/>
        <v>54296</v>
      </c>
      <c r="AD11" s="13">
        <f t="shared" si="20"/>
        <v>55073</v>
      </c>
      <c r="AE11" s="13">
        <f t="shared" si="20"/>
        <v>211902</v>
      </c>
      <c r="AF11" s="13">
        <f t="shared" si="20"/>
        <v>5458</v>
      </c>
      <c r="AG11" s="13">
        <f t="shared" si="1"/>
        <v>128</v>
      </c>
      <c r="AH11" s="13">
        <f t="shared" si="2"/>
        <v>211890</v>
      </c>
      <c r="AI11" s="13">
        <f t="shared" si="3"/>
        <v>5432</v>
      </c>
      <c r="AJ11" s="13">
        <f t="shared" si="4"/>
        <v>206458</v>
      </c>
      <c r="AK11" s="13">
        <v>1500</v>
      </c>
      <c r="AL11" s="13">
        <f t="shared" si="5"/>
        <v>0</v>
      </c>
      <c r="AM11" s="13">
        <f t="shared" si="6"/>
        <v>0</v>
      </c>
      <c r="AN11" s="13">
        <f t="shared" si="7"/>
        <v>4189</v>
      </c>
      <c r="AO11" s="13">
        <f t="shared" si="8"/>
        <v>1368</v>
      </c>
      <c r="AP11" s="13">
        <v>3723</v>
      </c>
      <c r="AQ11" s="17">
        <f t="shared" si="9"/>
        <v>0</v>
      </c>
      <c r="AR11" s="17">
        <f t="shared" si="10"/>
        <v>0</v>
      </c>
      <c r="AS11" s="18">
        <f t="shared" si="11"/>
        <v>20.3</v>
      </c>
      <c r="AT11" s="17">
        <f t="shared" si="12"/>
        <v>6.63</v>
      </c>
    </row>
    <row r="12" spans="1:46">
      <c r="A12" s="6">
        <v>43626</v>
      </c>
      <c r="B12" s="22" t="s">
        <v>50</v>
      </c>
      <c r="C12" s="4">
        <v>35698329</v>
      </c>
      <c r="D12" s="4">
        <v>23042427</v>
      </c>
      <c r="E12" s="4">
        <v>18258857</v>
      </c>
      <c r="F12" s="4">
        <v>17761513</v>
      </c>
      <c r="G12" s="4">
        <v>303979015</v>
      </c>
      <c r="H12" s="4">
        <v>106717428</v>
      </c>
      <c r="I12" s="4">
        <v>303979098</v>
      </c>
      <c r="J12" s="4">
        <v>106717400</v>
      </c>
      <c r="K12" s="4"/>
      <c r="L12" s="5">
        <v>4299.8</v>
      </c>
      <c r="M12" s="5">
        <v>4443.46</v>
      </c>
      <c r="N12" s="5">
        <v>74124.91</v>
      </c>
      <c r="O12" s="5"/>
      <c r="P12" s="5"/>
      <c r="Q12" s="10">
        <v>26</v>
      </c>
      <c r="R12" s="11" t="s">
        <v>46</v>
      </c>
      <c r="S12" s="4">
        <v>360</v>
      </c>
      <c r="T12" s="4">
        <v>350</v>
      </c>
      <c r="U12" s="4">
        <v>8458</v>
      </c>
      <c r="V12" s="4">
        <v>8197</v>
      </c>
      <c r="W12" s="5">
        <v>4.83</v>
      </c>
      <c r="X12" s="5">
        <v>3.55</v>
      </c>
      <c r="Y12" s="4">
        <v>1440</v>
      </c>
      <c r="Z12" s="4"/>
      <c r="AA12" s="13">
        <f t="shared" ref="AA12:AF12" si="21">IF(OR(C13=""),"",C13-C12)</f>
        <v>43074</v>
      </c>
      <c r="AB12" s="13">
        <f t="shared" si="21"/>
        <v>54327</v>
      </c>
      <c r="AC12" s="13">
        <f t="shared" si="21"/>
        <v>52489</v>
      </c>
      <c r="AD12" s="13">
        <f t="shared" si="21"/>
        <v>51046</v>
      </c>
      <c r="AE12" s="13">
        <f t="shared" si="21"/>
        <v>196720</v>
      </c>
      <c r="AF12" s="13">
        <f t="shared" si="21"/>
        <v>5473</v>
      </c>
      <c r="AG12" s="13">
        <f t="shared" si="1"/>
        <v>4216</v>
      </c>
      <c r="AH12" s="13">
        <f t="shared" si="2"/>
        <v>196637</v>
      </c>
      <c r="AI12" s="13">
        <f t="shared" si="3"/>
        <v>5501</v>
      </c>
      <c r="AJ12" s="13">
        <f t="shared" si="4"/>
        <v>191136</v>
      </c>
      <c r="AK12" s="13">
        <v>1200</v>
      </c>
      <c r="AL12" s="13">
        <f t="shared" si="5"/>
        <v>0</v>
      </c>
      <c r="AM12" s="13">
        <f t="shared" si="6"/>
        <v>0</v>
      </c>
      <c r="AN12" s="13">
        <f t="shared" si="7"/>
        <v>2556</v>
      </c>
      <c r="AO12" s="13">
        <f t="shared" si="8"/>
        <v>840</v>
      </c>
      <c r="AP12" s="13">
        <v>3554</v>
      </c>
      <c r="AQ12" s="17">
        <f t="shared" si="9"/>
        <v>0</v>
      </c>
      <c r="AR12" s="17">
        <f t="shared" si="10"/>
        <v>0</v>
      </c>
      <c r="AS12" s="18">
        <f t="shared" si="11"/>
        <v>13.4</v>
      </c>
      <c r="AT12" s="17">
        <f t="shared" si="12"/>
        <v>4.39</v>
      </c>
    </row>
    <row r="13" spans="1:46">
      <c r="A13" s="6">
        <v>43627</v>
      </c>
      <c r="B13" s="5" t="s">
        <v>47</v>
      </c>
      <c r="C13" s="4">
        <v>35741403</v>
      </c>
      <c r="D13" s="4">
        <v>23096754</v>
      </c>
      <c r="E13" s="4">
        <v>18311346</v>
      </c>
      <c r="F13" s="4">
        <v>17812559</v>
      </c>
      <c r="G13" s="4">
        <v>304175735</v>
      </c>
      <c r="H13" s="4">
        <v>106722901</v>
      </c>
      <c r="I13" s="4">
        <v>304175735</v>
      </c>
      <c r="J13" s="4">
        <v>106722901</v>
      </c>
      <c r="K13" s="4"/>
      <c r="L13" s="5">
        <v>4299.8</v>
      </c>
      <c r="M13" s="5">
        <v>4443.46</v>
      </c>
      <c r="N13" s="5">
        <v>74124.91</v>
      </c>
      <c r="O13" s="5"/>
      <c r="P13" s="5"/>
      <c r="Q13" s="10">
        <v>25.7</v>
      </c>
      <c r="R13" s="11" t="s">
        <v>46</v>
      </c>
      <c r="S13" s="4">
        <v>280</v>
      </c>
      <c r="T13" s="4">
        <v>300</v>
      </c>
      <c r="U13" s="4">
        <v>8573</v>
      </c>
      <c r="V13" s="4">
        <v>8012</v>
      </c>
      <c r="W13" s="5">
        <v>4.92</v>
      </c>
      <c r="X13" s="5">
        <v>3.5</v>
      </c>
      <c r="Y13" s="4">
        <v>1440</v>
      </c>
      <c r="Z13" s="4"/>
      <c r="AA13" s="13">
        <f t="shared" ref="AA13:AF13" si="22">IF(OR(C14=""),"",C14-C13)</f>
        <v>41306</v>
      </c>
      <c r="AB13" s="13">
        <f t="shared" si="22"/>
        <v>51741</v>
      </c>
      <c r="AC13" s="13">
        <f t="shared" si="22"/>
        <v>50689</v>
      </c>
      <c r="AD13" s="13">
        <f t="shared" si="22"/>
        <v>48038</v>
      </c>
      <c r="AE13" s="13">
        <f t="shared" si="22"/>
        <v>189100</v>
      </c>
      <c r="AF13" s="13">
        <f t="shared" si="22"/>
        <v>5462</v>
      </c>
      <c r="AG13" s="13">
        <f t="shared" si="1"/>
        <v>2674</v>
      </c>
      <c r="AH13" s="13">
        <f t="shared" si="2"/>
        <v>189625</v>
      </c>
      <c r="AI13" s="13">
        <f t="shared" si="3"/>
        <v>5462</v>
      </c>
      <c r="AJ13" s="13">
        <f t="shared" si="4"/>
        <v>184163</v>
      </c>
      <c r="AK13" s="13">
        <v>3780</v>
      </c>
      <c r="AL13" s="13">
        <f t="shared" si="5"/>
        <v>0</v>
      </c>
      <c r="AM13" s="13">
        <f t="shared" si="6"/>
        <v>0</v>
      </c>
      <c r="AN13" s="13">
        <f t="shared" si="7"/>
        <v>1988</v>
      </c>
      <c r="AO13" s="13">
        <f t="shared" si="8"/>
        <v>720</v>
      </c>
      <c r="AP13" s="13">
        <v>5838</v>
      </c>
      <c r="AQ13" s="17">
        <f t="shared" si="9"/>
        <v>0</v>
      </c>
      <c r="AR13" s="17">
        <f t="shared" si="10"/>
        <v>0</v>
      </c>
      <c r="AS13" s="18">
        <f t="shared" si="11"/>
        <v>10.8</v>
      </c>
      <c r="AT13" s="17">
        <f t="shared" si="12"/>
        <v>3.91</v>
      </c>
    </row>
    <row r="14" spans="1:46">
      <c r="A14" s="6">
        <v>43628</v>
      </c>
      <c r="B14" s="22" t="s">
        <v>58</v>
      </c>
      <c r="C14" s="4">
        <v>35782709</v>
      </c>
      <c r="D14" s="4">
        <v>23148495</v>
      </c>
      <c r="E14" s="4">
        <v>18362035</v>
      </c>
      <c r="F14" s="4">
        <v>17860597</v>
      </c>
      <c r="G14" s="4">
        <v>304364835</v>
      </c>
      <c r="H14" s="4">
        <v>106728363</v>
      </c>
      <c r="I14" s="4">
        <v>304365360</v>
      </c>
      <c r="J14" s="4">
        <v>106728363</v>
      </c>
      <c r="K14" s="4"/>
      <c r="L14" s="5">
        <v>4299.8</v>
      </c>
      <c r="M14" s="5">
        <v>4443.46</v>
      </c>
      <c r="N14" s="5">
        <v>74124.91</v>
      </c>
      <c r="O14" s="5"/>
      <c r="P14" s="5"/>
      <c r="Q14" s="10">
        <v>25.6</v>
      </c>
      <c r="R14" s="11" t="s">
        <v>46</v>
      </c>
      <c r="S14" s="4">
        <v>460</v>
      </c>
      <c r="T14" s="4">
        <v>480</v>
      </c>
      <c r="U14" s="4">
        <v>8617</v>
      </c>
      <c r="V14" s="4">
        <v>6134</v>
      </c>
      <c r="W14" s="5">
        <v>3.52</v>
      </c>
      <c r="X14" s="5">
        <v>2.51</v>
      </c>
      <c r="Y14" s="4">
        <v>270</v>
      </c>
      <c r="Z14" s="4"/>
      <c r="AA14" s="13">
        <f t="shared" ref="AA14:AF14" si="23">IF(OR(C15=""),"",C15-C14)</f>
        <v>37087</v>
      </c>
      <c r="AB14" s="13">
        <f t="shared" si="23"/>
        <v>44354</v>
      </c>
      <c r="AC14" s="13">
        <f t="shared" si="23"/>
        <v>45177</v>
      </c>
      <c r="AD14" s="13">
        <f t="shared" si="23"/>
        <v>44816</v>
      </c>
      <c r="AE14" s="13">
        <f t="shared" si="23"/>
        <v>165801</v>
      </c>
      <c r="AF14" s="13">
        <f t="shared" si="23"/>
        <v>5417</v>
      </c>
      <c r="AG14" s="13">
        <f t="shared" si="1"/>
        <v>5633</v>
      </c>
      <c r="AH14" s="13">
        <f t="shared" si="2"/>
        <v>165230</v>
      </c>
      <c r="AI14" s="13">
        <f t="shared" si="3"/>
        <v>5421</v>
      </c>
      <c r="AJ14" s="13">
        <f t="shared" si="4"/>
        <v>159809</v>
      </c>
      <c r="AK14" s="13">
        <v>3500</v>
      </c>
      <c r="AL14" s="13">
        <f t="shared" si="5"/>
        <v>0</v>
      </c>
      <c r="AM14" s="13">
        <f t="shared" si="6"/>
        <v>0</v>
      </c>
      <c r="AN14" s="13">
        <f t="shared" si="7"/>
        <v>3266</v>
      </c>
      <c r="AO14" s="13">
        <f t="shared" si="8"/>
        <v>1152</v>
      </c>
      <c r="AP14" s="13">
        <v>3391</v>
      </c>
      <c r="AQ14" s="17">
        <f t="shared" si="9"/>
        <v>0</v>
      </c>
      <c r="AR14" s="17">
        <f t="shared" si="10"/>
        <v>0</v>
      </c>
      <c r="AS14" s="18">
        <f t="shared" si="11"/>
        <v>20.4</v>
      </c>
      <c r="AT14" s="17">
        <f t="shared" si="12"/>
        <v>7.21</v>
      </c>
    </row>
    <row r="15" spans="1:46">
      <c r="A15" s="6">
        <v>43629</v>
      </c>
      <c r="B15" s="5" t="s">
        <v>50</v>
      </c>
      <c r="C15" s="4">
        <v>35819796</v>
      </c>
      <c r="D15" s="4">
        <v>23192849</v>
      </c>
      <c r="E15" s="4">
        <v>18407212</v>
      </c>
      <c r="F15" s="4">
        <v>17905413</v>
      </c>
      <c r="G15" s="4">
        <v>304530636</v>
      </c>
      <c r="H15" s="4">
        <v>106733780</v>
      </c>
      <c r="I15" s="4">
        <v>304530590</v>
      </c>
      <c r="J15" s="4">
        <v>106733784</v>
      </c>
      <c r="K15" s="4"/>
      <c r="L15" s="5">
        <v>4299.8</v>
      </c>
      <c r="M15" s="5">
        <v>4443.46</v>
      </c>
      <c r="N15" s="5">
        <v>74124.91</v>
      </c>
      <c r="O15" s="5"/>
      <c r="P15" s="5"/>
      <c r="Q15" s="10">
        <v>27</v>
      </c>
      <c r="R15" s="4" t="s">
        <v>54</v>
      </c>
      <c r="S15" s="4">
        <v>850</v>
      </c>
      <c r="T15" s="4">
        <v>800</v>
      </c>
      <c r="U15" s="4">
        <v>9156</v>
      </c>
      <c r="V15" s="4">
        <v>5164</v>
      </c>
      <c r="W15" s="5">
        <v>4.18</v>
      </c>
      <c r="X15" s="5">
        <v>2.45</v>
      </c>
      <c r="Y15" s="4">
        <v>1020</v>
      </c>
      <c r="Z15" s="4"/>
      <c r="AA15" s="13">
        <f t="shared" ref="AA15:AF15" si="24">IF(OR(C16=""),"",C16-C15)</f>
        <v>41223</v>
      </c>
      <c r="AB15" s="13">
        <f t="shared" si="24"/>
        <v>52251</v>
      </c>
      <c r="AC15" s="13">
        <f t="shared" si="24"/>
        <v>50107</v>
      </c>
      <c r="AD15" s="13">
        <f t="shared" si="24"/>
        <v>49664</v>
      </c>
      <c r="AE15" s="13">
        <f t="shared" si="24"/>
        <v>187998</v>
      </c>
      <c r="AF15" s="13">
        <f t="shared" si="24"/>
        <v>5453</v>
      </c>
      <c r="AG15" s="13">
        <f t="shared" si="1"/>
        <v>5247</v>
      </c>
      <c r="AH15" s="13">
        <f t="shared" si="2"/>
        <v>187984</v>
      </c>
      <c r="AI15" s="13">
        <f t="shared" si="3"/>
        <v>5448</v>
      </c>
      <c r="AJ15" s="13">
        <f t="shared" si="4"/>
        <v>182536</v>
      </c>
      <c r="AK15" s="13">
        <v>3500</v>
      </c>
      <c r="AL15" s="13">
        <f t="shared" si="5"/>
        <v>0</v>
      </c>
      <c r="AM15" s="13">
        <f t="shared" si="6"/>
        <v>0</v>
      </c>
      <c r="AN15" s="13">
        <f t="shared" si="7"/>
        <v>6035</v>
      </c>
      <c r="AO15" s="13">
        <f t="shared" si="8"/>
        <v>1920</v>
      </c>
      <c r="AP15" s="13">
        <v>4086</v>
      </c>
      <c r="AQ15" s="17">
        <f t="shared" si="9"/>
        <v>0</v>
      </c>
      <c r="AR15" s="17">
        <f t="shared" si="10"/>
        <v>0</v>
      </c>
      <c r="AS15" s="18">
        <f t="shared" si="11"/>
        <v>33.1</v>
      </c>
      <c r="AT15" s="17">
        <f t="shared" si="12"/>
        <v>10.52</v>
      </c>
    </row>
    <row r="16" spans="1:46">
      <c r="A16" s="6">
        <v>43630</v>
      </c>
      <c r="B16" s="5" t="s">
        <v>50</v>
      </c>
      <c r="C16" s="4">
        <v>35861019</v>
      </c>
      <c r="D16" s="4">
        <v>23245100</v>
      </c>
      <c r="E16" s="4">
        <v>18457319</v>
      </c>
      <c r="F16" s="4">
        <v>17955077</v>
      </c>
      <c r="G16" s="4">
        <v>304718634</v>
      </c>
      <c r="H16" s="4">
        <v>106739233</v>
      </c>
      <c r="I16" s="4">
        <v>304718574</v>
      </c>
      <c r="J16" s="4">
        <v>106739232</v>
      </c>
      <c r="K16" s="4"/>
      <c r="L16" s="5">
        <v>4299.8</v>
      </c>
      <c r="M16" s="5">
        <v>4443.46</v>
      </c>
      <c r="N16" s="5">
        <v>74124.91</v>
      </c>
      <c r="O16" s="5"/>
      <c r="P16" s="5"/>
      <c r="Q16" s="10">
        <v>26</v>
      </c>
      <c r="R16" s="4" t="s">
        <v>46</v>
      </c>
      <c r="S16" s="4">
        <v>720</v>
      </c>
      <c r="T16" s="4">
        <v>740</v>
      </c>
      <c r="U16" s="4">
        <v>8677</v>
      </c>
      <c r="V16" s="4">
        <v>6874</v>
      </c>
      <c r="W16" s="5">
        <v>4.46</v>
      </c>
      <c r="X16" s="5">
        <v>2.65</v>
      </c>
      <c r="Y16" s="4">
        <v>1260</v>
      </c>
      <c r="Z16" s="4"/>
      <c r="AA16" s="13">
        <f t="shared" ref="AA16:AF16" si="25">IF(OR(C17=""),"",C17-C16)</f>
        <v>42340</v>
      </c>
      <c r="AB16" s="13">
        <f t="shared" si="25"/>
        <v>53690</v>
      </c>
      <c r="AC16" s="13">
        <f t="shared" si="25"/>
        <v>51464</v>
      </c>
      <c r="AD16" s="13">
        <f t="shared" si="25"/>
        <v>51348</v>
      </c>
      <c r="AE16" s="13">
        <f t="shared" si="25"/>
        <v>194390</v>
      </c>
      <c r="AF16" s="13">
        <f t="shared" si="25"/>
        <v>5472</v>
      </c>
      <c r="AG16" s="13">
        <f t="shared" si="1"/>
        <v>4452</v>
      </c>
      <c r="AH16" s="13">
        <f t="shared" si="2"/>
        <v>193821</v>
      </c>
      <c r="AI16" s="13">
        <f t="shared" si="3"/>
        <v>5456</v>
      </c>
      <c r="AJ16" s="13">
        <f t="shared" si="4"/>
        <v>188365</v>
      </c>
      <c r="AK16" s="13">
        <v>3200</v>
      </c>
      <c r="AL16" s="13">
        <f t="shared" si="5"/>
        <v>1308</v>
      </c>
      <c r="AM16" s="13">
        <f t="shared" si="6"/>
        <v>0</v>
      </c>
      <c r="AN16" s="13">
        <f t="shared" si="7"/>
        <v>5112</v>
      </c>
      <c r="AO16" s="13">
        <f t="shared" si="8"/>
        <v>1776</v>
      </c>
      <c r="AP16" s="13">
        <v>3740</v>
      </c>
      <c r="AQ16" s="17">
        <f t="shared" si="9"/>
        <v>6.9</v>
      </c>
      <c r="AR16" s="17">
        <f t="shared" si="10"/>
        <v>0</v>
      </c>
      <c r="AS16" s="18">
        <f t="shared" si="11"/>
        <v>27.1</v>
      </c>
      <c r="AT16" s="17">
        <f t="shared" si="12"/>
        <v>9.43</v>
      </c>
    </row>
    <row r="17" spans="1:46">
      <c r="A17" s="6">
        <v>43631</v>
      </c>
      <c r="B17" s="5" t="s">
        <v>50</v>
      </c>
      <c r="C17" s="4">
        <v>35903359</v>
      </c>
      <c r="D17" s="4">
        <v>23298790</v>
      </c>
      <c r="E17" s="4">
        <v>18508783</v>
      </c>
      <c r="F17" s="4">
        <v>18006425</v>
      </c>
      <c r="G17" s="4">
        <v>304913024</v>
      </c>
      <c r="H17" s="4">
        <v>106744705</v>
      </c>
      <c r="I17" s="4">
        <v>304912395</v>
      </c>
      <c r="J17" s="4">
        <v>106744688</v>
      </c>
      <c r="K17" s="4"/>
      <c r="L17" s="5">
        <v>4299.8</v>
      </c>
      <c r="M17" s="5">
        <v>4444.55</v>
      </c>
      <c r="N17" s="5">
        <v>74124.91</v>
      </c>
      <c r="O17" s="5"/>
      <c r="P17" s="5"/>
      <c r="Q17" s="10">
        <v>27</v>
      </c>
      <c r="R17" s="4" t="s">
        <v>46</v>
      </c>
      <c r="S17" s="4">
        <v>780</v>
      </c>
      <c r="T17" s="4">
        <v>760</v>
      </c>
      <c r="U17" s="4">
        <v>9308</v>
      </c>
      <c r="V17" s="4">
        <v>7240</v>
      </c>
      <c r="W17" s="5">
        <v>5.65</v>
      </c>
      <c r="X17" s="5">
        <v>2.78</v>
      </c>
      <c r="Y17" s="4">
        <v>1081</v>
      </c>
      <c r="Z17" s="4"/>
      <c r="AA17" s="13">
        <f t="shared" ref="AA17:AF17" si="26">IF(OR(C18=""),"",C18-C17)</f>
        <v>43962</v>
      </c>
      <c r="AB17" s="13">
        <f t="shared" si="26"/>
        <v>55844</v>
      </c>
      <c r="AC17" s="13">
        <f t="shared" si="26"/>
        <v>52923</v>
      </c>
      <c r="AD17" s="13">
        <f t="shared" si="26"/>
        <v>52501</v>
      </c>
      <c r="AE17" s="13">
        <f t="shared" si="26"/>
        <v>192457</v>
      </c>
      <c r="AF17" s="13">
        <f t="shared" si="26"/>
        <v>5428</v>
      </c>
      <c r="AG17" s="13">
        <f t="shared" si="1"/>
        <v>12773</v>
      </c>
      <c r="AH17" s="13">
        <f t="shared" si="2"/>
        <v>193427</v>
      </c>
      <c r="AI17" s="13">
        <f t="shared" si="3"/>
        <v>5456</v>
      </c>
      <c r="AJ17" s="13">
        <f t="shared" si="4"/>
        <v>187971</v>
      </c>
      <c r="AK17" s="13">
        <v>3700</v>
      </c>
      <c r="AL17" s="13">
        <f t="shared" si="5"/>
        <v>36</v>
      </c>
      <c r="AM17" s="13">
        <f t="shared" si="6"/>
        <v>2</v>
      </c>
      <c r="AN17" s="13">
        <f t="shared" si="7"/>
        <v>5538</v>
      </c>
      <c r="AO17" s="13">
        <f t="shared" si="8"/>
        <v>1824</v>
      </c>
      <c r="AP17" s="13">
        <v>3120</v>
      </c>
      <c r="AQ17" s="17">
        <f t="shared" si="9"/>
        <v>0.2</v>
      </c>
      <c r="AR17" s="17">
        <f t="shared" si="10"/>
        <v>0.01</v>
      </c>
      <c r="AS17" s="18">
        <f t="shared" si="11"/>
        <v>29.5</v>
      </c>
      <c r="AT17" s="17">
        <f t="shared" si="12"/>
        <v>9.7</v>
      </c>
    </row>
    <row r="18" spans="1:46">
      <c r="A18" s="6">
        <v>43632</v>
      </c>
      <c r="B18" s="5" t="s">
        <v>48</v>
      </c>
      <c r="C18" s="4">
        <v>35947321</v>
      </c>
      <c r="D18" s="4">
        <v>23354634</v>
      </c>
      <c r="E18" s="4">
        <v>18561706</v>
      </c>
      <c r="F18" s="4">
        <v>18058926</v>
      </c>
      <c r="G18" s="4">
        <v>305105481</v>
      </c>
      <c r="H18" s="4">
        <v>106750133</v>
      </c>
      <c r="I18" s="4">
        <v>305105822</v>
      </c>
      <c r="J18" s="4">
        <v>106750144</v>
      </c>
      <c r="K18" s="4"/>
      <c r="L18" s="5">
        <v>4299.8</v>
      </c>
      <c r="M18" s="5">
        <v>4444.58</v>
      </c>
      <c r="N18" s="5">
        <v>74126.04</v>
      </c>
      <c r="O18" s="5"/>
      <c r="P18" s="5"/>
      <c r="Q18" s="10">
        <v>27.4</v>
      </c>
      <c r="R18" s="4" t="s">
        <v>46</v>
      </c>
      <c r="S18" s="4">
        <v>500</v>
      </c>
      <c r="T18" s="4">
        <v>490</v>
      </c>
      <c r="U18" s="4">
        <v>9152</v>
      </c>
      <c r="V18" s="4">
        <v>7887</v>
      </c>
      <c r="W18" s="5">
        <v>5.26</v>
      </c>
      <c r="X18" s="5">
        <v>3.41</v>
      </c>
      <c r="Y18" s="4">
        <v>1440</v>
      </c>
      <c r="Z18" s="4"/>
      <c r="AA18" s="13">
        <f t="shared" ref="AA18:AF18" si="27">IF(OR(C19=""),"",C19-C18)</f>
        <v>44863</v>
      </c>
      <c r="AB18" s="13">
        <f t="shared" si="27"/>
        <v>57285</v>
      </c>
      <c r="AC18" s="13">
        <f t="shared" si="27"/>
        <v>52779</v>
      </c>
      <c r="AD18" s="13">
        <f t="shared" si="27"/>
        <v>54828</v>
      </c>
      <c r="AE18" s="13">
        <f t="shared" si="27"/>
        <v>205169</v>
      </c>
      <c r="AF18" s="13">
        <f t="shared" si="27"/>
        <v>5464</v>
      </c>
      <c r="AG18" s="13">
        <f t="shared" si="1"/>
        <v>4586</v>
      </c>
      <c r="AH18" s="13">
        <f t="shared" si="2"/>
        <v>204617</v>
      </c>
      <c r="AI18" s="13">
        <f t="shared" si="3"/>
        <v>5464</v>
      </c>
      <c r="AJ18" s="13">
        <f t="shared" si="4"/>
        <v>199153</v>
      </c>
      <c r="AK18" s="13">
        <v>3400</v>
      </c>
      <c r="AL18" s="13">
        <f t="shared" si="5"/>
        <v>0</v>
      </c>
      <c r="AM18" s="13">
        <f t="shared" si="6"/>
        <v>0</v>
      </c>
      <c r="AN18" s="13">
        <f t="shared" si="7"/>
        <v>3550</v>
      </c>
      <c r="AO18" s="13">
        <f t="shared" si="8"/>
        <v>1176</v>
      </c>
      <c r="AP18" s="13">
        <v>4404</v>
      </c>
      <c r="AQ18" s="17">
        <f t="shared" si="9"/>
        <v>0</v>
      </c>
      <c r="AR18" s="17">
        <f t="shared" si="10"/>
        <v>0</v>
      </c>
      <c r="AS18" s="18">
        <f t="shared" si="11"/>
        <v>17.8</v>
      </c>
      <c r="AT18" s="17">
        <f t="shared" si="12"/>
        <v>5.91</v>
      </c>
    </row>
    <row r="19" spans="1:46">
      <c r="A19" s="6">
        <v>43633</v>
      </c>
      <c r="B19" s="5" t="s">
        <v>50</v>
      </c>
      <c r="C19" s="4">
        <v>35992184</v>
      </c>
      <c r="D19" s="4">
        <v>23411919</v>
      </c>
      <c r="E19" s="4">
        <v>18614485</v>
      </c>
      <c r="F19" s="4">
        <v>18113754</v>
      </c>
      <c r="G19" s="4">
        <v>305310650</v>
      </c>
      <c r="H19" s="4">
        <v>106755597</v>
      </c>
      <c r="I19" s="4">
        <v>305310439</v>
      </c>
      <c r="J19" s="4">
        <v>106755608</v>
      </c>
      <c r="K19" s="4"/>
      <c r="L19" s="5">
        <v>4299.8</v>
      </c>
      <c r="M19" s="5">
        <v>4444.58</v>
      </c>
      <c r="N19" s="5">
        <v>74126.04</v>
      </c>
      <c r="O19" s="5"/>
      <c r="P19" s="5"/>
      <c r="Q19" s="10">
        <v>26.2</v>
      </c>
      <c r="R19" s="4" t="s">
        <v>46</v>
      </c>
      <c r="S19" s="4">
        <v>250</v>
      </c>
      <c r="T19" s="4">
        <v>270</v>
      </c>
      <c r="U19" s="4">
        <v>9269</v>
      </c>
      <c r="V19" s="4">
        <v>8681</v>
      </c>
      <c r="W19" s="5">
        <v>5.41</v>
      </c>
      <c r="X19" s="5">
        <v>3.3</v>
      </c>
      <c r="Y19" s="4">
        <v>1440</v>
      </c>
      <c r="Z19" s="4"/>
      <c r="AA19" s="13">
        <f t="shared" ref="AA19:AF19" si="28">IF(OR(C20=""),"",C20-C19)</f>
        <v>43477</v>
      </c>
      <c r="AB19" s="13">
        <f t="shared" si="28"/>
        <v>52168</v>
      </c>
      <c r="AC19" s="13">
        <f t="shared" si="28"/>
        <v>61731</v>
      </c>
      <c r="AD19" s="13">
        <f t="shared" si="28"/>
        <v>63305</v>
      </c>
      <c r="AE19" s="13">
        <f t="shared" si="28"/>
        <v>211033</v>
      </c>
      <c r="AF19" s="13">
        <f t="shared" si="28"/>
        <v>5450</v>
      </c>
      <c r="AG19" s="13">
        <f t="shared" si="1"/>
        <v>9648</v>
      </c>
      <c r="AH19" s="13">
        <f t="shared" si="2"/>
        <v>211289</v>
      </c>
      <c r="AI19" s="13">
        <f t="shared" si="3"/>
        <v>5448</v>
      </c>
      <c r="AJ19" s="13">
        <f t="shared" si="4"/>
        <v>205841</v>
      </c>
      <c r="AK19" s="13">
        <v>3600</v>
      </c>
      <c r="AL19" s="13">
        <f t="shared" si="5"/>
        <v>0</v>
      </c>
      <c r="AM19" s="13">
        <f t="shared" si="6"/>
        <v>0</v>
      </c>
      <c r="AN19" s="13">
        <f t="shared" si="7"/>
        <v>1775</v>
      </c>
      <c r="AO19" s="13">
        <f t="shared" si="8"/>
        <v>648</v>
      </c>
      <c r="AP19" s="13">
        <v>4174</v>
      </c>
      <c r="AQ19" s="17">
        <f t="shared" si="9"/>
        <v>0</v>
      </c>
      <c r="AR19" s="17">
        <f t="shared" si="10"/>
        <v>0</v>
      </c>
      <c r="AS19" s="18">
        <f t="shared" si="11"/>
        <v>8.6</v>
      </c>
      <c r="AT19" s="17">
        <f t="shared" si="12"/>
        <v>3.15</v>
      </c>
    </row>
    <row r="20" spans="1:46">
      <c r="A20" s="6">
        <v>43634</v>
      </c>
      <c r="B20" s="5" t="s">
        <v>50</v>
      </c>
      <c r="C20" s="4">
        <v>36035661</v>
      </c>
      <c r="D20" s="4">
        <v>23464087</v>
      </c>
      <c r="E20" s="4">
        <v>18676216</v>
      </c>
      <c r="F20" s="4">
        <v>18177059</v>
      </c>
      <c r="G20" s="4">
        <v>305521683</v>
      </c>
      <c r="H20" s="4">
        <v>106761047</v>
      </c>
      <c r="I20" s="4">
        <v>305521728</v>
      </c>
      <c r="J20" s="4">
        <v>106761056</v>
      </c>
      <c r="K20" s="4"/>
      <c r="L20" s="5">
        <v>4299.8</v>
      </c>
      <c r="M20" s="5">
        <v>4444.58</v>
      </c>
      <c r="N20" s="5">
        <v>74126.04</v>
      </c>
      <c r="O20" s="5"/>
      <c r="P20" s="5"/>
      <c r="Q20" s="10">
        <v>26.5</v>
      </c>
      <c r="R20" s="4" t="s">
        <v>46</v>
      </c>
      <c r="S20" s="4">
        <v>130</v>
      </c>
      <c r="T20" s="4">
        <v>150</v>
      </c>
      <c r="U20" s="4">
        <v>9337</v>
      </c>
      <c r="V20" s="4">
        <v>8058</v>
      </c>
      <c r="W20" s="5">
        <v>5.61</v>
      </c>
      <c r="X20" s="5">
        <v>3.43</v>
      </c>
      <c r="Y20" s="4">
        <v>1337</v>
      </c>
      <c r="Z20" s="4"/>
      <c r="AA20" s="13">
        <f t="shared" ref="AA20:AF20" si="29">IF(OR(C21=""),"",C21-C20)</f>
        <v>38802</v>
      </c>
      <c r="AB20" s="13">
        <f t="shared" si="29"/>
        <v>42841</v>
      </c>
      <c r="AC20" s="13">
        <f t="shared" si="29"/>
        <v>66641</v>
      </c>
      <c r="AD20" s="13">
        <f t="shared" si="29"/>
        <v>67240</v>
      </c>
      <c r="AE20" s="13">
        <f t="shared" si="29"/>
        <v>208065</v>
      </c>
      <c r="AF20" s="13">
        <f t="shared" si="29"/>
        <v>5540</v>
      </c>
      <c r="AG20" s="13">
        <f t="shared" si="1"/>
        <v>7459</v>
      </c>
      <c r="AH20" s="13">
        <f t="shared" si="2"/>
        <v>207900</v>
      </c>
      <c r="AI20" s="13">
        <f t="shared" si="3"/>
        <v>5451</v>
      </c>
      <c r="AJ20" s="13">
        <f t="shared" si="4"/>
        <v>202449</v>
      </c>
      <c r="AK20" s="13">
        <v>3500</v>
      </c>
      <c r="AL20" s="13">
        <f t="shared" si="5"/>
        <v>0</v>
      </c>
      <c r="AM20" s="13">
        <f t="shared" si="6"/>
        <v>0</v>
      </c>
      <c r="AN20" s="13">
        <f t="shared" si="7"/>
        <v>923</v>
      </c>
      <c r="AO20" s="13">
        <f t="shared" si="8"/>
        <v>360</v>
      </c>
      <c r="AP20" s="13">
        <v>4215</v>
      </c>
      <c r="AQ20" s="17">
        <f t="shared" si="9"/>
        <v>0</v>
      </c>
      <c r="AR20" s="17">
        <f t="shared" si="10"/>
        <v>0</v>
      </c>
      <c r="AS20" s="18">
        <f t="shared" si="11"/>
        <v>4.6</v>
      </c>
      <c r="AT20" s="17">
        <f t="shared" si="12"/>
        <v>1.78</v>
      </c>
    </row>
    <row r="21" spans="1:46">
      <c r="A21" s="6">
        <v>43635</v>
      </c>
      <c r="B21" s="5" t="s">
        <v>47</v>
      </c>
      <c r="C21" s="4">
        <v>36074463</v>
      </c>
      <c r="D21" s="4">
        <v>23506928</v>
      </c>
      <c r="E21" s="4">
        <v>18742857</v>
      </c>
      <c r="F21" s="4">
        <v>18244299</v>
      </c>
      <c r="G21" s="4">
        <v>305729748</v>
      </c>
      <c r="H21" s="4">
        <v>106766587</v>
      </c>
      <c r="I21" s="4">
        <v>305729628</v>
      </c>
      <c r="J21" s="4">
        <v>106766507</v>
      </c>
      <c r="K21" s="4"/>
      <c r="L21" s="5">
        <v>4299.8</v>
      </c>
      <c r="M21" s="5">
        <v>4444.58</v>
      </c>
      <c r="N21" s="5">
        <v>74126.04</v>
      </c>
      <c r="O21" s="5"/>
      <c r="P21" s="5"/>
      <c r="Q21" s="10">
        <v>26.8</v>
      </c>
      <c r="R21" s="4" t="s">
        <v>46</v>
      </c>
      <c r="S21" s="4">
        <v>350</v>
      </c>
      <c r="T21" s="4">
        <v>380</v>
      </c>
      <c r="U21" s="4">
        <v>9677</v>
      </c>
      <c r="V21" s="4">
        <v>6320</v>
      </c>
      <c r="W21" s="5">
        <v>4.85</v>
      </c>
      <c r="X21" s="5">
        <v>2.83</v>
      </c>
      <c r="Y21" s="4">
        <v>840</v>
      </c>
      <c r="Z21" s="4"/>
      <c r="AA21" s="13">
        <f t="shared" ref="AA21:AF21" si="30">IF(OR(C22=""),"",C22-C21)</f>
        <v>39556</v>
      </c>
      <c r="AB21" s="13">
        <f t="shared" si="30"/>
        <v>43226</v>
      </c>
      <c r="AC21" s="13">
        <f t="shared" si="30"/>
        <v>65243</v>
      </c>
      <c r="AD21" s="13">
        <f t="shared" si="30"/>
        <v>67108</v>
      </c>
      <c r="AE21" s="13">
        <f t="shared" si="30"/>
        <v>207515</v>
      </c>
      <c r="AF21" s="13">
        <f t="shared" si="30"/>
        <v>5368</v>
      </c>
      <c r="AG21" s="13">
        <f t="shared" si="1"/>
        <v>7618</v>
      </c>
      <c r="AH21" s="13">
        <f t="shared" si="2"/>
        <v>207517</v>
      </c>
      <c r="AI21" s="13">
        <f t="shared" si="3"/>
        <v>5445</v>
      </c>
      <c r="AJ21" s="13">
        <f t="shared" si="4"/>
        <v>202072</v>
      </c>
      <c r="AK21" s="13">
        <v>4000</v>
      </c>
      <c r="AL21" s="13">
        <f t="shared" si="5"/>
        <v>0</v>
      </c>
      <c r="AM21" s="13">
        <f t="shared" si="6"/>
        <v>0</v>
      </c>
      <c r="AN21" s="13">
        <f t="shared" si="7"/>
        <v>2485</v>
      </c>
      <c r="AO21" s="13">
        <f t="shared" si="8"/>
        <v>912</v>
      </c>
      <c r="AP21" s="13">
        <v>4221</v>
      </c>
      <c r="AQ21" s="17">
        <f t="shared" si="9"/>
        <v>0</v>
      </c>
      <c r="AR21" s="17">
        <f t="shared" si="10"/>
        <v>0</v>
      </c>
      <c r="AS21" s="18">
        <f t="shared" si="11"/>
        <v>12.3</v>
      </c>
      <c r="AT21" s="17">
        <f t="shared" si="12"/>
        <v>4.51</v>
      </c>
    </row>
    <row r="22" spans="1:46">
      <c r="A22" s="6">
        <v>43636</v>
      </c>
      <c r="B22" s="5" t="s">
        <v>50</v>
      </c>
      <c r="C22" s="4">
        <v>36114019</v>
      </c>
      <c r="D22" s="4">
        <v>23550154</v>
      </c>
      <c r="E22" s="4">
        <v>18808100</v>
      </c>
      <c r="F22" s="4">
        <v>18311407</v>
      </c>
      <c r="G22" s="4">
        <v>305937263</v>
      </c>
      <c r="H22" s="4">
        <v>106771955</v>
      </c>
      <c r="I22" s="4">
        <v>305937145</v>
      </c>
      <c r="J22" s="4">
        <v>106771952</v>
      </c>
      <c r="K22" s="4"/>
      <c r="L22" s="5">
        <v>4299.8</v>
      </c>
      <c r="M22" s="5">
        <v>4444.58</v>
      </c>
      <c r="N22" s="5">
        <v>74126.04</v>
      </c>
      <c r="O22" s="5"/>
      <c r="P22" s="5"/>
      <c r="Q22" s="10">
        <v>27.4</v>
      </c>
      <c r="R22" s="4" t="s">
        <v>46</v>
      </c>
      <c r="S22" s="4">
        <v>770</v>
      </c>
      <c r="T22" s="4">
        <v>760</v>
      </c>
      <c r="U22" s="4">
        <v>9264</v>
      </c>
      <c r="V22" s="4">
        <v>4654</v>
      </c>
      <c r="W22" s="5">
        <v>5.83</v>
      </c>
      <c r="X22" s="5">
        <v>2.61</v>
      </c>
      <c r="Y22" s="4">
        <v>1260</v>
      </c>
      <c r="Z22" s="4"/>
      <c r="AA22" s="13">
        <f t="shared" ref="AA22:AF22" si="31">IF(OR(C23=""),"",C23-C22)</f>
        <v>45372</v>
      </c>
      <c r="AB22" s="13">
        <f t="shared" si="31"/>
        <v>58222</v>
      </c>
      <c r="AC22" s="13">
        <f t="shared" si="31"/>
        <v>49426</v>
      </c>
      <c r="AD22" s="13">
        <f t="shared" si="31"/>
        <v>47643</v>
      </c>
      <c r="AE22" s="13">
        <f t="shared" si="31"/>
        <v>198157</v>
      </c>
      <c r="AF22" s="13">
        <f t="shared" si="31"/>
        <v>5467</v>
      </c>
      <c r="AG22" s="13">
        <f t="shared" si="1"/>
        <v>2506</v>
      </c>
      <c r="AH22" s="13">
        <f t="shared" si="2"/>
        <v>197589</v>
      </c>
      <c r="AI22" s="13">
        <f t="shared" si="3"/>
        <v>5456</v>
      </c>
      <c r="AJ22" s="13">
        <f t="shared" si="4"/>
        <v>192133</v>
      </c>
      <c r="AK22" s="13">
        <v>3600</v>
      </c>
      <c r="AL22" s="13">
        <f t="shared" si="5"/>
        <v>0</v>
      </c>
      <c r="AM22" s="13">
        <f t="shared" si="6"/>
        <v>0</v>
      </c>
      <c r="AN22" s="13">
        <f t="shared" si="7"/>
        <v>5467</v>
      </c>
      <c r="AO22" s="13">
        <f t="shared" si="8"/>
        <v>1824</v>
      </c>
      <c r="AP22" s="13">
        <v>4876</v>
      </c>
      <c r="AQ22" s="17">
        <f t="shared" si="9"/>
        <v>0</v>
      </c>
      <c r="AR22" s="17">
        <f t="shared" si="10"/>
        <v>0</v>
      </c>
      <c r="AS22" s="18">
        <f t="shared" si="11"/>
        <v>28.5</v>
      </c>
      <c r="AT22" s="17">
        <f t="shared" si="12"/>
        <v>9.49</v>
      </c>
    </row>
    <row r="23" spans="1:46">
      <c r="A23" s="6">
        <v>43637</v>
      </c>
      <c r="B23" s="5" t="s">
        <v>50</v>
      </c>
      <c r="C23" s="4">
        <v>36159391</v>
      </c>
      <c r="D23" s="4">
        <v>23608376</v>
      </c>
      <c r="E23" s="4">
        <v>18857526</v>
      </c>
      <c r="F23" s="4">
        <v>18359050</v>
      </c>
      <c r="G23" s="4">
        <v>306135420</v>
      </c>
      <c r="H23" s="4">
        <v>106777422</v>
      </c>
      <c r="I23" s="4">
        <v>306134734</v>
      </c>
      <c r="J23" s="4">
        <v>106777408</v>
      </c>
      <c r="K23" s="4"/>
      <c r="L23" s="5">
        <v>4299.8</v>
      </c>
      <c r="M23" s="5">
        <v>4444.58</v>
      </c>
      <c r="N23" s="5">
        <v>74126.04</v>
      </c>
      <c r="O23" s="5"/>
      <c r="P23" s="5"/>
      <c r="Q23" s="10">
        <v>28.5</v>
      </c>
      <c r="R23" s="4" t="s">
        <v>46</v>
      </c>
      <c r="S23" s="4">
        <v>500</v>
      </c>
      <c r="T23" s="4">
        <v>520</v>
      </c>
      <c r="U23" s="4">
        <v>9490</v>
      </c>
      <c r="V23" s="4">
        <v>8011</v>
      </c>
      <c r="W23" s="5">
        <v>5.71</v>
      </c>
      <c r="X23" s="5">
        <v>3.95</v>
      </c>
      <c r="Y23" s="4">
        <v>1440</v>
      </c>
      <c r="Z23" s="4"/>
      <c r="AA23" s="13">
        <f t="shared" ref="AA23:AF23" si="32">IF(OR(C24=""),"",C24-C23)</f>
        <v>47193</v>
      </c>
      <c r="AB23" s="13">
        <f t="shared" si="32"/>
        <v>61138</v>
      </c>
      <c r="AC23" s="13">
        <f t="shared" si="32"/>
        <v>54449</v>
      </c>
      <c r="AD23" s="13">
        <f t="shared" si="32"/>
        <v>54027</v>
      </c>
      <c r="AE23" s="13">
        <f t="shared" si="32"/>
        <v>207967</v>
      </c>
      <c r="AF23" s="13">
        <f t="shared" si="32"/>
        <v>5442</v>
      </c>
      <c r="AG23" s="13">
        <f t="shared" si="1"/>
        <v>8840</v>
      </c>
      <c r="AH23" s="13">
        <f t="shared" si="2"/>
        <v>208388</v>
      </c>
      <c r="AI23" s="13">
        <f t="shared" si="3"/>
        <v>5448</v>
      </c>
      <c r="AJ23" s="13">
        <f t="shared" si="4"/>
        <v>202940</v>
      </c>
      <c r="AK23" s="13">
        <v>4000</v>
      </c>
      <c r="AL23" s="13">
        <f t="shared" si="5"/>
        <v>0</v>
      </c>
      <c r="AM23" s="13">
        <f t="shared" si="6"/>
        <v>0</v>
      </c>
      <c r="AN23" s="13">
        <f t="shared" si="7"/>
        <v>3550</v>
      </c>
      <c r="AO23" s="13">
        <f t="shared" si="8"/>
        <v>1248</v>
      </c>
      <c r="AP23" s="13">
        <v>4970</v>
      </c>
      <c r="AQ23" s="17">
        <f t="shared" si="9"/>
        <v>0</v>
      </c>
      <c r="AR23" s="17">
        <f t="shared" si="10"/>
        <v>0</v>
      </c>
      <c r="AS23" s="18">
        <f t="shared" si="11"/>
        <v>17.5</v>
      </c>
      <c r="AT23" s="17">
        <f t="shared" si="12"/>
        <v>6.15</v>
      </c>
    </row>
    <row r="24" spans="1:46">
      <c r="A24" s="6">
        <v>43638</v>
      </c>
      <c r="B24" s="22" t="s">
        <v>50</v>
      </c>
      <c r="C24" s="4">
        <v>36206584</v>
      </c>
      <c r="D24" s="4">
        <v>23669514</v>
      </c>
      <c r="E24" s="4">
        <v>18911975</v>
      </c>
      <c r="F24" s="4">
        <v>18413077</v>
      </c>
      <c r="G24" s="4">
        <v>306343387</v>
      </c>
      <c r="H24" s="4">
        <v>106782864</v>
      </c>
      <c r="I24" s="4">
        <v>306343122</v>
      </c>
      <c r="J24" s="4">
        <v>106782856</v>
      </c>
      <c r="K24" s="4"/>
      <c r="L24" s="5">
        <v>4299.8</v>
      </c>
      <c r="M24" s="5">
        <v>4444.58</v>
      </c>
      <c r="N24" s="5">
        <v>74126.04</v>
      </c>
      <c r="O24" s="5"/>
      <c r="P24" s="5"/>
      <c r="Q24" s="10">
        <v>27.5</v>
      </c>
      <c r="R24" s="11" t="s">
        <v>54</v>
      </c>
      <c r="S24" s="4">
        <v>400</v>
      </c>
      <c r="T24" s="4">
        <v>430</v>
      </c>
      <c r="U24" s="4">
        <v>9426</v>
      </c>
      <c r="V24" s="4">
        <v>8097</v>
      </c>
      <c r="W24" s="5">
        <v>6.81</v>
      </c>
      <c r="X24" s="5">
        <v>3.92</v>
      </c>
      <c r="Y24" s="4">
        <v>1440</v>
      </c>
      <c r="Z24" s="4"/>
      <c r="AA24" s="13">
        <f t="shared" ref="AA24:AF24" si="33">IF(OR(C25=""),"",C25-C24)</f>
        <v>46241</v>
      </c>
      <c r="AB24" s="13">
        <f t="shared" si="33"/>
        <v>59914</v>
      </c>
      <c r="AC24" s="13">
        <f t="shared" si="33"/>
        <v>54281</v>
      </c>
      <c r="AD24" s="13">
        <f t="shared" si="33"/>
        <v>56111</v>
      </c>
      <c r="AE24" s="13">
        <f t="shared" si="33"/>
        <v>212743</v>
      </c>
      <c r="AF24" s="13">
        <f t="shared" si="33"/>
        <v>5450</v>
      </c>
      <c r="AG24" s="13">
        <f t="shared" si="1"/>
        <v>3804</v>
      </c>
      <c r="AH24" s="13">
        <f t="shared" si="2"/>
        <v>212918</v>
      </c>
      <c r="AI24" s="13">
        <f t="shared" si="3"/>
        <v>5456</v>
      </c>
      <c r="AJ24" s="13">
        <f t="shared" si="4"/>
        <v>207462</v>
      </c>
      <c r="AK24" s="13">
        <v>3500</v>
      </c>
      <c r="AL24" s="13">
        <f t="shared" si="5"/>
        <v>0</v>
      </c>
      <c r="AM24" s="13">
        <f t="shared" si="6"/>
        <v>0</v>
      </c>
      <c r="AN24" s="13">
        <f t="shared" si="7"/>
        <v>2840</v>
      </c>
      <c r="AO24" s="13">
        <f t="shared" si="8"/>
        <v>1032</v>
      </c>
      <c r="AP24" s="13">
        <v>5041</v>
      </c>
      <c r="AQ24" s="17">
        <f t="shared" si="9"/>
        <v>0</v>
      </c>
      <c r="AR24" s="17">
        <f t="shared" si="10"/>
        <v>0</v>
      </c>
      <c r="AS24" s="18">
        <f t="shared" si="11"/>
        <v>13.7</v>
      </c>
      <c r="AT24" s="17">
        <f t="shared" si="12"/>
        <v>4.97</v>
      </c>
    </row>
    <row r="25" spans="1:46">
      <c r="A25" s="6">
        <v>43639</v>
      </c>
      <c r="B25" s="5" t="s">
        <v>50</v>
      </c>
      <c r="C25" s="4">
        <v>36252825</v>
      </c>
      <c r="D25" s="4">
        <v>23729428</v>
      </c>
      <c r="E25" s="4">
        <v>18966256</v>
      </c>
      <c r="F25" s="4">
        <v>18469188</v>
      </c>
      <c r="G25" s="4">
        <v>306556130</v>
      </c>
      <c r="H25" s="4">
        <v>106788314</v>
      </c>
      <c r="I25" s="4">
        <v>306556040</v>
      </c>
      <c r="J25" s="4">
        <v>106788312</v>
      </c>
      <c r="K25" s="4"/>
      <c r="L25" s="5">
        <v>4299.8</v>
      </c>
      <c r="M25" s="5">
        <v>4444.58</v>
      </c>
      <c r="N25" s="5">
        <v>74126.04</v>
      </c>
      <c r="O25" s="5"/>
      <c r="P25" s="5"/>
      <c r="Q25" s="10">
        <v>28</v>
      </c>
      <c r="R25" s="4" t="s">
        <v>46</v>
      </c>
      <c r="S25" s="4">
        <v>600</v>
      </c>
      <c r="T25" s="4">
        <v>580</v>
      </c>
      <c r="U25" s="4">
        <v>10365</v>
      </c>
      <c r="V25" s="4">
        <v>8501</v>
      </c>
      <c r="W25" s="5">
        <v>8.05</v>
      </c>
      <c r="X25" s="5">
        <v>5.56</v>
      </c>
      <c r="Y25" s="4">
        <v>1440</v>
      </c>
      <c r="Z25" s="4"/>
      <c r="AA25" s="13">
        <f t="shared" ref="AA25:AF25" si="34">IF(OR(C26=""),"",C26-C25)</f>
        <v>47917</v>
      </c>
      <c r="AB25" s="13">
        <f t="shared" si="34"/>
        <v>60945</v>
      </c>
      <c r="AC25" s="13">
        <f t="shared" si="34"/>
        <v>57975</v>
      </c>
      <c r="AD25" s="13">
        <f t="shared" si="34"/>
        <v>59516</v>
      </c>
      <c r="AE25" s="13">
        <f t="shared" si="34"/>
        <v>212289</v>
      </c>
      <c r="AF25" s="13">
        <f t="shared" si="34"/>
        <v>5453</v>
      </c>
      <c r="AG25" s="13">
        <f t="shared" si="1"/>
        <v>14064</v>
      </c>
      <c r="AH25" s="13">
        <f t="shared" si="2"/>
        <v>212463</v>
      </c>
      <c r="AI25" s="13">
        <f t="shared" ref="AI25:AI28" si="35">IF(OR(J26=""),"",J26-J25)</f>
        <v>5424</v>
      </c>
      <c r="AJ25" s="13">
        <f t="shared" ref="AJ25:AJ28" si="36">IF(OR(AH25="",AI25=""),"",AH25-AI25)</f>
        <v>207039</v>
      </c>
      <c r="AK25" s="13">
        <v>4200</v>
      </c>
      <c r="AL25" s="13">
        <f t="shared" si="5"/>
        <v>0</v>
      </c>
      <c r="AM25" s="13">
        <f t="shared" si="6"/>
        <v>0</v>
      </c>
      <c r="AN25" s="13">
        <f t="shared" si="7"/>
        <v>4260</v>
      </c>
      <c r="AO25" s="13">
        <f t="shared" si="8"/>
        <v>1392</v>
      </c>
      <c r="AP25" s="13">
        <v>4726</v>
      </c>
      <c r="AQ25" s="17">
        <f t="shared" si="9"/>
        <v>0</v>
      </c>
      <c r="AR25" s="17">
        <f t="shared" si="10"/>
        <v>0</v>
      </c>
      <c r="AS25" s="18">
        <f t="shared" si="11"/>
        <v>20.6</v>
      </c>
      <c r="AT25" s="17">
        <f t="shared" si="12"/>
        <v>6.72</v>
      </c>
    </row>
    <row r="26" ht="12.6" customHeight="1" spans="1:46">
      <c r="A26" s="6">
        <v>43640</v>
      </c>
      <c r="B26" s="5" t="s">
        <v>50</v>
      </c>
      <c r="C26" s="4">
        <v>36300742</v>
      </c>
      <c r="D26" s="4">
        <v>23790373</v>
      </c>
      <c r="E26" s="4">
        <v>19024231</v>
      </c>
      <c r="F26" s="4">
        <v>18528704</v>
      </c>
      <c r="G26" s="4">
        <v>306768419</v>
      </c>
      <c r="H26" s="4">
        <v>106793767</v>
      </c>
      <c r="I26" s="4">
        <v>306768503</v>
      </c>
      <c r="J26" s="4">
        <v>106793736</v>
      </c>
      <c r="K26" s="4"/>
      <c r="L26" s="5">
        <v>4299.8</v>
      </c>
      <c r="M26" s="5">
        <v>4444.58</v>
      </c>
      <c r="N26" s="5">
        <v>74126.04</v>
      </c>
      <c r="O26" s="5"/>
      <c r="P26" s="5"/>
      <c r="Q26" s="10">
        <v>26.9</v>
      </c>
      <c r="R26" s="4" t="s">
        <v>54</v>
      </c>
      <c r="S26" s="4">
        <v>400</v>
      </c>
      <c r="T26" s="4">
        <v>410</v>
      </c>
      <c r="U26" s="4">
        <v>10254</v>
      </c>
      <c r="V26" s="4">
        <v>8221</v>
      </c>
      <c r="W26" s="5">
        <v>7.72</v>
      </c>
      <c r="X26" s="5">
        <v>6.41</v>
      </c>
      <c r="Y26" s="4">
        <v>1440</v>
      </c>
      <c r="Z26" s="11" t="s">
        <v>68</v>
      </c>
      <c r="AA26" s="13">
        <f t="shared" ref="AA26:AF26" si="37">IF(OR(C27=""),"",C27-C26)</f>
        <v>52847</v>
      </c>
      <c r="AB26" s="13">
        <f t="shared" si="37"/>
        <v>64320</v>
      </c>
      <c r="AC26" s="13">
        <f t="shared" si="37"/>
        <v>60064</v>
      </c>
      <c r="AD26" s="13">
        <f t="shared" si="37"/>
        <v>61277</v>
      </c>
      <c r="AE26" s="13">
        <f t="shared" si="37"/>
        <v>210266</v>
      </c>
      <c r="AF26" s="13">
        <f t="shared" si="37"/>
        <v>5449</v>
      </c>
      <c r="AG26" s="13">
        <f t="shared" si="1"/>
        <v>28242</v>
      </c>
      <c r="AH26" s="13">
        <f t="shared" si="2"/>
        <v>210249</v>
      </c>
      <c r="AI26" s="13">
        <f t="shared" si="35"/>
        <v>5496</v>
      </c>
      <c r="AJ26" s="13">
        <f t="shared" si="36"/>
        <v>204753</v>
      </c>
      <c r="AK26" s="13">
        <v>4100</v>
      </c>
      <c r="AL26" s="13">
        <f t="shared" si="5"/>
        <v>0</v>
      </c>
      <c r="AM26" s="13">
        <f t="shared" si="6"/>
        <v>0</v>
      </c>
      <c r="AN26" s="13">
        <f t="shared" si="7"/>
        <v>2840</v>
      </c>
      <c r="AO26" s="13">
        <f t="shared" si="8"/>
        <v>984</v>
      </c>
      <c r="AP26" s="13">
        <v>3544</v>
      </c>
      <c r="AQ26" s="17">
        <f t="shared" si="9"/>
        <v>0</v>
      </c>
      <c r="AR26" s="17">
        <f t="shared" si="10"/>
        <v>0</v>
      </c>
      <c r="AS26" s="18">
        <f t="shared" si="11"/>
        <v>13.9</v>
      </c>
      <c r="AT26" s="17">
        <f t="shared" si="12"/>
        <v>4.81</v>
      </c>
    </row>
    <row r="27" spans="1:46">
      <c r="A27" s="6">
        <v>43641</v>
      </c>
      <c r="B27" s="22" t="s">
        <v>55</v>
      </c>
      <c r="C27" s="4">
        <v>36353589</v>
      </c>
      <c r="D27" s="4">
        <v>23854693</v>
      </c>
      <c r="E27" s="4">
        <v>19084295</v>
      </c>
      <c r="F27" s="4">
        <v>18589981</v>
      </c>
      <c r="G27" s="4">
        <v>306978685</v>
      </c>
      <c r="H27" s="4">
        <v>106799216</v>
      </c>
      <c r="I27" s="4">
        <v>306978752</v>
      </c>
      <c r="J27" s="4">
        <v>106799232</v>
      </c>
      <c r="K27" s="4"/>
      <c r="L27" s="5">
        <v>4299.8</v>
      </c>
      <c r="M27" s="5">
        <v>4444.58</v>
      </c>
      <c r="N27" s="5">
        <v>74126.04</v>
      </c>
      <c r="O27" s="5"/>
      <c r="P27" s="5"/>
      <c r="Q27" s="10">
        <v>28.2</v>
      </c>
      <c r="R27" s="4" t="s">
        <v>46</v>
      </c>
      <c r="S27" s="4">
        <v>230</v>
      </c>
      <c r="T27" s="4">
        <v>250</v>
      </c>
      <c r="U27" s="4">
        <v>9435</v>
      </c>
      <c r="V27" s="4">
        <v>8869</v>
      </c>
      <c r="W27" s="5">
        <v>7.18</v>
      </c>
      <c r="X27" s="5">
        <v>6.16</v>
      </c>
      <c r="Y27" s="4">
        <v>1440</v>
      </c>
      <c r="Z27" s="4"/>
      <c r="AA27" s="13">
        <f t="shared" ref="AA27:AF27" si="38">IF(OR(C28=""),"",C28-C27)</f>
        <v>46102</v>
      </c>
      <c r="AB27" s="13">
        <f t="shared" si="38"/>
        <v>56220</v>
      </c>
      <c r="AC27" s="13">
        <f t="shared" si="38"/>
        <v>57024</v>
      </c>
      <c r="AD27" s="13">
        <f t="shared" si="38"/>
        <v>59776</v>
      </c>
      <c r="AE27" s="13">
        <f t="shared" si="38"/>
        <v>212964</v>
      </c>
      <c r="AF27" s="13">
        <f t="shared" si="38"/>
        <v>5383</v>
      </c>
      <c r="AG27" s="13">
        <f t="shared" si="1"/>
        <v>6158</v>
      </c>
      <c r="AH27" s="13">
        <f t="shared" si="2"/>
        <v>212937</v>
      </c>
      <c r="AI27" s="13">
        <f t="shared" si="35"/>
        <v>5440</v>
      </c>
      <c r="AJ27" s="13">
        <f t="shared" si="36"/>
        <v>207497</v>
      </c>
      <c r="AK27" s="13">
        <v>4100</v>
      </c>
      <c r="AL27" s="13">
        <f t="shared" si="5"/>
        <v>0</v>
      </c>
      <c r="AM27" s="13">
        <f t="shared" si="6"/>
        <v>0</v>
      </c>
      <c r="AN27" s="13">
        <f t="shared" si="7"/>
        <v>1633</v>
      </c>
      <c r="AO27" s="13">
        <f t="shared" si="8"/>
        <v>600</v>
      </c>
      <c r="AP27" s="13">
        <v>3028</v>
      </c>
      <c r="AQ27" s="17">
        <f t="shared" si="9"/>
        <v>0</v>
      </c>
      <c r="AR27" s="17">
        <f t="shared" si="10"/>
        <v>0</v>
      </c>
      <c r="AS27" s="18">
        <f t="shared" si="11"/>
        <v>7.9</v>
      </c>
      <c r="AT27" s="17">
        <f t="shared" si="12"/>
        <v>2.89</v>
      </c>
    </row>
    <row r="28" spans="1:46">
      <c r="A28" s="6">
        <v>43642</v>
      </c>
      <c r="B28" s="5" t="s">
        <v>45</v>
      </c>
      <c r="C28" s="4">
        <v>36399691</v>
      </c>
      <c r="D28" s="4">
        <v>23910913</v>
      </c>
      <c r="E28" s="4">
        <v>19141319</v>
      </c>
      <c r="F28" s="4">
        <v>18649757</v>
      </c>
      <c r="G28" s="4">
        <v>307191649</v>
      </c>
      <c r="H28" s="4">
        <v>106804599</v>
      </c>
      <c r="I28" s="4">
        <v>307191689</v>
      </c>
      <c r="J28" s="1">
        <v>106804672</v>
      </c>
      <c r="K28" s="4"/>
      <c r="L28" s="5">
        <v>4299.8</v>
      </c>
      <c r="M28" s="5">
        <v>4444.58</v>
      </c>
      <c r="N28" s="5">
        <v>74126.04</v>
      </c>
      <c r="O28" s="5"/>
      <c r="P28" s="5"/>
      <c r="Q28" s="10">
        <v>28.8</v>
      </c>
      <c r="R28" s="4" t="s">
        <v>46</v>
      </c>
      <c r="S28" s="4">
        <v>470</v>
      </c>
      <c r="T28" s="4">
        <v>490</v>
      </c>
      <c r="U28" s="4">
        <v>9139</v>
      </c>
      <c r="V28" s="4">
        <v>7943</v>
      </c>
      <c r="W28" s="5">
        <v>6.16</v>
      </c>
      <c r="X28" s="5">
        <v>4.16</v>
      </c>
      <c r="Y28" s="4">
        <v>1440</v>
      </c>
      <c r="Z28" s="4"/>
      <c r="AA28" s="13">
        <f t="shared" ref="AA28:AF28" si="39">IF(OR(C29=""),"",C29-C28)</f>
        <v>45258</v>
      </c>
      <c r="AB28" s="13">
        <f t="shared" si="39"/>
        <v>55186</v>
      </c>
      <c r="AC28" s="13">
        <f t="shared" si="39"/>
        <v>56698</v>
      </c>
      <c r="AD28" s="13">
        <f t="shared" si="39"/>
        <v>59246</v>
      </c>
      <c r="AE28" s="13">
        <f t="shared" si="39"/>
        <v>212374</v>
      </c>
      <c r="AF28" s="13">
        <f t="shared" si="39"/>
        <v>5530</v>
      </c>
      <c r="AG28" s="13">
        <f t="shared" si="1"/>
        <v>4014</v>
      </c>
      <c r="AH28" s="13">
        <f t="shared" si="2"/>
        <v>212225</v>
      </c>
      <c r="AI28" s="13">
        <f t="shared" si="35"/>
        <v>5456</v>
      </c>
      <c r="AJ28" s="13">
        <f t="shared" si="36"/>
        <v>206769</v>
      </c>
      <c r="AK28" s="13">
        <v>3500</v>
      </c>
      <c r="AL28" s="13">
        <f t="shared" si="5"/>
        <v>0</v>
      </c>
      <c r="AM28" s="13">
        <f t="shared" si="6"/>
        <v>0</v>
      </c>
      <c r="AN28" s="13">
        <f t="shared" si="7"/>
        <v>3337</v>
      </c>
      <c r="AO28" s="13">
        <f t="shared" si="8"/>
        <v>1176</v>
      </c>
      <c r="AP28" s="13">
        <v>4379</v>
      </c>
      <c r="AQ28" s="17">
        <f t="shared" si="9"/>
        <v>0</v>
      </c>
      <c r="AR28" s="17">
        <f t="shared" si="10"/>
        <v>0</v>
      </c>
      <c r="AS28" s="18">
        <f t="shared" si="11"/>
        <v>16.1</v>
      </c>
      <c r="AT28" s="17">
        <f t="shared" si="12"/>
        <v>5.69</v>
      </c>
    </row>
    <row r="29" spans="1:46">
      <c r="A29" s="6">
        <v>43643</v>
      </c>
      <c r="B29" s="5" t="s">
        <v>50</v>
      </c>
      <c r="C29" s="4">
        <v>36444949</v>
      </c>
      <c r="D29" s="4">
        <v>23966099</v>
      </c>
      <c r="E29" s="4">
        <v>19198017</v>
      </c>
      <c r="F29" s="4">
        <v>18709003</v>
      </c>
      <c r="G29" s="4">
        <v>307404023</v>
      </c>
      <c r="H29" s="4">
        <v>106810129</v>
      </c>
      <c r="I29" s="4">
        <v>307403914</v>
      </c>
      <c r="J29" s="4">
        <v>106810128</v>
      </c>
      <c r="K29" s="4"/>
      <c r="L29" s="5">
        <v>4299.8</v>
      </c>
      <c r="M29" s="5">
        <v>4444.58</v>
      </c>
      <c r="N29" s="5">
        <v>74126.04</v>
      </c>
      <c r="O29" s="5"/>
      <c r="P29" s="5"/>
      <c r="Q29" s="10">
        <v>28</v>
      </c>
      <c r="R29" s="4" t="s">
        <v>46</v>
      </c>
      <c r="S29" s="4">
        <v>780</v>
      </c>
      <c r="T29" s="4">
        <v>770</v>
      </c>
      <c r="U29" s="4">
        <v>9273</v>
      </c>
      <c r="V29" s="4">
        <v>7985</v>
      </c>
      <c r="W29" s="5">
        <v>7.56</v>
      </c>
      <c r="X29" s="5">
        <v>4.28</v>
      </c>
      <c r="Y29" s="4">
        <v>1440</v>
      </c>
      <c r="Z29" s="4"/>
      <c r="AA29" s="13">
        <f t="shared" ref="AA29:AF29" si="40">IF(OR(C30=""),"",C30-C29)</f>
        <v>45080</v>
      </c>
      <c r="AB29" s="13">
        <f t="shared" si="40"/>
        <v>55500</v>
      </c>
      <c r="AC29" s="13">
        <f t="shared" si="40"/>
        <v>57284</v>
      </c>
      <c r="AD29" s="13">
        <f t="shared" si="40"/>
        <v>59277</v>
      </c>
      <c r="AE29" s="13">
        <f t="shared" si="40"/>
        <v>209247</v>
      </c>
      <c r="AF29" s="13">
        <f t="shared" si="40"/>
        <v>5471</v>
      </c>
      <c r="AG29" s="13">
        <f t="shared" si="1"/>
        <v>7894</v>
      </c>
      <c r="AH29" s="13">
        <f t="shared" si="2"/>
        <v>208883</v>
      </c>
      <c r="AI29" s="13">
        <f t="shared" si="3"/>
        <v>5464</v>
      </c>
      <c r="AJ29" s="13">
        <f t="shared" si="4"/>
        <v>203419</v>
      </c>
      <c r="AK29" s="13">
        <v>3700</v>
      </c>
      <c r="AL29" s="13">
        <f t="shared" si="5"/>
        <v>0</v>
      </c>
      <c r="AM29" s="13">
        <f t="shared" si="6"/>
        <v>0</v>
      </c>
      <c r="AN29" s="13">
        <f t="shared" si="7"/>
        <v>5538</v>
      </c>
      <c r="AO29" s="13">
        <f t="shared" si="8"/>
        <v>1848</v>
      </c>
      <c r="AP29" s="13">
        <v>4326</v>
      </c>
      <c r="AQ29" s="17">
        <f t="shared" si="9"/>
        <v>0</v>
      </c>
      <c r="AR29" s="17">
        <f t="shared" si="10"/>
        <v>0</v>
      </c>
      <c r="AS29" s="18">
        <f t="shared" si="11"/>
        <v>27.2</v>
      </c>
      <c r="AT29" s="17">
        <f t="shared" si="12"/>
        <v>9.08</v>
      </c>
    </row>
    <row r="30" spans="1:46">
      <c r="A30" s="6">
        <v>43644</v>
      </c>
      <c r="B30" s="5" t="s">
        <v>50</v>
      </c>
      <c r="C30" s="4">
        <v>36490029</v>
      </c>
      <c r="D30" s="4">
        <v>24021599</v>
      </c>
      <c r="E30" s="4">
        <v>19255301</v>
      </c>
      <c r="F30" s="4">
        <v>18768280</v>
      </c>
      <c r="G30" s="4">
        <v>307613270</v>
      </c>
      <c r="H30" s="4">
        <v>106815600</v>
      </c>
      <c r="I30" s="4">
        <v>307612797</v>
      </c>
      <c r="J30" s="4">
        <v>106815592</v>
      </c>
      <c r="K30" s="4"/>
      <c r="L30" s="5">
        <v>4299.8</v>
      </c>
      <c r="M30" s="5">
        <v>4444.58</v>
      </c>
      <c r="N30" s="5">
        <v>74126.04</v>
      </c>
      <c r="O30" s="5"/>
      <c r="P30" s="5"/>
      <c r="Q30" s="10">
        <v>28.7</v>
      </c>
      <c r="R30" s="4" t="s">
        <v>54</v>
      </c>
      <c r="S30" s="4">
        <v>620</v>
      </c>
      <c r="T30" s="4">
        <v>650</v>
      </c>
      <c r="U30" s="4">
        <v>9496</v>
      </c>
      <c r="V30" s="4">
        <v>7988</v>
      </c>
      <c r="W30" s="5">
        <v>7.27</v>
      </c>
      <c r="X30" s="5">
        <v>5.72</v>
      </c>
      <c r="Y30" s="4">
        <v>1440</v>
      </c>
      <c r="Z30" s="4"/>
      <c r="AA30" s="13">
        <f t="shared" ref="AA30:AF30" si="41">IF(OR(C31=""),"",C31-C30)</f>
        <v>44457</v>
      </c>
      <c r="AB30" s="13">
        <f t="shared" si="41"/>
        <v>55871</v>
      </c>
      <c r="AC30" s="13">
        <f t="shared" si="41"/>
        <v>57043</v>
      </c>
      <c r="AD30" s="13">
        <f t="shared" si="41"/>
        <v>58646</v>
      </c>
      <c r="AE30" s="13">
        <f t="shared" si="41"/>
        <v>211563</v>
      </c>
      <c r="AF30" s="13">
        <f t="shared" si="41"/>
        <v>5448</v>
      </c>
      <c r="AG30" s="13">
        <f t="shared" si="1"/>
        <v>4454</v>
      </c>
      <c r="AH30" s="13">
        <f t="shared" si="2"/>
        <v>211996</v>
      </c>
      <c r="AI30" s="13">
        <f t="shared" si="3"/>
        <v>5456</v>
      </c>
      <c r="AJ30" s="13">
        <f t="shared" si="4"/>
        <v>206540</v>
      </c>
      <c r="AK30" s="13">
        <v>3500</v>
      </c>
      <c r="AL30" s="13">
        <f t="shared" si="5"/>
        <v>0</v>
      </c>
      <c r="AM30" s="13">
        <f t="shared" si="6"/>
        <v>0</v>
      </c>
      <c r="AN30" s="13">
        <f t="shared" si="7"/>
        <v>4402</v>
      </c>
      <c r="AO30" s="13">
        <f t="shared" si="8"/>
        <v>1560</v>
      </c>
      <c r="AP30" s="13">
        <v>4950</v>
      </c>
      <c r="AQ30" s="17">
        <f t="shared" si="9"/>
        <v>0</v>
      </c>
      <c r="AR30" s="17">
        <f t="shared" si="10"/>
        <v>0</v>
      </c>
      <c r="AS30" s="18">
        <f t="shared" si="11"/>
        <v>21.3</v>
      </c>
      <c r="AT30" s="17">
        <f t="shared" si="12"/>
        <v>7.55</v>
      </c>
    </row>
    <row r="31" spans="1:46">
      <c r="A31" s="6">
        <v>43645</v>
      </c>
      <c r="B31" s="5" t="s">
        <v>50</v>
      </c>
      <c r="C31" s="4">
        <v>36534486</v>
      </c>
      <c r="D31" s="4">
        <v>24077470</v>
      </c>
      <c r="E31" s="4">
        <v>19312344</v>
      </c>
      <c r="F31" s="4">
        <v>18826926</v>
      </c>
      <c r="G31" s="4">
        <v>307824833</v>
      </c>
      <c r="H31" s="4">
        <v>106821048</v>
      </c>
      <c r="I31" s="4">
        <v>307824793</v>
      </c>
      <c r="J31" s="4">
        <v>106821048</v>
      </c>
      <c r="K31" s="4"/>
      <c r="L31" s="5">
        <v>4299.8</v>
      </c>
      <c r="M31" s="5">
        <v>4444.58</v>
      </c>
      <c r="N31" s="5">
        <v>74126.04</v>
      </c>
      <c r="O31" s="5"/>
      <c r="P31" s="5"/>
      <c r="Q31" s="10">
        <v>28.5</v>
      </c>
      <c r="R31" s="4" t="s">
        <v>52</v>
      </c>
      <c r="S31" s="4">
        <v>700</v>
      </c>
      <c r="T31" s="4">
        <v>680</v>
      </c>
      <c r="U31" s="4">
        <v>9307</v>
      </c>
      <c r="V31" s="4">
        <v>7990</v>
      </c>
      <c r="W31" s="5">
        <v>6.37</v>
      </c>
      <c r="X31" s="5">
        <v>4.7</v>
      </c>
      <c r="Y31" s="4">
        <v>1440</v>
      </c>
      <c r="Z31" s="4"/>
      <c r="AA31" s="13">
        <f t="shared" ref="AA31:AF31" si="42">IF(OR(C32=""),"",C32-C31)</f>
        <v>45458</v>
      </c>
      <c r="AB31" s="13">
        <f t="shared" si="42"/>
        <v>56221</v>
      </c>
      <c r="AC31" s="13">
        <f t="shared" si="42"/>
        <v>57308</v>
      </c>
      <c r="AD31" s="13">
        <f t="shared" si="42"/>
        <v>59366</v>
      </c>
      <c r="AE31" s="13">
        <f t="shared" si="42"/>
        <v>214012</v>
      </c>
      <c r="AF31" s="13">
        <f t="shared" si="42"/>
        <v>5457</v>
      </c>
      <c r="AG31" s="13">
        <f t="shared" si="1"/>
        <v>4341</v>
      </c>
      <c r="AH31" s="13">
        <f t="shared" si="2"/>
        <v>214278</v>
      </c>
      <c r="AI31" s="13">
        <f t="shared" si="3"/>
        <v>5464</v>
      </c>
      <c r="AJ31" s="13">
        <f t="shared" si="4"/>
        <v>208814</v>
      </c>
      <c r="AK31" s="13">
        <v>3500</v>
      </c>
      <c r="AL31" s="13">
        <f t="shared" si="5"/>
        <v>0</v>
      </c>
      <c r="AM31" s="13">
        <f t="shared" si="6"/>
        <v>0</v>
      </c>
      <c r="AN31" s="13">
        <f t="shared" si="7"/>
        <v>4970</v>
      </c>
      <c r="AO31" s="13">
        <f t="shared" si="8"/>
        <v>1632</v>
      </c>
      <c r="AP31" s="13">
        <v>2965</v>
      </c>
      <c r="AQ31" s="17">
        <f t="shared" si="9"/>
        <v>0</v>
      </c>
      <c r="AR31" s="17">
        <f t="shared" si="10"/>
        <v>0</v>
      </c>
      <c r="AS31" s="18">
        <f t="shared" si="11"/>
        <v>23.8</v>
      </c>
      <c r="AT31" s="17">
        <f t="shared" si="12"/>
        <v>7.82</v>
      </c>
    </row>
    <row r="32" spans="1:46">
      <c r="A32" s="6">
        <v>43646</v>
      </c>
      <c r="B32" s="5" t="s">
        <v>50</v>
      </c>
      <c r="C32" s="4">
        <v>36579944</v>
      </c>
      <c r="D32" s="4">
        <v>24133691</v>
      </c>
      <c r="E32" s="4">
        <v>19369652</v>
      </c>
      <c r="F32" s="4">
        <v>18886292</v>
      </c>
      <c r="G32" s="4">
        <v>308038845</v>
      </c>
      <c r="H32" s="4">
        <v>106826505</v>
      </c>
      <c r="I32" s="4">
        <v>308039071</v>
      </c>
      <c r="J32" s="4">
        <v>106826512</v>
      </c>
      <c r="K32" s="4"/>
      <c r="L32" s="5">
        <v>4299.8</v>
      </c>
      <c r="M32" s="5">
        <v>4444.58</v>
      </c>
      <c r="N32" s="5">
        <v>74126.04</v>
      </c>
      <c r="O32" s="5"/>
      <c r="P32" s="5"/>
      <c r="Q32" s="10">
        <v>28</v>
      </c>
      <c r="R32" s="4" t="s">
        <v>52</v>
      </c>
      <c r="S32" s="4">
        <v>550</v>
      </c>
      <c r="T32" s="4">
        <v>560</v>
      </c>
      <c r="U32" s="4">
        <v>9266</v>
      </c>
      <c r="V32" s="4">
        <v>7997</v>
      </c>
      <c r="W32" s="5">
        <v>5.54</v>
      </c>
      <c r="X32" s="5">
        <v>4.39</v>
      </c>
      <c r="Y32" s="4">
        <v>1440</v>
      </c>
      <c r="Z32" s="4"/>
      <c r="AA32" s="13">
        <f t="shared" ref="AA32:AF32" si="43">IF(OR(C33=""),"",C33-C32)</f>
        <v>47491</v>
      </c>
      <c r="AB32" s="13">
        <f t="shared" si="43"/>
        <v>60392</v>
      </c>
      <c r="AC32" s="13">
        <f t="shared" si="43"/>
        <v>52395</v>
      </c>
      <c r="AD32" s="13">
        <f t="shared" si="43"/>
        <v>52171</v>
      </c>
      <c r="AE32" s="13">
        <f t="shared" si="43"/>
        <v>210175</v>
      </c>
      <c r="AF32" s="13">
        <f t="shared" si="43"/>
        <v>5476</v>
      </c>
      <c r="AG32" s="13">
        <f t="shared" si="1"/>
        <v>2274</v>
      </c>
      <c r="AH32" s="13">
        <f t="shared" si="2"/>
        <v>209774</v>
      </c>
      <c r="AI32" s="13">
        <f t="shared" si="3"/>
        <v>5464</v>
      </c>
      <c r="AJ32" s="13">
        <f t="shared" si="4"/>
        <v>204310</v>
      </c>
      <c r="AK32" s="13">
        <v>3200</v>
      </c>
      <c r="AL32" s="13">
        <f t="shared" si="5"/>
        <v>0</v>
      </c>
      <c r="AM32" s="13">
        <f t="shared" si="6"/>
        <v>0</v>
      </c>
      <c r="AN32" s="13">
        <f t="shared" si="7"/>
        <v>3905</v>
      </c>
      <c r="AO32" s="13">
        <f t="shared" si="8"/>
        <v>1344</v>
      </c>
      <c r="AP32" s="13">
        <v>3154</v>
      </c>
      <c r="AQ32" s="17">
        <f t="shared" si="9"/>
        <v>0</v>
      </c>
      <c r="AR32" s="17">
        <f t="shared" si="10"/>
        <v>0</v>
      </c>
      <c r="AS32" s="18">
        <f t="shared" si="11"/>
        <v>19.1</v>
      </c>
      <c r="AT32" s="17">
        <f t="shared" si="12"/>
        <v>6.58</v>
      </c>
    </row>
    <row r="33" ht="15" customHeight="1" spans="1:46">
      <c r="A33" s="6">
        <v>43647</v>
      </c>
      <c r="B33" s="5" t="s">
        <v>50</v>
      </c>
      <c r="C33" s="4">
        <v>36627435</v>
      </c>
      <c r="D33" s="4">
        <v>24194083</v>
      </c>
      <c r="E33" s="4">
        <v>19422047</v>
      </c>
      <c r="F33" s="4">
        <v>18938463</v>
      </c>
      <c r="G33" s="4">
        <v>308249020</v>
      </c>
      <c r="H33" s="4">
        <v>106831981</v>
      </c>
      <c r="I33" s="4">
        <v>308248845</v>
      </c>
      <c r="J33" s="4">
        <v>106831976</v>
      </c>
      <c r="K33" s="4"/>
      <c r="L33" s="5">
        <v>4299.8</v>
      </c>
      <c r="M33" s="5">
        <v>4444.58</v>
      </c>
      <c r="N33" s="5">
        <v>74126.04</v>
      </c>
      <c r="O33" s="5"/>
      <c r="P33" s="5"/>
      <c r="Q33" s="10">
        <v>29</v>
      </c>
      <c r="R33" s="4" t="s">
        <v>46</v>
      </c>
      <c r="S33" s="4"/>
      <c r="T33" s="4"/>
      <c r="U33" s="4"/>
      <c r="V33" s="4"/>
      <c r="W33" s="5"/>
      <c r="X33" s="5"/>
      <c r="Y33" s="4"/>
      <c r="Z33" s="4"/>
      <c r="AA33" s="13" t="str">
        <f t="shared" ref="AA33:AF33" si="44">IF(OR(C34=""),"",C34-C33)</f>
        <v/>
      </c>
      <c r="AB33" s="13" t="str">
        <f t="shared" si="44"/>
        <v/>
      </c>
      <c r="AC33" s="13" t="str">
        <f t="shared" si="44"/>
        <v/>
      </c>
      <c r="AD33" s="13" t="str">
        <f t="shared" si="44"/>
        <v/>
      </c>
      <c r="AE33" s="13" t="str">
        <f t="shared" si="44"/>
        <v/>
      </c>
      <c r="AF33" s="13" t="str">
        <f t="shared" si="44"/>
        <v/>
      </c>
      <c r="AG33" s="13" t="str">
        <f t="shared" si="1"/>
        <v/>
      </c>
      <c r="AH33" s="13" t="str">
        <f t="shared" si="2"/>
        <v/>
      </c>
      <c r="AI33" s="13" t="str">
        <f t="shared" si="3"/>
        <v/>
      </c>
      <c r="AJ33" s="13" t="str">
        <f t="shared" si="4"/>
        <v/>
      </c>
      <c r="AK33" s="13" t="str">
        <f t="shared" ref="AK33" si="45">IF(K33="","",K34-K33)</f>
        <v/>
      </c>
      <c r="AL33" s="13" t="str">
        <f t="shared" si="5"/>
        <v/>
      </c>
      <c r="AM33" s="13" t="str">
        <f t="shared" si="6"/>
        <v/>
      </c>
      <c r="AN33" s="13" t="str">
        <f t="shared" si="7"/>
        <v/>
      </c>
      <c r="AO33" s="13" t="str">
        <f t="shared" si="8"/>
        <v/>
      </c>
      <c r="AP33" s="13"/>
      <c r="AQ33" s="17" t="str">
        <f t="shared" si="9"/>
        <v/>
      </c>
      <c r="AR33" s="17" t="str">
        <f t="shared" si="10"/>
        <v/>
      </c>
      <c r="AS33" s="18" t="str">
        <f t="shared" si="11"/>
        <v/>
      </c>
      <c r="AT33" s="17" t="str">
        <f t="shared" si="12"/>
        <v/>
      </c>
    </row>
    <row r="34" spans="1:46">
      <c r="A34" s="6"/>
      <c r="B34" s="5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10"/>
      <c r="R34" s="4"/>
      <c r="Z34" s="14"/>
      <c r="AK34" s="15"/>
      <c r="AN34" s="1"/>
      <c r="AO34" s="1"/>
      <c r="AP34" s="1"/>
      <c r="AQ34" s="12"/>
      <c r="AR34" s="2"/>
      <c r="AS34" s="12"/>
      <c r="AT34" s="2"/>
    </row>
    <row r="35" spans="16:46">
      <c r="P35" s="2"/>
      <c r="Q35" s="12"/>
      <c r="AK35" s="15"/>
      <c r="AN35" s="1"/>
      <c r="AO35" s="1"/>
      <c r="AP35" s="1"/>
      <c r="AQ35" s="12"/>
      <c r="AR35" s="2"/>
      <c r="AS35" s="12"/>
      <c r="AT35" s="2"/>
    </row>
    <row r="36" spans="16:46">
      <c r="P36" s="2"/>
      <c r="Q36" s="12"/>
      <c r="AA36" s="1" t="str">
        <f t="shared" ref="AA36:AF36" si="46">IF(OR(C37=""),"",C37-C36)</f>
        <v/>
      </c>
      <c r="AB36" s="1" t="str">
        <f t="shared" si="46"/>
        <v/>
      </c>
      <c r="AC36" s="1" t="str">
        <f t="shared" si="46"/>
        <v/>
      </c>
      <c r="AD36" s="1" t="str">
        <f t="shared" si="46"/>
        <v/>
      </c>
      <c r="AE36" s="1" t="str">
        <f t="shared" si="46"/>
        <v/>
      </c>
      <c r="AF36" s="1" t="str">
        <f t="shared" si="46"/>
        <v/>
      </c>
      <c r="AG36" s="1" t="str">
        <f>IF(OR(AA36="",AB36="",AC36=""),"",AA36+AB36+AC36+AD36-AE36)</f>
        <v/>
      </c>
      <c r="AH36" s="16">
        <f t="shared" ref="AH36:AO36" si="47">SUM(AH3:AH34)</f>
        <v>6079329</v>
      </c>
      <c r="AI36" s="16">
        <f t="shared" si="47"/>
        <v>163496</v>
      </c>
      <c r="AJ36" s="16">
        <f t="shared" si="47"/>
        <v>5915833</v>
      </c>
      <c r="AK36" s="16">
        <f t="shared" si="47"/>
        <v>88220</v>
      </c>
      <c r="AL36" s="16">
        <f t="shared" si="47"/>
        <v>1344</v>
      </c>
      <c r="AM36" s="16">
        <f t="shared" si="47"/>
        <v>2</v>
      </c>
      <c r="AN36" s="16">
        <f t="shared" si="47"/>
        <v>107707</v>
      </c>
      <c r="AO36" s="16">
        <f t="shared" si="47"/>
        <v>36840</v>
      </c>
      <c r="AP36" s="16"/>
      <c r="AQ36" s="19">
        <f>IF(OR($AJ36=0),"",ROUND(AL36/$AJ36*1000,1))</f>
        <v>0.2</v>
      </c>
      <c r="AR36" s="19">
        <f>IF(OR($AJ36=0),"",ROUND(AM36/$AJ36*1000,2))</f>
        <v>0</v>
      </c>
      <c r="AS36" s="20">
        <f>IF(OR($AJ36=0),"",ROUND(AN36/$AJ36*1000,1))</f>
        <v>18.2</v>
      </c>
      <c r="AT36" s="19">
        <f>IF(OR($AJ36=0),"",ROUND(AO36/$AJ36*1000,2))</f>
        <v>6.23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pageSetup paperSize="9" orientation="portrait"/>
  <headerFooter/>
  <ignoredErrors>
    <ignoredError sqref="Q4:Q5" numberStoredAsText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V43"/>
  <sheetViews>
    <sheetView showGridLines="0" workbookViewId="0">
      <pane xSplit="2" ySplit="2" topLeftCell="E18" activePane="bottomRight" state="frozen"/>
      <selection/>
      <selection pane="topRight"/>
      <selection pane="bottomLeft"/>
      <selection pane="bottomRight" activeCell="O34" sqref="O34:P34"/>
    </sheetView>
  </sheetViews>
  <sheetFormatPr defaultColWidth="10.6666666666667" defaultRowHeight="14.25"/>
  <cols>
    <col min="1" max="1" width="7.88333333333333" style="1" customWidth="1"/>
    <col min="2" max="2" width="6.44166666666667" style="2" customWidth="1"/>
    <col min="3" max="6" width="10" style="1" customWidth="1"/>
    <col min="7" max="8" width="11.1083333333333" style="1" customWidth="1"/>
    <col min="9" max="9" width="11.4416666666667" style="1" customWidth="1"/>
    <col min="10" max="10" width="11.1083333333333" style="1" customWidth="1"/>
    <col min="11" max="11" width="6.44166666666667" style="1" customWidth="1"/>
    <col min="12" max="13" width="8.44166666666667" style="2" customWidth="1"/>
    <col min="14" max="14" width="9.44166666666667" style="2" customWidth="1"/>
    <col min="15" max="16" width="9.21666666666667" style="2" customWidth="1"/>
    <col min="17" max="17" width="8.21666666666667" style="2" customWidth="1"/>
    <col min="18" max="18" width="8.21666666666667" style="1" customWidth="1"/>
    <col min="19" max="19" width="6.44166666666667" style="1" customWidth="1"/>
    <col min="20" max="22" width="7.66666666666667" style="1" customWidth="1"/>
    <col min="23" max="23" width="7" style="1" customWidth="1"/>
    <col min="24" max="24" width="6.44166666666667" style="1" customWidth="1"/>
    <col min="25" max="26" width="6.44166666666667" style="2" customWidth="1"/>
    <col min="27" max="27" width="6.44166666666667" style="1" customWidth="1"/>
    <col min="28" max="28" width="4.88333333333333" style="1" customWidth="1"/>
    <col min="29" max="32" width="7" style="1" customWidth="1"/>
    <col min="33" max="33" width="8" style="1" customWidth="1"/>
    <col min="34" max="34" width="6.44166666666667" style="1" customWidth="1"/>
    <col min="35" max="35" width="7" style="1" customWidth="1"/>
    <col min="36" max="36" width="9" style="1" customWidth="1"/>
    <col min="37" max="37" width="8" style="1" customWidth="1"/>
    <col min="38" max="38" width="9" style="1" customWidth="1"/>
    <col min="39" max="40" width="7" style="1" customWidth="1"/>
    <col min="41" max="41" width="5.44166666666667" style="1" customWidth="1"/>
    <col min="42" max="43" width="7" style="2" customWidth="1"/>
    <col min="44" max="44" width="6.44166666666667" style="23" customWidth="1"/>
    <col min="45" max="45" width="8.44166666666667" style="3" customWidth="1"/>
    <col min="46" max="46" width="8.775" style="3" customWidth="1"/>
    <col min="47" max="48" width="8.44166666666667" style="3" customWidth="1"/>
    <col min="49" max="16384" width="10.6666666666667" style="3"/>
  </cols>
  <sheetData>
    <row r="2" ht="57" spans="1:4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69</v>
      </c>
      <c r="P2" s="5" t="s">
        <v>70</v>
      </c>
      <c r="Q2" s="5" t="s">
        <v>13</v>
      </c>
      <c r="R2" s="5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5" t="s">
        <v>21</v>
      </c>
      <c r="Z2" s="5" t="s">
        <v>22</v>
      </c>
      <c r="AA2" s="4" t="s">
        <v>23</v>
      </c>
      <c r="AB2" s="4" t="s">
        <v>24</v>
      </c>
      <c r="AC2" s="13" t="s">
        <v>25</v>
      </c>
      <c r="AD2" s="13" t="s">
        <v>26</v>
      </c>
      <c r="AE2" s="13" t="s">
        <v>27</v>
      </c>
      <c r="AF2" s="13" t="s">
        <v>28</v>
      </c>
      <c r="AG2" s="13" t="s">
        <v>29</v>
      </c>
      <c r="AH2" s="13" t="s">
        <v>30</v>
      </c>
      <c r="AI2" s="13" t="s">
        <v>31</v>
      </c>
      <c r="AJ2" s="13" t="s">
        <v>32</v>
      </c>
      <c r="AK2" s="13" t="s">
        <v>33</v>
      </c>
      <c r="AL2" s="13" t="s">
        <v>34</v>
      </c>
      <c r="AM2" s="13" t="s">
        <v>35</v>
      </c>
      <c r="AN2" s="13" t="s">
        <v>36</v>
      </c>
      <c r="AO2" s="13" t="s">
        <v>37</v>
      </c>
      <c r="AP2" s="7" t="s">
        <v>38</v>
      </c>
      <c r="AQ2" s="7" t="s">
        <v>39</v>
      </c>
      <c r="AR2" s="24" t="s">
        <v>40</v>
      </c>
      <c r="AS2" s="13" t="s">
        <v>41</v>
      </c>
      <c r="AT2" s="13" t="s">
        <v>42</v>
      </c>
      <c r="AU2" s="7" t="s">
        <v>43</v>
      </c>
      <c r="AV2" s="7" t="s">
        <v>44</v>
      </c>
    </row>
    <row r="3" spans="1:48">
      <c r="A3" s="6">
        <v>43647</v>
      </c>
      <c r="B3" s="7" t="str">
        <f>'6'!B33</f>
        <v>易萍</v>
      </c>
      <c r="C3" s="13">
        <f>'6'!C33</f>
        <v>36627435</v>
      </c>
      <c r="D3" s="13">
        <f>'6'!D33</f>
        <v>24194083</v>
      </c>
      <c r="E3" s="13">
        <f>'6'!E33</f>
        <v>19422047</v>
      </c>
      <c r="F3" s="13">
        <f>'6'!F33</f>
        <v>18938463</v>
      </c>
      <c r="G3" s="13">
        <f>'6'!G33</f>
        <v>308249020</v>
      </c>
      <c r="H3" s="13">
        <f>'6'!H33</f>
        <v>106831981</v>
      </c>
      <c r="I3" s="13">
        <f>'6'!I33</f>
        <v>308248845</v>
      </c>
      <c r="J3" s="13">
        <f>'6'!J33</f>
        <v>106831976</v>
      </c>
      <c r="K3" s="7">
        <f>'6'!K33</f>
        <v>0</v>
      </c>
      <c r="L3" s="7">
        <f>'6'!L33</f>
        <v>4299.8</v>
      </c>
      <c r="M3" s="7">
        <f>'6'!M33</f>
        <v>4444.58</v>
      </c>
      <c r="N3" s="7">
        <f>'6'!N33</f>
        <v>74126.04</v>
      </c>
      <c r="O3" s="7"/>
      <c r="P3" s="7"/>
      <c r="Q3" s="7">
        <f>'6'!O33</f>
        <v>0</v>
      </c>
      <c r="R3" s="7">
        <f>'6'!P33</f>
        <v>0</v>
      </c>
      <c r="S3" s="7">
        <f>'6'!Q33</f>
        <v>29</v>
      </c>
      <c r="T3" s="7" t="str">
        <f>'6'!R33</f>
        <v>晴</v>
      </c>
      <c r="U3" s="4">
        <v>240</v>
      </c>
      <c r="V3" s="4">
        <v>260</v>
      </c>
      <c r="W3" s="4">
        <v>8897</v>
      </c>
      <c r="X3" s="4">
        <v>7861</v>
      </c>
      <c r="Y3" s="5">
        <v>4.64</v>
      </c>
      <c r="Z3" s="5">
        <v>2.45</v>
      </c>
      <c r="AA3" s="4">
        <v>600</v>
      </c>
      <c r="AB3" s="4"/>
      <c r="AC3" s="13">
        <f t="shared" ref="AC3:AH3" si="0">IF(OR(C4=""),"",C4-C3)</f>
        <v>45505</v>
      </c>
      <c r="AD3" s="13">
        <f t="shared" si="0"/>
        <v>56415</v>
      </c>
      <c r="AE3" s="13">
        <f t="shared" si="0"/>
        <v>48662</v>
      </c>
      <c r="AF3" s="13">
        <f t="shared" si="0"/>
        <v>47133</v>
      </c>
      <c r="AG3" s="13">
        <f t="shared" si="0"/>
        <v>193532</v>
      </c>
      <c r="AH3" s="13">
        <f t="shared" si="0"/>
        <v>5465</v>
      </c>
      <c r="AI3" s="13">
        <f t="shared" ref="AI3:AI33" si="1">IF(OR(AC3="",AD3="",AE3=""),"",AC3+AD3+AE3+AF3-AG3)</f>
        <v>4183</v>
      </c>
      <c r="AJ3" s="13">
        <f t="shared" ref="AJ3:AJ33" si="2">IF(OR(I4=""),"",I4-I3)</f>
        <v>193669</v>
      </c>
      <c r="AK3" s="13">
        <f t="shared" ref="AK3:AK33" si="3">IF(OR(J4=""),"",J4-J3)</f>
        <v>5456</v>
      </c>
      <c r="AL3" s="13">
        <f t="shared" ref="AL3:AL33" si="4">IF(OR(AJ3="",AK3=""),"",AJ3-AK3)</f>
        <v>188213</v>
      </c>
      <c r="AM3" s="13">
        <v>3600</v>
      </c>
      <c r="AN3" s="13">
        <f t="shared" ref="AN3:AN33" si="5">IF(OR(L4="",M4=""),"",ROUND((L4-L3+M4-M3)*1200,0))</f>
        <v>0</v>
      </c>
      <c r="AO3" s="13">
        <f t="shared" ref="AO3:AO33" si="6">IF(OR(N4=""),"",(ROUND((N4-N3)*2,0)))</f>
        <v>0</v>
      </c>
      <c r="AP3" s="13">
        <f t="shared" ref="AP3:AP33" si="7">IF(OR(U3=""),"",ROUND(U3*7.1,0))</f>
        <v>1704</v>
      </c>
      <c r="AQ3" s="13">
        <f t="shared" ref="AQ3:AQ33" si="8">IF(OR(V3=""),"",ROUND(V3*2.4,0))</f>
        <v>624</v>
      </c>
      <c r="AR3" s="24">
        <v>2036</v>
      </c>
      <c r="AS3" s="17">
        <f t="shared" ref="AS3:AS33" si="9">IF(OR($AL3=""),"",ROUND(AN3/$AL3*1000,1))</f>
        <v>0</v>
      </c>
      <c r="AT3" s="17">
        <f t="shared" ref="AT3:AT33" si="10">IF(OR($AL3=""),"",ROUND(AO3/$AL3*1000,2))</f>
        <v>0</v>
      </c>
      <c r="AU3" s="18">
        <f t="shared" ref="AU3:AU33" si="11">IF(OR($AL3=""),"",ROUND(AP3/$AL3*1000,1))</f>
        <v>9.1</v>
      </c>
      <c r="AV3" s="17">
        <f t="shared" ref="AV3:AV33" si="12">IF(OR($AL3=""),"",ROUND(AQ3/$AL3*1000,2))</f>
        <v>3.32</v>
      </c>
    </row>
    <row r="4" spans="1:48">
      <c r="A4" s="6">
        <v>43648</v>
      </c>
      <c r="B4" s="5" t="s">
        <v>50</v>
      </c>
      <c r="C4" s="4">
        <v>36672940</v>
      </c>
      <c r="D4" s="4">
        <v>24250498</v>
      </c>
      <c r="E4" s="4">
        <v>19470709</v>
      </c>
      <c r="F4" s="4">
        <v>18985596</v>
      </c>
      <c r="G4" s="4">
        <v>308442552</v>
      </c>
      <c r="H4" s="4">
        <v>106837446</v>
      </c>
      <c r="I4" s="4">
        <v>308442514</v>
      </c>
      <c r="J4" s="4">
        <v>106837432</v>
      </c>
      <c r="K4" s="4"/>
      <c r="L4" s="5">
        <v>4299.8</v>
      </c>
      <c r="M4" s="5">
        <v>4444.58</v>
      </c>
      <c r="N4" s="5">
        <v>74126.04</v>
      </c>
      <c r="O4" s="5"/>
      <c r="P4" s="5"/>
      <c r="Q4" s="5"/>
      <c r="R4" s="5"/>
      <c r="S4" s="10">
        <v>28.5</v>
      </c>
      <c r="T4" s="11" t="s">
        <v>46</v>
      </c>
      <c r="U4" s="4">
        <v>270</v>
      </c>
      <c r="V4" s="4">
        <v>290</v>
      </c>
      <c r="W4" s="4">
        <v>9211</v>
      </c>
      <c r="X4" s="4">
        <v>5684</v>
      </c>
      <c r="Y4" s="5">
        <v>4.32</v>
      </c>
      <c r="Z4" s="5">
        <v>2.44</v>
      </c>
      <c r="AA4" s="4">
        <v>1208</v>
      </c>
      <c r="AB4" s="4"/>
      <c r="AC4" s="13">
        <f t="shared" ref="AC4:AH4" si="13">IF(OR(C5=""),"",C5-C4)</f>
        <v>60095</v>
      </c>
      <c r="AD4" s="13">
        <f t="shared" si="13"/>
        <v>68381</v>
      </c>
      <c r="AE4" s="13">
        <f t="shared" si="13"/>
        <v>42192</v>
      </c>
      <c r="AF4" s="13">
        <f t="shared" si="13"/>
        <v>41939</v>
      </c>
      <c r="AG4" s="13">
        <f t="shared" si="13"/>
        <v>206241</v>
      </c>
      <c r="AH4" s="13">
        <f t="shared" si="13"/>
        <v>5441</v>
      </c>
      <c r="AI4" s="13">
        <f t="shared" si="1"/>
        <v>6366</v>
      </c>
      <c r="AJ4" s="13">
        <f t="shared" si="2"/>
        <v>206476</v>
      </c>
      <c r="AK4" s="13">
        <f t="shared" si="3"/>
        <v>5488</v>
      </c>
      <c r="AL4" s="13">
        <f t="shared" si="4"/>
        <v>200988</v>
      </c>
      <c r="AM4" s="13">
        <v>3750</v>
      </c>
      <c r="AN4" s="13">
        <f t="shared" si="5"/>
        <v>0</v>
      </c>
      <c r="AO4" s="13">
        <f t="shared" si="6"/>
        <v>0</v>
      </c>
      <c r="AP4" s="13">
        <f t="shared" si="7"/>
        <v>1917</v>
      </c>
      <c r="AQ4" s="13">
        <f t="shared" si="8"/>
        <v>696</v>
      </c>
      <c r="AR4" s="24">
        <v>2254</v>
      </c>
      <c r="AS4" s="17">
        <f t="shared" si="9"/>
        <v>0</v>
      </c>
      <c r="AT4" s="17">
        <f t="shared" si="10"/>
        <v>0</v>
      </c>
      <c r="AU4" s="18">
        <f t="shared" si="11"/>
        <v>9.5</v>
      </c>
      <c r="AV4" s="17">
        <f t="shared" si="12"/>
        <v>3.46</v>
      </c>
    </row>
    <row r="5" spans="1:48">
      <c r="A5" s="6">
        <v>43649</v>
      </c>
      <c r="B5" s="22" t="s">
        <v>55</v>
      </c>
      <c r="C5" s="4">
        <v>36733035</v>
      </c>
      <c r="D5" s="4">
        <v>24318879</v>
      </c>
      <c r="E5" s="4">
        <v>19512901</v>
      </c>
      <c r="F5" s="4">
        <v>19027535</v>
      </c>
      <c r="G5" s="4">
        <v>308648793</v>
      </c>
      <c r="H5" s="4">
        <v>106842887</v>
      </c>
      <c r="I5" s="4">
        <v>308648990</v>
      </c>
      <c r="J5" s="4">
        <v>106842920</v>
      </c>
      <c r="K5" s="4"/>
      <c r="L5" s="5">
        <v>4299.8</v>
      </c>
      <c r="M5" s="5">
        <v>4444.58</v>
      </c>
      <c r="N5" s="5">
        <v>74126.04</v>
      </c>
      <c r="O5" s="5"/>
      <c r="P5" s="5"/>
      <c r="Q5" s="5"/>
      <c r="R5" s="5"/>
      <c r="S5" s="10">
        <v>29.4</v>
      </c>
      <c r="T5" s="11" t="s">
        <v>46</v>
      </c>
      <c r="U5" s="4">
        <v>400</v>
      </c>
      <c r="V5" s="4">
        <v>430</v>
      </c>
      <c r="W5" s="4">
        <v>9436</v>
      </c>
      <c r="X5" s="4">
        <v>5377</v>
      </c>
      <c r="Y5" s="5">
        <v>4.61</v>
      </c>
      <c r="Z5" s="5">
        <v>2.49</v>
      </c>
      <c r="AA5" s="4">
        <v>960</v>
      </c>
      <c r="AB5" s="4"/>
      <c r="AC5" s="13">
        <f t="shared" ref="AC5:AH5" si="14">IF(OR(C6=""),"",C6-C5)</f>
        <v>50515</v>
      </c>
      <c r="AD5" s="13">
        <f t="shared" si="14"/>
        <v>60017</v>
      </c>
      <c r="AE5" s="13">
        <f t="shared" si="14"/>
        <v>48679</v>
      </c>
      <c r="AF5" s="13">
        <f t="shared" si="14"/>
        <v>49991</v>
      </c>
      <c r="AG5" s="13">
        <f t="shared" si="14"/>
        <v>208440</v>
      </c>
      <c r="AH5" s="13">
        <f t="shared" si="14"/>
        <v>5482</v>
      </c>
      <c r="AI5" s="13">
        <f t="shared" si="1"/>
        <v>762</v>
      </c>
      <c r="AJ5" s="13">
        <f t="shared" si="2"/>
        <v>208157</v>
      </c>
      <c r="AK5" s="13">
        <f t="shared" si="3"/>
        <v>5456</v>
      </c>
      <c r="AL5" s="13">
        <f t="shared" si="4"/>
        <v>202701</v>
      </c>
      <c r="AM5" s="13">
        <v>3300</v>
      </c>
      <c r="AN5" s="13">
        <f t="shared" si="5"/>
        <v>0</v>
      </c>
      <c r="AO5" s="13">
        <f t="shared" si="6"/>
        <v>0</v>
      </c>
      <c r="AP5" s="13">
        <f t="shared" si="7"/>
        <v>2840</v>
      </c>
      <c r="AQ5" s="13">
        <f t="shared" si="8"/>
        <v>1032</v>
      </c>
      <c r="AR5" s="24">
        <v>2620</v>
      </c>
      <c r="AS5" s="17">
        <f t="shared" si="9"/>
        <v>0</v>
      </c>
      <c r="AT5" s="17">
        <f t="shared" si="10"/>
        <v>0</v>
      </c>
      <c r="AU5" s="18">
        <f t="shared" si="11"/>
        <v>14</v>
      </c>
      <c r="AV5" s="17">
        <f t="shared" si="12"/>
        <v>5.09</v>
      </c>
    </row>
    <row r="6" spans="1:48">
      <c r="A6" s="6">
        <v>43650</v>
      </c>
      <c r="B6" s="5" t="s">
        <v>50</v>
      </c>
      <c r="C6" s="4">
        <v>36783550</v>
      </c>
      <c r="D6" s="4">
        <v>24378896</v>
      </c>
      <c r="E6" s="4">
        <v>19561580</v>
      </c>
      <c r="F6" s="4">
        <v>19077526</v>
      </c>
      <c r="G6" s="4">
        <v>308857233</v>
      </c>
      <c r="H6" s="4">
        <v>106848369</v>
      </c>
      <c r="I6" s="4">
        <v>308857147</v>
      </c>
      <c r="J6" s="4">
        <v>106848376</v>
      </c>
      <c r="K6" s="4"/>
      <c r="L6" s="5">
        <v>4299.8</v>
      </c>
      <c r="M6" s="5">
        <v>4444.58</v>
      </c>
      <c r="N6" s="5">
        <v>74126.04</v>
      </c>
      <c r="O6" s="5"/>
      <c r="P6" s="5"/>
      <c r="Q6" s="5"/>
      <c r="R6" s="5"/>
      <c r="S6" s="10">
        <v>29</v>
      </c>
      <c r="T6" s="4" t="s">
        <v>46</v>
      </c>
      <c r="U6" s="4">
        <v>730</v>
      </c>
      <c r="V6" s="4">
        <v>750</v>
      </c>
      <c r="W6" s="4">
        <v>9250</v>
      </c>
      <c r="X6" s="4">
        <v>4729</v>
      </c>
      <c r="Y6" s="5">
        <v>5.56</v>
      </c>
      <c r="Z6" s="5">
        <v>2.42</v>
      </c>
      <c r="AA6" s="4">
        <v>1020</v>
      </c>
      <c r="AB6" s="4"/>
      <c r="AC6" s="13">
        <f t="shared" ref="AC6:AH6" si="15">IF(OR(C7=""),"",C7-C6)</f>
        <v>41638</v>
      </c>
      <c r="AD6" s="13">
        <f t="shared" si="15"/>
        <v>49507</v>
      </c>
      <c r="AE6" s="13">
        <f t="shared" si="15"/>
        <v>47152</v>
      </c>
      <c r="AF6" s="13">
        <f t="shared" si="15"/>
        <v>46583</v>
      </c>
      <c r="AG6" s="13">
        <f t="shared" si="15"/>
        <v>182179</v>
      </c>
      <c r="AH6" s="13">
        <f t="shared" si="15"/>
        <v>5467</v>
      </c>
      <c r="AI6" s="13">
        <f t="shared" si="1"/>
        <v>2701</v>
      </c>
      <c r="AJ6" s="13">
        <f t="shared" si="2"/>
        <v>182173</v>
      </c>
      <c r="AK6" s="13">
        <f t="shared" si="3"/>
        <v>5456</v>
      </c>
      <c r="AL6" s="13">
        <f t="shared" si="4"/>
        <v>176717</v>
      </c>
      <c r="AM6" s="13">
        <v>3000</v>
      </c>
      <c r="AN6" s="13">
        <f t="shared" si="5"/>
        <v>0</v>
      </c>
      <c r="AO6" s="13">
        <f t="shared" si="6"/>
        <v>0</v>
      </c>
      <c r="AP6" s="13">
        <f t="shared" si="7"/>
        <v>5183</v>
      </c>
      <c r="AQ6" s="13">
        <f t="shared" si="8"/>
        <v>1800</v>
      </c>
      <c r="AR6" s="24">
        <v>3960</v>
      </c>
      <c r="AS6" s="17">
        <f t="shared" si="9"/>
        <v>0</v>
      </c>
      <c r="AT6" s="17">
        <f t="shared" si="10"/>
        <v>0</v>
      </c>
      <c r="AU6" s="18">
        <f t="shared" si="11"/>
        <v>29.3</v>
      </c>
      <c r="AV6" s="17">
        <f t="shared" si="12"/>
        <v>10.19</v>
      </c>
    </row>
    <row r="7" spans="1:48">
      <c r="A7" s="6">
        <v>43651</v>
      </c>
      <c r="B7" s="5" t="s">
        <v>50</v>
      </c>
      <c r="C7" s="4">
        <v>36825188</v>
      </c>
      <c r="D7" s="4">
        <v>24428403</v>
      </c>
      <c r="E7" s="4">
        <v>19608732</v>
      </c>
      <c r="F7" s="4">
        <v>19124109</v>
      </c>
      <c r="G7" s="4">
        <v>309039412</v>
      </c>
      <c r="H7" s="4">
        <v>106853836</v>
      </c>
      <c r="I7" s="4">
        <v>309039320</v>
      </c>
      <c r="J7" s="4">
        <v>106853832</v>
      </c>
      <c r="K7" s="4"/>
      <c r="L7" s="5">
        <v>4299.8</v>
      </c>
      <c r="M7" s="5">
        <v>4444.58</v>
      </c>
      <c r="N7" s="5">
        <v>74126.04</v>
      </c>
      <c r="O7" s="5"/>
      <c r="P7" s="5"/>
      <c r="Q7" s="5"/>
      <c r="R7" s="5"/>
      <c r="S7" s="10">
        <v>29</v>
      </c>
      <c r="T7" s="4" t="s">
        <v>46</v>
      </c>
      <c r="U7" s="4">
        <v>640</v>
      </c>
      <c r="V7" s="4">
        <v>660</v>
      </c>
      <c r="W7" s="4">
        <v>9320</v>
      </c>
      <c r="X7" s="4">
        <v>4971</v>
      </c>
      <c r="Y7" s="5">
        <v>5.38</v>
      </c>
      <c r="Z7" s="5">
        <v>2.6</v>
      </c>
      <c r="AA7" s="4">
        <v>1140</v>
      </c>
      <c r="AB7" s="4"/>
      <c r="AC7" s="13">
        <f t="shared" ref="AC7:AH7" si="16">IF(OR(C8=""),"",C8-C7)</f>
        <v>44282</v>
      </c>
      <c r="AD7" s="13">
        <f t="shared" si="16"/>
        <v>53566</v>
      </c>
      <c r="AE7" s="13">
        <f t="shared" si="16"/>
        <v>52941</v>
      </c>
      <c r="AF7" s="13">
        <f t="shared" si="16"/>
        <v>54721</v>
      </c>
      <c r="AG7" s="13">
        <f t="shared" si="16"/>
        <v>195751</v>
      </c>
      <c r="AH7" s="13">
        <f t="shared" si="16"/>
        <v>5454</v>
      </c>
      <c r="AI7" s="13">
        <f t="shared" si="1"/>
        <v>9759</v>
      </c>
      <c r="AJ7" s="13">
        <f t="shared" si="2"/>
        <v>196441</v>
      </c>
      <c r="AK7" s="13">
        <f t="shared" si="3"/>
        <v>5480</v>
      </c>
      <c r="AL7" s="13">
        <f t="shared" si="4"/>
        <v>190961</v>
      </c>
      <c r="AM7" s="13">
        <v>3500</v>
      </c>
      <c r="AN7" s="13">
        <f t="shared" si="5"/>
        <v>0</v>
      </c>
      <c r="AO7" s="13">
        <f t="shared" si="6"/>
        <v>0</v>
      </c>
      <c r="AP7" s="13">
        <f t="shared" si="7"/>
        <v>4544</v>
      </c>
      <c r="AQ7" s="13">
        <f t="shared" si="8"/>
        <v>1584</v>
      </c>
      <c r="AR7" s="24">
        <v>4359</v>
      </c>
      <c r="AS7" s="17">
        <f t="shared" si="9"/>
        <v>0</v>
      </c>
      <c r="AT7" s="17">
        <f t="shared" si="10"/>
        <v>0</v>
      </c>
      <c r="AU7" s="18">
        <f t="shared" si="11"/>
        <v>23.8</v>
      </c>
      <c r="AV7" s="17">
        <f t="shared" si="12"/>
        <v>8.29</v>
      </c>
    </row>
    <row r="8" spans="1:48">
      <c r="A8" s="6">
        <v>43652</v>
      </c>
      <c r="B8" s="5" t="s">
        <v>50</v>
      </c>
      <c r="C8" s="4">
        <v>36869470</v>
      </c>
      <c r="D8" s="4">
        <v>24481969</v>
      </c>
      <c r="E8" s="4">
        <v>19661673</v>
      </c>
      <c r="F8" s="4">
        <v>19178830</v>
      </c>
      <c r="G8" s="4">
        <v>309235163</v>
      </c>
      <c r="H8" s="4">
        <v>106859290</v>
      </c>
      <c r="I8" s="4">
        <v>309235761</v>
      </c>
      <c r="J8" s="4">
        <v>106859312</v>
      </c>
      <c r="K8" s="4"/>
      <c r="L8" s="5">
        <v>4299.8</v>
      </c>
      <c r="M8" s="5">
        <v>4444.58</v>
      </c>
      <c r="N8" s="5">
        <v>74126.04</v>
      </c>
      <c r="O8" s="5"/>
      <c r="P8" s="5"/>
      <c r="Q8" s="5"/>
      <c r="R8" s="5"/>
      <c r="S8" s="10">
        <v>28.5</v>
      </c>
      <c r="T8" s="4" t="s">
        <v>46</v>
      </c>
      <c r="U8" s="4">
        <v>550</v>
      </c>
      <c r="V8" s="4">
        <v>570</v>
      </c>
      <c r="W8" s="4">
        <v>9553</v>
      </c>
      <c r="X8" s="4">
        <v>5968</v>
      </c>
      <c r="Y8" s="5">
        <v>6.52</v>
      </c>
      <c r="Z8" s="5">
        <v>2.44</v>
      </c>
      <c r="AA8" s="4">
        <v>1200</v>
      </c>
      <c r="AB8" s="4"/>
      <c r="AC8" s="13">
        <f t="shared" ref="AC8:AH8" si="17">IF(OR(C9=""),"",C9-C8)</f>
        <v>44229</v>
      </c>
      <c r="AD8" s="13">
        <f t="shared" si="17"/>
        <v>54837</v>
      </c>
      <c r="AE8" s="13">
        <f t="shared" si="17"/>
        <v>54026</v>
      </c>
      <c r="AF8" s="13">
        <f t="shared" si="17"/>
        <v>55697</v>
      </c>
      <c r="AG8" s="13">
        <f t="shared" si="17"/>
        <v>204070</v>
      </c>
      <c r="AH8" s="13">
        <f t="shared" si="17"/>
        <v>5488</v>
      </c>
      <c r="AI8" s="13">
        <f t="shared" si="1"/>
        <v>4719</v>
      </c>
      <c r="AJ8" s="13">
        <f t="shared" si="2"/>
        <v>203552</v>
      </c>
      <c r="AK8" s="13">
        <f t="shared" si="3"/>
        <v>5464</v>
      </c>
      <c r="AL8" s="13">
        <f t="shared" si="4"/>
        <v>198088</v>
      </c>
      <c r="AM8" s="13">
        <v>3200</v>
      </c>
      <c r="AN8" s="13">
        <f t="shared" si="5"/>
        <v>0</v>
      </c>
      <c r="AO8" s="13">
        <f t="shared" si="6"/>
        <v>0</v>
      </c>
      <c r="AP8" s="13">
        <f t="shared" si="7"/>
        <v>3905</v>
      </c>
      <c r="AQ8" s="13">
        <f t="shared" si="8"/>
        <v>1368</v>
      </c>
      <c r="AR8" s="24">
        <v>2762</v>
      </c>
      <c r="AS8" s="17">
        <f t="shared" si="9"/>
        <v>0</v>
      </c>
      <c r="AT8" s="17">
        <f t="shared" si="10"/>
        <v>0</v>
      </c>
      <c r="AU8" s="18">
        <f t="shared" si="11"/>
        <v>19.7</v>
      </c>
      <c r="AV8" s="17">
        <f t="shared" si="12"/>
        <v>6.91</v>
      </c>
    </row>
    <row r="9" spans="1:48">
      <c r="A9" s="6">
        <v>43653</v>
      </c>
      <c r="B9" s="5" t="s">
        <v>50</v>
      </c>
      <c r="C9" s="4">
        <v>36913699</v>
      </c>
      <c r="D9" s="4">
        <v>24536806</v>
      </c>
      <c r="E9" s="4">
        <v>19715699</v>
      </c>
      <c r="F9" s="4">
        <v>19234527</v>
      </c>
      <c r="G9" s="4">
        <v>309439233</v>
      </c>
      <c r="H9" s="4">
        <v>106864778</v>
      </c>
      <c r="I9" s="4">
        <v>309439313</v>
      </c>
      <c r="J9" s="4">
        <v>106864776</v>
      </c>
      <c r="K9" s="4"/>
      <c r="L9" s="5">
        <v>4299.8</v>
      </c>
      <c r="M9" s="5">
        <v>4444.58</v>
      </c>
      <c r="N9" s="5">
        <v>74126.04</v>
      </c>
      <c r="O9" s="5"/>
      <c r="P9" s="5"/>
      <c r="Q9" s="5"/>
      <c r="R9" s="5"/>
      <c r="S9" s="10">
        <v>29.5</v>
      </c>
      <c r="T9" s="4" t="s">
        <v>46</v>
      </c>
      <c r="U9" s="4">
        <v>540</v>
      </c>
      <c r="V9" s="4">
        <v>560</v>
      </c>
      <c r="W9" s="4">
        <v>9355</v>
      </c>
      <c r="X9" s="4">
        <v>7871</v>
      </c>
      <c r="Y9" s="5">
        <v>5.73</v>
      </c>
      <c r="Z9" s="5">
        <v>3.66</v>
      </c>
      <c r="AA9" s="4">
        <v>1440</v>
      </c>
      <c r="AB9" s="4"/>
      <c r="AC9" s="13">
        <f t="shared" ref="AC9:AH9" si="18">IF(OR(C10=""),"",C10-C9)</f>
        <v>46564</v>
      </c>
      <c r="AD9" s="13">
        <f t="shared" si="18"/>
        <v>57716</v>
      </c>
      <c r="AE9" s="13">
        <f t="shared" si="18"/>
        <v>56200</v>
      </c>
      <c r="AF9" s="13">
        <f t="shared" si="18"/>
        <v>58434</v>
      </c>
      <c r="AG9" s="13">
        <f t="shared" si="18"/>
        <v>211802</v>
      </c>
      <c r="AH9" s="13">
        <f t="shared" si="18"/>
        <v>5493</v>
      </c>
      <c r="AI9" s="13">
        <f t="shared" si="1"/>
        <v>7112</v>
      </c>
      <c r="AJ9" s="13">
        <f t="shared" si="2"/>
        <v>211320</v>
      </c>
      <c r="AK9" s="13">
        <f t="shared" si="3"/>
        <v>5480</v>
      </c>
      <c r="AL9" s="13">
        <f t="shared" si="4"/>
        <v>205840</v>
      </c>
      <c r="AM9" s="13">
        <v>3500</v>
      </c>
      <c r="AN9" s="13">
        <f t="shared" si="5"/>
        <v>0</v>
      </c>
      <c r="AO9" s="13">
        <f t="shared" si="6"/>
        <v>0</v>
      </c>
      <c r="AP9" s="13">
        <f t="shared" si="7"/>
        <v>3834</v>
      </c>
      <c r="AQ9" s="13">
        <f t="shared" si="8"/>
        <v>1344</v>
      </c>
      <c r="AR9" s="24">
        <v>1995</v>
      </c>
      <c r="AS9" s="17">
        <f t="shared" si="9"/>
        <v>0</v>
      </c>
      <c r="AT9" s="17">
        <f t="shared" si="10"/>
        <v>0</v>
      </c>
      <c r="AU9" s="18">
        <f t="shared" si="11"/>
        <v>18.6</v>
      </c>
      <c r="AV9" s="17">
        <f t="shared" si="12"/>
        <v>6.53</v>
      </c>
    </row>
    <row r="10" spans="1:48">
      <c r="A10" s="6">
        <v>43654</v>
      </c>
      <c r="B10" s="5" t="s">
        <v>50</v>
      </c>
      <c r="C10" s="4">
        <v>36960263</v>
      </c>
      <c r="D10" s="4">
        <v>24594522</v>
      </c>
      <c r="E10" s="4">
        <v>19771899</v>
      </c>
      <c r="F10" s="4">
        <v>19292961</v>
      </c>
      <c r="G10" s="4">
        <v>309651035</v>
      </c>
      <c r="H10" s="4">
        <v>106870271</v>
      </c>
      <c r="I10" s="4">
        <v>309650633</v>
      </c>
      <c r="J10" s="4">
        <v>106870256</v>
      </c>
      <c r="K10" s="4"/>
      <c r="L10" s="5">
        <v>4299.8</v>
      </c>
      <c r="M10" s="5">
        <v>4444.58</v>
      </c>
      <c r="N10" s="5">
        <v>74126.04</v>
      </c>
      <c r="O10" s="5"/>
      <c r="P10" s="5"/>
      <c r="Q10" s="5"/>
      <c r="R10" s="5"/>
      <c r="S10" s="10">
        <v>29</v>
      </c>
      <c r="T10" s="4" t="s">
        <v>46</v>
      </c>
      <c r="U10" s="4">
        <v>350</v>
      </c>
      <c r="V10" s="4">
        <v>360</v>
      </c>
      <c r="W10" s="4">
        <v>9234</v>
      </c>
      <c r="X10" s="4">
        <v>8347</v>
      </c>
      <c r="Y10" s="5">
        <v>4.41</v>
      </c>
      <c r="Z10" s="5">
        <v>2.77</v>
      </c>
      <c r="AA10" s="4">
        <v>840</v>
      </c>
      <c r="AB10" s="4"/>
      <c r="AC10" s="13">
        <f t="shared" ref="AC10:AH10" si="19">IF(OR(C11=""),"",C11-C10)</f>
        <v>44718</v>
      </c>
      <c r="AD10" s="13">
        <f t="shared" si="19"/>
        <v>54630</v>
      </c>
      <c r="AE10" s="13">
        <f t="shared" si="19"/>
        <v>53939</v>
      </c>
      <c r="AF10" s="13">
        <f t="shared" si="19"/>
        <v>55776</v>
      </c>
      <c r="AG10" s="13" t="b">
        <f>AR26=IF(OR(G11=""),"",G11-G10)</f>
        <v>0</v>
      </c>
      <c r="AH10" s="13">
        <f t="shared" si="19"/>
        <v>5462</v>
      </c>
      <c r="AI10" s="13">
        <f t="shared" si="1"/>
        <v>209063</v>
      </c>
      <c r="AJ10" s="13">
        <f t="shared" si="2"/>
        <v>203516</v>
      </c>
      <c r="AK10" s="13">
        <f t="shared" si="3"/>
        <v>5461</v>
      </c>
      <c r="AL10" s="13">
        <f t="shared" si="4"/>
        <v>198055</v>
      </c>
      <c r="AM10" s="13">
        <v>2100</v>
      </c>
      <c r="AN10" s="13">
        <f t="shared" si="5"/>
        <v>0</v>
      </c>
      <c r="AO10" s="13">
        <f t="shared" si="6"/>
        <v>0</v>
      </c>
      <c r="AP10" s="13">
        <f t="shared" si="7"/>
        <v>2485</v>
      </c>
      <c r="AQ10" s="13">
        <f t="shared" si="8"/>
        <v>864</v>
      </c>
      <c r="AR10" s="24">
        <v>2015</v>
      </c>
      <c r="AS10" s="17">
        <f t="shared" si="9"/>
        <v>0</v>
      </c>
      <c r="AT10" s="17">
        <f t="shared" si="10"/>
        <v>0</v>
      </c>
      <c r="AU10" s="18">
        <f t="shared" si="11"/>
        <v>12.5</v>
      </c>
      <c r="AV10" s="17">
        <f t="shared" si="12"/>
        <v>4.36</v>
      </c>
    </row>
    <row r="11" spans="1:48">
      <c r="A11" s="6">
        <v>43655</v>
      </c>
      <c r="B11" s="5" t="s">
        <v>47</v>
      </c>
      <c r="C11" s="4">
        <v>37004981</v>
      </c>
      <c r="D11" s="4">
        <v>24649152</v>
      </c>
      <c r="E11" s="4">
        <v>19825838</v>
      </c>
      <c r="F11" s="4">
        <v>19348737</v>
      </c>
      <c r="G11" s="4">
        <v>309854078</v>
      </c>
      <c r="H11" s="4">
        <v>106875733</v>
      </c>
      <c r="I11" s="4">
        <v>309854149</v>
      </c>
      <c r="J11" s="4">
        <v>106875717</v>
      </c>
      <c r="K11" s="4"/>
      <c r="L11" s="5">
        <v>4299.8</v>
      </c>
      <c r="M11" s="5">
        <v>4444.58</v>
      </c>
      <c r="N11" s="5">
        <v>74126.04</v>
      </c>
      <c r="O11" s="5"/>
      <c r="P11" s="5"/>
      <c r="Q11" s="5"/>
      <c r="R11" s="5"/>
      <c r="S11" s="10">
        <v>29</v>
      </c>
      <c r="T11" s="4" t="s">
        <v>46</v>
      </c>
      <c r="U11" s="4">
        <v>180</v>
      </c>
      <c r="V11" s="4">
        <v>200</v>
      </c>
      <c r="W11" s="4">
        <v>10012</v>
      </c>
      <c r="X11" s="4">
        <v>7845</v>
      </c>
      <c r="Y11" s="5">
        <v>7.75</v>
      </c>
      <c r="Z11" s="5">
        <v>2.55</v>
      </c>
      <c r="AA11" s="4">
        <v>1012</v>
      </c>
      <c r="AB11" s="4"/>
      <c r="AC11" s="13">
        <f t="shared" ref="AC11:AH11" si="20">IF(OR(C12=""),"",C12-C11)</f>
        <v>54922</v>
      </c>
      <c r="AD11" s="13">
        <f t="shared" si="20"/>
        <v>64501</v>
      </c>
      <c r="AE11" s="13">
        <f t="shared" si="20"/>
        <v>46789</v>
      </c>
      <c r="AF11" s="13">
        <f t="shared" si="20"/>
        <v>46117</v>
      </c>
      <c r="AG11" s="13">
        <f t="shared" si="20"/>
        <v>203941</v>
      </c>
      <c r="AH11" s="13">
        <f t="shared" si="20"/>
        <v>5482</v>
      </c>
      <c r="AI11" s="13">
        <f t="shared" si="1"/>
        <v>8388</v>
      </c>
      <c r="AJ11" s="13">
        <f t="shared" si="2"/>
        <v>203616</v>
      </c>
      <c r="AK11" s="13">
        <f t="shared" si="3"/>
        <v>5483</v>
      </c>
      <c r="AL11" s="13">
        <f t="shared" si="4"/>
        <v>198133</v>
      </c>
      <c r="AM11" s="13">
        <v>3300</v>
      </c>
      <c r="AN11" s="13">
        <f t="shared" si="5"/>
        <v>0</v>
      </c>
      <c r="AO11" s="13">
        <f t="shared" si="6"/>
        <v>0</v>
      </c>
      <c r="AP11" s="13">
        <f t="shared" si="7"/>
        <v>1278</v>
      </c>
      <c r="AQ11" s="13">
        <f t="shared" si="8"/>
        <v>480</v>
      </c>
      <c r="AR11" s="24">
        <v>1950</v>
      </c>
      <c r="AS11" s="17">
        <f t="shared" si="9"/>
        <v>0</v>
      </c>
      <c r="AT11" s="17">
        <f t="shared" si="10"/>
        <v>0</v>
      </c>
      <c r="AU11" s="18">
        <f t="shared" si="11"/>
        <v>6.5</v>
      </c>
      <c r="AV11" s="17">
        <f t="shared" si="12"/>
        <v>2.42</v>
      </c>
    </row>
    <row r="12" spans="1:48">
      <c r="A12" s="6">
        <v>43656</v>
      </c>
      <c r="B12" s="5" t="s">
        <v>48</v>
      </c>
      <c r="C12" s="4">
        <v>37059903</v>
      </c>
      <c r="D12" s="4">
        <v>24713653</v>
      </c>
      <c r="E12" s="4">
        <v>19872627</v>
      </c>
      <c r="F12" s="4">
        <v>19394854</v>
      </c>
      <c r="G12" s="4">
        <v>310058019</v>
      </c>
      <c r="H12" s="4">
        <v>106881215</v>
      </c>
      <c r="I12" s="4">
        <v>310057765</v>
      </c>
      <c r="J12" s="4">
        <v>106881200</v>
      </c>
      <c r="K12" s="4"/>
      <c r="L12" s="5">
        <v>4299.8</v>
      </c>
      <c r="M12" s="5">
        <v>4444.58</v>
      </c>
      <c r="N12" s="5">
        <v>74126.04</v>
      </c>
      <c r="O12" s="5"/>
      <c r="P12" s="5"/>
      <c r="Q12" s="5"/>
      <c r="R12" s="5"/>
      <c r="S12" s="10">
        <v>28.5</v>
      </c>
      <c r="T12" s="4" t="s">
        <v>46</v>
      </c>
      <c r="U12" s="4">
        <v>420</v>
      </c>
      <c r="V12" s="4">
        <v>440</v>
      </c>
      <c r="W12" s="4">
        <v>9297</v>
      </c>
      <c r="X12" s="4">
        <v>7880</v>
      </c>
      <c r="Y12" s="5">
        <v>7.19</v>
      </c>
      <c r="Z12" s="5">
        <v>3.51</v>
      </c>
      <c r="AA12" s="4">
        <v>1440</v>
      </c>
      <c r="AB12" s="4"/>
      <c r="AC12" s="13">
        <f t="shared" ref="AC12:AH12" si="21">IF(OR(C13=""),"",C13-C12)</f>
        <v>50376</v>
      </c>
      <c r="AD12" s="13">
        <f t="shared" si="21"/>
        <v>58705</v>
      </c>
      <c r="AE12" s="13">
        <f t="shared" si="21"/>
        <v>54060</v>
      </c>
      <c r="AF12" s="13">
        <f t="shared" si="21"/>
        <v>56059</v>
      </c>
      <c r="AG12" s="13">
        <f t="shared" si="21"/>
        <v>212877</v>
      </c>
      <c r="AH12" s="13">
        <f t="shared" si="21"/>
        <v>4979</v>
      </c>
      <c r="AI12" s="13">
        <f t="shared" si="1"/>
        <v>6323</v>
      </c>
      <c r="AJ12" s="13">
        <f t="shared" si="2"/>
        <v>212917</v>
      </c>
      <c r="AK12" s="13">
        <f t="shared" si="3"/>
        <v>4992</v>
      </c>
      <c r="AL12" s="13">
        <f t="shared" si="4"/>
        <v>207925</v>
      </c>
      <c r="AM12" s="13">
        <v>3300</v>
      </c>
      <c r="AN12" s="13">
        <f t="shared" si="5"/>
        <v>0</v>
      </c>
      <c r="AO12" s="13">
        <f t="shared" si="6"/>
        <v>0</v>
      </c>
      <c r="AP12" s="13">
        <f t="shared" si="7"/>
        <v>2982</v>
      </c>
      <c r="AQ12" s="13">
        <f t="shared" si="8"/>
        <v>1056</v>
      </c>
      <c r="AR12" s="24">
        <v>0</v>
      </c>
      <c r="AS12" s="17">
        <f t="shared" si="9"/>
        <v>0</v>
      </c>
      <c r="AT12" s="17">
        <f t="shared" si="10"/>
        <v>0</v>
      </c>
      <c r="AU12" s="18">
        <f t="shared" si="11"/>
        <v>14.3</v>
      </c>
      <c r="AV12" s="17">
        <f t="shared" si="12"/>
        <v>5.08</v>
      </c>
    </row>
    <row r="13" spans="1:48">
      <c r="A13" s="6">
        <v>43657</v>
      </c>
      <c r="B13" s="5" t="s">
        <v>50</v>
      </c>
      <c r="C13" s="4">
        <v>37110279</v>
      </c>
      <c r="D13" s="4">
        <v>24772358</v>
      </c>
      <c r="E13" s="4">
        <v>19926687</v>
      </c>
      <c r="F13" s="4">
        <v>19450913</v>
      </c>
      <c r="G13" s="4">
        <v>310270896</v>
      </c>
      <c r="H13" s="4">
        <v>106886194</v>
      </c>
      <c r="I13" s="4">
        <v>310270682</v>
      </c>
      <c r="J13" s="4">
        <v>106886192</v>
      </c>
      <c r="K13" s="4"/>
      <c r="L13" s="5">
        <v>4299.8</v>
      </c>
      <c r="M13" s="5">
        <v>4444.58</v>
      </c>
      <c r="N13" s="5">
        <v>74126.04</v>
      </c>
      <c r="O13" s="5"/>
      <c r="P13" s="5"/>
      <c r="Q13" s="5"/>
      <c r="R13" s="5"/>
      <c r="S13" s="10">
        <v>29</v>
      </c>
      <c r="T13" s="4" t="s">
        <v>46</v>
      </c>
      <c r="U13" s="4">
        <v>850</v>
      </c>
      <c r="V13" s="4">
        <v>830</v>
      </c>
      <c r="W13" s="4">
        <v>9596</v>
      </c>
      <c r="X13" s="4">
        <v>4779</v>
      </c>
      <c r="Y13" s="5">
        <v>4.32</v>
      </c>
      <c r="Z13" s="5">
        <v>2.45</v>
      </c>
      <c r="AA13" s="4">
        <v>1200</v>
      </c>
      <c r="AB13" s="4"/>
      <c r="AC13" s="13">
        <f t="shared" ref="AC13:AH13" si="22">IF(OR(C14=""),"",C14-C13)</f>
        <v>49942</v>
      </c>
      <c r="AD13" s="13">
        <f t="shared" si="22"/>
        <v>56977</v>
      </c>
      <c r="AE13" s="13">
        <f t="shared" si="22"/>
        <v>53751</v>
      </c>
      <c r="AF13" s="13">
        <f t="shared" si="22"/>
        <v>55343</v>
      </c>
      <c r="AG13" s="13">
        <f t="shared" si="22"/>
        <v>207162</v>
      </c>
      <c r="AH13" s="13">
        <f t="shared" si="22"/>
        <v>5444</v>
      </c>
      <c r="AI13" s="13">
        <f t="shared" si="1"/>
        <v>8851</v>
      </c>
      <c r="AJ13" s="13">
        <f t="shared" si="2"/>
        <v>207324</v>
      </c>
      <c r="AK13" s="13">
        <f t="shared" si="3"/>
        <v>5440</v>
      </c>
      <c r="AL13" s="13">
        <f t="shared" si="4"/>
        <v>201884</v>
      </c>
      <c r="AM13" s="13">
        <v>3200</v>
      </c>
      <c r="AN13" s="13">
        <f t="shared" si="5"/>
        <v>0</v>
      </c>
      <c r="AO13" s="13">
        <f t="shared" si="6"/>
        <v>0</v>
      </c>
      <c r="AP13" s="13">
        <f t="shared" si="7"/>
        <v>6035</v>
      </c>
      <c r="AQ13" s="13">
        <f t="shared" si="8"/>
        <v>1992</v>
      </c>
      <c r="AR13" s="24">
        <v>0</v>
      </c>
      <c r="AS13" s="17">
        <f t="shared" si="9"/>
        <v>0</v>
      </c>
      <c r="AT13" s="17">
        <f t="shared" si="10"/>
        <v>0</v>
      </c>
      <c r="AU13" s="18">
        <f t="shared" si="11"/>
        <v>29.9</v>
      </c>
      <c r="AV13" s="17">
        <f t="shared" si="12"/>
        <v>9.87</v>
      </c>
    </row>
    <row r="14" spans="1:48">
      <c r="A14" s="6">
        <v>43658</v>
      </c>
      <c r="B14" s="5" t="s">
        <v>50</v>
      </c>
      <c r="C14" s="4">
        <v>37160221</v>
      </c>
      <c r="D14" s="4">
        <v>24829335</v>
      </c>
      <c r="E14" s="4">
        <v>19980438</v>
      </c>
      <c r="F14" s="4">
        <v>19506256</v>
      </c>
      <c r="G14" s="4">
        <v>310478058</v>
      </c>
      <c r="H14" s="4">
        <v>106891638</v>
      </c>
      <c r="I14" s="4">
        <v>310478006</v>
      </c>
      <c r="J14" s="4">
        <v>106891632</v>
      </c>
      <c r="K14" s="4"/>
      <c r="L14" s="5">
        <v>4299.8</v>
      </c>
      <c r="M14" s="5">
        <v>4444.58</v>
      </c>
      <c r="N14" s="5">
        <v>74126.04</v>
      </c>
      <c r="O14" s="5"/>
      <c r="P14" s="5"/>
      <c r="Q14" s="5"/>
      <c r="R14" s="5"/>
      <c r="S14" s="10">
        <v>29.5</v>
      </c>
      <c r="T14" s="4" t="s">
        <v>46</v>
      </c>
      <c r="U14" s="4">
        <v>520</v>
      </c>
      <c r="V14" s="4">
        <v>540</v>
      </c>
      <c r="W14" s="4">
        <v>9505</v>
      </c>
      <c r="X14" s="4">
        <v>5757</v>
      </c>
      <c r="Y14" s="5">
        <v>4.94</v>
      </c>
      <c r="Z14" s="5">
        <v>2.75</v>
      </c>
      <c r="AA14" s="4">
        <v>1230</v>
      </c>
      <c r="AB14" s="4"/>
      <c r="AC14" s="13">
        <f t="shared" ref="AC14:AH14" si="23">IF(OR(C15=""),"",C15-C14)</f>
        <v>49200</v>
      </c>
      <c r="AD14" s="13">
        <f t="shared" si="23"/>
        <v>57863</v>
      </c>
      <c r="AE14" s="13">
        <f t="shared" si="23"/>
        <v>53864</v>
      </c>
      <c r="AF14" s="13">
        <f t="shared" si="23"/>
        <v>55773</v>
      </c>
      <c r="AG14" s="13">
        <f t="shared" si="23"/>
        <v>208454</v>
      </c>
      <c r="AH14" s="13">
        <f t="shared" si="23"/>
        <v>5445</v>
      </c>
      <c r="AI14" s="13">
        <f t="shared" si="1"/>
        <v>8246</v>
      </c>
      <c r="AJ14" s="13">
        <f t="shared" si="2"/>
        <v>208254</v>
      </c>
      <c r="AK14" s="13">
        <f t="shared" si="3"/>
        <v>5440</v>
      </c>
      <c r="AL14" s="13">
        <f t="shared" si="4"/>
        <v>202814</v>
      </c>
      <c r="AM14" s="13">
        <v>3200</v>
      </c>
      <c r="AN14" s="13">
        <f t="shared" si="5"/>
        <v>0</v>
      </c>
      <c r="AO14" s="13">
        <f t="shared" si="6"/>
        <v>0</v>
      </c>
      <c r="AP14" s="13">
        <f t="shared" si="7"/>
        <v>3692</v>
      </c>
      <c r="AQ14" s="13">
        <f t="shared" si="8"/>
        <v>1296</v>
      </c>
      <c r="AR14" s="24">
        <v>2096</v>
      </c>
      <c r="AS14" s="17">
        <f t="shared" si="9"/>
        <v>0</v>
      </c>
      <c r="AT14" s="17">
        <f t="shared" si="10"/>
        <v>0</v>
      </c>
      <c r="AU14" s="18">
        <f t="shared" si="11"/>
        <v>18.2</v>
      </c>
      <c r="AV14" s="17">
        <f t="shared" si="12"/>
        <v>6.39</v>
      </c>
    </row>
    <row r="15" spans="1:48">
      <c r="A15" s="6">
        <v>43659</v>
      </c>
      <c r="B15" s="5" t="s">
        <v>50</v>
      </c>
      <c r="C15" s="4">
        <v>37209421</v>
      </c>
      <c r="D15" s="4">
        <v>24887198</v>
      </c>
      <c r="E15" s="4">
        <v>20034302</v>
      </c>
      <c r="F15" s="4">
        <v>19562029</v>
      </c>
      <c r="G15" s="4">
        <v>310686512</v>
      </c>
      <c r="H15" s="4">
        <v>106897083</v>
      </c>
      <c r="I15" s="4">
        <v>310686260</v>
      </c>
      <c r="J15" s="4">
        <v>106897072</v>
      </c>
      <c r="K15" s="4"/>
      <c r="L15" s="5">
        <v>4299.8</v>
      </c>
      <c r="M15" s="5">
        <v>4444.58</v>
      </c>
      <c r="N15" s="5">
        <v>74126.04</v>
      </c>
      <c r="O15" s="5"/>
      <c r="P15" s="5"/>
      <c r="Q15" s="5"/>
      <c r="R15" s="5"/>
      <c r="S15" s="10">
        <v>30</v>
      </c>
      <c r="T15" s="4" t="s">
        <v>46</v>
      </c>
      <c r="U15" s="4">
        <v>370</v>
      </c>
      <c r="V15" s="4">
        <v>400</v>
      </c>
      <c r="W15" s="4">
        <v>9496</v>
      </c>
      <c r="X15" s="4">
        <v>8977</v>
      </c>
      <c r="Y15" s="5">
        <v>5.2</v>
      </c>
      <c r="Z15" s="5">
        <v>3.46</v>
      </c>
      <c r="AA15" s="4">
        <v>1440</v>
      </c>
      <c r="AB15" s="4"/>
      <c r="AC15" s="13">
        <f t="shared" ref="AC15:AH15" si="24">IF(OR(C16=""),"",C16-C15)</f>
        <v>48314</v>
      </c>
      <c r="AD15" s="13">
        <f t="shared" si="24"/>
        <v>58824</v>
      </c>
      <c r="AE15" s="13">
        <f t="shared" si="24"/>
        <v>55324</v>
      </c>
      <c r="AF15" s="13">
        <f t="shared" si="24"/>
        <v>55902</v>
      </c>
      <c r="AG15" s="13">
        <f t="shared" si="24"/>
        <v>210848</v>
      </c>
      <c r="AH15" s="13">
        <f t="shared" si="24"/>
        <v>5436</v>
      </c>
      <c r="AI15" s="13">
        <f t="shared" si="1"/>
        <v>7516</v>
      </c>
      <c r="AJ15" s="13">
        <f t="shared" si="2"/>
        <v>211536</v>
      </c>
      <c r="AK15" s="13">
        <f t="shared" si="3"/>
        <v>5456</v>
      </c>
      <c r="AL15" s="13">
        <f t="shared" si="4"/>
        <v>206080</v>
      </c>
      <c r="AM15" s="13">
        <v>3200</v>
      </c>
      <c r="AN15" s="13">
        <f t="shared" si="5"/>
        <v>0</v>
      </c>
      <c r="AO15" s="13">
        <f t="shared" si="6"/>
        <v>0</v>
      </c>
      <c r="AP15" s="13">
        <f t="shared" si="7"/>
        <v>2627</v>
      </c>
      <c r="AQ15" s="13">
        <f t="shared" si="8"/>
        <v>960</v>
      </c>
      <c r="AR15" s="24">
        <v>3599</v>
      </c>
      <c r="AS15" s="17">
        <f t="shared" si="9"/>
        <v>0</v>
      </c>
      <c r="AT15" s="17">
        <f t="shared" si="10"/>
        <v>0</v>
      </c>
      <c r="AU15" s="18">
        <f t="shared" si="11"/>
        <v>12.7</v>
      </c>
      <c r="AV15" s="17">
        <f t="shared" si="12"/>
        <v>4.66</v>
      </c>
    </row>
    <row r="16" spans="1:48">
      <c r="A16" s="6">
        <v>43660</v>
      </c>
      <c r="B16" s="5" t="s">
        <v>50</v>
      </c>
      <c r="C16" s="4">
        <v>37257735</v>
      </c>
      <c r="D16" s="4">
        <v>24946022</v>
      </c>
      <c r="E16" s="4">
        <v>20089626</v>
      </c>
      <c r="F16" s="4">
        <v>19617931</v>
      </c>
      <c r="G16" s="4">
        <v>310897360</v>
      </c>
      <c r="H16" s="4">
        <v>106902519</v>
      </c>
      <c r="I16" s="4">
        <v>310897796</v>
      </c>
      <c r="J16" s="4">
        <v>106902528</v>
      </c>
      <c r="K16" s="4"/>
      <c r="L16" s="5">
        <v>4299.8</v>
      </c>
      <c r="M16" s="5">
        <v>4444.58</v>
      </c>
      <c r="N16" s="5">
        <v>74126.04</v>
      </c>
      <c r="O16" s="5"/>
      <c r="P16" s="5"/>
      <c r="Q16" s="5"/>
      <c r="R16" s="5"/>
      <c r="S16" s="10">
        <v>31.9</v>
      </c>
      <c r="T16" s="4" t="s">
        <v>46</v>
      </c>
      <c r="U16" s="4">
        <v>400</v>
      </c>
      <c r="V16" s="4">
        <v>420</v>
      </c>
      <c r="W16" s="4">
        <v>9373</v>
      </c>
      <c r="X16" s="4">
        <v>8606</v>
      </c>
      <c r="Y16" s="5">
        <v>5.22</v>
      </c>
      <c r="Z16" s="5">
        <v>2.84</v>
      </c>
      <c r="AA16" s="4">
        <v>1230</v>
      </c>
      <c r="AB16" s="4"/>
      <c r="AC16" s="13">
        <f t="shared" ref="AC16:AH16" si="25">IF(OR(C17=""),"",C17-C16)</f>
        <v>46451</v>
      </c>
      <c r="AD16" s="13">
        <f t="shared" si="25"/>
        <v>58696</v>
      </c>
      <c r="AE16" s="13">
        <f t="shared" si="25"/>
        <v>55257</v>
      </c>
      <c r="AF16" s="13">
        <f t="shared" si="25"/>
        <v>59901</v>
      </c>
      <c r="AG16" s="13">
        <f t="shared" si="25"/>
        <v>213248</v>
      </c>
      <c r="AH16" s="13">
        <f t="shared" si="25"/>
        <v>5470</v>
      </c>
      <c r="AI16" s="13">
        <f t="shared" si="1"/>
        <v>7057</v>
      </c>
      <c r="AJ16" s="13">
        <f t="shared" si="2"/>
        <v>212566</v>
      </c>
      <c r="AK16" s="13">
        <f t="shared" si="3"/>
        <v>5456</v>
      </c>
      <c r="AL16" s="13">
        <f t="shared" si="4"/>
        <v>207110</v>
      </c>
      <c r="AM16" s="13">
        <v>3300</v>
      </c>
      <c r="AN16" s="13">
        <f t="shared" si="5"/>
        <v>0</v>
      </c>
      <c r="AO16" s="13">
        <f t="shared" si="6"/>
        <v>0</v>
      </c>
      <c r="AP16" s="13">
        <f t="shared" si="7"/>
        <v>2840</v>
      </c>
      <c r="AQ16" s="13">
        <f t="shared" si="8"/>
        <v>1008</v>
      </c>
      <c r="AR16" s="24">
        <v>2322</v>
      </c>
      <c r="AS16" s="17">
        <f t="shared" si="9"/>
        <v>0</v>
      </c>
      <c r="AT16" s="17">
        <f t="shared" si="10"/>
        <v>0</v>
      </c>
      <c r="AU16" s="18">
        <f t="shared" si="11"/>
        <v>13.7</v>
      </c>
      <c r="AV16" s="17">
        <f t="shared" si="12"/>
        <v>4.87</v>
      </c>
    </row>
    <row r="17" spans="1:48">
      <c r="A17" s="6">
        <v>43661</v>
      </c>
      <c r="B17" s="5" t="s">
        <v>50</v>
      </c>
      <c r="C17" s="4">
        <v>37304186</v>
      </c>
      <c r="D17" s="4">
        <v>25004718</v>
      </c>
      <c r="E17" s="4">
        <v>20144883</v>
      </c>
      <c r="F17" s="4">
        <v>19677832</v>
      </c>
      <c r="G17" s="4">
        <v>311110608</v>
      </c>
      <c r="H17" s="4">
        <v>106907989</v>
      </c>
      <c r="I17" s="4">
        <v>311110362</v>
      </c>
      <c r="J17" s="4">
        <v>106907984</v>
      </c>
      <c r="K17" s="4"/>
      <c r="L17" s="5">
        <v>4299.8</v>
      </c>
      <c r="M17" s="5">
        <v>4444.58</v>
      </c>
      <c r="N17" s="5">
        <v>74126.04</v>
      </c>
      <c r="O17" s="5"/>
      <c r="P17" s="5"/>
      <c r="Q17" s="5"/>
      <c r="R17" s="5"/>
      <c r="S17" s="10">
        <v>29.8</v>
      </c>
      <c r="T17" s="4" t="s">
        <v>54</v>
      </c>
      <c r="U17" s="4">
        <v>300</v>
      </c>
      <c r="V17" s="4">
        <v>320</v>
      </c>
      <c r="W17" s="4">
        <v>9454</v>
      </c>
      <c r="X17" s="4">
        <v>8627</v>
      </c>
      <c r="Y17" s="5">
        <v>6.24</v>
      </c>
      <c r="Z17" s="5">
        <v>3.49</v>
      </c>
      <c r="AA17" s="4">
        <v>1440</v>
      </c>
      <c r="AB17" s="4"/>
      <c r="AC17" s="13">
        <f t="shared" ref="AC17:AH17" si="26">IF(OR(C18=""),"",C18-C17)</f>
        <v>46592</v>
      </c>
      <c r="AD17" s="13">
        <f t="shared" si="26"/>
        <v>58139</v>
      </c>
      <c r="AE17" s="13">
        <f t="shared" si="26"/>
        <v>56810</v>
      </c>
      <c r="AF17" s="13">
        <f t="shared" si="26"/>
        <v>59817</v>
      </c>
      <c r="AG17" s="13">
        <f t="shared" si="26"/>
        <v>211850</v>
      </c>
      <c r="AH17" s="13">
        <f t="shared" si="26"/>
        <v>5432</v>
      </c>
      <c r="AI17" s="13">
        <f t="shared" si="1"/>
        <v>9508</v>
      </c>
      <c r="AJ17" s="13">
        <f t="shared" si="2"/>
        <v>212431</v>
      </c>
      <c r="AK17" s="13">
        <f t="shared" si="3"/>
        <v>5456</v>
      </c>
      <c r="AL17" s="13">
        <f t="shared" si="4"/>
        <v>206975</v>
      </c>
      <c r="AM17" s="13">
        <v>3200</v>
      </c>
      <c r="AN17" s="13">
        <f t="shared" si="5"/>
        <v>0</v>
      </c>
      <c r="AO17" s="13">
        <f t="shared" si="6"/>
        <v>0</v>
      </c>
      <c r="AP17" s="13">
        <f t="shared" si="7"/>
        <v>2130</v>
      </c>
      <c r="AQ17" s="13">
        <f t="shared" si="8"/>
        <v>768</v>
      </c>
      <c r="AR17" s="24">
        <v>2180</v>
      </c>
      <c r="AS17" s="17">
        <f t="shared" si="9"/>
        <v>0</v>
      </c>
      <c r="AT17" s="17">
        <f t="shared" si="10"/>
        <v>0</v>
      </c>
      <c r="AU17" s="18">
        <f t="shared" si="11"/>
        <v>10.3</v>
      </c>
      <c r="AV17" s="17">
        <f t="shared" si="12"/>
        <v>3.71</v>
      </c>
    </row>
    <row r="18" spans="1:48">
      <c r="A18" s="6">
        <v>43662</v>
      </c>
      <c r="B18" s="5" t="s">
        <v>45</v>
      </c>
      <c r="C18" s="4">
        <v>37350778</v>
      </c>
      <c r="D18" s="4">
        <v>25062857</v>
      </c>
      <c r="E18" s="4">
        <v>20201693</v>
      </c>
      <c r="F18" s="4">
        <v>19737649</v>
      </c>
      <c r="G18" s="4">
        <v>311322458</v>
      </c>
      <c r="H18" s="4">
        <v>106913421</v>
      </c>
      <c r="I18" s="4">
        <v>311322793</v>
      </c>
      <c r="J18" s="4">
        <v>106913440</v>
      </c>
      <c r="K18" s="4"/>
      <c r="L18" s="5">
        <v>4299.8</v>
      </c>
      <c r="M18" s="5">
        <v>4444.58</v>
      </c>
      <c r="N18" s="5">
        <v>74126.04</v>
      </c>
      <c r="O18" s="5"/>
      <c r="P18" s="5"/>
      <c r="Q18" s="5"/>
      <c r="R18" s="5"/>
      <c r="S18" s="10">
        <v>29.5</v>
      </c>
      <c r="T18" s="4" t="s">
        <v>54</v>
      </c>
      <c r="U18" s="4">
        <v>320</v>
      </c>
      <c r="V18" s="4">
        <v>340</v>
      </c>
      <c r="W18" s="4">
        <v>9336</v>
      </c>
      <c r="X18" s="4">
        <v>8662</v>
      </c>
      <c r="Y18" s="5">
        <v>6.23</v>
      </c>
      <c r="Z18" s="5">
        <v>4</v>
      </c>
      <c r="AA18" s="4">
        <v>1440</v>
      </c>
      <c r="AB18" s="4"/>
      <c r="AC18" s="13">
        <f t="shared" ref="AC18:AH18" si="27">IF(OR(C19=""),"",C19-C18)</f>
        <v>46300</v>
      </c>
      <c r="AD18" s="13">
        <f t="shared" si="27"/>
        <v>57339</v>
      </c>
      <c r="AE18" s="13">
        <f t="shared" si="27"/>
        <v>55859</v>
      </c>
      <c r="AF18" s="13">
        <f t="shared" si="27"/>
        <v>58827</v>
      </c>
      <c r="AG18" s="13">
        <f t="shared" si="27"/>
        <v>214239</v>
      </c>
      <c r="AH18" s="13">
        <f t="shared" si="27"/>
        <v>5491</v>
      </c>
      <c r="AI18" s="13">
        <f t="shared" si="1"/>
        <v>4086</v>
      </c>
      <c r="AJ18" s="13">
        <f t="shared" si="2"/>
        <v>213704</v>
      </c>
      <c r="AK18" s="13">
        <f t="shared" si="3"/>
        <v>5464</v>
      </c>
      <c r="AL18" s="13">
        <f t="shared" si="4"/>
        <v>208240</v>
      </c>
      <c r="AM18" s="13">
        <v>3200</v>
      </c>
      <c r="AN18" s="13">
        <f t="shared" si="5"/>
        <v>0</v>
      </c>
      <c r="AO18" s="13">
        <f t="shared" si="6"/>
        <v>0</v>
      </c>
      <c r="AP18" s="13">
        <f t="shared" si="7"/>
        <v>2272</v>
      </c>
      <c r="AQ18" s="13">
        <f t="shared" si="8"/>
        <v>816</v>
      </c>
      <c r="AR18" s="24">
        <v>3100</v>
      </c>
      <c r="AS18" s="17">
        <f t="shared" si="9"/>
        <v>0</v>
      </c>
      <c r="AT18" s="17">
        <f t="shared" si="10"/>
        <v>0</v>
      </c>
      <c r="AU18" s="18">
        <f t="shared" si="11"/>
        <v>10.9</v>
      </c>
      <c r="AV18" s="17">
        <f t="shared" si="12"/>
        <v>3.92</v>
      </c>
    </row>
    <row r="19" spans="1:48">
      <c r="A19" s="6">
        <v>43663</v>
      </c>
      <c r="B19" s="5" t="s">
        <v>58</v>
      </c>
      <c r="C19" s="4">
        <v>37397078</v>
      </c>
      <c r="D19" s="4">
        <v>25120196</v>
      </c>
      <c r="E19" s="4">
        <v>20257552</v>
      </c>
      <c r="F19" s="4">
        <v>19796476</v>
      </c>
      <c r="G19" s="4">
        <v>311536697</v>
      </c>
      <c r="H19" s="4">
        <v>106918912</v>
      </c>
      <c r="I19" s="4">
        <v>311536497</v>
      </c>
      <c r="J19" s="4">
        <v>106918904</v>
      </c>
      <c r="K19" s="4"/>
      <c r="L19" s="5">
        <v>4299.8</v>
      </c>
      <c r="M19" s="5">
        <v>4444.58</v>
      </c>
      <c r="N19" s="5">
        <v>74126.04</v>
      </c>
      <c r="O19" s="5"/>
      <c r="P19" s="5"/>
      <c r="Q19" s="5"/>
      <c r="R19" s="5"/>
      <c r="S19" s="10">
        <v>31</v>
      </c>
      <c r="T19" s="4" t="s">
        <v>54</v>
      </c>
      <c r="U19" s="4">
        <v>430</v>
      </c>
      <c r="V19" s="4">
        <v>450</v>
      </c>
      <c r="W19" s="4">
        <v>9541</v>
      </c>
      <c r="X19" s="4">
        <v>8912</v>
      </c>
      <c r="Y19" s="5">
        <v>7.6</v>
      </c>
      <c r="Z19" s="5">
        <v>3.67</v>
      </c>
      <c r="AA19" s="4">
        <v>1440</v>
      </c>
      <c r="AB19" s="4"/>
      <c r="AC19" s="13">
        <f t="shared" ref="AC19:AH19" si="28">IF(OR(C20=""),"",C20-C19)</f>
        <v>46234</v>
      </c>
      <c r="AD19" s="13">
        <f t="shared" si="28"/>
        <v>57629</v>
      </c>
      <c r="AE19" s="13">
        <f t="shared" si="28"/>
        <v>57021</v>
      </c>
      <c r="AF19" s="13">
        <f t="shared" si="28"/>
        <v>59521</v>
      </c>
      <c r="AG19" s="13">
        <f t="shared" si="28"/>
        <v>213971</v>
      </c>
      <c r="AH19" s="13">
        <f t="shared" si="28"/>
        <v>5445</v>
      </c>
      <c r="AI19" s="13">
        <f t="shared" si="1"/>
        <v>6434</v>
      </c>
      <c r="AJ19" s="13">
        <f t="shared" si="2"/>
        <v>214736</v>
      </c>
      <c r="AK19" s="13">
        <f t="shared" si="3"/>
        <v>5432</v>
      </c>
      <c r="AL19" s="13">
        <f t="shared" si="4"/>
        <v>209304</v>
      </c>
      <c r="AM19" s="13">
        <v>3200</v>
      </c>
      <c r="AN19" s="13">
        <f t="shared" si="5"/>
        <v>0</v>
      </c>
      <c r="AO19" s="13">
        <f t="shared" si="6"/>
        <v>0</v>
      </c>
      <c r="AP19" s="13">
        <f t="shared" si="7"/>
        <v>3053</v>
      </c>
      <c r="AQ19" s="13">
        <f t="shared" si="8"/>
        <v>1080</v>
      </c>
      <c r="AR19" s="24">
        <v>2084</v>
      </c>
      <c r="AS19" s="17">
        <f t="shared" si="9"/>
        <v>0</v>
      </c>
      <c r="AT19" s="17">
        <f t="shared" si="10"/>
        <v>0</v>
      </c>
      <c r="AU19" s="18">
        <f t="shared" si="11"/>
        <v>14.6</v>
      </c>
      <c r="AV19" s="17">
        <f t="shared" si="12"/>
        <v>5.16</v>
      </c>
    </row>
    <row r="20" spans="1:48">
      <c r="A20" s="6">
        <v>43664</v>
      </c>
      <c r="B20" s="5" t="s">
        <v>50</v>
      </c>
      <c r="C20" s="4">
        <v>37443312</v>
      </c>
      <c r="D20" s="4">
        <v>25177825</v>
      </c>
      <c r="E20" s="4">
        <v>20314573</v>
      </c>
      <c r="F20" s="4">
        <v>19855997</v>
      </c>
      <c r="G20" s="4">
        <v>311750668</v>
      </c>
      <c r="H20" s="4">
        <v>106924357</v>
      </c>
      <c r="I20" s="4">
        <v>311751233</v>
      </c>
      <c r="J20" s="4">
        <v>106924336</v>
      </c>
      <c r="K20" s="4"/>
      <c r="L20" s="5">
        <v>4299.8</v>
      </c>
      <c r="M20" s="5">
        <v>4444.58</v>
      </c>
      <c r="N20" s="5">
        <v>74126.04</v>
      </c>
      <c r="O20" s="5">
        <v>1507.8</v>
      </c>
      <c r="P20" s="5">
        <v>1489</v>
      </c>
      <c r="Q20" s="5"/>
      <c r="R20" s="5"/>
      <c r="S20" s="10">
        <v>30.4</v>
      </c>
      <c r="T20" s="4" t="s">
        <v>54</v>
      </c>
      <c r="U20" s="4">
        <v>790</v>
      </c>
      <c r="V20" s="4">
        <v>780</v>
      </c>
      <c r="W20" s="4">
        <v>9425</v>
      </c>
      <c r="X20" s="4">
        <v>8121</v>
      </c>
      <c r="Y20" s="5">
        <v>6.9</v>
      </c>
      <c r="Z20" s="5">
        <v>5.26</v>
      </c>
      <c r="AA20" s="4">
        <v>1440</v>
      </c>
      <c r="AB20" s="4"/>
      <c r="AC20" s="13">
        <f t="shared" ref="AC20:AH20" si="29">IF(OR(C21=""),"",C21-C20)</f>
        <v>46453</v>
      </c>
      <c r="AD20" s="13">
        <f t="shared" si="29"/>
        <v>56546</v>
      </c>
      <c r="AE20" s="13">
        <f t="shared" si="29"/>
        <v>56679</v>
      </c>
      <c r="AF20" s="13">
        <f t="shared" si="29"/>
        <v>58965</v>
      </c>
      <c r="AG20" s="13">
        <f t="shared" si="29"/>
        <v>212263</v>
      </c>
      <c r="AH20" s="13">
        <f t="shared" si="29"/>
        <v>5482</v>
      </c>
      <c r="AI20" s="13">
        <f t="shared" si="1"/>
        <v>6380</v>
      </c>
      <c r="AJ20" s="13">
        <f t="shared" si="2"/>
        <v>211380</v>
      </c>
      <c r="AK20" s="13">
        <f t="shared" si="3"/>
        <v>5504</v>
      </c>
      <c r="AL20" s="13">
        <f t="shared" si="4"/>
        <v>205876</v>
      </c>
      <c r="AM20" s="13">
        <v>3200</v>
      </c>
      <c r="AN20" s="13">
        <f t="shared" si="5"/>
        <v>0</v>
      </c>
      <c r="AO20" s="13">
        <f t="shared" si="6"/>
        <v>0</v>
      </c>
      <c r="AP20" s="13">
        <f t="shared" si="7"/>
        <v>5609</v>
      </c>
      <c r="AQ20" s="13">
        <f t="shared" si="8"/>
        <v>1872</v>
      </c>
      <c r="AR20" s="24">
        <v>1000</v>
      </c>
      <c r="AS20" s="17">
        <f t="shared" si="9"/>
        <v>0</v>
      </c>
      <c r="AT20" s="17">
        <f t="shared" si="10"/>
        <v>0</v>
      </c>
      <c r="AU20" s="18">
        <f t="shared" si="11"/>
        <v>27.2</v>
      </c>
      <c r="AV20" s="17">
        <f t="shared" si="12"/>
        <v>9.09</v>
      </c>
    </row>
    <row r="21" spans="1:48">
      <c r="A21" s="6">
        <v>43665</v>
      </c>
      <c r="B21" s="5" t="s">
        <v>50</v>
      </c>
      <c r="C21" s="4">
        <v>37489765</v>
      </c>
      <c r="D21" s="4">
        <v>25234371</v>
      </c>
      <c r="E21" s="4">
        <v>20371252</v>
      </c>
      <c r="F21" s="4">
        <v>19914962</v>
      </c>
      <c r="G21" s="4">
        <v>311962931</v>
      </c>
      <c r="H21" s="4">
        <v>106929839</v>
      </c>
      <c r="I21" s="4">
        <v>311962613</v>
      </c>
      <c r="J21" s="4">
        <v>106929840</v>
      </c>
      <c r="K21" s="4"/>
      <c r="L21" s="5">
        <v>4299.8</v>
      </c>
      <c r="M21" s="5">
        <v>4444.58</v>
      </c>
      <c r="N21" s="5">
        <v>74126.04</v>
      </c>
      <c r="O21" s="5">
        <v>1509.1</v>
      </c>
      <c r="P21" s="5">
        <v>1489</v>
      </c>
      <c r="Q21" s="5"/>
      <c r="R21" s="5"/>
      <c r="S21" s="10">
        <v>30.6</v>
      </c>
      <c r="T21" s="4" t="s">
        <v>46</v>
      </c>
      <c r="U21" s="4">
        <v>740</v>
      </c>
      <c r="V21" s="4">
        <v>750</v>
      </c>
      <c r="W21" s="4">
        <v>9536</v>
      </c>
      <c r="X21" s="4">
        <v>7522</v>
      </c>
      <c r="Y21" s="5">
        <v>6.48</v>
      </c>
      <c r="Z21" s="5">
        <v>4.86</v>
      </c>
      <c r="AA21" s="4">
        <v>1440</v>
      </c>
      <c r="AB21" s="4"/>
      <c r="AC21" s="13">
        <f t="shared" ref="AC21:AH21" si="30">IF(OR(C22=""),"",C22-C21)</f>
        <v>45720</v>
      </c>
      <c r="AD21" s="13">
        <f t="shared" si="30"/>
        <v>55808</v>
      </c>
      <c r="AE21" s="13">
        <f t="shared" si="30"/>
        <v>56184</v>
      </c>
      <c r="AF21" s="13">
        <f t="shared" si="30"/>
        <v>58214</v>
      </c>
      <c r="AG21" s="13">
        <f t="shared" si="30"/>
        <v>209268</v>
      </c>
      <c r="AH21" s="13">
        <f t="shared" si="30"/>
        <v>5475</v>
      </c>
      <c r="AI21" s="13">
        <f t="shared" si="1"/>
        <v>6658</v>
      </c>
      <c r="AJ21" s="13">
        <f t="shared" si="2"/>
        <v>209626</v>
      </c>
      <c r="AK21" s="13">
        <f t="shared" si="3"/>
        <v>5472</v>
      </c>
      <c r="AL21" s="13">
        <f t="shared" si="4"/>
        <v>204154</v>
      </c>
      <c r="AM21" s="13">
        <v>3200</v>
      </c>
      <c r="AN21" s="13">
        <f t="shared" si="5"/>
        <v>0</v>
      </c>
      <c r="AO21" s="13">
        <f t="shared" si="6"/>
        <v>0</v>
      </c>
      <c r="AP21" s="13">
        <f t="shared" si="7"/>
        <v>5254</v>
      </c>
      <c r="AQ21" s="13">
        <f t="shared" si="8"/>
        <v>1800</v>
      </c>
      <c r="AR21" s="24">
        <f>IF(O22=0,"",(O22+P22-O21-P21)*1000/2)</f>
        <v>200.000000000045</v>
      </c>
      <c r="AS21" s="17">
        <f t="shared" si="9"/>
        <v>0</v>
      </c>
      <c r="AT21" s="17">
        <f t="shared" si="10"/>
        <v>0</v>
      </c>
      <c r="AU21" s="18">
        <f t="shared" si="11"/>
        <v>25.7</v>
      </c>
      <c r="AV21" s="17">
        <f t="shared" si="12"/>
        <v>8.82</v>
      </c>
    </row>
    <row r="22" spans="1:48">
      <c r="A22" s="6">
        <v>43666</v>
      </c>
      <c r="B22" s="5" t="s">
        <v>50</v>
      </c>
      <c r="C22" s="4">
        <v>37535485</v>
      </c>
      <c r="D22" s="4">
        <v>25290179</v>
      </c>
      <c r="E22" s="4">
        <v>20427436</v>
      </c>
      <c r="F22" s="4">
        <v>19973176</v>
      </c>
      <c r="G22" s="4">
        <v>312172199</v>
      </c>
      <c r="H22" s="4">
        <v>106935314</v>
      </c>
      <c r="I22" s="4">
        <v>312172239</v>
      </c>
      <c r="J22" s="4">
        <v>106935312</v>
      </c>
      <c r="K22" s="4"/>
      <c r="L22" s="5">
        <v>4299.8</v>
      </c>
      <c r="M22" s="5">
        <v>4444.58</v>
      </c>
      <c r="N22" s="5">
        <v>74126.04</v>
      </c>
      <c r="O22" s="5">
        <v>1509.5</v>
      </c>
      <c r="P22" s="5">
        <v>1489</v>
      </c>
      <c r="Q22" s="5"/>
      <c r="R22" s="5"/>
      <c r="S22" s="10">
        <v>30.5</v>
      </c>
      <c r="T22" s="4" t="s">
        <v>46</v>
      </c>
      <c r="U22" s="4">
        <v>700</v>
      </c>
      <c r="V22" s="4">
        <v>720</v>
      </c>
      <c r="W22" s="4">
        <v>9468</v>
      </c>
      <c r="X22" s="4">
        <v>8025</v>
      </c>
      <c r="Y22" s="5">
        <v>6.36</v>
      </c>
      <c r="Z22" s="5">
        <v>4.37</v>
      </c>
      <c r="AA22" s="4">
        <v>1440</v>
      </c>
      <c r="AB22" s="4"/>
      <c r="AC22" s="13">
        <f t="shared" ref="AC22:AH22" si="31">IF(OR(C23=""),"",C23-C22)</f>
        <v>45431</v>
      </c>
      <c r="AD22" s="13">
        <f t="shared" si="31"/>
        <v>54566</v>
      </c>
      <c r="AE22" s="13">
        <f t="shared" si="31"/>
        <v>55452</v>
      </c>
      <c r="AF22" s="13">
        <f t="shared" si="31"/>
        <v>57611</v>
      </c>
      <c r="AG22" s="13">
        <f t="shared" si="31"/>
        <v>206569</v>
      </c>
      <c r="AH22" s="13">
        <f t="shared" si="31"/>
        <v>5469</v>
      </c>
      <c r="AI22" s="13">
        <f t="shared" si="1"/>
        <v>6491</v>
      </c>
      <c r="AJ22" s="13">
        <f t="shared" si="2"/>
        <v>206518</v>
      </c>
      <c r="AK22" s="13">
        <f t="shared" si="3"/>
        <v>5472</v>
      </c>
      <c r="AL22" s="13">
        <f t="shared" si="4"/>
        <v>201046</v>
      </c>
      <c r="AM22" s="13">
        <v>3000</v>
      </c>
      <c r="AN22" s="13">
        <f t="shared" si="5"/>
        <v>0</v>
      </c>
      <c r="AO22" s="13">
        <f t="shared" si="6"/>
        <v>0</v>
      </c>
      <c r="AP22" s="13">
        <f t="shared" si="7"/>
        <v>4970</v>
      </c>
      <c r="AQ22" s="13">
        <f t="shared" si="8"/>
        <v>1728</v>
      </c>
      <c r="AR22" s="24">
        <f t="shared" ref="AR22:AR33" si="32">IF(O23=0,"",(O23+P23-O22-P22)*1000/2)</f>
        <v>349.999999999909</v>
      </c>
      <c r="AS22" s="17">
        <f t="shared" si="9"/>
        <v>0</v>
      </c>
      <c r="AT22" s="17">
        <f t="shared" si="10"/>
        <v>0</v>
      </c>
      <c r="AU22" s="18">
        <f t="shared" si="11"/>
        <v>24.7</v>
      </c>
      <c r="AV22" s="17">
        <f t="shared" si="12"/>
        <v>8.6</v>
      </c>
    </row>
    <row r="23" spans="1:48">
      <c r="A23" s="6">
        <v>43667</v>
      </c>
      <c r="B23" s="5" t="s">
        <v>50</v>
      </c>
      <c r="C23" s="4">
        <v>37580916</v>
      </c>
      <c r="D23" s="4">
        <v>25344745</v>
      </c>
      <c r="E23" s="4">
        <v>20482888</v>
      </c>
      <c r="F23" s="4">
        <v>20030787</v>
      </c>
      <c r="G23" s="4">
        <v>312378768</v>
      </c>
      <c r="H23" s="4">
        <v>106940783</v>
      </c>
      <c r="I23" s="4">
        <v>312378757</v>
      </c>
      <c r="J23" s="4">
        <v>106940784</v>
      </c>
      <c r="K23" s="4"/>
      <c r="L23" s="5">
        <v>4299.8</v>
      </c>
      <c r="M23" s="5">
        <v>4444.58</v>
      </c>
      <c r="N23" s="5">
        <v>74126.04</v>
      </c>
      <c r="O23" s="5">
        <v>1510.2</v>
      </c>
      <c r="P23" s="5">
        <v>1489</v>
      </c>
      <c r="Q23" s="5"/>
      <c r="R23" s="5"/>
      <c r="S23" s="10">
        <v>30.1</v>
      </c>
      <c r="T23" s="4" t="s">
        <v>52</v>
      </c>
      <c r="U23" s="4">
        <v>500</v>
      </c>
      <c r="V23" s="4">
        <v>510</v>
      </c>
      <c r="W23" s="4">
        <v>9297</v>
      </c>
      <c r="X23" s="4">
        <v>8052</v>
      </c>
      <c r="Y23" s="5">
        <v>6.04</v>
      </c>
      <c r="Z23" s="5">
        <v>4.09</v>
      </c>
      <c r="AA23" s="4">
        <v>1440</v>
      </c>
      <c r="AB23" s="4"/>
      <c r="AC23" s="13">
        <f t="shared" ref="AC23:AH23" si="33">IF(OR(C24=""),"",C24-C23)</f>
        <v>47018</v>
      </c>
      <c r="AD23" s="13">
        <f t="shared" si="33"/>
        <v>57336</v>
      </c>
      <c r="AE23" s="13">
        <f t="shared" si="33"/>
        <v>56830</v>
      </c>
      <c r="AF23" s="13">
        <f t="shared" si="33"/>
        <v>59370</v>
      </c>
      <c r="AG23" s="13">
        <f t="shared" si="33"/>
        <v>209711</v>
      </c>
      <c r="AH23" s="13">
        <f t="shared" si="33"/>
        <v>5475</v>
      </c>
      <c r="AI23" s="13">
        <f t="shared" si="1"/>
        <v>10843</v>
      </c>
      <c r="AJ23" s="13">
        <f t="shared" si="2"/>
        <v>209852</v>
      </c>
      <c r="AK23" s="13">
        <f t="shared" si="3"/>
        <v>5472</v>
      </c>
      <c r="AL23" s="13">
        <f t="shared" si="4"/>
        <v>204380</v>
      </c>
      <c r="AM23" s="13">
        <v>3200</v>
      </c>
      <c r="AN23" s="13">
        <f t="shared" si="5"/>
        <v>6828</v>
      </c>
      <c r="AO23" s="13">
        <f t="shared" si="6"/>
        <v>8</v>
      </c>
      <c r="AP23" s="13">
        <f t="shared" si="7"/>
        <v>3550</v>
      </c>
      <c r="AQ23" s="13">
        <f t="shared" si="8"/>
        <v>1224</v>
      </c>
      <c r="AR23" s="24">
        <f t="shared" si="32"/>
        <v>0</v>
      </c>
      <c r="AS23" s="17">
        <f t="shared" si="9"/>
        <v>33.4</v>
      </c>
      <c r="AT23" s="17">
        <f t="shared" si="10"/>
        <v>0.04</v>
      </c>
      <c r="AU23" s="18">
        <f t="shared" si="11"/>
        <v>17.4</v>
      </c>
      <c r="AV23" s="17">
        <f t="shared" si="12"/>
        <v>5.99</v>
      </c>
    </row>
    <row r="24" spans="1:48">
      <c r="A24" s="6">
        <v>43668</v>
      </c>
      <c r="B24" s="5" t="s">
        <v>50</v>
      </c>
      <c r="C24" s="4">
        <v>37627934</v>
      </c>
      <c r="D24" s="4">
        <v>25402081</v>
      </c>
      <c r="E24" s="4">
        <v>20539718</v>
      </c>
      <c r="F24" s="4">
        <v>20090157</v>
      </c>
      <c r="G24" s="4">
        <v>312588479</v>
      </c>
      <c r="H24" s="4">
        <v>106946258</v>
      </c>
      <c r="I24" s="4">
        <v>312588609</v>
      </c>
      <c r="J24" s="4">
        <v>106946256</v>
      </c>
      <c r="K24" s="4"/>
      <c r="L24" s="5">
        <v>4299.8</v>
      </c>
      <c r="M24" s="5">
        <v>4450.27</v>
      </c>
      <c r="N24" s="5">
        <v>74130.19</v>
      </c>
      <c r="O24" s="5">
        <v>1510.2</v>
      </c>
      <c r="P24" s="5">
        <v>1489</v>
      </c>
      <c r="Q24" s="5"/>
      <c r="R24" s="5"/>
      <c r="S24" s="10">
        <v>30.5</v>
      </c>
      <c r="T24" s="4" t="s">
        <v>46</v>
      </c>
      <c r="U24" s="4">
        <v>340</v>
      </c>
      <c r="V24" s="4">
        <v>360</v>
      </c>
      <c r="W24" s="4">
        <v>9284</v>
      </c>
      <c r="X24" s="4">
        <v>2322</v>
      </c>
      <c r="Y24" s="5">
        <v>5.16</v>
      </c>
      <c r="Z24" s="5">
        <v>2.05</v>
      </c>
      <c r="AA24" s="4">
        <v>1174</v>
      </c>
      <c r="AB24" s="4"/>
      <c r="AC24" s="13">
        <f t="shared" ref="AC24:AH24" si="34">IF(OR(C25=""),"",C25-C24)</f>
        <v>44752</v>
      </c>
      <c r="AD24" s="13">
        <f t="shared" si="34"/>
        <v>55438</v>
      </c>
      <c r="AE24" s="13">
        <f t="shared" si="34"/>
        <v>54514</v>
      </c>
      <c r="AF24" s="13">
        <f t="shared" si="34"/>
        <v>56830</v>
      </c>
      <c r="AG24" s="13">
        <f t="shared" si="34"/>
        <v>208173</v>
      </c>
      <c r="AH24" s="13">
        <f t="shared" si="34"/>
        <v>5460</v>
      </c>
      <c r="AI24" s="13">
        <f t="shared" si="1"/>
        <v>3361</v>
      </c>
      <c r="AJ24" s="13">
        <f t="shared" si="2"/>
        <v>208372</v>
      </c>
      <c r="AK24" s="13">
        <f t="shared" si="3"/>
        <v>5488</v>
      </c>
      <c r="AL24" s="13">
        <f t="shared" si="4"/>
        <v>202884</v>
      </c>
      <c r="AM24" s="13">
        <v>3500</v>
      </c>
      <c r="AN24" s="13">
        <f t="shared" si="5"/>
        <v>5282</v>
      </c>
      <c r="AO24" s="13">
        <f t="shared" si="6"/>
        <v>16</v>
      </c>
      <c r="AP24" s="13">
        <f t="shared" si="7"/>
        <v>2414</v>
      </c>
      <c r="AQ24" s="13">
        <f t="shared" si="8"/>
        <v>864</v>
      </c>
      <c r="AR24" s="24">
        <f t="shared" si="32"/>
        <v>0</v>
      </c>
      <c r="AS24" s="17">
        <f t="shared" si="9"/>
        <v>26</v>
      </c>
      <c r="AT24" s="17">
        <f t="shared" si="10"/>
        <v>0.08</v>
      </c>
      <c r="AU24" s="18">
        <f t="shared" si="11"/>
        <v>11.9</v>
      </c>
      <c r="AV24" s="17">
        <f t="shared" si="12"/>
        <v>4.26</v>
      </c>
    </row>
    <row r="25" spans="1:48">
      <c r="A25" s="6">
        <v>43669</v>
      </c>
      <c r="B25" s="22" t="s">
        <v>55</v>
      </c>
      <c r="C25" s="4">
        <v>37672686</v>
      </c>
      <c r="D25" s="4">
        <v>25457519</v>
      </c>
      <c r="E25" s="4">
        <v>20594232</v>
      </c>
      <c r="F25" s="4">
        <v>20146987</v>
      </c>
      <c r="G25" s="4">
        <v>312796652</v>
      </c>
      <c r="H25" s="4">
        <v>106951718</v>
      </c>
      <c r="I25" s="4">
        <v>312796981</v>
      </c>
      <c r="J25" s="4">
        <v>106951744</v>
      </c>
      <c r="K25" s="4"/>
      <c r="L25" s="5">
        <v>4299.8</v>
      </c>
      <c r="M25" s="5">
        <v>4454.672</v>
      </c>
      <c r="N25" s="5">
        <v>74138.387</v>
      </c>
      <c r="O25" s="5">
        <v>1510.2</v>
      </c>
      <c r="P25" s="5">
        <v>1489</v>
      </c>
      <c r="Q25" s="5"/>
      <c r="R25" s="5"/>
      <c r="S25" s="10">
        <v>30</v>
      </c>
      <c r="T25" s="4" t="s">
        <v>46</v>
      </c>
      <c r="U25" s="4">
        <v>180</v>
      </c>
      <c r="V25" s="4">
        <v>200</v>
      </c>
      <c r="W25" s="4">
        <v>9267</v>
      </c>
      <c r="X25" s="4">
        <v>4886</v>
      </c>
      <c r="Y25" s="5">
        <v>5.25</v>
      </c>
      <c r="Z25" s="5">
        <v>2.45</v>
      </c>
      <c r="AA25" s="4">
        <v>1080</v>
      </c>
      <c r="AB25" s="4"/>
      <c r="AC25" s="13">
        <f t="shared" ref="AC25:AH25" si="35">IF(OR(C26=""),"",C26-C25)</f>
        <v>41923</v>
      </c>
      <c r="AD25" s="13">
        <f t="shared" si="35"/>
        <v>52474</v>
      </c>
      <c r="AE25" s="13">
        <f t="shared" si="35"/>
        <v>52095</v>
      </c>
      <c r="AF25" s="13">
        <f t="shared" si="35"/>
        <v>53786</v>
      </c>
      <c r="AG25" s="13">
        <f t="shared" si="35"/>
        <v>192217</v>
      </c>
      <c r="AH25" s="13">
        <f t="shared" si="35"/>
        <v>5468</v>
      </c>
      <c r="AI25" s="13">
        <f t="shared" si="1"/>
        <v>8061</v>
      </c>
      <c r="AJ25" s="13">
        <f t="shared" si="2"/>
        <v>192144</v>
      </c>
      <c r="AK25" s="13">
        <f t="shared" si="3"/>
        <v>5480</v>
      </c>
      <c r="AL25" s="13">
        <f t="shared" si="4"/>
        <v>186664</v>
      </c>
      <c r="AM25" s="13">
        <v>3000</v>
      </c>
      <c r="AN25" s="13">
        <f t="shared" si="5"/>
        <v>9358</v>
      </c>
      <c r="AO25" s="13">
        <f t="shared" si="6"/>
        <v>24</v>
      </c>
      <c r="AP25" s="13">
        <f t="shared" si="7"/>
        <v>1278</v>
      </c>
      <c r="AQ25" s="13">
        <f t="shared" si="8"/>
        <v>480</v>
      </c>
      <c r="AR25" s="24">
        <f t="shared" si="32"/>
        <v>0</v>
      </c>
      <c r="AS25" s="17">
        <f t="shared" si="9"/>
        <v>50.1</v>
      </c>
      <c r="AT25" s="17">
        <f t="shared" si="10"/>
        <v>0.13</v>
      </c>
      <c r="AU25" s="18">
        <f t="shared" si="11"/>
        <v>6.8</v>
      </c>
      <c r="AV25" s="17">
        <f t="shared" si="12"/>
        <v>2.57</v>
      </c>
    </row>
    <row r="26" spans="1:48">
      <c r="A26" s="6">
        <v>43670</v>
      </c>
      <c r="B26" s="5" t="s">
        <v>45</v>
      </c>
      <c r="C26" s="4">
        <v>37714609</v>
      </c>
      <c r="D26" s="4">
        <v>25509993</v>
      </c>
      <c r="E26" s="4">
        <v>20646327</v>
      </c>
      <c r="F26" s="4">
        <v>20200773</v>
      </c>
      <c r="G26" s="4">
        <v>312988869</v>
      </c>
      <c r="H26" s="4">
        <v>106957186</v>
      </c>
      <c r="I26" s="4">
        <v>312989125</v>
      </c>
      <c r="J26" s="4">
        <v>106957224</v>
      </c>
      <c r="K26" s="4"/>
      <c r="L26" s="5">
        <v>4299.8</v>
      </c>
      <c r="M26" s="5">
        <v>4462.47</v>
      </c>
      <c r="N26" s="5">
        <v>74150.24</v>
      </c>
      <c r="O26" s="5">
        <v>1510.2</v>
      </c>
      <c r="P26" s="5">
        <v>1489</v>
      </c>
      <c r="Q26" s="5"/>
      <c r="R26" s="5"/>
      <c r="S26" s="10">
        <v>30.1</v>
      </c>
      <c r="T26" s="4" t="s">
        <v>46</v>
      </c>
      <c r="U26" s="4">
        <v>440</v>
      </c>
      <c r="V26" s="4">
        <v>460</v>
      </c>
      <c r="W26" s="4">
        <v>8635</v>
      </c>
      <c r="X26" s="4">
        <v>3533</v>
      </c>
      <c r="Y26" s="5">
        <v>3.9</v>
      </c>
      <c r="Z26" s="5">
        <v>2.45</v>
      </c>
      <c r="AA26" s="4">
        <v>750</v>
      </c>
      <c r="AB26" s="4"/>
      <c r="AC26" s="13">
        <f t="shared" ref="AC26:AH26" si="36">IF(OR(C27=""),"",C27-C26)</f>
        <v>38618</v>
      </c>
      <c r="AD26" s="13">
        <f t="shared" si="36"/>
        <v>45085</v>
      </c>
      <c r="AE26" s="13">
        <f t="shared" si="36"/>
        <v>47807</v>
      </c>
      <c r="AF26" s="13">
        <f t="shared" si="36"/>
        <v>48245</v>
      </c>
      <c r="AG26" s="13">
        <f t="shared" si="36"/>
        <v>175432</v>
      </c>
      <c r="AH26" s="13">
        <f t="shared" si="36"/>
        <v>5529</v>
      </c>
      <c r="AI26" s="13">
        <f t="shared" si="1"/>
        <v>4323</v>
      </c>
      <c r="AJ26" s="13">
        <f t="shared" si="2"/>
        <v>175089</v>
      </c>
      <c r="AK26" s="13">
        <f t="shared" si="3"/>
        <v>5496</v>
      </c>
      <c r="AL26" s="13">
        <f t="shared" si="4"/>
        <v>169593</v>
      </c>
      <c r="AM26" s="13">
        <v>3200</v>
      </c>
      <c r="AN26" s="13">
        <f t="shared" si="5"/>
        <v>10008</v>
      </c>
      <c r="AO26" s="13">
        <f t="shared" si="6"/>
        <v>41</v>
      </c>
      <c r="AP26" s="13">
        <f t="shared" si="7"/>
        <v>3124</v>
      </c>
      <c r="AQ26" s="13">
        <f t="shared" si="8"/>
        <v>1104</v>
      </c>
      <c r="AR26" s="24">
        <f t="shared" si="32"/>
        <v>2399.99999999998</v>
      </c>
      <c r="AS26" s="17">
        <f t="shared" si="9"/>
        <v>59</v>
      </c>
      <c r="AT26" s="17">
        <f t="shared" si="10"/>
        <v>0.24</v>
      </c>
      <c r="AU26" s="18">
        <f t="shared" si="11"/>
        <v>18.4</v>
      </c>
      <c r="AV26" s="17">
        <f t="shared" si="12"/>
        <v>6.51</v>
      </c>
    </row>
    <row r="27" spans="1:48">
      <c r="A27" s="6">
        <v>43671</v>
      </c>
      <c r="B27" s="5" t="s">
        <v>50</v>
      </c>
      <c r="C27" s="4">
        <v>37753227</v>
      </c>
      <c r="D27" s="4">
        <v>25555078</v>
      </c>
      <c r="E27" s="4">
        <v>20694134</v>
      </c>
      <c r="F27" s="4">
        <v>20249018</v>
      </c>
      <c r="G27" s="4">
        <v>313164301</v>
      </c>
      <c r="H27" s="4">
        <v>106962715</v>
      </c>
      <c r="I27" s="4">
        <v>313164214</v>
      </c>
      <c r="J27" s="4">
        <v>106962720</v>
      </c>
      <c r="K27" s="4"/>
      <c r="L27" s="5">
        <v>4299.8</v>
      </c>
      <c r="M27" s="5">
        <v>4470.81</v>
      </c>
      <c r="N27" s="5">
        <v>74170.72</v>
      </c>
      <c r="O27" s="5">
        <v>1510.4</v>
      </c>
      <c r="P27" s="5">
        <v>1493.6</v>
      </c>
      <c r="Q27" s="5"/>
      <c r="R27" s="5"/>
      <c r="S27" s="10">
        <v>30</v>
      </c>
      <c r="T27" s="4" t="s">
        <v>46</v>
      </c>
      <c r="U27" s="4">
        <v>740</v>
      </c>
      <c r="V27" s="4">
        <v>750</v>
      </c>
      <c r="W27" s="4">
        <v>9367</v>
      </c>
      <c r="X27" s="4">
        <v>4228</v>
      </c>
      <c r="Y27" s="5">
        <v>5.86</v>
      </c>
      <c r="Z27" s="5">
        <v>2.69</v>
      </c>
      <c r="AA27" s="4">
        <v>1260</v>
      </c>
      <c r="AB27" s="4"/>
      <c r="AC27" s="13">
        <f t="shared" ref="AC27:AH27" si="37">IF(OR(C28=""),"",C28-C27)</f>
        <v>52947</v>
      </c>
      <c r="AD27" s="13">
        <f t="shared" si="37"/>
        <v>57916</v>
      </c>
      <c r="AE27" s="13">
        <f t="shared" si="37"/>
        <v>46493</v>
      </c>
      <c r="AF27" s="13">
        <f t="shared" si="37"/>
        <v>45319</v>
      </c>
      <c r="AG27" s="13">
        <f t="shared" si="37"/>
        <v>193412</v>
      </c>
      <c r="AH27" s="13">
        <f t="shared" si="37"/>
        <v>5469</v>
      </c>
      <c r="AI27" s="13">
        <f t="shared" si="1"/>
        <v>9263</v>
      </c>
      <c r="AJ27" s="13">
        <f t="shared" si="2"/>
        <v>194104</v>
      </c>
      <c r="AK27" s="13">
        <f t="shared" si="3"/>
        <v>5480</v>
      </c>
      <c r="AL27" s="13">
        <f t="shared" si="4"/>
        <v>188624</v>
      </c>
      <c r="AM27" s="13">
        <v>3200</v>
      </c>
      <c r="AN27" s="13">
        <f t="shared" si="5"/>
        <v>36</v>
      </c>
      <c r="AO27" s="13">
        <f t="shared" si="6"/>
        <v>0</v>
      </c>
      <c r="AP27" s="13">
        <f t="shared" si="7"/>
        <v>5254</v>
      </c>
      <c r="AQ27" s="13">
        <f t="shared" si="8"/>
        <v>1800</v>
      </c>
      <c r="AR27" s="24">
        <f t="shared" si="32"/>
        <v>4650.00000000009</v>
      </c>
      <c r="AS27" s="17">
        <f t="shared" si="9"/>
        <v>0.2</v>
      </c>
      <c r="AT27" s="17">
        <f t="shared" si="10"/>
        <v>0</v>
      </c>
      <c r="AU27" s="18">
        <f t="shared" si="11"/>
        <v>27.9</v>
      </c>
      <c r="AV27" s="17">
        <f t="shared" si="12"/>
        <v>9.54</v>
      </c>
    </row>
    <row r="28" spans="1:48">
      <c r="A28" s="6">
        <v>43672</v>
      </c>
      <c r="B28" s="5" t="s">
        <v>50</v>
      </c>
      <c r="C28" s="4">
        <v>37806174</v>
      </c>
      <c r="D28" s="4">
        <v>25612994</v>
      </c>
      <c r="E28" s="4">
        <v>20740627</v>
      </c>
      <c r="F28" s="4">
        <v>20294337</v>
      </c>
      <c r="G28" s="4">
        <v>313357713</v>
      </c>
      <c r="H28" s="4">
        <v>106968184</v>
      </c>
      <c r="I28" s="4">
        <v>313358318</v>
      </c>
      <c r="J28" s="1">
        <v>106968200</v>
      </c>
      <c r="K28" s="4"/>
      <c r="L28" s="5">
        <v>4299.8</v>
      </c>
      <c r="M28" s="5">
        <v>4470.84</v>
      </c>
      <c r="N28" s="5">
        <v>74170.91</v>
      </c>
      <c r="O28" s="5">
        <v>1515</v>
      </c>
      <c r="P28" s="5">
        <v>1498.3</v>
      </c>
      <c r="Q28" s="5"/>
      <c r="R28" s="5"/>
      <c r="S28" s="10">
        <v>30.8</v>
      </c>
      <c r="T28" s="4" t="s">
        <v>46</v>
      </c>
      <c r="U28" s="4">
        <v>610</v>
      </c>
      <c r="V28" s="4">
        <v>630</v>
      </c>
      <c r="W28" s="4">
        <v>9350</v>
      </c>
      <c r="X28" s="4">
        <v>7919</v>
      </c>
      <c r="Y28" s="5">
        <v>7.29</v>
      </c>
      <c r="Z28" s="5">
        <v>3.4</v>
      </c>
      <c r="AA28" s="4">
        <v>1440</v>
      </c>
      <c r="AB28" s="4"/>
      <c r="AC28" s="13">
        <f t="shared" ref="AC28:AH28" si="38">IF(OR(C29=""),"",C29-C28)</f>
        <v>49351</v>
      </c>
      <c r="AD28" s="13">
        <f t="shared" si="38"/>
        <v>59111</v>
      </c>
      <c r="AE28" s="13">
        <f t="shared" si="38"/>
        <v>54783</v>
      </c>
      <c r="AF28" s="13">
        <f t="shared" si="38"/>
        <v>56200</v>
      </c>
      <c r="AG28" s="13">
        <f t="shared" si="38"/>
        <v>213555</v>
      </c>
      <c r="AH28" s="13">
        <f t="shared" si="38"/>
        <v>5513</v>
      </c>
      <c r="AI28" s="13">
        <f t="shared" si="1"/>
        <v>5890</v>
      </c>
      <c r="AJ28" s="13">
        <f t="shared" si="2"/>
        <v>212534</v>
      </c>
      <c r="AK28" s="13">
        <f t="shared" si="3"/>
        <v>5488</v>
      </c>
      <c r="AL28" s="13">
        <f t="shared" si="4"/>
        <v>207046</v>
      </c>
      <c r="AM28" s="13">
        <v>3400</v>
      </c>
      <c r="AN28" s="13">
        <f t="shared" si="5"/>
        <v>0</v>
      </c>
      <c r="AO28" s="13">
        <f t="shared" si="6"/>
        <v>0</v>
      </c>
      <c r="AP28" s="13">
        <f t="shared" si="7"/>
        <v>4331</v>
      </c>
      <c r="AQ28" s="13">
        <f t="shared" si="8"/>
        <v>1512</v>
      </c>
      <c r="AR28" s="24">
        <f t="shared" si="32"/>
        <v>4699.99999999993</v>
      </c>
      <c r="AS28" s="17">
        <f t="shared" si="9"/>
        <v>0</v>
      </c>
      <c r="AT28" s="17">
        <f t="shared" si="10"/>
        <v>0</v>
      </c>
      <c r="AU28" s="18">
        <f t="shared" si="11"/>
        <v>20.9</v>
      </c>
      <c r="AV28" s="17">
        <f t="shared" si="12"/>
        <v>7.3</v>
      </c>
    </row>
    <row r="29" spans="1:48">
      <c r="A29" s="6">
        <v>43673</v>
      </c>
      <c r="B29" s="5" t="s">
        <v>50</v>
      </c>
      <c r="C29" s="4">
        <v>37855525</v>
      </c>
      <c r="D29" s="4">
        <v>25672105</v>
      </c>
      <c r="E29" s="4">
        <v>20795410</v>
      </c>
      <c r="F29" s="4">
        <v>20350537</v>
      </c>
      <c r="G29" s="4">
        <v>313571268</v>
      </c>
      <c r="H29" s="4">
        <v>106973697</v>
      </c>
      <c r="I29" s="4">
        <v>313570852</v>
      </c>
      <c r="J29" s="4">
        <v>106973688</v>
      </c>
      <c r="K29" s="4"/>
      <c r="L29" s="5">
        <v>4299.8</v>
      </c>
      <c r="M29" s="5">
        <v>4470.84</v>
      </c>
      <c r="N29" s="5">
        <v>74170.91</v>
      </c>
      <c r="O29" s="5">
        <v>1519.7</v>
      </c>
      <c r="P29" s="5">
        <v>1503</v>
      </c>
      <c r="Q29" s="5"/>
      <c r="R29" s="5"/>
      <c r="S29" s="10">
        <v>30.5</v>
      </c>
      <c r="T29" s="4" t="s">
        <v>46</v>
      </c>
      <c r="U29" s="4">
        <v>680</v>
      </c>
      <c r="V29" s="4">
        <v>660</v>
      </c>
      <c r="W29" s="4">
        <v>9406</v>
      </c>
      <c r="X29" s="4">
        <v>8175</v>
      </c>
      <c r="Y29" s="5">
        <v>5.22</v>
      </c>
      <c r="Z29" s="5">
        <v>2.45</v>
      </c>
      <c r="AA29" s="4">
        <v>1260</v>
      </c>
      <c r="AB29" s="4"/>
      <c r="AC29" s="13">
        <f t="shared" ref="AC29:AH29" si="39">IF(OR(C30=""),"",C30-C29)</f>
        <v>45630</v>
      </c>
      <c r="AD29" s="13">
        <f t="shared" si="39"/>
        <v>56384</v>
      </c>
      <c r="AE29" s="13">
        <f t="shared" si="39"/>
        <v>55145</v>
      </c>
      <c r="AF29" s="13">
        <f t="shared" si="39"/>
        <v>57218</v>
      </c>
      <c r="AG29" s="13">
        <f t="shared" si="39"/>
        <v>209231</v>
      </c>
      <c r="AH29" s="13">
        <f t="shared" si="39"/>
        <v>5455</v>
      </c>
      <c r="AI29" s="13">
        <f t="shared" si="1"/>
        <v>5146</v>
      </c>
      <c r="AJ29" s="13">
        <f t="shared" si="2"/>
        <v>210268</v>
      </c>
      <c r="AK29" s="13">
        <f t="shared" si="3"/>
        <v>5480</v>
      </c>
      <c r="AL29" s="13">
        <f t="shared" si="4"/>
        <v>204788</v>
      </c>
      <c r="AM29" s="13">
        <v>3100</v>
      </c>
      <c r="AN29" s="13">
        <f t="shared" si="5"/>
        <v>0</v>
      </c>
      <c r="AO29" s="13">
        <f t="shared" si="6"/>
        <v>0</v>
      </c>
      <c r="AP29" s="13">
        <f t="shared" si="7"/>
        <v>4828</v>
      </c>
      <c r="AQ29" s="13">
        <f t="shared" si="8"/>
        <v>1584</v>
      </c>
      <c r="AR29" s="24">
        <f t="shared" si="32"/>
        <v>4350.00000000002</v>
      </c>
      <c r="AS29" s="17">
        <f t="shared" si="9"/>
        <v>0</v>
      </c>
      <c r="AT29" s="17">
        <f t="shared" si="10"/>
        <v>0</v>
      </c>
      <c r="AU29" s="18">
        <f t="shared" si="11"/>
        <v>23.6</v>
      </c>
      <c r="AV29" s="17">
        <f t="shared" si="12"/>
        <v>7.73</v>
      </c>
    </row>
    <row r="30" spans="1:48">
      <c r="A30" s="6">
        <v>43674</v>
      </c>
      <c r="B30" s="5" t="s">
        <v>50</v>
      </c>
      <c r="C30" s="4">
        <v>37901155</v>
      </c>
      <c r="D30" s="4">
        <v>25728489</v>
      </c>
      <c r="E30" s="4">
        <v>20850555</v>
      </c>
      <c r="F30" s="4">
        <v>20407755</v>
      </c>
      <c r="G30" s="4">
        <v>313780499</v>
      </c>
      <c r="H30" s="4">
        <v>106979152</v>
      </c>
      <c r="I30" s="4">
        <v>313781120</v>
      </c>
      <c r="J30" s="4">
        <v>106979168</v>
      </c>
      <c r="K30" s="4"/>
      <c r="L30" s="5">
        <v>4299.8</v>
      </c>
      <c r="M30" s="5">
        <v>4470.84</v>
      </c>
      <c r="N30" s="5">
        <v>74170.91</v>
      </c>
      <c r="O30" s="5">
        <v>1524</v>
      </c>
      <c r="P30" s="5">
        <v>1507.4</v>
      </c>
      <c r="Q30" s="5"/>
      <c r="R30" s="5"/>
      <c r="S30" s="10">
        <v>30.7</v>
      </c>
      <c r="T30" s="4" t="s">
        <v>46</v>
      </c>
      <c r="U30" s="4">
        <v>530</v>
      </c>
      <c r="V30" s="4">
        <v>550</v>
      </c>
      <c r="W30" s="4">
        <v>9290</v>
      </c>
      <c r="X30" s="4">
        <v>3422</v>
      </c>
      <c r="Y30" s="5">
        <v>4.92</v>
      </c>
      <c r="Z30" s="5">
        <v>2.48</v>
      </c>
      <c r="AA30" s="4">
        <v>660</v>
      </c>
      <c r="AB30" s="4"/>
      <c r="AC30" s="13">
        <f t="shared" ref="AC30:AH30" si="40">IF(OR(C31=""),"",C31-C30)</f>
        <v>52962</v>
      </c>
      <c r="AD30" s="13">
        <f t="shared" si="40"/>
        <v>58066</v>
      </c>
      <c r="AE30" s="13">
        <f t="shared" si="40"/>
        <v>41834</v>
      </c>
      <c r="AF30" s="13">
        <f t="shared" si="40"/>
        <v>41405</v>
      </c>
      <c r="AG30" s="13">
        <f t="shared" si="40"/>
        <v>187291</v>
      </c>
      <c r="AH30" s="13">
        <f t="shared" si="40"/>
        <v>5491</v>
      </c>
      <c r="AI30" s="13">
        <f t="shared" si="1"/>
        <v>6976</v>
      </c>
      <c r="AJ30" s="13">
        <f t="shared" si="2"/>
        <v>187191</v>
      </c>
      <c r="AK30" s="13">
        <f t="shared" si="3"/>
        <v>5488</v>
      </c>
      <c r="AL30" s="13">
        <f t="shared" si="4"/>
        <v>181703</v>
      </c>
      <c r="AM30" s="13">
        <v>3000</v>
      </c>
      <c r="AN30" s="13">
        <f t="shared" si="5"/>
        <v>0</v>
      </c>
      <c r="AO30" s="13">
        <f t="shared" si="6"/>
        <v>0</v>
      </c>
      <c r="AP30" s="13">
        <f t="shared" si="7"/>
        <v>3763</v>
      </c>
      <c r="AQ30" s="13">
        <f t="shared" si="8"/>
        <v>1320</v>
      </c>
      <c r="AR30" s="24">
        <f t="shared" si="32"/>
        <v>4599.99999999991</v>
      </c>
      <c r="AS30" s="17">
        <f t="shared" si="9"/>
        <v>0</v>
      </c>
      <c r="AT30" s="17">
        <f t="shared" si="10"/>
        <v>0</v>
      </c>
      <c r="AU30" s="18">
        <f t="shared" si="11"/>
        <v>20.7</v>
      </c>
      <c r="AV30" s="17">
        <f t="shared" si="12"/>
        <v>7.26</v>
      </c>
    </row>
    <row r="31" spans="1:48">
      <c r="A31" s="6">
        <v>43675</v>
      </c>
      <c r="B31" s="5" t="s">
        <v>50</v>
      </c>
      <c r="C31" s="4">
        <v>37954117</v>
      </c>
      <c r="D31" s="4">
        <v>25786555</v>
      </c>
      <c r="E31" s="4">
        <v>20892389</v>
      </c>
      <c r="F31" s="4">
        <v>20449160</v>
      </c>
      <c r="G31" s="4">
        <v>313967790</v>
      </c>
      <c r="H31" s="4">
        <v>106984643</v>
      </c>
      <c r="I31" s="4">
        <v>313968311</v>
      </c>
      <c r="J31" s="4">
        <v>106984656</v>
      </c>
      <c r="K31" s="4"/>
      <c r="L31" s="5">
        <v>4299.8</v>
      </c>
      <c r="M31" s="5">
        <v>4470.84</v>
      </c>
      <c r="N31" s="5">
        <v>74170.91</v>
      </c>
      <c r="O31" s="5">
        <v>1528.6</v>
      </c>
      <c r="P31" s="5">
        <v>1512</v>
      </c>
      <c r="Q31" s="5"/>
      <c r="R31" s="5"/>
      <c r="S31" s="10">
        <v>31.2</v>
      </c>
      <c r="T31" s="4" t="s">
        <v>46</v>
      </c>
      <c r="U31" s="4">
        <v>280</v>
      </c>
      <c r="V31" s="4">
        <v>300</v>
      </c>
      <c r="W31" s="4">
        <v>9645</v>
      </c>
      <c r="X31" s="4">
        <v>2878</v>
      </c>
      <c r="Y31" s="5">
        <v>6.92</v>
      </c>
      <c r="Z31" s="5">
        <v>1.93</v>
      </c>
      <c r="AA31" s="4">
        <v>948</v>
      </c>
      <c r="AB31" s="4"/>
      <c r="AC31" s="13">
        <f t="shared" ref="AC31:AH31" si="41">IF(OR(C32=""),"",C32-C31)</f>
        <v>47872</v>
      </c>
      <c r="AD31" s="13">
        <f t="shared" si="41"/>
        <v>55150</v>
      </c>
      <c r="AE31" s="13">
        <f t="shared" si="41"/>
        <v>50976</v>
      </c>
      <c r="AF31" s="13">
        <f t="shared" si="41"/>
        <v>51566</v>
      </c>
      <c r="AG31" s="13">
        <f t="shared" si="41"/>
        <v>198674</v>
      </c>
      <c r="AH31" s="13">
        <f t="shared" si="41"/>
        <v>5511</v>
      </c>
      <c r="AI31" s="13">
        <f t="shared" si="1"/>
        <v>6890</v>
      </c>
      <c r="AJ31" s="13">
        <f t="shared" si="2"/>
        <v>197889</v>
      </c>
      <c r="AK31" s="13">
        <f t="shared" si="3"/>
        <v>5488</v>
      </c>
      <c r="AL31" s="13">
        <f t="shared" si="4"/>
        <v>192401</v>
      </c>
      <c r="AM31" s="13">
        <v>3600</v>
      </c>
      <c r="AN31" s="13">
        <f t="shared" si="5"/>
        <v>0</v>
      </c>
      <c r="AO31" s="13">
        <f t="shared" si="6"/>
        <v>0</v>
      </c>
      <c r="AP31" s="13">
        <f t="shared" si="7"/>
        <v>1988</v>
      </c>
      <c r="AQ31" s="13">
        <f t="shared" si="8"/>
        <v>720</v>
      </c>
      <c r="AR31" s="24">
        <f t="shared" si="32"/>
        <v>4500</v>
      </c>
      <c r="AS31" s="17">
        <f t="shared" si="9"/>
        <v>0</v>
      </c>
      <c r="AT31" s="17">
        <f t="shared" si="10"/>
        <v>0</v>
      </c>
      <c r="AU31" s="18">
        <f t="shared" si="11"/>
        <v>10.3</v>
      </c>
      <c r="AV31" s="17">
        <f t="shared" si="12"/>
        <v>3.74</v>
      </c>
    </row>
    <row r="32" spans="1:48">
      <c r="A32" s="6">
        <v>43676</v>
      </c>
      <c r="B32" s="5" t="s">
        <v>48</v>
      </c>
      <c r="C32" s="4">
        <v>38001989</v>
      </c>
      <c r="D32" s="4">
        <v>25841705</v>
      </c>
      <c r="E32" s="4">
        <v>20943365</v>
      </c>
      <c r="F32" s="4">
        <v>20500726</v>
      </c>
      <c r="G32" s="4">
        <v>314166464</v>
      </c>
      <c r="H32" s="4">
        <v>106990154</v>
      </c>
      <c r="I32" s="4">
        <v>314166200</v>
      </c>
      <c r="J32" s="4">
        <v>106990144</v>
      </c>
      <c r="K32" s="4"/>
      <c r="L32" s="5">
        <v>4299.8</v>
      </c>
      <c r="M32" s="5">
        <v>4470.84</v>
      </c>
      <c r="N32" s="5">
        <v>74170.91</v>
      </c>
      <c r="O32" s="5">
        <v>1533.1</v>
      </c>
      <c r="P32" s="5">
        <v>1516.5</v>
      </c>
      <c r="Q32" s="5"/>
      <c r="R32" s="5"/>
      <c r="S32" s="10">
        <v>31.4</v>
      </c>
      <c r="T32" s="4" t="s">
        <v>46</v>
      </c>
      <c r="U32" s="4">
        <v>200</v>
      </c>
      <c r="V32" s="4">
        <v>220</v>
      </c>
      <c r="W32" s="4">
        <v>9235</v>
      </c>
      <c r="X32" s="4">
        <v>8852</v>
      </c>
      <c r="Y32" s="5">
        <v>7.02</v>
      </c>
      <c r="Z32" s="5">
        <v>5.68</v>
      </c>
      <c r="AA32" s="4">
        <v>1440</v>
      </c>
      <c r="AB32" s="4"/>
      <c r="AC32" s="13">
        <f t="shared" ref="AC32:AH32" si="42">IF(OR(C33=""),"",C33-C32)</f>
        <v>45169</v>
      </c>
      <c r="AD32" s="13">
        <f t="shared" si="42"/>
        <v>51893</v>
      </c>
      <c r="AE32" s="13">
        <f t="shared" si="42"/>
        <v>57288</v>
      </c>
      <c r="AF32" s="13">
        <f t="shared" si="42"/>
        <v>59173</v>
      </c>
      <c r="AG32" s="13">
        <f t="shared" si="42"/>
        <v>206987</v>
      </c>
      <c r="AH32" s="13">
        <f t="shared" si="42"/>
        <v>5534</v>
      </c>
      <c r="AI32" s="13">
        <f t="shared" si="1"/>
        <v>6536</v>
      </c>
      <c r="AJ32" s="13">
        <f t="shared" si="2"/>
        <v>208202</v>
      </c>
      <c r="AK32" s="13">
        <f t="shared" si="3"/>
        <v>5488</v>
      </c>
      <c r="AL32" s="13">
        <f t="shared" si="4"/>
        <v>202714</v>
      </c>
      <c r="AM32" s="13">
        <v>3500</v>
      </c>
      <c r="AN32" s="13">
        <f t="shared" si="5"/>
        <v>19212</v>
      </c>
      <c r="AO32" s="13">
        <f t="shared" si="6"/>
        <v>19</v>
      </c>
      <c r="AP32" s="13">
        <f t="shared" si="7"/>
        <v>1420</v>
      </c>
      <c r="AQ32" s="13">
        <f t="shared" si="8"/>
        <v>528</v>
      </c>
      <c r="AR32" s="24">
        <f t="shared" si="32"/>
        <v>4549.99999999995</v>
      </c>
      <c r="AS32" s="17">
        <f t="shared" si="9"/>
        <v>94.8</v>
      </c>
      <c r="AT32" s="17">
        <f t="shared" si="10"/>
        <v>0.09</v>
      </c>
      <c r="AU32" s="18">
        <f t="shared" si="11"/>
        <v>7</v>
      </c>
      <c r="AV32" s="17">
        <f t="shared" si="12"/>
        <v>2.6</v>
      </c>
    </row>
    <row r="33" spans="1:48">
      <c r="A33" s="6">
        <v>43677</v>
      </c>
      <c r="B33" s="5" t="s">
        <v>45</v>
      </c>
      <c r="C33" s="4">
        <v>38047158</v>
      </c>
      <c r="D33" s="4">
        <v>25893598</v>
      </c>
      <c r="E33" s="4">
        <v>21000653</v>
      </c>
      <c r="F33" s="4">
        <v>20559899</v>
      </c>
      <c r="G33" s="4">
        <v>314373451</v>
      </c>
      <c r="H33" s="4">
        <v>106995688</v>
      </c>
      <c r="I33" s="4">
        <v>314374402</v>
      </c>
      <c r="J33" s="4">
        <v>106995632</v>
      </c>
      <c r="K33" s="4"/>
      <c r="L33" s="5">
        <v>4299.8</v>
      </c>
      <c r="M33" s="5">
        <v>4486.85</v>
      </c>
      <c r="N33" s="5">
        <v>74180.21</v>
      </c>
      <c r="O33" s="5">
        <v>1537.5</v>
      </c>
      <c r="P33" s="5">
        <v>1521.2</v>
      </c>
      <c r="Q33" s="5"/>
      <c r="R33" s="5"/>
      <c r="S33" s="10">
        <v>32</v>
      </c>
      <c r="T33" s="4" t="s">
        <v>46</v>
      </c>
      <c r="U33" s="4">
        <v>680</v>
      </c>
      <c r="V33" s="4">
        <v>660</v>
      </c>
      <c r="W33" s="4">
        <v>9320</v>
      </c>
      <c r="X33" s="4">
        <v>7840</v>
      </c>
      <c r="Y33" s="5">
        <v>6.24</v>
      </c>
      <c r="Z33" s="5">
        <v>5.52</v>
      </c>
      <c r="AA33" s="4">
        <v>1440</v>
      </c>
      <c r="AB33" s="4"/>
      <c r="AC33" s="13">
        <f t="shared" ref="AC33:AH33" si="43">IF(OR(C34=""),"",C34-C33)</f>
        <v>46398</v>
      </c>
      <c r="AD33" s="13">
        <f t="shared" si="43"/>
        <v>54179</v>
      </c>
      <c r="AE33" s="13">
        <f t="shared" si="43"/>
        <v>57415</v>
      </c>
      <c r="AF33" s="13">
        <f t="shared" si="43"/>
        <v>58516</v>
      </c>
      <c r="AG33" s="13">
        <f t="shared" si="43"/>
        <v>213616</v>
      </c>
      <c r="AH33" s="13">
        <f t="shared" si="43"/>
        <v>5449</v>
      </c>
      <c r="AI33" s="13">
        <f t="shared" si="1"/>
        <v>2892</v>
      </c>
      <c r="AJ33" s="13">
        <f t="shared" si="2"/>
        <v>212389</v>
      </c>
      <c r="AK33" s="13">
        <f t="shared" si="3"/>
        <v>5496</v>
      </c>
      <c r="AL33" s="13">
        <f t="shared" si="4"/>
        <v>206893</v>
      </c>
      <c r="AM33" s="13">
        <v>3300</v>
      </c>
      <c r="AN33" s="13">
        <f t="shared" si="5"/>
        <v>0</v>
      </c>
      <c r="AO33" s="13">
        <f t="shared" si="6"/>
        <v>0</v>
      </c>
      <c r="AP33" s="13">
        <f t="shared" si="7"/>
        <v>4828</v>
      </c>
      <c r="AQ33" s="13">
        <f t="shared" si="8"/>
        <v>1584</v>
      </c>
      <c r="AR33" s="24">
        <f t="shared" si="32"/>
        <v>2249.99999999989</v>
      </c>
      <c r="AS33" s="17">
        <f t="shared" si="9"/>
        <v>0</v>
      </c>
      <c r="AT33" s="17">
        <f t="shared" si="10"/>
        <v>0</v>
      </c>
      <c r="AU33" s="18">
        <f t="shared" si="11"/>
        <v>23.3</v>
      </c>
      <c r="AV33" s="17">
        <f t="shared" si="12"/>
        <v>7.66</v>
      </c>
    </row>
    <row r="34" spans="1:48">
      <c r="A34" s="6">
        <v>43678</v>
      </c>
      <c r="B34" s="5" t="s">
        <v>50</v>
      </c>
      <c r="C34" s="4">
        <v>38093556</v>
      </c>
      <c r="D34" s="4">
        <v>25947777</v>
      </c>
      <c r="E34" s="4">
        <v>21058068</v>
      </c>
      <c r="F34" s="4">
        <v>20618415</v>
      </c>
      <c r="G34" s="4">
        <v>314587067</v>
      </c>
      <c r="H34" s="4">
        <v>107001137</v>
      </c>
      <c r="I34" s="4">
        <v>314586791</v>
      </c>
      <c r="J34" s="4">
        <v>107001128</v>
      </c>
      <c r="K34" s="4"/>
      <c r="L34" s="5">
        <v>4299.8</v>
      </c>
      <c r="M34" s="5">
        <v>4486.85</v>
      </c>
      <c r="N34" s="5">
        <v>74180.21</v>
      </c>
      <c r="O34" s="5">
        <v>1537.5</v>
      </c>
      <c r="P34" s="5">
        <v>1525.7</v>
      </c>
      <c r="Q34" s="5"/>
      <c r="R34" s="5"/>
      <c r="S34" s="10">
        <v>31.8</v>
      </c>
      <c r="T34" s="4" t="s">
        <v>46</v>
      </c>
      <c r="AB34" s="14"/>
      <c r="AM34" s="15"/>
      <c r="AP34" s="1"/>
      <c r="AQ34" s="1"/>
      <c r="AS34" s="12"/>
      <c r="AT34" s="2"/>
      <c r="AU34" s="12"/>
      <c r="AV34" s="2"/>
    </row>
    <row r="35" spans="18:48">
      <c r="R35" s="2"/>
      <c r="S35" s="12"/>
      <c r="AM35" s="15"/>
      <c r="AP35" s="1"/>
      <c r="AQ35" s="1"/>
      <c r="AS35" s="12"/>
      <c r="AT35" s="2"/>
      <c r="AU35" s="12"/>
      <c r="AV35" s="2"/>
    </row>
    <row r="36" spans="18:48">
      <c r="R36" s="2"/>
      <c r="S36" s="12"/>
      <c r="AC36" s="1" t="str">
        <f t="shared" ref="AC36:AH36" si="44">IF(OR(C37=""),"",C37-C36)</f>
        <v/>
      </c>
      <c r="AD36" s="1" t="str">
        <f t="shared" si="44"/>
        <v/>
      </c>
      <c r="AE36" s="1" t="str">
        <f t="shared" si="44"/>
        <v/>
      </c>
      <c r="AF36" s="1" t="str">
        <f t="shared" si="44"/>
        <v/>
      </c>
      <c r="AG36" s="1" t="str">
        <f t="shared" si="44"/>
        <v/>
      </c>
      <c r="AH36" s="1" t="str">
        <f t="shared" si="44"/>
        <v/>
      </c>
      <c r="AI36" s="1" t="str">
        <f>IF(OR(AC36="",AD36="",AE36=""),"",AC36+AD36+AE36+AF36-AG36)</f>
        <v/>
      </c>
      <c r="AJ36" s="16">
        <f t="shared" ref="AJ36:AQ36" si="45">SUM(AJ3:AJ34)</f>
        <v>6337946</v>
      </c>
      <c r="AK36" s="16">
        <f t="shared" si="45"/>
        <v>169152</v>
      </c>
      <c r="AL36" s="16">
        <f t="shared" si="45"/>
        <v>6168794</v>
      </c>
      <c r="AM36" s="16">
        <f t="shared" si="45"/>
        <v>100450</v>
      </c>
      <c r="AN36" s="16">
        <f t="shared" si="45"/>
        <v>50724</v>
      </c>
      <c r="AO36" s="16">
        <f t="shared" si="45"/>
        <v>108</v>
      </c>
      <c r="AP36" s="16">
        <f t="shared" si="45"/>
        <v>105932</v>
      </c>
      <c r="AQ36" s="16">
        <f t="shared" si="45"/>
        <v>36888</v>
      </c>
      <c r="AR36" s="25"/>
      <c r="AS36" s="19">
        <f>IF(OR($AL36=0),"",ROUND(AN36/$AL36*1000,1))</f>
        <v>8.2</v>
      </c>
      <c r="AT36" s="19">
        <f>IF(OR($AL36=0),"",ROUND(AO36/$AL36*1000,2))</f>
        <v>0.02</v>
      </c>
      <c r="AU36" s="20">
        <f>IF(OR($AL36=0),"",ROUND(AP36/$AL36*1000,1))</f>
        <v>17.2</v>
      </c>
      <c r="AV36" s="19">
        <f>IF(OR($AL36=0),"",ROUND(AQ36/$AL36*1000,2))</f>
        <v>5.98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V43"/>
  <sheetViews>
    <sheetView showGridLines="0" workbookViewId="0">
      <pane xSplit="2" ySplit="2" topLeftCell="Z3" activePane="bottomRight" state="frozen"/>
      <selection/>
      <selection pane="topRight"/>
      <selection pane="bottomLeft"/>
      <selection pane="bottomRight" activeCell="AR15" sqref="AR15"/>
    </sheetView>
  </sheetViews>
  <sheetFormatPr defaultColWidth="10.6666666666667" defaultRowHeight="14.25"/>
  <cols>
    <col min="1" max="1" width="7.775" style="1" customWidth="1"/>
    <col min="2" max="2" width="8.66666666666667" style="2" customWidth="1"/>
    <col min="3" max="3" width="13.1083333333333" style="1" customWidth="1"/>
    <col min="4" max="4" width="11.6666666666667" style="1" customWidth="1"/>
    <col min="5" max="5" width="12.4416666666667" style="1" customWidth="1"/>
    <col min="6" max="6" width="11.8833333333333" style="1" customWidth="1"/>
    <col min="7" max="7" width="12.775" style="1" customWidth="1"/>
    <col min="8" max="8" width="13.1083333333333" style="1" customWidth="1"/>
    <col min="9" max="9" width="13.8833333333333" style="1" customWidth="1"/>
    <col min="10" max="10" width="13.1083333333333" style="1" customWidth="1"/>
    <col min="11" max="11" width="8" style="1" customWidth="1"/>
    <col min="12" max="13" width="8.33333333333333" style="2" customWidth="1"/>
    <col min="14" max="16" width="10.4416666666667" style="2" customWidth="1"/>
    <col min="17" max="17" width="8.33333333333333" style="2" customWidth="1"/>
    <col min="18" max="18" width="9.66666666666667" style="1" customWidth="1"/>
    <col min="19" max="20" width="8.10833333333333" style="1" customWidth="1"/>
    <col min="21" max="21" width="7.66666666666667" style="1" customWidth="1"/>
    <col min="22" max="24" width="8.10833333333333" style="1" customWidth="1"/>
    <col min="25" max="26" width="8.10833333333333" style="2" customWidth="1"/>
    <col min="27" max="27" width="8.10833333333333" style="1" customWidth="1"/>
    <col min="28" max="28" width="15.6666666666667" style="1" customWidth="1"/>
    <col min="29" max="29" width="8.10833333333333" style="1" customWidth="1"/>
    <col min="30" max="30" width="9.10833333333333" style="1" customWidth="1"/>
    <col min="31" max="35" width="8.10833333333333" style="1" customWidth="1"/>
    <col min="36" max="36" width="8" style="1" customWidth="1"/>
    <col min="37" max="38" width="8.10833333333333" style="1" customWidth="1"/>
    <col min="39" max="41" width="6.66666666666667" style="1" customWidth="1"/>
    <col min="42" max="42" width="6.66666666666667" style="2" customWidth="1"/>
    <col min="43" max="44" width="8.10833333333333" style="2" customWidth="1"/>
    <col min="45" max="46" width="7" style="3" customWidth="1"/>
    <col min="47" max="47" width="10" style="3" customWidth="1"/>
    <col min="48" max="48" width="8.10833333333333" style="3" customWidth="1"/>
    <col min="49" max="16384" width="10.6666666666667" style="3"/>
  </cols>
  <sheetData>
    <row r="2" ht="42.75" spans="1:4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69</v>
      </c>
      <c r="P2" s="5" t="s">
        <v>70</v>
      </c>
      <c r="Q2" s="5" t="s">
        <v>13</v>
      </c>
      <c r="R2" s="5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5" t="s">
        <v>21</v>
      </c>
      <c r="Z2" s="5" t="s">
        <v>22</v>
      </c>
      <c r="AA2" s="4" t="s">
        <v>23</v>
      </c>
      <c r="AB2" s="4" t="s">
        <v>24</v>
      </c>
      <c r="AC2" s="13" t="s">
        <v>25</v>
      </c>
      <c r="AD2" s="13" t="s">
        <v>26</v>
      </c>
      <c r="AE2" s="13" t="s">
        <v>27</v>
      </c>
      <c r="AF2" s="13" t="s">
        <v>28</v>
      </c>
      <c r="AG2" s="13" t="s">
        <v>29</v>
      </c>
      <c r="AH2" s="13" t="s">
        <v>30</v>
      </c>
      <c r="AI2" s="13" t="s">
        <v>31</v>
      </c>
      <c r="AJ2" s="13" t="s">
        <v>32</v>
      </c>
      <c r="AK2" s="13" t="s">
        <v>33</v>
      </c>
      <c r="AL2" s="13" t="s">
        <v>34</v>
      </c>
      <c r="AM2" s="13" t="s">
        <v>35</v>
      </c>
      <c r="AN2" s="13" t="s">
        <v>36</v>
      </c>
      <c r="AO2" s="13" t="s">
        <v>37</v>
      </c>
      <c r="AP2" s="7" t="s">
        <v>38</v>
      </c>
      <c r="AQ2" s="7" t="s">
        <v>39</v>
      </c>
      <c r="AR2" s="7" t="s">
        <v>40</v>
      </c>
      <c r="AS2" s="13" t="s">
        <v>41</v>
      </c>
      <c r="AT2" s="13" t="s">
        <v>42</v>
      </c>
      <c r="AU2" s="7" t="s">
        <v>43</v>
      </c>
      <c r="AV2" s="7" t="s">
        <v>44</v>
      </c>
    </row>
    <row r="3" spans="1:48">
      <c r="A3" s="6">
        <v>43678</v>
      </c>
      <c r="B3" s="7" t="str">
        <f>'7'!B34</f>
        <v>易萍</v>
      </c>
      <c r="C3" s="7">
        <f>'7'!C34</f>
        <v>38093556</v>
      </c>
      <c r="D3" s="7">
        <f>'7'!D34</f>
        <v>25947777</v>
      </c>
      <c r="E3" s="7">
        <f>'7'!E34</f>
        <v>21058068</v>
      </c>
      <c r="F3" s="7">
        <f>'7'!F34</f>
        <v>20618415</v>
      </c>
      <c r="G3" s="7">
        <f>'7'!G34</f>
        <v>314587067</v>
      </c>
      <c r="H3" s="7">
        <f>'7'!H34</f>
        <v>107001137</v>
      </c>
      <c r="I3" s="7">
        <f>'7'!I34</f>
        <v>314586791</v>
      </c>
      <c r="J3" s="7">
        <f>'7'!J34</f>
        <v>107001128</v>
      </c>
      <c r="K3" s="7">
        <f>'7'!K34</f>
        <v>0</v>
      </c>
      <c r="L3" s="7">
        <f>'7'!L34</f>
        <v>4299.8</v>
      </c>
      <c r="M3" s="7">
        <f>'7'!M34</f>
        <v>4486.85</v>
      </c>
      <c r="N3" s="7">
        <f>'7'!N34</f>
        <v>74180.21</v>
      </c>
      <c r="O3" s="5">
        <v>1537.5</v>
      </c>
      <c r="P3" s="5">
        <v>1525.7</v>
      </c>
      <c r="Q3" s="7">
        <f>'7'!Q34</f>
        <v>0</v>
      </c>
      <c r="R3" s="7">
        <f>'7'!R34</f>
        <v>0</v>
      </c>
      <c r="S3" s="7">
        <f>'7'!S34</f>
        <v>31.8</v>
      </c>
      <c r="T3" s="7" t="str">
        <f>'7'!T34</f>
        <v>晴</v>
      </c>
      <c r="U3" s="4">
        <v>700</v>
      </c>
      <c r="V3" s="4">
        <v>720</v>
      </c>
      <c r="W3" s="4">
        <v>9306</v>
      </c>
      <c r="X3" s="4">
        <v>7766</v>
      </c>
      <c r="Y3" s="5">
        <v>6.24</v>
      </c>
      <c r="Z3" s="5">
        <v>4.96</v>
      </c>
      <c r="AA3" s="4">
        <v>1440</v>
      </c>
      <c r="AB3" s="4"/>
      <c r="AC3" s="13">
        <f t="shared" ref="AC3:AH3" si="0">IF(OR(C4=""),"",C4-C3)</f>
        <v>46271</v>
      </c>
      <c r="AD3" s="13">
        <f t="shared" si="0"/>
        <v>54031</v>
      </c>
      <c r="AE3" s="13">
        <f t="shared" si="0"/>
        <v>57422</v>
      </c>
      <c r="AF3" s="13">
        <f t="shared" si="0"/>
        <v>58505</v>
      </c>
      <c r="AG3" s="13">
        <f t="shared" si="0"/>
        <v>209988</v>
      </c>
      <c r="AH3" s="13">
        <f t="shared" si="0"/>
        <v>5502</v>
      </c>
      <c r="AI3" s="13">
        <f t="shared" ref="AI3:AI33" si="1">IF(OR(AC3="",AD3="",AE3=""),"",AC3+AD3+AE3+AF3-AG3)</f>
        <v>6241</v>
      </c>
      <c r="AJ3" s="13">
        <f t="shared" ref="AJ3:AJ33" si="2">IF(OR(I4=""),"",I4-I3)</f>
        <v>209742</v>
      </c>
      <c r="AK3" s="13">
        <f t="shared" ref="AK3:AK33" si="3">IF(OR(J4=""),"",J4-J3)</f>
        <v>5504</v>
      </c>
      <c r="AL3" s="13">
        <f t="shared" ref="AL3:AL33" si="4">IF(OR(AJ3="",AK3=""),"",AJ3-AK3)</f>
        <v>204238</v>
      </c>
      <c r="AM3" s="13">
        <v>3300</v>
      </c>
      <c r="AN3" s="13">
        <f t="shared" ref="AN3:AN33" si="5">IF(OR(L4="",M4=""),"",ROUND((L4-L3+M4-M3)*1200,0))</f>
        <v>0</v>
      </c>
      <c r="AO3" s="13">
        <f t="shared" ref="AO3:AO33" si="6">IF(OR(N4=""),"",(ROUND((N4-N3)*2,0)))</f>
        <v>0</v>
      </c>
      <c r="AP3" s="13">
        <f t="shared" ref="AP3:AP33" si="7">IF(OR(U3=""),"",ROUND(U3*7.1,0))</f>
        <v>4970</v>
      </c>
      <c r="AQ3" s="13">
        <f t="shared" ref="AQ3:AQ33" si="8">IF(OR(V3=""),"",ROUND(V3*2.4,0))</f>
        <v>1728</v>
      </c>
      <c r="AR3" s="13">
        <f t="shared" ref="AR3:AR33" si="9">IF(O4=0,"",(O4+P4-O3-P3)*1000/2)</f>
        <v>2249.99999999989</v>
      </c>
      <c r="AS3" s="17">
        <f t="shared" ref="AS3:AS33" si="10">IF(OR($AL3=""),"",ROUND(AN3/$AL3*1000,1))</f>
        <v>0</v>
      </c>
      <c r="AT3" s="17">
        <f t="shared" ref="AT3:AT33" si="11">IF(OR($AL3=""),"",ROUND(AO3/$AL3*1000,2))</f>
        <v>0</v>
      </c>
      <c r="AU3" s="18">
        <f t="shared" ref="AU3:AU33" si="12">IF(OR($AL3=""),"",ROUND(AP3/$AL3*1000,1))</f>
        <v>24.3</v>
      </c>
      <c r="AV3" s="17">
        <f t="shared" ref="AV3:AV33" si="13">IF(OR($AL3=""),"",ROUND(AQ3/$AL3*1000,2))</f>
        <v>8.46</v>
      </c>
    </row>
    <row r="4" spans="1:48">
      <c r="A4" s="6">
        <v>43679</v>
      </c>
      <c r="B4" s="5" t="s">
        <v>50</v>
      </c>
      <c r="C4" s="4">
        <v>38139827</v>
      </c>
      <c r="D4" s="4">
        <v>26001808</v>
      </c>
      <c r="E4" s="4">
        <v>21115490</v>
      </c>
      <c r="F4" s="4">
        <v>20676920</v>
      </c>
      <c r="G4" s="4">
        <v>314797055</v>
      </c>
      <c r="H4" s="4">
        <v>107006639</v>
      </c>
      <c r="I4" s="4">
        <v>314796533</v>
      </c>
      <c r="J4" s="4">
        <v>107006632</v>
      </c>
      <c r="K4" s="4"/>
      <c r="L4" s="5">
        <v>4299.8</v>
      </c>
      <c r="M4" s="5">
        <v>4486.85</v>
      </c>
      <c r="N4" s="5">
        <v>74180.21</v>
      </c>
      <c r="O4" s="5">
        <v>1537.5</v>
      </c>
      <c r="P4" s="5">
        <v>1530.2</v>
      </c>
      <c r="Q4" s="5"/>
      <c r="R4" s="5"/>
      <c r="S4" s="10">
        <v>31</v>
      </c>
      <c r="T4" s="4" t="s">
        <v>46</v>
      </c>
      <c r="U4" s="4">
        <v>410</v>
      </c>
      <c r="V4" s="4">
        <v>430</v>
      </c>
      <c r="W4" s="4">
        <v>9457</v>
      </c>
      <c r="X4" s="4">
        <v>7925</v>
      </c>
      <c r="Y4" s="5">
        <v>6.48</v>
      </c>
      <c r="Z4" s="5">
        <v>5.15</v>
      </c>
      <c r="AA4" s="4">
        <v>1401</v>
      </c>
      <c r="AB4" s="4"/>
      <c r="AC4" s="13">
        <f t="shared" ref="AC4:AH4" si="14">IF(OR(C5=""),"",C5-C4)</f>
        <v>57611</v>
      </c>
      <c r="AD4" s="13">
        <f t="shared" si="14"/>
        <v>62794</v>
      </c>
      <c r="AE4" s="13">
        <f t="shared" si="14"/>
        <v>50828</v>
      </c>
      <c r="AF4" s="13">
        <f t="shared" si="14"/>
        <v>49218</v>
      </c>
      <c r="AG4" s="13">
        <f t="shared" si="14"/>
        <v>208163</v>
      </c>
      <c r="AH4" s="13">
        <f t="shared" si="14"/>
        <v>5481</v>
      </c>
      <c r="AI4" s="13">
        <f t="shared" si="1"/>
        <v>12288</v>
      </c>
      <c r="AJ4" s="13">
        <f t="shared" si="2"/>
        <v>209417</v>
      </c>
      <c r="AK4" s="13">
        <f t="shared" si="3"/>
        <v>5488</v>
      </c>
      <c r="AL4" s="13">
        <f t="shared" si="4"/>
        <v>203929</v>
      </c>
      <c r="AM4" s="13">
        <v>3500</v>
      </c>
      <c r="AN4" s="13">
        <f t="shared" si="5"/>
        <v>2808</v>
      </c>
      <c r="AO4" s="13">
        <f t="shared" si="6"/>
        <v>4</v>
      </c>
      <c r="AP4" s="13">
        <f t="shared" si="7"/>
        <v>2911</v>
      </c>
      <c r="AQ4" s="13">
        <f t="shared" si="8"/>
        <v>1032</v>
      </c>
      <c r="AR4" s="13">
        <f t="shared" si="9"/>
        <v>2300.00000000007</v>
      </c>
      <c r="AS4" s="17">
        <f t="shared" si="10"/>
        <v>13.8</v>
      </c>
      <c r="AT4" s="17">
        <f t="shared" si="11"/>
        <v>0.02</v>
      </c>
      <c r="AU4" s="18">
        <f t="shared" si="12"/>
        <v>14.3</v>
      </c>
      <c r="AV4" s="17">
        <f t="shared" si="13"/>
        <v>5.06</v>
      </c>
    </row>
    <row r="5" spans="1:48">
      <c r="A5" s="6">
        <v>43680</v>
      </c>
      <c r="B5" s="5" t="s">
        <v>48</v>
      </c>
      <c r="C5" s="4">
        <v>38197438</v>
      </c>
      <c r="D5" s="4">
        <v>26064602</v>
      </c>
      <c r="E5" s="4">
        <v>21166318</v>
      </c>
      <c r="F5" s="4">
        <v>20726138</v>
      </c>
      <c r="G5" s="4">
        <v>315005218</v>
      </c>
      <c r="H5" s="4">
        <v>107012120</v>
      </c>
      <c r="I5" s="4">
        <v>315005950</v>
      </c>
      <c r="J5" s="4">
        <v>107012120</v>
      </c>
      <c r="K5" s="4"/>
      <c r="L5" s="5">
        <v>4299.8</v>
      </c>
      <c r="M5" s="5">
        <v>4489.19</v>
      </c>
      <c r="N5" s="5">
        <v>74182</v>
      </c>
      <c r="O5" s="5">
        <v>1537.5</v>
      </c>
      <c r="P5" s="5">
        <v>1534.8</v>
      </c>
      <c r="Q5" s="5"/>
      <c r="R5" s="5"/>
      <c r="S5" s="10">
        <v>30.9</v>
      </c>
      <c r="T5" s="4" t="s">
        <v>46</v>
      </c>
      <c r="U5" s="4">
        <v>660</v>
      </c>
      <c r="V5" s="4">
        <v>650</v>
      </c>
      <c r="W5" s="4">
        <v>9345</v>
      </c>
      <c r="X5" s="4">
        <v>8215</v>
      </c>
      <c r="Y5" s="5">
        <v>5.8</v>
      </c>
      <c r="Z5" s="5">
        <v>4.27</v>
      </c>
      <c r="AA5" s="4">
        <v>1319</v>
      </c>
      <c r="AB5" s="4"/>
      <c r="AC5" s="13">
        <f t="shared" ref="AC5:AH5" si="15">IF(OR(C6=""),"",C6-C5)</f>
        <v>48568</v>
      </c>
      <c r="AD5" s="13">
        <f t="shared" si="15"/>
        <v>57158</v>
      </c>
      <c r="AE5" s="13">
        <f t="shared" si="15"/>
        <v>53165</v>
      </c>
      <c r="AF5" s="13">
        <f t="shared" si="15"/>
        <v>54139</v>
      </c>
      <c r="AG5" s="13">
        <f t="shared" si="15"/>
        <v>212611</v>
      </c>
      <c r="AH5" s="13">
        <f t="shared" si="15"/>
        <v>5512</v>
      </c>
      <c r="AI5" s="13">
        <f t="shared" si="1"/>
        <v>419</v>
      </c>
      <c r="AJ5" s="13">
        <f t="shared" si="2"/>
        <v>211561</v>
      </c>
      <c r="AK5" s="13">
        <f t="shared" si="3"/>
        <v>5512</v>
      </c>
      <c r="AL5" s="13">
        <f t="shared" si="4"/>
        <v>206049</v>
      </c>
      <c r="AM5" s="13">
        <v>3500</v>
      </c>
      <c r="AN5" s="13">
        <f t="shared" si="5"/>
        <v>0</v>
      </c>
      <c r="AO5" s="13">
        <f t="shared" si="6"/>
        <v>0</v>
      </c>
      <c r="AP5" s="13">
        <f t="shared" si="7"/>
        <v>4686</v>
      </c>
      <c r="AQ5" s="13">
        <f t="shared" si="8"/>
        <v>1560</v>
      </c>
      <c r="AR5" s="13">
        <f t="shared" si="9"/>
        <v>2149.99999999998</v>
      </c>
      <c r="AS5" s="17">
        <f t="shared" si="10"/>
        <v>0</v>
      </c>
      <c r="AT5" s="17">
        <f t="shared" si="11"/>
        <v>0</v>
      </c>
      <c r="AU5" s="18">
        <f t="shared" si="12"/>
        <v>22.7</v>
      </c>
      <c r="AV5" s="17">
        <f t="shared" si="13"/>
        <v>7.57</v>
      </c>
    </row>
    <row r="6" spans="1:48">
      <c r="A6" s="6">
        <v>43681</v>
      </c>
      <c r="B6" s="5" t="s">
        <v>48</v>
      </c>
      <c r="C6" s="4">
        <v>38246006</v>
      </c>
      <c r="D6" s="4">
        <v>26121760</v>
      </c>
      <c r="E6" s="4">
        <v>21219483</v>
      </c>
      <c r="F6" s="4">
        <v>20780277</v>
      </c>
      <c r="G6" s="4">
        <v>315217829</v>
      </c>
      <c r="H6" s="4">
        <v>107017632</v>
      </c>
      <c r="I6" s="4">
        <v>315217511</v>
      </c>
      <c r="J6" s="4">
        <v>107017632</v>
      </c>
      <c r="K6" s="4"/>
      <c r="L6" s="5">
        <v>4299.8</v>
      </c>
      <c r="M6" s="5">
        <v>4489.19</v>
      </c>
      <c r="N6" s="5">
        <v>74182</v>
      </c>
      <c r="O6" s="5">
        <v>1537.5</v>
      </c>
      <c r="P6" s="5">
        <v>1539.1</v>
      </c>
      <c r="Q6" s="5"/>
      <c r="R6" s="5"/>
      <c r="S6" s="10">
        <v>31.1</v>
      </c>
      <c r="T6" s="4" t="s">
        <v>46</v>
      </c>
      <c r="U6" s="4">
        <v>550</v>
      </c>
      <c r="V6" s="4">
        <v>540</v>
      </c>
      <c r="W6" s="4">
        <v>9290</v>
      </c>
      <c r="X6" s="4">
        <v>3012</v>
      </c>
      <c r="Y6" s="5">
        <v>6.26</v>
      </c>
      <c r="Z6" s="5">
        <v>2.31</v>
      </c>
      <c r="AA6" s="4">
        <v>1164</v>
      </c>
      <c r="AB6" s="4"/>
      <c r="AC6" s="13">
        <f t="shared" ref="AC6:AH6" si="16">IF(OR(C7=""),"",C7-C6)</f>
        <v>48594</v>
      </c>
      <c r="AD6" s="13">
        <f t="shared" si="16"/>
        <v>57130</v>
      </c>
      <c r="AE6" s="13">
        <f t="shared" si="16"/>
        <v>52038</v>
      </c>
      <c r="AF6" s="13">
        <f t="shared" si="16"/>
        <v>53273</v>
      </c>
      <c r="AG6" s="13">
        <f t="shared" si="16"/>
        <v>206680</v>
      </c>
      <c r="AH6" s="13">
        <f t="shared" si="16"/>
        <v>5497</v>
      </c>
      <c r="AI6" s="13">
        <f t="shared" si="1"/>
        <v>4355</v>
      </c>
      <c r="AJ6" s="13">
        <f t="shared" si="2"/>
        <v>206950</v>
      </c>
      <c r="AK6" s="13">
        <f t="shared" si="3"/>
        <v>5497</v>
      </c>
      <c r="AL6" s="13">
        <f t="shared" si="4"/>
        <v>201453</v>
      </c>
      <c r="AM6" s="13">
        <v>3800</v>
      </c>
      <c r="AN6" s="13">
        <f t="shared" si="5"/>
        <v>0</v>
      </c>
      <c r="AO6" s="13">
        <f t="shared" si="6"/>
        <v>0</v>
      </c>
      <c r="AP6" s="13">
        <f t="shared" si="7"/>
        <v>3905</v>
      </c>
      <c r="AQ6" s="13">
        <f t="shared" si="8"/>
        <v>1296</v>
      </c>
      <c r="AR6" s="13">
        <f t="shared" si="9"/>
        <v>1950.00000000005</v>
      </c>
      <c r="AS6" s="17">
        <f t="shared" si="10"/>
        <v>0</v>
      </c>
      <c r="AT6" s="17">
        <f t="shared" si="11"/>
        <v>0</v>
      </c>
      <c r="AU6" s="18">
        <f t="shared" si="12"/>
        <v>19.4</v>
      </c>
      <c r="AV6" s="17">
        <f t="shared" si="13"/>
        <v>6.43</v>
      </c>
    </row>
    <row r="7" spans="1:48">
      <c r="A7" s="6">
        <v>43682</v>
      </c>
      <c r="B7" s="5" t="s">
        <v>48</v>
      </c>
      <c r="C7" s="4">
        <v>38294600</v>
      </c>
      <c r="D7" s="4">
        <v>26178890</v>
      </c>
      <c r="E7" s="4">
        <v>21271521</v>
      </c>
      <c r="F7" s="4">
        <v>20833550</v>
      </c>
      <c r="G7" s="4">
        <v>315424509</v>
      </c>
      <c r="H7" s="4">
        <v>107023129</v>
      </c>
      <c r="I7" s="4">
        <v>315424461</v>
      </c>
      <c r="J7" s="4">
        <v>107023129</v>
      </c>
      <c r="K7" s="4"/>
      <c r="L7" s="5">
        <v>4299.8</v>
      </c>
      <c r="M7" s="5">
        <v>4489.19</v>
      </c>
      <c r="N7" s="5">
        <v>74182</v>
      </c>
      <c r="O7" s="5">
        <v>1537.5</v>
      </c>
      <c r="P7" s="5">
        <v>1543</v>
      </c>
      <c r="Q7" s="5"/>
      <c r="R7" s="5"/>
      <c r="S7" s="10">
        <v>30.8</v>
      </c>
      <c r="T7" s="4" t="s">
        <v>46</v>
      </c>
      <c r="U7" s="4">
        <v>230</v>
      </c>
      <c r="V7" s="4">
        <v>250</v>
      </c>
      <c r="W7" s="4">
        <v>9208</v>
      </c>
      <c r="X7" s="4">
        <v>4132</v>
      </c>
      <c r="Y7" s="5">
        <v>4.65</v>
      </c>
      <c r="Z7" s="5">
        <v>2.45</v>
      </c>
      <c r="AA7" s="4">
        <v>1080</v>
      </c>
      <c r="AB7" s="4"/>
      <c r="AC7" s="13">
        <f t="shared" ref="AC7:AH7" si="17">IF(OR(C8=""),"",C8-C7)</f>
        <v>47309</v>
      </c>
      <c r="AD7" s="13">
        <f t="shared" si="17"/>
        <v>55097</v>
      </c>
      <c r="AE7" s="13">
        <f t="shared" si="17"/>
        <v>47320</v>
      </c>
      <c r="AF7" s="13">
        <f t="shared" si="17"/>
        <v>45815</v>
      </c>
      <c r="AG7" s="13">
        <f t="shared" si="17"/>
        <v>188692</v>
      </c>
      <c r="AH7" s="13">
        <f t="shared" si="17"/>
        <v>5521</v>
      </c>
      <c r="AI7" s="13">
        <f t="shared" si="1"/>
        <v>6849</v>
      </c>
      <c r="AJ7" s="13">
        <f t="shared" si="2"/>
        <v>188286</v>
      </c>
      <c r="AK7" s="13">
        <f t="shared" si="3"/>
        <v>5521</v>
      </c>
      <c r="AL7" s="13">
        <f t="shared" si="4"/>
        <v>182765</v>
      </c>
      <c r="AM7" s="13">
        <v>3200</v>
      </c>
      <c r="AN7" s="13">
        <f t="shared" si="5"/>
        <v>0</v>
      </c>
      <c r="AO7" s="13">
        <f t="shared" si="6"/>
        <v>0</v>
      </c>
      <c r="AP7" s="13">
        <f t="shared" si="7"/>
        <v>1633</v>
      </c>
      <c r="AQ7" s="13">
        <f t="shared" si="8"/>
        <v>600</v>
      </c>
      <c r="AR7" s="13">
        <f t="shared" si="9"/>
        <v>2000</v>
      </c>
      <c r="AS7" s="17">
        <f t="shared" si="10"/>
        <v>0</v>
      </c>
      <c r="AT7" s="17">
        <f t="shared" si="11"/>
        <v>0</v>
      </c>
      <c r="AU7" s="18">
        <f t="shared" si="12"/>
        <v>8.9</v>
      </c>
      <c r="AV7" s="17">
        <f t="shared" si="13"/>
        <v>3.28</v>
      </c>
    </row>
    <row r="8" spans="1:48">
      <c r="A8" s="6">
        <v>43683</v>
      </c>
      <c r="B8" s="5" t="s">
        <v>47</v>
      </c>
      <c r="C8" s="4">
        <v>38341909</v>
      </c>
      <c r="D8" s="4">
        <v>26233987</v>
      </c>
      <c r="E8" s="4">
        <v>21318841</v>
      </c>
      <c r="F8" s="4">
        <v>20879365</v>
      </c>
      <c r="G8" s="4">
        <v>315613201</v>
      </c>
      <c r="H8" s="4">
        <v>107028650</v>
      </c>
      <c r="I8" s="4">
        <v>315612747</v>
      </c>
      <c r="J8" s="4">
        <v>107028650</v>
      </c>
      <c r="K8" s="4"/>
      <c r="L8" s="5">
        <v>4299.8</v>
      </c>
      <c r="M8" s="5">
        <v>4489.19</v>
      </c>
      <c r="N8" s="5">
        <v>74182</v>
      </c>
      <c r="O8" s="5">
        <v>1537.5</v>
      </c>
      <c r="P8" s="5">
        <v>1547</v>
      </c>
      <c r="Q8" s="5"/>
      <c r="R8" s="5"/>
      <c r="S8" s="10">
        <v>31</v>
      </c>
      <c r="T8" s="4" t="s">
        <v>46</v>
      </c>
      <c r="U8" s="4">
        <v>170</v>
      </c>
      <c r="V8" s="4">
        <v>190</v>
      </c>
      <c r="W8" s="4">
        <v>9185</v>
      </c>
      <c r="X8" s="4">
        <v>5289</v>
      </c>
      <c r="Y8" s="5">
        <v>4.62</v>
      </c>
      <c r="Z8" s="5">
        <v>2.49</v>
      </c>
      <c r="AA8" s="4">
        <v>870</v>
      </c>
      <c r="AB8" s="4"/>
      <c r="AC8" s="13">
        <f t="shared" ref="AC8:AH8" si="18">IF(OR(C9=""),"",C9-C8)</f>
        <v>39199</v>
      </c>
      <c r="AD8" s="13">
        <f t="shared" si="18"/>
        <v>42922</v>
      </c>
      <c r="AE8" s="13">
        <f t="shared" si="18"/>
        <v>49068</v>
      </c>
      <c r="AF8" s="13">
        <f t="shared" si="18"/>
        <v>47937</v>
      </c>
      <c r="AG8" s="13">
        <f t="shared" si="18"/>
        <v>174681</v>
      </c>
      <c r="AH8" s="13">
        <f t="shared" si="18"/>
        <v>5491</v>
      </c>
      <c r="AI8" s="13">
        <f t="shared" si="1"/>
        <v>4445</v>
      </c>
      <c r="AJ8" s="13">
        <f t="shared" si="2"/>
        <v>175000</v>
      </c>
      <c r="AK8" s="13">
        <f t="shared" si="3"/>
        <v>5491</v>
      </c>
      <c r="AL8" s="13">
        <f t="shared" si="4"/>
        <v>169509</v>
      </c>
      <c r="AM8" s="13">
        <v>4200</v>
      </c>
      <c r="AN8" s="13">
        <f t="shared" si="5"/>
        <v>0</v>
      </c>
      <c r="AO8" s="13">
        <f t="shared" si="6"/>
        <v>0</v>
      </c>
      <c r="AP8" s="13">
        <f t="shared" si="7"/>
        <v>1207</v>
      </c>
      <c r="AQ8" s="13">
        <f t="shared" si="8"/>
        <v>456</v>
      </c>
      <c r="AR8" s="13">
        <f t="shared" si="9"/>
        <v>1849.99999999991</v>
      </c>
      <c r="AS8" s="17">
        <f t="shared" si="10"/>
        <v>0</v>
      </c>
      <c r="AT8" s="17">
        <f t="shared" si="11"/>
        <v>0</v>
      </c>
      <c r="AU8" s="18">
        <f t="shared" si="12"/>
        <v>7.1</v>
      </c>
      <c r="AV8" s="17">
        <f t="shared" si="13"/>
        <v>2.69</v>
      </c>
    </row>
    <row r="9" spans="1:48">
      <c r="A9" s="6">
        <v>43684</v>
      </c>
      <c r="B9" s="5" t="s">
        <v>50</v>
      </c>
      <c r="C9" s="4">
        <v>38381108</v>
      </c>
      <c r="D9" s="4">
        <v>26276909</v>
      </c>
      <c r="E9" s="4">
        <v>21367909</v>
      </c>
      <c r="F9" s="4">
        <v>20927302</v>
      </c>
      <c r="G9" s="4">
        <v>315787882</v>
      </c>
      <c r="H9" s="4">
        <v>107034141</v>
      </c>
      <c r="I9" s="4">
        <v>315787747</v>
      </c>
      <c r="J9" s="4">
        <v>107034141</v>
      </c>
      <c r="K9" s="4"/>
      <c r="L9" s="5">
        <v>4299.8</v>
      </c>
      <c r="M9" s="5">
        <v>4489.19</v>
      </c>
      <c r="N9" s="5">
        <v>74182</v>
      </c>
      <c r="O9" s="5">
        <v>1537.2</v>
      </c>
      <c r="P9" s="5">
        <v>1551</v>
      </c>
      <c r="Q9" s="5"/>
      <c r="R9" s="5"/>
      <c r="S9" s="10">
        <v>31.4</v>
      </c>
      <c r="T9" s="4" t="s">
        <v>46</v>
      </c>
      <c r="U9" s="4">
        <v>420</v>
      </c>
      <c r="V9" s="4">
        <v>440</v>
      </c>
      <c r="W9" s="4">
        <v>7845</v>
      </c>
      <c r="X9" s="4">
        <v>1825</v>
      </c>
      <c r="Y9" s="5">
        <v>3.8</v>
      </c>
      <c r="Z9" s="5">
        <v>1.9</v>
      </c>
      <c r="AA9" s="4">
        <v>585</v>
      </c>
      <c r="AB9" s="4"/>
      <c r="AC9" s="13">
        <f t="shared" ref="AC9:AH9" si="19">IF(OR(C10=""),"",C10-C9)</f>
        <v>39133</v>
      </c>
      <c r="AD9" s="13">
        <f t="shared" si="19"/>
        <v>43891</v>
      </c>
      <c r="AE9" s="13">
        <f t="shared" si="19"/>
        <v>37319</v>
      </c>
      <c r="AF9" s="13">
        <f t="shared" si="19"/>
        <v>40943</v>
      </c>
      <c r="AG9" s="13">
        <f t="shared" si="19"/>
        <v>160058</v>
      </c>
      <c r="AH9" s="13">
        <f t="shared" si="19"/>
        <v>5500</v>
      </c>
      <c r="AI9" s="13">
        <f t="shared" si="1"/>
        <v>1228</v>
      </c>
      <c r="AJ9" s="13">
        <f t="shared" si="2"/>
        <v>160108</v>
      </c>
      <c r="AK9" s="13">
        <f t="shared" si="3"/>
        <v>5500</v>
      </c>
      <c r="AL9" s="13">
        <f t="shared" si="4"/>
        <v>154608</v>
      </c>
      <c r="AM9" s="13">
        <v>5000</v>
      </c>
      <c r="AN9" s="13">
        <f t="shared" si="5"/>
        <v>0</v>
      </c>
      <c r="AO9" s="13">
        <f t="shared" si="6"/>
        <v>0</v>
      </c>
      <c r="AP9" s="13">
        <f t="shared" si="7"/>
        <v>2982</v>
      </c>
      <c r="AQ9" s="13">
        <f t="shared" si="8"/>
        <v>1056</v>
      </c>
      <c r="AR9" s="13">
        <f t="shared" si="9"/>
        <v>2100.00000000002</v>
      </c>
      <c r="AS9" s="17">
        <f t="shared" si="10"/>
        <v>0</v>
      </c>
      <c r="AT9" s="17">
        <f t="shared" si="11"/>
        <v>0</v>
      </c>
      <c r="AU9" s="18">
        <f t="shared" si="12"/>
        <v>19.3</v>
      </c>
      <c r="AV9" s="17">
        <f t="shared" si="13"/>
        <v>6.83</v>
      </c>
    </row>
    <row r="10" spans="1:48">
      <c r="A10" s="6">
        <v>43685</v>
      </c>
      <c r="B10" s="5" t="s">
        <v>48</v>
      </c>
      <c r="C10" s="4">
        <v>38420241</v>
      </c>
      <c r="D10" s="4">
        <v>26320800</v>
      </c>
      <c r="E10" s="4">
        <v>21405228</v>
      </c>
      <c r="F10" s="4">
        <v>20968245</v>
      </c>
      <c r="G10" s="4">
        <v>315947940</v>
      </c>
      <c r="H10" s="4">
        <v>107039641</v>
      </c>
      <c r="I10" s="4">
        <v>315947855</v>
      </c>
      <c r="J10" s="4">
        <v>107039641</v>
      </c>
      <c r="K10" s="4"/>
      <c r="L10" s="5">
        <v>4299.8</v>
      </c>
      <c r="M10" s="5">
        <v>4489.19</v>
      </c>
      <c r="N10" s="5">
        <v>74182</v>
      </c>
      <c r="O10" s="5">
        <v>1537.5</v>
      </c>
      <c r="P10" s="5">
        <v>1554.9</v>
      </c>
      <c r="Q10" s="5"/>
      <c r="R10" s="5"/>
      <c r="S10" s="10">
        <v>31.5</v>
      </c>
      <c r="T10" s="4" t="s">
        <v>46</v>
      </c>
      <c r="U10" s="4">
        <v>800</v>
      </c>
      <c r="V10" s="4">
        <v>780</v>
      </c>
      <c r="W10" s="4">
        <v>8878</v>
      </c>
      <c r="X10" s="4">
        <v>2015</v>
      </c>
      <c r="Y10" s="5">
        <v>4.13</v>
      </c>
      <c r="Z10" s="5">
        <v>2.26</v>
      </c>
      <c r="AA10" s="4">
        <v>501</v>
      </c>
      <c r="AB10" s="4"/>
      <c r="AC10" s="13">
        <f t="shared" ref="AC10:AH10" si="20">IF(OR(C11=""),"",C11-C10)</f>
        <v>39403</v>
      </c>
      <c r="AD10" s="13">
        <f t="shared" si="20"/>
        <v>44447</v>
      </c>
      <c r="AE10" s="13">
        <f t="shared" si="20"/>
        <v>37459</v>
      </c>
      <c r="AF10" s="13">
        <f t="shared" si="20"/>
        <v>32902</v>
      </c>
      <c r="AG10" s="13">
        <f t="shared" si="20"/>
        <v>152847</v>
      </c>
      <c r="AH10" s="13">
        <f t="shared" si="20"/>
        <v>5500</v>
      </c>
      <c r="AI10" s="13">
        <f t="shared" si="1"/>
        <v>1364</v>
      </c>
      <c r="AJ10" s="13">
        <f t="shared" si="2"/>
        <v>152892</v>
      </c>
      <c r="AK10" s="13">
        <f t="shared" si="3"/>
        <v>5500</v>
      </c>
      <c r="AL10" s="13">
        <f t="shared" si="4"/>
        <v>147392</v>
      </c>
      <c r="AM10" s="13">
        <v>3600</v>
      </c>
      <c r="AN10" s="13">
        <f t="shared" si="5"/>
        <v>0</v>
      </c>
      <c r="AO10" s="13">
        <f t="shared" si="6"/>
        <v>0</v>
      </c>
      <c r="AP10" s="13">
        <f t="shared" si="7"/>
        <v>5680</v>
      </c>
      <c r="AQ10" s="13">
        <f t="shared" si="8"/>
        <v>1872</v>
      </c>
      <c r="AR10" s="13">
        <f t="shared" si="9"/>
        <v>1950.00000000005</v>
      </c>
      <c r="AS10" s="17">
        <f t="shared" si="10"/>
        <v>0</v>
      </c>
      <c r="AT10" s="17">
        <f t="shared" si="11"/>
        <v>0</v>
      </c>
      <c r="AU10" s="18">
        <f t="shared" si="12"/>
        <v>38.5</v>
      </c>
      <c r="AV10" s="17">
        <f t="shared" si="13"/>
        <v>12.7</v>
      </c>
    </row>
    <row r="11" spans="1:48">
      <c r="A11" s="6">
        <v>43686</v>
      </c>
      <c r="B11" s="5" t="s">
        <v>48</v>
      </c>
      <c r="C11" s="4">
        <v>38459644</v>
      </c>
      <c r="D11" s="4">
        <v>26365247</v>
      </c>
      <c r="E11" s="4">
        <v>21442687</v>
      </c>
      <c r="F11" s="4">
        <v>21001147</v>
      </c>
      <c r="G11" s="4">
        <v>316100787</v>
      </c>
      <c r="H11" s="4">
        <v>107045141</v>
      </c>
      <c r="I11" s="4">
        <v>316100747</v>
      </c>
      <c r="J11" s="4">
        <v>107045141</v>
      </c>
      <c r="K11" s="4"/>
      <c r="L11" s="5">
        <v>4299.8</v>
      </c>
      <c r="M11" s="5">
        <v>4489.19</v>
      </c>
      <c r="N11" s="5">
        <v>74182</v>
      </c>
      <c r="O11" s="5">
        <v>1537.5</v>
      </c>
      <c r="P11" s="5">
        <v>1558.8</v>
      </c>
      <c r="Q11" s="5"/>
      <c r="R11" s="5"/>
      <c r="S11" s="10">
        <v>31.9</v>
      </c>
      <c r="T11" s="4" t="s">
        <v>46</v>
      </c>
      <c r="U11" s="4">
        <v>580</v>
      </c>
      <c r="V11" s="4">
        <v>590</v>
      </c>
      <c r="W11" s="4">
        <v>7120</v>
      </c>
      <c r="X11" s="4">
        <v>4215</v>
      </c>
      <c r="Y11" s="5">
        <v>5.03</v>
      </c>
      <c r="Z11" s="5">
        <v>2.5</v>
      </c>
      <c r="AA11" s="4">
        <v>1184</v>
      </c>
      <c r="AB11" s="4"/>
      <c r="AC11" s="13">
        <f t="shared" ref="AC11:AH11" si="21">IF(OR(C12=""),"",C12-C11)</f>
        <v>38138</v>
      </c>
      <c r="AD11" s="13">
        <f t="shared" si="21"/>
        <v>40837</v>
      </c>
      <c r="AE11" s="13">
        <f t="shared" si="21"/>
        <v>35573</v>
      </c>
      <c r="AF11" s="13">
        <f t="shared" si="21"/>
        <v>34988</v>
      </c>
      <c r="AG11" s="13">
        <f t="shared" si="21"/>
        <v>143016</v>
      </c>
      <c r="AH11" s="13">
        <f t="shared" si="21"/>
        <v>5496</v>
      </c>
      <c r="AI11" s="13">
        <f t="shared" si="1"/>
        <v>6520</v>
      </c>
      <c r="AJ11" s="13">
        <f t="shared" si="2"/>
        <v>143009</v>
      </c>
      <c r="AK11" s="13">
        <f t="shared" si="3"/>
        <v>5496</v>
      </c>
      <c r="AL11" s="13">
        <f t="shared" si="4"/>
        <v>137513</v>
      </c>
      <c r="AM11" s="13">
        <v>3800</v>
      </c>
      <c r="AN11" s="13">
        <f t="shared" si="5"/>
        <v>324</v>
      </c>
      <c r="AO11" s="13">
        <f t="shared" si="6"/>
        <v>3</v>
      </c>
      <c r="AP11" s="13">
        <f t="shared" si="7"/>
        <v>4118</v>
      </c>
      <c r="AQ11" s="13">
        <f t="shared" si="8"/>
        <v>1416</v>
      </c>
      <c r="AR11" s="13">
        <f t="shared" si="9"/>
        <v>1949.99999999993</v>
      </c>
      <c r="AS11" s="17">
        <f t="shared" si="10"/>
        <v>2.4</v>
      </c>
      <c r="AT11" s="17">
        <f t="shared" si="11"/>
        <v>0.02</v>
      </c>
      <c r="AU11" s="18">
        <f t="shared" si="12"/>
        <v>29.9</v>
      </c>
      <c r="AV11" s="17">
        <f t="shared" si="13"/>
        <v>10.3</v>
      </c>
    </row>
    <row r="12" spans="1:48">
      <c r="A12" s="6">
        <v>43687</v>
      </c>
      <c r="B12" s="5" t="s">
        <v>48</v>
      </c>
      <c r="C12" s="4">
        <v>38497782</v>
      </c>
      <c r="D12" s="4">
        <v>26406084</v>
      </c>
      <c r="E12" s="4">
        <v>21478260</v>
      </c>
      <c r="F12" s="4">
        <v>21036135</v>
      </c>
      <c r="G12" s="4">
        <v>316243803</v>
      </c>
      <c r="H12" s="4">
        <v>107050637</v>
      </c>
      <c r="I12" s="4">
        <v>316243756</v>
      </c>
      <c r="J12" s="4">
        <v>107050637</v>
      </c>
      <c r="K12" s="4"/>
      <c r="L12" s="5">
        <v>4299.8</v>
      </c>
      <c r="M12" s="5">
        <v>4489.46</v>
      </c>
      <c r="N12" s="5">
        <v>74183.5</v>
      </c>
      <c r="O12" s="5">
        <v>1537.5</v>
      </c>
      <c r="P12" s="5">
        <v>1562.7</v>
      </c>
      <c r="Q12" s="5"/>
      <c r="R12" s="5"/>
      <c r="S12" s="10">
        <v>31.5</v>
      </c>
      <c r="T12" s="4" t="s">
        <v>46</v>
      </c>
      <c r="U12" s="4">
        <v>350</v>
      </c>
      <c r="V12" s="4">
        <v>340</v>
      </c>
      <c r="W12" s="4">
        <v>6945</v>
      </c>
      <c r="X12" s="4">
        <v>5812</v>
      </c>
      <c r="Y12" s="5">
        <v>5.7</v>
      </c>
      <c r="Z12" s="5">
        <v>3.05</v>
      </c>
      <c r="AA12" s="4">
        <v>1309</v>
      </c>
      <c r="AB12" s="4"/>
      <c r="AC12" s="13">
        <f t="shared" ref="AC12:AH12" si="22">IF(OR(C13=""),"",C13-C12)</f>
        <v>39092</v>
      </c>
      <c r="AD12" s="13">
        <f t="shared" si="22"/>
        <v>42365</v>
      </c>
      <c r="AE12" s="13">
        <f t="shared" si="22"/>
        <v>36972</v>
      </c>
      <c r="AF12" s="13">
        <f t="shared" si="22"/>
        <v>36159</v>
      </c>
      <c r="AG12" s="13">
        <f t="shared" si="22"/>
        <v>152704</v>
      </c>
      <c r="AH12" s="13">
        <f t="shared" si="22"/>
        <v>5498</v>
      </c>
      <c r="AI12" s="13">
        <f t="shared" si="1"/>
        <v>1884</v>
      </c>
      <c r="AJ12" s="13">
        <f t="shared" si="2"/>
        <v>152718</v>
      </c>
      <c r="AK12" s="13">
        <f t="shared" si="3"/>
        <v>5498</v>
      </c>
      <c r="AL12" s="13">
        <f t="shared" si="4"/>
        <v>147220</v>
      </c>
      <c r="AM12" s="13">
        <v>3500</v>
      </c>
      <c r="AN12" s="13">
        <f t="shared" si="5"/>
        <v>3504</v>
      </c>
      <c r="AO12" s="13">
        <f t="shared" si="6"/>
        <v>10</v>
      </c>
      <c r="AP12" s="13">
        <f t="shared" si="7"/>
        <v>2485</v>
      </c>
      <c r="AQ12" s="13">
        <f t="shared" si="8"/>
        <v>816</v>
      </c>
      <c r="AR12" s="13">
        <f t="shared" si="9"/>
        <v>1949.99999999993</v>
      </c>
      <c r="AS12" s="17">
        <f t="shared" si="10"/>
        <v>23.8</v>
      </c>
      <c r="AT12" s="17">
        <f t="shared" si="11"/>
        <v>0.07</v>
      </c>
      <c r="AU12" s="18">
        <f t="shared" si="12"/>
        <v>16.9</v>
      </c>
      <c r="AV12" s="17">
        <f t="shared" si="13"/>
        <v>5.54</v>
      </c>
    </row>
    <row r="13" spans="1:48">
      <c r="A13" s="6">
        <v>43688</v>
      </c>
      <c r="B13" s="5" t="s">
        <v>48</v>
      </c>
      <c r="C13" s="4">
        <v>38536874</v>
      </c>
      <c r="D13" s="4">
        <v>26448449</v>
      </c>
      <c r="E13" s="4">
        <v>21515232</v>
      </c>
      <c r="F13" s="4">
        <v>21072294</v>
      </c>
      <c r="G13" s="4">
        <v>316396507</v>
      </c>
      <c r="H13" s="4">
        <v>107056135</v>
      </c>
      <c r="I13" s="4">
        <v>316396474</v>
      </c>
      <c r="J13" s="4">
        <v>107056135</v>
      </c>
      <c r="K13" s="4"/>
      <c r="L13" s="5">
        <v>4299.8</v>
      </c>
      <c r="M13" s="5">
        <v>4492.38</v>
      </c>
      <c r="N13" s="5">
        <v>74188.31</v>
      </c>
      <c r="O13" s="5">
        <v>1537.5</v>
      </c>
      <c r="P13" s="5">
        <v>1566.6</v>
      </c>
      <c r="Q13" s="5"/>
      <c r="R13" s="5"/>
      <c r="S13" s="10">
        <v>31.3</v>
      </c>
      <c r="T13" s="4" t="s">
        <v>46</v>
      </c>
      <c r="U13" s="4">
        <v>420</v>
      </c>
      <c r="V13" s="4">
        <v>430</v>
      </c>
      <c r="W13" s="4">
        <v>7415</v>
      </c>
      <c r="X13" s="4">
        <v>5874</v>
      </c>
      <c r="Y13" s="5">
        <v>6.32</v>
      </c>
      <c r="Z13" s="5">
        <v>3.5</v>
      </c>
      <c r="AA13" s="4">
        <v>1378</v>
      </c>
      <c r="AB13" s="4"/>
      <c r="AC13" s="13">
        <f t="shared" ref="AC13:AH13" si="23">IF(OR(C14=""),"",C14-C13)</f>
        <v>39572</v>
      </c>
      <c r="AD13" s="13">
        <f t="shared" si="23"/>
        <v>43360</v>
      </c>
      <c r="AE13" s="13">
        <f t="shared" si="23"/>
        <v>37741</v>
      </c>
      <c r="AF13" s="13">
        <f t="shared" si="23"/>
        <v>37106</v>
      </c>
      <c r="AG13" s="13">
        <f t="shared" si="23"/>
        <v>150069</v>
      </c>
      <c r="AH13" s="13">
        <f t="shared" si="23"/>
        <v>5503</v>
      </c>
      <c r="AI13" s="13">
        <f t="shared" si="1"/>
        <v>7710</v>
      </c>
      <c r="AJ13" s="13">
        <f t="shared" si="2"/>
        <v>150021</v>
      </c>
      <c r="AK13" s="13">
        <f t="shared" si="3"/>
        <v>5497</v>
      </c>
      <c r="AL13" s="13">
        <f t="shared" si="4"/>
        <v>144524</v>
      </c>
      <c r="AM13" s="13">
        <v>3600</v>
      </c>
      <c r="AN13" s="13">
        <f t="shared" si="5"/>
        <v>0</v>
      </c>
      <c r="AO13" s="13">
        <f t="shared" si="6"/>
        <v>0</v>
      </c>
      <c r="AP13" s="13">
        <f t="shared" si="7"/>
        <v>2982</v>
      </c>
      <c r="AQ13" s="13">
        <f t="shared" si="8"/>
        <v>1032</v>
      </c>
      <c r="AR13" s="13">
        <f t="shared" si="9"/>
        <v>3500.00000000023</v>
      </c>
      <c r="AS13" s="17">
        <f t="shared" si="10"/>
        <v>0</v>
      </c>
      <c r="AT13" s="17">
        <f t="shared" si="11"/>
        <v>0</v>
      </c>
      <c r="AU13" s="18">
        <f t="shared" si="12"/>
        <v>20.6</v>
      </c>
      <c r="AV13" s="17">
        <f t="shared" si="13"/>
        <v>7.14</v>
      </c>
    </row>
    <row r="14" spans="1:48">
      <c r="A14" s="6">
        <v>43689</v>
      </c>
      <c r="B14" s="5" t="s">
        <v>48</v>
      </c>
      <c r="C14" s="4">
        <v>38576446</v>
      </c>
      <c r="D14" s="4">
        <v>26491809</v>
      </c>
      <c r="E14" s="4">
        <v>21552973</v>
      </c>
      <c r="F14" s="4">
        <v>21109400</v>
      </c>
      <c r="G14" s="4">
        <v>316546576</v>
      </c>
      <c r="H14" s="4">
        <v>107061638</v>
      </c>
      <c r="I14" s="4">
        <v>316546495</v>
      </c>
      <c r="J14" s="4">
        <v>107061632</v>
      </c>
      <c r="K14" s="4"/>
      <c r="L14" s="5">
        <v>4299.8</v>
      </c>
      <c r="M14" s="5">
        <v>4492.38</v>
      </c>
      <c r="N14" s="5">
        <v>74188.31</v>
      </c>
      <c r="O14" s="5">
        <v>1540.4</v>
      </c>
      <c r="P14" s="5">
        <v>1570.7</v>
      </c>
      <c r="Q14" s="5"/>
      <c r="R14" s="5"/>
      <c r="S14" s="10">
        <v>32</v>
      </c>
      <c r="T14" s="4" t="s">
        <v>46</v>
      </c>
      <c r="U14" s="4">
        <v>400</v>
      </c>
      <c r="V14" s="4">
        <v>380</v>
      </c>
      <c r="W14" s="4">
        <v>7012</v>
      </c>
      <c r="X14" s="4">
        <v>6234</v>
      </c>
      <c r="Y14" s="5">
        <v>4.52</v>
      </c>
      <c r="Z14" s="5">
        <v>3.91</v>
      </c>
      <c r="AA14" s="4">
        <v>1440</v>
      </c>
      <c r="AB14" s="4"/>
      <c r="AC14" s="13">
        <f t="shared" ref="AC14:AH14" si="24">IF(OR(C15=""),"",C15-C14)</f>
        <v>40263</v>
      </c>
      <c r="AD14" s="13">
        <f t="shared" si="24"/>
        <v>43858</v>
      </c>
      <c r="AE14" s="13">
        <f t="shared" si="24"/>
        <v>41766</v>
      </c>
      <c r="AF14" s="13">
        <f t="shared" si="24"/>
        <v>40741</v>
      </c>
      <c r="AG14" s="13">
        <f t="shared" si="24"/>
        <v>159633</v>
      </c>
      <c r="AH14" s="13">
        <f t="shared" si="24"/>
        <v>5508</v>
      </c>
      <c r="AI14" s="13">
        <f t="shared" si="1"/>
        <v>6995</v>
      </c>
      <c r="AJ14" s="13">
        <f t="shared" si="2"/>
        <v>159736</v>
      </c>
      <c r="AK14" s="13">
        <f t="shared" si="3"/>
        <v>5514</v>
      </c>
      <c r="AL14" s="13">
        <f t="shared" si="4"/>
        <v>154222</v>
      </c>
      <c r="AM14" s="13">
        <v>3600</v>
      </c>
      <c r="AN14" s="13">
        <f t="shared" si="5"/>
        <v>0</v>
      </c>
      <c r="AO14" s="13">
        <f t="shared" si="6"/>
        <v>0</v>
      </c>
      <c r="AP14" s="13">
        <f t="shared" si="7"/>
        <v>2840</v>
      </c>
      <c r="AQ14" s="13">
        <f t="shared" si="8"/>
        <v>912</v>
      </c>
      <c r="AR14" s="13">
        <f t="shared" si="9"/>
        <v>4049.99999999984</v>
      </c>
      <c r="AS14" s="17">
        <f t="shared" si="10"/>
        <v>0</v>
      </c>
      <c r="AT14" s="17">
        <f t="shared" si="11"/>
        <v>0</v>
      </c>
      <c r="AU14" s="18">
        <f t="shared" si="12"/>
        <v>18.4</v>
      </c>
      <c r="AV14" s="17">
        <f t="shared" si="13"/>
        <v>5.91</v>
      </c>
    </row>
    <row r="15" spans="1:48">
      <c r="A15" s="6">
        <v>43690</v>
      </c>
      <c r="B15" s="5" t="s">
        <v>47</v>
      </c>
      <c r="C15" s="4">
        <v>38616709</v>
      </c>
      <c r="D15" s="4">
        <v>26535667</v>
      </c>
      <c r="E15" s="4">
        <v>21594739</v>
      </c>
      <c r="F15" s="4">
        <v>21150141</v>
      </c>
      <c r="G15" s="4">
        <v>316706209</v>
      </c>
      <c r="H15" s="4">
        <v>107067146</v>
      </c>
      <c r="I15" s="4">
        <v>316706231</v>
      </c>
      <c r="J15" s="4">
        <v>107067146</v>
      </c>
      <c r="K15" s="4"/>
      <c r="L15" s="5">
        <v>4299.8</v>
      </c>
      <c r="M15" s="5">
        <v>4492.38</v>
      </c>
      <c r="N15" s="5">
        <v>74188.31</v>
      </c>
      <c r="O15" s="5">
        <v>1544.4</v>
      </c>
      <c r="P15" s="5">
        <v>1574.8</v>
      </c>
      <c r="Q15" s="5"/>
      <c r="R15" s="5"/>
      <c r="S15" s="10">
        <v>31.8</v>
      </c>
      <c r="T15" s="4" t="s">
        <v>46</v>
      </c>
      <c r="U15" s="4">
        <v>230</v>
      </c>
      <c r="V15" s="4">
        <v>220</v>
      </c>
      <c r="W15" s="4">
        <v>8325</v>
      </c>
      <c r="X15" s="4">
        <v>6719</v>
      </c>
      <c r="Y15" s="5">
        <v>6.98</v>
      </c>
      <c r="Z15" s="5">
        <v>4.46</v>
      </c>
      <c r="AA15" s="4">
        <v>1374</v>
      </c>
      <c r="AB15" s="4"/>
      <c r="AC15" s="13">
        <f t="shared" ref="AC15:AH15" si="25">IF(OR(C16=""),"",C16-C15)</f>
        <v>40340</v>
      </c>
      <c r="AD15" s="13">
        <f t="shared" si="25"/>
        <v>45691</v>
      </c>
      <c r="AE15" s="13">
        <f t="shared" si="25"/>
        <v>46353</v>
      </c>
      <c r="AF15" s="13">
        <f t="shared" si="25"/>
        <v>43237</v>
      </c>
      <c r="AG15" s="13">
        <f t="shared" si="25"/>
        <v>178083</v>
      </c>
      <c r="AH15" s="13">
        <f t="shared" si="25"/>
        <v>5506</v>
      </c>
      <c r="AI15" s="13">
        <f t="shared" si="1"/>
        <v>-2462</v>
      </c>
      <c r="AJ15" s="13">
        <f t="shared" si="2"/>
        <v>177959</v>
      </c>
      <c r="AK15" s="13">
        <f t="shared" si="3"/>
        <v>5506</v>
      </c>
      <c r="AL15" s="13">
        <f t="shared" si="4"/>
        <v>172453</v>
      </c>
      <c r="AM15" s="13">
        <v>3500</v>
      </c>
      <c r="AN15" s="13">
        <f t="shared" si="5"/>
        <v>0</v>
      </c>
      <c r="AO15" s="13">
        <f t="shared" si="6"/>
        <v>0</v>
      </c>
      <c r="AP15" s="13">
        <f t="shared" si="7"/>
        <v>1633</v>
      </c>
      <c r="AQ15" s="13">
        <f t="shared" si="8"/>
        <v>528</v>
      </c>
      <c r="AR15" s="13">
        <f t="shared" si="9"/>
        <v>4199.99999999993</v>
      </c>
      <c r="AS15" s="17">
        <f t="shared" si="10"/>
        <v>0</v>
      </c>
      <c r="AT15" s="17">
        <f t="shared" si="11"/>
        <v>0</v>
      </c>
      <c r="AU15" s="18">
        <f t="shared" si="12"/>
        <v>9.5</v>
      </c>
      <c r="AV15" s="17">
        <f t="shared" si="13"/>
        <v>3.06</v>
      </c>
    </row>
    <row r="16" spans="1:48">
      <c r="A16" s="6">
        <v>43691</v>
      </c>
      <c r="B16" s="5" t="s">
        <v>47</v>
      </c>
      <c r="C16" s="4">
        <v>38657049</v>
      </c>
      <c r="D16" s="4">
        <v>26581358</v>
      </c>
      <c r="E16" s="4">
        <v>21641092</v>
      </c>
      <c r="F16" s="4">
        <v>21193378</v>
      </c>
      <c r="G16" s="4">
        <v>316884292</v>
      </c>
      <c r="H16" s="4">
        <v>107072652</v>
      </c>
      <c r="I16" s="4">
        <v>316884190</v>
      </c>
      <c r="J16" s="4">
        <v>107072652</v>
      </c>
      <c r="K16" s="4"/>
      <c r="L16" s="5">
        <v>4299.8</v>
      </c>
      <c r="M16" s="5">
        <v>4492.38</v>
      </c>
      <c r="N16" s="5">
        <v>74188.31</v>
      </c>
      <c r="O16" s="5">
        <v>1548.6</v>
      </c>
      <c r="P16" s="5">
        <v>1579</v>
      </c>
      <c r="Q16" s="5"/>
      <c r="R16" s="5"/>
      <c r="S16" s="10">
        <v>32.8</v>
      </c>
      <c r="T16" s="4" t="s">
        <v>46</v>
      </c>
      <c r="U16" s="4">
        <v>420</v>
      </c>
      <c r="V16" s="4">
        <v>440</v>
      </c>
      <c r="W16" s="4">
        <v>9245</v>
      </c>
      <c r="X16" s="4">
        <v>8745</v>
      </c>
      <c r="Y16" s="5">
        <v>6.27</v>
      </c>
      <c r="Z16" s="5">
        <v>3.13</v>
      </c>
      <c r="AA16" s="4">
        <v>1375</v>
      </c>
      <c r="AB16" s="4"/>
      <c r="AC16" s="13">
        <f t="shared" ref="AC16:AH16" si="26">IF(OR(C17=""),"",C17-C16)</f>
        <v>41714</v>
      </c>
      <c r="AD16" s="13">
        <f t="shared" si="26"/>
        <v>47727</v>
      </c>
      <c r="AE16" s="13">
        <f t="shared" si="26"/>
        <v>58321</v>
      </c>
      <c r="AF16" s="13">
        <f t="shared" si="26"/>
        <v>57723</v>
      </c>
      <c r="AG16" s="13">
        <f t="shared" si="26"/>
        <v>197074</v>
      </c>
      <c r="AH16" s="13">
        <f t="shared" si="26"/>
        <v>5508</v>
      </c>
      <c r="AI16" s="13">
        <f t="shared" si="1"/>
        <v>8411</v>
      </c>
      <c r="AJ16" s="13">
        <f t="shared" si="2"/>
        <v>197064</v>
      </c>
      <c r="AK16" s="13">
        <f t="shared" si="3"/>
        <v>5508</v>
      </c>
      <c r="AL16" s="13">
        <f t="shared" si="4"/>
        <v>191556</v>
      </c>
      <c r="AM16" s="13">
        <v>3400</v>
      </c>
      <c r="AN16" s="13">
        <f t="shared" si="5"/>
        <v>12</v>
      </c>
      <c r="AO16" s="13">
        <f t="shared" si="6"/>
        <v>1</v>
      </c>
      <c r="AP16" s="13">
        <f t="shared" si="7"/>
        <v>2982</v>
      </c>
      <c r="AQ16" s="13">
        <f t="shared" si="8"/>
        <v>1056</v>
      </c>
      <c r="AR16" s="13">
        <f t="shared" si="9"/>
        <v>4299.99999999995</v>
      </c>
      <c r="AS16" s="17">
        <f t="shared" si="10"/>
        <v>0.1</v>
      </c>
      <c r="AT16" s="17">
        <f t="shared" si="11"/>
        <v>0.01</v>
      </c>
      <c r="AU16" s="18">
        <f t="shared" si="12"/>
        <v>15.6</v>
      </c>
      <c r="AV16" s="17">
        <f t="shared" si="13"/>
        <v>5.51</v>
      </c>
    </row>
    <row r="17" spans="1:48">
      <c r="A17" s="6">
        <v>43692</v>
      </c>
      <c r="B17" s="5" t="s">
        <v>48</v>
      </c>
      <c r="C17" s="4">
        <v>38698763</v>
      </c>
      <c r="D17" s="4">
        <v>26629085</v>
      </c>
      <c r="E17" s="4">
        <v>21699413</v>
      </c>
      <c r="F17" s="4">
        <v>21251101</v>
      </c>
      <c r="G17" s="4">
        <v>317081366</v>
      </c>
      <c r="H17" s="4">
        <v>107078160</v>
      </c>
      <c r="I17" s="4">
        <v>317081254</v>
      </c>
      <c r="J17" s="4">
        <v>107078160</v>
      </c>
      <c r="K17" s="4"/>
      <c r="L17" s="5">
        <v>4299.8</v>
      </c>
      <c r="M17" s="5">
        <v>4492.39</v>
      </c>
      <c r="N17" s="5">
        <v>74188.92</v>
      </c>
      <c r="O17" s="5">
        <v>1552.9</v>
      </c>
      <c r="P17" s="5">
        <v>1583.3</v>
      </c>
      <c r="Q17" s="5"/>
      <c r="R17" s="5"/>
      <c r="S17" s="10">
        <v>32.5</v>
      </c>
      <c r="T17" s="4" t="s">
        <v>46</v>
      </c>
      <c r="U17" s="4">
        <v>600</v>
      </c>
      <c r="V17" s="4">
        <v>620</v>
      </c>
      <c r="W17" s="4">
        <v>9012</v>
      </c>
      <c r="X17" s="4">
        <v>5878</v>
      </c>
      <c r="Y17" s="5">
        <v>6.56</v>
      </c>
      <c r="Z17" s="5">
        <v>2.95</v>
      </c>
      <c r="AA17" s="4">
        <v>1329</v>
      </c>
      <c r="AB17" s="4"/>
      <c r="AC17" s="13">
        <f t="shared" ref="AC17:AH17" si="27">IF(OR(C18=""),"",C18-C17)</f>
        <v>34018</v>
      </c>
      <c r="AD17" s="13">
        <f t="shared" si="27"/>
        <v>37345</v>
      </c>
      <c r="AE17" s="13">
        <f t="shared" si="27"/>
        <v>57424</v>
      </c>
      <c r="AF17" s="13">
        <f t="shared" si="27"/>
        <v>56850</v>
      </c>
      <c r="AG17" s="13">
        <f t="shared" si="27"/>
        <v>180734</v>
      </c>
      <c r="AH17" s="13">
        <f t="shared" si="27"/>
        <v>5526</v>
      </c>
      <c r="AI17" s="13">
        <f t="shared" si="1"/>
        <v>4903</v>
      </c>
      <c r="AJ17" s="13">
        <f t="shared" si="2"/>
        <v>180799</v>
      </c>
      <c r="AK17" s="13">
        <f t="shared" si="3"/>
        <v>5520</v>
      </c>
      <c r="AL17" s="13">
        <f t="shared" si="4"/>
        <v>175279</v>
      </c>
      <c r="AM17" s="13">
        <v>3600</v>
      </c>
      <c r="AN17" s="13">
        <f t="shared" si="5"/>
        <v>0</v>
      </c>
      <c r="AO17" s="13">
        <f t="shared" si="6"/>
        <v>0</v>
      </c>
      <c r="AP17" s="13">
        <f t="shared" si="7"/>
        <v>4260</v>
      </c>
      <c r="AQ17" s="13">
        <f t="shared" si="8"/>
        <v>1488</v>
      </c>
      <c r="AR17" s="13">
        <f t="shared" si="9"/>
        <v>4249.99999999989</v>
      </c>
      <c r="AS17" s="17">
        <f t="shared" si="10"/>
        <v>0</v>
      </c>
      <c r="AT17" s="17">
        <f t="shared" si="11"/>
        <v>0</v>
      </c>
      <c r="AU17" s="18">
        <f t="shared" si="12"/>
        <v>24.3</v>
      </c>
      <c r="AV17" s="17">
        <f t="shared" si="13"/>
        <v>8.49</v>
      </c>
    </row>
    <row r="18" spans="1:48">
      <c r="A18" s="6">
        <v>43693</v>
      </c>
      <c r="B18" s="5" t="s">
        <v>48</v>
      </c>
      <c r="C18" s="4">
        <v>38732781</v>
      </c>
      <c r="D18" s="4">
        <v>26666430</v>
      </c>
      <c r="E18" s="4">
        <v>21756837</v>
      </c>
      <c r="F18" s="4">
        <v>21307951</v>
      </c>
      <c r="G18" s="4">
        <v>317262100</v>
      </c>
      <c r="H18" s="4">
        <v>107083686</v>
      </c>
      <c r="I18" s="4">
        <v>317262053</v>
      </c>
      <c r="J18" s="4">
        <v>107083680</v>
      </c>
      <c r="K18" s="4"/>
      <c r="L18" s="5">
        <v>4299.8</v>
      </c>
      <c r="M18" s="5">
        <v>4492.39</v>
      </c>
      <c r="N18" s="5">
        <v>74188.92</v>
      </c>
      <c r="O18" s="5">
        <v>1557.2</v>
      </c>
      <c r="P18" s="5">
        <v>1587.5</v>
      </c>
      <c r="Q18" s="5"/>
      <c r="R18" s="5"/>
      <c r="S18" s="10">
        <v>31.1</v>
      </c>
      <c r="T18" s="4" t="s">
        <v>46</v>
      </c>
      <c r="U18" s="4">
        <v>800</v>
      </c>
      <c r="V18" s="4">
        <v>780</v>
      </c>
      <c r="W18" s="4">
        <v>9601</v>
      </c>
      <c r="X18" s="4">
        <v>5978</v>
      </c>
      <c r="Y18" s="5">
        <v>7.8</v>
      </c>
      <c r="Z18" s="5">
        <v>4.3</v>
      </c>
      <c r="AA18" s="4">
        <v>1440</v>
      </c>
      <c r="AB18" s="4"/>
      <c r="AC18" s="13">
        <f t="shared" ref="AC18:AH18" si="28">IF(OR(C19=""),"",C19-C18)</f>
        <v>47760</v>
      </c>
      <c r="AD18" s="13">
        <f t="shared" si="28"/>
        <v>52646</v>
      </c>
      <c r="AE18" s="13">
        <f t="shared" si="28"/>
        <v>60118</v>
      </c>
      <c r="AF18" s="13">
        <f t="shared" si="28"/>
        <v>60507</v>
      </c>
      <c r="AG18" s="13">
        <f t="shared" si="28"/>
        <v>210141</v>
      </c>
      <c r="AH18" s="13">
        <f t="shared" si="28"/>
        <v>5512</v>
      </c>
      <c r="AI18" s="13">
        <f t="shared" si="1"/>
        <v>10890</v>
      </c>
      <c r="AJ18" s="13">
        <f t="shared" si="2"/>
        <v>210188</v>
      </c>
      <c r="AK18" s="13">
        <f t="shared" si="3"/>
        <v>5518</v>
      </c>
      <c r="AL18" s="13">
        <f t="shared" si="4"/>
        <v>204670</v>
      </c>
      <c r="AM18" s="13">
        <v>5100</v>
      </c>
      <c r="AN18" s="13">
        <f t="shared" si="5"/>
        <v>0</v>
      </c>
      <c r="AO18" s="13">
        <f t="shared" si="6"/>
        <v>0</v>
      </c>
      <c r="AP18" s="13">
        <f t="shared" si="7"/>
        <v>5680</v>
      </c>
      <c r="AQ18" s="13">
        <f t="shared" si="8"/>
        <v>1872</v>
      </c>
      <c r="AR18" s="13">
        <f t="shared" si="9"/>
        <v>4249.99999999989</v>
      </c>
      <c r="AS18" s="17">
        <f t="shared" si="10"/>
        <v>0</v>
      </c>
      <c r="AT18" s="17">
        <f t="shared" si="11"/>
        <v>0</v>
      </c>
      <c r="AU18" s="18">
        <f t="shared" si="12"/>
        <v>27.8</v>
      </c>
      <c r="AV18" s="17">
        <f t="shared" si="13"/>
        <v>9.15</v>
      </c>
    </row>
    <row r="19" spans="1:48">
      <c r="A19" s="6">
        <v>43694</v>
      </c>
      <c r="B19" s="5" t="s">
        <v>48</v>
      </c>
      <c r="C19" s="4">
        <v>38780541</v>
      </c>
      <c r="D19" s="4">
        <v>26719076</v>
      </c>
      <c r="E19" s="4">
        <v>21816955</v>
      </c>
      <c r="F19" s="4">
        <v>21368458</v>
      </c>
      <c r="G19" s="4">
        <v>317472241</v>
      </c>
      <c r="H19" s="4">
        <v>107089198</v>
      </c>
      <c r="I19" s="4">
        <v>317472241</v>
      </c>
      <c r="J19" s="4">
        <v>107089198</v>
      </c>
      <c r="K19" s="4"/>
      <c r="L19" s="5">
        <v>4299.8</v>
      </c>
      <c r="M19" s="5">
        <v>4492.39</v>
      </c>
      <c r="N19" s="5">
        <v>74188.92</v>
      </c>
      <c r="O19" s="5">
        <v>1561.4</v>
      </c>
      <c r="P19" s="5">
        <v>1591.8</v>
      </c>
      <c r="Q19" s="5"/>
      <c r="R19" s="5"/>
      <c r="S19" s="10">
        <v>31.9</v>
      </c>
      <c r="T19" s="4" t="s">
        <v>46</v>
      </c>
      <c r="U19" s="4">
        <v>330</v>
      </c>
      <c r="V19" s="4">
        <v>350</v>
      </c>
      <c r="W19" s="4">
        <v>9547</v>
      </c>
      <c r="X19" s="4">
        <v>8125</v>
      </c>
      <c r="Y19" s="5">
        <v>7.5</v>
      </c>
      <c r="Z19" s="5">
        <v>6.5</v>
      </c>
      <c r="AA19" s="4">
        <v>1379</v>
      </c>
      <c r="AB19" s="4"/>
      <c r="AC19" s="13">
        <f t="shared" ref="AC19:AH19" si="29">IF(OR(C20=""),"",C20-C19)</f>
        <v>48136</v>
      </c>
      <c r="AD19" s="13">
        <f t="shared" si="29"/>
        <v>59966</v>
      </c>
      <c r="AE19" s="13">
        <f t="shared" si="29"/>
        <v>57789</v>
      </c>
      <c r="AF19" s="13">
        <f t="shared" si="29"/>
        <v>59389</v>
      </c>
      <c r="AG19" s="13">
        <f t="shared" si="29"/>
        <v>213557</v>
      </c>
      <c r="AH19" s="13">
        <f t="shared" si="29"/>
        <v>5521</v>
      </c>
      <c r="AI19" s="13">
        <f t="shared" si="1"/>
        <v>11723</v>
      </c>
      <c r="AJ19" s="13">
        <f t="shared" si="2"/>
        <v>213403</v>
      </c>
      <c r="AK19" s="13">
        <f t="shared" si="3"/>
        <v>5522</v>
      </c>
      <c r="AL19" s="13">
        <f t="shared" si="4"/>
        <v>207881</v>
      </c>
      <c r="AM19" s="13">
        <v>7000</v>
      </c>
      <c r="AN19" s="13">
        <f t="shared" si="5"/>
        <v>0</v>
      </c>
      <c r="AO19" s="13">
        <f t="shared" si="6"/>
        <v>0</v>
      </c>
      <c r="AP19" s="13">
        <f t="shared" si="7"/>
        <v>2343</v>
      </c>
      <c r="AQ19" s="13">
        <f t="shared" si="8"/>
        <v>840</v>
      </c>
      <c r="AR19" s="13">
        <f t="shared" si="9"/>
        <v>4100.00000000002</v>
      </c>
      <c r="AS19" s="17">
        <f t="shared" si="10"/>
        <v>0</v>
      </c>
      <c r="AT19" s="17">
        <f t="shared" si="11"/>
        <v>0</v>
      </c>
      <c r="AU19" s="18">
        <f t="shared" si="12"/>
        <v>11.3</v>
      </c>
      <c r="AV19" s="17">
        <f t="shared" si="13"/>
        <v>4.04</v>
      </c>
    </row>
    <row r="20" spans="1:48">
      <c r="A20" s="6">
        <v>43695</v>
      </c>
      <c r="B20" s="5" t="s">
        <v>48</v>
      </c>
      <c r="C20" s="4">
        <v>38828677</v>
      </c>
      <c r="D20" s="4">
        <v>26779042</v>
      </c>
      <c r="E20" s="4">
        <v>21874744</v>
      </c>
      <c r="F20" s="4">
        <v>21427847</v>
      </c>
      <c r="G20" s="4">
        <v>317685798</v>
      </c>
      <c r="H20" s="4">
        <v>107094719</v>
      </c>
      <c r="I20" s="4">
        <v>317685644</v>
      </c>
      <c r="J20" s="4">
        <v>107094720</v>
      </c>
      <c r="K20" s="4"/>
      <c r="L20" s="5">
        <v>4299.8</v>
      </c>
      <c r="M20" s="5">
        <v>4492.39</v>
      </c>
      <c r="N20" s="5">
        <v>74188.92</v>
      </c>
      <c r="O20" s="5">
        <v>1565.4</v>
      </c>
      <c r="P20" s="5">
        <v>1596</v>
      </c>
      <c r="Q20" s="5"/>
      <c r="R20" s="5"/>
      <c r="S20" s="10">
        <v>30.2</v>
      </c>
      <c r="T20" s="4" t="s">
        <v>46</v>
      </c>
      <c r="U20" s="4">
        <v>500</v>
      </c>
      <c r="V20" s="4">
        <v>480</v>
      </c>
      <c r="W20" s="4">
        <v>9478</v>
      </c>
      <c r="X20" s="4">
        <v>8245</v>
      </c>
      <c r="Y20" s="5">
        <v>6.88</v>
      </c>
      <c r="Z20" s="5">
        <v>5.62</v>
      </c>
      <c r="AA20" s="4">
        <v>1376</v>
      </c>
      <c r="AB20" s="4"/>
      <c r="AC20" s="13">
        <f t="shared" ref="AC20:AH20" si="30">IF(OR(C21=""),"",C21-C20)</f>
        <v>46688</v>
      </c>
      <c r="AD20" s="13">
        <f t="shared" si="30"/>
        <v>58549</v>
      </c>
      <c r="AE20" s="13">
        <f t="shared" si="30"/>
        <v>58384</v>
      </c>
      <c r="AF20" s="13">
        <f t="shared" si="30"/>
        <v>60230</v>
      </c>
      <c r="AG20" s="13">
        <f t="shared" si="30"/>
        <v>211922</v>
      </c>
      <c r="AH20" s="13">
        <f t="shared" si="30"/>
        <v>5503</v>
      </c>
      <c r="AI20" s="13">
        <f t="shared" si="1"/>
        <v>11929</v>
      </c>
      <c r="AJ20" s="13">
        <f t="shared" si="2"/>
        <v>212573</v>
      </c>
      <c r="AK20" s="13">
        <f t="shared" si="3"/>
        <v>5512</v>
      </c>
      <c r="AL20" s="13">
        <f t="shared" si="4"/>
        <v>207061</v>
      </c>
      <c r="AM20" s="13">
        <v>6000</v>
      </c>
      <c r="AN20" s="13">
        <f t="shared" si="5"/>
        <v>0</v>
      </c>
      <c r="AO20" s="13">
        <f t="shared" si="6"/>
        <v>0</v>
      </c>
      <c r="AP20" s="13">
        <f t="shared" si="7"/>
        <v>3550</v>
      </c>
      <c r="AQ20" s="13">
        <f t="shared" si="8"/>
        <v>1152</v>
      </c>
      <c r="AR20" s="13">
        <f t="shared" si="9"/>
        <v>600.000000000136</v>
      </c>
      <c r="AS20" s="17">
        <f t="shared" si="10"/>
        <v>0</v>
      </c>
      <c r="AT20" s="17">
        <f t="shared" si="11"/>
        <v>0</v>
      </c>
      <c r="AU20" s="18">
        <f t="shared" si="12"/>
        <v>17.1</v>
      </c>
      <c r="AV20" s="17">
        <f t="shared" si="13"/>
        <v>5.56</v>
      </c>
    </row>
    <row r="21" spans="1:48">
      <c r="A21" s="6">
        <v>43696</v>
      </c>
      <c r="B21" s="5" t="s">
        <v>48</v>
      </c>
      <c r="C21" s="4">
        <v>38875365</v>
      </c>
      <c r="D21" s="4">
        <v>26837591</v>
      </c>
      <c r="E21" s="4">
        <v>21933128</v>
      </c>
      <c r="F21" s="4">
        <v>21488077</v>
      </c>
      <c r="G21" s="4">
        <v>317897720</v>
      </c>
      <c r="H21" s="4">
        <v>107100222</v>
      </c>
      <c r="I21" s="4">
        <v>317898217</v>
      </c>
      <c r="J21" s="4">
        <v>107100232</v>
      </c>
      <c r="K21" s="4"/>
      <c r="L21" s="5">
        <v>4299.8</v>
      </c>
      <c r="M21" s="5">
        <v>4492.39</v>
      </c>
      <c r="N21" s="5">
        <v>74188.92</v>
      </c>
      <c r="O21" s="5">
        <v>1565.4</v>
      </c>
      <c r="P21" s="5">
        <v>1597.2</v>
      </c>
      <c r="Q21" s="5"/>
      <c r="R21" s="5"/>
      <c r="S21" s="10">
        <v>31.6</v>
      </c>
      <c r="T21" s="4" t="s">
        <v>46</v>
      </c>
      <c r="U21" s="4">
        <v>380</v>
      </c>
      <c r="V21" s="4">
        <v>360</v>
      </c>
      <c r="W21" s="4">
        <v>9554</v>
      </c>
      <c r="X21" s="4">
        <v>8098</v>
      </c>
      <c r="Y21" s="5">
        <v>6.72</v>
      </c>
      <c r="Z21" s="5">
        <v>4.37</v>
      </c>
      <c r="AA21" s="4">
        <v>1375</v>
      </c>
      <c r="AB21" s="4"/>
      <c r="AC21" s="13">
        <f t="shared" ref="AC21:AH21" si="31">IF(OR(C22=""),"",C22-C21)</f>
        <v>45862</v>
      </c>
      <c r="AD21" s="13">
        <f t="shared" si="31"/>
        <v>57543</v>
      </c>
      <c r="AE21" s="13">
        <f t="shared" si="31"/>
        <v>57876</v>
      </c>
      <c r="AF21" s="13">
        <f t="shared" si="31"/>
        <v>59462</v>
      </c>
      <c r="AG21" s="13">
        <f t="shared" si="31"/>
        <v>213188</v>
      </c>
      <c r="AH21" s="13">
        <f t="shared" si="31"/>
        <v>5002</v>
      </c>
      <c r="AI21" s="13">
        <f t="shared" si="1"/>
        <v>7555</v>
      </c>
      <c r="AJ21" s="13">
        <f t="shared" si="2"/>
        <v>213190</v>
      </c>
      <c r="AK21" s="13">
        <f t="shared" si="3"/>
        <v>4992</v>
      </c>
      <c r="AL21" s="13">
        <f t="shared" si="4"/>
        <v>208198</v>
      </c>
      <c r="AM21" s="13">
        <v>6500</v>
      </c>
      <c r="AN21" s="13">
        <f t="shared" si="5"/>
        <v>0</v>
      </c>
      <c r="AO21" s="13">
        <f t="shared" si="6"/>
        <v>0</v>
      </c>
      <c r="AP21" s="13">
        <f t="shared" si="7"/>
        <v>2698</v>
      </c>
      <c r="AQ21" s="13">
        <f t="shared" si="8"/>
        <v>864</v>
      </c>
      <c r="AR21" s="13">
        <f t="shared" si="9"/>
        <v>899.999999999977</v>
      </c>
      <c r="AS21" s="17">
        <f t="shared" si="10"/>
        <v>0</v>
      </c>
      <c r="AT21" s="17">
        <f t="shared" si="11"/>
        <v>0</v>
      </c>
      <c r="AU21" s="18">
        <f t="shared" si="12"/>
        <v>13</v>
      </c>
      <c r="AV21" s="17">
        <f t="shared" si="13"/>
        <v>4.15</v>
      </c>
    </row>
    <row r="22" spans="1:48">
      <c r="A22" s="6">
        <v>43697</v>
      </c>
      <c r="B22" s="5" t="s">
        <v>55</v>
      </c>
      <c r="C22" s="4">
        <v>38921227</v>
      </c>
      <c r="D22" s="4">
        <v>26895134</v>
      </c>
      <c r="E22" s="4">
        <v>21991004</v>
      </c>
      <c r="F22" s="4">
        <v>21547539</v>
      </c>
      <c r="G22" s="4">
        <v>318110908</v>
      </c>
      <c r="H22" s="4">
        <v>107105224</v>
      </c>
      <c r="I22" s="4">
        <v>318111407</v>
      </c>
      <c r="J22" s="4">
        <v>107105224</v>
      </c>
      <c r="K22" s="4"/>
      <c r="L22" s="5">
        <v>4299.8</v>
      </c>
      <c r="M22" s="5">
        <v>4492.39</v>
      </c>
      <c r="N22" s="5">
        <v>74188.92</v>
      </c>
      <c r="O22" s="5">
        <v>1565.4</v>
      </c>
      <c r="P22" s="5">
        <v>1599</v>
      </c>
      <c r="Q22" s="5"/>
      <c r="R22" s="5"/>
      <c r="S22" s="10">
        <v>30</v>
      </c>
      <c r="T22" s="4" t="s">
        <v>46</v>
      </c>
      <c r="U22" s="4">
        <v>250</v>
      </c>
      <c r="V22" s="4">
        <v>230</v>
      </c>
      <c r="W22" s="4">
        <v>9021</v>
      </c>
      <c r="X22" s="4">
        <v>3058</v>
      </c>
      <c r="Y22" s="5">
        <v>4.74</v>
      </c>
      <c r="Z22" s="5">
        <v>2.53</v>
      </c>
      <c r="AA22" s="4">
        <v>561</v>
      </c>
      <c r="AB22" s="4"/>
      <c r="AC22" s="13">
        <f t="shared" ref="AC22:AH22" si="32">IF(OR(C23=""),"",C23-C22)</f>
        <v>40344</v>
      </c>
      <c r="AD22" s="13">
        <f t="shared" si="32"/>
        <v>48785</v>
      </c>
      <c r="AE22" s="13">
        <f t="shared" si="32"/>
        <v>49877</v>
      </c>
      <c r="AF22" s="13">
        <f t="shared" si="32"/>
        <v>51565</v>
      </c>
      <c r="AG22" s="13">
        <f t="shared" si="32"/>
        <v>186150</v>
      </c>
      <c r="AH22" s="13">
        <f t="shared" si="32"/>
        <v>4028</v>
      </c>
      <c r="AI22" s="13">
        <f t="shared" si="1"/>
        <v>4421</v>
      </c>
      <c r="AJ22" s="13">
        <f t="shared" si="2"/>
        <v>185860</v>
      </c>
      <c r="AK22" s="13">
        <f t="shared" si="3"/>
        <v>4056</v>
      </c>
      <c r="AL22" s="13">
        <f t="shared" si="4"/>
        <v>181804</v>
      </c>
      <c r="AM22" s="13">
        <v>4500</v>
      </c>
      <c r="AN22" s="13">
        <f t="shared" si="5"/>
        <v>0</v>
      </c>
      <c r="AO22" s="13">
        <f t="shared" si="6"/>
        <v>0</v>
      </c>
      <c r="AP22" s="13">
        <f t="shared" si="7"/>
        <v>1775</v>
      </c>
      <c r="AQ22" s="13">
        <f t="shared" si="8"/>
        <v>552</v>
      </c>
      <c r="AR22" s="13">
        <f t="shared" si="9"/>
        <v>4200.00000000005</v>
      </c>
      <c r="AS22" s="17">
        <f t="shared" si="10"/>
        <v>0</v>
      </c>
      <c r="AT22" s="17">
        <f t="shared" si="11"/>
        <v>0</v>
      </c>
      <c r="AU22" s="18">
        <f t="shared" si="12"/>
        <v>9.8</v>
      </c>
      <c r="AV22" s="17">
        <f t="shared" si="13"/>
        <v>3.04</v>
      </c>
    </row>
    <row r="23" spans="1:48">
      <c r="A23" s="6">
        <v>43698</v>
      </c>
      <c r="B23" s="5" t="s">
        <v>45</v>
      </c>
      <c r="C23" s="4">
        <v>38961571</v>
      </c>
      <c r="D23" s="4">
        <v>26943919</v>
      </c>
      <c r="E23" s="4">
        <v>22040881</v>
      </c>
      <c r="F23" s="4">
        <v>21599104</v>
      </c>
      <c r="G23" s="4">
        <v>318297058</v>
      </c>
      <c r="H23" s="4">
        <v>107109252</v>
      </c>
      <c r="I23" s="4">
        <v>318297267</v>
      </c>
      <c r="J23" s="4">
        <v>107109280</v>
      </c>
      <c r="K23" s="4"/>
      <c r="L23" s="5">
        <v>4299.8</v>
      </c>
      <c r="M23" s="5">
        <v>4492.39</v>
      </c>
      <c r="N23" s="5">
        <v>74188.92</v>
      </c>
      <c r="O23" s="5">
        <v>1569.4</v>
      </c>
      <c r="P23" s="5">
        <v>1603.4</v>
      </c>
      <c r="Q23" s="5"/>
      <c r="R23" s="5"/>
      <c r="S23" s="10">
        <v>31</v>
      </c>
      <c r="T23" s="4" t="s">
        <v>46</v>
      </c>
      <c r="U23" s="4">
        <v>480</v>
      </c>
      <c r="V23" s="4">
        <v>500</v>
      </c>
      <c r="W23" s="4">
        <v>8721</v>
      </c>
      <c r="X23" s="4">
        <v>3955</v>
      </c>
      <c r="Y23" s="5">
        <v>4.6</v>
      </c>
      <c r="Z23" s="5">
        <v>3.23</v>
      </c>
      <c r="AA23" s="4">
        <v>1275</v>
      </c>
      <c r="AB23" s="4"/>
      <c r="AC23" s="13">
        <f t="shared" ref="AC23:AH23" si="33">IF(OR(C24=""),"",C24-C23)</f>
        <v>37967</v>
      </c>
      <c r="AD23" s="13">
        <f t="shared" si="33"/>
        <v>44489</v>
      </c>
      <c r="AE23" s="13">
        <f t="shared" si="33"/>
        <v>47197</v>
      </c>
      <c r="AF23" s="13">
        <f t="shared" si="33"/>
        <v>46665</v>
      </c>
      <c r="AG23" s="13">
        <f t="shared" si="33"/>
        <v>170078</v>
      </c>
      <c r="AH23" s="13">
        <f t="shared" si="33"/>
        <v>5443</v>
      </c>
      <c r="AI23" s="13">
        <f t="shared" si="1"/>
        <v>6240</v>
      </c>
      <c r="AJ23" s="13">
        <f t="shared" si="2"/>
        <v>169957</v>
      </c>
      <c r="AK23" s="13">
        <f t="shared" si="3"/>
        <v>5416</v>
      </c>
      <c r="AL23" s="13">
        <f t="shared" si="4"/>
        <v>164541</v>
      </c>
      <c r="AM23" s="13">
        <v>3600</v>
      </c>
      <c r="AN23" s="13">
        <f t="shared" si="5"/>
        <v>0</v>
      </c>
      <c r="AO23" s="13">
        <f t="shared" si="6"/>
        <v>0</v>
      </c>
      <c r="AP23" s="13">
        <f t="shared" si="7"/>
        <v>3408</v>
      </c>
      <c r="AQ23" s="13">
        <f t="shared" si="8"/>
        <v>1200</v>
      </c>
      <c r="AR23" s="13">
        <f t="shared" si="9"/>
        <v>4000</v>
      </c>
      <c r="AS23" s="17">
        <f t="shared" si="10"/>
        <v>0</v>
      </c>
      <c r="AT23" s="17">
        <f t="shared" si="11"/>
        <v>0</v>
      </c>
      <c r="AU23" s="18">
        <f t="shared" si="12"/>
        <v>20.7</v>
      </c>
      <c r="AV23" s="17">
        <f t="shared" si="13"/>
        <v>7.29</v>
      </c>
    </row>
    <row r="24" spans="1:48">
      <c r="A24" s="6">
        <v>43699</v>
      </c>
      <c r="B24" s="5" t="s">
        <v>48</v>
      </c>
      <c r="C24" s="4">
        <v>38999538</v>
      </c>
      <c r="D24" s="4">
        <v>26988408</v>
      </c>
      <c r="E24" s="4">
        <v>22088078</v>
      </c>
      <c r="F24" s="4">
        <v>21645769</v>
      </c>
      <c r="G24" s="4">
        <v>318467136</v>
      </c>
      <c r="H24" s="4">
        <v>107114695</v>
      </c>
      <c r="I24" s="4">
        <v>318467224</v>
      </c>
      <c r="J24" s="4">
        <v>107114696</v>
      </c>
      <c r="K24" s="4"/>
      <c r="L24" s="5">
        <v>4299.8</v>
      </c>
      <c r="M24" s="5">
        <v>4492.39</v>
      </c>
      <c r="N24" s="5">
        <v>74188.92</v>
      </c>
      <c r="O24" s="5">
        <v>1573.4</v>
      </c>
      <c r="P24" s="5">
        <v>1607.4</v>
      </c>
      <c r="Q24" s="5"/>
      <c r="R24" s="5"/>
      <c r="S24" s="10">
        <v>32</v>
      </c>
      <c r="T24" s="4" t="s">
        <v>46</v>
      </c>
      <c r="U24" s="4">
        <v>550</v>
      </c>
      <c r="V24" s="4">
        <v>570</v>
      </c>
      <c r="W24" s="4">
        <v>9067</v>
      </c>
      <c r="X24" s="4">
        <v>6245</v>
      </c>
      <c r="Y24" s="5">
        <v>5.47</v>
      </c>
      <c r="Z24" s="5">
        <v>3.3</v>
      </c>
      <c r="AA24" s="4">
        <v>1295</v>
      </c>
      <c r="AB24" s="4"/>
      <c r="AC24" s="13">
        <f t="shared" ref="AC24:AH24" si="34">IF(OR(C25=""),"",C25-C24)</f>
        <v>41127</v>
      </c>
      <c r="AD24" s="13">
        <f t="shared" si="34"/>
        <v>47461</v>
      </c>
      <c r="AE24" s="13">
        <f t="shared" si="34"/>
        <v>50825</v>
      </c>
      <c r="AF24" s="13">
        <f t="shared" si="34"/>
        <v>50852</v>
      </c>
      <c r="AG24" s="13">
        <f t="shared" si="34"/>
        <v>178349</v>
      </c>
      <c r="AH24" s="13">
        <f t="shared" si="34"/>
        <v>5476</v>
      </c>
      <c r="AI24" s="13">
        <f t="shared" si="1"/>
        <v>11916</v>
      </c>
      <c r="AJ24" s="13">
        <f t="shared" si="2"/>
        <v>179135</v>
      </c>
      <c r="AK24" s="13">
        <f t="shared" si="3"/>
        <v>5496</v>
      </c>
      <c r="AL24" s="13">
        <f t="shared" si="4"/>
        <v>173639</v>
      </c>
      <c r="AM24" s="13">
        <v>6500</v>
      </c>
      <c r="AN24" s="13">
        <f t="shared" si="5"/>
        <v>0</v>
      </c>
      <c r="AO24" s="13">
        <f t="shared" si="6"/>
        <v>0</v>
      </c>
      <c r="AP24" s="13">
        <f t="shared" si="7"/>
        <v>3905</v>
      </c>
      <c r="AQ24" s="13">
        <f t="shared" si="8"/>
        <v>1368</v>
      </c>
      <c r="AR24" s="13">
        <f t="shared" si="9"/>
        <v>1500</v>
      </c>
      <c r="AS24" s="17">
        <f t="shared" si="10"/>
        <v>0</v>
      </c>
      <c r="AT24" s="17">
        <f t="shared" si="11"/>
        <v>0</v>
      </c>
      <c r="AU24" s="18">
        <f t="shared" si="12"/>
        <v>22.5</v>
      </c>
      <c r="AV24" s="17">
        <f t="shared" si="13"/>
        <v>7.88</v>
      </c>
    </row>
    <row r="25" spans="1:48">
      <c r="A25" s="6">
        <v>43700</v>
      </c>
      <c r="B25" s="5" t="s">
        <v>48</v>
      </c>
      <c r="C25" s="4">
        <v>39040665</v>
      </c>
      <c r="D25" s="4">
        <v>27035869</v>
      </c>
      <c r="E25" s="4">
        <v>22138903</v>
      </c>
      <c r="F25" s="4">
        <v>21696621</v>
      </c>
      <c r="G25" s="4">
        <v>318645485</v>
      </c>
      <c r="H25" s="4">
        <v>107120171</v>
      </c>
      <c r="I25" s="4">
        <v>318646359</v>
      </c>
      <c r="J25" s="4">
        <v>107120192</v>
      </c>
      <c r="K25" s="4"/>
      <c r="L25" s="5">
        <v>4299.8</v>
      </c>
      <c r="M25" s="5">
        <v>4492.39</v>
      </c>
      <c r="N25" s="5">
        <v>74188.92</v>
      </c>
      <c r="O25" s="5">
        <v>1576.4</v>
      </c>
      <c r="P25" s="5">
        <v>1607.4</v>
      </c>
      <c r="Q25" s="5"/>
      <c r="R25" s="5"/>
      <c r="S25" s="10">
        <v>32.5</v>
      </c>
      <c r="T25" s="4" t="s">
        <v>46</v>
      </c>
      <c r="U25" s="4">
        <v>770</v>
      </c>
      <c r="V25" s="4">
        <v>750</v>
      </c>
      <c r="W25" s="4">
        <v>8745</v>
      </c>
      <c r="X25" s="4">
        <v>6815</v>
      </c>
      <c r="Y25" s="5">
        <v>6.94</v>
      </c>
      <c r="Z25" s="5">
        <v>3.29</v>
      </c>
      <c r="AA25" s="4">
        <v>1379</v>
      </c>
      <c r="AB25" s="4"/>
      <c r="AC25" s="13">
        <f t="shared" ref="AC25:AH25" si="35">IF(OR(C26=""),"",C26-C25)</f>
        <v>39998</v>
      </c>
      <c r="AD25" s="13">
        <f t="shared" si="35"/>
        <v>45862</v>
      </c>
      <c r="AE25" s="13">
        <f t="shared" si="35"/>
        <v>51909</v>
      </c>
      <c r="AF25" s="13">
        <f t="shared" si="35"/>
        <v>50417</v>
      </c>
      <c r="AG25" s="13">
        <f t="shared" si="35"/>
        <v>185825</v>
      </c>
      <c r="AH25" s="13">
        <f t="shared" si="35"/>
        <v>5532</v>
      </c>
      <c r="AI25" s="13">
        <f t="shared" si="1"/>
        <v>2361</v>
      </c>
      <c r="AJ25" s="13">
        <f t="shared" si="2"/>
        <v>184695</v>
      </c>
      <c r="AK25" s="13">
        <f t="shared" si="3"/>
        <v>5504</v>
      </c>
      <c r="AL25" s="13">
        <f t="shared" si="4"/>
        <v>179191</v>
      </c>
      <c r="AM25" s="13">
        <v>3300</v>
      </c>
      <c r="AN25" s="13">
        <f t="shared" si="5"/>
        <v>0</v>
      </c>
      <c r="AO25" s="13">
        <f t="shared" si="6"/>
        <v>0</v>
      </c>
      <c r="AP25" s="13">
        <f t="shared" si="7"/>
        <v>5467</v>
      </c>
      <c r="AQ25" s="13">
        <f t="shared" si="8"/>
        <v>1800</v>
      </c>
      <c r="AR25" s="13">
        <f t="shared" si="9"/>
        <v>1500</v>
      </c>
      <c r="AS25" s="17">
        <f t="shared" si="10"/>
        <v>0</v>
      </c>
      <c r="AT25" s="17">
        <f t="shared" si="11"/>
        <v>0</v>
      </c>
      <c r="AU25" s="18">
        <f t="shared" si="12"/>
        <v>30.5</v>
      </c>
      <c r="AV25" s="17">
        <f t="shared" si="13"/>
        <v>10.05</v>
      </c>
    </row>
    <row r="26" spans="1:48">
      <c r="A26" s="6">
        <v>43701</v>
      </c>
      <c r="B26" s="5" t="s">
        <v>48</v>
      </c>
      <c r="C26" s="4">
        <v>39080663</v>
      </c>
      <c r="D26" s="4">
        <v>27081731</v>
      </c>
      <c r="E26" s="4">
        <v>22190812</v>
      </c>
      <c r="F26" s="4">
        <v>21747038</v>
      </c>
      <c r="G26" s="4">
        <v>318831310</v>
      </c>
      <c r="H26" s="4">
        <v>107125703</v>
      </c>
      <c r="I26" s="4">
        <v>318831054</v>
      </c>
      <c r="J26" s="4">
        <v>107125696</v>
      </c>
      <c r="K26" s="4"/>
      <c r="L26" s="5">
        <v>4299.8</v>
      </c>
      <c r="M26" s="5">
        <v>4492.39</v>
      </c>
      <c r="N26" s="5">
        <v>74188.92</v>
      </c>
      <c r="O26" s="5">
        <v>1579.4</v>
      </c>
      <c r="P26" s="5">
        <v>1607.4</v>
      </c>
      <c r="Q26" s="5"/>
      <c r="R26" s="5"/>
      <c r="S26" s="10">
        <v>31.3</v>
      </c>
      <c r="T26" s="4" t="s">
        <v>46</v>
      </c>
      <c r="U26" s="4">
        <v>440</v>
      </c>
      <c r="V26" s="4">
        <v>460</v>
      </c>
      <c r="W26" s="4">
        <v>8512</v>
      </c>
      <c r="X26" s="4">
        <v>6245</v>
      </c>
      <c r="Y26" s="5">
        <v>6.46</v>
      </c>
      <c r="Z26" s="5">
        <v>2.89</v>
      </c>
      <c r="AA26" s="4">
        <v>1323</v>
      </c>
      <c r="AB26" s="4"/>
      <c r="AC26" s="13">
        <f t="shared" ref="AC26:AH26" si="36">IF(OR(C27=""),"",C27-C26)</f>
        <v>45066</v>
      </c>
      <c r="AD26" s="13">
        <f t="shared" si="36"/>
        <v>50003</v>
      </c>
      <c r="AE26" s="13">
        <f t="shared" si="36"/>
        <v>45176</v>
      </c>
      <c r="AF26" s="13">
        <f t="shared" si="36"/>
        <v>43719</v>
      </c>
      <c r="AG26" s="13">
        <f t="shared" si="36"/>
        <v>177969</v>
      </c>
      <c r="AH26" s="13">
        <f t="shared" si="36"/>
        <v>5489</v>
      </c>
      <c r="AI26" s="13">
        <f t="shared" si="1"/>
        <v>5995</v>
      </c>
      <c r="AJ26" s="13">
        <f t="shared" si="2"/>
        <v>178110</v>
      </c>
      <c r="AK26" s="13">
        <f t="shared" si="3"/>
        <v>5488</v>
      </c>
      <c r="AL26" s="13">
        <f t="shared" si="4"/>
        <v>172622</v>
      </c>
      <c r="AM26" s="13">
        <v>3600</v>
      </c>
      <c r="AN26" s="13">
        <f t="shared" si="5"/>
        <v>0</v>
      </c>
      <c r="AO26" s="13">
        <f t="shared" si="6"/>
        <v>0</v>
      </c>
      <c r="AP26" s="13">
        <f t="shared" si="7"/>
        <v>3124</v>
      </c>
      <c r="AQ26" s="13">
        <f t="shared" si="8"/>
        <v>1104</v>
      </c>
      <c r="AR26" s="13">
        <f t="shared" si="9"/>
        <v>1500</v>
      </c>
      <c r="AS26" s="17">
        <f t="shared" si="10"/>
        <v>0</v>
      </c>
      <c r="AT26" s="17">
        <f t="shared" si="11"/>
        <v>0</v>
      </c>
      <c r="AU26" s="18">
        <f t="shared" si="12"/>
        <v>18.1</v>
      </c>
      <c r="AV26" s="17">
        <f t="shared" si="13"/>
        <v>6.4</v>
      </c>
    </row>
    <row r="27" spans="1:48">
      <c r="A27" s="6">
        <v>43702</v>
      </c>
      <c r="B27" s="5" t="s">
        <v>48</v>
      </c>
      <c r="C27" s="4">
        <v>39125729</v>
      </c>
      <c r="D27" s="4">
        <v>27131734</v>
      </c>
      <c r="E27" s="4">
        <v>22235988</v>
      </c>
      <c r="F27" s="4">
        <v>21790757</v>
      </c>
      <c r="G27" s="4">
        <v>319009279</v>
      </c>
      <c r="H27" s="4">
        <v>107131192</v>
      </c>
      <c r="I27" s="4">
        <v>319009164</v>
      </c>
      <c r="J27" s="4">
        <v>107131184</v>
      </c>
      <c r="K27" s="4"/>
      <c r="L27" s="5">
        <v>4299.8</v>
      </c>
      <c r="M27" s="5">
        <v>4492.39</v>
      </c>
      <c r="N27" s="5">
        <v>74188.92</v>
      </c>
      <c r="O27" s="5">
        <v>1582.4</v>
      </c>
      <c r="P27" s="5">
        <v>1607.4</v>
      </c>
      <c r="Q27" s="5"/>
      <c r="R27" s="5"/>
      <c r="S27" s="10">
        <v>31.4</v>
      </c>
      <c r="T27" s="4" t="s">
        <v>46</v>
      </c>
      <c r="U27" s="4">
        <v>960</v>
      </c>
      <c r="V27" s="4">
        <v>970</v>
      </c>
      <c r="W27" s="4">
        <v>7945</v>
      </c>
      <c r="X27" s="4">
        <v>6125</v>
      </c>
      <c r="Y27" s="5">
        <v>5.58</v>
      </c>
      <c r="Z27" s="5">
        <v>2.75</v>
      </c>
      <c r="AA27" s="4">
        <v>1299</v>
      </c>
      <c r="AB27" s="4"/>
      <c r="AC27" s="13">
        <f t="shared" ref="AC27:AH27" si="37">IF(OR(C28=""),"",C28-C27)</f>
        <v>45166</v>
      </c>
      <c r="AD27" s="13">
        <f t="shared" si="37"/>
        <v>53223</v>
      </c>
      <c r="AE27" s="13">
        <f t="shared" si="37"/>
        <v>41020</v>
      </c>
      <c r="AF27" s="13">
        <f t="shared" si="37"/>
        <v>40809</v>
      </c>
      <c r="AG27" s="13">
        <f t="shared" si="37"/>
        <v>171874</v>
      </c>
      <c r="AH27" s="13">
        <f t="shared" si="37"/>
        <v>5499</v>
      </c>
      <c r="AI27" s="13">
        <f t="shared" si="1"/>
        <v>8344</v>
      </c>
      <c r="AJ27" s="13">
        <f t="shared" si="2"/>
        <v>172246</v>
      </c>
      <c r="AK27" s="13">
        <f t="shared" si="3"/>
        <v>5512</v>
      </c>
      <c r="AL27" s="13">
        <f t="shared" si="4"/>
        <v>166734</v>
      </c>
      <c r="AM27" s="13">
        <v>4000</v>
      </c>
      <c r="AN27" s="13">
        <f t="shared" si="5"/>
        <v>0</v>
      </c>
      <c r="AO27" s="13">
        <f t="shared" si="6"/>
        <v>0</v>
      </c>
      <c r="AP27" s="13">
        <f t="shared" si="7"/>
        <v>6816</v>
      </c>
      <c r="AQ27" s="13">
        <f t="shared" si="8"/>
        <v>2328</v>
      </c>
      <c r="AR27" s="13">
        <f t="shared" si="9"/>
        <v>199.999999999818</v>
      </c>
      <c r="AS27" s="17">
        <f t="shared" si="10"/>
        <v>0</v>
      </c>
      <c r="AT27" s="17">
        <f t="shared" si="11"/>
        <v>0</v>
      </c>
      <c r="AU27" s="18">
        <f t="shared" si="12"/>
        <v>40.9</v>
      </c>
      <c r="AV27" s="17">
        <f t="shared" si="13"/>
        <v>13.96</v>
      </c>
    </row>
    <row r="28" spans="1:48">
      <c r="A28" s="6">
        <v>43703</v>
      </c>
      <c r="B28" s="5" t="s">
        <v>48</v>
      </c>
      <c r="C28" s="4">
        <v>39170895</v>
      </c>
      <c r="D28" s="4">
        <v>27184957</v>
      </c>
      <c r="E28" s="4">
        <v>22277008</v>
      </c>
      <c r="F28" s="4">
        <v>21831566</v>
      </c>
      <c r="G28" s="4">
        <v>319181153</v>
      </c>
      <c r="H28" s="4">
        <v>107136691</v>
      </c>
      <c r="I28" s="4">
        <v>319181410</v>
      </c>
      <c r="J28" s="4">
        <v>107136696</v>
      </c>
      <c r="K28" s="4"/>
      <c r="L28" s="5">
        <v>4299.8</v>
      </c>
      <c r="M28" s="5">
        <v>4492.39</v>
      </c>
      <c r="N28" s="5">
        <v>74188.92</v>
      </c>
      <c r="O28" s="5">
        <v>1582.8</v>
      </c>
      <c r="P28" s="5">
        <v>1607.4</v>
      </c>
      <c r="Q28" s="5"/>
      <c r="R28" s="5"/>
      <c r="S28" s="10">
        <v>31</v>
      </c>
      <c r="T28" s="4" t="s">
        <v>54</v>
      </c>
      <c r="U28" s="4">
        <v>950</v>
      </c>
      <c r="V28" s="4">
        <v>940</v>
      </c>
      <c r="W28" s="4">
        <v>9256</v>
      </c>
      <c r="X28" s="4">
        <v>7021</v>
      </c>
      <c r="Y28" s="5">
        <v>7.04</v>
      </c>
      <c r="Z28" s="5">
        <v>3.53</v>
      </c>
      <c r="AA28" s="4">
        <v>1440</v>
      </c>
      <c r="AB28" s="4"/>
      <c r="AC28" s="13">
        <f t="shared" ref="AC28:AH28" si="38">IF(OR(C29=""),"",C29-C28)</f>
        <v>44741</v>
      </c>
      <c r="AD28" s="13">
        <f t="shared" si="38"/>
        <v>54231</v>
      </c>
      <c r="AE28" s="13">
        <f t="shared" si="38"/>
        <v>54533</v>
      </c>
      <c r="AF28" s="13">
        <f t="shared" si="38"/>
        <v>55577</v>
      </c>
      <c r="AG28" s="13">
        <f t="shared" si="38"/>
        <v>197427</v>
      </c>
      <c r="AH28" s="13">
        <f t="shared" si="38"/>
        <v>5533</v>
      </c>
      <c r="AI28" s="13">
        <f t="shared" si="1"/>
        <v>11655</v>
      </c>
      <c r="AJ28" s="13">
        <f t="shared" si="2"/>
        <v>196695</v>
      </c>
      <c r="AK28" s="13">
        <f t="shared" si="3"/>
        <v>5512</v>
      </c>
      <c r="AL28" s="13">
        <f t="shared" si="4"/>
        <v>191183</v>
      </c>
      <c r="AM28" s="13">
        <v>4500</v>
      </c>
      <c r="AN28" s="13">
        <f t="shared" si="5"/>
        <v>0</v>
      </c>
      <c r="AO28" s="13">
        <f t="shared" si="6"/>
        <v>0</v>
      </c>
      <c r="AP28" s="13">
        <f t="shared" si="7"/>
        <v>6745</v>
      </c>
      <c r="AQ28" s="13">
        <f t="shared" si="8"/>
        <v>2256</v>
      </c>
      <c r="AR28" s="13">
        <f t="shared" si="9"/>
        <v>0</v>
      </c>
      <c r="AS28" s="17">
        <f t="shared" si="10"/>
        <v>0</v>
      </c>
      <c r="AT28" s="17">
        <f t="shared" si="11"/>
        <v>0</v>
      </c>
      <c r="AU28" s="18">
        <f t="shared" si="12"/>
        <v>35.3</v>
      </c>
      <c r="AV28" s="17">
        <f t="shared" si="13"/>
        <v>11.8</v>
      </c>
    </row>
    <row r="29" spans="1:48">
      <c r="A29" s="6">
        <v>43704</v>
      </c>
      <c r="B29" s="5" t="s">
        <v>50</v>
      </c>
      <c r="C29" s="4">
        <v>39215636</v>
      </c>
      <c r="D29" s="4">
        <v>27239188</v>
      </c>
      <c r="E29" s="4">
        <v>22331541</v>
      </c>
      <c r="F29" s="4">
        <v>21887143</v>
      </c>
      <c r="G29" s="4">
        <v>319378580</v>
      </c>
      <c r="H29" s="4">
        <v>107142224</v>
      </c>
      <c r="I29" s="4">
        <v>319378105</v>
      </c>
      <c r="J29" s="4">
        <v>107142208</v>
      </c>
      <c r="K29" s="4"/>
      <c r="L29" s="5">
        <v>4299.8</v>
      </c>
      <c r="M29" s="5">
        <v>4492.39</v>
      </c>
      <c r="N29" s="5">
        <v>74188.92</v>
      </c>
      <c r="O29" s="5">
        <v>1582.8</v>
      </c>
      <c r="P29" s="5">
        <v>1607.4</v>
      </c>
      <c r="Q29" s="5"/>
      <c r="R29" s="5"/>
      <c r="S29" s="10">
        <v>28.1</v>
      </c>
      <c r="T29" s="4" t="s">
        <v>54</v>
      </c>
      <c r="U29" s="4">
        <v>150</v>
      </c>
      <c r="V29" s="4">
        <v>160</v>
      </c>
      <c r="W29" s="4">
        <v>9285</v>
      </c>
      <c r="X29" s="4">
        <v>8650</v>
      </c>
      <c r="Y29" s="5">
        <v>7</v>
      </c>
      <c r="Z29" s="5">
        <v>4.5</v>
      </c>
      <c r="AA29" s="4">
        <v>1440</v>
      </c>
      <c r="AB29" s="4"/>
      <c r="AC29" s="13">
        <f t="shared" ref="AC29:AH29" si="39">IF(OR(C30=""),"",C30-C29)</f>
        <v>46307</v>
      </c>
      <c r="AD29" s="13">
        <f t="shared" si="39"/>
        <v>55078</v>
      </c>
      <c r="AE29" s="13">
        <f t="shared" si="39"/>
        <v>56456</v>
      </c>
      <c r="AF29" s="13">
        <f t="shared" si="39"/>
        <v>58713</v>
      </c>
      <c r="AG29" s="13">
        <f t="shared" si="39"/>
        <v>209416</v>
      </c>
      <c r="AH29" s="13">
        <f t="shared" si="39"/>
        <v>5442</v>
      </c>
      <c r="AI29" s="13">
        <f t="shared" si="1"/>
        <v>7138</v>
      </c>
      <c r="AJ29" s="13">
        <f t="shared" si="2"/>
        <v>210994</v>
      </c>
      <c r="AK29" s="13">
        <f t="shared" si="3"/>
        <v>5496</v>
      </c>
      <c r="AL29" s="13">
        <f t="shared" si="4"/>
        <v>205498</v>
      </c>
      <c r="AM29" s="13">
        <v>4000</v>
      </c>
      <c r="AN29" s="13">
        <f t="shared" si="5"/>
        <v>0</v>
      </c>
      <c r="AO29" s="13">
        <f t="shared" si="6"/>
        <v>0</v>
      </c>
      <c r="AP29" s="13">
        <f t="shared" si="7"/>
        <v>1065</v>
      </c>
      <c r="AQ29" s="13">
        <f t="shared" si="8"/>
        <v>384</v>
      </c>
      <c r="AR29" s="13">
        <f t="shared" si="9"/>
        <v>0</v>
      </c>
      <c r="AS29" s="17">
        <f t="shared" si="10"/>
        <v>0</v>
      </c>
      <c r="AT29" s="17">
        <f t="shared" si="11"/>
        <v>0</v>
      </c>
      <c r="AU29" s="18">
        <f t="shared" si="12"/>
        <v>5.2</v>
      </c>
      <c r="AV29" s="17">
        <f t="shared" si="13"/>
        <v>1.87</v>
      </c>
    </row>
    <row r="30" spans="1:48">
      <c r="A30" s="6">
        <v>43705</v>
      </c>
      <c r="B30" s="5" t="s">
        <v>55</v>
      </c>
      <c r="C30" s="4">
        <v>39261943</v>
      </c>
      <c r="D30" s="4">
        <v>27294266</v>
      </c>
      <c r="E30" s="4">
        <v>22387997</v>
      </c>
      <c r="F30" s="4">
        <v>21945856</v>
      </c>
      <c r="G30" s="4">
        <v>319587996</v>
      </c>
      <c r="H30" s="4">
        <v>107147666</v>
      </c>
      <c r="I30" s="4">
        <v>319589099</v>
      </c>
      <c r="J30" s="4">
        <v>107147704</v>
      </c>
      <c r="K30" s="4"/>
      <c r="L30" s="5">
        <v>4299.8</v>
      </c>
      <c r="M30" s="5">
        <v>4492.39</v>
      </c>
      <c r="N30" s="5">
        <v>74188.92</v>
      </c>
      <c r="O30" s="5">
        <v>1582.8</v>
      </c>
      <c r="P30" s="5">
        <v>1607.4</v>
      </c>
      <c r="Q30" s="5"/>
      <c r="R30" s="5"/>
      <c r="S30" s="10">
        <v>28.2</v>
      </c>
      <c r="T30" s="4" t="s">
        <v>54</v>
      </c>
      <c r="U30" s="4">
        <v>300</v>
      </c>
      <c r="V30" s="4">
        <v>320</v>
      </c>
      <c r="W30" s="4">
        <v>9378</v>
      </c>
      <c r="X30" s="4">
        <v>3125</v>
      </c>
      <c r="Y30" s="5">
        <v>5.31</v>
      </c>
      <c r="Z30" s="5">
        <v>2.31</v>
      </c>
      <c r="AA30" s="4">
        <v>1086</v>
      </c>
      <c r="AB30" s="4"/>
      <c r="AC30" s="13">
        <f t="shared" ref="AC30:AH30" si="40">IF(OR(C31=""),"",C31-C30)</f>
        <v>44306</v>
      </c>
      <c r="AD30" s="13">
        <f t="shared" si="40"/>
        <v>51853</v>
      </c>
      <c r="AE30" s="13">
        <f t="shared" si="40"/>
        <v>54607</v>
      </c>
      <c r="AF30" s="13">
        <f t="shared" si="40"/>
        <v>56687</v>
      </c>
      <c r="AG30" s="13">
        <f t="shared" si="40"/>
        <v>203061</v>
      </c>
      <c r="AH30" s="13">
        <f t="shared" si="40"/>
        <v>5532</v>
      </c>
      <c r="AI30" s="13">
        <f t="shared" si="1"/>
        <v>4392</v>
      </c>
      <c r="AJ30" s="13">
        <f t="shared" si="2"/>
        <v>201819</v>
      </c>
      <c r="AK30" s="13">
        <f t="shared" si="3"/>
        <v>5488</v>
      </c>
      <c r="AL30" s="13">
        <f t="shared" si="4"/>
        <v>196331</v>
      </c>
      <c r="AM30" s="13">
        <v>3300</v>
      </c>
      <c r="AN30" s="13">
        <f t="shared" si="5"/>
        <v>0</v>
      </c>
      <c r="AO30" s="13">
        <f t="shared" si="6"/>
        <v>0</v>
      </c>
      <c r="AP30" s="13">
        <f t="shared" si="7"/>
        <v>2130</v>
      </c>
      <c r="AQ30" s="13">
        <f t="shared" si="8"/>
        <v>768</v>
      </c>
      <c r="AR30" s="13">
        <f t="shared" si="9"/>
        <v>0</v>
      </c>
      <c r="AS30" s="17">
        <f t="shared" si="10"/>
        <v>0</v>
      </c>
      <c r="AT30" s="17">
        <f t="shared" si="11"/>
        <v>0</v>
      </c>
      <c r="AU30" s="18">
        <f t="shared" si="12"/>
        <v>10.8</v>
      </c>
      <c r="AV30" s="17">
        <f t="shared" si="13"/>
        <v>3.91</v>
      </c>
    </row>
    <row r="31" spans="1:48">
      <c r="A31" s="6">
        <v>43706</v>
      </c>
      <c r="B31" s="5" t="s">
        <v>48</v>
      </c>
      <c r="C31" s="4">
        <v>39306249</v>
      </c>
      <c r="D31" s="4">
        <v>27346119</v>
      </c>
      <c r="E31" s="4">
        <v>22442604</v>
      </c>
      <c r="F31" s="4">
        <v>22002543</v>
      </c>
      <c r="G31" s="4">
        <v>319791057</v>
      </c>
      <c r="H31" s="4">
        <v>107153198</v>
      </c>
      <c r="I31" s="4">
        <v>319790918</v>
      </c>
      <c r="J31" s="4">
        <v>107153192</v>
      </c>
      <c r="K31" s="4"/>
      <c r="L31" s="5">
        <v>4299.8</v>
      </c>
      <c r="M31" s="5">
        <v>4492.39</v>
      </c>
      <c r="N31" s="5">
        <v>74188.92</v>
      </c>
      <c r="O31" s="5">
        <v>1582.8</v>
      </c>
      <c r="P31" s="5">
        <v>1607.4</v>
      </c>
      <c r="Q31" s="5"/>
      <c r="R31" s="5"/>
      <c r="S31" s="10">
        <v>30</v>
      </c>
      <c r="T31" s="4" t="s">
        <v>54</v>
      </c>
      <c r="U31" s="4">
        <v>770</v>
      </c>
      <c r="V31" s="4">
        <v>750</v>
      </c>
      <c r="W31" s="4">
        <v>9145</v>
      </c>
      <c r="X31" s="4">
        <v>4256</v>
      </c>
      <c r="Y31" s="5">
        <v>6.91</v>
      </c>
      <c r="Z31" s="5">
        <v>2.25</v>
      </c>
      <c r="AA31" s="4">
        <v>1362</v>
      </c>
      <c r="AB31" s="4"/>
      <c r="AC31" s="13">
        <f t="shared" ref="AC31:AH31" si="41">IF(OR(C32=""),"",C32-C31)</f>
        <v>41378</v>
      </c>
      <c r="AD31" s="13">
        <f t="shared" si="41"/>
        <v>49277</v>
      </c>
      <c r="AE31" s="13">
        <f t="shared" si="41"/>
        <v>52083</v>
      </c>
      <c r="AF31" s="13">
        <f t="shared" si="41"/>
        <v>52995</v>
      </c>
      <c r="AG31" s="13">
        <f t="shared" si="41"/>
        <v>189250</v>
      </c>
      <c r="AH31" s="13">
        <f t="shared" si="41"/>
        <v>5503</v>
      </c>
      <c r="AI31" s="13">
        <f t="shared" si="1"/>
        <v>6483</v>
      </c>
      <c r="AJ31" s="13">
        <f t="shared" si="2"/>
        <v>188867</v>
      </c>
      <c r="AK31" s="13">
        <f t="shared" si="3"/>
        <v>5488</v>
      </c>
      <c r="AL31" s="13">
        <f t="shared" si="4"/>
        <v>183379</v>
      </c>
      <c r="AM31" s="13">
        <v>2880</v>
      </c>
      <c r="AN31" s="13">
        <f t="shared" si="5"/>
        <v>0</v>
      </c>
      <c r="AO31" s="13">
        <f t="shared" si="6"/>
        <v>0</v>
      </c>
      <c r="AP31" s="13">
        <f t="shared" si="7"/>
        <v>5467</v>
      </c>
      <c r="AQ31" s="13">
        <f t="shared" si="8"/>
        <v>1800</v>
      </c>
      <c r="AR31" s="13">
        <f t="shared" si="9"/>
        <v>0</v>
      </c>
      <c r="AS31" s="17">
        <f t="shared" si="10"/>
        <v>0</v>
      </c>
      <c r="AT31" s="17">
        <f t="shared" si="11"/>
        <v>0</v>
      </c>
      <c r="AU31" s="18">
        <f t="shared" si="12"/>
        <v>29.8</v>
      </c>
      <c r="AV31" s="17">
        <f t="shared" si="13"/>
        <v>9.82</v>
      </c>
    </row>
    <row r="32" spans="1:48">
      <c r="A32" s="6">
        <v>43707</v>
      </c>
      <c r="B32" s="5" t="s">
        <v>48</v>
      </c>
      <c r="C32" s="4">
        <v>39347627</v>
      </c>
      <c r="D32" s="4">
        <v>27395396</v>
      </c>
      <c r="E32" s="4">
        <v>22494687</v>
      </c>
      <c r="F32" s="4">
        <v>22055538</v>
      </c>
      <c r="G32" s="4">
        <v>319980307</v>
      </c>
      <c r="H32" s="4">
        <v>107158701</v>
      </c>
      <c r="I32" s="4">
        <v>319979785</v>
      </c>
      <c r="J32" s="4">
        <v>107158680</v>
      </c>
      <c r="K32" s="4"/>
      <c r="L32" s="5">
        <v>4299.8</v>
      </c>
      <c r="M32" s="5">
        <v>4492.39</v>
      </c>
      <c r="N32" s="5">
        <v>74188.92</v>
      </c>
      <c r="O32" s="5">
        <v>1582.8</v>
      </c>
      <c r="P32" s="5">
        <v>1607.4</v>
      </c>
      <c r="Q32" s="5"/>
      <c r="R32" s="5"/>
      <c r="S32" s="10">
        <v>30</v>
      </c>
      <c r="T32" s="4" t="s">
        <v>54</v>
      </c>
      <c r="U32" s="4">
        <v>750</v>
      </c>
      <c r="V32" s="4">
        <v>740</v>
      </c>
      <c r="W32" s="4">
        <v>9245</v>
      </c>
      <c r="X32" s="4">
        <v>8120</v>
      </c>
      <c r="Y32" s="5">
        <v>6.79</v>
      </c>
      <c r="Z32" s="5">
        <v>5.87</v>
      </c>
      <c r="AA32" s="4">
        <v>1315</v>
      </c>
      <c r="AB32" s="4"/>
      <c r="AC32" s="13">
        <f t="shared" ref="AC32:AH32" si="42">IF(OR(C33=""),"",C33-C32)</f>
        <v>50171</v>
      </c>
      <c r="AD32" s="13">
        <f t="shared" si="42"/>
        <v>55572</v>
      </c>
      <c r="AE32" s="13">
        <f t="shared" si="42"/>
        <v>55741</v>
      </c>
      <c r="AF32" s="13">
        <f t="shared" si="42"/>
        <v>55874</v>
      </c>
      <c r="AG32" s="13">
        <f t="shared" si="42"/>
        <v>205643</v>
      </c>
      <c r="AH32" s="13">
        <f t="shared" si="42"/>
        <v>5465</v>
      </c>
      <c r="AI32" s="13">
        <f t="shared" si="1"/>
        <v>11715</v>
      </c>
      <c r="AJ32" s="13">
        <f t="shared" si="2"/>
        <v>206473</v>
      </c>
      <c r="AK32" s="13">
        <f t="shared" si="3"/>
        <v>5488</v>
      </c>
      <c r="AL32" s="13">
        <f t="shared" si="4"/>
        <v>200985</v>
      </c>
      <c r="AM32" s="13">
        <v>3300</v>
      </c>
      <c r="AN32" s="13">
        <f t="shared" si="5"/>
        <v>0</v>
      </c>
      <c r="AO32" s="13">
        <f t="shared" si="6"/>
        <v>0</v>
      </c>
      <c r="AP32" s="13">
        <f t="shared" si="7"/>
        <v>5325</v>
      </c>
      <c r="AQ32" s="13">
        <f t="shared" si="8"/>
        <v>1776</v>
      </c>
      <c r="AR32" s="13">
        <f t="shared" si="9"/>
        <v>0</v>
      </c>
      <c r="AS32" s="17">
        <f t="shared" si="10"/>
        <v>0</v>
      </c>
      <c r="AT32" s="17">
        <f t="shared" si="11"/>
        <v>0</v>
      </c>
      <c r="AU32" s="18">
        <f t="shared" si="12"/>
        <v>26.5</v>
      </c>
      <c r="AV32" s="17">
        <f t="shared" si="13"/>
        <v>8.84</v>
      </c>
    </row>
    <row r="33" spans="1:48">
      <c r="A33" s="6">
        <v>43708</v>
      </c>
      <c r="B33" s="5" t="s">
        <v>48</v>
      </c>
      <c r="C33" s="4">
        <v>39397798</v>
      </c>
      <c r="D33" s="4">
        <v>27450968</v>
      </c>
      <c r="E33" s="4">
        <v>22550428</v>
      </c>
      <c r="F33" s="4">
        <v>22111412</v>
      </c>
      <c r="G33" s="4">
        <v>320185950</v>
      </c>
      <c r="H33" s="4">
        <v>107164166</v>
      </c>
      <c r="I33" s="4">
        <v>320186258</v>
      </c>
      <c r="J33" s="4">
        <v>107164168</v>
      </c>
      <c r="K33" s="4"/>
      <c r="L33" s="5">
        <v>4299.8</v>
      </c>
      <c r="M33" s="5">
        <v>4492.39</v>
      </c>
      <c r="N33" s="5">
        <v>74188.92</v>
      </c>
      <c r="O33" s="5">
        <v>1582.8</v>
      </c>
      <c r="P33" s="5">
        <v>1607.4</v>
      </c>
      <c r="Q33" s="5"/>
      <c r="R33" s="5"/>
      <c r="S33" s="10">
        <v>30.5</v>
      </c>
      <c r="T33" s="4" t="s">
        <v>54</v>
      </c>
      <c r="U33" s="4">
        <v>400</v>
      </c>
      <c r="V33" s="4">
        <v>420</v>
      </c>
      <c r="W33" s="4">
        <v>9145</v>
      </c>
      <c r="X33" s="4">
        <v>8012</v>
      </c>
      <c r="Y33" s="5">
        <v>6.46</v>
      </c>
      <c r="Z33" s="5">
        <v>4.55</v>
      </c>
      <c r="AA33" s="4">
        <v>1316</v>
      </c>
      <c r="AB33" s="4"/>
      <c r="AC33" s="13">
        <f t="shared" ref="AC33:AH33" si="43">IF(OR(C34=""),"",C34-C33)</f>
        <v>43410</v>
      </c>
      <c r="AD33" s="13">
        <f t="shared" si="43"/>
        <v>49726</v>
      </c>
      <c r="AE33" s="13">
        <f t="shared" si="43"/>
        <v>62211</v>
      </c>
      <c r="AF33" s="13">
        <f t="shared" si="43"/>
        <v>63315</v>
      </c>
      <c r="AG33" s="13">
        <f t="shared" si="43"/>
        <v>211062</v>
      </c>
      <c r="AH33" s="13">
        <f t="shared" si="43"/>
        <v>5506</v>
      </c>
      <c r="AI33" s="13">
        <f t="shared" si="1"/>
        <v>7600</v>
      </c>
      <c r="AJ33" s="13">
        <f t="shared" si="2"/>
        <v>210703</v>
      </c>
      <c r="AK33" s="13">
        <f t="shared" si="3"/>
        <v>5496</v>
      </c>
      <c r="AL33" s="13">
        <f t="shared" si="4"/>
        <v>205207</v>
      </c>
      <c r="AM33" s="13">
        <v>2970</v>
      </c>
      <c r="AN33" s="13">
        <f t="shared" si="5"/>
        <v>0</v>
      </c>
      <c r="AO33" s="13">
        <f t="shared" si="6"/>
        <v>0</v>
      </c>
      <c r="AP33" s="13">
        <f t="shared" si="7"/>
        <v>2840</v>
      </c>
      <c r="AQ33" s="13">
        <f t="shared" si="8"/>
        <v>1008</v>
      </c>
      <c r="AR33" s="13">
        <f t="shared" si="9"/>
        <v>0</v>
      </c>
      <c r="AS33" s="17">
        <f t="shared" si="10"/>
        <v>0</v>
      </c>
      <c r="AT33" s="17">
        <f t="shared" si="11"/>
        <v>0</v>
      </c>
      <c r="AU33" s="18">
        <f t="shared" si="12"/>
        <v>13.8</v>
      </c>
      <c r="AV33" s="17">
        <f t="shared" si="13"/>
        <v>4.91</v>
      </c>
    </row>
    <row r="34" spans="1:48">
      <c r="A34" s="6">
        <v>43709</v>
      </c>
      <c r="B34" s="5" t="s">
        <v>48</v>
      </c>
      <c r="C34" s="4">
        <v>39441208</v>
      </c>
      <c r="D34" s="4">
        <v>27500694</v>
      </c>
      <c r="E34" s="4">
        <v>22612639</v>
      </c>
      <c r="F34" s="4">
        <v>22174727</v>
      </c>
      <c r="G34" s="4">
        <v>320397012</v>
      </c>
      <c r="H34" s="4">
        <v>107169672</v>
      </c>
      <c r="I34" s="4">
        <v>320396961</v>
      </c>
      <c r="J34" s="4">
        <v>107169664</v>
      </c>
      <c r="K34" s="4"/>
      <c r="L34" s="5">
        <v>4299.8</v>
      </c>
      <c r="M34" s="5">
        <v>4492.39</v>
      </c>
      <c r="N34" s="5">
        <v>74188.92</v>
      </c>
      <c r="O34" s="5">
        <v>1582.8</v>
      </c>
      <c r="P34" s="5">
        <v>1607.4</v>
      </c>
      <c r="Q34" s="5"/>
      <c r="R34" s="5"/>
      <c r="S34" s="10">
        <v>30.1</v>
      </c>
      <c r="T34" s="4" t="s">
        <v>46</v>
      </c>
      <c r="AB34" s="14"/>
      <c r="AM34" s="15"/>
      <c r="AP34" s="1"/>
      <c r="AQ34" s="1"/>
      <c r="AR34" s="1"/>
      <c r="AS34" s="12"/>
      <c r="AT34" s="2"/>
      <c r="AU34" s="12"/>
      <c r="AV34" s="2"/>
    </row>
    <row r="35" spans="18:48">
      <c r="R35" s="2"/>
      <c r="S35" s="12"/>
      <c r="AM35" s="15"/>
      <c r="AP35" s="1"/>
      <c r="AQ35" s="1"/>
      <c r="AR35" s="1"/>
      <c r="AS35" s="12"/>
      <c r="AT35" s="2"/>
      <c r="AU35" s="12"/>
      <c r="AV35" s="2"/>
    </row>
    <row r="36" spans="18:48">
      <c r="R36" s="2"/>
      <c r="S36" s="12"/>
      <c r="AC36" s="1" t="str">
        <f t="shared" ref="AC36:AH36" si="44">IF(OR(C37=""),"",C37-C36)</f>
        <v/>
      </c>
      <c r="AD36" s="1" t="str">
        <f t="shared" si="44"/>
        <v/>
      </c>
      <c r="AE36" s="1" t="str">
        <f t="shared" si="44"/>
        <v/>
      </c>
      <c r="AF36" s="1" t="str">
        <f t="shared" si="44"/>
        <v/>
      </c>
      <c r="AG36" s="1" t="str">
        <f t="shared" si="44"/>
        <v/>
      </c>
      <c r="AH36" s="1" t="str">
        <f t="shared" si="44"/>
        <v/>
      </c>
      <c r="AI36" s="1" t="str">
        <f>IF(OR(AC36="",AD36="",AE36=""),"",AC36+AD36+AE36+AF36-AG36)</f>
        <v/>
      </c>
      <c r="AJ36" s="16">
        <f t="shared" ref="AJ36:AQ36" si="45">SUM(AJ3:AJ34)</f>
        <v>5810170</v>
      </c>
      <c r="AK36" s="16">
        <f t="shared" si="45"/>
        <v>168536</v>
      </c>
      <c r="AL36" s="16">
        <f t="shared" si="45"/>
        <v>5641634</v>
      </c>
      <c r="AM36" s="16">
        <f t="shared" si="45"/>
        <v>126150</v>
      </c>
      <c r="AN36" s="16">
        <f t="shared" si="45"/>
        <v>6648</v>
      </c>
      <c r="AO36" s="16">
        <f t="shared" si="45"/>
        <v>18</v>
      </c>
      <c r="AP36" s="16">
        <f t="shared" si="45"/>
        <v>111612</v>
      </c>
      <c r="AQ36" s="16">
        <f t="shared" si="45"/>
        <v>37920</v>
      </c>
      <c r="AR36" s="16"/>
      <c r="AS36" s="19">
        <f>IF(OR($AL36=0),"",ROUND(AN36/$AL36*1000,1))</f>
        <v>1.2</v>
      </c>
      <c r="AT36" s="19">
        <f>IF(OR($AL36=0),"",ROUND(AO36/$AL36*1000,2))</f>
        <v>0</v>
      </c>
      <c r="AU36" s="20">
        <f>IF(OR($AL36=0),"",ROUND(AP36/$AL36*1000,1))</f>
        <v>19.8</v>
      </c>
      <c r="AV36" s="19">
        <f>IF(OR($AL36=0),"",ROUND(AQ36/$AL36*1000,2))</f>
        <v>6.72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pageSetup paperSize="9" orientation="portrait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V43"/>
  <sheetViews>
    <sheetView showGridLines="0" workbookViewId="0">
      <pane xSplit="2" ySplit="2" topLeftCell="C15" activePane="bottomRight" state="frozen"/>
      <selection/>
      <selection pane="topRight"/>
      <selection pane="bottomLeft"/>
      <selection pane="bottomRight" activeCell="A33" sqref="$A33:$XFD33"/>
    </sheetView>
  </sheetViews>
  <sheetFormatPr defaultColWidth="10.6666666666667" defaultRowHeight="14.25"/>
  <cols>
    <col min="1" max="1" width="8" style="1" customWidth="1"/>
    <col min="2" max="2" width="8.66666666666667" style="2" customWidth="1"/>
    <col min="3" max="5" width="11.775" style="1" customWidth="1"/>
    <col min="6" max="6" width="12.4416666666667" style="1" customWidth="1"/>
    <col min="7" max="7" width="13.6666666666667" style="1" customWidth="1"/>
    <col min="8" max="8" width="13" style="1" customWidth="1"/>
    <col min="9" max="9" width="13.4416666666667" style="1" customWidth="1"/>
    <col min="10" max="10" width="13.1083333333333" style="1" customWidth="1"/>
    <col min="11" max="11" width="8" style="1" customWidth="1"/>
    <col min="12" max="13" width="8.33333333333333" style="2" customWidth="1"/>
    <col min="14" max="16" width="11.4416666666667" style="2" customWidth="1"/>
    <col min="17" max="17" width="8.33333333333333" style="2" customWidth="1"/>
    <col min="18" max="18" width="9.66666666666667" style="1" customWidth="1"/>
    <col min="19" max="20" width="8.10833333333333" style="1" customWidth="1"/>
    <col min="21" max="21" width="7.66666666666667" style="1" customWidth="1"/>
    <col min="22" max="24" width="8.10833333333333" style="1" customWidth="1"/>
    <col min="25" max="26" width="8.10833333333333" style="2" customWidth="1"/>
    <col min="27" max="27" width="8.10833333333333" style="1" customWidth="1"/>
    <col min="28" max="28" width="15.6666666666667" style="1" customWidth="1"/>
    <col min="29" max="33" width="8.10833333333333" style="1" customWidth="1"/>
    <col min="34" max="34" width="8.44166666666667" style="1" customWidth="1"/>
    <col min="35" max="35" width="8.10833333333333" style="1" customWidth="1"/>
    <col min="36" max="36" width="8.44166666666667" style="1" customWidth="1"/>
    <col min="37" max="37" width="8.55833333333333" style="1" customWidth="1"/>
    <col min="38" max="38" width="8.33333333333333" style="1" customWidth="1"/>
    <col min="39" max="41" width="6.66666666666667" style="1" customWidth="1"/>
    <col min="42" max="42" width="6.66666666666667" style="2" customWidth="1"/>
    <col min="43" max="44" width="8.10833333333333" style="2" customWidth="1"/>
    <col min="45" max="45" width="6.44166666666667" style="3" customWidth="1"/>
    <col min="46" max="46" width="7" style="3" customWidth="1"/>
    <col min="47" max="47" width="6.66666666666667" style="3" customWidth="1"/>
    <col min="48" max="48" width="8.10833333333333" style="3" customWidth="1"/>
    <col min="49" max="16384" width="10.6666666666667" style="3"/>
  </cols>
  <sheetData>
    <row r="2" ht="42.75" spans="1:4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69</v>
      </c>
      <c r="P2" s="5" t="s">
        <v>70</v>
      </c>
      <c r="Q2" s="5" t="s">
        <v>13</v>
      </c>
      <c r="R2" s="5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5" t="s">
        <v>21</v>
      </c>
      <c r="Z2" s="5" t="s">
        <v>22</v>
      </c>
      <c r="AA2" s="4" t="s">
        <v>23</v>
      </c>
      <c r="AB2" s="4" t="s">
        <v>24</v>
      </c>
      <c r="AC2" s="13" t="s">
        <v>25</v>
      </c>
      <c r="AD2" s="13" t="s">
        <v>26</v>
      </c>
      <c r="AE2" s="13" t="s">
        <v>27</v>
      </c>
      <c r="AF2" s="13" t="s">
        <v>28</v>
      </c>
      <c r="AG2" s="13" t="s">
        <v>29</v>
      </c>
      <c r="AH2" s="13" t="s">
        <v>30</v>
      </c>
      <c r="AI2" s="13" t="s">
        <v>31</v>
      </c>
      <c r="AJ2" s="13" t="s">
        <v>32</v>
      </c>
      <c r="AK2" s="13" t="s">
        <v>33</v>
      </c>
      <c r="AL2" s="13" t="s">
        <v>34</v>
      </c>
      <c r="AM2" s="13" t="s">
        <v>35</v>
      </c>
      <c r="AN2" s="13" t="s">
        <v>36</v>
      </c>
      <c r="AO2" s="13" t="s">
        <v>37</v>
      </c>
      <c r="AP2" s="7" t="s">
        <v>38</v>
      </c>
      <c r="AQ2" s="7" t="s">
        <v>39</v>
      </c>
      <c r="AR2" s="7" t="s">
        <v>40</v>
      </c>
      <c r="AS2" s="13" t="s">
        <v>41</v>
      </c>
      <c r="AT2" s="13" t="s">
        <v>42</v>
      </c>
      <c r="AU2" s="7" t="s">
        <v>43</v>
      </c>
      <c r="AV2" s="7" t="s">
        <v>44</v>
      </c>
    </row>
    <row r="3" spans="1:48">
      <c r="A3" s="6">
        <v>43709</v>
      </c>
      <c r="B3" s="7" t="str">
        <f>'8'!B34</f>
        <v>陈智娇</v>
      </c>
      <c r="C3" s="7">
        <f>'8'!C34</f>
        <v>39441208</v>
      </c>
      <c r="D3" s="7">
        <f>'8'!D34</f>
        <v>27500694</v>
      </c>
      <c r="E3" s="7">
        <f>'8'!E34</f>
        <v>22612639</v>
      </c>
      <c r="F3" s="7">
        <f>'8'!F34</f>
        <v>22174727</v>
      </c>
      <c r="G3" s="7">
        <f>'8'!G34</f>
        <v>320397012</v>
      </c>
      <c r="H3" s="7">
        <f>'8'!H34</f>
        <v>107169672</v>
      </c>
      <c r="I3" s="7">
        <f>'8'!I34</f>
        <v>320396961</v>
      </c>
      <c r="J3" s="7">
        <f>'8'!J34</f>
        <v>107169664</v>
      </c>
      <c r="K3" s="7">
        <f>'8'!K34</f>
        <v>0</v>
      </c>
      <c r="L3" s="7">
        <f>'8'!L34</f>
        <v>4299.8</v>
      </c>
      <c r="M3" s="7">
        <f>'8'!M34</f>
        <v>4492.39</v>
      </c>
      <c r="N3" s="7">
        <f>'8'!N34</f>
        <v>74188.92</v>
      </c>
      <c r="O3" s="7">
        <v>1582.8</v>
      </c>
      <c r="P3" s="7">
        <v>1607.4</v>
      </c>
      <c r="Q3" s="7">
        <f>'8'!Q34</f>
        <v>0</v>
      </c>
      <c r="R3" s="7">
        <f>'8'!R34</f>
        <v>0</v>
      </c>
      <c r="S3" s="7">
        <f>'8'!S34</f>
        <v>30.1</v>
      </c>
      <c r="T3" s="7" t="str">
        <f>'8'!T34</f>
        <v>晴</v>
      </c>
      <c r="U3" s="4">
        <v>700</v>
      </c>
      <c r="V3" s="4">
        <v>680</v>
      </c>
      <c r="W3" s="4">
        <v>9478</v>
      </c>
      <c r="X3" s="4">
        <v>7782</v>
      </c>
      <c r="Y3" s="5">
        <v>6.05</v>
      </c>
      <c r="Z3" s="5">
        <v>3.92</v>
      </c>
      <c r="AA3" s="4">
        <v>1314</v>
      </c>
      <c r="AB3" s="4"/>
      <c r="AC3" s="13">
        <f t="shared" ref="AC3:AH5" si="0">IF(OR(C4=""),"",C4-C3)</f>
        <v>46044</v>
      </c>
      <c r="AD3" s="13">
        <f t="shared" si="0"/>
        <v>50542</v>
      </c>
      <c r="AE3" s="13">
        <f t="shared" si="0"/>
        <v>58712</v>
      </c>
      <c r="AF3" s="13">
        <f t="shared" si="0"/>
        <v>59014</v>
      </c>
      <c r="AG3" s="13">
        <f t="shared" si="0"/>
        <v>208599</v>
      </c>
      <c r="AH3" s="13">
        <f t="shared" si="0"/>
        <v>5489</v>
      </c>
      <c r="AI3" s="13">
        <f t="shared" ref="AI3:AI33" si="1">IF(OR(AC3="",AD3="",AE3=""),"",AC3+AD3+AE3+AF3-AG3)</f>
        <v>5713</v>
      </c>
      <c r="AJ3" s="13">
        <f t="shared" ref="AJ3:AJ32" si="2">IF(OR(I4=""),"",I4-I3)</f>
        <v>208700</v>
      </c>
      <c r="AK3" s="13">
        <f t="shared" ref="AK3:AK33" si="3">IF(OR(J4=""),"",J4-J3)</f>
        <v>5496</v>
      </c>
      <c r="AL3" s="13">
        <f t="shared" ref="AL3:AL32" si="4">IF(OR(AJ3="",AK3=""),"",AJ3-AK3)</f>
        <v>203204</v>
      </c>
      <c r="AM3" s="13">
        <v>3630</v>
      </c>
      <c r="AN3" s="13">
        <f t="shared" ref="AN3:AN33" si="5">IF(OR(L4="",M4=""),"",ROUND((L4-L3+M4-M3)*1200,0))</f>
        <v>0</v>
      </c>
      <c r="AO3" s="13">
        <f t="shared" ref="AO3:AO33" si="6">IF(OR(N4=""),"",(ROUND((N4-N3)*2,0)))</f>
        <v>0</v>
      </c>
      <c r="AP3" s="13">
        <f t="shared" ref="AP3:AP33" si="7">IF(OR(U3=""),"",ROUND(U3*7.1,0))</f>
        <v>4970</v>
      </c>
      <c r="AQ3" s="13">
        <f t="shared" ref="AQ3:AQ33" si="8">IF(OR(V3=""),"",ROUND(V3*2.4,0))</f>
        <v>1632</v>
      </c>
      <c r="AR3" s="13">
        <f t="shared" ref="AR3:AR18" si="9">IF(O4=0,"",(O4+P4-O3-P3)*1000/2)</f>
        <v>0</v>
      </c>
      <c r="AS3" s="17">
        <f t="shared" ref="AS3:AS10" si="10">IF(OR($AL3=""),"",ROUND(AN3/$AL3*1000,1))</f>
        <v>0</v>
      </c>
      <c r="AT3" s="17">
        <f t="shared" ref="AT3:AT10" si="11">IF(OR($AL3=""),"",ROUND(AO3/$AL3*1000,2))</f>
        <v>0</v>
      </c>
      <c r="AU3" s="18">
        <f t="shared" ref="AU3:AU10" si="12">IF(OR($AL3=""),"",ROUND(AP3/$AL3*1000,1))</f>
        <v>24.5</v>
      </c>
      <c r="AV3" s="17">
        <f t="shared" ref="AV3:AV10" si="13">IF(OR($AL3=""),"",ROUND(AQ3/$AL3*1000,2))</f>
        <v>8.03</v>
      </c>
    </row>
    <row r="4" spans="1:48">
      <c r="A4" s="6">
        <v>43710</v>
      </c>
      <c r="B4" s="5" t="s">
        <v>48</v>
      </c>
      <c r="C4" s="4">
        <v>39487252</v>
      </c>
      <c r="D4" s="4">
        <v>27551236</v>
      </c>
      <c r="E4" s="4">
        <v>22671351</v>
      </c>
      <c r="F4" s="4">
        <v>22233741</v>
      </c>
      <c r="G4" s="4">
        <v>320605611</v>
      </c>
      <c r="H4" s="4">
        <v>107175161</v>
      </c>
      <c r="I4" s="4">
        <v>320605661</v>
      </c>
      <c r="J4" s="4">
        <v>107175160</v>
      </c>
      <c r="K4" s="4"/>
      <c r="L4" s="5">
        <v>4299.8</v>
      </c>
      <c r="M4" s="5">
        <v>4492.39</v>
      </c>
      <c r="N4" s="5">
        <v>74188.92</v>
      </c>
      <c r="O4" s="5">
        <v>1582.8</v>
      </c>
      <c r="P4" s="5">
        <v>1607.4</v>
      </c>
      <c r="Q4" s="5"/>
      <c r="R4" s="5"/>
      <c r="S4" s="10">
        <v>30.3</v>
      </c>
      <c r="T4" s="4" t="s">
        <v>46</v>
      </c>
      <c r="U4" s="4">
        <v>370</v>
      </c>
      <c r="V4" s="4">
        <v>380</v>
      </c>
      <c r="W4" s="4">
        <v>8264</v>
      </c>
      <c r="X4" s="4">
        <v>8021</v>
      </c>
      <c r="Y4" s="5">
        <v>4.25</v>
      </c>
      <c r="Z4" s="5">
        <v>3.36</v>
      </c>
      <c r="AA4" s="4">
        <v>1440</v>
      </c>
      <c r="AB4" s="4"/>
      <c r="AC4" s="13">
        <f t="shared" ref="AC4:AG4" si="14">IF(OR(C5=""),"",C5-C4)</f>
        <v>39567</v>
      </c>
      <c r="AD4" s="13">
        <f t="shared" si="14"/>
        <v>44412</v>
      </c>
      <c r="AE4" s="13">
        <f t="shared" si="14"/>
        <v>55614</v>
      </c>
      <c r="AF4" s="13">
        <f t="shared" si="14"/>
        <v>57296</v>
      </c>
      <c r="AG4" s="13">
        <f t="shared" si="14"/>
        <v>192028</v>
      </c>
      <c r="AH4" s="13">
        <f t="shared" si="0"/>
        <v>5480</v>
      </c>
      <c r="AI4" s="13">
        <f t="shared" si="1"/>
        <v>4861</v>
      </c>
      <c r="AJ4" s="13">
        <f t="shared" si="2"/>
        <v>191905</v>
      </c>
      <c r="AK4" s="13">
        <f t="shared" si="3"/>
        <v>5480</v>
      </c>
      <c r="AL4" s="13">
        <f t="shared" si="4"/>
        <v>186425</v>
      </c>
      <c r="AM4" s="13">
        <v>2805</v>
      </c>
      <c r="AN4" s="13">
        <f t="shared" si="5"/>
        <v>7656</v>
      </c>
      <c r="AO4" s="13">
        <f t="shared" si="6"/>
        <v>8</v>
      </c>
      <c r="AP4" s="13">
        <f t="shared" si="7"/>
        <v>2627</v>
      </c>
      <c r="AQ4" s="13">
        <f t="shared" si="8"/>
        <v>912</v>
      </c>
      <c r="AR4" s="13">
        <f t="shared" si="9"/>
        <v>550.000000000068</v>
      </c>
      <c r="AS4" s="17">
        <f t="shared" si="10"/>
        <v>41.1</v>
      </c>
      <c r="AT4" s="17">
        <f t="shared" si="11"/>
        <v>0.04</v>
      </c>
      <c r="AU4" s="18">
        <f t="shared" si="12"/>
        <v>14.1</v>
      </c>
      <c r="AV4" s="17">
        <f t="shared" si="13"/>
        <v>4.89</v>
      </c>
    </row>
    <row r="5" spans="1:48">
      <c r="A5" s="6">
        <v>43711</v>
      </c>
      <c r="B5" s="5" t="s">
        <v>47</v>
      </c>
      <c r="C5" s="4">
        <v>39526819</v>
      </c>
      <c r="D5" s="4">
        <v>27595648</v>
      </c>
      <c r="E5" s="4">
        <v>22726965</v>
      </c>
      <c r="F5" s="4">
        <v>22291037</v>
      </c>
      <c r="G5" s="4">
        <v>320797639</v>
      </c>
      <c r="H5" s="4">
        <v>107180641</v>
      </c>
      <c r="I5" s="4">
        <v>320797566</v>
      </c>
      <c r="J5" s="4">
        <v>107180640</v>
      </c>
      <c r="K5" s="4"/>
      <c r="L5" s="5">
        <v>4299.8</v>
      </c>
      <c r="M5" s="5">
        <v>4498.77</v>
      </c>
      <c r="N5" s="5">
        <v>74192.67</v>
      </c>
      <c r="O5" s="5">
        <v>1582.8</v>
      </c>
      <c r="P5" s="5">
        <v>1608.5</v>
      </c>
      <c r="Q5" s="5"/>
      <c r="R5" s="5"/>
      <c r="S5" s="10">
        <v>30.2</v>
      </c>
      <c r="T5" s="4" t="s">
        <v>54</v>
      </c>
      <c r="U5" s="4">
        <v>320</v>
      </c>
      <c r="V5" s="4">
        <v>350</v>
      </c>
      <c r="W5" s="4">
        <v>9485</v>
      </c>
      <c r="X5" s="4">
        <v>8011</v>
      </c>
      <c r="Y5" s="5">
        <v>4.65</v>
      </c>
      <c r="Z5" s="5">
        <v>2.67</v>
      </c>
      <c r="AA5" s="4">
        <v>120</v>
      </c>
      <c r="AB5" s="4"/>
      <c r="AC5" s="13">
        <f t="shared" ref="AC5:AG5" si="15">IF(OR(C6=""),"",C6-C5)</f>
        <v>50085</v>
      </c>
      <c r="AD5" s="13">
        <f t="shared" si="15"/>
        <v>56476</v>
      </c>
      <c r="AE5" s="13">
        <f t="shared" si="15"/>
        <v>56210</v>
      </c>
      <c r="AF5" s="13">
        <f t="shared" si="15"/>
        <v>56088</v>
      </c>
      <c r="AG5" s="13">
        <f t="shared" si="15"/>
        <v>207082</v>
      </c>
      <c r="AH5" s="13">
        <f t="shared" si="0"/>
        <v>5491</v>
      </c>
      <c r="AI5" s="13">
        <f t="shared" si="1"/>
        <v>11777</v>
      </c>
      <c r="AJ5" s="13">
        <f t="shared" si="2"/>
        <v>206784</v>
      </c>
      <c r="AK5" s="13">
        <f t="shared" si="3"/>
        <v>5480</v>
      </c>
      <c r="AL5" s="13">
        <f t="shared" si="4"/>
        <v>201304</v>
      </c>
      <c r="AM5" s="13">
        <v>2000</v>
      </c>
      <c r="AN5" s="13">
        <f t="shared" si="5"/>
        <v>16668</v>
      </c>
      <c r="AO5" s="13">
        <f t="shared" si="6"/>
        <v>0</v>
      </c>
      <c r="AP5" s="13">
        <f t="shared" si="7"/>
        <v>2272</v>
      </c>
      <c r="AQ5" s="13">
        <f t="shared" si="8"/>
        <v>840</v>
      </c>
      <c r="AR5" s="13">
        <f t="shared" si="9"/>
        <v>0</v>
      </c>
      <c r="AS5" s="17">
        <f t="shared" si="10"/>
        <v>82.8</v>
      </c>
      <c r="AT5" s="17">
        <f t="shared" si="11"/>
        <v>0</v>
      </c>
      <c r="AU5" s="18">
        <f t="shared" si="12"/>
        <v>11.3</v>
      </c>
      <c r="AV5" s="17">
        <f t="shared" si="13"/>
        <v>4.17</v>
      </c>
    </row>
    <row r="6" spans="1:48">
      <c r="A6" s="6">
        <v>43712</v>
      </c>
      <c r="B6" s="5" t="s">
        <v>50</v>
      </c>
      <c r="C6" s="4">
        <v>39576904</v>
      </c>
      <c r="D6" s="4">
        <v>27652124</v>
      </c>
      <c r="E6" s="4">
        <v>22783175</v>
      </c>
      <c r="F6" s="4">
        <v>22347125</v>
      </c>
      <c r="G6" s="4">
        <v>321004721</v>
      </c>
      <c r="H6" s="4">
        <v>107186132</v>
      </c>
      <c r="I6" s="4">
        <v>321004350</v>
      </c>
      <c r="J6" s="4">
        <v>107186120</v>
      </c>
      <c r="K6" s="4"/>
      <c r="L6" s="5">
        <v>4299.8</v>
      </c>
      <c r="M6" s="5">
        <v>4512.66</v>
      </c>
      <c r="N6" s="5">
        <v>74192.71</v>
      </c>
      <c r="O6" s="5">
        <v>1582.8</v>
      </c>
      <c r="P6" s="5">
        <v>1608.5</v>
      </c>
      <c r="Q6" s="5"/>
      <c r="R6" s="5"/>
      <c r="S6" s="10">
        <v>28.5</v>
      </c>
      <c r="T6" s="4" t="s">
        <v>52</v>
      </c>
      <c r="U6" s="4">
        <v>450</v>
      </c>
      <c r="V6" s="4">
        <v>480</v>
      </c>
      <c r="W6" s="4">
        <v>9874</v>
      </c>
      <c r="X6" s="4">
        <v>7145</v>
      </c>
      <c r="Y6" s="5">
        <v>6.29</v>
      </c>
      <c r="Z6" s="5">
        <v>2.59</v>
      </c>
      <c r="AA6" s="4">
        <v>1183</v>
      </c>
      <c r="AB6" s="4"/>
      <c r="AC6" s="13">
        <f t="shared" ref="AC6:AH6" si="16">IF(OR(C7=""),"",C7-C6)</f>
        <v>58838</v>
      </c>
      <c r="AD6" s="13">
        <f t="shared" si="16"/>
        <v>66005</v>
      </c>
      <c r="AE6" s="13">
        <f t="shared" si="16"/>
        <v>45989</v>
      </c>
      <c r="AF6" s="13">
        <f t="shared" si="16"/>
        <v>44666</v>
      </c>
      <c r="AG6" s="13">
        <f t="shared" si="16"/>
        <v>208266</v>
      </c>
      <c r="AH6" s="13">
        <f t="shared" si="16"/>
        <v>5473</v>
      </c>
      <c r="AI6" s="13">
        <f t="shared" si="1"/>
        <v>7232</v>
      </c>
      <c r="AJ6" s="13">
        <f t="shared" si="2"/>
        <v>208346</v>
      </c>
      <c r="AK6" s="13">
        <f t="shared" si="3"/>
        <v>5472</v>
      </c>
      <c r="AL6" s="13">
        <f t="shared" si="4"/>
        <v>202874</v>
      </c>
      <c r="AM6" s="13">
        <v>2000</v>
      </c>
      <c r="AN6" s="13">
        <f t="shared" si="5"/>
        <v>10260</v>
      </c>
      <c r="AO6" s="13">
        <f t="shared" si="6"/>
        <v>0</v>
      </c>
      <c r="AP6" s="13">
        <f t="shared" si="7"/>
        <v>3195</v>
      </c>
      <c r="AQ6" s="13">
        <f t="shared" si="8"/>
        <v>1152</v>
      </c>
      <c r="AR6" s="13">
        <f t="shared" si="9"/>
        <v>1799.99999999984</v>
      </c>
      <c r="AS6" s="17">
        <f t="shared" si="10"/>
        <v>50.6</v>
      </c>
      <c r="AT6" s="17">
        <f t="shared" si="11"/>
        <v>0</v>
      </c>
      <c r="AU6" s="18">
        <f t="shared" si="12"/>
        <v>15.7</v>
      </c>
      <c r="AV6" s="17">
        <f t="shared" si="13"/>
        <v>5.68</v>
      </c>
    </row>
    <row r="7" spans="1:48">
      <c r="A7" s="6">
        <v>43713</v>
      </c>
      <c r="B7" s="5" t="s">
        <v>48</v>
      </c>
      <c r="C7" s="4">
        <v>39635742</v>
      </c>
      <c r="D7" s="4">
        <v>27718129</v>
      </c>
      <c r="E7" s="4">
        <v>22829164</v>
      </c>
      <c r="F7" s="4">
        <v>22391791</v>
      </c>
      <c r="G7" s="4">
        <v>321212987</v>
      </c>
      <c r="H7" s="4">
        <v>107191605</v>
      </c>
      <c r="I7" s="4">
        <v>321212696</v>
      </c>
      <c r="J7" s="4">
        <v>107191592</v>
      </c>
      <c r="K7" s="4"/>
      <c r="L7" s="5">
        <v>4299.8</v>
      </c>
      <c r="M7" s="5">
        <v>4521.21</v>
      </c>
      <c r="N7" s="5">
        <v>74192.76</v>
      </c>
      <c r="O7" s="5">
        <v>1584.6</v>
      </c>
      <c r="P7" s="5">
        <v>1610.3</v>
      </c>
      <c r="Q7" s="5"/>
      <c r="R7" s="5"/>
      <c r="S7" s="10">
        <v>29.2</v>
      </c>
      <c r="T7" s="4" t="s">
        <v>46</v>
      </c>
      <c r="U7" s="4">
        <v>700</v>
      </c>
      <c r="V7" s="4">
        <v>720</v>
      </c>
      <c r="W7" s="4">
        <v>9348</v>
      </c>
      <c r="X7" s="4">
        <v>7815</v>
      </c>
      <c r="Y7" s="5">
        <v>5.2</v>
      </c>
      <c r="Z7" s="5">
        <v>3.4</v>
      </c>
      <c r="AA7" s="4">
        <v>1424</v>
      </c>
      <c r="AB7" s="4"/>
      <c r="AC7" s="13">
        <f t="shared" ref="AC7:AH7" si="17">IF(OR(C8=""),"",C8-C7)</f>
        <v>52936</v>
      </c>
      <c r="AD7" s="13">
        <f t="shared" si="17"/>
        <v>58954</v>
      </c>
      <c r="AE7" s="13">
        <f t="shared" si="17"/>
        <v>49453</v>
      </c>
      <c r="AF7" s="13">
        <f t="shared" si="17"/>
        <v>50863</v>
      </c>
      <c r="AG7" s="13">
        <f t="shared" si="17"/>
        <v>205679</v>
      </c>
      <c r="AH7" s="13">
        <f t="shared" si="17"/>
        <v>5400</v>
      </c>
      <c r="AI7" s="13">
        <f t="shared" si="1"/>
        <v>6527</v>
      </c>
      <c r="AJ7" s="13">
        <f t="shared" si="2"/>
        <v>206027</v>
      </c>
      <c r="AK7" s="13">
        <f t="shared" si="3"/>
        <v>5496</v>
      </c>
      <c r="AL7" s="13">
        <f t="shared" si="4"/>
        <v>200531</v>
      </c>
      <c r="AM7" s="13">
        <v>3000</v>
      </c>
      <c r="AN7" s="13">
        <f t="shared" si="5"/>
        <v>0</v>
      </c>
      <c r="AO7" s="13">
        <f t="shared" si="6"/>
        <v>0</v>
      </c>
      <c r="AP7" s="13">
        <f t="shared" si="7"/>
        <v>4970</v>
      </c>
      <c r="AQ7" s="13">
        <f t="shared" si="8"/>
        <v>1728</v>
      </c>
      <c r="AR7" s="13">
        <f t="shared" si="9"/>
        <v>2649.99999999998</v>
      </c>
      <c r="AS7" s="17">
        <f t="shared" si="10"/>
        <v>0</v>
      </c>
      <c r="AT7" s="17">
        <f t="shared" si="11"/>
        <v>0</v>
      </c>
      <c r="AU7" s="18">
        <f t="shared" si="12"/>
        <v>24.8</v>
      </c>
      <c r="AV7" s="17">
        <f t="shared" si="13"/>
        <v>8.62</v>
      </c>
    </row>
    <row r="8" spans="1:48">
      <c r="A8" s="6">
        <v>43714</v>
      </c>
      <c r="B8" s="5" t="s">
        <v>48</v>
      </c>
      <c r="C8" s="4">
        <v>39688678</v>
      </c>
      <c r="D8" s="4">
        <v>27777083</v>
      </c>
      <c r="E8" s="4">
        <v>22878617</v>
      </c>
      <c r="F8" s="4">
        <v>22442654</v>
      </c>
      <c r="G8" s="4">
        <v>321418666</v>
      </c>
      <c r="H8" s="4">
        <v>107197005</v>
      </c>
      <c r="I8" s="4">
        <v>321418723</v>
      </c>
      <c r="J8" s="4">
        <v>107197088</v>
      </c>
      <c r="K8" s="4"/>
      <c r="L8" s="5">
        <v>4299.8</v>
      </c>
      <c r="M8" s="5">
        <v>4521.21</v>
      </c>
      <c r="N8" s="5">
        <v>74192.76</v>
      </c>
      <c r="O8" s="5">
        <v>1587.3</v>
      </c>
      <c r="P8" s="5">
        <v>1612.9</v>
      </c>
      <c r="Q8" s="5"/>
      <c r="R8" s="5"/>
      <c r="S8" s="10">
        <v>30</v>
      </c>
      <c r="T8" s="4" t="s">
        <v>46</v>
      </c>
      <c r="U8" s="4">
        <v>590</v>
      </c>
      <c r="V8" s="4">
        <v>600</v>
      </c>
      <c r="W8" s="4">
        <v>8745</v>
      </c>
      <c r="X8" s="4">
        <v>7245</v>
      </c>
      <c r="Y8" s="5">
        <v>4.97</v>
      </c>
      <c r="Z8" s="5">
        <v>2.85</v>
      </c>
      <c r="AA8" s="4">
        <v>1228</v>
      </c>
      <c r="AB8" s="4"/>
      <c r="AC8" s="13">
        <f t="shared" ref="AC8:AH8" si="18">IF(OR(C9=""),"",C9-C8)</f>
        <v>50153</v>
      </c>
      <c r="AD8" s="13">
        <f t="shared" si="18"/>
        <v>56182</v>
      </c>
      <c r="AE8" s="13">
        <f t="shared" si="18"/>
        <v>50753</v>
      </c>
      <c r="AF8" s="13">
        <f t="shared" si="18"/>
        <v>49704</v>
      </c>
      <c r="AG8" s="13">
        <f t="shared" si="18"/>
        <v>200646</v>
      </c>
      <c r="AH8" s="13">
        <f t="shared" si="18"/>
        <v>5570</v>
      </c>
      <c r="AI8" s="13">
        <f t="shared" si="1"/>
        <v>6146</v>
      </c>
      <c r="AJ8" s="13">
        <f t="shared" si="2"/>
        <v>200645</v>
      </c>
      <c r="AK8" s="13">
        <f t="shared" si="3"/>
        <v>5488</v>
      </c>
      <c r="AL8" s="13">
        <f t="shared" si="4"/>
        <v>195157</v>
      </c>
      <c r="AM8" s="13">
        <v>2970</v>
      </c>
      <c r="AN8" s="13">
        <f t="shared" si="5"/>
        <v>0</v>
      </c>
      <c r="AO8" s="13">
        <f t="shared" si="6"/>
        <v>0</v>
      </c>
      <c r="AP8" s="13">
        <f t="shared" si="7"/>
        <v>4189</v>
      </c>
      <c r="AQ8" s="13">
        <f t="shared" si="8"/>
        <v>1440</v>
      </c>
      <c r="AR8" s="13">
        <f t="shared" si="9"/>
        <v>1249.99999999989</v>
      </c>
      <c r="AS8" s="17">
        <f t="shared" si="10"/>
        <v>0</v>
      </c>
      <c r="AT8" s="17">
        <f t="shared" si="11"/>
        <v>0</v>
      </c>
      <c r="AU8" s="18">
        <f t="shared" si="12"/>
        <v>21.5</v>
      </c>
      <c r="AV8" s="17">
        <f t="shared" si="13"/>
        <v>7.38</v>
      </c>
    </row>
    <row r="9" spans="1:48">
      <c r="A9" s="6">
        <v>43715</v>
      </c>
      <c r="B9" s="5" t="s">
        <v>48</v>
      </c>
      <c r="C9" s="4">
        <v>39738831</v>
      </c>
      <c r="D9" s="4">
        <v>27833265</v>
      </c>
      <c r="E9" s="4">
        <v>22929370</v>
      </c>
      <c r="F9" s="4">
        <v>22492358</v>
      </c>
      <c r="G9" s="4">
        <v>321619312</v>
      </c>
      <c r="H9" s="4">
        <v>107202575</v>
      </c>
      <c r="I9" s="4">
        <v>321619368</v>
      </c>
      <c r="J9" s="4">
        <v>107202576</v>
      </c>
      <c r="K9" s="4"/>
      <c r="L9" s="5">
        <v>4299.8</v>
      </c>
      <c r="M9" s="5">
        <v>4521.21</v>
      </c>
      <c r="N9" s="5">
        <v>74192.76</v>
      </c>
      <c r="O9" s="5">
        <v>1589</v>
      </c>
      <c r="P9" s="5">
        <v>1613.7</v>
      </c>
      <c r="Q9" s="5"/>
      <c r="R9" s="5"/>
      <c r="S9" s="10">
        <v>29</v>
      </c>
      <c r="T9" s="4" t="s">
        <v>46</v>
      </c>
      <c r="U9" s="4">
        <v>360</v>
      </c>
      <c r="V9" s="4">
        <v>380</v>
      </c>
      <c r="W9" s="4">
        <v>9245</v>
      </c>
      <c r="X9" s="4">
        <v>8145</v>
      </c>
      <c r="Y9" s="5">
        <v>6.01</v>
      </c>
      <c r="Z9" s="5">
        <v>2.91</v>
      </c>
      <c r="AA9" s="4">
        <v>1277</v>
      </c>
      <c r="AB9" s="4"/>
      <c r="AC9" s="13">
        <f t="shared" ref="AC9:AH9" si="19">IF(OR(C10=""),"",C10-C9)</f>
        <v>51240</v>
      </c>
      <c r="AD9" s="13">
        <f t="shared" si="19"/>
        <v>56380</v>
      </c>
      <c r="AE9" s="13">
        <f t="shared" si="19"/>
        <v>54277</v>
      </c>
      <c r="AF9" s="13">
        <f t="shared" si="19"/>
        <v>53857</v>
      </c>
      <c r="AG9" s="13">
        <f t="shared" si="19"/>
        <v>206998</v>
      </c>
      <c r="AH9" s="13">
        <f t="shared" si="19"/>
        <v>5487</v>
      </c>
      <c r="AI9" s="13">
        <f t="shared" si="1"/>
        <v>8756</v>
      </c>
      <c r="AJ9" s="13">
        <f t="shared" si="2"/>
        <v>207519</v>
      </c>
      <c r="AK9" s="13">
        <f t="shared" si="3"/>
        <v>5496</v>
      </c>
      <c r="AL9" s="13">
        <f t="shared" si="4"/>
        <v>202023</v>
      </c>
      <c r="AM9" s="13">
        <v>2000</v>
      </c>
      <c r="AN9" s="13">
        <f t="shared" si="5"/>
        <v>0</v>
      </c>
      <c r="AO9" s="13">
        <f t="shared" si="6"/>
        <v>0</v>
      </c>
      <c r="AP9" s="13">
        <f t="shared" si="7"/>
        <v>2556</v>
      </c>
      <c r="AQ9" s="13">
        <f t="shared" si="8"/>
        <v>912</v>
      </c>
      <c r="AR9" s="13">
        <f t="shared" si="9"/>
        <v>3149.99999999998</v>
      </c>
      <c r="AS9" s="17">
        <f t="shared" si="10"/>
        <v>0</v>
      </c>
      <c r="AT9" s="17">
        <f t="shared" si="11"/>
        <v>0</v>
      </c>
      <c r="AU9" s="18">
        <f t="shared" si="12"/>
        <v>12.7</v>
      </c>
      <c r="AV9" s="17">
        <f t="shared" si="13"/>
        <v>4.51</v>
      </c>
    </row>
    <row r="10" spans="1:48">
      <c r="A10" s="6">
        <v>43716</v>
      </c>
      <c r="B10" s="5" t="s">
        <v>48</v>
      </c>
      <c r="C10" s="4">
        <v>39790071</v>
      </c>
      <c r="D10" s="4">
        <v>27889645</v>
      </c>
      <c r="E10" s="4">
        <v>22983647</v>
      </c>
      <c r="F10" s="4">
        <v>22546215</v>
      </c>
      <c r="G10" s="4">
        <v>321826310</v>
      </c>
      <c r="H10" s="4">
        <v>107208062</v>
      </c>
      <c r="I10" s="1">
        <v>321826887</v>
      </c>
      <c r="J10" s="4">
        <v>107208072</v>
      </c>
      <c r="K10" s="4"/>
      <c r="L10" s="5">
        <v>4299.8</v>
      </c>
      <c r="M10" s="5">
        <v>4521.21</v>
      </c>
      <c r="N10" s="5">
        <v>74192.76</v>
      </c>
      <c r="O10" s="5">
        <v>1592.6</v>
      </c>
      <c r="P10" s="5">
        <v>1616.4</v>
      </c>
      <c r="Q10" s="5"/>
      <c r="R10" s="5"/>
      <c r="S10" s="10">
        <v>29.6</v>
      </c>
      <c r="T10" s="4" t="s">
        <v>54</v>
      </c>
      <c r="U10" s="4">
        <v>370</v>
      </c>
      <c r="V10" s="4">
        <v>400</v>
      </c>
      <c r="W10" s="4">
        <v>9487</v>
      </c>
      <c r="X10" s="4">
        <v>8745</v>
      </c>
      <c r="Y10" s="5">
        <v>6.46</v>
      </c>
      <c r="Z10" s="5">
        <v>4.51</v>
      </c>
      <c r="AA10" s="4">
        <v>1397</v>
      </c>
      <c r="AB10" s="4"/>
      <c r="AC10" s="13">
        <f t="shared" ref="AC10:AH10" si="20">IF(OR(C11=""),"",C11-C10)</f>
        <v>42437</v>
      </c>
      <c r="AD10" s="13">
        <f t="shared" si="20"/>
        <v>48548</v>
      </c>
      <c r="AE10" s="13">
        <f t="shared" si="20"/>
        <v>64615</v>
      </c>
      <c r="AF10" s="13">
        <f t="shared" si="20"/>
        <v>65061</v>
      </c>
      <c r="AG10" s="13">
        <f t="shared" si="20"/>
        <v>211514</v>
      </c>
      <c r="AH10" s="13">
        <f t="shared" si="20"/>
        <v>5494</v>
      </c>
      <c r="AI10" s="13">
        <f t="shared" si="1"/>
        <v>9147</v>
      </c>
      <c r="AJ10" s="13">
        <f t="shared" si="2"/>
        <v>211061</v>
      </c>
      <c r="AK10" s="13">
        <f t="shared" si="3"/>
        <v>5488</v>
      </c>
      <c r="AL10" s="13">
        <f t="shared" si="4"/>
        <v>205573</v>
      </c>
      <c r="AM10" s="13">
        <v>2000</v>
      </c>
      <c r="AN10" s="13">
        <f t="shared" si="5"/>
        <v>0</v>
      </c>
      <c r="AO10" s="13">
        <f t="shared" si="6"/>
        <v>0</v>
      </c>
      <c r="AP10" s="13">
        <f t="shared" si="7"/>
        <v>2627</v>
      </c>
      <c r="AQ10" s="13">
        <f t="shared" si="8"/>
        <v>960</v>
      </c>
      <c r="AR10" s="13">
        <f t="shared" si="9"/>
        <v>450.000000000045</v>
      </c>
      <c r="AS10" s="17">
        <f t="shared" si="10"/>
        <v>0</v>
      </c>
      <c r="AT10" s="17">
        <f t="shared" si="11"/>
        <v>0</v>
      </c>
      <c r="AU10" s="18">
        <f t="shared" si="12"/>
        <v>12.8</v>
      </c>
      <c r="AV10" s="17">
        <f t="shared" si="13"/>
        <v>4.67</v>
      </c>
    </row>
    <row r="11" spans="1:48">
      <c r="A11" s="6">
        <v>43717</v>
      </c>
      <c r="B11" s="5" t="s">
        <v>48</v>
      </c>
      <c r="C11" s="4">
        <v>39832508</v>
      </c>
      <c r="D11" s="4">
        <v>27938193</v>
      </c>
      <c r="E11" s="4">
        <v>23048262</v>
      </c>
      <c r="F11" s="4">
        <v>22611276</v>
      </c>
      <c r="G11" s="4">
        <v>322037824</v>
      </c>
      <c r="H11" s="4">
        <v>107213556</v>
      </c>
      <c r="I11" s="4">
        <v>322037948</v>
      </c>
      <c r="J11" s="4">
        <v>107213560</v>
      </c>
      <c r="K11" s="4"/>
      <c r="L11" s="5">
        <v>4299.8</v>
      </c>
      <c r="M11" s="5">
        <v>4521.21</v>
      </c>
      <c r="N11" s="5">
        <v>74192.76</v>
      </c>
      <c r="O11" s="5">
        <v>1593.5</v>
      </c>
      <c r="P11" s="5">
        <v>1616.4</v>
      </c>
      <c r="Q11" s="5"/>
      <c r="R11" s="5"/>
      <c r="S11" s="10">
        <v>29.6</v>
      </c>
      <c r="T11" s="4" t="s">
        <v>46</v>
      </c>
      <c r="U11" s="4">
        <v>420</v>
      </c>
      <c r="V11" s="4">
        <v>450</v>
      </c>
      <c r="W11" s="4">
        <v>9387</v>
      </c>
      <c r="X11" s="4">
        <v>8859</v>
      </c>
      <c r="Y11" s="5">
        <v>6.35</v>
      </c>
      <c r="Z11" s="5">
        <v>4.38</v>
      </c>
      <c r="AA11" s="4">
        <v>1440</v>
      </c>
      <c r="AB11" s="4"/>
      <c r="AC11" s="13">
        <f t="shared" ref="AC11:AH11" si="21">IF(OR(C12=""),"",C12-C11)</f>
        <v>40146</v>
      </c>
      <c r="AD11" s="13">
        <f t="shared" si="21"/>
        <v>44932</v>
      </c>
      <c r="AE11" s="13">
        <f t="shared" si="21"/>
        <v>65209</v>
      </c>
      <c r="AF11" s="13">
        <f t="shared" si="21"/>
        <v>65806</v>
      </c>
      <c r="AG11" s="13">
        <f t="shared" si="21"/>
        <v>213182</v>
      </c>
      <c r="AH11" s="13">
        <f t="shared" si="21"/>
        <v>5450</v>
      </c>
      <c r="AI11" s="13">
        <f t="shared" si="1"/>
        <v>2911</v>
      </c>
      <c r="AJ11" s="13">
        <f t="shared" si="2"/>
        <v>213215</v>
      </c>
      <c r="AK11" s="13">
        <f t="shared" si="3"/>
        <v>5488</v>
      </c>
      <c r="AL11" s="13">
        <f t="shared" si="4"/>
        <v>207727</v>
      </c>
      <c r="AM11" s="13">
        <v>2000</v>
      </c>
      <c r="AN11" s="13">
        <f t="shared" si="5"/>
        <v>0</v>
      </c>
      <c r="AO11" s="13">
        <f t="shared" si="6"/>
        <v>0</v>
      </c>
      <c r="AP11" s="13">
        <f t="shared" si="7"/>
        <v>2982</v>
      </c>
      <c r="AQ11" s="13">
        <f t="shared" si="8"/>
        <v>1080</v>
      </c>
      <c r="AR11" s="13">
        <f t="shared" si="9"/>
        <v>0</v>
      </c>
      <c r="AS11" s="17">
        <f t="shared" ref="AS11:AS33" si="22">IF(OR($AL10=""),"",ROUND(AN11/$AL10*1000,1))</f>
        <v>0</v>
      </c>
      <c r="AT11" s="17">
        <f t="shared" ref="AT11:AT33" si="23">IF(OR($AL10=""),"",ROUND(AO11/$AL10*1000,2))</f>
        <v>0</v>
      </c>
      <c r="AU11" s="18">
        <f t="shared" ref="AU11:AU33" si="24">IF(OR($AL10=""),"",ROUND(AP11/$AL10*1000,1))</f>
        <v>14.5</v>
      </c>
      <c r="AV11" s="17">
        <f t="shared" ref="AV11:AV33" si="25">IF(OR($AL10=""),"",ROUND(AQ11/$AL10*1000,2))</f>
        <v>5.25</v>
      </c>
    </row>
    <row r="12" spans="1:48">
      <c r="A12" s="6">
        <v>43718</v>
      </c>
      <c r="B12" s="5" t="s">
        <v>45</v>
      </c>
      <c r="C12" s="4">
        <v>39872654</v>
      </c>
      <c r="D12" s="4">
        <v>27983125</v>
      </c>
      <c r="E12" s="4">
        <v>23113471</v>
      </c>
      <c r="F12" s="4">
        <v>22677082</v>
      </c>
      <c r="G12" s="4">
        <v>322251006</v>
      </c>
      <c r="H12" s="4">
        <v>107219006</v>
      </c>
      <c r="I12" s="4">
        <v>322251163</v>
      </c>
      <c r="J12" s="4">
        <v>107219048</v>
      </c>
      <c r="K12" s="4"/>
      <c r="L12" s="5">
        <v>4299.8</v>
      </c>
      <c r="M12" s="5">
        <v>4521.21</v>
      </c>
      <c r="N12" s="5">
        <v>74192.76</v>
      </c>
      <c r="O12" s="5">
        <v>1593.5</v>
      </c>
      <c r="P12" s="5">
        <v>1616.4</v>
      </c>
      <c r="Q12" s="5"/>
      <c r="R12" s="5"/>
      <c r="S12" s="10">
        <v>29.8</v>
      </c>
      <c r="T12" s="4" t="s">
        <v>46</v>
      </c>
      <c r="U12" s="4">
        <v>320</v>
      </c>
      <c r="V12" s="4">
        <v>350</v>
      </c>
      <c r="W12" s="4">
        <v>8992</v>
      </c>
      <c r="X12" s="4">
        <v>6524</v>
      </c>
      <c r="Y12" s="5">
        <v>6.41</v>
      </c>
      <c r="Z12" s="5">
        <v>3</v>
      </c>
      <c r="AA12" s="4">
        <v>1067</v>
      </c>
      <c r="AB12" s="4"/>
      <c r="AC12" s="13">
        <f t="shared" ref="AC12:AH12" si="26">IF(OR(C13=""),"",C13-C12)</f>
        <v>38892</v>
      </c>
      <c r="AD12" s="13">
        <f t="shared" si="26"/>
        <v>41414</v>
      </c>
      <c r="AE12" s="13">
        <f t="shared" si="26"/>
        <v>51086</v>
      </c>
      <c r="AF12" s="13">
        <f t="shared" si="26"/>
        <v>52135</v>
      </c>
      <c r="AG12" s="13">
        <f t="shared" si="26"/>
        <v>187290</v>
      </c>
      <c r="AH12" s="13">
        <f t="shared" si="26"/>
        <v>5538</v>
      </c>
      <c r="AI12" s="13">
        <f t="shared" si="1"/>
        <v>-3763</v>
      </c>
      <c r="AJ12" s="13">
        <f t="shared" si="2"/>
        <v>187084</v>
      </c>
      <c r="AK12" s="13">
        <f t="shared" si="3"/>
        <v>5502</v>
      </c>
      <c r="AL12" s="13">
        <f t="shared" si="4"/>
        <v>181582</v>
      </c>
      <c r="AM12" s="13">
        <v>2000</v>
      </c>
      <c r="AN12" s="13">
        <f t="shared" si="5"/>
        <v>0</v>
      </c>
      <c r="AO12" s="13">
        <f t="shared" si="6"/>
        <v>0</v>
      </c>
      <c r="AP12" s="13">
        <f t="shared" si="7"/>
        <v>2272</v>
      </c>
      <c r="AQ12" s="13">
        <f t="shared" si="8"/>
        <v>840</v>
      </c>
      <c r="AR12" s="13">
        <f t="shared" si="9"/>
        <v>0</v>
      </c>
      <c r="AS12" s="17">
        <f t="shared" si="22"/>
        <v>0</v>
      </c>
      <c r="AT12" s="17">
        <f t="shared" si="23"/>
        <v>0</v>
      </c>
      <c r="AU12" s="18">
        <f t="shared" si="24"/>
        <v>10.9</v>
      </c>
      <c r="AV12" s="17">
        <f t="shared" si="25"/>
        <v>4.04</v>
      </c>
    </row>
    <row r="13" spans="1:48">
      <c r="A13" s="6">
        <v>43719</v>
      </c>
      <c r="B13" s="5" t="s">
        <v>47</v>
      </c>
      <c r="C13" s="4">
        <v>39911546</v>
      </c>
      <c r="D13" s="4">
        <v>28024539</v>
      </c>
      <c r="E13" s="4">
        <v>23164557</v>
      </c>
      <c r="F13" s="4">
        <v>22729217</v>
      </c>
      <c r="G13" s="4">
        <v>322438296</v>
      </c>
      <c r="H13" s="4">
        <v>107224544</v>
      </c>
      <c r="I13" s="4">
        <v>322438247</v>
      </c>
      <c r="J13" s="4">
        <v>107224550</v>
      </c>
      <c r="K13" s="4"/>
      <c r="L13" s="5">
        <v>4299.8</v>
      </c>
      <c r="M13" s="5">
        <v>4521.21</v>
      </c>
      <c r="N13" s="5">
        <v>74192.76</v>
      </c>
      <c r="O13" s="5">
        <v>1593.5</v>
      </c>
      <c r="P13" s="5">
        <v>1616.4</v>
      </c>
      <c r="Q13" s="5"/>
      <c r="R13" s="5"/>
      <c r="S13" s="10">
        <v>28.8</v>
      </c>
      <c r="T13" s="4" t="s">
        <v>46</v>
      </c>
      <c r="U13" s="4">
        <v>260</v>
      </c>
      <c r="V13" s="4">
        <v>280</v>
      </c>
      <c r="W13" s="4">
        <v>8779</v>
      </c>
      <c r="X13" s="4">
        <v>4457</v>
      </c>
      <c r="Y13" s="5">
        <v>4.85</v>
      </c>
      <c r="Z13" s="5">
        <v>2.48</v>
      </c>
      <c r="AA13" s="4">
        <v>1320</v>
      </c>
      <c r="AB13" s="4"/>
      <c r="AC13" s="13">
        <f t="shared" ref="AC13:AH13" si="27">IF(OR(C14=""),"",C14-C13)</f>
        <v>35729</v>
      </c>
      <c r="AD13" s="13">
        <f t="shared" si="27"/>
        <v>38896</v>
      </c>
      <c r="AE13" s="13">
        <f t="shared" si="27"/>
        <v>52517</v>
      </c>
      <c r="AF13" s="13">
        <f t="shared" si="27"/>
        <v>52822</v>
      </c>
      <c r="AG13" s="13">
        <f t="shared" si="27"/>
        <v>173351</v>
      </c>
      <c r="AH13" s="13">
        <f t="shared" si="27"/>
        <v>5500</v>
      </c>
      <c r="AI13" s="13">
        <f t="shared" si="1"/>
        <v>6613</v>
      </c>
      <c r="AJ13" s="13">
        <f t="shared" si="2"/>
        <v>172672</v>
      </c>
      <c r="AK13" s="13">
        <f t="shared" si="3"/>
        <v>5472</v>
      </c>
      <c r="AL13" s="13">
        <f t="shared" si="4"/>
        <v>167200</v>
      </c>
      <c r="AM13" s="13">
        <v>2500</v>
      </c>
      <c r="AN13" s="13">
        <f t="shared" si="5"/>
        <v>0</v>
      </c>
      <c r="AO13" s="13">
        <f t="shared" si="6"/>
        <v>0</v>
      </c>
      <c r="AP13" s="13">
        <f t="shared" si="7"/>
        <v>1846</v>
      </c>
      <c r="AQ13" s="13">
        <f t="shared" si="8"/>
        <v>672</v>
      </c>
      <c r="AR13" s="13">
        <f t="shared" si="9"/>
        <v>399.999999999864</v>
      </c>
      <c r="AS13" s="17">
        <f t="shared" si="22"/>
        <v>0</v>
      </c>
      <c r="AT13" s="17">
        <f t="shared" si="23"/>
        <v>0</v>
      </c>
      <c r="AU13" s="18">
        <f t="shared" si="24"/>
        <v>10.2</v>
      </c>
      <c r="AV13" s="17">
        <f t="shared" si="25"/>
        <v>3.7</v>
      </c>
    </row>
    <row r="14" spans="1:48">
      <c r="A14" s="6">
        <v>43720</v>
      </c>
      <c r="B14" s="5" t="s">
        <v>50</v>
      </c>
      <c r="C14" s="4">
        <v>39947275</v>
      </c>
      <c r="D14" s="4">
        <v>28063435</v>
      </c>
      <c r="E14" s="4">
        <v>23217074</v>
      </c>
      <c r="F14" s="4">
        <v>22782039</v>
      </c>
      <c r="G14" s="4">
        <v>322611647</v>
      </c>
      <c r="H14" s="4">
        <v>107230044</v>
      </c>
      <c r="I14" s="4">
        <v>322610919</v>
      </c>
      <c r="J14" s="4">
        <v>107230022</v>
      </c>
      <c r="K14" s="4"/>
      <c r="L14" s="5">
        <v>4299.8</v>
      </c>
      <c r="M14" s="5">
        <v>4521.21</v>
      </c>
      <c r="N14" s="5">
        <v>74192.76</v>
      </c>
      <c r="O14" s="5">
        <v>1593.5</v>
      </c>
      <c r="P14" s="5">
        <v>1617.2</v>
      </c>
      <c r="Q14" s="5"/>
      <c r="R14" s="5"/>
      <c r="S14" s="10">
        <v>29.6</v>
      </c>
      <c r="T14" s="4" t="s">
        <v>46</v>
      </c>
      <c r="U14" s="4">
        <v>400</v>
      </c>
      <c r="V14" s="4">
        <v>420</v>
      </c>
      <c r="W14" s="4">
        <v>8478</v>
      </c>
      <c r="X14" s="4">
        <v>7145</v>
      </c>
      <c r="Y14" s="5">
        <v>5.4</v>
      </c>
      <c r="Z14" s="5">
        <v>2.65</v>
      </c>
      <c r="AA14" s="4">
        <v>1139</v>
      </c>
      <c r="AB14" s="4"/>
      <c r="AC14" s="13">
        <f t="shared" ref="AC14:AH14" si="28">IF(OR(C15=""),"",C15-C14)</f>
        <v>40923</v>
      </c>
      <c r="AD14" s="13">
        <f t="shared" si="28"/>
        <v>45911</v>
      </c>
      <c r="AE14" s="13">
        <f t="shared" si="28"/>
        <v>49711</v>
      </c>
      <c r="AF14" s="13">
        <f t="shared" si="28"/>
        <v>50260</v>
      </c>
      <c r="AG14" s="13">
        <f t="shared" si="28"/>
        <v>183420</v>
      </c>
      <c r="AH14" s="13">
        <f t="shared" si="28"/>
        <v>5489</v>
      </c>
      <c r="AI14" s="13">
        <f t="shared" si="1"/>
        <v>3385</v>
      </c>
      <c r="AJ14" s="13">
        <f t="shared" si="2"/>
        <v>183486</v>
      </c>
      <c r="AK14" s="13">
        <f t="shared" si="3"/>
        <v>5522</v>
      </c>
      <c r="AL14" s="13">
        <f t="shared" si="4"/>
        <v>177964</v>
      </c>
      <c r="AM14" s="13">
        <v>2500</v>
      </c>
      <c r="AN14" s="13">
        <f t="shared" si="5"/>
        <v>0</v>
      </c>
      <c r="AO14" s="13">
        <f t="shared" si="6"/>
        <v>0</v>
      </c>
      <c r="AP14" s="13">
        <f t="shared" si="7"/>
        <v>2840</v>
      </c>
      <c r="AQ14" s="13">
        <f t="shared" si="8"/>
        <v>1008</v>
      </c>
      <c r="AR14" s="13">
        <f t="shared" si="9"/>
        <v>1800.00000000007</v>
      </c>
      <c r="AS14" s="17">
        <f t="shared" si="22"/>
        <v>0</v>
      </c>
      <c r="AT14" s="17">
        <f t="shared" si="23"/>
        <v>0</v>
      </c>
      <c r="AU14" s="18">
        <f t="shared" si="24"/>
        <v>17</v>
      </c>
      <c r="AV14" s="17">
        <f t="shared" si="25"/>
        <v>6.03</v>
      </c>
    </row>
    <row r="15" spans="1:48">
      <c r="A15" s="6">
        <v>43721</v>
      </c>
      <c r="B15" s="5" t="s">
        <v>48</v>
      </c>
      <c r="C15" s="4">
        <v>39988198</v>
      </c>
      <c r="D15" s="4">
        <v>28109346</v>
      </c>
      <c r="E15" s="4">
        <v>23266785</v>
      </c>
      <c r="F15" s="4">
        <v>22832299</v>
      </c>
      <c r="G15" s="4">
        <v>322795067</v>
      </c>
      <c r="H15" s="4">
        <v>107235533</v>
      </c>
      <c r="I15" s="4">
        <v>322794405</v>
      </c>
      <c r="J15" s="4">
        <v>107235544</v>
      </c>
      <c r="K15" s="4"/>
      <c r="L15" s="5">
        <v>4299.8</v>
      </c>
      <c r="M15" s="5">
        <v>4521.21</v>
      </c>
      <c r="N15" s="5">
        <v>74192.76</v>
      </c>
      <c r="O15" s="5">
        <v>1595.3</v>
      </c>
      <c r="P15" s="5">
        <v>1619</v>
      </c>
      <c r="Q15" s="5"/>
      <c r="R15" s="5"/>
      <c r="S15" s="10">
        <v>29.2</v>
      </c>
      <c r="T15" s="4" t="s">
        <v>52</v>
      </c>
      <c r="U15" s="4">
        <v>750</v>
      </c>
      <c r="V15" s="4">
        <v>740</v>
      </c>
      <c r="W15" s="4">
        <v>9315</v>
      </c>
      <c r="X15" s="4">
        <v>7480</v>
      </c>
      <c r="Y15" s="5">
        <v>7.78</v>
      </c>
      <c r="Z15" s="5">
        <v>4.67</v>
      </c>
      <c r="AA15" s="4">
        <v>1374</v>
      </c>
      <c r="AB15" s="4"/>
      <c r="AC15" s="13">
        <f t="shared" ref="AC15:AH15" si="29">IF(OR(C16=""),"",C16-C15)</f>
        <v>58525</v>
      </c>
      <c r="AD15" s="13">
        <f t="shared" si="29"/>
        <v>66774</v>
      </c>
      <c r="AE15" s="13">
        <f t="shared" si="29"/>
        <v>46159</v>
      </c>
      <c r="AF15" s="13">
        <f t="shared" si="29"/>
        <v>44876</v>
      </c>
      <c r="AG15" s="13">
        <f t="shared" si="29"/>
        <v>210518</v>
      </c>
      <c r="AH15" s="13">
        <f t="shared" si="29"/>
        <v>5486</v>
      </c>
      <c r="AI15" s="13">
        <f t="shared" si="1"/>
        <v>5816</v>
      </c>
      <c r="AJ15" s="13">
        <f t="shared" si="2"/>
        <v>211241</v>
      </c>
      <c r="AK15" s="13">
        <f t="shared" si="3"/>
        <v>5472</v>
      </c>
      <c r="AL15" s="13">
        <f t="shared" si="4"/>
        <v>205769</v>
      </c>
      <c r="AM15" s="13">
        <v>2500</v>
      </c>
      <c r="AN15" s="13">
        <f t="shared" si="5"/>
        <v>0</v>
      </c>
      <c r="AO15" s="13">
        <f t="shared" si="6"/>
        <v>0</v>
      </c>
      <c r="AP15" s="13">
        <f t="shared" si="7"/>
        <v>5325</v>
      </c>
      <c r="AQ15" s="13">
        <f t="shared" si="8"/>
        <v>1776</v>
      </c>
      <c r="AR15" s="13">
        <f t="shared" si="9"/>
        <v>850.000000000023</v>
      </c>
      <c r="AS15" s="17">
        <f t="shared" si="22"/>
        <v>0</v>
      </c>
      <c r="AT15" s="17">
        <f t="shared" si="23"/>
        <v>0</v>
      </c>
      <c r="AU15" s="18">
        <f t="shared" si="24"/>
        <v>29.9</v>
      </c>
      <c r="AV15" s="17">
        <f t="shared" si="25"/>
        <v>9.98</v>
      </c>
    </row>
    <row r="16" spans="1:48">
      <c r="A16" s="6">
        <v>43722</v>
      </c>
      <c r="B16" s="5" t="s">
        <v>48</v>
      </c>
      <c r="C16" s="4">
        <v>40046723</v>
      </c>
      <c r="D16" s="4">
        <v>28176120</v>
      </c>
      <c r="E16" s="4">
        <v>23312944</v>
      </c>
      <c r="F16" s="4">
        <v>22877175</v>
      </c>
      <c r="G16" s="4">
        <v>323005585</v>
      </c>
      <c r="H16" s="4">
        <v>107241019</v>
      </c>
      <c r="I16" s="4">
        <v>323005646</v>
      </c>
      <c r="J16" s="4">
        <v>107241016</v>
      </c>
      <c r="K16" s="4"/>
      <c r="L16" s="5">
        <v>4299.8</v>
      </c>
      <c r="M16" s="5">
        <v>4521.21</v>
      </c>
      <c r="N16" s="5">
        <v>74192.76</v>
      </c>
      <c r="O16" s="5">
        <v>1596.2</v>
      </c>
      <c r="P16" s="5">
        <v>1619.8</v>
      </c>
      <c r="Q16" s="5"/>
      <c r="R16" s="5"/>
      <c r="S16" s="10">
        <v>29.5</v>
      </c>
      <c r="T16" s="4" t="s">
        <v>52</v>
      </c>
      <c r="U16" s="4">
        <v>650</v>
      </c>
      <c r="V16" s="4">
        <v>670</v>
      </c>
      <c r="W16" s="4">
        <v>9278</v>
      </c>
      <c r="X16" s="4">
        <v>8125</v>
      </c>
      <c r="Y16" s="5">
        <v>6.91</v>
      </c>
      <c r="Z16" s="5">
        <v>5.32</v>
      </c>
      <c r="AA16" s="4">
        <v>1314</v>
      </c>
      <c r="AB16" s="4"/>
      <c r="AC16" s="13">
        <f t="shared" ref="AC16:AH16" si="30">IF(OR(C17=""),"",C17-C16)</f>
        <v>49838</v>
      </c>
      <c r="AD16" s="13">
        <f t="shared" si="30"/>
        <v>57456</v>
      </c>
      <c r="AE16" s="13">
        <f t="shared" si="30"/>
        <v>54223</v>
      </c>
      <c r="AF16" s="13">
        <f t="shared" si="30"/>
        <v>55112</v>
      </c>
      <c r="AG16" s="13">
        <f t="shared" si="30"/>
        <v>211194</v>
      </c>
      <c r="AH16" s="13">
        <f t="shared" si="30"/>
        <v>5507</v>
      </c>
      <c r="AI16" s="13">
        <f t="shared" si="1"/>
        <v>5435</v>
      </c>
      <c r="AJ16" s="13">
        <f t="shared" si="2"/>
        <v>211084</v>
      </c>
      <c r="AK16" s="13">
        <f t="shared" si="3"/>
        <v>5504</v>
      </c>
      <c r="AL16" s="13">
        <f t="shared" si="4"/>
        <v>205580</v>
      </c>
      <c r="AM16" s="13">
        <v>2700</v>
      </c>
      <c r="AN16" s="13">
        <f t="shared" si="5"/>
        <v>0</v>
      </c>
      <c r="AO16" s="13">
        <f t="shared" si="6"/>
        <v>0</v>
      </c>
      <c r="AP16" s="13">
        <f t="shared" si="7"/>
        <v>4615</v>
      </c>
      <c r="AQ16" s="13">
        <f t="shared" si="8"/>
        <v>1608</v>
      </c>
      <c r="AR16" s="13">
        <f t="shared" si="9"/>
        <v>0</v>
      </c>
      <c r="AS16" s="17">
        <f t="shared" si="22"/>
        <v>0</v>
      </c>
      <c r="AT16" s="17">
        <f t="shared" si="23"/>
        <v>0</v>
      </c>
      <c r="AU16" s="18">
        <f t="shared" si="24"/>
        <v>22.4</v>
      </c>
      <c r="AV16" s="17">
        <f t="shared" si="25"/>
        <v>7.81</v>
      </c>
    </row>
    <row r="17" spans="1:48">
      <c r="A17" s="6">
        <v>43723</v>
      </c>
      <c r="B17" s="5" t="s">
        <v>48</v>
      </c>
      <c r="C17" s="4">
        <v>40096561</v>
      </c>
      <c r="D17" s="4">
        <v>28233576</v>
      </c>
      <c r="E17" s="4">
        <v>23367167</v>
      </c>
      <c r="F17" s="4">
        <v>22932287</v>
      </c>
      <c r="G17" s="4">
        <v>323216779</v>
      </c>
      <c r="H17" s="4">
        <v>107246526</v>
      </c>
      <c r="I17" s="4">
        <v>323216730</v>
      </c>
      <c r="J17" s="4">
        <v>107246520</v>
      </c>
      <c r="K17" s="4"/>
      <c r="L17" s="5">
        <v>4299.8</v>
      </c>
      <c r="M17" s="5">
        <v>4521.21</v>
      </c>
      <c r="N17" s="5">
        <v>74192.76</v>
      </c>
      <c r="O17" s="5">
        <v>1596.2</v>
      </c>
      <c r="P17" s="5">
        <v>1619.8</v>
      </c>
      <c r="Q17" s="5"/>
      <c r="R17" s="5"/>
      <c r="S17" s="10">
        <v>28</v>
      </c>
      <c r="T17" s="4" t="s">
        <v>52</v>
      </c>
      <c r="U17" s="4">
        <v>400</v>
      </c>
      <c r="V17" s="4">
        <v>420</v>
      </c>
      <c r="W17" s="4">
        <v>9174</v>
      </c>
      <c r="X17" s="4">
        <v>8021</v>
      </c>
      <c r="Y17" s="5">
        <v>6.94</v>
      </c>
      <c r="Z17" s="5">
        <v>6.04</v>
      </c>
      <c r="AA17" s="4">
        <v>1319</v>
      </c>
      <c r="AB17" s="4"/>
      <c r="AC17" s="13">
        <f t="shared" ref="AC17:AH17" si="31">IF(OR(C18=""),"",C18-C17)</f>
        <v>48455</v>
      </c>
      <c r="AD17" s="13">
        <f t="shared" si="31"/>
        <v>58480</v>
      </c>
      <c r="AE17" s="13">
        <f t="shared" si="31"/>
        <v>55497</v>
      </c>
      <c r="AF17" s="13">
        <f t="shared" si="31"/>
        <v>57661</v>
      </c>
      <c r="AG17" s="13">
        <f t="shared" si="31"/>
        <v>209461</v>
      </c>
      <c r="AH17" s="13">
        <f t="shared" si="31"/>
        <v>5493</v>
      </c>
      <c r="AI17" s="13">
        <f t="shared" si="1"/>
        <v>10632</v>
      </c>
      <c r="AJ17" s="13">
        <f t="shared" si="2"/>
        <v>209708</v>
      </c>
      <c r="AK17" s="13">
        <f t="shared" si="3"/>
        <v>5504</v>
      </c>
      <c r="AL17" s="13">
        <f t="shared" si="4"/>
        <v>204204</v>
      </c>
      <c r="AM17" s="13">
        <v>2700</v>
      </c>
      <c r="AN17" s="13">
        <f t="shared" si="5"/>
        <v>0</v>
      </c>
      <c r="AO17" s="13">
        <f t="shared" si="6"/>
        <v>0</v>
      </c>
      <c r="AP17" s="13">
        <f t="shared" si="7"/>
        <v>2840</v>
      </c>
      <c r="AQ17" s="13">
        <f t="shared" si="8"/>
        <v>1008</v>
      </c>
      <c r="AR17" s="13">
        <f t="shared" si="9"/>
        <v>0</v>
      </c>
      <c r="AS17" s="17">
        <f t="shared" si="22"/>
        <v>0</v>
      </c>
      <c r="AT17" s="17">
        <f t="shared" si="23"/>
        <v>0</v>
      </c>
      <c r="AU17" s="18">
        <f t="shared" si="24"/>
        <v>13.8</v>
      </c>
      <c r="AV17" s="17">
        <f t="shared" si="25"/>
        <v>4.9</v>
      </c>
    </row>
    <row r="18" spans="1:48">
      <c r="A18" s="6">
        <v>43724</v>
      </c>
      <c r="B18" s="5" t="s">
        <v>48</v>
      </c>
      <c r="C18" s="4">
        <v>40145016</v>
      </c>
      <c r="D18" s="4">
        <v>28292056</v>
      </c>
      <c r="E18" s="4">
        <v>23422664</v>
      </c>
      <c r="F18" s="4">
        <v>22989948</v>
      </c>
      <c r="G18" s="4">
        <v>323426240</v>
      </c>
      <c r="H18" s="4">
        <v>107252019</v>
      </c>
      <c r="I18" s="4">
        <v>323426438</v>
      </c>
      <c r="J18" s="4">
        <v>107252024</v>
      </c>
      <c r="K18" s="4"/>
      <c r="L18" s="5">
        <v>4299.8</v>
      </c>
      <c r="M18" s="5">
        <v>4521.21</v>
      </c>
      <c r="N18" s="5">
        <v>74192.76</v>
      </c>
      <c r="O18" s="5">
        <v>1596.2</v>
      </c>
      <c r="P18" s="5">
        <v>1619.8</v>
      </c>
      <c r="Q18" s="5"/>
      <c r="R18" s="5"/>
      <c r="S18" s="10">
        <v>28.2</v>
      </c>
      <c r="T18" s="4" t="s">
        <v>54</v>
      </c>
      <c r="U18" s="4">
        <v>330</v>
      </c>
      <c r="V18" s="4">
        <v>350</v>
      </c>
      <c r="W18" s="4">
        <v>9224</v>
      </c>
      <c r="X18" s="4">
        <v>8559</v>
      </c>
      <c r="Y18" s="5">
        <v>6.05</v>
      </c>
      <c r="Z18" s="5">
        <v>4.43</v>
      </c>
      <c r="AA18" s="4">
        <v>1344</v>
      </c>
      <c r="AB18" s="4"/>
      <c r="AC18" s="13">
        <f t="shared" ref="AC18:AH18" si="32">IF(OR(C19=""),"",C19-C18)</f>
        <v>47173</v>
      </c>
      <c r="AD18" s="13">
        <f t="shared" si="32"/>
        <v>57879</v>
      </c>
      <c r="AE18" s="13">
        <f t="shared" si="32"/>
        <v>55115</v>
      </c>
      <c r="AF18" s="13">
        <f t="shared" si="32"/>
        <v>57210</v>
      </c>
      <c r="AG18" s="13">
        <f t="shared" si="32"/>
        <v>213943</v>
      </c>
      <c r="AH18" s="13">
        <f t="shared" si="32"/>
        <v>5496</v>
      </c>
      <c r="AI18" s="13">
        <f t="shared" si="1"/>
        <v>3434</v>
      </c>
      <c r="AJ18" s="13">
        <f t="shared" si="2"/>
        <v>214014</v>
      </c>
      <c r="AK18" s="13">
        <f t="shared" si="3"/>
        <v>5488</v>
      </c>
      <c r="AL18" s="13">
        <f t="shared" si="4"/>
        <v>208526</v>
      </c>
      <c r="AM18" s="13">
        <v>2600</v>
      </c>
      <c r="AN18" s="13">
        <f t="shared" si="5"/>
        <v>0</v>
      </c>
      <c r="AO18" s="13">
        <f t="shared" si="6"/>
        <v>0</v>
      </c>
      <c r="AP18" s="13">
        <f t="shared" si="7"/>
        <v>2343</v>
      </c>
      <c r="AQ18" s="13">
        <f t="shared" si="8"/>
        <v>840</v>
      </c>
      <c r="AR18" s="13">
        <f t="shared" si="9"/>
        <v>0</v>
      </c>
      <c r="AS18" s="17">
        <f t="shared" si="22"/>
        <v>0</v>
      </c>
      <c r="AT18" s="17">
        <f t="shared" si="23"/>
        <v>0</v>
      </c>
      <c r="AU18" s="18">
        <f t="shared" si="24"/>
        <v>11.5</v>
      </c>
      <c r="AV18" s="17">
        <f t="shared" si="25"/>
        <v>4.11</v>
      </c>
    </row>
    <row r="19" spans="1:48">
      <c r="A19" s="6">
        <v>43725</v>
      </c>
      <c r="B19" s="5" t="s">
        <v>55</v>
      </c>
      <c r="C19" s="4">
        <v>40192189</v>
      </c>
      <c r="D19" s="4">
        <v>28349935</v>
      </c>
      <c r="E19" s="4">
        <v>23477779</v>
      </c>
      <c r="F19" s="4">
        <v>23047158</v>
      </c>
      <c r="G19" s="4">
        <v>323640183</v>
      </c>
      <c r="H19" s="4">
        <v>107257515</v>
      </c>
      <c r="I19" s="4">
        <v>323640452</v>
      </c>
      <c r="J19" s="4">
        <v>107257512</v>
      </c>
      <c r="K19" s="4"/>
      <c r="L19" s="5">
        <v>4299.8</v>
      </c>
      <c r="M19" s="5">
        <v>4521.21</v>
      </c>
      <c r="N19" s="5">
        <v>74192.76</v>
      </c>
      <c r="O19" s="5">
        <v>1596.2</v>
      </c>
      <c r="P19" s="5">
        <v>1619.8</v>
      </c>
      <c r="Q19" s="5"/>
      <c r="R19" s="5"/>
      <c r="S19" s="10">
        <v>29.3</v>
      </c>
      <c r="T19" s="4" t="s">
        <v>46</v>
      </c>
      <c r="U19" s="4">
        <v>300</v>
      </c>
      <c r="V19" s="4">
        <v>320</v>
      </c>
      <c r="W19" s="4">
        <v>9315</v>
      </c>
      <c r="X19" s="4">
        <v>7021</v>
      </c>
      <c r="Y19" s="5">
        <v>5.02</v>
      </c>
      <c r="Z19" s="5">
        <v>2.51</v>
      </c>
      <c r="AA19" s="4">
        <v>1257</v>
      </c>
      <c r="AB19" s="4"/>
      <c r="AC19" s="13">
        <f t="shared" ref="AC19:AH19" si="33">IF(OR(C20=""),"",C20-C19)</f>
        <v>46327</v>
      </c>
      <c r="AD19" s="13">
        <f t="shared" si="33"/>
        <v>57240</v>
      </c>
      <c r="AE19" s="13">
        <f t="shared" si="33"/>
        <v>53770</v>
      </c>
      <c r="AF19" s="13">
        <f t="shared" si="33"/>
        <v>55068</v>
      </c>
      <c r="AG19" s="13">
        <f t="shared" si="33"/>
        <v>208542</v>
      </c>
      <c r="AH19" s="13">
        <f t="shared" si="33"/>
        <v>5508</v>
      </c>
      <c r="AI19" s="13">
        <f t="shared" si="1"/>
        <v>3863</v>
      </c>
      <c r="AJ19" s="13">
        <f t="shared" si="2"/>
        <v>208322</v>
      </c>
      <c r="AK19" s="13">
        <f t="shared" si="3"/>
        <v>5488</v>
      </c>
      <c r="AL19" s="13">
        <f t="shared" si="4"/>
        <v>202834</v>
      </c>
      <c r="AM19" s="13">
        <v>2500</v>
      </c>
      <c r="AN19" s="13">
        <f t="shared" si="5"/>
        <v>0</v>
      </c>
      <c r="AO19" s="13">
        <f t="shared" si="6"/>
        <v>0</v>
      </c>
      <c r="AP19" s="13">
        <f t="shared" si="7"/>
        <v>2130</v>
      </c>
      <c r="AQ19" s="13">
        <f t="shared" si="8"/>
        <v>768</v>
      </c>
      <c r="AR19" s="13">
        <v>0</v>
      </c>
      <c r="AS19" s="17">
        <f t="shared" si="22"/>
        <v>0</v>
      </c>
      <c r="AT19" s="17">
        <f t="shared" si="23"/>
        <v>0</v>
      </c>
      <c r="AU19" s="18">
        <f t="shared" si="24"/>
        <v>10.2</v>
      </c>
      <c r="AV19" s="17">
        <f t="shared" si="25"/>
        <v>3.68</v>
      </c>
    </row>
    <row r="20" spans="1:48">
      <c r="A20" s="6">
        <v>43726</v>
      </c>
      <c r="B20" s="5" t="s">
        <v>45</v>
      </c>
      <c r="C20" s="4">
        <v>40238516</v>
      </c>
      <c r="D20" s="4">
        <v>28407175</v>
      </c>
      <c r="E20" s="4">
        <v>23531549</v>
      </c>
      <c r="F20" s="4">
        <v>23102226</v>
      </c>
      <c r="G20" s="4">
        <v>323848725</v>
      </c>
      <c r="H20" s="4">
        <v>107263023</v>
      </c>
      <c r="I20" s="4">
        <v>323848774</v>
      </c>
      <c r="J20" s="4">
        <v>107263000</v>
      </c>
      <c r="K20" s="4"/>
      <c r="L20" s="5">
        <v>4299.8</v>
      </c>
      <c r="M20" s="5">
        <v>4521.21</v>
      </c>
      <c r="N20" s="5">
        <v>74192.76</v>
      </c>
      <c r="O20" s="5">
        <v>1596.2</v>
      </c>
      <c r="P20" s="5">
        <v>1619.8</v>
      </c>
      <c r="Q20" s="5"/>
      <c r="R20" s="5"/>
      <c r="S20" s="10">
        <v>29.5</v>
      </c>
      <c r="T20" s="4" t="s">
        <v>46</v>
      </c>
      <c r="U20" s="4">
        <v>540</v>
      </c>
      <c r="V20" s="4">
        <v>550</v>
      </c>
      <c r="W20" s="4">
        <v>9232</v>
      </c>
      <c r="X20" s="4">
        <v>7105</v>
      </c>
      <c r="Y20" s="5">
        <v>7.12</v>
      </c>
      <c r="Z20" s="5">
        <v>2.66</v>
      </c>
      <c r="AA20" s="4">
        <v>1303</v>
      </c>
      <c r="AB20" s="4"/>
      <c r="AC20" s="13">
        <f t="shared" ref="AC20:AH20" si="34">IF(OR(C21=""),"",C21-C20)</f>
        <v>46650</v>
      </c>
      <c r="AD20" s="13">
        <f t="shared" si="34"/>
        <v>59235</v>
      </c>
      <c r="AE20" s="13">
        <f t="shared" si="34"/>
        <v>53032</v>
      </c>
      <c r="AF20" s="13">
        <f t="shared" si="34"/>
        <v>53530</v>
      </c>
      <c r="AG20" s="13">
        <f t="shared" si="34"/>
        <v>207359</v>
      </c>
      <c r="AH20" s="13">
        <f t="shared" si="34"/>
        <v>5474</v>
      </c>
      <c r="AI20" s="13">
        <f t="shared" si="1"/>
        <v>5088</v>
      </c>
      <c r="AJ20" s="13">
        <f t="shared" si="2"/>
        <v>207182</v>
      </c>
      <c r="AK20" s="13">
        <f t="shared" si="3"/>
        <v>5488</v>
      </c>
      <c r="AL20" s="13">
        <f t="shared" si="4"/>
        <v>201694</v>
      </c>
      <c r="AM20" s="13">
        <v>2600</v>
      </c>
      <c r="AN20" s="13">
        <f t="shared" si="5"/>
        <v>0</v>
      </c>
      <c r="AO20" s="13">
        <f t="shared" si="6"/>
        <v>0</v>
      </c>
      <c r="AP20" s="13">
        <f t="shared" si="7"/>
        <v>3834</v>
      </c>
      <c r="AQ20" s="13">
        <f t="shared" si="8"/>
        <v>1320</v>
      </c>
      <c r="AR20" s="13">
        <v>0</v>
      </c>
      <c r="AS20" s="17">
        <f t="shared" si="22"/>
        <v>0</v>
      </c>
      <c r="AT20" s="17">
        <f t="shared" si="23"/>
        <v>0</v>
      </c>
      <c r="AU20" s="18">
        <f t="shared" si="24"/>
        <v>18.9</v>
      </c>
      <c r="AV20" s="17">
        <f t="shared" si="25"/>
        <v>6.51</v>
      </c>
    </row>
    <row r="21" spans="1:48">
      <c r="A21" s="6">
        <v>43727</v>
      </c>
      <c r="B21" s="5" t="s">
        <v>48</v>
      </c>
      <c r="C21" s="4">
        <v>40285166</v>
      </c>
      <c r="D21" s="4">
        <v>28466410</v>
      </c>
      <c r="E21" s="4">
        <v>23584581</v>
      </c>
      <c r="F21" s="4">
        <v>23155756</v>
      </c>
      <c r="G21" s="4">
        <v>324056084</v>
      </c>
      <c r="H21" s="4">
        <v>107268497</v>
      </c>
      <c r="I21" s="4">
        <v>324055956</v>
      </c>
      <c r="J21" s="4">
        <v>107268488</v>
      </c>
      <c r="K21" s="4"/>
      <c r="L21" s="5">
        <v>4299.8</v>
      </c>
      <c r="M21" s="5">
        <v>4521.21</v>
      </c>
      <c r="N21" s="5">
        <v>74192.76</v>
      </c>
      <c r="O21" s="5">
        <v>1596.2</v>
      </c>
      <c r="P21" s="5">
        <v>1619.8</v>
      </c>
      <c r="Q21" s="5"/>
      <c r="R21" s="5"/>
      <c r="S21" s="10">
        <v>29</v>
      </c>
      <c r="T21" s="4" t="s">
        <v>46</v>
      </c>
      <c r="U21" s="4">
        <v>800</v>
      </c>
      <c r="V21" s="4">
        <v>780</v>
      </c>
      <c r="W21" s="4">
        <v>9345</v>
      </c>
      <c r="X21" s="4">
        <v>7945</v>
      </c>
      <c r="Y21" s="5">
        <v>5.72</v>
      </c>
      <c r="Z21" s="5">
        <v>2.93</v>
      </c>
      <c r="AA21" s="4">
        <v>1200</v>
      </c>
      <c r="AB21" s="4"/>
      <c r="AC21" s="13">
        <f t="shared" ref="AC21:AH21" si="35">IF(OR(C22=""),"",C22-C21)</f>
        <v>45905</v>
      </c>
      <c r="AD21" s="13">
        <f t="shared" si="35"/>
        <v>55563</v>
      </c>
      <c r="AE21" s="13">
        <f t="shared" si="35"/>
        <v>56126</v>
      </c>
      <c r="AF21" s="13">
        <f t="shared" si="35"/>
        <v>57532</v>
      </c>
      <c r="AG21" s="13">
        <f t="shared" si="35"/>
        <v>205805</v>
      </c>
      <c r="AH21" s="13">
        <f t="shared" si="35"/>
        <v>5502</v>
      </c>
      <c r="AI21" s="13">
        <f t="shared" si="1"/>
        <v>9321</v>
      </c>
      <c r="AJ21" s="13">
        <f t="shared" si="2"/>
        <v>205762</v>
      </c>
      <c r="AK21" s="13">
        <f t="shared" si="3"/>
        <v>5504</v>
      </c>
      <c r="AL21" s="13">
        <f t="shared" si="4"/>
        <v>200258</v>
      </c>
      <c r="AM21" s="13">
        <v>2700</v>
      </c>
      <c r="AN21" s="13">
        <f t="shared" si="5"/>
        <v>0</v>
      </c>
      <c r="AO21" s="13">
        <f t="shared" si="6"/>
        <v>0</v>
      </c>
      <c r="AP21" s="13">
        <f t="shared" si="7"/>
        <v>5680</v>
      </c>
      <c r="AQ21" s="13">
        <f t="shared" si="8"/>
        <v>1872</v>
      </c>
      <c r="AR21" s="13">
        <v>0</v>
      </c>
      <c r="AS21" s="17">
        <f t="shared" si="22"/>
        <v>0</v>
      </c>
      <c r="AT21" s="17">
        <f t="shared" si="23"/>
        <v>0</v>
      </c>
      <c r="AU21" s="18">
        <f t="shared" si="24"/>
        <v>28.2</v>
      </c>
      <c r="AV21" s="17">
        <f t="shared" si="25"/>
        <v>9.28</v>
      </c>
    </row>
    <row r="22" spans="1:48">
      <c r="A22" s="6">
        <v>43728</v>
      </c>
      <c r="B22" s="5" t="s">
        <v>48</v>
      </c>
      <c r="C22" s="4">
        <v>40331071</v>
      </c>
      <c r="D22" s="4">
        <v>28521973</v>
      </c>
      <c r="E22" s="4">
        <v>23640707</v>
      </c>
      <c r="F22" s="4">
        <v>23213288</v>
      </c>
      <c r="G22" s="4">
        <v>324261889</v>
      </c>
      <c r="H22" s="4">
        <v>107273999</v>
      </c>
      <c r="I22" s="4">
        <v>324261718</v>
      </c>
      <c r="J22" s="4">
        <v>107273992</v>
      </c>
      <c r="K22" s="4"/>
      <c r="L22" s="5">
        <v>4299.8</v>
      </c>
      <c r="M22" s="5">
        <v>4521.21</v>
      </c>
      <c r="N22" s="5">
        <v>74192.76</v>
      </c>
      <c r="O22" s="5">
        <v>1596.2</v>
      </c>
      <c r="P22" s="5">
        <v>1619.8</v>
      </c>
      <c r="Q22" s="5"/>
      <c r="R22" s="5"/>
      <c r="S22" s="10">
        <v>28.5</v>
      </c>
      <c r="T22" s="4" t="s">
        <v>46</v>
      </c>
      <c r="U22" s="4">
        <v>690</v>
      </c>
      <c r="V22" s="4">
        <v>700</v>
      </c>
      <c r="W22" s="4">
        <v>9210</v>
      </c>
      <c r="X22" s="4">
        <v>7741</v>
      </c>
      <c r="Y22" s="5">
        <v>6.42</v>
      </c>
      <c r="Z22" s="5">
        <v>4.7</v>
      </c>
      <c r="AA22" s="4">
        <v>1373</v>
      </c>
      <c r="AB22" s="4"/>
      <c r="AC22" s="13">
        <f t="shared" ref="AC22:AH22" si="36">IF(OR(C23=""),"",C23-C22)</f>
        <v>46302</v>
      </c>
      <c r="AD22" s="13">
        <f t="shared" si="36"/>
        <v>57032</v>
      </c>
      <c r="AE22" s="13">
        <f t="shared" si="36"/>
        <v>54325</v>
      </c>
      <c r="AF22" s="13">
        <f t="shared" si="36"/>
        <v>56048</v>
      </c>
      <c r="AG22" s="13">
        <f t="shared" si="36"/>
        <v>211692</v>
      </c>
      <c r="AH22" s="13">
        <f t="shared" si="36"/>
        <v>5490</v>
      </c>
      <c r="AI22" s="13">
        <f t="shared" si="1"/>
        <v>2015</v>
      </c>
      <c r="AJ22" s="13">
        <f t="shared" si="2"/>
        <v>211911</v>
      </c>
      <c r="AK22" s="13">
        <f t="shared" si="3"/>
        <v>5496</v>
      </c>
      <c r="AL22" s="13">
        <f t="shared" si="4"/>
        <v>206415</v>
      </c>
      <c r="AM22" s="13">
        <v>2700</v>
      </c>
      <c r="AN22" s="13">
        <f t="shared" si="5"/>
        <v>0</v>
      </c>
      <c r="AO22" s="13">
        <f t="shared" si="6"/>
        <v>0</v>
      </c>
      <c r="AP22" s="13">
        <f t="shared" si="7"/>
        <v>4899</v>
      </c>
      <c r="AQ22" s="13">
        <f t="shared" si="8"/>
        <v>1680</v>
      </c>
      <c r="AR22" s="13">
        <v>0</v>
      </c>
      <c r="AS22" s="17">
        <f t="shared" si="22"/>
        <v>0</v>
      </c>
      <c r="AT22" s="17">
        <f t="shared" si="23"/>
        <v>0</v>
      </c>
      <c r="AU22" s="18">
        <f t="shared" si="24"/>
        <v>24.5</v>
      </c>
      <c r="AV22" s="17">
        <f t="shared" si="25"/>
        <v>8.39</v>
      </c>
    </row>
    <row r="23" spans="1:48">
      <c r="A23" s="6">
        <v>43729</v>
      </c>
      <c r="B23" s="5" t="s">
        <v>48</v>
      </c>
      <c r="C23" s="4">
        <v>40377373</v>
      </c>
      <c r="D23" s="4">
        <v>28579005</v>
      </c>
      <c r="E23" s="4">
        <v>23695032</v>
      </c>
      <c r="F23" s="4">
        <v>23269336</v>
      </c>
      <c r="G23" s="4">
        <v>324473581</v>
      </c>
      <c r="H23" s="4">
        <v>107279489</v>
      </c>
      <c r="I23" s="4">
        <v>324473629</v>
      </c>
      <c r="J23" s="4">
        <v>107279488</v>
      </c>
      <c r="K23" s="4"/>
      <c r="L23" s="5">
        <v>4299.8</v>
      </c>
      <c r="M23" s="5">
        <v>4521.21</v>
      </c>
      <c r="N23" s="5">
        <v>74192.76</v>
      </c>
      <c r="O23" s="5">
        <v>1596.2</v>
      </c>
      <c r="P23" s="5">
        <v>1619.8</v>
      </c>
      <c r="Q23" s="5"/>
      <c r="R23" s="5"/>
      <c r="S23" s="10">
        <v>28.9</v>
      </c>
      <c r="T23" s="4" t="s">
        <v>46</v>
      </c>
      <c r="U23" s="4">
        <v>680</v>
      </c>
      <c r="V23" s="4">
        <v>670</v>
      </c>
      <c r="W23" s="4">
        <v>9541</v>
      </c>
      <c r="X23" s="4">
        <v>8541</v>
      </c>
      <c r="Y23" s="5">
        <v>6.2</v>
      </c>
      <c r="Z23" s="5">
        <v>4.88</v>
      </c>
      <c r="AA23" s="4">
        <v>1435</v>
      </c>
      <c r="AB23" s="4"/>
      <c r="AC23" s="13">
        <f t="shared" ref="AC23:AH23" si="37">IF(OR(C24=""),"",C24-C23)</f>
        <v>48100</v>
      </c>
      <c r="AD23" s="13">
        <f t="shared" si="37"/>
        <v>58678</v>
      </c>
      <c r="AE23" s="13">
        <f t="shared" si="37"/>
        <v>56558</v>
      </c>
      <c r="AF23" s="13">
        <f t="shared" si="37"/>
        <v>58070</v>
      </c>
      <c r="AG23" s="13">
        <f t="shared" si="37"/>
        <v>212990</v>
      </c>
      <c r="AH23" s="13">
        <f t="shared" si="37"/>
        <v>5530</v>
      </c>
      <c r="AI23" s="13">
        <f t="shared" si="1"/>
        <v>8416</v>
      </c>
      <c r="AJ23" s="13">
        <f t="shared" si="2"/>
        <v>212332</v>
      </c>
      <c r="AK23" s="13">
        <f t="shared" si="3"/>
        <v>5512</v>
      </c>
      <c r="AL23" s="13">
        <f t="shared" si="4"/>
        <v>206820</v>
      </c>
      <c r="AM23" s="13">
        <v>2700</v>
      </c>
      <c r="AN23" s="13">
        <f t="shared" si="5"/>
        <v>0</v>
      </c>
      <c r="AO23" s="13">
        <f t="shared" si="6"/>
        <v>0</v>
      </c>
      <c r="AP23" s="13">
        <f t="shared" si="7"/>
        <v>4828</v>
      </c>
      <c r="AQ23" s="13">
        <f t="shared" si="8"/>
        <v>1608</v>
      </c>
      <c r="AR23" s="13">
        <v>0</v>
      </c>
      <c r="AS23" s="17">
        <f t="shared" si="22"/>
        <v>0</v>
      </c>
      <c r="AT23" s="17">
        <f t="shared" si="23"/>
        <v>0</v>
      </c>
      <c r="AU23" s="18">
        <f t="shared" si="24"/>
        <v>23.4</v>
      </c>
      <c r="AV23" s="17">
        <f t="shared" si="25"/>
        <v>7.79</v>
      </c>
    </row>
    <row r="24" spans="1:48">
      <c r="A24" s="6">
        <v>43730</v>
      </c>
      <c r="B24" s="5" t="s">
        <v>48</v>
      </c>
      <c r="C24" s="4">
        <v>40425473</v>
      </c>
      <c r="D24" s="4">
        <v>28637683</v>
      </c>
      <c r="E24" s="4">
        <v>23751590</v>
      </c>
      <c r="F24" s="4">
        <v>23327406</v>
      </c>
      <c r="G24" s="4">
        <v>324686571</v>
      </c>
      <c r="H24" s="4">
        <v>107285019</v>
      </c>
      <c r="I24" s="4">
        <v>324685961</v>
      </c>
      <c r="J24" s="4">
        <v>107285000</v>
      </c>
      <c r="K24" s="4"/>
      <c r="L24" s="5">
        <v>4299.8</v>
      </c>
      <c r="M24" s="5">
        <v>4521.21</v>
      </c>
      <c r="N24" s="5">
        <v>74192.76</v>
      </c>
      <c r="O24" s="5">
        <v>1596.2</v>
      </c>
      <c r="P24" s="5">
        <v>1619.8</v>
      </c>
      <c r="Q24" s="5"/>
      <c r="R24" s="5"/>
      <c r="S24" s="10">
        <v>29</v>
      </c>
      <c r="T24" s="4" t="s">
        <v>46</v>
      </c>
      <c r="U24" s="4">
        <v>670</v>
      </c>
      <c r="V24" s="4">
        <v>650</v>
      </c>
      <c r="W24" s="4">
        <v>9345</v>
      </c>
      <c r="X24" s="4">
        <v>8812</v>
      </c>
      <c r="Y24" s="5">
        <v>6.27</v>
      </c>
      <c r="Z24" s="5">
        <v>4.89</v>
      </c>
      <c r="AA24" s="4">
        <v>1431</v>
      </c>
      <c r="AB24" s="4"/>
      <c r="AC24" s="13">
        <f t="shared" ref="AC24:AH24" si="38">IF(OR(C25=""),"",C25-C24)</f>
        <v>46675</v>
      </c>
      <c r="AD24" s="13">
        <f t="shared" si="38"/>
        <v>57026</v>
      </c>
      <c r="AE24" s="13">
        <f t="shared" si="38"/>
        <v>54742</v>
      </c>
      <c r="AF24" s="13">
        <f t="shared" si="38"/>
        <v>56682</v>
      </c>
      <c r="AG24" s="13">
        <f t="shared" si="38"/>
        <v>211250</v>
      </c>
      <c r="AH24" s="13">
        <f t="shared" si="38"/>
        <v>5509</v>
      </c>
      <c r="AI24" s="13">
        <f t="shared" si="1"/>
        <v>3875</v>
      </c>
      <c r="AJ24" s="13">
        <f t="shared" si="2"/>
        <v>211566</v>
      </c>
      <c r="AK24" s="13">
        <f t="shared" si="3"/>
        <v>5520</v>
      </c>
      <c r="AL24" s="13">
        <f t="shared" si="4"/>
        <v>206046</v>
      </c>
      <c r="AM24" s="13">
        <v>2500</v>
      </c>
      <c r="AN24" s="13">
        <f t="shared" si="5"/>
        <v>0</v>
      </c>
      <c r="AO24" s="13">
        <f t="shared" si="6"/>
        <v>0</v>
      </c>
      <c r="AP24" s="13">
        <f t="shared" si="7"/>
        <v>4757</v>
      </c>
      <c r="AQ24" s="13">
        <f t="shared" si="8"/>
        <v>1560</v>
      </c>
      <c r="AR24" s="13">
        <v>0</v>
      </c>
      <c r="AS24" s="17">
        <f t="shared" si="22"/>
        <v>0</v>
      </c>
      <c r="AT24" s="17">
        <f t="shared" si="23"/>
        <v>0</v>
      </c>
      <c r="AU24" s="18">
        <f t="shared" si="24"/>
        <v>23</v>
      </c>
      <c r="AV24" s="17">
        <f t="shared" si="25"/>
        <v>7.54</v>
      </c>
    </row>
    <row r="25" spans="1:48">
      <c r="A25" s="6">
        <v>43731</v>
      </c>
      <c r="B25" s="5" t="s">
        <v>48</v>
      </c>
      <c r="C25" s="4">
        <v>40472148</v>
      </c>
      <c r="D25" s="4">
        <v>28694709</v>
      </c>
      <c r="E25" s="4">
        <v>23806332</v>
      </c>
      <c r="F25" s="4">
        <v>23384088</v>
      </c>
      <c r="G25" s="4">
        <v>324897821</v>
      </c>
      <c r="H25" s="4">
        <v>107290528</v>
      </c>
      <c r="I25" s="4">
        <v>324897527</v>
      </c>
      <c r="J25" s="4">
        <v>107290520</v>
      </c>
      <c r="K25" s="4"/>
      <c r="L25" s="5">
        <v>4299.8</v>
      </c>
      <c r="M25" s="5">
        <v>4521.21</v>
      </c>
      <c r="N25" s="5">
        <v>74192.76</v>
      </c>
      <c r="O25" s="5">
        <v>1596.2</v>
      </c>
      <c r="P25" s="5">
        <v>1619.8</v>
      </c>
      <c r="Q25" s="5"/>
      <c r="R25" s="5"/>
      <c r="S25" s="10">
        <v>28</v>
      </c>
      <c r="T25" s="4" t="s">
        <v>46</v>
      </c>
      <c r="U25" s="4">
        <v>320</v>
      </c>
      <c r="V25" s="4">
        <v>350</v>
      </c>
      <c r="W25" s="4">
        <v>9318</v>
      </c>
      <c r="X25" s="4">
        <v>8028</v>
      </c>
      <c r="Y25" s="5">
        <v>5.61</v>
      </c>
      <c r="Z25" s="5">
        <v>3.44</v>
      </c>
      <c r="AA25" s="4">
        <v>1381</v>
      </c>
      <c r="AB25" s="4"/>
      <c r="AC25" s="13">
        <f t="shared" ref="AC25:AH25" si="39">IF(OR(C26=""),"",C26-C25)</f>
        <v>47851</v>
      </c>
      <c r="AD25" s="13">
        <f t="shared" si="39"/>
        <v>58185</v>
      </c>
      <c r="AE25" s="13">
        <f t="shared" si="39"/>
        <v>55548</v>
      </c>
      <c r="AF25" s="13">
        <f t="shared" si="39"/>
        <v>57130</v>
      </c>
      <c r="AG25" s="13">
        <f t="shared" si="39"/>
        <v>211276</v>
      </c>
      <c r="AH25" s="13">
        <f t="shared" si="39"/>
        <v>5504</v>
      </c>
      <c r="AI25" s="13">
        <f t="shared" si="1"/>
        <v>7438</v>
      </c>
      <c r="AJ25" s="13">
        <f t="shared" si="2"/>
        <v>211370</v>
      </c>
      <c r="AK25" s="13">
        <f t="shared" si="3"/>
        <v>5504</v>
      </c>
      <c r="AL25" s="13">
        <f t="shared" si="4"/>
        <v>205866</v>
      </c>
      <c r="AM25" s="13">
        <v>2600</v>
      </c>
      <c r="AN25" s="13">
        <f t="shared" si="5"/>
        <v>0</v>
      </c>
      <c r="AO25" s="13">
        <f t="shared" si="6"/>
        <v>0</v>
      </c>
      <c r="AP25" s="13">
        <f t="shared" si="7"/>
        <v>2272</v>
      </c>
      <c r="AQ25" s="13">
        <f t="shared" si="8"/>
        <v>840</v>
      </c>
      <c r="AR25" s="13">
        <v>0</v>
      </c>
      <c r="AS25" s="17">
        <f t="shared" si="22"/>
        <v>0</v>
      </c>
      <c r="AT25" s="17">
        <f t="shared" si="23"/>
        <v>0</v>
      </c>
      <c r="AU25" s="18">
        <f t="shared" si="24"/>
        <v>11</v>
      </c>
      <c r="AV25" s="17">
        <f t="shared" si="25"/>
        <v>4.08</v>
      </c>
    </row>
    <row r="26" spans="1:48">
      <c r="A26" s="6">
        <v>43732</v>
      </c>
      <c r="B26" s="5" t="s">
        <v>55</v>
      </c>
      <c r="C26" s="4">
        <v>40519999</v>
      </c>
      <c r="D26" s="4">
        <v>28752894</v>
      </c>
      <c r="E26" s="4">
        <v>23861880</v>
      </c>
      <c r="F26" s="4">
        <v>23441218</v>
      </c>
      <c r="G26" s="4">
        <v>325109097</v>
      </c>
      <c r="H26" s="4">
        <v>107296032</v>
      </c>
      <c r="I26" s="4">
        <v>325108897</v>
      </c>
      <c r="J26" s="4">
        <v>107296024</v>
      </c>
      <c r="K26" s="4"/>
      <c r="L26" s="5">
        <v>4299.8</v>
      </c>
      <c r="M26" s="5">
        <v>4521.21</v>
      </c>
      <c r="N26" s="5">
        <v>74192.76</v>
      </c>
      <c r="O26" s="5">
        <v>1596.2</v>
      </c>
      <c r="P26" s="5">
        <v>1619.8</v>
      </c>
      <c r="Q26" s="5"/>
      <c r="R26" s="5"/>
      <c r="S26" s="10">
        <v>28.6</v>
      </c>
      <c r="T26" s="4" t="s">
        <v>46</v>
      </c>
      <c r="U26" s="4">
        <v>150</v>
      </c>
      <c r="V26" s="4">
        <v>150</v>
      </c>
      <c r="W26" s="4">
        <v>9412</v>
      </c>
      <c r="X26" s="4">
        <v>8725</v>
      </c>
      <c r="Y26" s="5">
        <v>4.99</v>
      </c>
      <c r="Z26" s="5">
        <v>2.6</v>
      </c>
      <c r="AA26" s="4">
        <v>1305</v>
      </c>
      <c r="AB26" s="4"/>
      <c r="AC26" s="13">
        <f t="shared" ref="AC26:AH26" si="40">IF(OR(C27=""),"",C27-C26)</f>
        <v>46719</v>
      </c>
      <c r="AD26" s="13">
        <f t="shared" si="40"/>
        <v>57064</v>
      </c>
      <c r="AE26" s="13">
        <f t="shared" si="40"/>
        <v>54339</v>
      </c>
      <c r="AF26" s="13">
        <f t="shared" si="40"/>
        <v>55739</v>
      </c>
      <c r="AG26" s="13">
        <f t="shared" si="40"/>
        <v>208808</v>
      </c>
      <c r="AH26" s="13">
        <f t="shared" si="40"/>
        <v>5450</v>
      </c>
      <c r="AI26" s="13">
        <f t="shared" si="1"/>
        <v>5053</v>
      </c>
      <c r="AJ26" s="13">
        <f t="shared" si="2"/>
        <v>210336</v>
      </c>
      <c r="AK26" s="13">
        <f t="shared" si="3"/>
        <v>5504</v>
      </c>
      <c r="AL26" s="13">
        <f t="shared" si="4"/>
        <v>204832</v>
      </c>
      <c r="AM26" s="13">
        <v>2500</v>
      </c>
      <c r="AN26" s="13">
        <f t="shared" si="5"/>
        <v>0</v>
      </c>
      <c r="AO26" s="13">
        <f t="shared" si="6"/>
        <v>0</v>
      </c>
      <c r="AP26" s="13">
        <f t="shared" si="7"/>
        <v>1065</v>
      </c>
      <c r="AQ26" s="13">
        <f t="shared" si="8"/>
        <v>360</v>
      </c>
      <c r="AR26" s="13">
        <v>0</v>
      </c>
      <c r="AS26" s="17">
        <f t="shared" si="22"/>
        <v>0</v>
      </c>
      <c r="AT26" s="17">
        <f t="shared" si="23"/>
        <v>0</v>
      </c>
      <c r="AU26" s="18">
        <f t="shared" si="24"/>
        <v>5.2</v>
      </c>
      <c r="AV26" s="17">
        <f t="shared" si="25"/>
        <v>1.75</v>
      </c>
    </row>
    <row r="27" spans="1:48">
      <c r="A27" s="6">
        <v>43733</v>
      </c>
      <c r="B27" s="22" t="s">
        <v>58</v>
      </c>
      <c r="C27" s="4">
        <v>40566718</v>
      </c>
      <c r="D27" s="4">
        <v>28809958</v>
      </c>
      <c r="E27" s="4">
        <v>23916219</v>
      </c>
      <c r="F27" s="4">
        <v>23496957</v>
      </c>
      <c r="G27" s="4">
        <v>325317905</v>
      </c>
      <c r="H27" s="4">
        <v>107301482</v>
      </c>
      <c r="I27" s="1">
        <v>325319233</v>
      </c>
      <c r="J27" s="4">
        <v>107301528</v>
      </c>
      <c r="K27" s="4"/>
      <c r="L27" s="5">
        <v>4299.8</v>
      </c>
      <c r="M27" s="5">
        <v>4521.21</v>
      </c>
      <c r="N27" s="5">
        <v>74192.76</v>
      </c>
      <c r="O27" s="5">
        <v>1596.2</v>
      </c>
      <c r="P27" s="5">
        <v>1619.8</v>
      </c>
      <c r="Q27" s="5"/>
      <c r="R27" s="5"/>
      <c r="S27" s="10">
        <v>28.5</v>
      </c>
      <c r="T27" s="11" t="s">
        <v>46</v>
      </c>
      <c r="U27" s="4">
        <v>640</v>
      </c>
      <c r="V27" s="4">
        <v>620</v>
      </c>
      <c r="W27" s="4">
        <v>9512</v>
      </c>
      <c r="X27" s="4">
        <v>7541</v>
      </c>
      <c r="Y27" s="5">
        <v>4.31</v>
      </c>
      <c r="Z27" s="5">
        <v>2.51</v>
      </c>
      <c r="AA27" s="4">
        <v>1139</v>
      </c>
      <c r="AB27" s="4"/>
      <c r="AC27" s="13">
        <f t="shared" ref="AC27:AH27" si="41">IF(OR(C28=""),"",C28-C27)</f>
        <v>47268</v>
      </c>
      <c r="AD27" s="13">
        <f t="shared" si="41"/>
        <v>57997</v>
      </c>
      <c r="AE27" s="13">
        <f t="shared" si="41"/>
        <v>55608</v>
      </c>
      <c r="AF27" s="13">
        <f t="shared" si="41"/>
        <v>56537</v>
      </c>
      <c r="AG27" s="13">
        <f t="shared" si="41"/>
        <v>211391</v>
      </c>
      <c r="AH27" s="13">
        <f t="shared" si="41"/>
        <v>5562</v>
      </c>
      <c r="AI27" s="13">
        <f t="shared" si="1"/>
        <v>6019</v>
      </c>
      <c r="AJ27" s="13">
        <f t="shared" si="2"/>
        <v>209671</v>
      </c>
      <c r="AK27" s="13">
        <f t="shared" si="3"/>
        <v>5504</v>
      </c>
      <c r="AL27" s="13">
        <f t="shared" si="4"/>
        <v>204167</v>
      </c>
      <c r="AM27" s="13">
        <v>2400</v>
      </c>
      <c r="AN27" s="13">
        <f t="shared" si="5"/>
        <v>0</v>
      </c>
      <c r="AO27" s="13">
        <f t="shared" si="6"/>
        <v>0</v>
      </c>
      <c r="AP27" s="13">
        <f t="shared" si="7"/>
        <v>4544</v>
      </c>
      <c r="AQ27" s="13">
        <f t="shared" si="8"/>
        <v>1488</v>
      </c>
      <c r="AR27" s="13">
        <v>0</v>
      </c>
      <c r="AS27" s="17">
        <f t="shared" si="22"/>
        <v>0</v>
      </c>
      <c r="AT27" s="17">
        <f t="shared" si="23"/>
        <v>0</v>
      </c>
      <c r="AU27" s="18">
        <f t="shared" si="24"/>
        <v>22.2</v>
      </c>
      <c r="AV27" s="17">
        <f t="shared" si="25"/>
        <v>7.26</v>
      </c>
    </row>
    <row r="28" spans="1:48">
      <c r="A28" s="6">
        <v>43734</v>
      </c>
      <c r="B28" s="5" t="s">
        <v>48</v>
      </c>
      <c r="C28" s="4">
        <v>40613986</v>
      </c>
      <c r="D28" s="4">
        <v>28867955</v>
      </c>
      <c r="E28" s="4">
        <v>23971827</v>
      </c>
      <c r="F28" s="4">
        <v>23553494</v>
      </c>
      <c r="G28" s="4">
        <v>325529296</v>
      </c>
      <c r="H28" s="4">
        <v>107307044</v>
      </c>
      <c r="I28" s="4">
        <v>325528904</v>
      </c>
      <c r="J28" s="4">
        <v>107307032</v>
      </c>
      <c r="K28" s="4"/>
      <c r="L28" s="5">
        <v>4299.8</v>
      </c>
      <c r="M28" s="5">
        <v>4521.21</v>
      </c>
      <c r="N28" s="5">
        <v>74192.76</v>
      </c>
      <c r="O28" s="5">
        <v>1596.2</v>
      </c>
      <c r="P28" s="5">
        <v>1619.8</v>
      </c>
      <c r="Q28" s="5"/>
      <c r="R28" s="5"/>
      <c r="S28" s="10">
        <v>29.4</v>
      </c>
      <c r="T28" s="4" t="s">
        <v>54</v>
      </c>
      <c r="U28" s="4">
        <v>780</v>
      </c>
      <c r="V28" s="4">
        <v>760</v>
      </c>
      <c r="W28" s="4">
        <v>9345</v>
      </c>
      <c r="X28" s="4">
        <v>7645</v>
      </c>
      <c r="Y28" s="5">
        <v>5.47</v>
      </c>
      <c r="Z28" s="5">
        <v>2.45</v>
      </c>
      <c r="AA28" s="4">
        <v>1262</v>
      </c>
      <c r="AB28" s="4"/>
      <c r="AC28" s="13">
        <f t="shared" ref="AC28:AH28" si="42">IF(OR(C29=""),"",C29-C28)</f>
        <v>45153</v>
      </c>
      <c r="AD28" s="13">
        <f t="shared" si="42"/>
        <v>55468</v>
      </c>
      <c r="AE28" s="13">
        <f t="shared" si="42"/>
        <v>53481</v>
      </c>
      <c r="AF28" s="13">
        <f t="shared" si="42"/>
        <v>54353</v>
      </c>
      <c r="AG28" s="13">
        <f t="shared" si="42"/>
        <v>206900</v>
      </c>
      <c r="AH28" s="13">
        <f t="shared" si="42"/>
        <v>5484</v>
      </c>
      <c r="AI28" s="13">
        <f t="shared" si="1"/>
        <v>1555</v>
      </c>
      <c r="AJ28" s="13">
        <f t="shared" si="2"/>
        <v>207354</v>
      </c>
      <c r="AK28" s="13">
        <f t="shared" si="3"/>
        <v>5496</v>
      </c>
      <c r="AL28" s="13">
        <f t="shared" si="4"/>
        <v>201858</v>
      </c>
      <c r="AM28" s="13">
        <v>2700</v>
      </c>
      <c r="AN28" s="13">
        <f t="shared" si="5"/>
        <v>0</v>
      </c>
      <c r="AO28" s="13">
        <f t="shared" si="6"/>
        <v>0</v>
      </c>
      <c r="AP28" s="13">
        <f t="shared" si="7"/>
        <v>5538</v>
      </c>
      <c r="AQ28" s="13">
        <f t="shared" si="8"/>
        <v>1824</v>
      </c>
      <c r="AR28" s="13">
        <v>0</v>
      </c>
      <c r="AS28" s="17">
        <f t="shared" si="22"/>
        <v>0</v>
      </c>
      <c r="AT28" s="17">
        <f t="shared" si="23"/>
        <v>0</v>
      </c>
      <c r="AU28" s="18">
        <f t="shared" si="24"/>
        <v>27.1</v>
      </c>
      <c r="AV28" s="17">
        <f t="shared" si="25"/>
        <v>8.93</v>
      </c>
    </row>
    <row r="29" spans="1:48">
      <c r="A29" s="6">
        <v>43735</v>
      </c>
      <c r="B29" s="5" t="s">
        <v>48</v>
      </c>
      <c r="C29" s="4">
        <v>40659139</v>
      </c>
      <c r="D29" s="4">
        <v>28923423</v>
      </c>
      <c r="E29" s="4">
        <v>24025308</v>
      </c>
      <c r="F29" s="4">
        <v>23607847</v>
      </c>
      <c r="G29" s="4">
        <v>325736196</v>
      </c>
      <c r="H29" s="4">
        <v>107312528</v>
      </c>
      <c r="I29" s="4">
        <v>325736258</v>
      </c>
      <c r="J29" s="4">
        <v>107312528</v>
      </c>
      <c r="K29" s="4"/>
      <c r="L29" s="5">
        <v>4299.8</v>
      </c>
      <c r="M29" s="5">
        <v>4521.21</v>
      </c>
      <c r="N29" s="5">
        <v>74192.76</v>
      </c>
      <c r="O29" s="5">
        <v>1596.2</v>
      </c>
      <c r="P29" s="5">
        <v>1619.8</v>
      </c>
      <c r="Q29" s="5"/>
      <c r="R29" s="5"/>
      <c r="S29" s="10">
        <v>27</v>
      </c>
      <c r="T29" s="4" t="s">
        <v>46</v>
      </c>
      <c r="U29" s="4">
        <v>620</v>
      </c>
      <c r="V29" s="4">
        <v>640</v>
      </c>
      <c r="W29" s="4">
        <v>9477</v>
      </c>
      <c r="X29" s="4">
        <v>7945</v>
      </c>
      <c r="Y29" s="5">
        <v>6.5</v>
      </c>
      <c r="Z29" s="5">
        <v>4.61</v>
      </c>
      <c r="AA29" s="4">
        <v>1366</v>
      </c>
      <c r="AB29" s="4"/>
      <c r="AC29" s="13">
        <f t="shared" ref="AC29:AH29" si="43">IF(OR(C30=""),"",C30-C29)</f>
        <v>48185</v>
      </c>
      <c r="AD29" s="13">
        <f t="shared" si="43"/>
        <v>59477</v>
      </c>
      <c r="AE29" s="13">
        <f t="shared" si="43"/>
        <v>56785</v>
      </c>
      <c r="AF29" s="13">
        <f t="shared" si="43"/>
        <v>58258</v>
      </c>
      <c r="AG29" s="13">
        <f t="shared" si="43"/>
        <v>208762</v>
      </c>
      <c r="AH29" s="13">
        <f t="shared" si="43"/>
        <v>5494</v>
      </c>
      <c r="AI29" s="13">
        <f t="shared" si="1"/>
        <v>13943</v>
      </c>
      <c r="AJ29" s="13">
        <f t="shared" si="2"/>
        <v>208869</v>
      </c>
      <c r="AK29" s="13">
        <f t="shared" si="3"/>
        <v>5496</v>
      </c>
      <c r="AL29" s="13">
        <f t="shared" si="4"/>
        <v>203373</v>
      </c>
      <c r="AM29" s="13">
        <v>2600</v>
      </c>
      <c r="AN29" s="13">
        <f t="shared" si="5"/>
        <v>0</v>
      </c>
      <c r="AO29" s="13">
        <f t="shared" si="6"/>
        <v>0</v>
      </c>
      <c r="AP29" s="13">
        <f t="shared" si="7"/>
        <v>4402</v>
      </c>
      <c r="AQ29" s="13">
        <f t="shared" si="8"/>
        <v>1536</v>
      </c>
      <c r="AR29" s="13">
        <v>0</v>
      </c>
      <c r="AS29" s="17">
        <f t="shared" si="22"/>
        <v>0</v>
      </c>
      <c r="AT29" s="17">
        <f t="shared" si="23"/>
        <v>0</v>
      </c>
      <c r="AU29" s="18">
        <f t="shared" si="24"/>
        <v>21.8</v>
      </c>
      <c r="AV29" s="17">
        <f t="shared" si="25"/>
        <v>7.61</v>
      </c>
    </row>
    <row r="30" spans="1:48">
      <c r="A30" s="6">
        <v>43736</v>
      </c>
      <c r="B30" s="5" t="s">
        <v>48</v>
      </c>
      <c r="C30" s="4">
        <v>40707324</v>
      </c>
      <c r="D30" s="4">
        <v>28982900</v>
      </c>
      <c r="E30" s="4">
        <v>24082093</v>
      </c>
      <c r="F30" s="4">
        <v>23666105</v>
      </c>
      <c r="G30" s="4">
        <v>325944958</v>
      </c>
      <c r="H30" s="4">
        <v>107318022</v>
      </c>
      <c r="I30" s="4">
        <v>325945127</v>
      </c>
      <c r="J30" s="4">
        <v>107318024</v>
      </c>
      <c r="K30" s="4"/>
      <c r="L30" s="5">
        <v>4299.8</v>
      </c>
      <c r="M30" s="5">
        <v>4521.21</v>
      </c>
      <c r="N30" s="5">
        <v>74192.76</v>
      </c>
      <c r="O30" s="5">
        <v>1596.2</v>
      </c>
      <c r="P30" s="5">
        <v>1619.8</v>
      </c>
      <c r="Q30" s="5"/>
      <c r="R30" s="5"/>
      <c r="S30" s="10">
        <v>27.6</v>
      </c>
      <c r="T30" s="4" t="s">
        <v>52</v>
      </c>
      <c r="U30" s="4">
        <v>770</v>
      </c>
      <c r="V30" s="4">
        <v>750</v>
      </c>
      <c r="W30" s="4">
        <v>9312</v>
      </c>
      <c r="X30" s="4">
        <v>7845</v>
      </c>
      <c r="Y30" s="5">
        <v>6.9</v>
      </c>
      <c r="Z30" s="5">
        <v>5.24</v>
      </c>
      <c r="AA30" s="4">
        <v>1430</v>
      </c>
      <c r="AB30" s="4"/>
      <c r="AC30" s="13">
        <f t="shared" ref="AC30:AH30" si="44">IF(OR(C31=""),"",C31-C30)</f>
        <v>45926</v>
      </c>
      <c r="AD30" s="13">
        <f t="shared" si="44"/>
        <v>56846</v>
      </c>
      <c r="AE30" s="13">
        <f t="shared" si="44"/>
        <v>54537</v>
      </c>
      <c r="AF30" s="13">
        <f t="shared" si="44"/>
        <v>55799</v>
      </c>
      <c r="AG30" s="13">
        <f t="shared" si="44"/>
        <v>211979</v>
      </c>
      <c r="AH30" s="13">
        <f t="shared" si="44"/>
        <v>5507</v>
      </c>
      <c r="AI30" s="13">
        <f t="shared" si="1"/>
        <v>1129</v>
      </c>
      <c r="AJ30" s="13">
        <f t="shared" si="2"/>
        <v>211595</v>
      </c>
      <c r="AK30" s="13">
        <f t="shared" si="3"/>
        <v>5496</v>
      </c>
      <c r="AL30" s="13">
        <f t="shared" si="4"/>
        <v>206099</v>
      </c>
      <c r="AM30" s="13">
        <v>2700</v>
      </c>
      <c r="AN30" s="13">
        <f t="shared" si="5"/>
        <v>0</v>
      </c>
      <c r="AO30" s="13">
        <f t="shared" si="6"/>
        <v>0</v>
      </c>
      <c r="AP30" s="13">
        <f t="shared" si="7"/>
        <v>5467</v>
      </c>
      <c r="AQ30" s="13">
        <f t="shared" si="8"/>
        <v>1800</v>
      </c>
      <c r="AR30" s="13">
        <v>0</v>
      </c>
      <c r="AS30" s="17">
        <f t="shared" si="22"/>
        <v>0</v>
      </c>
      <c r="AT30" s="17">
        <f t="shared" si="23"/>
        <v>0</v>
      </c>
      <c r="AU30" s="18">
        <f t="shared" si="24"/>
        <v>26.9</v>
      </c>
      <c r="AV30" s="17">
        <f t="shared" si="25"/>
        <v>8.85</v>
      </c>
    </row>
    <row r="31" spans="1:48">
      <c r="A31" s="6">
        <v>43737</v>
      </c>
      <c r="B31" s="5" t="s">
        <v>48</v>
      </c>
      <c r="C31" s="4">
        <v>40753250</v>
      </c>
      <c r="D31" s="4">
        <v>29039746</v>
      </c>
      <c r="E31" s="4">
        <v>24136630</v>
      </c>
      <c r="F31" s="4">
        <v>23721904</v>
      </c>
      <c r="G31" s="4">
        <v>326156937</v>
      </c>
      <c r="H31" s="4">
        <v>107323529</v>
      </c>
      <c r="I31" s="4">
        <v>326156722</v>
      </c>
      <c r="J31" s="4">
        <v>107323520</v>
      </c>
      <c r="K31" s="4"/>
      <c r="L31" s="5">
        <v>4299.8</v>
      </c>
      <c r="M31" s="5">
        <v>4521.21</v>
      </c>
      <c r="N31" s="5">
        <v>74192.76</v>
      </c>
      <c r="O31" s="5">
        <v>1596.2</v>
      </c>
      <c r="P31" s="5">
        <v>1619.8</v>
      </c>
      <c r="Q31" s="5"/>
      <c r="R31" s="5"/>
      <c r="S31" s="10">
        <v>28.3</v>
      </c>
      <c r="T31" s="4" t="s">
        <v>46</v>
      </c>
      <c r="U31" s="4">
        <v>580</v>
      </c>
      <c r="V31" s="4">
        <v>600</v>
      </c>
      <c r="W31" s="4">
        <v>9552</v>
      </c>
      <c r="X31" s="4">
        <v>7945</v>
      </c>
      <c r="Y31" s="5">
        <v>6.46</v>
      </c>
      <c r="Z31" s="5">
        <v>4.61</v>
      </c>
      <c r="AA31" s="4">
        <v>1423</v>
      </c>
      <c r="AB31" s="4"/>
      <c r="AC31" s="13">
        <f t="shared" ref="AC31:AH31" si="45">IF(OR(C32=""),"",C32-C31)</f>
        <v>47675</v>
      </c>
      <c r="AD31" s="13">
        <f t="shared" si="45"/>
        <v>58888</v>
      </c>
      <c r="AE31" s="13">
        <f t="shared" si="45"/>
        <v>55073</v>
      </c>
      <c r="AF31" s="13">
        <f t="shared" si="45"/>
        <v>56109</v>
      </c>
      <c r="AG31" s="13">
        <f t="shared" si="45"/>
        <v>210081</v>
      </c>
      <c r="AH31" s="13">
        <f t="shared" si="45"/>
        <v>5491</v>
      </c>
      <c r="AI31" s="13">
        <f t="shared" si="1"/>
        <v>7664</v>
      </c>
      <c r="AJ31" s="13">
        <f t="shared" si="2"/>
        <v>210144</v>
      </c>
      <c r="AK31" s="13">
        <f t="shared" si="3"/>
        <v>5496</v>
      </c>
      <c r="AL31" s="13">
        <f t="shared" si="4"/>
        <v>204648</v>
      </c>
      <c r="AM31" s="13">
        <v>3300</v>
      </c>
      <c r="AN31" s="13">
        <f t="shared" si="5"/>
        <v>0</v>
      </c>
      <c r="AO31" s="13">
        <f t="shared" si="6"/>
        <v>0</v>
      </c>
      <c r="AP31" s="13">
        <f t="shared" si="7"/>
        <v>4118</v>
      </c>
      <c r="AQ31" s="13">
        <f t="shared" si="8"/>
        <v>1440</v>
      </c>
      <c r="AR31" s="13">
        <v>0</v>
      </c>
      <c r="AS31" s="17">
        <f t="shared" si="22"/>
        <v>0</v>
      </c>
      <c r="AT31" s="17">
        <f t="shared" si="23"/>
        <v>0</v>
      </c>
      <c r="AU31" s="18">
        <f t="shared" si="24"/>
        <v>20</v>
      </c>
      <c r="AV31" s="17">
        <f t="shared" si="25"/>
        <v>6.99</v>
      </c>
    </row>
    <row r="32" spans="1:48">
      <c r="A32" s="6">
        <v>43738</v>
      </c>
      <c r="B32" s="5" t="s">
        <v>48</v>
      </c>
      <c r="C32" s="4">
        <v>40800925</v>
      </c>
      <c r="D32" s="4">
        <v>29098634</v>
      </c>
      <c r="E32" s="4">
        <v>24191703</v>
      </c>
      <c r="F32" s="4">
        <v>23778013</v>
      </c>
      <c r="G32" s="4">
        <v>326367018</v>
      </c>
      <c r="H32" s="4">
        <v>107329020</v>
      </c>
      <c r="I32" s="4">
        <v>326366866</v>
      </c>
      <c r="J32" s="4">
        <v>107329016</v>
      </c>
      <c r="K32" s="4"/>
      <c r="L32" s="5">
        <v>4299.8</v>
      </c>
      <c r="M32" s="5">
        <v>4521.21</v>
      </c>
      <c r="N32" s="5">
        <v>74192.76</v>
      </c>
      <c r="O32" s="5">
        <v>1596.2</v>
      </c>
      <c r="P32" s="5">
        <v>1619.8</v>
      </c>
      <c r="Q32" s="5"/>
      <c r="R32" s="5"/>
      <c r="S32" s="10">
        <v>28.7</v>
      </c>
      <c r="T32" s="4" t="s">
        <v>46</v>
      </c>
      <c r="U32" s="4">
        <v>500</v>
      </c>
      <c r="V32" s="4">
        <v>520</v>
      </c>
      <c r="W32" s="4">
        <v>9278</v>
      </c>
      <c r="X32" s="4">
        <v>7920</v>
      </c>
      <c r="Y32" s="5">
        <v>6.12</v>
      </c>
      <c r="Z32" s="5">
        <v>4.18</v>
      </c>
      <c r="AA32" s="4">
        <v>1433</v>
      </c>
      <c r="AB32" s="4"/>
      <c r="AC32" s="13">
        <f t="shared" ref="AC32:AH32" si="46">IF(OR(C33=""),"",C33-C32)</f>
        <v>47063</v>
      </c>
      <c r="AD32" s="13">
        <f t="shared" si="46"/>
        <v>59102</v>
      </c>
      <c r="AE32" s="13">
        <f t="shared" si="46"/>
        <v>54514</v>
      </c>
      <c r="AF32" s="13">
        <f t="shared" si="46"/>
        <v>55175</v>
      </c>
      <c r="AG32" s="13">
        <f t="shared" si="46"/>
        <v>209783</v>
      </c>
      <c r="AH32" s="13">
        <f t="shared" si="46"/>
        <v>5518</v>
      </c>
      <c r="AI32" s="13">
        <f t="shared" si="1"/>
        <v>6071</v>
      </c>
      <c r="AJ32" s="13">
        <f t="shared" si="2"/>
        <v>209493</v>
      </c>
      <c r="AK32" s="13">
        <f t="shared" si="3"/>
        <v>5504</v>
      </c>
      <c r="AL32" s="13">
        <f t="shared" si="4"/>
        <v>203989</v>
      </c>
      <c r="AM32" s="13">
        <v>3100</v>
      </c>
      <c r="AN32" s="13">
        <f t="shared" si="5"/>
        <v>0</v>
      </c>
      <c r="AO32" s="13">
        <f t="shared" si="6"/>
        <v>0</v>
      </c>
      <c r="AP32" s="13">
        <f t="shared" si="7"/>
        <v>3550</v>
      </c>
      <c r="AQ32" s="13">
        <f t="shared" si="8"/>
        <v>1248</v>
      </c>
      <c r="AR32" s="13">
        <v>0</v>
      </c>
      <c r="AS32" s="17">
        <f t="shared" si="22"/>
        <v>0</v>
      </c>
      <c r="AT32" s="17">
        <f t="shared" si="23"/>
        <v>0</v>
      </c>
      <c r="AU32" s="18">
        <f t="shared" si="24"/>
        <v>17.3</v>
      </c>
      <c r="AV32" s="17">
        <f t="shared" si="25"/>
        <v>6.1</v>
      </c>
    </row>
    <row r="33" spans="1:48">
      <c r="A33" s="6">
        <v>43739</v>
      </c>
      <c r="B33" s="5" t="s">
        <v>47</v>
      </c>
      <c r="C33" s="4">
        <v>40847988</v>
      </c>
      <c r="D33" s="4">
        <v>29157736</v>
      </c>
      <c r="E33" s="4">
        <v>24246217</v>
      </c>
      <c r="F33" s="4">
        <v>23833188</v>
      </c>
      <c r="G33" s="4">
        <v>326576801</v>
      </c>
      <c r="H33" s="4">
        <v>107334538</v>
      </c>
      <c r="I33" s="4">
        <v>326576359</v>
      </c>
      <c r="J33" s="4">
        <v>107334520</v>
      </c>
      <c r="K33" s="4"/>
      <c r="L33" s="5">
        <v>4299.8</v>
      </c>
      <c r="M33" s="5">
        <v>4521.21</v>
      </c>
      <c r="N33" s="5">
        <v>74192.76</v>
      </c>
      <c r="O33" s="5">
        <v>1596.2</v>
      </c>
      <c r="P33" s="5">
        <v>1619.8</v>
      </c>
      <c r="Q33" s="5"/>
      <c r="R33" s="5"/>
      <c r="S33" s="10">
        <v>27.9</v>
      </c>
      <c r="T33" s="4" t="s">
        <v>46</v>
      </c>
      <c r="U33" s="4"/>
      <c r="V33" s="4"/>
      <c r="W33" s="4"/>
      <c r="X33" s="4"/>
      <c r="Y33" s="5"/>
      <c r="Z33" s="5"/>
      <c r="AA33" s="4"/>
      <c r="AB33" s="4"/>
      <c r="AC33" s="13" t="str">
        <f t="shared" ref="AC33:AH33" si="47">IF(OR(C34=""),"",C34-C33)</f>
        <v/>
      </c>
      <c r="AD33" s="13" t="str">
        <f t="shared" si="47"/>
        <v/>
      </c>
      <c r="AE33" s="13" t="str">
        <f t="shared" si="47"/>
        <v/>
      </c>
      <c r="AF33" s="13" t="str">
        <f t="shared" si="47"/>
        <v/>
      </c>
      <c r="AG33" s="13" t="str">
        <f t="shared" si="47"/>
        <v/>
      </c>
      <c r="AH33" s="13" t="str">
        <f t="shared" si="47"/>
        <v/>
      </c>
      <c r="AI33" s="13" t="str">
        <f t="shared" si="1"/>
        <v/>
      </c>
      <c r="AK33" s="13" t="str">
        <f t="shared" si="3"/>
        <v/>
      </c>
      <c r="AM33" s="13" t="str">
        <f t="shared" ref="AM33" si="48">IF(K33="","",K34-K33)</f>
        <v/>
      </c>
      <c r="AN33" s="13" t="str">
        <f t="shared" si="5"/>
        <v/>
      </c>
      <c r="AO33" s="13" t="str">
        <f t="shared" si="6"/>
        <v/>
      </c>
      <c r="AP33" s="13" t="str">
        <f t="shared" si="7"/>
        <v/>
      </c>
      <c r="AQ33" s="13" t="str">
        <f t="shared" si="8"/>
        <v/>
      </c>
      <c r="AR33" s="13"/>
      <c r="AS33" s="17" t="e">
        <f t="shared" si="22"/>
        <v>#VALUE!</v>
      </c>
      <c r="AT33" s="17" t="e">
        <f t="shared" si="23"/>
        <v>#VALUE!</v>
      </c>
      <c r="AU33" s="18" t="e">
        <f t="shared" si="24"/>
        <v>#VALUE!</v>
      </c>
      <c r="AV33" s="17" t="e">
        <f t="shared" si="25"/>
        <v>#VALUE!</v>
      </c>
    </row>
    <row r="34" spans="1:48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5"/>
      <c r="R34" s="5"/>
      <c r="S34" s="10"/>
      <c r="T34" s="4"/>
      <c r="AB34" s="14"/>
      <c r="AM34" s="15"/>
      <c r="AP34" s="1"/>
      <c r="AQ34" s="1"/>
      <c r="AR34" s="1"/>
      <c r="AS34" s="12"/>
      <c r="AT34" s="2"/>
      <c r="AU34" s="12"/>
      <c r="AV34" s="2"/>
    </row>
    <row r="35" spans="18:48">
      <c r="R35" s="2"/>
      <c r="S35" s="12"/>
      <c r="AJ35" s="16">
        <f>SUM(AJ3:AJ33)</f>
        <v>6179398</v>
      </c>
      <c r="AL35" s="16">
        <f>SUM(AL3:AL33)</f>
        <v>6014542</v>
      </c>
      <c r="AM35" s="15"/>
      <c r="AP35" s="1"/>
      <c r="AQ35" s="1"/>
      <c r="AR35" s="1"/>
      <c r="AS35" s="12"/>
      <c r="AT35" s="2"/>
      <c r="AU35" s="12"/>
      <c r="AV35" s="2"/>
    </row>
    <row r="36" spans="18:48">
      <c r="R36" s="2"/>
      <c r="S36" s="12"/>
      <c r="AC36" s="1" t="str">
        <f t="shared" ref="AC36:AH36" si="49">IF(OR(C37=""),"",C37-C36)</f>
        <v/>
      </c>
      <c r="AD36" s="1" t="str">
        <f t="shared" si="49"/>
        <v/>
      </c>
      <c r="AE36" s="1" t="str">
        <f t="shared" si="49"/>
        <v/>
      </c>
      <c r="AF36" s="1" t="str">
        <f t="shared" si="49"/>
        <v/>
      </c>
      <c r="AG36" s="1" t="str">
        <f t="shared" si="49"/>
        <v/>
      </c>
      <c r="AH36" s="1" t="str">
        <f t="shared" si="49"/>
        <v/>
      </c>
      <c r="AI36" s="1" t="str">
        <f>IF(OR(AC36="",AD36="",AE36=""),"",AC36+AD36+AE36+AF36-AG36)</f>
        <v/>
      </c>
      <c r="AK36" s="16">
        <f t="shared" ref="AK36:AQ36" si="50">SUM(AK3:AK34)</f>
        <v>164856</v>
      </c>
      <c r="AM36" s="16">
        <f t="shared" si="50"/>
        <v>77505</v>
      </c>
      <c r="AN36" s="16">
        <f t="shared" si="50"/>
        <v>34584</v>
      </c>
      <c r="AO36" s="16">
        <f t="shared" si="50"/>
        <v>8</v>
      </c>
      <c r="AP36" s="16">
        <f t="shared" si="50"/>
        <v>109553</v>
      </c>
      <c r="AQ36" s="16">
        <f t="shared" si="50"/>
        <v>37752</v>
      </c>
      <c r="AR36" s="16"/>
      <c r="AS36" s="19">
        <f>IF(OR($AL35=0),"",ROUND(AN36/$AL35*1000,1))</f>
        <v>5.8</v>
      </c>
      <c r="AT36" s="19">
        <f>IF(OR($AL35=0),"",ROUND(AO36/$AL35*1000,2))</f>
        <v>0</v>
      </c>
      <c r="AU36" s="20">
        <f>IF(OR($AL35=0),"",ROUND(AP36/$AL35*1000,1))</f>
        <v>18.2</v>
      </c>
      <c r="AV36" s="19">
        <f>IF(OR($AL35=0),"",ROUND(AQ36/$AL35*1000,2))</f>
        <v>6.28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V43"/>
  <sheetViews>
    <sheetView showGridLines="0" workbookViewId="0">
      <pane xSplit="2" ySplit="2" topLeftCell="M3" activePane="bottomRight" state="frozen"/>
      <selection/>
      <selection pane="topRight"/>
      <selection pane="bottomLeft"/>
      <selection pane="bottomRight" activeCell="AR33" sqref="AR33"/>
    </sheetView>
  </sheetViews>
  <sheetFormatPr defaultColWidth="10.6666666666667" defaultRowHeight="14.25"/>
  <cols>
    <col min="1" max="1" width="9.10833333333333" style="1" customWidth="1"/>
    <col min="2" max="2" width="8.66666666666667" style="2" customWidth="1"/>
    <col min="3" max="6" width="12.6666666666667" style="1" customWidth="1"/>
    <col min="7" max="10" width="13.775" style="1" customWidth="1"/>
    <col min="11" max="11" width="8" style="1" customWidth="1"/>
    <col min="12" max="13" width="8.33333333333333" style="2" customWidth="1"/>
    <col min="14" max="14" width="9.44166666666667" style="2" customWidth="1"/>
    <col min="15" max="16" width="8.44166666666667" style="2" customWidth="1"/>
    <col min="17" max="17" width="8.33333333333333" style="2" customWidth="1"/>
    <col min="18" max="18" width="9.66666666666667" style="1" customWidth="1"/>
    <col min="19" max="20" width="8.10833333333333" style="1" customWidth="1"/>
    <col min="21" max="21" width="7.66666666666667" style="1" customWidth="1"/>
    <col min="22" max="24" width="8.10833333333333" style="1" customWidth="1"/>
    <col min="25" max="26" width="8.10833333333333" style="2" customWidth="1"/>
    <col min="27" max="27" width="8.10833333333333" style="1" customWidth="1"/>
    <col min="28" max="28" width="15.6666666666667" style="1" customWidth="1"/>
    <col min="29" max="35" width="8.10833333333333" style="1" customWidth="1"/>
    <col min="36" max="36" width="10" style="1" customWidth="1"/>
    <col min="37" max="37" width="8.44166666666667" style="1" customWidth="1"/>
    <col min="38" max="38" width="9.33333333333333" style="1" customWidth="1"/>
    <col min="39" max="41" width="6.66666666666667" style="1" customWidth="1"/>
    <col min="42" max="42" width="6.66666666666667" style="2" customWidth="1"/>
    <col min="43" max="44" width="8.10833333333333" style="2" customWidth="1"/>
    <col min="45" max="45" width="6.44166666666667" style="3" customWidth="1"/>
    <col min="46" max="46" width="7" style="3" customWidth="1"/>
    <col min="47" max="47" width="6.66666666666667" style="3" customWidth="1"/>
    <col min="48" max="48" width="8.10833333333333" style="3" customWidth="1"/>
    <col min="49" max="16384" width="10.6666666666667" style="3"/>
  </cols>
  <sheetData>
    <row r="2" ht="42.75" spans="1:4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69</v>
      </c>
      <c r="P2" s="5" t="s">
        <v>70</v>
      </c>
      <c r="Q2" s="5" t="s">
        <v>13</v>
      </c>
      <c r="R2" s="5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5" t="s">
        <v>21</v>
      </c>
      <c r="Z2" s="5" t="s">
        <v>22</v>
      </c>
      <c r="AA2" s="4" t="s">
        <v>23</v>
      </c>
      <c r="AB2" s="4" t="s">
        <v>24</v>
      </c>
      <c r="AC2" s="13" t="s">
        <v>25</v>
      </c>
      <c r="AD2" s="13" t="s">
        <v>26</v>
      </c>
      <c r="AE2" s="13" t="s">
        <v>27</v>
      </c>
      <c r="AF2" s="13" t="s">
        <v>28</v>
      </c>
      <c r="AG2" s="13" t="s">
        <v>29</v>
      </c>
      <c r="AH2" s="13" t="s">
        <v>30</v>
      </c>
      <c r="AI2" s="13" t="s">
        <v>31</v>
      </c>
      <c r="AJ2" s="13" t="s">
        <v>32</v>
      </c>
      <c r="AK2" s="13" t="s">
        <v>33</v>
      </c>
      <c r="AL2" s="13" t="s">
        <v>34</v>
      </c>
      <c r="AM2" s="13" t="s">
        <v>35</v>
      </c>
      <c r="AN2" s="13" t="s">
        <v>36</v>
      </c>
      <c r="AO2" s="13" t="s">
        <v>37</v>
      </c>
      <c r="AP2" s="7" t="s">
        <v>38</v>
      </c>
      <c r="AQ2" s="7" t="s">
        <v>39</v>
      </c>
      <c r="AR2" s="7" t="s">
        <v>40</v>
      </c>
      <c r="AS2" s="13" t="s">
        <v>41</v>
      </c>
      <c r="AT2" s="13" t="s">
        <v>42</v>
      </c>
      <c r="AU2" s="7" t="s">
        <v>43</v>
      </c>
      <c r="AV2" s="7" t="s">
        <v>44</v>
      </c>
    </row>
    <row r="3" spans="1:48">
      <c r="A3" s="6">
        <v>43739</v>
      </c>
      <c r="B3" s="7" t="str">
        <f>'9'!B33</f>
        <v>潘汝鑫</v>
      </c>
      <c r="C3" s="7">
        <f>'9'!C33</f>
        <v>40847988</v>
      </c>
      <c r="D3" s="7">
        <f>'9'!D33</f>
        <v>29157736</v>
      </c>
      <c r="E3" s="7">
        <f>'9'!E33</f>
        <v>24246217</v>
      </c>
      <c r="F3" s="7">
        <f>'9'!F33</f>
        <v>23833188</v>
      </c>
      <c r="G3" s="7">
        <f>'9'!G33</f>
        <v>326576801</v>
      </c>
      <c r="H3" s="7">
        <f>'9'!H33</f>
        <v>107334538</v>
      </c>
      <c r="I3" s="7">
        <f>'9'!I33</f>
        <v>326576359</v>
      </c>
      <c r="J3" s="7">
        <f>'9'!J33</f>
        <v>107334520</v>
      </c>
      <c r="K3" s="7">
        <f>'9'!K33</f>
        <v>0</v>
      </c>
      <c r="L3" s="7">
        <f>'9'!L33</f>
        <v>4299.8</v>
      </c>
      <c r="M3" s="7">
        <f>'9'!M33</f>
        <v>4521.21</v>
      </c>
      <c r="N3" s="7">
        <f>'9'!N33</f>
        <v>74192.76</v>
      </c>
      <c r="O3" s="7">
        <v>1596.2</v>
      </c>
      <c r="P3" s="7">
        <v>1619.8</v>
      </c>
      <c r="Q3" s="7"/>
      <c r="R3" s="7"/>
      <c r="S3" s="7">
        <f>'9'!S33</f>
        <v>27.9</v>
      </c>
      <c r="T3" s="7" t="str">
        <f>'9'!T33</f>
        <v>晴</v>
      </c>
      <c r="U3" s="4">
        <v>650</v>
      </c>
      <c r="V3" s="4">
        <v>660</v>
      </c>
      <c r="W3" s="4">
        <v>9298</v>
      </c>
      <c r="X3" s="4">
        <v>2698</v>
      </c>
      <c r="Y3" s="5">
        <v>4</v>
      </c>
      <c r="Z3" s="5">
        <v>2.51</v>
      </c>
      <c r="AA3" s="4">
        <v>1170</v>
      </c>
      <c r="AB3" s="4"/>
      <c r="AC3" s="13">
        <f t="shared" ref="AC3:AH3" si="0">IF(OR(C4=""),"",C4-C3)</f>
        <v>44512</v>
      </c>
      <c r="AD3" s="13">
        <f t="shared" si="0"/>
        <v>55629</v>
      </c>
      <c r="AE3" s="13">
        <f t="shared" si="0"/>
        <v>52911</v>
      </c>
      <c r="AF3" s="13">
        <f t="shared" si="0"/>
        <v>53877</v>
      </c>
      <c r="AG3" s="13">
        <f t="shared" si="0"/>
        <v>204499</v>
      </c>
      <c r="AH3" s="13">
        <f t="shared" si="0"/>
        <v>5467</v>
      </c>
      <c r="AI3" s="13">
        <f t="shared" ref="AI3:AI33" si="1">IF(OR(AC3="",AD3="",AE3=""),"",AC3+AD3+AE3+AF3-AG3)</f>
        <v>2430</v>
      </c>
      <c r="AJ3" s="13">
        <f t="shared" ref="AJ3:AJ33" si="2">IF(OR(I4=""),"",I4-I3)</f>
        <v>205468</v>
      </c>
      <c r="AK3" s="13">
        <f t="shared" ref="AK3:AK33" si="3">IF(OR(J4=""),"",J4-J3)</f>
        <v>5496</v>
      </c>
      <c r="AL3" s="13">
        <f t="shared" ref="AL3:AL33" si="4">IF(OR(AJ3="",AK3=""),"",AJ3-AK3)</f>
        <v>199972</v>
      </c>
      <c r="AM3" s="13">
        <v>2300</v>
      </c>
      <c r="AN3" s="13">
        <f t="shared" ref="AN3:AN33" si="5">IF(OR(L4="",M4=""),"",ROUND((L4-L3+M4-M3)*1200,0))</f>
        <v>0</v>
      </c>
      <c r="AO3" s="13">
        <f t="shared" ref="AO3:AO33" si="6">IF(OR(N4=""),"",(ROUND((N4-N3)*2,0)))</f>
        <v>0</v>
      </c>
      <c r="AP3" s="13">
        <f>IF(OR(U3=""),"",ROUND(U3*7.1,0))</f>
        <v>4615</v>
      </c>
      <c r="AQ3" s="13">
        <f t="shared" ref="AQ3:AQ33" si="7">IF(OR(V3=""),"",ROUND(V3*2.4,0))</f>
        <v>1584</v>
      </c>
      <c r="AR3" s="13">
        <f t="shared" ref="AR3:AR33" si="8">IF(O4=0,"",(O4+P4-O3-P3)*1000/2)</f>
        <v>0</v>
      </c>
      <c r="AS3" s="17">
        <f t="shared" ref="AS3:AS33" si="9">IF(OR($AL3=""),"",ROUND(AN3/$AL3*1000,1))</f>
        <v>0</v>
      </c>
      <c r="AT3" s="17">
        <f t="shared" ref="AT3:AT33" si="10">IF(OR($AL3=""),"",ROUND(AO3/$AL3*1000,2))</f>
        <v>0</v>
      </c>
      <c r="AU3" s="18">
        <f t="shared" ref="AU3:AU33" si="11">IF(OR($AL3=""),"",ROUND(AP3/$AL3*1000,1))</f>
        <v>23.1</v>
      </c>
      <c r="AV3" s="17">
        <f t="shared" ref="AV3:AV33" si="12">IF(OR($AL3=""),"",ROUND(AQ3/$AL3*1000,2))</f>
        <v>7.92</v>
      </c>
    </row>
    <row r="4" spans="1:48">
      <c r="A4" s="6">
        <v>43740</v>
      </c>
      <c r="B4" s="5" t="s">
        <v>50</v>
      </c>
      <c r="C4" s="4">
        <v>40892500</v>
      </c>
      <c r="D4" s="4">
        <v>29213365</v>
      </c>
      <c r="E4" s="4">
        <v>24299128</v>
      </c>
      <c r="F4" s="4">
        <v>23887065</v>
      </c>
      <c r="G4" s="4">
        <v>326781300</v>
      </c>
      <c r="H4" s="4">
        <v>107340005</v>
      </c>
      <c r="I4" s="4">
        <v>326781827</v>
      </c>
      <c r="J4" s="4">
        <v>107340016</v>
      </c>
      <c r="K4" s="4"/>
      <c r="L4" s="5">
        <v>4299.8</v>
      </c>
      <c r="M4" s="5">
        <v>4521.21</v>
      </c>
      <c r="N4" s="5">
        <v>74192.76</v>
      </c>
      <c r="O4" s="5">
        <v>1596.2</v>
      </c>
      <c r="P4" s="5">
        <v>1619.8</v>
      </c>
      <c r="Q4" s="5"/>
      <c r="R4" s="5"/>
      <c r="S4" s="10">
        <v>27.6</v>
      </c>
      <c r="T4" s="4" t="s">
        <v>46</v>
      </c>
      <c r="U4" s="4">
        <v>630</v>
      </c>
      <c r="V4" s="4">
        <v>650</v>
      </c>
      <c r="W4" s="4">
        <v>8024</v>
      </c>
      <c r="X4" s="4">
        <v>4638</v>
      </c>
      <c r="Y4" s="5">
        <v>4.81</v>
      </c>
      <c r="Z4" s="5">
        <v>2.24</v>
      </c>
      <c r="AA4" s="4">
        <v>1079</v>
      </c>
      <c r="AB4" s="4"/>
      <c r="AC4" s="13">
        <f t="shared" ref="AC4:AH4" si="13">IF(OR(C5=""),"",C5-C4)</f>
        <v>39625</v>
      </c>
      <c r="AD4" s="13">
        <f t="shared" si="13"/>
        <v>47238</v>
      </c>
      <c r="AE4" s="13">
        <f t="shared" si="13"/>
        <v>45505</v>
      </c>
      <c r="AF4" s="13">
        <f t="shared" si="13"/>
        <v>44273</v>
      </c>
      <c r="AG4" s="13">
        <f t="shared" si="13"/>
        <v>172291</v>
      </c>
      <c r="AH4" s="13">
        <f t="shared" si="13"/>
        <v>5491</v>
      </c>
      <c r="AI4" s="13">
        <f t="shared" si="1"/>
        <v>4350</v>
      </c>
      <c r="AJ4" s="13">
        <f t="shared" si="2"/>
        <v>171839</v>
      </c>
      <c r="AK4" s="13">
        <f t="shared" si="3"/>
        <v>5488</v>
      </c>
      <c r="AL4" s="13">
        <f t="shared" si="4"/>
        <v>166351</v>
      </c>
      <c r="AM4" s="13">
        <v>2500</v>
      </c>
      <c r="AN4" s="13">
        <f t="shared" si="5"/>
        <v>0</v>
      </c>
      <c r="AO4" s="13">
        <f t="shared" si="6"/>
        <v>0</v>
      </c>
      <c r="AP4" s="13">
        <f t="shared" ref="AP4:AP33" si="14">IF(OR(U4=""),"",ROUND(U4*7.1,0))</f>
        <v>4473</v>
      </c>
      <c r="AQ4" s="13">
        <f t="shared" si="7"/>
        <v>1560</v>
      </c>
      <c r="AR4" s="13">
        <f t="shared" si="8"/>
        <v>0</v>
      </c>
      <c r="AS4" s="17">
        <f t="shared" si="9"/>
        <v>0</v>
      </c>
      <c r="AT4" s="17">
        <f t="shared" si="10"/>
        <v>0</v>
      </c>
      <c r="AU4" s="18">
        <f t="shared" si="11"/>
        <v>26.9</v>
      </c>
      <c r="AV4" s="17">
        <f t="shared" si="12"/>
        <v>9.38</v>
      </c>
    </row>
    <row r="5" spans="1:48">
      <c r="A5" s="6">
        <v>43741</v>
      </c>
      <c r="B5" s="5" t="s">
        <v>55</v>
      </c>
      <c r="C5" s="4">
        <v>40932125</v>
      </c>
      <c r="D5" s="4">
        <v>29260603</v>
      </c>
      <c r="E5" s="4">
        <v>24344633</v>
      </c>
      <c r="F5" s="4">
        <v>23931338</v>
      </c>
      <c r="G5" s="4">
        <v>326953591</v>
      </c>
      <c r="H5" s="4">
        <v>107345496</v>
      </c>
      <c r="I5" s="1">
        <v>326953666</v>
      </c>
      <c r="J5" s="4">
        <v>107345504</v>
      </c>
      <c r="K5" s="4"/>
      <c r="L5" s="5">
        <v>4299.8</v>
      </c>
      <c r="M5" s="5">
        <v>4521.21</v>
      </c>
      <c r="N5" s="5">
        <v>74192.76</v>
      </c>
      <c r="O5" s="5">
        <v>1596.2</v>
      </c>
      <c r="P5" s="5">
        <v>1619.8</v>
      </c>
      <c r="Q5" s="5"/>
      <c r="R5" s="5"/>
      <c r="S5" s="10">
        <v>29.5</v>
      </c>
      <c r="T5" s="4" t="s">
        <v>46</v>
      </c>
      <c r="U5" s="4">
        <v>570</v>
      </c>
      <c r="V5" s="4">
        <v>590</v>
      </c>
      <c r="W5" s="4">
        <v>7324</v>
      </c>
      <c r="X5" s="4">
        <v>2587</v>
      </c>
      <c r="Y5" s="5">
        <v>4.99</v>
      </c>
      <c r="Z5" s="5">
        <v>2.28</v>
      </c>
      <c r="AA5" s="4">
        <v>1057</v>
      </c>
      <c r="AB5" s="4"/>
      <c r="AC5" s="13">
        <f t="shared" ref="AC5:AH5" si="15">IF(OR(C6=""),"",C6-C5)</f>
        <v>36785</v>
      </c>
      <c r="AD5" s="13">
        <f t="shared" si="15"/>
        <v>42607</v>
      </c>
      <c r="AE5" s="13">
        <f t="shared" si="15"/>
        <v>41338</v>
      </c>
      <c r="AF5" s="13">
        <f t="shared" si="15"/>
        <v>40885</v>
      </c>
      <c r="AG5" s="13">
        <f t="shared" si="15"/>
        <v>161268</v>
      </c>
      <c r="AH5" s="13">
        <f t="shared" si="15"/>
        <v>5322</v>
      </c>
      <c r="AI5" s="13">
        <f t="shared" si="1"/>
        <v>347</v>
      </c>
      <c r="AJ5" s="13">
        <f t="shared" si="2"/>
        <v>161241</v>
      </c>
      <c r="AK5" s="13">
        <f t="shared" si="3"/>
        <v>5488</v>
      </c>
      <c r="AL5" s="13">
        <f t="shared" si="4"/>
        <v>155753</v>
      </c>
      <c r="AM5" s="13">
        <v>2000</v>
      </c>
      <c r="AN5" s="13">
        <f t="shared" si="5"/>
        <v>0</v>
      </c>
      <c r="AO5" s="13">
        <f t="shared" si="6"/>
        <v>0</v>
      </c>
      <c r="AP5" s="13">
        <f t="shared" si="14"/>
        <v>4047</v>
      </c>
      <c r="AQ5" s="13">
        <f t="shared" si="7"/>
        <v>1416</v>
      </c>
      <c r="AR5" s="13">
        <f t="shared" si="8"/>
        <v>1349.99999999991</v>
      </c>
      <c r="AS5" s="17">
        <f t="shared" si="9"/>
        <v>0</v>
      </c>
      <c r="AT5" s="17">
        <f t="shared" si="10"/>
        <v>0</v>
      </c>
      <c r="AU5" s="18">
        <f t="shared" si="11"/>
        <v>26</v>
      </c>
      <c r="AV5" s="17">
        <f t="shared" si="12"/>
        <v>9.09</v>
      </c>
    </row>
    <row r="6" spans="1:48">
      <c r="A6" s="6">
        <v>43742</v>
      </c>
      <c r="B6" s="5" t="s">
        <v>45</v>
      </c>
      <c r="C6" s="4">
        <v>40968910</v>
      </c>
      <c r="D6" s="4">
        <v>29303210</v>
      </c>
      <c r="E6" s="4">
        <v>24385971</v>
      </c>
      <c r="F6" s="4">
        <v>23972223</v>
      </c>
      <c r="G6" s="4">
        <v>327114859</v>
      </c>
      <c r="H6" s="4">
        <v>107350818</v>
      </c>
      <c r="I6" s="4">
        <v>327114907</v>
      </c>
      <c r="J6" s="4">
        <v>107350992</v>
      </c>
      <c r="K6" s="4"/>
      <c r="L6" s="5">
        <v>4299.8</v>
      </c>
      <c r="M6" s="5">
        <v>4521.21</v>
      </c>
      <c r="N6" s="5">
        <v>74192.76</v>
      </c>
      <c r="O6" s="5">
        <v>1598.6</v>
      </c>
      <c r="P6" s="5">
        <v>1620.1</v>
      </c>
      <c r="Q6" s="5"/>
      <c r="R6" s="5"/>
      <c r="S6" s="10">
        <v>28.3</v>
      </c>
      <c r="T6" s="4" t="s">
        <v>54</v>
      </c>
      <c r="U6" s="4">
        <v>260</v>
      </c>
      <c r="V6" s="4">
        <v>280</v>
      </c>
      <c r="W6" s="4">
        <v>7648</v>
      </c>
      <c r="X6" s="4">
        <v>5612</v>
      </c>
      <c r="Y6" s="5">
        <v>4.8</v>
      </c>
      <c r="Z6" s="5">
        <v>2.4</v>
      </c>
      <c r="AA6" s="4">
        <v>946</v>
      </c>
      <c r="AB6" s="4"/>
      <c r="AC6" s="13">
        <f t="shared" ref="AC6:AH6" si="16">IF(OR(C7=""),"",C7-C6)</f>
        <v>36489</v>
      </c>
      <c r="AD6" s="13">
        <f t="shared" si="16"/>
        <v>42363</v>
      </c>
      <c r="AE6" s="13">
        <f t="shared" si="16"/>
        <v>41305</v>
      </c>
      <c r="AF6" s="13">
        <f t="shared" si="16"/>
        <v>40465</v>
      </c>
      <c r="AG6" s="13">
        <f t="shared" si="16"/>
        <v>161995</v>
      </c>
      <c r="AH6" s="13">
        <f t="shared" si="16"/>
        <v>5692</v>
      </c>
      <c r="AI6" s="13">
        <f t="shared" si="1"/>
        <v>-1373</v>
      </c>
      <c r="AJ6" s="13">
        <f t="shared" si="2"/>
        <v>161797</v>
      </c>
      <c r="AK6" s="13">
        <f t="shared" si="3"/>
        <v>5512</v>
      </c>
      <c r="AL6" s="13">
        <f t="shared" si="4"/>
        <v>156285</v>
      </c>
      <c r="AM6" s="13">
        <v>2400</v>
      </c>
      <c r="AN6" s="13">
        <f t="shared" si="5"/>
        <v>0</v>
      </c>
      <c r="AO6" s="13">
        <f t="shared" si="6"/>
        <v>0</v>
      </c>
      <c r="AP6" s="13">
        <f t="shared" si="14"/>
        <v>1846</v>
      </c>
      <c r="AQ6" s="13">
        <f t="shared" si="7"/>
        <v>672</v>
      </c>
      <c r="AR6" s="13">
        <f t="shared" si="8"/>
        <v>0</v>
      </c>
      <c r="AS6" s="17">
        <f t="shared" si="9"/>
        <v>0</v>
      </c>
      <c r="AT6" s="17">
        <f t="shared" si="10"/>
        <v>0</v>
      </c>
      <c r="AU6" s="18">
        <f t="shared" si="11"/>
        <v>11.8</v>
      </c>
      <c r="AV6" s="17">
        <f t="shared" si="12"/>
        <v>4.3</v>
      </c>
    </row>
    <row r="7" spans="1:48">
      <c r="A7" s="6">
        <v>43743</v>
      </c>
      <c r="B7" s="5" t="s">
        <v>48</v>
      </c>
      <c r="C7" s="4">
        <v>41005399</v>
      </c>
      <c r="D7" s="4">
        <v>29345573</v>
      </c>
      <c r="E7" s="4">
        <v>24427276</v>
      </c>
      <c r="F7" s="4">
        <v>24012688</v>
      </c>
      <c r="G7" s="4">
        <v>327276854</v>
      </c>
      <c r="H7" s="4">
        <v>107356510</v>
      </c>
      <c r="I7" s="4">
        <v>327276704</v>
      </c>
      <c r="J7" s="4">
        <v>107356504</v>
      </c>
      <c r="K7" s="4"/>
      <c r="L7" s="5">
        <v>4299.8</v>
      </c>
      <c r="M7" s="5">
        <v>4521.21</v>
      </c>
      <c r="N7" s="5">
        <v>74192.76</v>
      </c>
      <c r="O7" s="5">
        <v>1598.6</v>
      </c>
      <c r="P7" s="5">
        <v>1620.1</v>
      </c>
      <c r="Q7" s="5"/>
      <c r="R7" s="5"/>
      <c r="S7" s="10">
        <v>27</v>
      </c>
      <c r="T7" s="4" t="s">
        <v>52</v>
      </c>
      <c r="U7" s="4">
        <v>200</v>
      </c>
      <c r="V7" s="4">
        <v>220</v>
      </c>
      <c r="W7" s="4">
        <v>9203</v>
      </c>
      <c r="X7" s="4">
        <v>5798</v>
      </c>
      <c r="Y7" s="5">
        <v>5.85</v>
      </c>
      <c r="Z7" s="5">
        <v>2.4</v>
      </c>
      <c r="AA7" s="4">
        <v>468</v>
      </c>
      <c r="AB7" s="4"/>
      <c r="AC7" s="13">
        <f t="shared" ref="AC7:AH7" si="17">IF(OR(C8=""),"",C8-C7)</f>
        <v>40199</v>
      </c>
      <c r="AD7" s="13">
        <f t="shared" si="17"/>
        <v>47995</v>
      </c>
      <c r="AE7" s="13">
        <f t="shared" si="17"/>
        <v>46091</v>
      </c>
      <c r="AF7" s="13">
        <f t="shared" si="17"/>
        <v>46467</v>
      </c>
      <c r="AG7" s="13">
        <f t="shared" si="17"/>
        <v>173534</v>
      </c>
      <c r="AH7" s="13">
        <f t="shared" si="17"/>
        <v>5512</v>
      </c>
      <c r="AI7" s="13">
        <f t="shared" si="1"/>
        <v>7218</v>
      </c>
      <c r="AJ7" s="13">
        <f t="shared" si="2"/>
        <v>173778</v>
      </c>
      <c r="AK7" s="13">
        <f t="shared" si="3"/>
        <v>5520</v>
      </c>
      <c r="AL7" s="13">
        <f t="shared" si="4"/>
        <v>168258</v>
      </c>
      <c r="AM7" s="13">
        <v>2500</v>
      </c>
      <c r="AN7" s="13">
        <f t="shared" si="5"/>
        <v>0</v>
      </c>
      <c r="AO7" s="13">
        <f t="shared" si="6"/>
        <v>0</v>
      </c>
      <c r="AP7" s="13">
        <f t="shared" si="14"/>
        <v>1420</v>
      </c>
      <c r="AQ7" s="13">
        <f t="shared" si="7"/>
        <v>528</v>
      </c>
      <c r="AR7" s="13">
        <f t="shared" si="8"/>
        <v>0</v>
      </c>
      <c r="AS7" s="17">
        <f t="shared" si="9"/>
        <v>0</v>
      </c>
      <c r="AT7" s="17">
        <f t="shared" si="10"/>
        <v>0</v>
      </c>
      <c r="AU7" s="18">
        <f t="shared" si="11"/>
        <v>8.4</v>
      </c>
      <c r="AV7" s="17">
        <f t="shared" si="12"/>
        <v>3.14</v>
      </c>
    </row>
    <row r="8" spans="1:48">
      <c r="A8" s="6">
        <v>43744</v>
      </c>
      <c r="B8" s="5" t="s">
        <v>58</v>
      </c>
      <c r="C8" s="4">
        <v>41045598</v>
      </c>
      <c r="D8" s="4">
        <v>29393568</v>
      </c>
      <c r="E8" s="4">
        <v>24473367</v>
      </c>
      <c r="F8" s="4">
        <v>24059155</v>
      </c>
      <c r="G8" s="4">
        <v>327450388</v>
      </c>
      <c r="H8" s="4">
        <v>107362022</v>
      </c>
      <c r="I8" s="4">
        <v>327450482</v>
      </c>
      <c r="J8" s="4">
        <v>107362024</v>
      </c>
      <c r="K8" s="4"/>
      <c r="L8" s="5">
        <v>4299.8</v>
      </c>
      <c r="M8" s="5">
        <v>4521.21</v>
      </c>
      <c r="N8" s="5">
        <v>74192.76</v>
      </c>
      <c r="O8" s="5">
        <v>1598.6</v>
      </c>
      <c r="P8" s="5">
        <v>1620.1</v>
      </c>
      <c r="Q8" s="5"/>
      <c r="R8" s="5"/>
      <c r="S8" s="10">
        <v>26.5</v>
      </c>
      <c r="T8" s="4" t="s">
        <v>52</v>
      </c>
      <c r="U8" s="4">
        <v>240</v>
      </c>
      <c r="V8" s="4">
        <v>260</v>
      </c>
      <c r="W8" s="4">
        <v>9264</v>
      </c>
      <c r="X8" s="4">
        <v>5556</v>
      </c>
      <c r="Y8" s="5">
        <v>7.36</v>
      </c>
      <c r="Z8" s="5">
        <v>2.46</v>
      </c>
      <c r="AA8" s="4">
        <v>1140</v>
      </c>
      <c r="AB8" s="4"/>
      <c r="AC8" s="13">
        <f t="shared" ref="AC8:AH8" si="18">IF(OR(C9=""),"",C9-C8)</f>
        <v>42362</v>
      </c>
      <c r="AD8" s="13">
        <f t="shared" si="18"/>
        <v>51872</v>
      </c>
      <c r="AE8" s="13">
        <f t="shared" si="18"/>
        <v>49930</v>
      </c>
      <c r="AF8" s="13">
        <f t="shared" si="18"/>
        <v>50700</v>
      </c>
      <c r="AG8" s="13">
        <f t="shared" si="18"/>
        <v>191584</v>
      </c>
      <c r="AH8" s="13">
        <f t="shared" si="18"/>
        <v>5496</v>
      </c>
      <c r="AI8" s="13">
        <f t="shared" si="1"/>
        <v>3280</v>
      </c>
      <c r="AJ8" s="13">
        <f t="shared" si="2"/>
        <v>191585</v>
      </c>
      <c r="AK8" s="13">
        <f t="shared" si="3"/>
        <v>5496</v>
      </c>
      <c r="AL8" s="13">
        <f t="shared" si="4"/>
        <v>186089</v>
      </c>
      <c r="AM8" s="13">
        <v>2400</v>
      </c>
      <c r="AN8" s="13">
        <f t="shared" si="5"/>
        <v>0</v>
      </c>
      <c r="AO8" s="13">
        <f t="shared" si="6"/>
        <v>0</v>
      </c>
      <c r="AP8" s="13">
        <f t="shared" si="14"/>
        <v>1704</v>
      </c>
      <c r="AQ8" s="13">
        <f t="shared" si="7"/>
        <v>624</v>
      </c>
      <c r="AR8" s="13">
        <f t="shared" si="8"/>
        <v>1349.99999999991</v>
      </c>
      <c r="AS8" s="17">
        <f t="shared" si="9"/>
        <v>0</v>
      </c>
      <c r="AT8" s="17">
        <f t="shared" si="10"/>
        <v>0</v>
      </c>
      <c r="AU8" s="18">
        <f t="shared" si="11"/>
        <v>9.2</v>
      </c>
      <c r="AV8" s="17">
        <f t="shared" si="12"/>
        <v>3.35</v>
      </c>
    </row>
    <row r="9" spans="1:48">
      <c r="A9" s="6">
        <v>43745</v>
      </c>
      <c r="B9" s="5" t="s">
        <v>50</v>
      </c>
      <c r="C9" s="4">
        <v>41087960</v>
      </c>
      <c r="D9" s="4">
        <v>29445440</v>
      </c>
      <c r="E9" s="4">
        <v>24523297</v>
      </c>
      <c r="F9" s="4">
        <v>24109855</v>
      </c>
      <c r="G9" s="4">
        <v>327641972</v>
      </c>
      <c r="H9" s="4">
        <v>107367518</v>
      </c>
      <c r="I9" s="4">
        <v>327642067</v>
      </c>
      <c r="J9" s="4">
        <v>107367520</v>
      </c>
      <c r="K9" s="4"/>
      <c r="L9" s="5">
        <v>4299.8</v>
      </c>
      <c r="M9" s="5">
        <v>4521.21</v>
      </c>
      <c r="N9" s="5">
        <v>74192.76</v>
      </c>
      <c r="O9" s="5">
        <v>1601.3</v>
      </c>
      <c r="P9" s="5">
        <v>1620.1</v>
      </c>
      <c r="Q9" s="5"/>
      <c r="R9" s="5"/>
      <c r="S9" s="10">
        <v>26</v>
      </c>
      <c r="T9" s="4" t="s">
        <v>54</v>
      </c>
      <c r="U9" s="4">
        <v>580</v>
      </c>
      <c r="V9" s="4">
        <v>590</v>
      </c>
      <c r="W9" s="4">
        <v>9345</v>
      </c>
      <c r="X9" s="4">
        <v>7945</v>
      </c>
      <c r="Y9" s="5">
        <v>7.48</v>
      </c>
      <c r="Z9" s="5">
        <v>7.18</v>
      </c>
      <c r="AA9" s="4">
        <v>1310</v>
      </c>
      <c r="AB9" s="4"/>
      <c r="AC9" s="13">
        <f t="shared" ref="AC9:AH9" si="19">IF(OR(C10=""),"",C10-C9)</f>
        <v>48748</v>
      </c>
      <c r="AD9" s="13">
        <f t="shared" si="19"/>
        <v>59495</v>
      </c>
      <c r="AE9" s="13">
        <f t="shared" si="19"/>
        <v>54646</v>
      </c>
      <c r="AF9" s="13">
        <f t="shared" si="19"/>
        <v>56315</v>
      </c>
      <c r="AG9" s="13">
        <f t="shared" si="19"/>
        <v>213670</v>
      </c>
      <c r="AH9" s="13">
        <f t="shared" si="19"/>
        <v>5487</v>
      </c>
      <c r="AI9" s="13">
        <f t="shared" si="1"/>
        <v>5534</v>
      </c>
      <c r="AJ9" s="13">
        <f t="shared" si="2"/>
        <v>213641</v>
      </c>
      <c r="AK9" s="13">
        <f t="shared" si="3"/>
        <v>5480</v>
      </c>
      <c r="AL9" s="13">
        <f t="shared" si="4"/>
        <v>208161</v>
      </c>
      <c r="AM9" s="13">
        <v>2700</v>
      </c>
      <c r="AN9" s="13">
        <f t="shared" si="5"/>
        <v>0</v>
      </c>
      <c r="AO9" s="13">
        <f t="shared" si="6"/>
        <v>0</v>
      </c>
      <c r="AP9" s="13">
        <f t="shared" si="14"/>
        <v>4118</v>
      </c>
      <c r="AQ9" s="13">
        <f t="shared" si="7"/>
        <v>1416</v>
      </c>
      <c r="AR9" s="13">
        <f t="shared" si="8"/>
        <v>1300.00000000007</v>
      </c>
      <c r="AS9" s="17">
        <f t="shared" si="9"/>
        <v>0</v>
      </c>
      <c r="AT9" s="17">
        <f t="shared" si="10"/>
        <v>0</v>
      </c>
      <c r="AU9" s="18">
        <f t="shared" si="11"/>
        <v>19.8</v>
      </c>
      <c r="AV9" s="17">
        <f t="shared" si="12"/>
        <v>6.8</v>
      </c>
    </row>
    <row r="10" spans="1:48">
      <c r="A10" s="6">
        <v>43746</v>
      </c>
      <c r="B10" s="5" t="s">
        <v>48</v>
      </c>
      <c r="C10" s="4">
        <v>41136708</v>
      </c>
      <c r="D10" s="4">
        <v>29504935</v>
      </c>
      <c r="E10" s="4">
        <v>24577943</v>
      </c>
      <c r="F10" s="4">
        <v>24166170</v>
      </c>
      <c r="G10" s="4">
        <v>327855642</v>
      </c>
      <c r="H10" s="4">
        <v>107373005</v>
      </c>
      <c r="I10" s="4">
        <v>327855708</v>
      </c>
      <c r="J10" s="4">
        <v>107373000</v>
      </c>
      <c r="K10" s="4"/>
      <c r="L10" s="5">
        <v>4299.8</v>
      </c>
      <c r="M10" s="5">
        <v>4521.21</v>
      </c>
      <c r="N10" s="5">
        <v>74192.76</v>
      </c>
      <c r="O10" s="5">
        <v>1603.9</v>
      </c>
      <c r="P10" s="5">
        <v>1620.1</v>
      </c>
      <c r="Q10" s="5"/>
      <c r="R10" s="5"/>
      <c r="S10" s="10">
        <v>26.4</v>
      </c>
      <c r="T10" s="4" t="s">
        <v>54</v>
      </c>
      <c r="U10" s="4">
        <v>690</v>
      </c>
      <c r="V10" s="4">
        <v>680</v>
      </c>
      <c r="W10" s="4">
        <v>9221</v>
      </c>
      <c r="X10" s="4">
        <v>8088</v>
      </c>
      <c r="Y10" s="5">
        <v>7.43</v>
      </c>
      <c r="Z10" s="5">
        <v>6.91</v>
      </c>
      <c r="AA10" s="4">
        <v>1440</v>
      </c>
      <c r="AB10" s="4"/>
      <c r="AC10" s="13">
        <f t="shared" ref="AC10:AH10" si="20">IF(OR(C11=""),"",C11-C10)</f>
        <v>47184</v>
      </c>
      <c r="AD10" s="13">
        <f t="shared" si="20"/>
        <v>59352</v>
      </c>
      <c r="AE10" s="13">
        <f t="shared" si="20"/>
        <v>53815</v>
      </c>
      <c r="AF10" s="13">
        <f t="shared" si="20"/>
        <v>55108</v>
      </c>
      <c r="AG10" s="13">
        <f t="shared" si="20"/>
        <v>211930</v>
      </c>
      <c r="AH10" s="13">
        <f t="shared" si="20"/>
        <v>5496</v>
      </c>
      <c r="AI10" s="13">
        <f t="shared" si="1"/>
        <v>3529</v>
      </c>
      <c r="AJ10" s="13">
        <f t="shared" si="2"/>
        <v>211741</v>
      </c>
      <c r="AK10" s="13">
        <f t="shared" si="3"/>
        <v>5496</v>
      </c>
      <c r="AL10" s="13">
        <f t="shared" si="4"/>
        <v>206245</v>
      </c>
      <c r="AM10" s="13">
        <v>3000</v>
      </c>
      <c r="AN10" s="13">
        <f t="shared" si="5"/>
        <v>0</v>
      </c>
      <c r="AO10" s="13">
        <f t="shared" si="6"/>
        <v>0</v>
      </c>
      <c r="AP10" s="13">
        <f t="shared" si="14"/>
        <v>4899</v>
      </c>
      <c r="AQ10" s="13">
        <f t="shared" si="7"/>
        <v>1632</v>
      </c>
      <c r="AR10" s="13">
        <f t="shared" si="8"/>
        <v>0</v>
      </c>
      <c r="AS10" s="17">
        <f t="shared" si="9"/>
        <v>0</v>
      </c>
      <c r="AT10" s="17">
        <f t="shared" si="10"/>
        <v>0</v>
      </c>
      <c r="AU10" s="18">
        <f t="shared" si="11"/>
        <v>23.8</v>
      </c>
      <c r="AV10" s="17">
        <f t="shared" si="12"/>
        <v>7.91</v>
      </c>
    </row>
    <row r="11" spans="1:48">
      <c r="A11" s="6">
        <v>43747</v>
      </c>
      <c r="B11" s="5" t="s">
        <v>50</v>
      </c>
      <c r="C11" s="4">
        <v>41183892</v>
      </c>
      <c r="D11" s="4">
        <v>29564287</v>
      </c>
      <c r="E11" s="4">
        <v>24631758</v>
      </c>
      <c r="F11" s="4">
        <v>24221278</v>
      </c>
      <c r="G11" s="4">
        <v>328067572</v>
      </c>
      <c r="H11" s="4">
        <v>107378501</v>
      </c>
      <c r="I11" s="4">
        <v>328067449</v>
      </c>
      <c r="J11" s="4">
        <v>107378496</v>
      </c>
      <c r="K11" s="4"/>
      <c r="L11" s="5">
        <v>4299.8</v>
      </c>
      <c r="M11" s="5">
        <v>4521.21</v>
      </c>
      <c r="N11" s="5">
        <v>74192.76</v>
      </c>
      <c r="O11" s="5">
        <v>1603.9</v>
      </c>
      <c r="P11" s="5">
        <v>1620.1</v>
      </c>
      <c r="Q11" s="5"/>
      <c r="R11" s="5"/>
      <c r="S11" s="10">
        <v>27</v>
      </c>
      <c r="T11" s="4" t="s">
        <v>46</v>
      </c>
      <c r="U11" s="4">
        <v>750</v>
      </c>
      <c r="V11" s="4">
        <v>740</v>
      </c>
      <c r="W11" s="4">
        <v>9378</v>
      </c>
      <c r="X11" s="4">
        <v>7541</v>
      </c>
      <c r="Y11" s="5">
        <v>7.39</v>
      </c>
      <c r="Z11" s="5">
        <v>6.9</v>
      </c>
      <c r="AA11" s="4">
        <v>1367</v>
      </c>
      <c r="AB11" s="4"/>
      <c r="AC11" s="13">
        <f t="shared" ref="AC11:AH11" si="21">IF(OR(C12=""),"",C12-C11)</f>
        <v>47083</v>
      </c>
      <c r="AD11" s="13">
        <f t="shared" si="21"/>
        <v>59114</v>
      </c>
      <c r="AE11" s="13">
        <f t="shared" si="21"/>
        <v>54835</v>
      </c>
      <c r="AF11" s="13">
        <f t="shared" si="21"/>
        <v>55860</v>
      </c>
      <c r="AG11" s="13">
        <f t="shared" si="21"/>
        <v>211428</v>
      </c>
      <c r="AH11" s="13">
        <f t="shared" si="21"/>
        <v>5497</v>
      </c>
      <c r="AI11" s="13">
        <f t="shared" si="1"/>
        <v>5464</v>
      </c>
      <c r="AJ11" s="13">
        <f t="shared" si="2"/>
        <v>211578</v>
      </c>
      <c r="AK11" s="13">
        <f t="shared" si="3"/>
        <v>5496</v>
      </c>
      <c r="AL11" s="13">
        <f t="shared" si="4"/>
        <v>206082</v>
      </c>
      <c r="AM11" s="13">
        <v>2560</v>
      </c>
      <c r="AN11" s="13">
        <f t="shared" si="5"/>
        <v>0</v>
      </c>
      <c r="AO11" s="13">
        <f t="shared" si="6"/>
        <v>0</v>
      </c>
      <c r="AP11" s="13">
        <f t="shared" si="14"/>
        <v>5325</v>
      </c>
      <c r="AQ11" s="13">
        <f t="shared" si="7"/>
        <v>1776</v>
      </c>
      <c r="AR11" s="13">
        <f t="shared" si="8"/>
        <v>0</v>
      </c>
      <c r="AS11" s="17">
        <f t="shared" si="9"/>
        <v>0</v>
      </c>
      <c r="AT11" s="17">
        <f t="shared" si="10"/>
        <v>0</v>
      </c>
      <c r="AU11" s="18">
        <f t="shared" si="11"/>
        <v>25.8</v>
      </c>
      <c r="AV11" s="17">
        <f t="shared" si="12"/>
        <v>8.62</v>
      </c>
    </row>
    <row r="12" spans="1:48">
      <c r="A12" s="6">
        <v>43748</v>
      </c>
      <c r="B12" s="5" t="s">
        <v>48</v>
      </c>
      <c r="C12" s="4">
        <v>41230975</v>
      </c>
      <c r="D12" s="4">
        <v>29623401</v>
      </c>
      <c r="E12" s="4">
        <v>24686593</v>
      </c>
      <c r="F12" s="4">
        <v>24277138</v>
      </c>
      <c r="G12" s="4">
        <v>328279000</v>
      </c>
      <c r="H12" s="4">
        <v>107383998</v>
      </c>
      <c r="I12" s="4">
        <v>328279027</v>
      </c>
      <c r="J12" s="4">
        <v>107383992</v>
      </c>
      <c r="K12" s="4"/>
      <c r="L12" s="5">
        <v>4299.8</v>
      </c>
      <c r="M12" s="5">
        <v>4521.21</v>
      </c>
      <c r="N12" s="5">
        <v>74192.76</v>
      </c>
      <c r="O12" s="5">
        <v>1603.9</v>
      </c>
      <c r="P12" s="5">
        <v>1620.1</v>
      </c>
      <c r="Q12" s="5"/>
      <c r="R12" s="5"/>
      <c r="S12" s="10">
        <v>25.2</v>
      </c>
      <c r="T12" s="4" t="s">
        <v>46</v>
      </c>
      <c r="U12" s="4">
        <v>640</v>
      </c>
      <c r="V12" s="4">
        <v>660</v>
      </c>
      <c r="W12" s="4">
        <v>9298</v>
      </c>
      <c r="X12" s="4">
        <v>7401</v>
      </c>
      <c r="Y12" s="5">
        <v>7.23</v>
      </c>
      <c r="Z12" s="5">
        <v>6.5</v>
      </c>
      <c r="AA12" s="4">
        <v>1405</v>
      </c>
      <c r="AB12" s="4"/>
      <c r="AC12" s="13">
        <f t="shared" ref="AC12:AH12" si="22">IF(OR(C13=""),"",C13-C12)</f>
        <v>52195</v>
      </c>
      <c r="AD12" s="13">
        <f t="shared" si="22"/>
        <v>59144</v>
      </c>
      <c r="AE12" s="13">
        <f t="shared" si="22"/>
        <v>51259</v>
      </c>
      <c r="AF12" s="13">
        <f t="shared" si="22"/>
        <v>51016</v>
      </c>
      <c r="AG12" s="13">
        <f t="shared" si="22"/>
        <v>212208</v>
      </c>
      <c r="AH12" s="13">
        <f t="shared" si="22"/>
        <v>5504</v>
      </c>
      <c r="AI12" s="13">
        <f t="shared" si="1"/>
        <v>1406</v>
      </c>
      <c r="AJ12" s="13">
        <f t="shared" si="2"/>
        <v>212007</v>
      </c>
      <c r="AK12" s="13">
        <f t="shared" si="3"/>
        <v>5504</v>
      </c>
      <c r="AL12" s="13">
        <f t="shared" si="4"/>
        <v>206503</v>
      </c>
      <c r="AM12" s="13">
        <v>2560</v>
      </c>
      <c r="AN12" s="13">
        <f t="shared" si="5"/>
        <v>0</v>
      </c>
      <c r="AO12" s="13">
        <f t="shared" si="6"/>
        <v>0</v>
      </c>
      <c r="AP12" s="13">
        <f t="shared" si="14"/>
        <v>4544</v>
      </c>
      <c r="AQ12" s="13">
        <f t="shared" si="7"/>
        <v>1584</v>
      </c>
      <c r="AR12" s="13">
        <f t="shared" si="8"/>
        <v>0</v>
      </c>
      <c r="AS12" s="17">
        <f t="shared" si="9"/>
        <v>0</v>
      </c>
      <c r="AT12" s="17">
        <f t="shared" si="10"/>
        <v>0</v>
      </c>
      <c r="AU12" s="18">
        <f t="shared" si="11"/>
        <v>22</v>
      </c>
      <c r="AV12" s="17">
        <f t="shared" si="12"/>
        <v>7.67</v>
      </c>
    </row>
    <row r="13" spans="1:48">
      <c r="A13" s="6">
        <v>43749</v>
      </c>
      <c r="B13" s="5" t="s">
        <v>48</v>
      </c>
      <c r="C13" s="4">
        <v>41283170</v>
      </c>
      <c r="D13" s="4">
        <v>29682545</v>
      </c>
      <c r="E13" s="4">
        <v>24737852</v>
      </c>
      <c r="F13" s="4">
        <v>24328154</v>
      </c>
      <c r="G13" s="4">
        <v>328491208</v>
      </c>
      <c r="H13" s="4">
        <v>107389502</v>
      </c>
      <c r="I13" s="4">
        <v>328491034</v>
      </c>
      <c r="J13" s="4">
        <v>107389496</v>
      </c>
      <c r="K13" s="4"/>
      <c r="L13" s="5">
        <v>4299.8</v>
      </c>
      <c r="M13" s="5">
        <v>4521.21</v>
      </c>
      <c r="N13" s="5">
        <v>74192.76</v>
      </c>
      <c r="O13" s="5">
        <v>1603.9</v>
      </c>
      <c r="P13" s="5">
        <v>1620.1</v>
      </c>
      <c r="Q13" s="5"/>
      <c r="R13" s="5"/>
      <c r="S13" s="10">
        <v>25.8</v>
      </c>
      <c r="T13" s="4" t="s">
        <v>46</v>
      </c>
      <c r="U13" s="4">
        <v>800</v>
      </c>
      <c r="V13" s="4">
        <v>780</v>
      </c>
      <c r="W13" s="4">
        <v>9274</v>
      </c>
      <c r="X13" s="4">
        <v>7845</v>
      </c>
      <c r="Y13" s="5">
        <v>6.58</v>
      </c>
      <c r="Z13" s="5">
        <v>5.73</v>
      </c>
      <c r="AA13" s="4">
        <v>1433</v>
      </c>
      <c r="AB13" s="4"/>
      <c r="AC13" s="13">
        <f t="shared" ref="AC13:AH13" si="23">IF(OR(C14=""),"",C14-C13)</f>
        <v>57609</v>
      </c>
      <c r="AD13" s="13">
        <f t="shared" si="23"/>
        <v>66351</v>
      </c>
      <c r="AE13" s="13">
        <f t="shared" si="23"/>
        <v>47888</v>
      </c>
      <c r="AF13" s="13">
        <f t="shared" si="23"/>
        <v>46311</v>
      </c>
      <c r="AG13" s="13">
        <f t="shared" si="23"/>
        <v>212690</v>
      </c>
      <c r="AH13" s="13">
        <f t="shared" si="23"/>
        <v>5515</v>
      </c>
      <c r="AI13" s="13">
        <f t="shared" si="1"/>
        <v>5469</v>
      </c>
      <c r="AJ13" s="13">
        <f t="shared" si="2"/>
        <v>212686</v>
      </c>
      <c r="AK13" s="13">
        <f t="shared" si="3"/>
        <v>5512</v>
      </c>
      <c r="AL13" s="13">
        <f t="shared" si="4"/>
        <v>207174</v>
      </c>
      <c r="AM13" s="13">
        <v>3200</v>
      </c>
      <c r="AN13" s="13">
        <f t="shared" si="5"/>
        <v>0</v>
      </c>
      <c r="AO13" s="13">
        <f t="shared" si="6"/>
        <v>0</v>
      </c>
      <c r="AP13" s="13">
        <f t="shared" si="14"/>
        <v>5680</v>
      </c>
      <c r="AQ13" s="13">
        <f t="shared" si="7"/>
        <v>1872</v>
      </c>
      <c r="AR13" s="13">
        <f t="shared" si="8"/>
        <v>0</v>
      </c>
      <c r="AS13" s="17">
        <f t="shared" si="9"/>
        <v>0</v>
      </c>
      <c r="AT13" s="17">
        <f t="shared" si="10"/>
        <v>0</v>
      </c>
      <c r="AU13" s="18">
        <f t="shared" si="11"/>
        <v>27.4</v>
      </c>
      <c r="AV13" s="17">
        <f t="shared" si="12"/>
        <v>9.04</v>
      </c>
    </row>
    <row r="14" spans="1:48">
      <c r="A14" s="6">
        <v>43750</v>
      </c>
      <c r="B14" s="5" t="s">
        <v>48</v>
      </c>
      <c r="C14" s="4">
        <v>41340779</v>
      </c>
      <c r="D14" s="4">
        <v>29748896</v>
      </c>
      <c r="E14" s="4">
        <v>24785740</v>
      </c>
      <c r="F14" s="4">
        <v>24374465</v>
      </c>
      <c r="G14" s="4">
        <v>328703898</v>
      </c>
      <c r="H14" s="4">
        <v>107395017</v>
      </c>
      <c r="I14" s="4">
        <v>328703720</v>
      </c>
      <c r="J14" s="4">
        <v>107395008</v>
      </c>
      <c r="K14" s="4"/>
      <c r="L14" s="5">
        <v>4299.8</v>
      </c>
      <c r="M14" s="5">
        <v>4521.21</v>
      </c>
      <c r="N14" s="5">
        <v>74192.76</v>
      </c>
      <c r="O14" s="5">
        <v>1603.9</v>
      </c>
      <c r="P14" s="5">
        <v>1620.1</v>
      </c>
      <c r="Q14" s="5"/>
      <c r="R14" s="5"/>
      <c r="S14" s="10">
        <v>25.6</v>
      </c>
      <c r="T14" s="4" t="s">
        <v>46</v>
      </c>
      <c r="U14" s="4">
        <v>520</v>
      </c>
      <c r="V14" s="4">
        <v>540</v>
      </c>
      <c r="W14" s="4">
        <v>9178</v>
      </c>
      <c r="X14" s="4">
        <v>7241</v>
      </c>
      <c r="Y14" s="5">
        <v>6.51</v>
      </c>
      <c r="Z14" s="5">
        <v>5.73</v>
      </c>
      <c r="AA14" s="4">
        <v>1378</v>
      </c>
      <c r="AB14" s="4"/>
      <c r="AC14" s="13">
        <f t="shared" ref="AC14:AH14" si="24">IF(OR(C15=""),"",C15-C14)</f>
        <v>56398</v>
      </c>
      <c r="AD14" s="13">
        <f t="shared" si="24"/>
        <v>64040</v>
      </c>
      <c r="AE14" s="13">
        <f t="shared" si="24"/>
        <v>48188</v>
      </c>
      <c r="AF14" s="13">
        <f t="shared" si="24"/>
        <v>46504</v>
      </c>
      <c r="AG14" s="13">
        <f t="shared" si="24"/>
        <v>212409</v>
      </c>
      <c r="AH14" s="13">
        <f t="shared" si="24"/>
        <v>5507</v>
      </c>
      <c r="AI14" s="13">
        <f t="shared" si="1"/>
        <v>2721</v>
      </c>
      <c r="AJ14" s="13">
        <f t="shared" si="2"/>
        <v>212536</v>
      </c>
      <c r="AK14" s="13">
        <f t="shared" si="3"/>
        <v>5512</v>
      </c>
      <c r="AL14" s="13">
        <f t="shared" si="4"/>
        <v>207024</v>
      </c>
      <c r="AM14" s="13">
        <v>2560</v>
      </c>
      <c r="AN14" s="13">
        <f t="shared" si="5"/>
        <v>0</v>
      </c>
      <c r="AO14" s="13">
        <f t="shared" si="6"/>
        <v>0</v>
      </c>
      <c r="AP14" s="13">
        <f t="shared" si="14"/>
        <v>3692</v>
      </c>
      <c r="AQ14" s="13">
        <f t="shared" si="7"/>
        <v>1296</v>
      </c>
      <c r="AR14" s="13">
        <f t="shared" si="8"/>
        <v>0</v>
      </c>
      <c r="AS14" s="17">
        <f t="shared" si="9"/>
        <v>0</v>
      </c>
      <c r="AT14" s="17">
        <f t="shared" si="10"/>
        <v>0</v>
      </c>
      <c r="AU14" s="18">
        <f t="shared" si="11"/>
        <v>17.8</v>
      </c>
      <c r="AV14" s="17">
        <f t="shared" si="12"/>
        <v>6.26</v>
      </c>
    </row>
    <row r="15" spans="1:48">
      <c r="A15" s="6">
        <v>43751</v>
      </c>
      <c r="B15" s="5" t="s">
        <v>48</v>
      </c>
      <c r="C15" s="4">
        <v>41397177</v>
      </c>
      <c r="D15" s="4">
        <v>29812936</v>
      </c>
      <c r="E15" s="4">
        <v>24833928</v>
      </c>
      <c r="F15" s="4">
        <v>24420969</v>
      </c>
      <c r="G15" s="4">
        <v>328916307</v>
      </c>
      <c r="H15" s="4">
        <v>107400524</v>
      </c>
      <c r="I15" s="4">
        <v>328916256</v>
      </c>
      <c r="J15" s="4">
        <v>107400520</v>
      </c>
      <c r="K15" s="4"/>
      <c r="L15" s="5">
        <v>4299.8</v>
      </c>
      <c r="M15" s="5">
        <v>4521.21</v>
      </c>
      <c r="N15" s="5">
        <v>74192.76</v>
      </c>
      <c r="O15" s="5">
        <v>1603.9</v>
      </c>
      <c r="P15" s="5">
        <v>1620.1</v>
      </c>
      <c r="Q15" s="5"/>
      <c r="R15" s="5"/>
      <c r="S15" s="10">
        <v>25</v>
      </c>
      <c r="T15" s="4" t="s">
        <v>46</v>
      </c>
      <c r="U15" s="4">
        <v>300</v>
      </c>
      <c r="V15" s="4">
        <v>320</v>
      </c>
      <c r="W15" s="4">
        <v>9287</v>
      </c>
      <c r="X15" s="4">
        <v>7216</v>
      </c>
      <c r="Y15" s="5">
        <v>6.49</v>
      </c>
      <c r="Z15" s="5">
        <v>4.85</v>
      </c>
      <c r="AA15" s="4">
        <v>1255</v>
      </c>
      <c r="AB15" s="4"/>
      <c r="AC15" s="13">
        <f t="shared" ref="AC15:AH15" si="25">IF(OR(C16=""),"",C16-C15)</f>
        <v>59178</v>
      </c>
      <c r="AD15" s="13">
        <f t="shared" si="25"/>
        <v>68676</v>
      </c>
      <c r="AE15" s="13">
        <f t="shared" si="25"/>
        <v>47034</v>
      </c>
      <c r="AF15" s="13">
        <f t="shared" si="25"/>
        <v>45399</v>
      </c>
      <c r="AG15" s="13">
        <f t="shared" si="25"/>
        <v>207259</v>
      </c>
      <c r="AH15" s="13">
        <f t="shared" si="25"/>
        <v>5500</v>
      </c>
      <c r="AI15" s="13">
        <f t="shared" si="1"/>
        <v>13028</v>
      </c>
      <c r="AJ15" s="13">
        <f t="shared" si="2"/>
        <v>207604</v>
      </c>
      <c r="AK15" s="13">
        <f t="shared" si="3"/>
        <v>5512</v>
      </c>
      <c r="AL15" s="13">
        <f t="shared" si="4"/>
        <v>202092</v>
      </c>
      <c r="AM15" s="13">
        <v>3000</v>
      </c>
      <c r="AN15" s="13">
        <f t="shared" si="5"/>
        <v>0</v>
      </c>
      <c r="AO15" s="13">
        <f t="shared" si="6"/>
        <v>0</v>
      </c>
      <c r="AP15" s="13">
        <f t="shared" si="14"/>
        <v>2130</v>
      </c>
      <c r="AQ15" s="13">
        <f t="shared" si="7"/>
        <v>768</v>
      </c>
      <c r="AR15" s="13">
        <f t="shared" si="8"/>
        <v>0</v>
      </c>
      <c r="AS15" s="17">
        <f t="shared" si="9"/>
        <v>0</v>
      </c>
      <c r="AT15" s="17">
        <f t="shared" si="10"/>
        <v>0</v>
      </c>
      <c r="AU15" s="18">
        <f t="shared" si="11"/>
        <v>10.5</v>
      </c>
      <c r="AV15" s="17">
        <f t="shared" si="12"/>
        <v>3.8</v>
      </c>
    </row>
    <row r="16" spans="1:48">
      <c r="A16" s="6">
        <v>43752</v>
      </c>
      <c r="B16" s="5" t="s">
        <v>50</v>
      </c>
      <c r="C16" s="4">
        <v>41456355</v>
      </c>
      <c r="D16" s="4">
        <v>29881612</v>
      </c>
      <c r="E16" s="4">
        <v>24880962</v>
      </c>
      <c r="F16" s="4">
        <v>24466368</v>
      </c>
      <c r="G16" s="4">
        <v>329123566</v>
      </c>
      <c r="H16" s="4">
        <v>107406024</v>
      </c>
      <c r="I16" s="4">
        <v>329123860</v>
      </c>
      <c r="J16" s="4">
        <v>107406032</v>
      </c>
      <c r="K16" s="4"/>
      <c r="L16" s="5">
        <v>4299.8</v>
      </c>
      <c r="M16" s="5">
        <v>4521.21</v>
      </c>
      <c r="N16" s="5">
        <v>74192.76</v>
      </c>
      <c r="O16" s="5">
        <v>1603.9</v>
      </c>
      <c r="P16" s="5">
        <v>1620.1</v>
      </c>
      <c r="Q16" s="5"/>
      <c r="R16" s="5"/>
      <c r="S16" s="10">
        <v>25.5</v>
      </c>
      <c r="T16" s="4" t="s">
        <v>46</v>
      </c>
      <c r="U16" s="4">
        <v>320</v>
      </c>
      <c r="V16" s="4">
        <v>330</v>
      </c>
      <c r="W16" s="4">
        <v>9225</v>
      </c>
      <c r="X16" s="4">
        <v>8014</v>
      </c>
      <c r="Y16" s="5">
        <v>5.25</v>
      </c>
      <c r="Z16" s="5">
        <v>3.24</v>
      </c>
      <c r="AA16" s="4">
        <v>958</v>
      </c>
      <c r="AB16" s="4"/>
      <c r="AC16" s="13">
        <f t="shared" ref="AC16:AH16" si="26">IF(OR(C17=""),"",C17-C16)</f>
        <v>62040</v>
      </c>
      <c r="AD16" s="13">
        <f t="shared" si="26"/>
        <v>68586</v>
      </c>
      <c r="AE16" s="13">
        <f t="shared" si="26"/>
        <v>42705</v>
      </c>
      <c r="AF16" s="13">
        <f t="shared" si="26"/>
        <v>42523</v>
      </c>
      <c r="AG16" s="13">
        <f t="shared" si="26"/>
        <v>209642</v>
      </c>
      <c r="AH16" s="13">
        <f t="shared" si="26"/>
        <v>5502</v>
      </c>
      <c r="AI16" s="13">
        <f t="shared" si="1"/>
        <v>6212</v>
      </c>
      <c r="AJ16" s="13">
        <f t="shared" si="2"/>
        <v>209348</v>
      </c>
      <c r="AK16" s="13">
        <f t="shared" si="3"/>
        <v>5494</v>
      </c>
      <c r="AL16" s="13">
        <f t="shared" si="4"/>
        <v>203854</v>
      </c>
      <c r="AM16" s="13">
        <v>2800</v>
      </c>
      <c r="AN16" s="13">
        <f t="shared" si="5"/>
        <v>0</v>
      </c>
      <c r="AO16" s="13">
        <f t="shared" si="6"/>
        <v>0</v>
      </c>
      <c r="AP16" s="13">
        <f t="shared" si="14"/>
        <v>2272</v>
      </c>
      <c r="AQ16" s="13">
        <f t="shared" si="7"/>
        <v>792</v>
      </c>
      <c r="AR16" s="13">
        <f t="shared" si="8"/>
        <v>0</v>
      </c>
      <c r="AS16" s="17">
        <f t="shared" si="9"/>
        <v>0</v>
      </c>
      <c r="AT16" s="17">
        <f t="shared" si="10"/>
        <v>0</v>
      </c>
      <c r="AU16" s="18">
        <f t="shared" si="11"/>
        <v>11.1</v>
      </c>
      <c r="AV16" s="17">
        <f t="shared" si="12"/>
        <v>3.89</v>
      </c>
    </row>
    <row r="17" spans="1:48">
      <c r="A17" s="6">
        <v>43753</v>
      </c>
      <c r="B17" s="5" t="s">
        <v>55</v>
      </c>
      <c r="C17" s="4">
        <v>41518395</v>
      </c>
      <c r="D17" s="4">
        <v>29950198</v>
      </c>
      <c r="E17" s="4">
        <v>24923667</v>
      </c>
      <c r="F17" s="4">
        <v>24508891</v>
      </c>
      <c r="G17" s="4">
        <v>329333208</v>
      </c>
      <c r="H17" s="4">
        <v>107411526</v>
      </c>
      <c r="I17" s="4">
        <v>329333208</v>
      </c>
      <c r="J17" s="4">
        <v>107411526</v>
      </c>
      <c r="K17" s="4"/>
      <c r="L17" s="5">
        <v>4299.8</v>
      </c>
      <c r="M17" s="5">
        <v>4521.21</v>
      </c>
      <c r="N17" s="5">
        <v>74192.76</v>
      </c>
      <c r="O17" s="5">
        <v>1603.9</v>
      </c>
      <c r="P17" s="5">
        <v>1620.1</v>
      </c>
      <c r="Q17" s="5"/>
      <c r="R17" s="5"/>
      <c r="S17" s="10">
        <v>25.6</v>
      </c>
      <c r="T17" s="4" t="s">
        <v>46</v>
      </c>
      <c r="U17" s="4">
        <v>240</v>
      </c>
      <c r="V17" s="4">
        <v>260</v>
      </c>
      <c r="W17" s="4">
        <v>9378</v>
      </c>
      <c r="X17" s="4">
        <v>3528</v>
      </c>
      <c r="Y17" s="5">
        <v>3.97</v>
      </c>
      <c r="Z17" s="5">
        <v>2.21</v>
      </c>
      <c r="AA17" s="4">
        <v>1052</v>
      </c>
      <c r="AB17" s="4"/>
      <c r="AC17" s="13">
        <f t="shared" ref="AC17:AH17" si="27">IF(OR(C18=""),"",C18-C17)</f>
        <v>50601</v>
      </c>
      <c r="AD17" s="13">
        <f t="shared" si="27"/>
        <v>57059</v>
      </c>
      <c r="AE17" s="13">
        <f t="shared" si="27"/>
        <v>44668</v>
      </c>
      <c r="AF17" s="13">
        <f t="shared" si="27"/>
        <v>45188</v>
      </c>
      <c r="AG17" s="13">
        <f t="shared" si="27"/>
        <v>196855</v>
      </c>
      <c r="AH17" s="13">
        <f t="shared" si="27"/>
        <v>5537</v>
      </c>
      <c r="AI17" s="13">
        <f t="shared" si="1"/>
        <v>661</v>
      </c>
      <c r="AJ17" s="13">
        <f t="shared" si="2"/>
        <v>196855</v>
      </c>
      <c r="AK17" s="13">
        <f t="shared" si="3"/>
        <v>5537</v>
      </c>
      <c r="AL17" s="13">
        <f t="shared" si="4"/>
        <v>191318</v>
      </c>
      <c r="AM17" s="13">
        <v>2800</v>
      </c>
      <c r="AN17" s="13">
        <f t="shared" si="5"/>
        <v>0</v>
      </c>
      <c r="AO17" s="13">
        <f t="shared" si="6"/>
        <v>0</v>
      </c>
      <c r="AP17" s="13">
        <f t="shared" si="14"/>
        <v>1704</v>
      </c>
      <c r="AQ17" s="13">
        <f t="shared" si="7"/>
        <v>624</v>
      </c>
      <c r="AR17" s="13">
        <f t="shared" si="8"/>
        <v>0</v>
      </c>
      <c r="AS17" s="17">
        <f t="shared" si="9"/>
        <v>0</v>
      </c>
      <c r="AT17" s="17">
        <f t="shared" si="10"/>
        <v>0</v>
      </c>
      <c r="AU17" s="18">
        <f t="shared" si="11"/>
        <v>8.9</v>
      </c>
      <c r="AV17" s="17">
        <f t="shared" si="12"/>
        <v>3.26</v>
      </c>
    </row>
    <row r="18" spans="1:48">
      <c r="A18" s="6">
        <v>43754</v>
      </c>
      <c r="B18" s="5" t="s">
        <v>48</v>
      </c>
      <c r="C18" s="4">
        <v>41568996</v>
      </c>
      <c r="D18" s="4">
        <v>30007257</v>
      </c>
      <c r="E18" s="4">
        <v>24968335</v>
      </c>
      <c r="F18" s="4">
        <v>24554079</v>
      </c>
      <c r="G18" s="4">
        <v>329530063</v>
      </c>
      <c r="H18" s="4">
        <v>107417063</v>
      </c>
      <c r="I18" s="4">
        <v>329530063</v>
      </c>
      <c r="J18" s="4">
        <v>107417063</v>
      </c>
      <c r="K18" s="4"/>
      <c r="L18" s="5">
        <v>4299.8</v>
      </c>
      <c r="M18" s="5">
        <v>4521.21</v>
      </c>
      <c r="N18" s="5">
        <v>74192.76</v>
      </c>
      <c r="O18" s="5">
        <v>1603.9</v>
      </c>
      <c r="P18" s="5">
        <v>1620.1</v>
      </c>
      <c r="Q18" s="5"/>
      <c r="R18" s="5"/>
      <c r="S18" s="10">
        <v>25.4</v>
      </c>
      <c r="T18" s="4" t="s">
        <v>46</v>
      </c>
      <c r="U18" s="4">
        <v>650</v>
      </c>
      <c r="V18" s="4">
        <v>640</v>
      </c>
      <c r="W18" s="4">
        <v>8346</v>
      </c>
      <c r="X18" s="4">
        <v>2001</v>
      </c>
      <c r="Y18" s="5">
        <v>3.58</v>
      </c>
      <c r="Z18" s="5">
        <v>2.31</v>
      </c>
      <c r="AA18" s="4">
        <v>249</v>
      </c>
      <c r="AB18" s="4"/>
      <c r="AC18" s="13">
        <f t="shared" ref="AC18:AH18" si="28">IF(OR(C19=""),"",C19-C18)</f>
        <v>37479</v>
      </c>
      <c r="AD18" s="13">
        <f t="shared" si="28"/>
        <v>43611</v>
      </c>
      <c r="AE18" s="13">
        <f t="shared" si="28"/>
        <v>41808</v>
      </c>
      <c r="AF18" s="13">
        <f t="shared" si="28"/>
        <v>40372</v>
      </c>
      <c r="AG18" s="13">
        <f t="shared" si="28"/>
        <v>159562</v>
      </c>
      <c r="AH18" s="13">
        <f t="shared" si="28"/>
        <v>5502</v>
      </c>
      <c r="AI18" s="13">
        <f t="shared" si="1"/>
        <v>3708</v>
      </c>
      <c r="AJ18" s="13">
        <f t="shared" si="2"/>
        <v>159465</v>
      </c>
      <c r="AK18" s="13">
        <f t="shared" si="3"/>
        <v>5369</v>
      </c>
      <c r="AL18" s="13">
        <f t="shared" si="4"/>
        <v>154096</v>
      </c>
      <c r="AM18" s="13">
        <v>3200</v>
      </c>
      <c r="AN18" s="13">
        <f t="shared" si="5"/>
        <v>0</v>
      </c>
      <c r="AO18" s="13">
        <f t="shared" si="6"/>
        <v>0</v>
      </c>
      <c r="AP18" s="13">
        <f t="shared" si="14"/>
        <v>4615</v>
      </c>
      <c r="AQ18" s="13">
        <f t="shared" si="7"/>
        <v>1536</v>
      </c>
      <c r="AR18" s="13">
        <f t="shared" si="8"/>
        <v>0</v>
      </c>
      <c r="AS18" s="17">
        <f t="shared" si="9"/>
        <v>0</v>
      </c>
      <c r="AT18" s="17">
        <f t="shared" si="10"/>
        <v>0</v>
      </c>
      <c r="AU18" s="18">
        <f t="shared" si="11"/>
        <v>29.9</v>
      </c>
      <c r="AV18" s="17">
        <f t="shared" si="12"/>
        <v>9.97</v>
      </c>
    </row>
    <row r="19" spans="1:48">
      <c r="A19" s="6">
        <v>43755</v>
      </c>
      <c r="B19" s="5" t="s">
        <v>48</v>
      </c>
      <c r="C19" s="4">
        <v>41606475</v>
      </c>
      <c r="D19" s="4">
        <v>30050868</v>
      </c>
      <c r="E19" s="4">
        <v>25010143</v>
      </c>
      <c r="F19" s="4">
        <v>24594451</v>
      </c>
      <c r="G19" s="4">
        <v>329689625</v>
      </c>
      <c r="H19" s="4">
        <v>107422565</v>
      </c>
      <c r="I19" s="4">
        <v>329689528</v>
      </c>
      <c r="J19" s="4">
        <v>107422432</v>
      </c>
      <c r="K19" s="4"/>
      <c r="L19" s="5">
        <v>4299.8</v>
      </c>
      <c r="M19" s="5">
        <v>4521.21</v>
      </c>
      <c r="N19" s="5">
        <v>74192.76</v>
      </c>
      <c r="O19" s="5">
        <v>1603.9</v>
      </c>
      <c r="P19" s="5">
        <v>1620.1</v>
      </c>
      <c r="Q19" s="5"/>
      <c r="R19" s="5"/>
      <c r="S19" s="10">
        <v>25.3</v>
      </c>
      <c r="T19" s="4" t="s">
        <v>46</v>
      </c>
      <c r="U19" s="4">
        <v>700</v>
      </c>
      <c r="V19" s="4">
        <v>680</v>
      </c>
      <c r="W19" s="4">
        <v>8555</v>
      </c>
      <c r="X19" s="4">
        <v>2874</v>
      </c>
      <c r="Y19" s="5">
        <v>4.59</v>
      </c>
      <c r="Z19" s="5">
        <v>2.4</v>
      </c>
      <c r="AA19" s="4">
        <v>1055</v>
      </c>
      <c r="AB19" s="4"/>
      <c r="AC19" s="13">
        <f t="shared" ref="AC19:AH19" si="29">IF(OR(C20=""),"",C20-C19)</f>
        <v>32146</v>
      </c>
      <c r="AD19" s="13">
        <f t="shared" si="29"/>
        <v>34976</v>
      </c>
      <c r="AE19" s="13">
        <f t="shared" si="29"/>
        <v>43809</v>
      </c>
      <c r="AF19" s="13">
        <f t="shared" si="29"/>
        <v>43336</v>
      </c>
      <c r="AG19" s="13">
        <f t="shared" si="29"/>
        <v>149293</v>
      </c>
      <c r="AH19" s="13">
        <f t="shared" si="29"/>
        <v>5495</v>
      </c>
      <c r="AI19" s="13">
        <f t="shared" si="1"/>
        <v>4974</v>
      </c>
      <c r="AJ19" s="13">
        <f t="shared" si="2"/>
        <v>149401</v>
      </c>
      <c r="AK19" s="13">
        <f t="shared" si="3"/>
        <v>5624</v>
      </c>
      <c r="AL19" s="13">
        <f t="shared" si="4"/>
        <v>143777</v>
      </c>
      <c r="AM19" s="13">
        <v>3200</v>
      </c>
      <c r="AN19" s="13">
        <f t="shared" si="5"/>
        <v>7092</v>
      </c>
      <c r="AO19" s="13">
        <f t="shared" si="6"/>
        <v>0</v>
      </c>
      <c r="AP19" s="13">
        <f t="shared" si="14"/>
        <v>4970</v>
      </c>
      <c r="AQ19" s="13">
        <f t="shared" si="7"/>
        <v>1632</v>
      </c>
      <c r="AR19" s="13">
        <f t="shared" si="8"/>
        <v>0</v>
      </c>
      <c r="AS19" s="17">
        <f t="shared" si="9"/>
        <v>49.3</v>
      </c>
      <c r="AT19" s="17">
        <f t="shared" si="10"/>
        <v>0</v>
      </c>
      <c r="AU19" s="18">
        <f t="shared" si="11"/>
        <v>34.6</v>
      </c>
      <c r="AV19" s="17">
        <f t="shared" si="12"/>
        <v>11.35</v>
      </c>
    </row>
    <row r="20" spans="1:48">
      <c r="A20" s="6">
        <v>43756</v>
      </c>
      <c r="B20" s="5" t="s">
        <v>48</v>
      </c>
      <c r="C20" s="4">
        <v>41638621</v>
      </c>
      <c r="D20" s="4">
        <v>30085844</v>
      </c>
      <c r="E20" s="4">
        <v>25053952</v>
      </c>
      <c r="F20" s="4">
        <v>24637787</v>
      </c>
      <c r="G20" s="4">
        <v>329838918</v>
      </c>
      <c r="H20" s="4">
        <v>107428060</v>
      </c>
      <c r="I20" s="4">
        <v>329838929</v>
      </c>
      <c r="J20" s="4">
        <v>107428056</v>
      </c>
      <c r="K20" s="4"/>
      <c r="L20" s="5">
        <v>4299.8</v>
      </c>
      <c r="M20" s="5">
        <v>4527.12</v>
      </c>
      <c r="N20" s="5">
        <v>74192.76</v>
      </c>
      <c r="O20" s="5">
        <v>1603.9</v>
      </c>
      <c r="P20" s="5">
        <v>1620.1</v>
      </c>
      <c r="Q20" s="5"/>
      <c r="R20" s="5"/>
      <c r="S20" s="10">
        <v>25.4</v>
      </c>
      <c r="T20" s="4" t="s">
        <v>46</v>
      </c>
      <c r="U20" s="4">
        <v>700</v>
      </c>
      <c r="V20" s="4">
        <v>720</v>
      </c>
      <c r="W20" s="4">
        <v>7227</v>
      </c>
      <c r="X20" s="4">
        <v>4315</v>
      </c>
      <c r="Y20" s="5">
        <v>5.9</v>
      </c>
      <c r="Z20" s="5">
        <v>2.67</v>
      </c>
      <c r="AA20" s="4">
        <v>1192</v>
      </c>
      <c r="AB20" s="4"/>
      <c r="AC20" s="13">
        <f t="shared" ref="AC20:AH20" si="30">IF(OR(C21=""),"",C21-C20)</f>
        <v>35624</v>
      </c>
      <c r="AD20" s="13">
        <f t="shared" si="30"/>
        <v>38361</v>
      </c>
      <c r="AE20" s="13">
        <f t="shared" si="30"/>
        <v>41054</v>
      </c>
      <c r="AF20" s="13">
        <f t="shared" si="30"/>
        <v>40337</v>
      </c>
      <c r="AG20" s="13">
        <f t="shared" si="30"/>
        <v>153219</v>
      </c>
      <c r="AH20" s="13">
        <f t="shared" si="30"/>
        <v>5512</v>
      </c>
      <c r="AI20" s="13">
        <f t="shared" si="1"/>
        <v>2157</v>
      </c>
      <c r="AJ20" s="13">
        <f t="shared" si="2"/>
        <v>153184</v>
      </c>
      <c r="AK20" s="13">
        <f t="shared" si="3"/>
        <v>5512</v>
      </c>
      <c r="AL20" s="13">
        <f t="shared" si="4"/>
        <v>147672</v>
      </c>
      <c r="AM20" s="13">
        <v>3200</v>
      </c>
      <c r="AN20" s="13">
        <f t="shared" si="5"/>
        <v>0</v>
      </c>
      <c r="AO20" s="13">
        <f t="shared" si="6"/>
        <v>0</v>
      </c>
      <c r="AP20" s="13">
        <f t="shared" si="14"/>
        <v>4970</v>
      </c>
      <c r="AQ20" s="13">
        <f t="shared" si="7"/>
        <v>1728</v>
      </c>
      <c r="AR20" s="13">
        <f t="shared" si="8"/>
        <v>0</v>
      </c>
      <c r="AS20" s="17">
        <f t="shared" si="9"/>
        <v>0</v>
      </c>
      <c r="AT20" s="17">
        <f t="shared" si="10"/>
        <v>0</v>
      </c>
      <c r="AU20" s="18">
        <f t="shared" si="11"/>
        <v>33.7</v>
      </c>
      <c r="AV20" s="17">
        <f t="shared" si="12"/>
        <v>11.7</v>
      </c>
    </row>
    <row r="21" spans="1:48">
      <c r="A21" s="6">
        <v>43757</v>
      </c>
      <c r="B21" s="5" t="s">
        <v>48</v>
      </c>
      <c r="C21" s="4">
        <v>41674245</v>
      </c>
      <c r="D21" s="4">
        <v>30124205</v>
      </c>
      <c r="E21" s="4">
        <v>25095006</v>
      </c>
      <c r="F21" s="4">
        <v>24678124</v>
      </c>
      <c r="G21" s="4">
        <v>329992137</v>
      </c>
      <c r="H21" s="4">
        <v>107433572</v>
      </c>
      <c r="I21" s="4">
        <v>329992113</v>
      </c>
      <c r="J21" s="4">
        <v>107433568</v>
      </c>
      <c r="K21" s="4"/>
      <c r="L21" s="5">
        <v>4299.8</v>
      </c>
      <c r="M21" s="5">
        <v>4527.12</v>
      </c>
      <c r="N21" s="5">
        <v>74192.76</v>
      </c>
      <c r="O21" s="5">
        <v>1603.9</v>
      </c>
      <c r="P21" s="5">
        <v>1620.1</v>
      </c>
      <c r="Q21" s="5"/>
      <c r="R21" s="5"/>
      <c r="S21" s="10">
        <v>25.5</v>
      </c>
      <c r="T21" s="4" t="s">
        <v>46</v>
      </c>
      <c r="U21" s="4">
        <v>650</v>
      </c>
      <c r="V21" s="4">
        <v>670</v>
      </c>
      <c r="W21" s="4">
        <v>7496</v>
      </c>
      <c r="X21" s="4">
        <v>5678</v>
      </c>
      <c r="Y21" s="5">
        <v>5.5</v>
      </c>
      <c r="Z21" s="5">
        <v>2.65</v>
      </c>
      <c r="AA21" s="4">
        <v>1175</v>
      </c>
      <c r="AB21" s="4"/>
      <c r="AC21" s="13">
        <f t="shared" ref="AC21:AH21" si="31">IF(OR(C22=""),"",C22-C21)</f>
        <v>37271</v>
      </c>
      <c r="AD21" s="13">
        <f t="shared" si="31"/>
        <v>41530</v>
      </c>
      <c r="AE21" s="13">
        <f t="shared" si="31"/>
        <v>42464</v>
      </c>
      <c r="AF21" s="13">
        <f t="shared" si="31"/>
        <v>41533</v>
      </c>
      <c r="AG21" s="13">
        <f t="shared" si="31"/>
        <v>159013</v>
      </c>
      <c r="AH21" s="13">
        <f t="shared" si="31"/>
        <v>5497</v>
      </c>
      <c r="AI21" s="13">
        <f t="shared" si="1"/>
        <v>3785</v>
      </c>
      <c r="AJ21" s="13">
        <f t="shared" si="2"/>
        <v>158973</v>
      </c>
      <c r="AK21" s="13">
        <f t="shared" si="3"/>
        <v>5496</v>
      </c>
      <c r="AL21" s="13">
        <f t="shared" si="4"/>
        <v>153477</v>
      </c>
      <c r="AM21" s="13">
        <v>3800</v>
      </c>
      <c r="AN21" s="13">
        <f t="shared" si="5"/>
        <v>12336</v>
      </c>
      <c r="AO21" s="13">
        <f t="shared" si="6"/>
        <v>4</v>
      </c>
      <c r="AP21" s="13">
        <f t="shared" si="14"/>
        <v>4615</v>
      </c>
      <c r="AQ21" s="13">
        <f t="shared" si="7"/>
        <v>1608</v>
      </c>
      <c r="AR21" s="13">
        <f t="shared" si="8"/>
        <v>0</v>
      </c>
      <c r="AS21" s="17">
        <f t="shared" si="9"/>
        <v>80.4</v>
      </c>
      <c r="AT21" s="17">
        <f t="shared" si="10"/>
        <v>0.03</v>
      </c>
      <c r="AU21" s="18">
        <f t="shared" si="11"/>
        <v>30.1</v>
      </c>
      <c r="AV21" s="17">
        <f t="shared" si="12"/>
        <v>10.48</v>
      </c>
    </row>
    <row r="22" spans="1:48">
      <c r="A22" s="6">
        <v>43758</v>
      </c>
      <c r="B22" s="5" t="s">
        <v>48</v>
      </c>
      <c r="C22" s="4">
        <v>41711516</v>
      </c>
      <c r="D22" s="4">
        <v>30165735</v>
      </c>
      <c r="E22" s="4">
        <v>25137470</v>
      </c>
      <c r="F22" s="4">
        <v>24719657</v>
      </c>
      <c r="G22" s="4">
        <v>330151150</v>
      </c>
      <c r="H22" s="4">
        <v>107439069</v>
      </c>
      <c r="I22" s="4">
        <v>330151086</v>
      </c>
      <c r="J22" s="4">
        <v>107439064</v>
      </c>
      <c r="K22" s="4"/>
      <c r="L22" s="5">
        <v>4299.8</v>
      </c>
      <c r="M22" s="5">
        <v>4537.4</v>
      </c>
      <c r="N22" s="5">
        <v>74195</v>
      </c>
      <c r="O22" s="5">
        <v>1603.9</v>
      </c>
      <c r="P22" s="5">
        <v>1620.1</v>
      </c>
      <c r="Q22" s="5"/>
      <c r="R22" s="5"/>
      <c r="S22" s="10">
        <v>25.6</v>
      </c>
      <c r="T22" s="4" t="s">
        <v>46</v>
      </c>
      <c r="U22" s="4">
        <v>580</v>
      </c>
      <c r="V22" s="4">
        <v>600</v>
      </c>
      <c r="W22" s="4">
        <v>7345</v>
      </c>
      <c r="X22" s="4">
        <v>6315</v>
      </c>
      <c r="Y22" s="5">
        <v>5.42</v>
      </c>
      <c r="Z22" s="5">
        <v>2.51</v>
      </c>
      <c r="AA22" s="4">
        <v>1320</v>
      </c>
      <c r="AB22" s="4"/>
      <c r="AC22" s="13">
        <f t="shared" ref="AC22:AH22" si="32">IF(OR(C23=""),"",C23-C22)</f>
        <v>36965</v>
      </c>
      <c r="AD22" s="13">
        <f t="shared" si="32"/>
        <v>41708</v>
      </c>
      <c r="AE22" s="13">
        <f t="shared" si="32"/>
        <v>42679</v>
      </c>
      <c r="AF22" s="13">
        <f t="shared" si="32"/>
        <v>41661</v>
      </c>
      <c r="AG22" s="13">
        <f t="shared" si="32"/>
        <v>160693</v>
      </c>
      <c r="AH22" s="13">
        <f t="shared" si="32"/>
        <v>5492</v>
      </c>
      <c r="AI22" s="13">
        <f t="shared" si="1"/>
        <v>2320</v>
      </c>
      <c r="AJ22" s="13">
        <f t="shared" si="2"/>
        <v>160898</v>
      </c>
      <c r="AK22" s="13">
        <f t="shared" si="3"/>
        <v>5496</v>
      </c>
      <c r="AL22" s="13">
        <f t="shared" si="4"/>
        <v>155402</v>
      </c>
      <c r="AM22" s="13">
        <v>3200</v>
      </c>
      <c r="AN22" s="13">
        <f t="shared" si="5"/>
        <v>22272</v>
      </c>
      <c r="AO22" s="13">
        <f t="shared" si="6"/>
        <v>0</v>
      </c>
      <c r="AP22" s="13">
        <f t="shared" si="14"/>
        <v>4118</v>
      </c>
      <c r="AQ22" s="13">
        <f t="shared" si="7"/>
        <v>1440</v>
      </c>
      <c r="AR22" s="13">
        <f t="shared" si="8"/>
        <v>0</v>
      </c>
      <c r="AS22" s="17">
        <f t="shared" si="9"/>
        <v>143.3</v>
      </c>
      <c r="AT22" s="17">
        <f t="shared" si="10"/>
        <v>0</v>
      </c>
      <c r="AU22" s="18">
        <f t="shared" si="11"/>
        <v>26.5</v>
      </c>
      <c r="AV22" s="17">
        <f t="shared" si="12"/>
        <v>9.27</v>
      </c>
    </row>
    <row r="23" spans="1:48">
      <c r="A23" s="6">
        <v>43759</v>
      </c>
      <c r="B23" s="5" t="s">
        <v>48</v>
      </c>
      <c r="C23" s="4">
        <v>41748481</v>
      </c>
      <c r="D23" s="4">
        <v>30207443</v>
      </c>
      <c r="E23" s="4">
        <v>25180149</v>
      </c>
      <c r="F23" s="4">
        <v>24761318</v>
      </c>
      <c r="G23" s="4">
        <v>330311843</v>
      </c>
      <c r="H23" s="4">
        <v>107444561</v>
      </c>
      <c r="I23" s="4">
        <v>330311984</v>
      </c>
      <c r="J23" s="4">
        <v>107444560</v>
      </c>
      <c r="K23" s="4"/>
      <c r="L23" s="5">
        <v>4299.8</v>
      </c>
      <c r="M23" s="5">
        <v>4555.96</v>
      </c>
      <c r="N23" s="5">
        <v>74195.05</v>
      </c>
      <c r="O23" s="5">
        <v>1603.9</v>
      </c>
      <c r="P23" s="5">
        <v>1620.1</v>
      </c>
      <c r="Q23" s="5"/>
      <c r="R23" s="5"/>
      <c r="S23" s="10">
        <v>25.3</v>
      </c>
      <c r="T23" s="4" t="s">
        <v>46</v>
      </c>
      <c r="U23" s="4">
        <v>250</v>
      </c>
      <c r="V23" s="4">
        <v>270</v>
      </c>
      <c r="W23" s="4">
        <v>8528</v>
      </c>
      <c r="X23" s="4">
        <v>6022</v>
      </c>
      <c r="Y23" s="5">
        <v>5.55</v>
      </c>
      <c r="Z23" s="5">
        <v>3.05</v>
      </c>
      <c r="AA23" s="4">
        <v>1320</v>
      </c>
      <c r="AB23" s="4"/>
      <c r="AC23" s="13">
        <f t="shared" ref="AC23:AH23" si="33">IF(OR(C24=""),"",C24-C23)</f>
        <v>38084</v>
      </c>
      <c r="AD23" s="13">
        <f t="shared" si="33"/>
        <v>43551</v>
      </c>
      <c r="AE23" s="13">
        <f t="shared" si="33"/>
        <v>44799</v>
      </c>
      <c r="AF23" s="13">
        <f t="shared" si="33"/>
        <v>43874</v>
      </c>
      <c r="AG23" s="13">
        <f t="shared" si="33"/>
        <v>162887</v>
      </c>
      <c r="AH23" s="13">
        <f t="shared" si="33"/>
        <v>5486</v>
      </c>
      <c r="AI23" s="13">
        <f t="shared" si="1"/>
        <v>7421</v>
      </c>
      <c r="AJ23" s="13">
        <f t="shared" si="2"/>
        <v>162746</v>
      </c>
      <c r="AK23" s="13">
        <f t="shared" si="3"/>
        <v>5487</v>
      </c>
      <c r="AL23" s="13">
        <f t="shared" si="4"/>
        <v>157259</v>
      </c>
      <c r="AM23" s="13">
        <v>3500</v>
      </c>
      <c r="AN23" s="13">
        <f t="shared" si="5"/>
        <v>3840</v>
      </c>
      <c r="AO23" s="13">
        <f t="shared" si="6"/>
        <v>0</v>
      </c>
      <c r="AP23" s="13">
        <f t="shared" si="14"/>
        <v>1775</v>
      </c>
      <c r="AQ23" s="13">
        <f t="shared" si="7"/>
        <v>648</v>
      </c>
      <c r="AR23" s="13">
        <f t="shared" si="8"/>
        <v>0</v>
      </c>
      <c r="AS23" s="17">
        <f t="shared" si="9"/>
        <v>24.4</v>
      </c>
      <c r="AT23" s="17">
        <f t="shared" si="10"/>
        <v>0</v>
      </c>
      <c r="AU23" s="18">
        <f t="shared" si="11"/>
        <v>11.3</v>
      </c>
      <c r="AV23" s="17">
        <f t="shared" si="12"/>
        <v>4.12</v>
      </c>
    </row>
    <row r="24" spans="1:48">
      <c r="A24" s="6">
        <v>43760</v>
      </c>
      <c r="B24" s="5" t="s">
        <v>50</v>
      </c>
      <c r="C24" s="4">
        <v>41786565</v>
      </c>
      <c r="D24" s="4">
        <v>30250994</v>
      </c>
      <c r="E24" s="4">
        <v>25224948</v>
      </c>
      <c r="F24" s="4">
        <v>24805192</v>
      </c>
      <c r="G24" s="4">
        <v>330474730</v>
      </c>
      <c r="H24" s="4">
        <v>107450047</v>
      </c>
      <c r="I24" s="4">
        <v>330474730</v>
      </c>
      <c r="J24" s="4">
        <v>107450047</v>
      </c>
      <c r="K24" s="4"/>
      <c r="L24" s="5">
        <v>4299.8</v>
      </c>
      <c r="M24" s="5">
        <v>4559.16</v>
      </c>
      <c r="N24" s="5">
        <v>74195.1</v>
      </c>
      <c r="O24" s="5">
        <v>1603.9</v>
      </c>
      <c r="P24" s="5">
        <v>1620.1</v>
      </c>
      <c r="Q24" s="5"/>
      <c r="R24" s="5"/>
      <c r="S24" s="10">
        <v>25.8</v>
      </c>
      <c r="T24" s="11" t="s">
        <v>46</v>
      </c>
      <c r="U24" s="4">
        <v>260</v>
      </c>
      <c r="V24" s="4">
        <v>280</v>
      </c>
      <c r="W24" s="4">
        <v>9227</v>
      </c>
      <c r="X24" s="4">
        <v>6042</v>
      </c>
      <c r="Y24" s="5">
        <v>6.48</v>
      </c>
      <c r="Z24" s="5">
        <v>2.87</v>
      </c>
      <c r="AA24" s="4">
        <v>1320</v>
      </c>
      <c r="AB24" s="4"/>
      <c r="AC24" s="13">
        <f t="shared" ref="AC24:AH24" si="34">IF(OR(C25=""),"",C25-C24)</f>
        <v>40644</v>
      </c>
      <c r="AD24" s="13">
        <f t="shared" si="34"/>
        <v>48507</v>
      </c>
      <c r="AE24" s="13">
        <f t="shared" si="34"/>
        <v>42397</v>
      </c>
      <c r="AF24" s="13">
        <f t="shared" si="34"/>
        <v>42044</v>
      </c>
      <c r="AG24" s="13">
        <f t="shared" si="34"/>
        <v>166543</v>
      </c>
      <c r="AH24" s="13">
        <f t="shared" si="34"/>
        <v>5488</v>
      </c>
      <c r="AI24" s="13">
        <f t="shared" si="1"/>
        <v>7049</v>
      </c>
      <c r="AJ24" s="13">
        <f t="shared" si="2"/>
        <v>166543</v>
      </c>
      <c r="AK24" s="13">
        <f t="shared" si="3"/>
        <v>5488</v>
      </c>
      <c r="AL24" s="13">
        <f t="shared" si="4"/>
        <v>161055</v>
      </c>
      <c r="AM24" s="13">
        <v>3500</v>
      </c>
      <c r="AN24" s="13">
        <f t="shared" si="5"/>
        <v>15716</v>
      </c>
      <c r="AO24" s="13">
        <f t="shared" si="6"/>
        <v>0</v>
      </c>
      <c r="AP24" s="13">
        <f t="shared" si="14"/>
        <v>1846</v>
      </c>
      <c r="AQ24" s="13">
        <f t="shared" si="7"/>
        <v>672</v>
      </c>
      <c r="AR24" s="13">
        <f t="shared" si="8"/>
        <v>0</v>
      </c>
      <c r="AS24" s="17">
        <f t="shared" si="9"/>
        <v>97.6</v>
      </c>
      <c r="AT24" s="17">
        <f t="shared" si="10"/>
        <v>0</v>
      </c>
      <c r="AU24" s="18">
        <f t="shared" si="11"/>
        <v>11.5</v>
      </c>
      <c r="AV24" s="17">
        <f t="shared" si="12"/>
        <v>4.17</v>
      </c>
    </row>
    <row r="25" spans="1:48">
      <c r="A25" s="6">
        <v>43761</v>
      </c>
      <c r="B25" s="5" t="s">
        <v>55</v>
      </c>
      <c r="C25" s="4">
        <v>41827209</v>
      </c>
      <c r="D25" s="4">
        <v>30299501</v>
      </c>
      <c r="E25" s="4">
        <v>25267345</v>
      </c>
      <c r="F25" s="4">
        <v>24847236</v>
      </c>
      <c r="G25" s="4">
        <v>330641273</v>
      </c>
      <c r="H25" s="4">
        <v>107455535</v>
      </c>
      <c r="I25" s="4">
        <v>330641273</v>
      </c>
      <c r="J25" s="4">
        <v>107455535</v>
      </c>
      <c r="K25" s="4"/>
      <c r="L25" s="5">
        <v>4299.8</v>
      </c>
      <c r="M25" s="5">
        <v>4572.257</v>
      </c>
      <c r="N25" s="5">
        <v>74195.14</v>
      </c>
      <c r="O25" s="5">
        <v>1603.9</v>
      </c>
      <c r="P25" s="5">
        <v>1620.1</v>
      </c>
      <c r="Q25" s="5"/>
      <c r="R25" s="5"/>
      <c r="S25" s="10">
        <v>25.6</v>
      </c>
      <c r="T25" s="11" t="s">
        <v>46</v>
      </c>
      <c r="U25" s="4">
        <v>450</v>
      </c>
      <c r="V25" s="4">
        <v>470</v>
      </c>
      <c r="W25" s="4">
        <v>7377</v>
      </c>
      <c r="X25" s="4">
        <v>4996</v>
      </c>
      <c r="Y25" s="5">
        <v>5.28</v>
      </c>
      <c r="Z25" s="5">
        <v>2.72</v>
      </c>
      <c r="AA25" s="4">
        <v>1260</v>
      </c>
      <c r="AB25" s="4"/>
      <c r="AC25" s="13">
        <f t="shared" ref="AC25:AH25" si="35">IF(OR(C26=""),"",C26-C25)</f>
        <v>36035</v>
      </c>
      <c r="AD25" s="13">
        <f t="shared" si="35"/>
        <v>39486</v>
      </c>
      <c r="AE25" s="13">
        <f t="shared" si="35"/>
        <v>37526</v>
      </c>
      <c r="AF25" s="13">
        <f t="shared" si="35"/>
        <v>36838</v>
      </c>
      <c r="AG25" s="13">
        <f t="shared" si="35"/>
        <v>151833</v>
      </c>
      <c r="AH25" s="13">
        <f t="shared" si="35"/>
        <v>5493</v>
      </c>
      <c r="AI25" s="13">
        <f t="shared" si="1"/>
        <v>-1948</v>
      </c>
      <c r="AJ25" s="13">
        <f t="shared" si="2"/>
        <v>151788</v>
      </c>
      <c r="AK25" s="13">
        <f t="shared" si="3"/>
        <v>5493</v>
      </c>
      <c r="AL25" s="13">
        <f t="shared" si="4"/>
        <v>146295</v>
      </c>
      <c r="AM25" s="13">
        <v>3200</v>
      </c>
      <c r="AN25" s="13">
        <f t="shared" si="5"/>
        <v>4372</v>
      </c>
      <c r="AO25" s="13">
        <f t="shared" si="6"/>
        <v>0</v>
      </c>
      <c r="AP25" s="13">
        <f t="shared" si="14"/>
        <v>3195</v>
      </c>
      <c r="AQ25" s="13">
        <f t="shared" si="7"/>
        <v>1128</v>
      </c>
      <c r="AR25" s="13">
        <f t="shared" si="8"/>
        <v>2549.99999999995</v>
      </c>
      <c r="AS25" s="17">
        <f t="shared" si="9"/>
        <v>29.9</v>
      </c>
      <c r="AT25" s="17">
        <f t="shared" si="10"/>
        <v>0</v>
      </c>
      <c r="AU25" s="18">
        <f t="shared" si="11"/>
        <v>21.8</v>
      </c>
      <c r="AV25" s="17">
        <f t="shared" si="12"/>
        <v>7.71</v>
      </c>
    </row>
    <row r="26" spans="1:48">
      <c r="A26" s="6">
        <v>43762</v>
      </c>
      <c r="B26" s="5" t="s">
        <v>48</v>
      </c>
      <c r="C26" s="4">
        <v>41863244</v>
      </c>
      <c r="D26" s="4">
        <v>30338987</v>
      </c>
      <c r="E26" s="4">
        <v>25304871</v>
      </c>
      <c r="F26" s="4">
        <v>24884074</v>
      </c>
      <c r="G26" s="4">
        <v>330793106</v>
      </c>
      <c r="H26" s="4">
        <v>107461028</v>
      </c>
      <c r="I26" s="4">
        <v>330793061</v>
      </c>
      <c r="J26" s="4">
        <v>107461028</v>
      </c>
      <c r="K26" s="4"/>
      <c r="L26" s="5">
        <v>4299.8</v>
      </c>
      <c r="M26" s="5">
        <v>4575.9</v>
      </c>
      <c r="N26" s="5">
        <v>74195.2</v>
      </c>
      <c r="O26" s="5">
        <v>1606.5</v>
      </c>
      <c r="P26" s="5">
        <v>1622.6</v>
      </c>
      <c r="Q26" s="5"/>
      <c r="R26" s="5"/>
      <c r="S26" s="10">
        <v>25.9</v>
      </c>
      <c r="T26" s="11" t="s">
        <v>46</v>
      </c>
      <c r="U26" s="4">
        <v>550</v>
      </c>
      <c r="V26" s="4">
        <v>560</v>
      </c>
      <c r="W26" s="4">
        <v>7283</v>
      </c>
      <c r="X26" s="4">
        <v>6142</v>
      </c>
      <c r="Y26" s="5">
        <v>5.64</v>
      </c>
      <c r="Z26" s="5">
        <v>3.3</v>
      </c>
      <c r="AA26" s="4">
        <v>1440</v>
      </c>
      <c r="AB26" s="4"/>
      <c r="AC26" s="13">
        <f t="shared" ref="AC26:AH26" si="36">IF(OR(C27=""),"",C27-C26)</f>
        <v>39122</v>
      </c>
      <c r="AD26" s="13">
        <f t="shared" si="36"/>
        <v>44120</v>
      </c>
      <c r="AE26" s="13">
        <f t="shared" si="36"/>
        <v>41988</v>
      </c>
      <c r="AF26" s="13">
        <f t="shared" si="36"/>
        <v>41063</v>
      </c>
      <c r="AG26" s="13">
        <f t="shared" si="36"/>
        <v>163403</v>
      </c>
      <c r="AH26" s="13">
        <f t="shared" si="36"/>
        <v>5489</v>
      </c>
      <c r="AI26" s="13">
        <f t="shared" si="1"/>
        <v>2890</v>
      </c>
      <c r="AJ26" s="13">
        <f t="shared" si="2"/>
        <v>163431</v>
      </c>
      <c r="AK26" s="13">
        <f t="shared" si="3"/>
        <v>5484</v>
      </c>
      <c r="AL26" s="13">
        <f t="shared" si="4"/>
        <v>157947</v>
      </c>
      <c r="AM26" s="13">
        <v>3200</v>
      </c>
      <c r="AN26" s="13">
        <f t="shared" si="5"/>
        <v>0</v>
      </c>
      <c r="AO26" s="13">
        <f t="shared" si="6"/>
        <v>0</v>
      </c>
      <c r="AP26" s="13">
        <f t="shared" si="14"/>
        <v>3905</v>
      </c>
      <c r="AQ26" s="13">
        <f t="shared" si="7"/>
        <v>1344</v>
      </c>
      <c r="AR26" s="13">
        <f t="shared" si="8"/>
        <v>2549.99999999995</v>
      </c>
      <c r="AS26" s="17">
        <f t="shared" si="9"/>
        <v>0</v>
      </c>
      <c r="AT26" s="17">
        <f t="shared" si="10"/>
        <v>0</v>
      </c>
      <c r="AU26" s="18">
        <f t="shared" si="11"/>
        <v>24.7</v>
      </c>
      <c r="AV26" s="17">
        <f t="shared" si="12"/>
        <v>8.51</v>
      </c>
    </row>
    <row r="27" spans="1:48">
      <c r="A27" s="6">
        <v>43763</v>
      </c>
      <c r="B27" s="5" t="s">
        <v>48</v>
      </c>
      <c r="C27" s="4">
        <v>41902366</v>
      </c>
      <c r="D27" s="4">
        <v>30383107</v>
      </c>
      <c r="E27" s="4">
        <v>25346859</v>
      </c>
      <c r="F27" s="4">
        <v>24925137</v>
      </c>
      <c r="G27" s="4">
        <v>330956509</v>
      </c>
      <c r="H27" s="4">
        <v>107466517</v>
      </c>
      <c r="I27" s="4">
        <v>330956492</v>
      </c>
      <c r="J27" s="4">
        <v>107466512</v>
      </c>
      <c r="K27" s="4"/>
      <c r="L27" s="5">
        <v>4299.8</v>
      </c>
      <c r="M27" s="5">
        <v>4575.9</v>
      </c>
      <c r="N27" s="5">
        <v>74195.2</v>
      </c>
      <c r="O27" s="5">
        <v>1609.1</v>
      </c>
      <c r="P27" s="5">
        <v>1625.1</v>
      </c>
      <c r="Q27" s="5"/>
      <c r="R27" s="5"/>
      <c r="S27" s="10">
        <v>25.6</v>
      </c>
      <c r="T27" s="11" t="s">
        <v>46</v>
      </c>
      <c r="U27" s="4">
        <v>730</v>
      </c>
      <c r="V27" s="4">
        <v>750</v>
      </c>
      <c r="W27" s="4">
        <v>8968</v>
      </c>
      <c r="X27" s="4">
        <v>6287</v>
      </c>
      <c r="Y27" s="5">
        <v>5.75</v>
      </c>
      <c r="Z27" s="5">
        <v>3.5</v>
      </c>
      <c r="AA27" s="4">
        <v>1440</v>
      </c>
      <c r="AB27" s="4"/>
      <c r="AC27" s="13">
        <f t="shared" ref="AC27:AH27" si="37">IF(OR(C28=""),"",C28-C27)</f>
        <v>45339</v>
      </c>
      <c r="AD27" s="13">
        <f t="shared" si="37"/>
        <v>52080</v>
      </c>
      <c r="AE27" s="13">
        <f t="shared" si="37"/>
        <v>39546</v>
      </c>
      <c r="AF27" s="13">
        <f t="shared" si="37"/>
        <v>38502</v>
      </c>
      <c r="AG27" s="13">
        <f t="shared" si="37"/>
        <v>171612</v>
      </c>
      <c r="AH27" s="13">
        <f t="shared" si="37"/>
        <v>5484</v>
      </c>
      <c r="AI27" s="13">
        <f t="shared" si="1"/>
        <v>3855</v>
      </c>
      <c r="AJ27" s="13">
        <f t="shared" si="2"/>
        <v>171692</v>
      </c>
      <c r="AK27" s="13">
        <f t="shared" si="3"/>
        <v>5480</v>
      </c>
      <c r="AL27" s="13">
        <f t="shared" si="4"/>
        <v>166212</v>
      </c>
      <c r="AM27" s="13">
        <v>3200</v>
      </c>
      <c r="AN27" s="13">
        <f t="shared" si="5"/>
        <v>0</v>
      </c>
      <c r="AO27" s="13">
        <f t="shared" si="6"/>
        <v>0</v>
      </c>
      <c r="AP27" s="13">
        <f t="shared" si="14"/>
        <v>5183</v>
      </c>
      <c r="AQ27" s="13">
        <f t="shared" si="7"/>
        <v>1800</v>
      </c>
      <c r="AR27" s="13">
        <f t="shared" si="8"/>
        <v>1700.00000000027</v>
      </c>
      <c r="AS27" s="17">
        <f t="shared" si="9"/>
        <v>0</v>
      </c>
      <c r="AT27" s="17">
        <f t="shared" si="10"/>
        <v>0</v>
      </c>
      <c r="AU27" s="18">
        <f t="shared" si="11"/>
        <v>31.2</v>
      </c>
      <c r="AV27" s="17">
        <f t="shared" si="12"/>
        <v>10.83</v>
      </c>
    </row>
    <row r="28" spans="1:48">
      <c r="A28" s="6">
        <v>43764</v>
      </c>
      <c r="B28" s="5" t="s">
        <v>48</v>
      </c>
      <c r="C28" s="4">
        <v>41947705</v>
      </c>
      <c r="D28" s="4">
        <v>30435187</v>
      </c>
      <c r="E28" s="4">
        <v>25386405</v>
      </c>
      <c r="F28" s="4">
        <v>24963639</v>
      </c>
      <c r="G28" s="4">
        <v>331128121</v>
      </c>
      <c r="H28" s="4">
        <v>107472001</v>
      </c>
      <c r="I28" s="4">
        <v>331128184</v>
      </c>
      <c r="J28" s="4">
        <v>107471992</v>
      </c>
      <c r="K28" s="4"/>
      <c r="L28" s="5">
        <v>4299.8</v>
      </c>
      <c r="M28" s="5">
        <v>4575.9</v>
      </c>
      <c r="N28" s="5">
        <v>74195.2</v>
      </c>
      <c r="O28" s="5">
        <v>1611.7</v>
      </c>
      <c r="P28" s="5">
        <v>1625.9</v>
      </c>
      <c r="Q28" s="5"/>
      <c r="R28" s="5"/>
      <c r="S28" s="10">
        <v>25.2</v>
      </c>
      <c r="T28" s="4" t="s">
        <v>54</v>
      </c>
      <c r="U28" s="4">
        <v>700</v>
      </c>
      <c r="V28" s="4">
        <v>710</v>
      </c>
      <c r="W28" s="4">
        <v>9196</v>
      </c>
      <c r="X28" s="4">
        <v>6172</v>
      </c>
      <c r="Y28" s="5">
        <v>7.21</v>
      </c>
      <c r="Z28" s="5">
        <v>4.05</v>
      </c>
      <c r="AA28" s="4">
        <v>1440</v>
      </c>
      <c r="AB28" s="4"/>
      <c r="AC28" s="13">
        <f t="shared" ref="AC28:AH28" si="38">IF(OR(C29=""),"",C29-C28)</f>
        <v>44022</v>
      </c>
      <c r="AD28" s="13">
        <f t="shared" si="38"/>
        <v>52269</v>
      </c>
      <c r="AE28" s="13">
        <f t="shared" si="38"/>
        <v>50987</v>
      </c>
      <c r="AF28" s="13">
        <f t="shared" si="38"/>
        <v>50501</v>
      </c>
      <c r="AG28" s="13">
        <f t="shared" si="38"/>
        <v>193800</v>
      </c>
      <c r="AH28" s="13">
        <f t="shared" si="38"/>
        <v>5481</v>
      </c>
      <c r="AI28" s="13">
        <f t="shared" si="1"/>
        <v>3979</v>
      </c>
      <c r="AJ28" s="13">
        <f t="shared" si="2"/>
        <v>193798</v>
      </c>
      <c r="AK28" s="13">
        <f t="shared" si="3"/>
        <v>5490</v>
      </c>
      <c r="AL28" s="13">
        <f t="shared" si="4"/>
        <v>188308</v>
      </c>
      <c r="AM28" s="13">
        <v>3200</v>
      </c>
      <c r="AN28" s="13">
        <f t="shared" si="5"/>
        <v>0</v>
      </c>
      <c r="AO28" s="13">
        <f t="shared" si="6"/>
        <v>0</v>
      </c>
      <c r="AP28" s="13">
        <f t="shared" si="14"/>
        <v>4970</v>
      </c>
      <c r="AQ28" s="13">
        <f t="shared" si="7"/>
        <v>1704</v>
      </c>
      <c r="AR28" s="13">
        <f t="shared" si="8"/>
        <v>1350.00000000002</v>
      </c>
      <c r="AS28" s="17">
        <f t="shared" si="9"/>
        <v>0</v>
      </c>
      <c r="AT28" s="17">
        <f t="shared" si="10"/>
        <v>0</v>
      </c>
      <c r="AU28" s="18">
        <f t="shared" si="11"/>
        <v>26.4</v>
      </c>
      <c r="AV28" s="17">
        <f t="shared" si="12"/>
        <v>9.05</v>
      </c>
    </row>
    <row r="29" spans="1:48">
      <c r="A29" s="6">
        <v>43765</v>
      </c>
      <c r="B29" s="5" t="s">
        <v>48</v>
      </c>
      <c r="C29" s="4">
        <v>41991727</v>
      </c>
      <c r="D29" s="4">
        <v>30487456</v>
      </c>
      <c r="E29" s="4">
        <v>25437392</v>
      </c>
      <c r="F29" s="4">
        <v>25014140</v>
      </c>
      <c r="G29" s="4">
        <v>331321921</v>
      </c>
      <c r="H29" s="4">
        <v>107477482</v>
      </c>
      <c r="I29" s="4">
        <v>331321982</v>
      </c>
      <c r="J29" s="4">
        <v>107477482</v>
      </c>
      <c r="K29" s="4"/>
      <c r="L29" s="5">
        <v>4299.8</v>
      </c>
      <c r="M29" s="5">
        <v>4575.9</v>
      </c>
      <c r="N29" s="5">
        <v>74195.2</v>
      </c>
      <c r="O29" s="5">
        <v>1614.4</v>
      </c>
      <c r="P29" s="5">
        <v>1625.9</v>
      </c>
      <c r="Q29" s="5"/>
      <c r="R29" s="5"/>
      <c r="S29" s="10">
        <v>24.9</v>
      </c>
      <c r="T29" s="4" t="s">
        <v>54</v>
      </c>
      <c r="U29" s="4">
        <v>680</v>
      </c>
      <c r="V29" s="4">
        <v>670</v>
      </c>
      <c r="W29" s="4">
        <v>9233</v>
      </c>
      <c r="X29" s="4">
        <v>8145</v>
      </c>
      <c r="Y29" s="5">
        <v>6.87</v>
      </c>
      <c r="Z29" s="5">
        <v>5.2</v>
      </c>
      <c r="AA29" s="4">
        <v>1440</v>
      </c>
      <c r="AB29" s="4"/>
      <c r="AC29" s="13">
        <f t="shared" ref="AC29:AH29" si="39">IF(OR(C30=""),"",C30-C29)</f>
        <v>47391</v>
      </c>
      <c r="AD29" s="13">
        <f t="shared" si="39"/>
        <v>59190</v>
      </c>
      <c r="AE29" s="13">
        <f t="shared" si="39"/>
        <v>54055</v>
      </c>
      <c r="AF29" s="13">
        <f t="shared" si="39"/>
        <v>54413</v>
      </c>
      <c r="AG29" s="13">
        <f t="shared" si="39"/>
        <v>208754</v>
      </c>
      <c r="AH29" s="13">
        <f t="shared" si="39"/>
        <v>5480</v>
      </c>
      <c r="AI29" s="13">
        <f t="shared" si="1"/>
        <v>6295</v>
      </c>
      <c r="AJ29" s="13">
        <f t="shared" si="2"/>
        <v>208804</v>
      </c>
      <c r="AK29" s="13">
        <f t="shared" si="3"/>
        <v>5478</v>
      </c>
      <c r="AL29" s="13">
        <f t="shared" si="4"/>
        <v>203326</v>
      </c>
      <c r="AM29" s="13">
        <v>3840</v>
      </c>
      <c r="AN29" s="13">
        <f t="shared" si="5"/>
        <v>0</v>
      </c>
      <c r="AO29" s="13">
        <f t="shared" si="6"/>
        <v>0</v>
      </c>
      <c r="AP29" s="13">
        <f t="shared" si="14"/>
        <v>4828</v>
      </c>
      <c r="AQ29" s="13">
        <f t="shared" si="7"/>
        <v>1608</v>
      </c>
      <c r="AR29" s="13">
        <f t="shared" si="8"/>
        <v>1299.99999999995</v>
      </c>
      <c r="AS29" s="17">
        <f t="shared" si="9"/>
        <v>0</v>
      </c>
      <c r="AT29" s="17">
        <f t="shared" si="10"/>
        <v>0</v>
      </c>
      <c r="AU29" s="18">
        <f t="shared" si="11"/>
        <v>23.7</v>
      </c>
      <c r="AV29" s="17">
        <f t="shared" si="12"/>
        <v>7.91</v>
      </c>
    </row>
    <row r="30" spans="1:48">
      <c r="A30" s="6">
        <v>43766</v>
      </c>
      <c r="B30" s="5" t="s">
        <v>48</v>
      </c>
      <c r="C30" s="4">
        <v>42039118</v>
      </c>
      <c r="D30" s="4">
        <v>30546646</v>
      </c>
      <c r="E30" s="4">
        <v>25491447</v>
      </c>
      <c r="F30" s="4">
        <v>25068553</v>
      </c>
      <c r="G30" s="4">
        <v>331530675</v>
      </c>
      <c r="H30" s="4">
        <v>107482962</v>
      </c>
      <c r="I30" s="4">
        <v>331530786</v>
      </c>
      <c r="J30" s="4">
        <v>107482960</v>
      </c>
      <c r="K30" s="4"/>
      <c r="L30" s="5">
        <v>4299.8</v>
      </c>
      <c r="M30" s="5">
        <v>4575.9</v>
      </c>
      <c r="N30" s="5">
        <v>74195.2</v>
      </c>
      <c r="O30" s="5">
        <v>1617</v>
      </c>
      <c r="P30" s="5">
        <v>1625.9</v>
      </c>
      <c r="Q30" s="5"/>
      <c r="R30" s="5"/>
      <c r="S30" s="10">
        <v>25.8</v>
      </c>
      <c r="T30" s="11" t="s">
        <v>46</v>
      </c>
      <c r="U30" s="4">
        <v>390</v>
      </c>
      <c r="V30" s="4">
        <v>400</v>
      </c>
      <c r="W30" s="4">
        <v>9250</v>
      </c>
      <c r="X30" s="4">
        <v>8896</v>
      </c>
      <c r="Y30" s="5">
        <v>6.95</v>
      </c>
      <c r="Z30" s="5">
        <v>5</v>
      </c>
      <c r="AA30" s="4">
        <v>1440</v>
      </c>
      <c r="AB30" s="4"/>
      <c r="AC30" s="13">
        <f t="shared" ref="AC30:AH30" si="40">IF(OR(C31=""),"",C31-C30)</f>
        <v>47788</v>
      </c>
      <c r="AD30" s="13">
        <f t="shared" si="40"/>
        <v>59738</v>
      </c>
      <c r="AE30" s="13">
        <f t="shared" si="40"/>
        <v>54589</v>
      </c>
      <c r="AF30" s="13">
        <f t="shared" si="40"/>
        <v>54654</v>
      </c>
      <c r="AG30" s="13">
        <f t="shared" si="40"/>
        <v>208138</v>
      </c>
      <c r="AH30" s="13">
        <f t="shared" si="40"/>
        <v>5492</v>
      </c>
      <c r="AI30" s="13">
        <f t="shared" si="1"/>
        <v>8631</v>
      </c>
      <c r="AJ30" s="13">
        <f t="shared" si="2"/>
        <v>207834</v>
      </c>
      <c r="AK30" s="13">
        <f t="shared" si="3"/>
        <v>5488</v>
      </c>
      <c r="AL30" s="13">
        <f t="shared" si="4"/>
        <v>202346</v>
      </c>
      <c r="AM30" s="13">
        <v>4500</v>
      </c>
      <c r="AN30" s="13">
        <f t="shared" si="5"/>
        <v>0</v>
      </c>
      <c r="AO30" s="13">
        <f t="shared" si="6"/>
        <v>0</v>
      </c>
      <c r="AP30" s="13">
        <f t="shared" si="14"/>
        <v>2769</v>
      </c>
      <c r="AQ30" s="13">
        <f t="shared" si="7"/>
        <v>960</v>
      </c>
      <c r="AR30" s="13">
        <f t="shared" si="8"/>
        <v>999.999999999773</v>
      </c>
      <c r="AS30" s="17">
        <f t="shared" si="9"/>
        <v>0</v>
      </c>
      <c r="AT30" s="17">
        <f t="shared" si="10"/>
        <v>0</v>
      </c>
      <c r="AU30" s="18">
        <f t="shared" si="11"/>
        <v>13.7</v>
      </c>
      <c r="AV30" s="17">
        <f t="shared" si="12"/>
        <v>4.74</v>
      </c>
    </row>
    <row r="31" spans="1:48">
      <c r="A31" s="6">
        <v>43767</v>
      </c>
      <c r="B31" s="5" t="s">
        <v>58</v>
      </c>
      <c r="C31" s="4">
        <v>42086906</v>
      </c>
      <c r="D31" s="4">
        <v>30606384</v>
      </c>
      <c r="E31" s="4">
        <v>25546036</v>
      </c>
      <c r="F31" s="4">
        <v>25123207</v>
      </c>
      <c r="G31" s="4">
        <v>331738813</v>
      </c>
      <c r="H31" s="4">
        <v>107488454</v>
      </c>
      <c r="I31" s="4">
        <v>331738620</v>
      </c>
      <c r="J31" s="4">
        <v>107488448</v>
      </c>
      <c r="K31" s="4"/>
      <c r="L31" s="5">
        <v>4299.8</v>
      </c>
      <c r="M31" s="5">
        <v>4575.9</v>
      </c>
      <c r="N31" s="5">
        <v>74195.2</v>
      </c>
      <c r="O31" s="5">
        <v>1618.3</v>
      </c>
      <c r="P31" s="5">
        <v>1626.6</v>
      </c>
      <c r="Q31" s="5"/>
      <c r="R31" s="5"/>
      <c r="S31" s="10">
        <v>25</v>
      </c>
      <c r="T31" s="4" t="s">
        <v>46</v>
      </c>
      <c r="U31" s="4">
        <v>230</v>
      </c>
      <c r="V31" s="4">
        <v>250</v>
      </c>
      <c r="W31" s="4">
        <v>9248</v>
      </c>
      <c r="X31" s="4">
        <v>8352</v>
      </c>
      <c r="Y31" s="5">
        <v>6.24</v>
      </c>
      <c r="Z31" s="5">
        <v>4.02</v>
      </c>
      <c r="AA31" s="4">
        <v>1440</v>
      </c>
      <c r="AB31" s="4"/>
      <c r="AC31" s="13">
        <f t="shared" ref="AC31:AH31" si="41">IF(OR(C32=""),"",C32-C31)</f>
        <v>47707</v>
      </c>
      <c r="AD31" s="13">
        <f t="shared" si="41"/>
        <v>58898</v>
      </c>
      <c r="AE31" s="13">
        <f t="shared" si="41"/>
        <v>57224</v>
      </c>
      <c r="AF31" s="13">
        <f t="shared" si="41"/>
        <v>57568</v>
      </c>
      <c r="AG31" s="13">
        <f t="shared" si="41"/>
        <v>211175</v>
      </c>
      <c r="AH31" s="13">
        <f t="shared" si="41"/>
        <v>5481</v>
      </c>
      <c r="AI31" s="13">
        <f t="shared" si="1"/>
        <v>10222</v>
      </c>
      <c r="AJ31" s="13">
        <f t="shared" si="2"/>
        <v>211061</v>
      </c>
      <c r="AK31" s="13">
        <f t="shared" si="3"/>
        <v>5472</v>
      </c>
      <c r="AL31" s="13">
        <f t="shared" si="4"/>
        <v>205589</v>
      </c>
      <c r="AM31" s="13">
        <v>4800</v>
      </c>
      <c r="AN31" s="13">
        <f t="shared" si="5"/>
        <v>0</v>
      </c>
      <c r="AO31" s="13">
        <f t="shared" si="6"/>
        <v>0</v>
      </c>
      <c r="AP31" s="13">
        <f t="shared" si="14"/>
        <v>1633</v>
      </c>
      <c r="AQ31" s="13">
        <f t="shared" si="7"/>
        <v>600</v>
      </c>
      <c r="AR31" s="13">
        <v>0</v>
      </c>
      <c r="AS31" s="17">
        <f t="shared" si="9"/>
        <v>0</v>
      </c>
      <c r="AT31" s="17">
        <f t="shared" si="10"/>
        <v>0</v>
      </c>
      <c r="AU31" s="18">
        <f t="shared" si="11"/>
        <v>7.9</v>
      </c>
      <c r="AV31" s="17">
        <f t="shared" si="12"/>
        <v>2.92</v>
      </c>
    </row>
    <row r="32" spans="1:48">
      <c r="A32" s="6">
        <v>43768</v>
      </c>
      <c r="B32" s="5" t="s">
        <v>50</v>
      </c>
      <c r="C32" s="4">
        <v>42134613</v>
      </c>
      <c r="D32" s="4">
        <v>30665282</v>
      </c>
      <c r="E32" s="4">
        <v>25603260</v>
      </c>
      <c r="F32" s="4">
        <v>25180775</v>
      </c>
      <c r="G32" s="4">
        <v>331949988</v>
      </c>
      <c r="H32" s="4">
        <v>107493935</v>
      </c>
      <c r="I32" s="4">
        <v>331949681</v>
      </c>
      <c r="J32" s="4">
        <v>107493920</v>
      </c>
      <c r="K32" s="4"/>
      <c r="L32" s="5">
        <v>4299.8</v>
      </c>
      <c r="M32" s="5">
        <v>4575.9</v>
      </c>
      <c r="N32" s="5">
        <v>74195.2</v>
      </c>
      <c r="O32" s="5">
        <v>1618.3</v>
      </c>
      <c r="P32" s="5">
        <v>1626.6</v>
      </c>
      <c r="Q32" s="5"/>
      <c r="R32" s="5"/>
      <c r="S32" s="10">
        <v>25.2</v>
      </c>
      <c r="T32" s="4" t="s">
        <v>62</v>
      </c>
      <c r="U32" s="4">
        <v>400</v>
      </c>
      <c r="V32" s="4">
        <v>420</v>
      </c>
      <c r="W32" s="4">
        <v>9019</v>
      </c>
      <c r="X32" s="4">
        <v>4055</v>
      </c>
      <c r="Y32" s="5">
        <v>4.16</v>
      </c>
      <c r="Z32" s="5">
        <v>3.76</v>
      </c>
      <c r="AA32" s="4">
        <v>1440</v>
      </c>
      <c r="AB32" s="4"/>
      <c r="AC32" s="13">
        <f t="shared" ref="AC32:AH32" si="42">IF(OR(C33=""),"",C33-C32)</f>
        <v>41962</v>
      </c>
      <c r="AD32" s="13">
        <f t="shared" si="42"/>
        <v>50501</v>
      </c>
      <c r="AE32" s="13">
        <f t="shared" si="42"/>
        <v>49844</v>
      </c>
      <c r="AF32" s="13">
        <f t="shared" si="42"/>
        <v>48128</v>
      </c>
      <c r="AG32" s="13">
        <f t="shared" si="42"/>
        <v>191637</v>
      </c>
      <c r="AH32" s="13">
        <f t="shared" si="42"/>
        <v>5467</v>
      </c>
      <c r="AI32" s="13">
        <f t="shared" si="1"/>
        <v>-1202</v>
      </c>
      <c r="AJ32" s="13">
        <f t="shared" si="2"/>
        <v>191949</v>
      </c>
      <c r="AK32" s="13">
        <f t="shared" si="3"/>
        <v>5480</v>
      </c>
      <c r="AL32" s="13">
        <f t="shared" si="4"/>
        <v>186469</v>
      </c>
      <c r="AM32" s="13">
        <v>4800</v>
      </c>
      <c r="AN32" s="13">
        <f t="shared" si="5"/>
        <v>0</v>
      </c>
      <c r="AO32" s="13">
        <f t="shared" si="6"/>
        <v>0</v>
      </c>
      <c r="AP32" s="13">
        <f t="shared" si="14"/>
        <v>2840</v>
      </c>
      <c r="AQ32" s="13">
        <f t="shared" si="7"/>
        <v>1008</v>
      </c>
      <c r="AR32" s="13">
        <v>0</v>
      </c>
      <c r="AS32" s="17">
        <f t="shared" si="9"/>
        <v>0</v>
      </c>
      <c r="AT32" s="17">
        <f t="shared" si="10"/>
        <v>0</v>
      </c>
      <c r="AU32" s="18">
        <f t="shared" si="11"/>
        <v>15.2</v>
      </c>
      <c r="AV32" s="17">
        <f t="shared" si="12"/>
        <v>5.41</v>
      </c>
    </row>
    <row r="33" spans="1:48">
      <c r="A33" s="6">
        <v>43769</v>
      </c>
      <c r="B33" s="5" t="s">
        <v>48</v>
      </c>
      <c r="C33" s="4">
        <v>42176575</v>
      </c>
      <c r="D33" s="4">
        <v>30715783</v>
      </c>
      <c r="E33" s="4">
        <v>25653104</v>
      </c>
      <c r="F33" s="4">
        <v>25228903</v>
      </c>
      <c r="G33" s="4">
        <v>332141625</v>
      </c>
      <c r="H33" s="4">
        <v>107499402</v>
      </c>
      <c r="I33" s="4">
        <v>332141630</v>
      </c>
      <c r="J33" s="4">
        <v>107499400</v>
      </c>
      <c r="K33" s="4"/>
      <c r="L33" s="5">
        <v>4299.8</v>
      </c>
      <c r="M33" s="5">
        <v>4575.9</v>
      </c>
      <c r="N33" s="5">
        <v>74195.2</v>
      </c>
      <c r="O33" s="5">
        <v>1618.3</v>
      </c>
      <c r="P33" s="5">
        <v>1626.6</v>
      </c>
      <c r="Q33" s="5"/>
      <c r="R33" s="5"/>
      <c r="S33" s="10">
        <v>24.2</v>
      </c>
      <c r="T33" s="4" t="s">
        <v>62</v>
      </c>
      <c r="U33" s="4">
        <v>800</v>
      </c>
      <c r="V33" s="4">
        <v>780</v>
      </c>
      <c r="W33" s="4">
        <v>8559</v>
      </c>
      <c r="X33" s="4">
        <v>6683</v>
      </c>
      <c r="Y33" s="5">
        <v>5.95</v>
      </c>
      <c r="Z33" s="5">
        <v>2.94</v>
      </c>
      <c r="AA33" s="4">
        <v>1320</v>
      </c>
      <c r="AB33" s="4"/>
      <c r="AC33" s="13">
        <f t="shared" ref="AC33:AH33" si="43">IF(OR(C34=""),"",C34-C33)</f>
        <v>40890</v>
      </c>
      <c r="AD33" s="13">
        <f t="shared" si="43"/>
        <v>47827</v>
      </c>
      <c r="AE33" s="13">
        <f t="shared" si="43"/>
        <v>48354</v>
      </c>
      <c r="AF33" s="13">
        <f t="shared" si="43"/>
        <v>46347</v>
      </c>
      <c r="AG33" s="13">
        <f t="shared" si="43"/>
        <v>172365</v>
      </c>
      <c r="AH33" s="13">
        <f t="shared" si="43"/>
        <v>5484</v>
      </c>
      <c r="AI33" s="13">
        <f t="shared" si="1"/>
        <v>11053</v>
      </c>
      <c r="AJ33" s="13">
        <f t="shared" si="2"/>
        <v>172310</v>
      </c>
      <c r="AK33" s="13">
        <f t="shared" si="3"/>
        <v>5480</v>
      </c>
      <c r="AL33" s="13">
        <f t="shared" si="4"/>
        <v>166830</v>
      </c>
      <c r="AM33" s="13">
        <v>5520</v>
      </c>
      <c r="AN33" s="13">
        <f t="shared" si="5"/>
        <v>0</v>
      </c>
      <c r="AO33" s="13">
        <f t="shared" si="6"/>
        <v>0</v>
      </c>
      <c r="AP33" s="13">
        <f t="shared" si="14"/>
        <v>5680</v>
      </c>
      <c r="AQ33" s="13">
        <f t="shared" si="7"/>
        <v>1872</v>
      </c>
      <c r="AR33" s="13">
        <f t="shared" si="8"/>
        <v>1249.99999999989</v>
      </c>
      <c r="AS33" s="17">
        <f t="shared" si="9"/>
        <v>0</v>
      </c>
      <c r="AT33" s="17">
        <f t="shared" si="10"/>
        <v>0</v>
      </c>
      <c r="AU33" s="18">
        <f t="shared" si="11"/>
        <v>34</v>
      </c>
      <c r="AV33" s="17">
        <f t="shared" si="12"/>
        <v>11.22</v>
      </c>
    </row>
    <row r="34" spans="1:48">
      <c r="A34" s="6">
        <v>43770</v>
      </c>
      <c r="B34" s="5" t="s">
        <v>48</v>
      </c>
      <c r="C34" s="4">
        <v>42217465</v>
      </c>
      <c r="D34" s="4">
        <v>30763610</v>
      </c>
      <c r="E34" s="4">
        <v>25701458</v>
      </c>
      <c r="F34" s="4">
        <v>25275250</v>
      </c>
      <c r="G34" s="4">
        <v>332313990</v>
      </c>
      <c r="H34" s="4">
        <v>107504886</v>
      </c>
      <c r="I34" s="4">
        <v>332313940</v>
      </c>
      <c r="J34" s="4">
        <v>107504880</v>
      </c>
      <c r="K34" s="4"/>
      <c r="L34" s="5">
        <v>4299.8</v>
      </c>
      <c r="M34" s="5">
        <v>4575.9</v>
      </c>
      <c r="N34" s="5">
        <v>74195.2</v>
      </c>
      <c r="O34" s="5">
        <v>1620.8</v>
      </c>
      <c r="P34" s="5">
        <v>1626.6</v>
      </c>
      <c r="Q34" s="5"/>
      <c r="R34" s="5"/>
      <c r="S34" s="10">
        <v>24.1</v>
      </c>
      <c r="T34" s="4" t="s">
        <v>62</v>
      </c>
      <c r="AB34" s="14"/>
      <c r="AM34" s="15"/>
      <c r="AP34" s="1"/>
      <c r="AQ34" s="1"/>
      <c r="AR34" s="1"/>
      <c r="AS34" s="12"/>
      <c r="AT34" s="2"/>
      <c r="AU34" s="12"/>
      <c r="AV34" s="2"/>
    </row>
    <row r="35" spans="18:48">
      <c r="R35" s="2"/>
      <c r="S35" s="12"/>
      <c r="AM35" s="15"/>
      <c r="AP35" s="1"/>
      <c r="AQ35" s="1"/>
      <c r="AR35" s="1"/>
      <c r="AS35" s="12"/>
      <c r="AT35" s="2"/>
      <c r="AU35" s="12"/>
      <c r="AV35" s="2"/>
    </row>
    <row r="36" spans="18:48">
      <c r="R36" s="2"/>
      <c r="S36" s="12"/>
      <c r="AC36" s="1" t="str">
        <f t="shared" ref="AC36:AH36" si="44">IF(OR(C37=""),"",C37-C36)</f>
        <v/>
      </c>
      <c r="AD36" s="1" t="str">
        <f t="shared" si="44"/>
        <v/>
      </c>
      <c r="AE36" s="1" t="str">
        <f t="shared" si="44"/>
        <v/>
      </c>
      <c r="AF36" s="1" t="str">
        <f t="shared" si="44"/>
        <v/>
      </c>
      <c r="AG36" s="1" t="str">
        <f t="shared" si="44"/>
        <v/>
      </c>
      <c r="AH36" s="1" t="str">
        <f t="shared" si="44"/>
        <v/>
      </c>
      <c r="AI36" s="1" t="str">
        <f>IF(OR(AC36="",AD36="",AE36=""),"",AC36+AD36+AE36+AF36-AG36)</f>
        <v/>
      </c>
      <c r="AJ36" s="16">
        <f t="shared" ref="AJ36:AQ36" si="45">SUM(AJ3:AJ34)</f>
        <v>5737581</v>
      </c>
      <c r="AK36" s="16">
        <f t="shared" si="45"/>
        <v>170360</v>
      </c>
      <c r="AL36" s="16">
        <f t="shared" si="45"/>
        <v>5567221</v>
      </c>
      <c r="AM36" s="16">
        <f t="shared" si="45"/>
        <v>99140</v>
      </c>
      <c r="AN36" s="16">
        <f t="shared" si="45"/>
        <v>65628</v>
      </c>
      <c r="AO36" s="16">
        <f t="shared" si="45"/>
        <v>4</v>
      </c>
      <c r="AP36" s="16">
        <f t="shared" si="45"/>
        <v>114381</v>
      </c>
      <c r="AQ36" s="16">
        <f t="shared" si="45"/>
        <v>39432</v>
      </c>
      <c r="AR36" s="16"/>
      <c r="AS36" s="19">
        <f>IF(OR($AL36=0),"",ROUND(AN36/$AL36*1000,1))</f>
        <v>11.8</v>
      </c>
      <c r="AT36" s="19">
        <f>IF(OR($AL36=0),"",ROUND(AO36/$AL36*1000,2))</f>
        <v>0</v>
      </c>
      <c r="AU36" s="20">
        <f>IF(OR($AL36=0),"",ROUND(AP36/$AL36*1000,1))</f>
        <v>20.5</v>
      </c>
      <c r="AV36" s="19">
        <f>IF(OR($AL36=0),"",ROUND(AQ36/$AL36*1000,2))</f>
        <v>7.08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pageSetup paperSize="9" orientation="portrait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V43"/>
  <sheetViews>
    <sheetView showGridLines="0" workbookViewId="0">
      <pane xSplit="2" ySplit="2" topLeftCell="V9" activePane="bottomRight" state="frozen"/>
      <selection/>
      <selection pane="topRight"/>
      <selection pane="bottomLeft"/>
      <selection pane="bottomRight" activeCell="AR32" sqref="AR32"/>
    </sheetView>
  </sheetViews>
  <sheetFormatPr defaultColWidth="10.6666666666667" defaultRowHeight="14.25"/>
  <cols>
    <col min="1" max="1" width="8.33333333333333" style="1" customWidth="1"/>
    <col min="2" max="2" width="8.66666666666667" style="2" customWidth="1"/>
    <col min="3" max="3" width="11.8833333333333" style="1" customWidth="1"/>
    <col min="4" max="4" width="11.6666666666667" style="1" customWidth="1"/>
    <col min="5" max="6" width="11.8833333333333" style="1" customWidth="1"/>
    <col min="7" max="7" width="14" style="1" customWidth="1"/>
    <col min="8" max="8" width="13.5583333333333" style="1" customWidth="1"/>
    <col min="9" max="10" width="13.3333333333333" style="1" customWidth="1"/>
    <col min="11" max="11" width="8" style="1" customWidth="1"/>
    <col min="12" max="13" width="8.33333333333333" style="2" customWidth="1"/>
    <col min="14" max="14" width="10.8833333333333" style="2" customWidth="1"/>
    <col min="15" max="16" width="8.44166666666667" style="2" customWidth="1"/>
    <col min="17" max="17" width="8.33333333333333" style="2" customWidth="1"/>
    <col min="18" max="18" width="9.66666666666667" style="1" customWidth="1"/>
    <col min="19" max="20" width="8.10833333333333" style="1" customWidth="1"/>
    <col min="21" max="21" width="7.66666666666667" style="1" customWidth="1"/>
    <col min="22" max="24" width="8.10833333333333" style="1" customWidth="1"/>
    <col min="25" max="26" width="8.10833333333333" style="2" customWidth="1"/>
    <col min="27" max="27" width="8.10833333333333" style="1" customWidth="1"/>
    <col min="28" max="28" width="15.6666666666667" style="1" customWidth="1"/>
    <col min="29" max="35" width="8.10833333333333" style="1" customWidth="1"/>
    <col min="36" max="36" width="7.55833333333333" style="1" customWidth="1"/>
    <col min="37" max="38" width="8.10833333333333" style="1" customWidth="1"/>
    <col min="39" max="41" width="6.66666666666667" style="1" customWidth="1"/>
    <col min="42" max="42" width="6.66666666666667" style="2" customWidth="1"/>
    <col min="43" max="44" width="8.10833333333333" style="2" customWidth="1"/>
    <col min="45" max="45" width="8.10833333333333" style="3" customWidth="1"/>
    <col min="46" max="46" width="8.55833333333333" style="3" customWidth="1"/>
    <col min="47" max="47" width="8.775" style="3" customWidth="1"/>
    <col min="48" max="48" width="8.10833333333333" style="3" customWidth="1"/>
    <col min="49" max="16384" width="10.6666666666667" style="3"/>
  </cols>
  <sheetData>
    <row r="2" ht="42.75" spans="1:4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69</v>
      </c>
      <c r="P2" s="5" t="s">
        <v>70</v>
      </c>
      <c r="Q2" s="5" t="s">
        <v>13</v>
      </c>
      <c r="R2" s="5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5" t="s">
        <v>21</v>
      </c>
      <c r="Z2" s="5" t="s">
        <v>22</v>
      </c>
      <c r="AA2" s="4" t="s">
        <v>23</v>
      </c>
      <c r="AB2" s="4" t="s">
        <v>24</v>
      </c>
      <c r="AC2" s="13" t="s">
        <v>25</v>
      </c>
      <c r="AD2" s="13" t="s">
        <v>26</v>
      </c>
      <c r="AE2" s="13" t="s">
        <v>27</v>
      </c>
      <c r="AF2" s="13" t="s">
        <v>28</v>
      </c>
      <c r="AG2" s="13" t="s">
        <v>29</v>
      </c>
      <c r="AH2" s="13" t="s">
        <v>30</v>
      </c>
      <c r="AI2" s="13" t="s">
        <v>31</v>
      </c>
      <c r="AJ2" s="13" t="s">
        <v>32</v>
      </c>
      <c r="AK2" s="13" t="s">
        <v>33</v>
      </c>
      <c r="AL2" s="13" t="s">
        <v>34</v>
      </c>
      <c r="AM2" s="13" t="s">
        <v>35</v>
      </c>
      <c r="AN2" s="13" t="s">
        <v>36</v>
      </c>
      <c r="AO2" s="13" t="s">
        <v>37</v>
      </c>
      <c r="AP2" s="7" t="s">
        <v>38</v>
      </c>
      <c r="AQ2" s="7" t="s">
        <v>39</v>
      </c>
      <c r="AR2" s="7" t="s">
        <v>40</v>
      </c>
      <c r="AS2" s="13" t="s">
        <v>41</v>
      </c>
      <c r="AT2" s="13" t="s">
        <v>42</v>
      </c>
      <c r="AU2" s="7" t="s">
        <v>43</v>
      </c>
      <c r="AV2" s="7" t="s">
        <v>44</v>
      </c>
    </row>
    <row r="3" spans="1:48">
      <c r="A3" s="6">
        <v>43770</v>
      </c>
      <c r="B3" s="7" t="str">
        <f>'10'!B34</f>
        <v>陈智娇</v>
      </c>
      <c r="C3" s="7">
        <f>'10'!C34</f>
        <v>42217465</v>
      </c>
      <c r="D3" s="7">
        <f>'10'!D34</f>
        <v>30763610</v>
      </c>
      <c r="E3" s="7">
        <f>'10'!E34</f>
        <v>25701458</v>
      </c>
      <c r="F3" s="7">
        <f>'10'!F34</f>
        <v>25275250</v>
      </c>
      <c r="G3" s="7">
        <f>'10'!G34</f>
        <v>332313990</v>
      </c>
      <c r="H3" s="7">
        <f>'10'!H34</f>
        <v>107504886</v>
      </c>
      <c r="I3" s="7">
        <f>'10'!I34</f>
        <v>332313940</v>
      </c>
      <c r="J3" s="7">
        <f>'10'!J34</f>
        <v>107504880</v>
      </c>
      <c r="K3" s="7">
        <f>'10'!K34</f>
        <v>0</v>
      </c>
      <c r="L3" s="7">
        <f>'10'!L34</f>
        <v>4299.8</v>
      </c>
      <c r="M3" s="7">
        <f>'10'!M34</f>
        <v>4575.9</v>
      </c>
      <c r="N3" s="7">
        <f>'10'!N34</f>
        <v>74195.2</v>
      </c>
      <c r="O3" s="9">
        <v>1620.8</v>
      </c>
      <c r="P3" s="9">
        <v>1626.6</v>
      </c>
      <c r="Q3" s="7">
        <f>'10'!Q34</f>
        <v>0</v>
      </c>
      <c r="R3" s="7">
        <f>'10'!R34</f>
        <v>0</v>
      </c>
      <c r="S3" s="7">
        <f>'10'!S34</f>
        <v>24.1</v>
      </c>
      <c r="T3" s="7" t="str">
        <f>'10'!T34</f>
        <v>晴 </v>
      </c>
      <c r="U3" s="4">
        <v>750</v>
      </c>
      <c r="V3" s="4">
        <v>760</v>
      </c>
      <c r="W3" s="4">
        <v>9192</v>
      </c>
      <c r="X3" s="4">
        <v>7642</v>
      </c>
      <c r="Y3" s="5">
        <v>5.2</v>
      </c>
      <c r="Z3" s="5">
        <v>3.34</v>
      </c>
      <c r="AA3" s="4">
        <v>1253</v>
      </c>
      <c r="AB3" s="4"/>
      <c r="AC3" s="13">
        <f t="shared" ref="AC3:AH3" si="0">IF(OR(C4=""),"",C4-C3)</f>
        <v>45310</v>
      </c>
      <c r="AD3" s="13">
        <f t="shared" si="0"/>
        <v>55169</v>
      </c>
      <c r="AE3" s="13">
        <f t="shared" si="0"/>
        <v>54352</v>
      </c>
      <c r="AF3" s="13">
        <f t="shared" si="0"/>
        <v>53542</v>
      </c>
      <c r="AG3" s="13">
        <f t="shared" si="0"/>
        <v>202336</v>
      </c>
      <c r="AH3" s="13">
        <f t="shared" si="0"/>
        <v>5486</v>
      </c>
      <c r="AI3" s="13">
        <f t="shared" ref="AI3:AI33" si="1">IF(OR(AC3="",AD3="",AE3=""),"",AC3+AD3+AE3+AF3-AG3)</f>
        <v>6037</v>
      </c>
      <c r="AJ3" s="13">
        <f t="shared" ref="AJ3:AJ33" si="2">IF(OR(I4=""),"",I4-I3)</f>
        <v>202419</v>
      </c>
      <c r="AK3" s="13">
        <f t="shared" ref="AK3:AK33" si="3">IF(OR(J4=""),"",J4-J3)</f>
        <v>5488</v>
      </c>
      <c r="AL3" s="13">
        <f t="shared" ref="AL3:AL33" si="4">IF(OR(AJ3="",AK3=""),"",AJ3-AK3)</f>
        <v>196931</v>
      </c>
      <c r="AM3" s="13">
        <v>6000</v>
      </c>
      <c r="AN3" s="13">
        <f t="shared" ref="AN3:AN33" si="5">IF(OR(L4="",M4=""),"",ROUND((L4-L3+M4-M3)*1200,0))</f>
        <v>0</v>
      </c>
      <c r="AO3" s="13">
        <f t="shared" ref="AO3:AO33" si="6">IF(OR(N4=""),"",(ROUND((N4-N3)*2,0)))</f>
        <v>0</v>
      </c>
      <c r="AP3" s="13">
        <f t="shared" ref="AP3:AP33" si="7">IF(OR(U3=""),"",ROUND(U3*7.1,0))</f>
        <v>5325</v>
      </c>
      <c r="AQ3" s="13">
        <f t="shared" ref="AQ3:AQ33" si="8">IF(OR(V3=""),"",ROUND(V3*2.4,0))</f>
        <v>1824</v>
      </c>
      <c r="AR3" s="13">
        <f t="shared" ref="AR3:AR32" si="9">IF(O4=0,"",(O4+P4-O3-P3)*1000/2)</f>
        <v>1300.00000000007</v>
      </c>
      <c r="AS3" s="17">
        <f t="shared" ref="AS3:AS33" si="10">IF(OR($AL3=""),"",ROUND(AN3/$AL3*1000,1))</f>
        <v>0</v>
      </c>
      <c r="AT3" s="17">
        <f t="shared" ref="AT3:AT33" si="11">IF(OR($AL3=""),"",ROUND(AO3/$AL3*1000,2))</f>
        <v>0</v>
      </c>
      <c r="AU3" s="18">
        <f t="shared" ref="AU3:AU33" si="12">IF(OR($AL3=""),"",ROUND(AP3/$AL3*1000,1))</f>
        <v>27</v>
      </c>
      <c r="AV3" s="17">
        <f t="shared" ref="AV3:AV33" si="13">IF(OR($AL3=""),"",ROUND(AQ3/$AL3*1000,2))</f>
        <v>9.26</v>
      </c>
    </row>
    <row r="4" spans="1:48">
      <c r="A4" s="6">
        <v>43771</v>
      </c>
      <c r="B4" s="21" t="s">
        <v>48</v>
      </c>
      <c r="C4" s="4">
        <v>42262775</v>
      </c>
      <c r="D4" s="4">
        <v>30818779</v>
      </c>
      <c r="E4" s="4">
        <v>25755810</v>
      </c>
      <c r="F4" s="4">
        <v>25328792</v>
      </c>
      <c r="G4" s="4">
        <v>332516326</v>
      </c>
      <c r="H4" s="4">
        <v>107510372</v>
      </c>
      <c r="I4" s="4">
        <v>332516359</v>
      </c>
      <c r="J4" s="4">
        <v>107510368</v>
      </c>
      <c r="K4" s="4"/>
      <c r="L4" s="5">
        <v>4299.8</v>
      </c>
      <c r="M4" s="5">
        <v>4575.9</v>
      </c>
      <c r="N4" s="5">
        <v>74195.2</v>
      </c>
      <c r="O4" s="5">
        <v>1623.4</v>
      </c>
      <c r="P4" s="5">
        <v>1626.6</v>
      </c>
      <c r="Q4" s="5"/>
      <c r="R4" s="5"/>
      <c r="S4" s="10">
        <v>25</v>
      </c>
      <c r="T4" s="4" t="s">
        <v>62</v>
      </c>
      <c r="U4" s="4">
        <v>440</v>
      </c>
      <c r="V4" s="4">
        <v>450</v>
      </c>
      <c r="W4" s="4">
        <v>9305</v>
      </c>
      <c r="X4" s="4">
        <v>6775</v>
      </c>
      <c r="Y4" s="5">
        <v>4.15</v>
      </c>
      <c r="Z4" s="5">
        <v>2.5</v>
      </c>
      <c r="AA4" s="4">
        <v>1024</v>
      </c>
      <c r="AB4" s="4"/>
      <c r="AC4" s="13">
        <f t="shared" ref="AC4:AH4" si="14">IF(OR(C5=""),"",C5-C4)</f>
        <v>44888</v>
      </c>
      <c r="AD4" s="13">
        <f t="shared" si="14"/>
        <v>55441</v>
      </c>
      <c r="AE4" s="13">
        <f t="shared" si="14"/>
        <v>54630</v>
      </c>
      <c r="AF4" s="13">
        <f t="shared" si="14"/>
        <v>54707</v>
      </c>
      <c r="AG4" s="13">
        <f t="shared" si="14"/>
        <v>196055</v>
      </c>
      <c r="AH4" s="13">
        <f t="shared" si="14"/>
        <v>5492</v>
      </c>
      <c r="AI4" s="13">
        <f t="shared" si="1"/>
        <v>13611</v>
      </c>
      <c r="AJ4" s="13">
        <f t="shared" si="2"/>
        <v>195967</v>
      </c>
      <c r="AK4" s="13">
        <f t="shared" si="3"/>
        <v>5496</v>
      </c>
      <c r="AL4" s="13">
        <f t="shared" si="4"/>
        <v>190471</v>
      </c>
      <c r="AM4" s="13">
        <v>5500</v>
      </c>
      <c r="AN4" s="13">
        <f t="shared" si="5"/>
        <v>0</v>
      </c>
      <c r="AO4" s="13">
        <f t="shared" si="6"/>
        <v>0</v>
      </c>
      <c r="AP4" s="13">
        <f t="shared" si="7"/>
        <v>3124</v>
      </c>
      <c r="AQ4" s="13">
        <f t="shared" si="8"/>
        <v>1080</v>
      </c>
      <c r="AR4" s="13">
        <f t="shared" si="9"/>
        <v>2000</v>
      </c>
      <c r="AS4" s="17">
        <f t="shared" si="10"/>
        <v>0</v>
      </c>
      <c r="AT4" s="17">
        <f t="shared" si="11"/>
        <v>0</v>
      </c>
      <c r="AU4" s="18">
        <f t="shared" si="12"/>
        <v>16.4</v>
      </c>
      <c r="AV4" s="17">
        <f t="shared" si="13"/>
        <v>5.67</v>
      </c>
    </row>
    <row r="5" spans="1:48">
      <c r="A5" s="6">
        <v>43772</v>
      </c>
      <c r="B5" s="21" t="s">
        <v>48</v>
      </c>
      <c r="C5" s="4">
        <v>42307663</v>
      </c>
      <c r="D5" s="4">
        <v>30874220</v>
      </c>
      <c r="E5" s="4">
        <v>25810440</v>
      </c>
      <c r="F5" s="4">
        <v>25383499</v>
      </c>
      <c r="G5" s="4">
        <v>332712381</v>
      </c>
      <c r="H5" s="4">
        <v>107515864</v>
      </c>
      <c r="I5" s="4">
        <v>332712326</v>
      </c>
      <c r="J5" s="4">
        <v>107515864</v>
      </c>
      <c r="K5" s="4"/>
      <c r="L5" s="5">
        <v>4299.8</v>
      </c>
      <c r="M5" s="5">
        <v>4575.9</v>
      </c>
      <c r="N5" s="5">
        <v>74195.2</v>
      </c>
      <c r="O5" s="5">
        <v>1626</v>
      </c>
      <c r="P5" s="5">
        <v>1628</v>
      </c>
      <c r="Q5" s="5"/>
      <c r="R5" s="5"/>
      <c r="S5" s="10">
        <v>25.2</v>
      </c>
      <c r="T5" s="4" t="s">
        <v>62</v>
      </c>
      <c r="U5" s="4">
        <v>300</v>
      </c>
      <c r="V5" s="4">
        <v>320</v>
      </c>
      <c r="W5" s="4">
        <v>9396</v>
      </c>
      <c r="X5" s="4">
        <v>6497</v>
      </c>
      <c r="Y5" s="5">
        <v>5.43</v>
      </c>
      <c r="Z5" s="5">
        <v>2.69</v>
      </c>
      <c r="AA5" s="4">
        <v>1337</v>
      </c>
      <c r="AB5" s="4"/>
      <c r="AC5" s="13">
        <f t="shared" ref="AC5:AH5" si="15">IF(OR(C6=""),"",C6-C5)</f>
        <v>41933</v>
      </c>
      <c r="AD5" s="13">
        <f t="shared" si="15"/>
        <v>51446</v>
      </c>
      <c r="AE5" s="13">
        <f t="shared" si="15"/>
        <v>51903</v>
      </c>
      <c r="AF5" s="13">
        <f t="shared" si="15"/>
        <v>50937</v>
      </c>
      <c r="AG5" s="13">
        <f t="shared" si="15"/>
        <v>170934</v>
      </c>
      <c r="AH5" s="13">
        <f t="shared" si="15"/>
        <v>5482</v>
      </c>
      <c r="AI5" s="13">
        <f t="shared" si="1"/>
        <v>25285</v>
      </c>
      <c r="AJ5" s="13">
        <f t="shared" si="2"/>
        <v>171027</v>
      </c>
      <c r="AK5" s="13">
        <f t="shared" si="3"/>
        <v>5480</v>
      </c>
      <c r="AL5" s="13">
        <f t="shared" si="4"/>
        <v>165547</v>
      </c>
      <c r="AM5" s="13">
        <v>5500</v>
      </c>
      <c r="AN5" s="13">
        <f t="shared" si="5"/>
        <v>0</v>
      </c>
      <c r="AO5" s="13">
        <f t="shared" si="6"/>
        <v>0</v>
      </c>
      <c r="AP5" s="13">
        <f t="shared" si="7"/>
        <v>2130</v>
      </c>
      <c r="AQ5" s="13">
        <f t="shared" si="8"/>
        <v>768</v>
      </c>
      <c r="AR5" s="13">
        <f t="shared" si="9"/>
        <v>1299.99999999995</v>
      </c>
      <c r="AS5" s="17">
        <f t="shared" si="10"/>
        <v>0</v>
      </c>
      <c r="AT5" s="17">
        <f t="shared" si="11"/>
        <v>0</v>
      </c>
      <c r="AU5" s="18">
        <f t="shared" si="12"/>
        <v>12.9</v>
      </c>
      <c r="AV5" s="17">
        <f t="shared" si="13"/>
        <v>4.64</v>
      </c>
    </row>
    <row r="6" spans="1:48">
      <c r="A6" s="6">
        <v>43773</v>
      </c>
      <c r="B6" s="21" t="s">
        <v>48</v>
      </c>
      <c r="C6" s="4">
        <v>42349596</v>
      </c>
      <c r="D6" s="4">
        <v>30925666</v>
      </c>
      <c r="E6" s="4">
        <v>25862343</v>
      </c>
      <c r="F6" s="4">
        <v>25434436</v>
      </c>
      <c r="G6" s="4">
        <v>332883315</v>
      </c>
      <c r="H6" s="4">
        <v>107521346</v>
      </c>
      <c r="I6" s="4">
        <v>332883353</v>
      </c>
      <c r="J6" s="4">
        <v>107521344</v>
      </c>
      <c r="K6" s="4"/>
      <c r="L6" s="5">
        <v>4299.8</v>
      </c>
      <c r="M6" s="5">
        <v>4575.9</v>
      </c>
      <c r="N6" s="5">
        <v>74195.2</v>
      </c>
      <c r="O6" s="5">
        <v>1628.6</v>
      </c>
      <c r="P6" s="5">
        <v>1628</v>
      </c>
      <c r="Q6" s="5"/>
      <c r="R6" s="5"/>
      <c r="S6" s="10">
        <v>24.2</v>
      </c>
      <c r="T6" s="4" t="s">
        <v>54</v>
      </c>
      <c r="U6" s="4">
        <v>220</v>
      </c>
      <c r="V6" s="4">
        <v>240</v>
      </c>
      <c r="W6" s="4">
        <v>9251</v>
      </c>
      <c r="X6" s="4">
        <v>5012</v>
      </c>
      <c r="Y6" s="5">
        <v>4.13</v>
      </c>
      <c r="Z6" s="5">
        <v>2.48</v>
      </c>
      <c r="AA6" s="4">
        <v>890</v>
      </c>
      <c r="AB6" s="4"/>
      <c r="AC6" s="13">
        <f t="shared" ref="AC6:AH6" si="16">IF(OR(C7=""),"",C7-C6)</f>
        <v>44983</v>
      </c>
      <c r="AD6" s="13">
        <f t="shared" si="16"/>
        <v>54423</v>
      </c>
      <c r="AE6" s="13">
        <f t="shared" si="16"/>
        <v>49230</v>
      </c>
      <c r="AF6" s="13">
        <f t="shared" si="16"/>
        <v>48032</v>
      </c>
      <c r="AG6" s="13">
        <f t="shared" si="16"/>
        <v>188177</v>
      </c>
      <c r="AH6" s="13">
        <f t="shared" si="16"/>
        <v>5472</v>
      </c>
      <c r="AI6" s="13">
        <f t="shared" si="1"/>
        <v>8491</v>
      </c>
      <c r="AJ6" s="13">
        <f t="shared" si="2"/>
        <v>188228</v>
      </c>
      <c r="AK6" s="13">
        <f t="shared" si="3"/>
        <v>5488</v>
      </c>
      <c r="AL6" s="13">
        <f t="shared" si="4"/>
        <v>182740</v>
      </c>
      <c r="AM6" s="13">
        <v>5000</v>
      </c>
      <c r="AN6" s="13">
        <f t="shared" si="5"/>
        <v>0</v>
      </c>
      <c r="AO6" s="13">
        <f t="shared" si="6"/>
        <v>0</v>
      </c>
      <c r="AP6" s="13">
        <f t="shared" si="7"/>
        <v>1562</v>
      </c>
      <c r="AQ6" s="13">
        <f t="shared" si="8"/>
        <v>576</v>
      </c>
      <c r="AR6" s="13">
        <f t="shared" si="9"/>
        <v>1350.00000000014</v>
      </c>
      <c r="AS6" s="17">
        <f t="shared" si="10"/>
        <v>0</v>
      </c>
      <c r="AT6" s="17">
        <f t="shared" si="11"/>
        <v>0</v>
      </c>
      <c r="AU6" s="18">
        <f t="shared" si="12"/>
        <v>8.5</v>
      </c>
      <c r="AV6" s="17">
        <f t="shared" si="13"/>
        <v>3.15</v>
      </c>
    </row>
    <row r="7" spans="1:48">
      <c r="A7" s="6">
        <v>43774</v>
      </c>
      <c r="B7" s="5" t="s">
        <v>45</v>
      </c>
      <c r="C7" s="4">
        <v>42394579</v>
      </c>
      <c r="D7" s="4">
        <v>30980089</v>
      </c>
      <c r="E7" s="4">
        <v>25911573</v>
      </c>
      <c r="F7" s="4">
        <v>25482468</v>
      </c>
      <c r="G7" s="4">
        <v>333071492</v>
      </c>
      <c r="H7" s="4">
        <v>107526818</v>
      </c>
      <c r="I7" s="4">
        <v>333071581</v>
      </c>
      <c r="J7" s="4">
        <v>107526832</v>
      </c>
      <c r="K7" s="4"/>
      <c r="L7" s="5">
        <v>4299.8</v>
      </c>
      <c r="M7" s="5">
        <v>4575.9</v>
      </c>
      <c r="N7" s="5">
        <v>74195.2</v>
      </c>
      <c r="O7" s="5">
        <v>1631.3</v>
      </c>
      <c r="P7" s="5">
        <v>1628</v>
      </c>
      <c r="Q7" s="5"/>
      <c r="R7" s="5"/>
      <c r="S7" s="10">
        <v>24.5</v>
      </c>
      <c r="T7" s="4" t="s">
        <v>62</v>
      </c>
      <c r="U7" s="4">
        <v>330</v>
      </c>
      <c r="V7" s="4">
        <v>350</v>
      </c>
      <c r="W7" s="4">
        <v>7884</v>
      </c>
      <c r="X7" s="4">
        <v>5036</v>
      </c>
      <c r="Y7" s="5">
        <v>5.62</v>
      </c>
      <c r="Z7" s="5">
        <v>2.5</v>
      </c>
      <c r="AA7" s="4">
        <v>1158</v>
      </c>
      <c r="AB7" s="4"/>
      <c r="AC7" s="13">
        <f t="shared" ref="AC7:AH7" si="17">IF(OR(C8=""),"",C8-C7)</f>
        <v>39708</v>
      </c>
      <c r="AD7" s="13">
        <f t="shared" si="17"/>
        <v>46205</v>
      </c>
      <c r="AE7" s="13">
        <f t="shared" si="17"/>
        <v>42532</v>
      </c>
      <c r="AF7" s="13">
        <f t="shared" si="17"/>
        <v>41457</v>
      </c>
      <c r="AG7" s="13">
        <f t="shared" si="17"/>
        <v>159739</v>
      </c>
      <c r="AH7" s="13">
        <f t="shared" si="17"/>
        <v>5492</v>
      </c>
      <c r="AI7" s="13">
        <f t="shared" si="1"/>
        <v>10163</v>
      </c>
      <c r="AJ7" s="13">
        <f t="shared" si="2"/>
        <v>159531</v>
      </c>
      <c r="AK7" s="13">
        <f t="shared" si="3"/>
        <v>5480</v>
      </c>
      <c r="AL7" s="13">
        <f t="shared" si="4"/>
        <v>154051</v>
      </c>
      <c r="AM7" s="13">
        <v>5000</v>
      </c>
      <c r="AN7" s="13">
        <f t="shared" si="5"/>
        <v>0</v>
      </c>
      <c r="AO7" s="13">
        <f t="shared" si="6"/>
        <v>0</v>
      </c>
      <c r="AP7" s="13">
        <f t="shared" si="7"/>
        <v>2343</v>
      </c>
      <c r="AQ7" s="13">
        <f t="shared" si="8"/>
        <v>840</v>
      </c>
      <c r="AR7" s="13">
        <f t="shared" si="9"/>
        <v>1250.00000000011</v>
      </c>
      <c r="AS7" s="17">
        <f t="shared" si="10"/>
        <v>0</v>
      </c>
      <c r="AT7" s="17">
        <f t="shared" si="11"/>
        <v>0</v>
      </c>
      <c r="AU7" s="18">
        <f t="shared" si="12"/>
        <v>15.2</v>
      </c>
      <c r="AV7" s="17">
        <f t="shared" si="13"/>
        <v>5.45</v>
      </c>
    </row>
    <row r="8" spans="1:48">
      <c r="A8" s="6">
        <v>43775</v>
      </c>
      <c r="B8" s="5" t="s">
        <v>50</v>
      </c>
      <c r="C8" s="4">
        <v>42434287</v>
      </c>
      <c r="D8" s="4">
        <v>31026294</v>
      </c>
      <c r="E8" s="4">
        <v>25954105</v>
      </c>
      <c r="F8" s="4">
        <v>25523925</v>
      </c>
      <c r="G8" s="4">
        <v>333231231</v>
      </c>
      <c r="H8" s="4">
        <v>107532310</v>
      </c>
      <c r="I8" s="4">
        <v>333231112</v>
      </c>
      <c r="J8" s="4">
        <v>107532312</v>
      </c>
      <c r="K8" s="4"/>
      <c r="L8" s="5">
        <v>4299.8</v>
      </c>
      <c r="M8" s="5">
        <v>4575.9</v>
      </c>
      <c r="N8" s="5">
        <v>74195.2</v>
      </c>
      <c r="O8" s="5">
        <v>1633.8</v>
      </c>
      <c r="P8" s="5">
        <v>1628</v>
      </c>
      <c r="Q8" s="5"/>
      <c r="R8" s="5"/>
      <c r="S8" s="10">
        <v>24.6</v>
      </c>
      <c r="T8" s="4" t="s">
        <v>62</v>
      </c>
      <c r="U8" s="4">
        <v>570</v>
      </c>
      <c r="V8" s="4">
        <v>580</v>
      </c>
      <c r="W8" s="4">
        <v>7584</v>
      </c>
      <c r="X8" s="4">
        <v>5470</v>
      </c>
      <c r="Y8" s="5">
        <v>4.69</v>
      </c>
      <c r="Z8" s="5">
        <v>2.65</v>
      </c>
      <c r="AA8" s="4">
        <v>1064</v>
      </c>
      <c r="AB8" s="4"/>
      <c r="AC8" s="13">
        <f t="shared" ref="AC8:AH8" si="18">IF(OR(C9=""),"",C9-C8)</f>
        <v>39005</v>
      </c>
      <c r="AD8" s="13">
        <f t="shared" si="18"/>
        <v>45187</v>
      </c>
      <c r="AE8" s="13">
        <f t="shared" si="18"/>
        <v>41705</v>
      </c>
      <c r="AF8" s="13">
        <f t="shared" si="18"/>
        <v>40613</v>
      </c>
      <c r="AG8" s="13">
        <f t="shared" si="18"/>
        <v>158278</v>
      </c>
      <c r="AH8" s="13">
        <f t="shared" si="18"/>
        <v>5466</v>
      </c>
      <c r="AI8" s="13">
        <f t="shared" si="1"/>
        <v>8232</v>
      </c>
      <c r="AJ8" s="13">
        <f t="shared" si="2"/>
        <v>158579</v>
      </c>
      <c r="AK8" s="13">
        <f t="shared" si="3"/>
        <v>5464</v>
      </c>
      <c r="AL8" s="13">
        <f t="shared" si="4"/>
        <v>153115</v>
      </c>
      <c r="AM8" s="13">
        <v>6000</v>
      </c>
      <c r="AN8" s="13">
        <f t="shared" si="5"/>
        <v>0</v>
      </c>
      <c r="AO8" s="13">
        <f t="shared" si="6"/>
        <v>0</v>
      </c>
      <c r="AP8" s="13">
        <f t="shared" si="7"/>
        <v>4047</v>
      </c>
      <c r="AQ8" s="13">
        <f t="shared" si="8"/>
        <v>1392</v>
      </c>
      <c r="AR8" s="13">
        <f t="shared" si="9"/>
        <v>1500.00000000011</v>
      </c>
      <c r="AS8" s="17">
        <f t="shared" si="10"/>
        <v>0</v>
      </c>
      <c r="AT8" s="17">
        <f t="shared" si="11"/>
        <v>0</v>
      </c>
      <c r="AU8" s="18">
        <f t="shared" si="12"/>
        <v>26.4</v>
      </c>
      <c r="AV8" s="17">
        <f t="shared" si="13"/>
        <v>9.09</v>
      </c>
    </row>
    <row r="9" spans="1:48">
      <c r="A9" s="6">
        <v>43776</v>
      </c>
      <c r="B9" s="21" t="s">
        <v>48</v>
      </c>
      <c r="C9" s="4">
        <v>42473292</v>
      </c>
      <c r="D9" s="4">
        <v>31071481</v>
      </c>
      <c r="E9" s="4">
        <v>25995810</v>
      </c>
      <c r="F9" s="4">
        <v>25564538</v>
      </c>
      <c r="G9" s="4">
        <v>333389509</v>
      </c>
      <c r="H9" s="4">
        <v>107537776</v>
      </c>
      <c r="I9" s="4">
        <v>333389691</v>
      </c>
      <c r="J9" s="4">
        <v>107537776</v>
      </c>
      <c r="K9" s="4"/>
      <c r="L9" s="5">
        <v>4299.8</v>
      </c>
      <c r="M9" s="5">
        <v>4575.9</v>
      </c>
      <c r="N9" s="5">
        <v>74195.2</v>
      </c>
      <c r="O9" s="5">
        <v>1636.5</v>
      </c>
      <c r="P9" s="5">
        <v>1628.3</v>
      </c>
      <c r="Q9" s="5"/>
      <c r="R9" s="5"/>
      <c r="S9" s="10">
        <v>23.8</v>
      </c>
      <c r="T9" s="4" t="s">
        <v>62</v>
      </c>
      <c r="U9" s="4">
        <v>780</v>
      </c>
      <c r="V9" s="4">
        <v>760</v>
      </c>
      <c r="W9" s="4">
        <v>6895</v>
      </c>
      <c r="X9" s="4">
        <v>5741</v>
      </c>
      <c r="Y9" s="5">
        <v>5.84</v>
      </c>
      <c r="Z9" s="5">
        <v>2.92</v>
      </c>
      <c r="AA9" s="4">
        <v>1231</v>
      </c>
      <c r="AB9" s="4"/>
      <c r="AC9" s="13">
        <f t="shared" ref="AC9:AH9" si="19">IF(OR(C10=""),"",C10-C9)</f>
        <v>36928</v>
      </c>
      <c r="AD9" s="13">
        <f t="shared" si="19"/>
        <v>41128</v>
      </c>
      <c r="AE9" s="13">
        <f t="shared" si="19"/>
        <v>38355</v>
      </c>
      <c r="AF9" s="13">
        <f t="shared" si="19"/>
        <v>37630</v>
      </c>
      <c r="AG9" s="13">
        <f t="shared" si="19"/>
        <v>150546</v>
      </c>
      <c r="AH9" s="13">
        <f t="shared" si="19"/>
        <v>5485</v>
      </c>
      <c r="AI9" s="13">
        <f t="shared" si="1"/>
        <v>3495</v>
      </c>
      <c r="AJ9" s="13">
        <f t="shared" si="2"/>
        <v>150241</v>
      </c>
      <c r="AK9" s="13">
        <f t="shared" si="3"/>
        <v>5480</v>
      </c>
      <c r="AL9" s="13">
        <f t="shared" si="4"/>
        <v>144761</v>
      </c>
      <c r="AM9" s="13">
        <v>5500</v>
      </c>
      <c r="AN9" s="13">
        <f t="shared" si="5"/>
        <v>0</v>
      </c>
      <c r="AO9" s="13">
        <f t="shared" si="6"/>
        <v>0</v>
      </c>
      <c r="AP9" s="13">
        <f t="shared" si="7"/>
        <v>5538</v>
      </c>
      <c r="AQ9" s="13">
        <f t="shared" si="8"/>
        <v>1824</v>
      </c>
      <c r="AR9" s="13">
        <f t="shared" si="9"/>
        <v>1299.99999999984</v>
      </c>
      <c r="AS9" s="17">
        <f t="shared" si="10"/>
        <v>0</v>
      </c>
      <c r="AT9" s="17">
        <f t="shared" si="11"/>
        <v>0</v>
      </c>
      <c r="AU9" s="18">
        <f t="shared" si="12"/>
        <v>38.3</v>
      </c>
      <c r="AV9" s="17">
        <f t="shared" si="13"/>
        <v>12.6</v>
      </c>
    </row>
    <row r="10" spans="1:48">
      <c r="A10" s="6">
        <v>43777</v>
      </c>
      <c r="B10" s="21" t="s">
        <v>48</v>
      </c>
      <c r="C10" s="4">
        <v>42510220</v>
      </c>
      <c r="D10" s="4">
        <v>31112609</v>
      </c>
      <c r="E10" s="4">
        <v>26034165</v>
      </c>
      <c r="F10" s="4">
        <v>25602168</v>
      </c>
      <c r="G10" s="4">
        <v>333540055</v>
      </c>
      <c r="H10" s="4">
        <v>107543261</v>
      </c>
      <c r="I10" s="4">
        <v>333539932</v>
      </c>
      <c r="J10" s="4">
        <v>107543256</v>
      </c>
      <c r="K10" s="4"/>
      <c r="L10" s="5">
        <v>4299.8</v>
      </c>
      <c r="M10" s="5">
        <v>4575.9</v>
      </c>
      <c r="N10" s="5">
        <v>74195.2</v>
      </c>
      <c r="O10" s="5">
        <v>1639.1</v>
      </c>
      <c r="P10" s="5">
        <v>1628.3</v>
      </c>
      <c r="Q10" s="5"/>
      <c r="R10" s="5"/>
      <c r="S10" s="10">
        <v>24.4</v>
      </c>
      <c r="T10" s="4" t="s">
        <v>62</v>
      </c>
      <c r="U10" s="4">
        <v>650</v>
      </c>
      <c r="V10" s="4">
        <v>660</v>
      </c>
      <c r="W10" s="4">
        <v>9332</v>
      </c>
      <c r="X10" s="4">
        <v>5079</v>
      </c>
      <c r="Y10" s="5">
        <v>5.3</v>
      </c>
      <c r="Z10" s="5">
        <v>3.9</v>
      </c>
      <c r="AA10" s="4">
        <v>1313</v>
      </c>
      <c r="AB10" s="4"/>
      <c r="AC10" s="13">
        <f t="shared" ref="AC10:AH10" si="20">IF(OR(C11=""),"",C11-C10)</f>
        <v>42927</v>
      </c>
      <c r="AD10" s="13">
        <f t="shared" si="20"/>
        <v>50465</v>
      </c>
      <c r="AE10" s="13">
        <f t="shared" si="20"/>
        <v>45673</v>
      </c>
      <c r="AF10" s="13">
        <f t="shared" si="20"/>
        <v>45194</v>
      </c>
      <c r="AG10" s="13">
        <f t="shared" si="20"/>
        <v>172120</v>
      </c>
      <c r="AH10" s="13">
        <f t="shared" si="20"/>
        <v>4471</v>
      </c>
      <c r="AI10" s="13">
        <f t="shared" si="1"/>
        <v>12139</v>
      </c>
      <c r="AJ10" s="13">
        <f t="shared" si="2"/>
        <v>172199</v>
      </c>
      <c r="AK10" s="13">
        <f t="shared" si="3"/>
        <v>4472</v>
      </c>
      <c r="AL10" s="13">
        <f t="shared" si="4"/>
        <v>167727</v>
      </c>
      <c r="AM10" s="13">
        <v>5500</v>
      </c>
      <c r="AN10" s="13">
        <f t="shared" si="5"/>
        <v>0</v>
      </c>
      <c r="AO10" s="13">
        <f t="shared" si="6"/>
        <v>0</v>
      </c>
      <c r="AP10" s="13">
        <f t="shared" si="7"/>
        <v>4615</v>
      </c>
      <c r="AQ10" s="13">
        <f t="shared" si="8"/>
        <v>1584</v>
      </c>
      <c r="AR10" s="13">
        <f t="shared" si="9"/>
        <v>2250.00000000011</v>
      </c>
      <c r="AS10" s="17">
        <f t="shared" si="10"/>
        <v>0</v>
      </c>
      <c r="AT10" s="17">
        <f t="shared" si="11"/>
        <v>0</v>
      </c>
      <c r="AU10" s="18">
        <f t="shared" si="12"/>
        <v>27.5</v>
      </c>
      <c r="AV10" s="17">
        <f t="shared" si="13"/>
        <v>9.44</v>
      </c>
    </row>
    <row r="11" spans="1:48">
      <c r="A11" s="6">
        <v>43778</v>
      </c>
      <c r="B11" s="21" t="s">
        <v>48</v>
      </c>
      <c r="C11" s="4">
        <v>42553147</v>
      </c>
      <c r="D11" s="4">
        <v>31163074</v>
      </c>
      <c r="E11" s="4">
        <v>26079838</v>
      </c>
      <c r="F11" s="4">
        <v>25647362</v>
      </c>
      <c r="G11" s="4">
        <v>333712175</v>
      </c>
      <c r="H11" s="4">
        <v>107547732</v>
      </c>
      <c r="I11" s="4">
        <v>333712131</v>
      </c>
      <c r="J11" s="4">
        <v>107547728</v>
      </c>
      <c r="K11" s="4"/>
      <c r="L11" s="5">
        <v>4299.8</v>
      </c>
      <c r="M11" s="5">
        <v>4575.9</v>
      </c>
      <c r="N11" s="5">
        <v>74195.2</v>
      </c>
      <c r="O11" s="5">
        <v>1641.7</v>
      </c>
      <c r="P11" s="5">
        <v>1630.2</v>
      </c>
      <c r="Q11" s="5"/>
      <c r="R11" s="5"/>
      <c r="S11" s="10">
        <v>24</v>
      </c>
      <c r="T11" s="4" t="s">
        <v>62</v>
      </c>
      <c r="U11" s="4">
        <v>450</v>
      </c>
      <c r="V11" s="4">
        <v>470</v>
      </c>
      <c r="W11" s="4">
        <v>9244</v>
      </c>
      <c r="X11" s="4">
        <v>5921</v>
      </c>
      <c r="Y11" s="5">
        <v>4.9</v>
      </c>
      <c r="Z11" s="5">
        <v>3.6</v>
      </c>
      <c r="AA11" s="4">
        <v>1306</v>
      </c>
      <c r="AB11" s="4"/>
      <c r="AC11" s="13">
        <f t="shared" ref="AC11:AH11" si="21">IF(OR(C12=""),"",C12-C11)</f>
        <v>44036</v>
      </c>
      <c r="AD11" s="13">
        <f t="shared" si="21"/>
        <v>52389</v>
      </c>
      <c r="AE11" s="13">
        <f t="shared" si="21"/>
        <v>46469</v>
      </c>
      <c r="AF11" s="13">
        <f t="shared" si="21"/>
        <v>45512</v>
      </c>
      <c r="AG11" s="13">
        <f t="shared" si="21"/>
        <v>181163</v>
      </c>
      <c r="AH11" s="13">
        <f t="shared" si="21"/>
        <v>5395</v>
      </c>
      <c r="AI11" s="13">
        <f t="shared" si="1"/>
        <v>7243</v>
      </c>
      <c r="AJ11" s="13">
        <f t="shared" si="2"/>
        <v>181059</v>
      </c>
      <c r="AK11" s="13">
        <f t="shared" si="3"/>
        <v>5392</v>
      </c>
      <c r="AL11" s="13">
        <f t="shared" si="4"/>
        <v>175667</v>
      </c>
      <c r="AM11" s="13">
        <v>5000</v>
      </c>
      <c r="AN11" s="13">
        <f t="shared" si="5"/>
        <v>0</v>
      </c>
      <c r="AO11" s="13">
        <f t="shared" si="6"/>
        <v>0</v>
      </c>
      <c r="AP11" s="13">
        <f t="shared" si="7"/>
        <v>3195</v>
      </c>
      <c r="AQ11" s="13">
        <f t="shared" si="8"/>
        <v>1128</v>
      </c>
      <c r="AR11" s="13">
        <f t="shared" si="9"/>
        <v>3500</v>
      </c>
      <c r="AS11" s="17">
        <f t="shared" si="10"/>
        <v>0</v>
      </c>
      <c r="AT11" s="17">
        <f t="shared" si="11"/>
        <v>0</v>
      </c>
      <c r="AU11" s="18">
        <f t="shared" si="12"/>
        <v>18.2</v>
      </c>
      <c r="AV11" s="17">
        <f t="shared" si="13"/>
        <v>6.42</v>
      </c>
    </row>
    <row r="12" spans="1:48">
      <c r="A12" s="6">
        <v>43779</v>
      </c>
      <c r="B12" s="21" t="s">
        <v>48</v>
      </c>
      <c r="C12" s="4">
        <v>42597183</v>
      </c>
      <c r="D12" s="4">
        <v>31215463</v>
      </c>
      <c r="E12" s="4">
        <v>26126307</v>
      </c>
      <c r="F12" s="4">
        <v>25692874</v>
      </c>
      <c r="G12" s="4">
        <v>333893338</v>
      </c>
      <c r="H12" s="4">
        <v>107553127</v>
      </c>
      <c r="I12" s="4">
        <v>333893190</v>
      </c>
      <c r="J12" s="4">
        <v>107553120</v>
      </c>
      <c r="K12" s="4"/>
      <c r="L12" s="5">
        <v>4299.8</v>
      </c>
      <c r="M12" s="5">
        <v>4575.9</v>
      </c>
      <c r="N12" s="5">
        <v>74195.2</v>
      </c>
      <c r="O12" s="5">
        <v>1645.2</v>
      </c>
      <c r="P12" s="5">
        <v>1633.7</v>
      </c>
      <c r="Q12" s="5"/>
      <c r="R12" s="5"/>
      <c r="S12" s="10">
        <v>23</v>
      </c>
      <c r="T12" s="4" t="s">
        <v>71</v>
      </c>
      <c r="U12" s="4">
        <v>280</v>
      </c>
      <c r="V12" s="4">
        <v>300</v>
      </c>
      <c r="W12" s="4">
        <v>8362</v>
      </c>
      <c r="X12" s="4">
        <v>5847</v>
      </c>
      <c r="Y12" s="5">
        <v>5.44</v>
      </c>
      <c r="Z12" s="5">
        <v>2.8</v>
      </c>
      <c r="AA12" s="4">
        <v>1252</v>
      </c>
      <c r="AB12" s="4"/>
      <c r="AC12" s="13">
        <f t="shared" ref="AC12:AH12" si="22">IF(OR(C13=""),"",C13-C12)</f>
        <v>43637</v>
      </c>
      <c r="AD12" s="13">
        <f t="shared" si="22"/>
        <v>50536</v>
      </c>
      <c r="AE12" s="13">
        <f t="shared" si="22"/>
        <v>45273</v>
      </c>
      <c r="AF12" s="13">
        <f t="shared" si="22"/>
        <v>43785</v>
      </c>
      <c r="AG12" s="13">
        <f t="shared" si="22"/>
        <v>174431</v>
      </c>
      <c r="AH12" s="13">
        <f t="shared" si="22"/>
        <v>5424</v>
      </c>
      <c r="AI12" s="13">
        <f t="shared" si="1"/>
        <v>8800</v>
      </c>
      <c r="AJ12" s="13">
        <f t="shared" si="2"/>
        <v>174452</v>
      </c>
      <c r="AK12" s="13">
        <f t="shared" si="3"/>
        <v>5424</v>
      </c>
      <c r="AL12" s="13">
        <f t="shared" si="4"/>
        <v>169028</v>
      </c>
      <c r="AM12" s="13">
        <v>5500</v>
      </c>
      <c r="AN12" s="13">
        <f t="shared" si="5"/>
        <v>0</v>
      </c>
      <c r="AO12" s="13">
        <f t="shared" si="6"/>
        <v>0</v>
      </c>
      <c r="AP12" s="13">
        <f t="shared" si="7"/>
        <v>1988</v>
      </c>
      <c r="AQ12" s="13">
        <f t="shared" si="8"/>
        <v>720</v>
      </c>
      <c r="AR12" s="13">
        <f t="shared" si="9"/>
        <v>3950.00000000005</v>
      </c>
      <c r="AS12" s="17">
        <f t="shared" si="10"/>
        <v>0</v>
      </c>
      <c r="AT12" s="17">
        <f t="shared" si="11"/>
        <v>0</v>
      </c>
      <c r="AU12" s="18">
        <f t="shared" si="12"/>
        <v>11.8</v>
      </c>
      <c r="AV12" s="17">
        <f t="shared" si="13"/>
        <v>4.26</v>
      </c>
    </row>
    <row r="13" spans="1:48">
      <c r="A13" s="6">
        <v>43780</v>
      </c>
      <c r="B13" s="21" t="s">
        <v>48</v>
      </c>
      <c r="C13" s="4">
        <v>42640820</v>
      </c>
      <c r="D13" s="4">
        <v>31265999</v>
      </c>
      <c r="E13" s="4">
        <v>26171580</v>
      </c>
      <c r="F13" s="4">
        <v>25736659</v>
      </c>
      <c r="G13" s="4">
        <v>334067769</v>
      </c>
      <c r="H13" s="4">
        <v>107558551</v>
      </c>
      <c r="I13" s="4">
        <v>334067642</v>
      </c>
      <c r="J13" s="4">
        <v>107558544</v>
      </c>
      <c r="K13" s="4"/>
      <c r="L13" s="5">
        <v>4299.8</v>
      </c>
      <c r="M13" s="5">
        <v>4575.9</v>
      </c>
      <c r="N13" s="5">
        <v>74195.2</v>
      </c>
      <c r="O13" s="5">
        <v>1649.2</v>
      </c>
      <c r="P13" s="5">
        <v>1637.6</v>
      </c>
      <c r="Q13" s="5"/>
      <c r="R13" s="5"/>
      <c r="S13" s="10">
        <v>24.4</v>
      </c>
      <c r="T13" s="4" t="s">
        <v>54</v>
      </c>
      <c r="U13" s="4">
        <v>290</v>
      </c>
      <c r="V13" s="4">
        <v>320</v>
      </c>
      <c r="W13" s="4">
        <v>9127</v>
      </c>
      <c r="X13" s="4">
        <v>4219</v>
      </c>
      <c r="Y13" s="5">
        <v>5.15</v>
      </c>
      <c r="Z13" s="5">
        <v>2.47</v>
      </c>
      <c r="AA13" s="4">
        <v>1211</v>
      </c>
      <c r="AB13" s="4"/>
      <c r="AC13" s="13">
        <f t="shared" ref="AC13:AH13" si="23">IF(OR(C14=""),"",C14-C13)</f>
        <v>43096</v>
      </c>
      <c r="AD13" s="13">
        <f t="shared" si="23"/>
        <v>50419</v>
      </c>
      <c r="AE13" s="13">
        <f t="shared" si="23"/>
        <v>44995</v>
      </c>
      <c r="AF13" s="13">
        <f t="shared" si="23"/>
        <v>44160</v>
      </c>
      <c r="AG13" s="13">
        <f t="shared" si="23"/>
        <v>177538</v>
      </c>
      <c r="AH13" s="13">
        <f t="shared" si="23"/>
        <v>5425</v>
      </c>
      <c r="AI13" s="13">
        <f t="shared" si="1"/>
        <v>5132</v>
      </c>
      <c r="AJ13" s="13">
        <f t="shared" si="2"/>
        <v>178244</v>
      </c>
      <c r="AK13" s="13">
        <f t="shared" si="3"/>
        <v>5456</v>
      </c>
      <c r="AL13" s="13">
        <f t="shared" si="4"/>
        <v>172788</v>
      </c>
      <c r="AM13" s="13">
        <v>5300</v>
      </c>
      <c r="AN13" s="13">
        <f t="shared" si="5"/>
        <v>0</v>
      </c>
      <c r="AO13" s="13">
        <f t="shared" si="6"/>
        <v>0</v>
      </c>
      <c r="AP13" s="13">
        <f t="shared" si="7"/>
        <v>2059</v>
      </c>
      <c r="AQ13" s="13">
        <f t="shared" si="8"/>
        <v>768</v>
      </c>
      <c r="AR13" s="13">
        <f t="shared" si="9"/>
        <v>3750.00000000011</v>
      </c>
      <c r="AS13" s="17">
        <f t="shared" si="10"/>
        <v>0</v>
      </c>
      <c r="AT13" s="17">
        <f t="shared" si="11"/>
        <v>0</v>
      </c>
      <c r="AU13" s="18">
        <f t="shared" si="12"/>
        <v>11.9</v>
      </c>
      <c r="AV13" s="17">
        <f t="shared" si="13"/>
        <v>4.44</v>
      </c>
    </row>
    <row r="14" spans="1:48">
      <c r="A14" s="6">
        <v>43781</v>
      </c>
      <c r="B14" s="5" t="s">
        <v>55</v>
      </c>
      <c r="C14" s="4">
        <v>42683916</v>
      </c>
      <c r="D14" s="4">
        <v>31316418</v>
      </c>
      <c r="E14" s="4">
        <v>26216575</v>
      </c>
      <c r="F14" s="4">
        <v>25780819</v>
      </c>
      <c r="G14" s="4">
        <v>334245307</v>
      </c>
      <c r="H14" s="4">
        <v>107563976</v>
      </c>
      <c r="I14" s="4">
        <v>334245886</v>
      </c>
      <c r="J14" s="4">
        <v>107564000</v>
      </c>
      <c r="K14" s="4"/>
      <c r="L14" s="5">
        <v>4299.8</v>
      </c>
      <c r="M14" s="5">
        <v>4575.9</v>
      </c>
      <c r="N14" s="5">
        <v>74195.2</v>
      </c>
      <c r="O14" s="5">
        <v>1653</v>
      </c>
      <c r="P14" s="5">
        <v>1641.3</v>
      </c>
      <c r="Q14" s="5"/>
      <c r="R14" s="5"/>
      <c r="S14" s="10">
        <v>24.3</v>
      </c>
      <c r="T14" s="4" t="s">
        <v>54</v>
      </c>
      <c r="U14" s="4">
        <v>200</v>
      </c>
      <c r="V14" s="4">
        <v>220</v>
      </c>
      <c r="W14" s="4">
        <v>9235</v>
      </c>
      <c r="X14" s="4">
        <v>4268</v>
      </c>
      <c r="Y14" s="5">
        <v>5.45</v>
      </c>
      <c r="Z14" s="5">
        <v>2.54</v>
      </c>
      <c r="AA14" s="4">
        <v>1200</v>
      </c>
      <c r="AB14" s="4"/>
      <c r="AC14" s="13">
        <f t="shared" ref="AC14:AH14" si="24">IF(OR(C15=""),"",C15-C14)</f>
        <v>43679</v>
      </c>
      <c r="AD14" s="13">
        <f t="shared" si="24"/>
        <v>52125</v>
      </c>
      <c r="AE14" s="13">
        <f t="shared" si="24"/>
        <v>46554</v>
      </c>
      <c r="AF14" s="13">
        <f t="shared" si="24"/>
        <v>45615</v>
      </c>
      <c r="AG14" s="13">
        <f t="shared" si="24"/>
        <v>175391</v>
      </c>
      <c r="AH14" s="13">
        <f t="shared" si="24"/>
        <v>4348</v>
      </c>
      <c r="AI14" s="13">
        <f t="shared" si="1"/>
        <v>12582</v>
      </c>
      <c r="AJ14" s="13">
        <f t="shared" si="2"/>
        <v>174991</v>
      </c>
      <c r="AK14" s="13">
        <f t="shared" si="3"/>
        <v>5400</v>
      </c>
      <c r="AL14" s="13">
        <f t="shared" si="4"/>
        <v>169591</v>
      </c>
      <c r="AM14" s="13">
        <v>5500</v>
      </c>
      <c r="AN14" s="13">
        <f t="shared" si="5"/>
        <v>0</v>
      </c>
      <c r="AO14" s="13">
        <f t="shared" si="6"/>
        <v>0</v>
      </c>
      <c r="AP14" s="13">
        <f t="shared" si="7"/>
        <v>1420</v>
      </c>
      <c r="AQ14" s="13">
        <f t="shared" si="8"/>
        <v>528</v>
      </c>
      <c r="AR14" s="13">
        <f t="shared" si="9"/>
        <v>3250.00000000011</v>
      </c>
      <c r="AS14" s="17">
        <f t="shared" si="10"/>
        <v>0</v>
      </c>
      <c r="AT14" s="17">
        <f t="shared" si="11"/>
        <v>0</v>
      </c>
      <c r="AU14" s="18">
        <f t="shared" si="12"/>
        <v>8.4</v>
      </c>
      <c r="AV14" s="17">
        <f t="shared" si="13"/>
        <v>3.11</v>
      </c>
    </row>
    <row r="15" spans="1:48">
      <c r="A15" s="6">
        <v>43782</v>
      </c>
      <c r="B15" s="5" t="s">
        <v>45</v>
      </c>
      <c r="C15" s="4">
        <v>42727595</v>
      </c>
      <c r="D15" s="4">
        <v>31368543</v>
      </c>
      <c r="E15" s="4">
        <v>26263129</v>
      </c>
      <c r="F15" s="4">
        <v>25826434</v>
      </c>
      <c r="G15" s="4">
        <v>334420698</v>
      </c>
      <c r="H15" s="4">
        <v>107568324</v>
      </c>
      <c r="I15" s="4">
        <v>334420877</v>
      </c>
      <c r="J15" s="4">
        <v>107569400</v>
      </c>
      <c r="K15" s="4"/>
      <c r="L15" s="5">
        <v>4299.8</v>
      </c>
      <c r="M15" s="5">
        <v>4575.9</v>
      </c>
      <c r="N15" s="5">
        <v>74195.2</v>
      </c>
      <c r="O15" s="5">
        <v>1656.3</v>
      </c>
      <c r="P15" s="5">
        <v>1644.5</v>
      </c>
      <c r="Q15" s="5"/>
      <c r="R15" s="5"/>
      <c r="S15" s="10">
        <v>23</v>
      </c>
      <c r="T15" s="4" t="s">
        <v>54</v>
      </c>
      <c r="U15" s="4">
        <v>450</v>
      </c>
      <c r="V15" s="4">
        <v>460</v>
      </c>
      <c r="W15" s="4">
        <v>8460</v>
      </c>
      <c r="X15" s="4">
        <v>4226</v>
      </c>
      <c r="Y15" s="5">
        <v>5.31</v>
      </c>
      <c r="Z15" s="5">
        <v>3.02</v>
      </c>
      <c r="AA15" s="4">
        <v>1380</v>
      </c>
      <c r="AB15" s="4"/>
      <c r="AC15" s="13">
        <f t="shared" ref="AC15:AH15" si="25">IF(OR(C16=""),"",C16-C15)</f>
        <v>42379</v>
      </c>
      <c r="AD15" s="13">
        <f t="shared" si="25"/>
        <v>49967</v>
      </c>
      <c r="AE15" s="13">
        <f t="shared" si="25"/>
        <v>44935</v>
      </c>
      <c r="AF15" s="13">
        <f t="shared" si="25"/>
        <v>43287</v>
      </c>
      <c r="AG15" s="13">
        <f t="shared" si="25"/>
        <v>178737</v>
      </c>
      <c r="AH15" s="13">
        <f t="shared" si="25"/>
        <v>6520</v>
      </c>
      <c r="AI15" s="13">
        <f t="shared" si="1"/>
        <v>1831</v>
      </c>
      <c r="AJ15" s="13">
        <f t="shared" si="2"/>
        <v>178269</v>
      </c>
      <c r="AK15" s="13">
        <f t="shared" si="3"/>
        <v>5440</v>
      </c>
      <c r="AL15" s="13">
        <f t="shared" si="4"/>
        <v>172829</v>
      </c>
      <c r="AM15" s="13">
        <v>5000</v>
      </c>
      <c r="AN15" s="13">
        <f t="shared" si="5"/>
        <v>0</v>
      </c>
      <c r="AO15" s="13">
        <f t="shared" si="6"/>
        <v>0</v>
      </c>
      <c r="AP15" s="13">
        <f t="shared" si="7"/>
        <v>3195</v>
      </c>
      <c r="AQ15" s="13">
        <f t="shared" si="8"/>
        <v>1104</v>
      </c>
      <c r="AR15" s="13">
        <f t="shared" si="9"/>
        <v>3050.00000000007</v>
      </c>
      <c r="AS15" s="17">
        <f t="shared" si="10"/>
        <v>0</v>
      </c>
      <c r="AT15" s="17">
        <f t="shared" si="11"/>
        <v>0</v>
      </c>
      <c r="AU15" s="18">
        <f t="shared" si="12"/>
        <v>18.5</v>
      </c>
      <c r="AV15" s="17">
        <f t="shared" si="13"/>
        <v>6.39</v>
      </c>
    </row>
    <row r="16" spans="1:48">
      <c r="A16" s="6">
        <v>43783</v>
      </c>
      <c r="B16" s="5" t="s">
        <v>50</v>
      </c>
      <c r="C16" s="4">
        <v>42769974</v>
      </c>
      <c r="D16" s="4">
        <v>31418510</v>
      </c>
      <c r="E16" s="4">
        <v>26308064</v>
      </c>
      <c r="F16" s="4">
        <v>25869721</v>
      </c>
      <c r="G16" s="4">
        <v>334599435</v>
      </c>
      <c r="H16" s="4">
        <v>107574844</v>
      </c>
      <c r="I16" s="4">
        <v>334599146</v>
      </c>
      <c r="J16" s="4">
        <v>107574840</v>
      </c>
      <c r="K16" s="4"/>
      <c r="L16" s="5">
        <v>4299.8</v>
      </c>
      <c r="M16" s="5">
        <v>4575.9</v>
      </c>
      <c r="N16" s="5">
        <v>74195.2</v>
      </c>
      <c r="O16" s="5">
        <v>1659.4</v>
      </c>
      <c r="P16" s="5">
        <v>1647.5</v>
      </c>
      <c r="Q16" s="5"/>
      <c r="R16" s="5"/>
      <c r="S16" s="10">
        <v>23.5</v>
      </c>
      <c r="T16" s="4" t="s">
        <v>54</v>
      </c>
      <c r="U16" s="4">
        <v>800</v>
      </c>
      <c r="V16" s="4">
        <v>780</v>
      </c>
      <c r="W16" s="4">
        <v>8293</v>
      </c>
      <c r="X16" s="4">
        <v>4725</v>
      </c>
      <c r="Y16" s="5">
        <v>4.99</v>
      </c>
      <c r="Z16" s="5">
        <v>2.89</v>
      </c>
      <c r="AA16" s="4">
        <v>1180</v>
      </c>
      <c r="AB16" s="4"/>
      <c r="AC16" s="13">
        <f t="shared" ref="AC16:AH16" si="26">IF(OR(C17=""),"",C17-C16)</f>
        <v>39758</v>
      </c>
      <c r="AD16" s="13">
        <f t="shared" si="26"/>
        <v>46257</v>
      </c>
      <c r="AE16" s="13">
        <f t="shared" si="26"/>
        <v>43145</v>
      </c>
      <c r="AF16" s="13">
        <f t="shared" si="26"/>
        <v>41525</v>
      </c>
      <c r="AG16" s="13">
        <f t="shared" si="26"/>
        <v>162565</v>
      </c>
      <c r="AH16" s="13">
        <f t="shared" si="26"/>
        <v>5406</v>
      </c>
      <c r="AI16" s="13">
        <f t="shared" si="1"/>
        <v>8120</v>
      </c>
      <c r="AJ16" s="13">
        <f t="shared" si="2"/>
        <v>162657</v>
      </c>
      <c r="AK16" s="13">
        <f t="shared" si="3"/>
        <v>5424</v>
      </c>
      <c r="AL16" s="13">
        <f t="shared" si="4"/>
        <v>157233</v>
      </c>
      <c r="AM16" s="13">
        <v>5500</v>
      </c>
      <c r="AN16" s="13">
        <f t="shared" si="5"/>
        <v>372</v>
      </c>
      <c r="AO16" s="13">
        <f t="shared" si="6"/>
        <v>0</v>
      </c>
      <c r="AP16" s="13">
        <f t="shared" si="7"/>
        <v>5680</v>
      </c>
      <c r="AQ16" s="13">
        <f t="shared" si="8"/>
        <v>1872</v>
      </c>
      <c r="AR16" s="13">
        <f t="shared" si="9"/>
        <v>3950.00000000005</v>
      </c>
      <c r="AS16" s="17">
        <f t="shared" si="10"/>
        <v>2.4</v>
      </c>
      <c r="AT16" s="17">
        <f t="shared" si="11"/>
        <v>0</v>
      </c>
      <c r="AU16" s="18">
        <f t="shared" si="12"/>
        <v>36.1</v>
      </c>
      <c r="AV16" s="17">
        <f t="shared" si="13"/>
        <v>11.91</v>
      </c>
    </row>
    <row r="17" spans="1:48">
      <c r="A17" s="6">
        <v>43784</v>
      </c>
      <c r="B17" s="21" t="s">
        <v>48</v>
      </c>
      <c r="C17" s="4">
        <v>42809732</v>
      </c>
      <c r="D17" s="4">
        <v>31464767</v>
      </c>
      <c r="E17" s="4">
        <v>26351209</v>
      </c>
      <c r="F17" s="4">
        <v>25911246</v>
      </c>
      <c r="G17" s="4">
        <v>334762000</v>
      </c>
      <c r="H17" s="4">
        <v>107580250</v>
      </c>
      <c r="I17" s="4">
        <v>334761803</v>
      </c>
      <c r="J17" s="4">
        <v>107580264</v>
      </c>
      <c r="K17" s="4"/>
      <c r="L17" s="5">
        <v>4299.8</v>
      </c>
      <c r="M17" s="5">
        <v>4576.21</v>
      </c>
      <c r="N17" s="5">
        <v>74195.28</v>
      </c>
      <c r="O17" s="5">
        <v>1664.2</v>
      </c>
      <c r="P17" s="5">
        <v>1650.6</v>
      </c>
      <c r="Q17" s="5"/>
      <c r="R17" s="5"/>
      <c r="S17" s="10">
        <v>23.4</v>
      </c>
      <c r="T17" s="4" t="s">
        <v>62</v>
      </c>
      <c r="U17" s="4">
        <v>700</v>
      </c>
      <c r="V17" s="4">
        <v>720</v>
      </c>
      <c r="W17" s="4">
        <v>7990</v>
      </c>
      <c r="X17" s="4">
        <v>4939</v>
      </c>
      <c r="Y17" s="5">
        <v>5.94</v>
      </c>
      <c r="Z17" s="5">
        <v>2.79</v>
      </c>
      <c r="AA17" s="4">
        <v>1260</v>
      </c>
      <c r="AB17" s="4"/>
      <c r="AC17" s="13">
        <f t="shared" ref="AC17:AH17" si="27">IF(OR(C18=""),"",C18-C17)</f>
        <v>36450</v>
      </c>
      <c r="AD17" s="13">
        <f t="shared" si="27"/>
        <v>41337</v>
      </c>
      <c r="AE17" s="13">
        <f t="shared" si="27"/>
        <v>38556</v>
      </c>
      <c r="AF17" s="13">
        <f t="shared" si="27"/>
        <v>37662</v>
      </c>
      <c r="AG17" s="13">
        <f t="shared" si="27"/>
        <v>150224</v>
      </c>
      <c r="AH17" s="13">
        <f t="shared" si="27"/>
        <v>5455</v>
      </c>
      <c r="AI17" s="13">
        <f t="shared" si="1"/>
        <v>3781</v>
      </c>
      <c r="AJ17" s="13">
        <f t="shared" si="2"/>
        <v>150339</v>
      </c>
      <c r="AK17" s="13">
        <f t="shared" si="3"/>
        <v>5416</v>
      </c>
      <c r="AL17" s="13">
        <f t="shared" si="4"/>
        <v>144923</v>
      </c>
      <c r="AM17" s="13">
        <v>4000</v>
      </c>
      <c r="AN17" s="13">
        <f t="shared" si="5"/>
        <v>0</v>
      </c>
      <c r="AO17" s="13">
        <f t="shared" si="6"/>
        <v>0</v>
      </c>
      <c r="AP17" s="13">
        <f t="shared" si="7"/>
        <v>4970</v>
      </c>
      <c r="AQ17" s="13">
        <f t="shared" si="8"/>
        <v>1728</v>
      </c>
      <c r="AR17" s="13">
        <f t="shared" si="9"/>
        <v>3900.0000000002</v>
      </c>
      <c r="AS17" s="17">
        <f t="shared" si="10"/>
        <v>0</v>
      </c>
      <c r="AT17" s="17">
        <f t="shared" si="11"/>
        <v>0</v>
      </c>
      <c r="AU17" s="18">
        <f t="shared" si="12"/>
        <v>34.3</v>
      </c>
      <c r="AV17" s="17">
        <f t="shared" si="13"/>
        <v>11.92</v>
      </c>
    </row>
    <row r="18" spans="1:48">
      <c r="A18" s="6">
        <v>43785</v>
      </c>
      <c r="B18" s="5" t="s">
        <v>50</v>
      </c>
      <c r="C18" s="4">
        <v>42846182</v>
      </c>
      <c r="D18" s="4">
        <v>31506104</v>
      </c>
      <c r="E18" s="4">
        <v>26389765</v>
      </c>
      <c r="F18" s="4">
        <v>25948908</v>
      </c>
      <c r="G18" s="4">
        <v>334912224</v>
      </c>
      <c r="H18" s="4">
        <v>107585705</v>
      </c>
      <c r="I18" s="4">
        <v>334912142</v>
      </c>
      <c r="J18" s="4">
        <v>107585680</v>
      </c>
      <c r="K18" s="4"/>
      <c r="L18" s="5">
        <v>4299.8</v>
      </c>
      <c r="M18" s="5">
        <v>4576.21</v>
      </c>
      <c r="N18" s="5">
        <v>74195.28</v>
      </c>
      <c r="O18" s="5">
        <v>1669.2</v>
      </c>
      <c r="P18" s="5">
        <v>1653.4</v>
      </c>
      <c r="Q18" s="5"/>
      <c r="R18" s="5"/>
      <c r="S18" s="10">
        <v>23.4</v>
      </c>
      <c r="T18" s="4" t="s">
        <v>62</v>
      </c>
      <c r="U18" s="4">
        <v>700</v>
      </c>
      <c r="V18" s="4">
        <v>710</v>
      </c>
      <c r="W18" s="4">
        <v>8706</v>
      </c>
      <c r="X18" s="4">
        <v>6061</v>
      </c>
      <c r="Y18" s="5">
        <v>6.44</v>
      </c>
      <c r="Z18" s="5">
        <v>3.46</v>
      </c>
      <c r="AA18" s="4">
        <v>1375</v>
      </c>
      <c r="AB18" s="4"/>
      <c r="AC18" s="13">
        <f t="shared" ref="AC18:AH18" si="28">IF(OR(C19=""),"",C19-C18)</f>
        <v>41326</v>
      </c>
      <c r="AD18" s="13">
        <f t="shared" si="28"/>
        <v>47422</v>
      </c>
      <c r="AE18" s="13">
        <f t="shared" si="28"/>
        <v>43397</v>
      </c>
      <c r="AF18" s="13">
        <f t="shared" si="28"/>
        <v>42643</v>
      </c>
      <c r="AG18" s="13">
        <f t="shared" si="28"/>
        <v>163671</v>
      </c>
      <c r="AH18" s="13">
        <f t="shared" si="28"/>
        <v>5440</v>
      </c>
      <c r="AI18" s="13">
        <f t="shared" si="1"/>
        <v>11117</v>
      </c>
      <c r="AJ18" s="13">
        <f t="shared" si="2"/>
        <v>163366</v>
      </c>
      <c r="AK18" s="13">
        <f t="shared" si="3"/>
        <v>5448</v>
      </c>
      <c r="AL18" s="13">
        <f t="shared" si="4"/>
        <v>157918</v>
      </c>
      <c r="AM18" s="13">
        <v>5000</v>
      </c>
      <c r="AN18" s="13">
        <f t="shared" si="5"/>
        <v>0</v>
      </c>
      <c r="AO18" s="13">
        <f t="shared" si="6"/>
        <v>0</v>
      </c>
      <c r="AP18" s="13">
        <f t="shared" si="7"/>
        <v>4970</v>
      </c>
      <c r="AQ18" s="13">
        <f t="shared" si="8"/>
        <v>1704</v>
      </c>
      <c r="AR18" s="13">
        <f t="shared" si="9"/>
        <v>4600.00000000002</v>
      </c>
      <c r="AS18" s="17">
        <f t="shared" si="10"/>
        <v>0</v>
      </c>
      <c r="AT18" s="17">
        <f t="shared" si="11"/>
        <v>0</v>
      </c>
      <c r="AU18" s="18">
        <f t="shared" si="12"/>
        <v>31.5</v>
      </c>
      <c r="AV18" s="17">
        <f t="shared" si="13"/>
        <v>10.79</v>
      </c>
    </row>
    <row r="19" spans="1:48">
      <c r="A19" s="6">
        <v>43786</v>
      </c>
      <c r="B19" s="21" t="s">
        <v>48</v>
      </c>
      <c r="C19" s="4">
        <v>42887508</v>
      </c>
      <c r="D19" s="4">
        <v>31553526</v>
      </c>
      <c r="E19" s="4">
        <v>26433162</v>
      </c>
      <c r="F19" s="4">
        <v>25991551</v>
      </c>
      <c r="G19" s="4">
        <v>335075895</v>
      </c>
      <c r="H19" s="4">
        <v>107591145</v>
      </c>
      <c r="I19" s="4">
        <v>335075508</v>
      </c>
      <c r="J19" s="4">
        <v>107591128</v>
      </c>
      <c r="K19" s="4"/>
      <c r="L19" s="5">
        <v>4299.8</v>
      </c>
      <c r="M19" s="5">
        <v>4576.21</v>
      </c>
      <c r="N19" s="5">
        <v>74195.28</v>
      </c>
      <c r="O19" s="5">
        <v>1674.3</v>
      </c>
      <c r="P19" s="5">
        <v>1657.5</v>
      </c>
      <c r="Q19" s="5"/>
      <c r="R19" s="5"/>
      <c r="S19" s="10">
        <v>23.2</v>
      </c>
      <c r="T19" s="4" t="s">
        <v>52</v>
      </c>
      <c r="U19" s="4">
        <v>870</v>
      </c>
      <c r="V19" s="4">
        <v>850</v>
      </c>
      <c r="W19" s="4">
        <v>9169</v>
      </c>
      <c r="X19" s="4">
        <v>8451</v>
      </c>
      <c r="Y19" s="5">
        <v>7.8</v>
      </c>
      <c r="Z19" s="5">
        <v>5.87</v>
      </c>
      <c r="AA19" s="4">
        <v>1430</v>
      </c>
      <c r="AB19" s="4"/>
      <c r="AC19" s="13">
        <f t="shared" ref="AC19:AH19" si="29">IF(OR(C20=""),"",C20-C19)</f>
        <v>48944</v>
      </c>
      <c r="AD19" s="13">
        <f t="shared" si="29"/>
        <v>60209</v>
      </c>
      <c r="AE19" s="13">
        <f t="shared" si="29"/>
        <v>53355</v>
      </c>
      <c r="AF19" s="13">
        <f t="shared" si="29"/>
        <v>53118</v>
      </c>
      <c r="AG19" s="13">
        <f t="shared" si="29"/>
        <v>209895</v>
      </c>
      <c r="AH19" s="13">
        <f t="shared" si="29"/>
        <v>5422</v>
      </c>
      <c r="AI19" s="13">
        <f t="shared" si="1"/>
        <v>5731</v>
      </c>
      <c r="AJ19" s="13">
        <f t="shared" si="2"/>
        <v>210176</v>
      </c>
      <c r="AK19" s="13">
        <f t="shared" si="3"/>
        <v>5432</v>
      </c>
      <c r="AL19" s="13">
        <f t="shared" si="4"/>
        <v>204744</v>
      </c>
      <c r="AM19" s="13">
        <v>4500</v>
      </c>
      <c r="AN19" s="13">
        <f t="shared" si="5"/>
        <v>0</v>
      </c>
      <c r="AO19" s="13">
        <f t="shared" si="6"/>
        <v>0</v>
      </c>
      <c r="AP19" s="13">
        <f t="shared" si="7"/>
        <v>6177</v>
      </c>
      <c r="AQ19" s="13">
        <f t="shared" si="8"/>
        <v>2040</v>
      </c>
      <c r="AR19" s="13">
        <f t="shared" si="9"/>
        <v>4649.99999999998</v>
      </c>
      <c r="AS19" s="17">
        <f t="shared" si="10"/>
        <v>0</v>
      </c>
      <c r="AT19" s="17">
        <f t="shared" si="11"/>
        <v>0</v>
      </c>
      <c r="AU19" s="18">
        <f t="shared" si="12"/>
        <v>30.2</v>
      </c>
      <c r="AV19" s="17">
        <f t="shared" si="13"/>
        <v>9.96</v>
      </c>
    </row>
    <row r="20" spans="1:48">
      <c r="A20" s="6">
        <v>43787</v>
      </c>
      <c r="B20" s="21" t="s">
        <v>48</v>
      </c>
      <c r="C20" s="4">
        <v>42936452</v>
      </c>
      <c r="D20" s="4">
        <v>31613735</v>
      </c>
      <c r="E20" s="4">
        <v>26486517</v>
      </c>
      <c r="F20" s="4">
        <v>26044669</v>
      </c>
      <c r="G20" s="4">
        <v>335285790</v>
      </c>
      <c r="H20" s="4">
        <v>107596567</v>
      </c>
      <c r="I20" s="4">
        <v>335285684</v>
      </c>
      <c r="J20" s="4">
        <v>107596560</v>
      </c>
      <c r="K20" s="4"/>
      <c r="L20" s="5">
        <v>4299.8</v>
      </c>
      <c r="M20" s="5">
        <v>4576.21</v>
      </c>
      <c r="N20" s="5">
        <v>74195.28</v>
      </c>
      <c r="O20" s="5">
        <v>1679.1</v>
      </c>
      <c r="P20" s="5">
        <v>1662</v>
      </c>
      <c r="Q20" s="5"/>
      <c r="R20" s="5"/>
      <c r="S20" s="10">
        <v>23.5</v>
      </c>
      <c r="T20" s="4" t="s">
        <v>54</v>
      </c>
      <c r="U20" s="4">
        <v>550</v>
      </c>
      <c r="V20" s="4">
        <v>570</v>
      </c>
      <c r="W20" s="4">
        <v>9395</v>
      </c>
      <c r="X20" s="4">
        <v>8975</v>
      </c>
      <c r="Y20" s="5">
        <v>7.55</v>
      </c>
      <c r="Z20" s="5">
        <v>5.71</v>
      </c>
      <c r="AA20" s="4">
        <v>1440</v>
      </c>
      <c r="AB20" s="4"/>
      <c r="AC20" s="13">
        <f t="shared" ref="AC20:AH20" si="30">IF(OR(C21=""),"",C21-C20)</f>
        <v>50833</v>
      </c>
      <c r="AD20" s="13">
        <f t="shared" si="30"/>
        <v>60445</v>
      </c>
      <c r="AE20" s="13">
        <f t="shared" si="30"/>
        <v>54531</v>
      </c>
      <c r="AF20" s="13">
        <f t="shared" si="30"/>
        <v>54516</v>
      </c>
      <c r="AG20" s="13">
        <f t="shared" si="30"/>
        <v>212236</v>
      </c>
      <c r="AH20" s="13">
        <f t="shared" si="30"/>
        <v>5419</v>
      </c>
      <c r="AI20" s="13">
        <f t="shared" si="1"/>
        <v>8089</v>
      </c>
      <c r="AJ20" s="13">
        <f t="shared" si="2"/>
        <v>212495</v>
      </c>
      <c r="AK20" s="13">
        <f t="shared" si="3"/>
        <v>5432</v>
      </c>
      <c r="AL20" s="13">
        <f t="shared" si="4"/>
        <v>207063</v>
      </c>
      <c r="AM20" s="13">
        <v>4500</v>
      </c>
      <c r="AN20" s="13">
        <f t="shared" si="5"/>
        <v>0</v>
      </c>
      <c r="AO20" s="13">
        <f t="shared" si="6"/>
        <v>0</v>
      </c>
      <c r="AP20" s="13">
        <f t="shared" si="7"/>
        <v>3905</v>
      </c>
      <c r="AQ20" s="13">
        <f t="shared" si="8"/>
        <v>1368</v>
      </c>
      <c r="AR20" s="13">
        <f t="shared" si="9"/>
        <v>3549.99999999995</v>
      </c>
      <c r="AS20" s="17">
        <f t="shared" si="10"/>
        <v>0</v>
      </c>
      <c r="AT20" s="17">
        <f t="shared" si="11"/>
        <v>0</v>
      </c>
      <c r="AU20" s="18">
        <f t="shared" si="12"/>
        <v>18.9</v>
      </c>
      <c r="AV20" s="17">
        <f t="shared" si="13"/>
        <v>6.61</v>
      </c>
    </row>
    <row r="21" spans="1:48">
      <c r="A21" s="6">
        <v>43788</v>
      </c>
      <c r="B21" s="5" t="s">
        <v>50</v>
      </c>
      <c r="C21" s="4">
        <v>42987285</v>
      </c>
      <c r="D21" s="4">
        <v>31674180</v>
      </c>
      <c r="E21" s="4">
        <v>26541048</v>
      </c>
      <c r="F21" s="4">
        <v>26099185</v>
      </c>
      <c r="G21" s="4">
        <v>335498026</v>
      </c>
      <c r="H21" s="4">
        <v>107601986</v>
      </c>
      <c r="I21" s="4">
        <v>335498179</v>
      </c>
      <c r="J21" s="4">
        <v>107601992</v>
      </c>
      <c r="K21" s="4"/>
      <c r="L21" s="5">
        <v>4299.8</v>
      </c>
      <c r="M21" s="5">
        <v>4576.21</v>
      </c>
      <c r="N21" s="5">
        <v>74195.28</v>
      </c>
      <c r="O21" s="5">
        <v>1684</v>
      </c>
      <c r="P21" s="5">
        <v>1664.2</v>
      </c>
      <c r="Q21" s="5"/>
      <c r="R21" s="5"/>
      <c r="S21" s="10">
        <v>23.5</v>
      </c>
      <c r="T21" s="4" t="s">
        <v>52</v>
      </c>
      <c r="U21" s="4">
        <v>560</v>
      </c>
      <c r="V21" s="4">
        <v>580</v>
      </c>
      <c r="W21" s="4">
        <v>9387</v>
      </c>
      <c r="X21" s="4">
        <v>8524</v>
      </c>
      <c r="Y21" s="5">
        <v>7.78</v>
      </c>
      <c r="Z21" s="5">
        <v>6.15</v>
      </c>
      <c r="AA21" s="4">
        <v>1440</v>
      </c>
      <c r="AB21" s="4"/>
      <c r="AC21" s="13">
        <f t="shared" ref="AC21:AH21" si="31">IF(OR(C22=""),"",C22-C21)</f>
        <v>53996</v>
      </c>
      <c r="AD21" s="13">
        <f t="shared" si="31"/>
        <v>57815</v>
      </c>
      <c r="AE21" s="13">
        <f t="shared" si="31"/>
        <v>54950</v>
      </c>
      <c r="AF21" s="13">
        <f t="shared" si="31"/>
        <v>55396</v>
      </c>
      <c r="AG21" s="13">
        <f t="shared" si="31"/>
        <v>216263</v>
      </c>
      <c r="AH21" s="13">
        <f t="shared" si="31"/>
        <v>5449</v>
      </c>
      <c r="AI21" s="13">
        <f t="shared" si="1"/>
        <v>5894</v>
      </c>
      <c r="AJ21" s="13">
        <f t="shared" si="2"/>
        <v>216233</v>
      </c>
      <c r="AK21" s="13">
        <f t="shared" si="3"/>
        <v>5432</v>
      </c>
      <c r="AL21" s="13">
        <f t="shared" si="4"/>
        <v>210801</v>
      </c>
      <c r="AM21" s="13">
        <v>4200</v>
      </c>
      <c r="AN21" s="13">
        <f t="shared" si="5"/>
        <v>0</v>
      </c>
      <c r="AO21" s="13">
        <f t="shared" si="6"/>
        <v>0</v>
      </c>
      <c r="AP21" s="13">
        <f t="shared" si="7"/>
        <v>3976</v>
      </c>
      <c r="AQ21" s="13">
        <f t="shared" si="8"/>
        <v>1392</v>
      </c>
      <c r="AR21" s="13">
        <f t="shared" si="9"/>
        <v>2399.99999999998</v>
      </c>
      <c r="AS21" s="17">
        <f t="shared" si="10"/>
        <v>0</v>
      </c>
      <c r="AT21" s="17">
        <f t="shared" si="11"/>
        <v>0</v>
      </c>
      <c r="AU21" s="18">
        <f t="shared" si="12"/>
        <v>18.9</v>
      </c>
      <c r="AV21" s="17">
        <f t="shared" si="13"/>
        <v>6.6</v>
      </c>
    </row>
    <row r="22" spans="1:48">
      <c r="A22" s="6">
        <v>43789</v>
      </c>
      <c r="B22" s="5" t="s">
        <v>55</v>
      </c>
      <c r="C22" s="4">
        <v>43041281</v>
      </c>
      <c r="D22" s="4">
        <v>31731995</v>
      </c>
      <c r="E22" s="4">
        <v>26595998</v>
      </c>
      <c r="F22" s="4">
        <v>26154581</v>
      </c>
      <c r="G22" s="4">
        <v>335714289</v>
      </c>
      <c r="H22" s="4">
        <v>107607435</v>
      </c>
      <c r="I22" s="4">
        <v>335714412</v>
      </c>
      <c r="J22" s="4">
        <v>107607424</v>
      </c>
      <c r="K22" s="4"/>
      <c r="L22" s="5">
        <v>4299.8</v>
      </c>
      <c r="M22" s="5">
        <v>4576.21</v>
      </c>
      <c r="N22" s="5">
        <v>74195.28</v>
      </c>
      <c r="O22" s="5">
        <v>1688.8</v>
      </c>
      <c r="P22" s="5">
        <v>1664.2</v>
      </c>
      <c r="Q22" s="5"/>
      <c r="R22" s="5"/>
      <c r="S22" s="10">
        <v>24</v>
      </c>
      <c r="T22" s="4" t="s">
        <v>54</v>
      </c>
      <c r="U22" s="4">
        <v>650</v>
      </c>
      <c r="V22" s="4">
        <v>660</v>
      </c>
      <c r="W22" s="4">
        <v>9612</v>
      </c>
      <c r="X22" s="4">
        <v>7651</v>
      </c>
      <c r="Y22" s="5">
        <v>7.4</v>
      </c>
      <c r="Z22" s="5">
        <v>5.9</v>
      </c>
      <c r="AA22" s="4">
        <v>1375</v>
      </c>
      <c r="AB22" s="4"/>
      <c r="AC22" s="13">
        <f t="shared" ref="AC22:AH22" si="32">IF(OR(C23=""),"",C23-C22)</f>
        <v>51523</v>
      </c>
      <c r="AD22" s="13">
        <f t="shared" si="32"/>
        <v>59588</v>
      </c>
      <c r="AE22" s="13">
        <f t="shared" si="32"/>
        <v>55024</v>
      </c>
      <c r="AF22" s="13">
        <f t="shared" si="32"/>
        <v>55701</v>
      </c>
      <c r="AG22" s="13">
        <f t="shared" si="32"/>
        <v>213457</v>
      </c>
      <c r="AH22" s="13">
        <f t="shared" si="32"/>
        <v>5413</v>
      </c>
      <c r="AI22" s="13">
        <f t="shared" si="1"/>
        <v>8379</v>
      </c>
      <c r="AJ22" s="13">
        <f t="shared" si="2"/>
        <v>213432</v>
      </c>
      <c r="AK22" s="13">
        <f t="shared" si="3"/>
        <v>5424</v>
      </c>
      <c r="AL22" s="13">
        <f t="shared" si="4"/>
        <v>208008</v>
      </c>
      <c r="AM22" s="13">
        <v>4000</v>
      </c>
      <c r="AN22" s="13">
        <f t="shared" si="5"/>
        <v>0</v>
      </c>
      <c r="AO22" s="13">
        <f t="shared" si="6"/>
        <v>2</v>
      </c>
      <c r="AP22" s="13">
        <f t="shared" si="7"/>
        <v>4615</v>
      </c>
      <c r="AQ22" s="13">
        <f t="shared" si="8"/>
        <v>1584</v>
      </c>
      <c r="AR22" s="13">
        <f t="shared" si="9"/>
        <v>1450.00000000005</v>
      </c>
      <c r="AS22" s="17">
        <f t="shared" si="10"/>
        <v>0</v>
      </c>
      <c r="AT22" s="17">
        <f t="shared" si="11"/>
        <v>0.01</v>
      </c>
      <c r="AU22" s="18">
        <f t="shared" si="12"/>
        <v>22.2</v>
      </c>
      <c r="AV22" s="17">
        <f t="shared" si="13"/>
        <v>7.62</v>
      </c>
    </row>
    <row r="23" spans="1:48">
      <c r="A23" s="6">
        <v>43790</v>
      </c>
      <c r="B23" s="21" t="s">
        <v>48</v>
      </c>
      <c r="C23" s="4">
        <v>43092804</v>
      </c>
      <c r="D23" s="4">
        <v>31791583</v>
      </c>
      <c r="E23" s="4">
        <v>26651022</v>
      </c>
      <c r="F23" s="4">
        <v>26210282</v>
      </c>
      <c r="G23" s="4">
        <v>335927746</v>
      </c>
      <c r="H23" s="4">
        <v>107612848</v>
      </c>
      <c r="I23" s="4">
        <v>335927844</v>
      </c>
      <c r="J23" s="4">
        <v>107612848</v>
      </c>
      <c r="K23" s="4"/>
      <c r="L23" s="5">
        <v>4299.8</v>
      </c>
      <c r="M23" s="5">
        <v>4576.21</v>
      </c>
      <c r="N23" s="5">
        <v>74196.4</v>
      </c>
      <c r="O23" s="5">
        <v>1691.7</v>
      </c>
      <c r="P23" s="5">
        <v>1664.2</v>
      </c>
      <c r="Q23" s="5"/>
      <c r="R23" s="5"/>
      <c r="S23" s="10">
        <v>22.6</v>
      </c>
      <c r="T23" s="4" t="s">
        <v>62</v>
      </c>
      <c r="U23" s="4">
        <v>600</v>
      </c>
      <c r="V23" s="4">
        <v>620</v>
      </c>
      <c r="W23" s="4">
        <v>9178</v>
      </c>
      <c r="X23" s="4">
        <v>7674</v>
      </c>
      <c r="Y23" s="5">
        <v>8.09</v>
      </c>
      <c r="Z23" s="5">
        <v>5.73</v>
      </c>
      <c r="AA23" s="4">
        <v>1276</v>
      </c>
      <c r="AB23" s="4"/>
      <c r="AC23" s="13">
        <f t="shared" ref="AC23:AH23" si="33">IF(OR(C24=""),"",C24-C23)</f>
        <v>47832</v>
      </c>
      <c r="AD23" s="13">
        <f t="shared" si="33"/>
        <v>56423</v>
      </c>
      <c r="AE23" s="13">
        <f t="shared" si="33"/>
        <v>51721</v>
      </c>
      <c r="AF23" s="13">
        <f t="shared" si="33"/>
        <v>51337</v>
      </c>
      <c r="AG23" s="13">
        <f t="shared" si="33"/>
        <v>183452</v>
      </c>
      <c r="AH23" s="13">
        <f t="shared" si="33"/>
        <v>5428</v>
      </c>
      <c r="AI23" s="13">
        <f t="shared" si="1"/>
        <v>23861</v>
      </c>
      <c r="AJ23" s="13">
        <f t="shared" si="2"/>
        <v>183294</v>
      </c>
      <c r="AK23" s="13">
        <f t="shared" si="3"/>
        <v>5424</v>
      </c>
      <c r="AL23" s="13">
        <f t="shared" si="4"/>
        <v>177870</v>
      </c>
      <c r="AM23" s="13">
        <v>4000</v>
      </c>
      <c r="AN23" s="13">
        <f t="shared" si="5"/>
        <v>0</v>
      </c>
      <c r="AO23" s="13">
        <f t="shared" si="6"/>
        <v>0</v>
      </c>
      <c r="AP23" s="13">
        <f t="shared" si="7"/>
        <v>4260</v>
      </c>
      <c r="AQ23" s="13">
        <f t="shared" si="8"/>
        <v>1488</v>
      </c>
      <c r="AR23" s="13">
        <f t="shared" si="9"/>
        <v>3049.99999999995</v>
      </c>
      <c r="AS23" s="17">
        <f t="shared" si="10"/>
        <v>0</v>
      </c>
      <c r="AT23" s="17">
        <f t="shared" si="11"/>
        <v>0</v>
      </c>
      <c r="AU23" s="18">
        <f t="shared" si="12"/>
        <v>24</v>
      </c>
      <c r="AV23" s="17">
        <f t="shared" si="13"/>
        <v>8.37</v>
      </c>
    </row>
    <row r="24" spans="1:48">
      <c r="A24" s="6">
        <v>43791</v>
      </c>
      <c r="B24" s="21" t="s">
        <v>48</v>
      </c>
      <c r="C24" s="4">
        <v>43140636</v>
      </c>
      <c r="D24" s="4">
        <v>31848006</v>
      </c>
      <c r="E24" s="4">
        <v>26702743</v>
      </c>
      <c r="F24" s="4">
        <v>26261619</v>
      </c>
      <c r="G24" s="4">
        <v>336111198</v>
      </c>
      <c r="H24" s="4">
        <v>107618276</v>
      </c>
      <c r="I24" s="4">
        <v>336111138</v>
      </c>
      <c r="J24" s="4">
        <v>107618272</v>
      </c>
      <c r="K24" s="4"/>
      <c r="L24" s="5">
        <v>4299.8</v>
      </c>
      <c r="M24" s="5">
        <v>4576.21</v>
      </c>
      <c r="N24" s="5">
        <v>74196.4</v>
      </c>
      <c r="O24" s="5">
        <v>1695</v>
      </c>
      <c r="P24" s="5">
        <v>1667</v>
      </c>
      <c r="Q24" s="5"/>
      <c r="R24" s="5"/>
      <c r="S24" s="10">
        <v>22.3</v>
      </c>
      <c r="T24" s="4" t="s">
        <v>52</v>
      </c>
      <c r="U24" s="4">
        <v>750</v>
      </c>
      <c r="V24" s="4">
        <v>740</v>
      </c>
      <c r="W24" s="4">
        <v>9299</v>
      </c>
      <c r="X24" s="4">
        <v>7749</v>
      </c>
      <c r="Y24" s="5">
        <v>8.4</v>
      </c>
      <c r="Z24" s="5">
        <v>7.45</v>
      </c>
      <c r="AA24" s="4">
        <v>1429</v>
      </c>
      <c r="AB24" s="4"/>
      <c r="AC24" s="13">
        <f t="shared" ref="AC24:AH24" si="34">IF(OR(C25=""),"",C25-C24)</f>
        <v>45399</v>
      </c>
      <c r="AD24" s="13">
        <f t="shared" si="34"/>
        <v>54064</v>
      </c>
      <c r="AE24" s="13">
        <f t="shared" si="34"/>
        <v>49583</v>
      </c>
      <c r="AF24" s="13">
        <f t="shared" si="34"/>
        <v>48840</v>
      </c>
      <c r="AG24" s="13">
        <f t="shared" si="34"/>
        <v>187097</v>
      </c>
      <c r="AH24" s="13">
        <f t="shared" si="34"/>
        <v>5426</v>
      </c>
      <c r="AI24" s="13">
        <f t="shared" si="1"/>
        <v>10789</v>
      </c>
      <c r="AJ24" s="13">
        <f t="shared" si="2"/>
        <v>186998</v>
      </c>
      <c r="AK24" s="13">
        <f t="shared" si="3"/>
        <v>5432</v>
      </c>
      <c r="AL24" s="13">
        <f t="shared" si="4"/>
        <v>181566</v>
      </c>
      <c r="AM24" s="13">
        <v>4000</v>
      </c>
      <c r="AN24" s="13">
        <f t="shared" si="5"/>
        <v>0</v>
      </c>
      <c r="AO24" s="13">
        <f t="shared" si="6"/>
        <v>0</v>
      </c>
      <c r="AP24" s="13">
        <f t="shared" si="7"/>
        <v>5325</v>
      </c>
      <c r="AQ24" s="13">
        <f t="shared" si="8"/>
        <v>1776</v>
      </c>
      <c r="AR24" s="13">
        <f t="shared" si="9"/>
        <v>3699.99999999982</v>
      </c>
      <c r="AS24" s="17">
        <f t="shared" si="10"/>
        <v>0</v>
      </c>
      <c r="AT24" s="17">
        <f t="shared" si="11"/>
        <v>0</v>
      </c>
      <c r="AU24" s="18">
        <f t="shared" si="12"/>
        <v>29.3</v>
      </c>
      <c r="AV24" s="17">
        <f t="shared" si="13"/>
        <v>9.78</v>
      </c>
    </row>
    <row r="25" spans="1:48">
      <c r="A25" s="6">
        <v>43792</v>
      </c>
      <c r="B25" s="21" t="s">
        <v>48</v>
      </c>
      <c r="C25" s="4">
        <v>43186035</v>
      </c>
      <c r="D25" s="4">
        <v>31902070</v>
      </c>
      <c r="E25" s="4">
        <v>26752326</v>
      </c>
      <c r="F25" s="4">
        <v>26310459</v>
      </c>
      <c r="G25" s="4">
        <v>336298295</v>
      </c>
      <c r="H25" s="4">
        <v>107623702</v>
      </c>
      <c r="I25" s="4">
        <v>336298136</v>
      </c>
      <c r="J25" s="4">
        <v>107623704</v>
      </c>
      <c r="K25" s="4"/>
      <c r="L25" s="5">
        <v>4299.8</v>
      </c>
      <c r="M25" s="5">
        <v>4576.21</v>
      </c>
      <c r="N25" s="5">
        <v>74196.4</v>
      </c>
      <c r="O25" s="5">
        <v>1698.8</v>
      </c>
      <c r="P25" s="5">
        <v>1670.6</v>
      </c>
      <c r="Q25" s="5"/>
      <c r="R25" s="5"/>
      <c r="S25" s="10">
        <v>22.1</v>
      </c>
      <c r="T25" s="4" t="s">
        <v>62</v>
      </c>
      <c r="U25" s="4">
        <v>450</v>
      </c>
      <c r="V25" s="4">
        <v>470</v>
      </c>
      <c r="W25" s="4">
        <v>8495</v>
      </c>
      <c r="X25" s="4">
        <v>8014</v>
      </c>
      <c r="Y25" s="5">
        <v>7.66</v>
      </c>
      <c r="Z25" s="5">
        <v>6.2</v>
      </c>
      <c r="AA25" s="4">
        <v>1312</v>
      </c>
      <c r="AB25" s="4"/>
      <c r="AC25" s="13">
        <f t="shared" ref="AC25:AH25" si="35">IF(OR(C26=""),"",C26-C25)</f>
        <v>44164</v>
      </c>
      <c r="AD25" s="13">
        <f t="shared" si="35"/>
        <v>52621</v>
      </c>
      <c r="AE25" s="13">
        <f t="shared" si="35"/>
        <v>48379</v>
      </c>
      <c r="AF25" s="13">
        <f t="shared" si="35"/>
        <v>46519</v>
      </c>
      <c r="AG25" s="13">
        <f t="shared" si="35"/>
        <v>188161</v>
      </c>
      <c r="AH25" s="13">
        <f t="shared" si="35"/>
        <v>5425</v>
      </c>
      <c r="AI25" s="13">
        <f t="shared" si="1"/>
        <v>3522</v>
      </c>
      <c r="AJ25" s="13">
        <f t="shared" si="2"/>
        <v>188360</v>
      </c>
      <c r="AK25" s="13">
        <f t="shared" si="3"/>
        <v>5416</v>
      </c>
      <c r="AL25" s="13">
        <f t="shared" si="4"/>
        <v>182944</v>
      </c>
      <c r="AM25" s="13">
        <v>4000</v>
      </c>
      <c r="AN25" s="13">
        <f t="shared" si="5"/>
        <v>0</v>
      </c>
      <c r="AO25" s="13">
        <f t="shared" si="6"/>
        <v>0</v>
      </c>
      <c r="AP25" s="13">
        <f t="shared" si="7"/>
        <v>3195</v>
      </c>
      <c r="AQ25" s="13">
        <f t="shared" si="8"/>
        <v>1128</v>
      </c>
      <c r="AR25" s="13">
        <f t="shared" si="9"/>
        <v>3600.00000000025</v>
      </c>
      <c r="AS25" s="17">
        <f t="shared" si="10"/>
        <v>0</v>
      </c>
      <c r="AT25" s="17">
        <f t="shared" si="11"/>
        <v>0</v>
      </c>
      <c r="AU25" s="18">
        <f t="shared" si="12"/>
        <v>17.5</v>
      </c>
      <c r="AV25" s="17">
        <f t="shared" si="13"/>
        <v>6.17</v>
      </c>
    </row>
    <row r="26" spans="1:48">
      <c r="A26" s="6">
        <v>43793</v>
      </c>
      <c r="B26" s="21" t="s">
        <v>48</v>
      </c>
      <c r="C26" s="4">
        <v>43230199</v>
      </c>
      <c r="D26" s="4">
        <v>31954691</v>
      </c>
      <c r="E26" s="4">
        <v>26800705</v>
      </c>
      <c r="F26" s="4">
        <v>26356978</v>
      </c>
      <c r="G26" s="4">
        <v>336486456</v>
      </c>
      <c r="H26" s="4">
        <v>107629127</v>
      </c>
      <c r="I26" s="4">
        <v>336486496</v>
      </c>
      <c r="J26" s="4">
        <v>107629120</v>
      </c>
      <c r="K26" s="4"/>
      <c r="L26" s="5">
        <v>4299.8</v>
      </c>
      <c r="M26" s="5">
        <v>4576.21</v>
      </c>
      <c r="N26" s="5">
        <v>74196.4</v>
      </c>
      <c r="O26" s="5">
        <v>1702.4</v>
      </c>
      <c r="P26" s="5">
        <v>1674.2</v>
      </c>
      <c r="Q26" s="5"/>
      <c r="R26" s="5"/>
      <c r="S26" s="10">
        <v>22.5</v>
      </c>
      <c r="T26" s="4" t="s">
        <v>62</v>
      </c>
      <c r="U26" s="4">
        <v>400</v>
      </c>
      <c r="V26" s="4">
        <v>420</v>
      </c>
      <c r="W26" s="4">
        <v>9335</v>
      </c>
      <c r="X26" s="4">
        <v>7948</v>
      </c>
      <c r="Y26" s="5">
        <v>7.28</v>
      </c>
      <c r="Z26" s="5">
        <v>6.18</v>
      </c>
      <c r="AA26" s="4">
        <v>1423</v>
      </c>
      <c r="AB26" s="4"/>
      <c r="AC26" s="13">
        <f t="shared" ref="AC26:AH26" si="36">IF(OR(C27=""),"",C27-C26)</f>
        <v>49496</v>
      </c>
      <c r="AD26" s="13">
        <f t="shared" si="36"/>
        <v>60765</v>
      </c>
      <c r="AE26" s="13">
        <f t="shared" si="36"/>
        <v>54952</v>
      </c>
      <c r="AF26" s="13">
        <f t="shared" si="36"/>
        <v>54575</v>
      </c>
      <c r="AG26" s="13">
        <f t="shared" si="36"/>
        <v>211589</v>
      </c>
      <c r="AH26" s="13">
        <f t="shared" si="36"/>
        <v>5430</v>
      </c>
      <c r="AI26" s="13">
        <f t="shared" si="1"/>
        <v>8199</v>
      </c>
      <c r="AJ26" s="13">
        <f t="shared" si="2"/>
        <v>211506</v>
      </c>
      <c r="AK26" s="13">
        <f t="shared" si="3"/>
        <v>5432</v>
      </c>
      <c r="AL26" s="13">
        <f t="shared" si="4"/>
        <v>206074</v>
      </c>
      <c r="AM26" s="13">
        <v>4000</v>
      </c>
      <c r="AN26" s="13">
        <f t="shared" si="5"/>
        <v>0</v>
      </c>
      <c r="AO26" s="13">
        <f t="shared" si="6"/>
        <v>0</v>
      </c>
      <c r="AP26" s="13">
        <f t="shared" si="7"/>
        <v>2840</v>
      </c>
      <c r="AQ26" s="13">
        <f t="shared" si="8"/>
        <v>1008</v>
      </c>
      <c r="AR26" s="13">
        <f t="shared" si="9"/>
        <v>1949.99999999993</v>
      </c>
      <c r="AS26" s="17">
        <f t="shared" si="10"/>
        <v>0</v>
      </c>
      <c r="AT26" s="17">
        <f t="shared" si="11"/>
        <v>0</v>
      </c>
      <c r="AU26" s="18">
        <f t="shared" si="12"/>
        <v>13.8</v>
      </c>
      <c r="AV26" s="17">
        <f t="shared" si="13"/>
        <v>4.89</v>
      </c>
    </row>
    <row r="27" spans="1:48">
      <c r="A27" s="6">
        <v>43794</v>
      </c>
      <c r="B27" s="21" t="s">
        <v>48</v>
      </c>
      <c r="C27" s="4">
        <v>43279695</v>
      </c>
      <c r="D27" s="4">
        <v>32015456</v>
      </c>
      <c r="E27" s="4">
        <v>26855657</v>
      </c>
      <c r="F27" s="4">
        <v>26411553</v>
      </c>
      <c r="G27" s="4">
        <v>336698045</v>
      </c>
      <c r="H27" s="4">
        <v>107634557</v>
      </c>
      <c r="I27" s="4">
        <v>336698002</v>
      </c>
      <c r="J27" s="4">
        <v>107634552</v>
      </c>
      <c r="K27" s="4"/>
      <c r="L27" s="5">
        <v>4299.8</v>
      </c>
      <c r="M27" s="5">
        <v>4576.21</v>
      </c>
      <c r="N27" s="5">
        <v>74196.4</v>
      </c>
      <c r="O27" s="5">
        <v>1703.4</v>
      </c>
      <c r="P27" s="5">
        <v>1677.1</v>
      </c>
      <c r="Q27" s="5"/>
      <c r="R27" s="5"/>
      <c r="S27" s="10">
        <v>22.2</v>
      </c>
      <c r="T27" s="4" t="s">
        <v>62</v>
      </c>
      <c r="U27" s="4">
        <v>390</v>
      </c>
      <c r="V27" s="4">
        <v>400</v>
      </c>
      <c r="W27" s="4">
        <v>8259</v>
      </c>
      <c r="X27" s="4">
        <v>8058</v>
      </c>
      <c r="Y27" s="5">
        <v>7.36</v>
      </c>
      <c r="Z27" s="5">
        <v>5.9</v>
      </c>
      <c r="AA27" s="4">
        <v>1440</v>
      </c>
      <c r="AB27" s="4"/>
      <c r="AC27" s="13">
        <f t="shared" ref="AC27:AH27" si="37">IF(OR(C28=""),"",C28-C27)</f>
        <v>44194</v>
      </c>
      <c r="AD27" s="13">
        <f t="shared" si="37"/>
        <v>52992</v>
      </c>
      <c r="AE27" s="13">
        <f t="shared" si="37"/>
        <v>48910</v>
      </c>
      <c r="AF27" s="13">
        <f t="shared" si="37"/>
        <v>46756</v>
      </c>
      <c r="AG27" s="13">
        <f t="shared" si="37"/>
        <v>190466</v>
      </c>
      <c r="AH27" s="13">
        <f t="shared" si="37"/>
        <v>5446</v>
      </c>
      <c r="AI27" s="13">
        <f t="shared" si="1"/>
        <v>2386</v>
      </c>
      <c r="AJ27" s="13">
        <f t="shared" si="2"/>
        <v>190022</v>
      </c>
      <c r="AK27" s="13">
        <f t="shared" si="3"/>
        <v>5458</v>
      </c>
      <c r="AL27" s="13">
        <f t="shared" si="4"/>
        <v>184564</v>
      </c>
      <c r="AM27" s="13">
        <v>4000</v>
      </c>
      <c r="AN27" s="13">
        <f t="shared" si="5"/>
        <v>0</v>
      </c>
      <c r="AO27" s="13">
        <f t="shared" si="6"/>
        <v>0</v>
      </c>
      <c r="AP27" s="13">
        <f t="shared" si="7"/>
        <v>2769</v>
      </c>
      <c r="AQ27" s="13">
        <f t="shared" si="8"/>
        <v>960</v>
      </c>
      <c r="AR27" s="13">
        <f t="shared" si="9"/>
        <v>3450.00000000005</v>
      </c>
      <c r="AS27" s="17">
        <f t="shared" si="10"/>
        <v>0</v>
      </c>
      <c r="AT27" s="17">
        <f t="shared" si="11"/>
        <v>0</v>
      </c>
      <c r="AU27" s="18">
        <f t="shared" si="12"/>
        <v>15</v>
      </c>
      <c r="AV27" s="17">
        <f t="shared" si="13"/>
        <v>5.2</v>
      </c>
    </row>
    <row r="28" spans="1:48">
      <c r="A28" s="6">
        <v>43795</v>
      </c>
      <c r="B28" s="5" t="s">
        <v>47</v>
      </c>
      <c r="C28" s="4">
        <v>43323889</v>
      </c>
      <c r="D28" s="4">
        <v>32068448</v>
      </c>
      <c r="E28" s="4">
        <v>26904567</v>
      </c>
      <c r="F28" s="4">
        <v>26458309</v>
      </c>
      <c r="G28" s="4">
        <v>336888511</v>
      </c>
      <c r="H28" s="4">
        <v>107640003</v>
      </c>
      <c r="I28" s="4">
        <v>336888024</v>
      </c>
      <c r="J28" s="4">
        <v>107640010</v>
      </c>
      <c r="K28" s="4"/>
      <c r="L28" s="5">
        <v>4299.8</v>
      </c>
      <c r="M28" s="5">
        <v>4576.21</v>
      </c>
      <c r="N28" s="5">
        <v>74196.4</v>
      </c>
      <c r="O28" s="5">
        <v>1706.9</v>
      </c>
      <c r="P28" s="5">
        <v>1680.5</v>
      </c>
      <c r="Q28" s="5"/>
      <c r="R28" s="5"/>
      <c r="S28" s="10">
        <v>22.9</v>
      </c>
      <c r="T28" s="4" t="s">
        <v>62</v>
      </c>
      <c r="U28" s="4">
        <v>400</v>
      </c>
      <c r="V28" s="4">
        <v>380</v>
      </c>
      <c r="W28" s="4">
        <v>8287</v>
      </c>
      <c r="X28" s="4">
        <v>7312</v>
      </c>
      <c r="Y28" s="5">
        <v>7.45</v>
      </c>
      <c r="Z28" s="5">
        <v>6.07</v>
      </c>
      <c r="AA28" s="4">
        <v>1440</v>
      </c>
      <c r="AB28" s="4"/>
      <c r="AC28" s="13">
        <f t="shared" ref="AC28:AH28" si="38">IF(OR(C29=""),"",C29-C28)</f>
        <v>41375</v>
      </c>
      <c r="AD28" s="13">
        <f t="shared" si="38"/>
        <v>49347</v>
      </c>
      <c r="AE28" s="13">
        <f t="shared" si="38"/>
        <v>50323</v>
      </c>
      <c r="AF28" s="13">
        <f t="shared" si="38"/>
        <v>48970</v>
      </c>
      <c r="AG28" s="13">
        <f t="shared" si="38"/>
        <v>181017</v>
      </c>
      <c r="AH28" s="13">
        <f t="shared" si="38"/>
        <v>5431</v>
      </c>
      <c r="AI28" s="13">
        <f t="shared" si="1"/>
        <v>8998</v>
      </c>
      <c r="AJ28" s="13">
        <f t="shared" si="2"/>
        <v>181001</v>
      </c>
      <c r="AK28" s="13">
        <f t="shared" si="3"/>
        <v>5414</v>
      </c>
      <c r="AL28" s="13">
        <f t="shared" si="4"/>
        <v>175587</v>
      </c>
      <c r="AM28" s="13">
        <v>4000</v>
      </c>
      <c r="AN28" s="13">
        <f t="shared" si="5"/>
        <v>0</v>
      </c>
      <c r="AO28" s="13">
        <f t="shared" si="6"/>
        <v>0</v>
      </c>
      <c r="AP28" s="13">
        <f t="shared" si="7"/>
        <v>2840</v>
      </c>
      <c r="AQ28" s="13">
        <f t="shared" si="8"/>
        <v>912</v>
      </c>
      <c r="AR28" s="13">
        <f t="shared" si="9"/>
        <v>3649.99999999986</v>
      </c>
      <c r="AS28" s="17">
        <f t="shared" si="10"/>
        <v>0</v>
      </c>
      <c r="AT28" s="17">
        <f t="shared" si="11"/>
        <v>0</v>
      </c>
      <c r="AU28" s="18">
        <f t="shared" si="12"/>
        <v>16.2</v>
      </c>
      <c r="AV28" s="17">
        <f t="shared" si="13"/>
        <v>5.19</v>
      </c>
    </row>
    <row r="29" spans="1:48">
      <c r="A29" s="6">
        <v>43796</v>
      </c>
      <c r="B29" s="5" t="s">
        <v>50</v>
      </c>
      <c r="C29" s="4">
        <v>43365264</v>
      </c>
      <c r="D29" s="4">
        <v>32117795</v>
      </c>
      <c r="E29" s="4">
        <v>26954890</v>
      </c>
      <c r="F29" s="4">
        <v>26507279</v>
      </c>
      <c r="G29" s="4">
        <v>337069528</v>
      </c>
      <c r="H29" s="4">
        <v>107645434</v>
      </c>
      <c r="I29" s="4">
        <v>337069025</v>
      </c>
      <c r="J29" s="4">
        <v>107645424</v>
      </c>
      <c r="K29" s="4"/>
      <c r="L29" s="5">
        <v>4299.8</v>
      </c>
      <c r="M29" s="5">
        <v>4576.21</v>
      </c>
      <c r="N29" s="5">
        <v>74196.4</v>
      </c>
      <c r="O29" s="5">
        <v>1710.6</v>
      </c>
      <c r="P29" s="5">
        <v>1684.1</v>
      </c>
      <c r="Q29" s="5"/>
      <c r="R29" s="5"/>
      <c r="S29" s="10">
        <v>23.5</v>
      </c>
      <c r="T29" s="4" t="s">
        <v>62</v>
      </c>
      <c r="U29" s="4">
        <v>550</v>
      </c>
      <c r="V29" s="4">
        <v>570</v>
      </c>
      <c r="W29" s="4">
        <v>8478</v>
      </c>
      <c r="X29" s="4">
        <v>8012</v>
      </c>
      <c r="Y29" s="5">
        <v>6.79</v>
      </c>
      <c r="Z29" s="5">
        <v>5.63</v>
      </c>
      <c r="AA29" s="4">
        <v>1315</v>
      </c>
      <c r="AB29" s="4"/>
      <c r="AC29" s="13">
        <f t="shared" ref="AC29:AH29" si="39">IF(OR(C30=""),"",C30-C29)</f>
        <v>42399</v>
      </c>
      <c r="AD29" s="13">
        <f t="shared" si="39"/>
        <v>50817</v>
      </c>
      <c r="AE29" s="13">
        <f t="shared" si="39"/>
        <v>51007</v>
      </c>
      <c r="AF29" s="13">
        <f t="shared" si="39"/>
        <v>50023</v>
      </c>
      <c r="AG29" s="13">
        <f t="shared" si="39"/>
        <v>190359</v>
      </c>
      <c r="AH29" s="13">
        <f t="shared" si="39"/>
        <v>5426</v>
      </c>
      <c r="AI29" s="13">
        <f t="shared" si="1"/>
        <v>3887</v>
      </c>
      <c r="AJ29" s="13">
        <f t="shared" si="2"/>
        <v>190464</v>
      </c>
      <c r="AK29" s="13">
        <f t="shared" si="3"/>
        <v>5424</v>
      </c>
      <c r="AL29" s="13">
        <f t="shared" si="4"/>
        <v>185040</v>
      </c>
      <c r="AM29" s="13">
        <v>3800</v>
      </c>
      <c r="AN29" s="13">
        <f t="shared" si="5"/>
        <v>0</v>
      </c>
      <c r="AO29" s="13">
        <f t="shared" si="6"/>
        <v>0</v>
      </c>
      <c r="AP29" s="13">
        <f t="shared" si="7"/>
        <v>3905</v>
      </c>
      <c r="AQ29" s="13">
        <f t="shared" si="8"/>
        <v>1368</v>
      </c>
      <c r="AR29" s="13">
        <f t="shared" si="9"/>
        <v>3550.00000000018</v>
      </c>
      <c r="AS29" s="17">
        <f t="shared" si="10"/>
        <v>0</v>
      </c>
      <c r="AT29" s="17">
        <f t="shared" si="11"/>
        <v>0</v>
      </c>
      <c r="AU29" s="18">
        <f t="shared" si="12"/>
        <v>21.1</v>
      </c>
      <c r="AV29" s="17">
        <f t="shared" si="13"/>
        <v>7.39</v>
      </c>
    </row>
    <row r="30" spans="1:48">
      <c r="A30" s="6">
        <v>43797</v>
      </c>
      <c r="B30" s="21" t="s">
        <v>48</v>
      </c>
      <c r="C30" s="4">
        <v>43407663</v>
      </c>
      <c r="D30" s="4">
        <v>32168612</v>
      </c>
      <c r="E30" s="4">
        <v>27005897</v>
      </c>
      <c r="F30" s="4">
        <v>26557302</v>
      </c>
      <c r="G30" s="4">
        <v>337259887</v>
      </c>
      <c r="H30" s="4">
        <v>107650860</v>
      </c>
      <c r="I30" s="4">
        <v>337259489</v>
      </c>
      <c r="J30" s="4">
        <v>107650848</v>
      </c>
      <c r="K30" s="4"/>
      <c r="L30" s="5">
        <v>4299.8</v>
      </c>
      <c r="M30" s="5">
        <v>4576.21</v>
      </c>
      <c r="N30" s="5">
        <v>74196.4</v>
      </c>
      <c r="O30" s="5">
        <v>1714.2</v>
      </c>
      <c r="P30" s="5">
        <v>1687.6</v>
      </c>
      <c r="Q30" s="5"/>
      <c r="R30" s="5"/>
      <c r="S30" s="10">
        <v>22.6</v>
      </c>
      <c r="T30" s="4" t="s">
        <v>62</v>
      </c>
      <c r="U30" s="4">
        <v>680</v>
      </c>
      <c r="V30" s="4">
        <v>690</v>
      </c>
      <c r="W30" s="4">
        <v>8674</v>
      </c>
      <c r="X30" s="4">
        <v>7845</v>
      </c>
      <c r="Y30" s="5">
        <v>7.72</v>
      </c>
      <c r="Z30" s="5">
        <v>5.14</v>
      </c>
      <c r="AA30" s="4">
        <v>1313</v>
      </c>
      <c r="AB30" s="4"/>
      <c r="AC30" s="13">
        <f t="shared" ref="AC30:AH30" si="40">IF(OR(C31=""),"",C31-C30)</f>
        <v>44791</v>
      </c>
      <c r="AD30" s="13">
        <f t="shared" si="40"/>
        <v>53839</v>
      </c>
      <c r="AE30" s="13">
        <f t="shared" si="40"/>
        <v>54100</v>
      </c>
      <c r="AF30" s="13">
        <f t="shared" si="40"/>
        <v>53629</v>
      </c>
      <c r="AG30" s="13">
        <f t="shared" si="40"/>
        <v>197183</v>
      </c>
      <c r="AH30" s="13">
        <f t="shared" si="40"/>
        <v>5434</v>
      </c>
      <c r="AI30" s="13">
        <f t="shared" si="1"/>
        <v>9176</v>
      </c>
      <c r="AJ30" s="13">
        <f t="shared" si="2"/>
        <v>197185</v>
      </c>
      <c r="AK30" s="13">
        <f t="shared" si="3"/>
        <v>5432</v>
      </c>
      <c r="AL30" s="13">
        <f t="shared" si="4"/>
        <v>191753</v>
      </c>
      <c r="AM30" s="13">
        <v>4000</v>
      </c>
      <c r="AN30" s="13">
        <f t="shared" si="5"/>
        <v>0</v>
      </c>
      <c r="AO30" s="13">
        <f t="shared" si="6"/>
        <v>1</v>
      </c>
      <c r="AP30" s="13">
        <f t="shared" si="7"/>
        <v>4828</v>
      </c>
      <c r="AQ30" s="13">
        <f t="shared" si="8"/>
        <v>1656</v>
      </c>
      <c r="AR30" s="13">
        <f t="shared" si="9"/>
        <v>3549.99999999984</v>
      </c>
      <c r="AS30" s="17">
        <f t="shared" si="10"/>
        <v>0</v>
      </c>
      <c r="AT30" s="17">
        <f t="shared" si="11"/>
        <v>0.01</v>
      </c>
      <c r="AU30" s="18">
        <f t="shared" si="12"/>
        <v>25.2</v>
      </c>
      <c r="AV30" s="17">
        <f t="shared" si="13"/>
        <v>8.64</v>
      </c>
    </row>
    <row r="31" spans="1:48">
      <c r="A31" s="6">
        <v>43798</v>
      </c>
      <c r="B31" s="21" t="s">
        <v>48</v>
      </c>
      <c r="C31" s="4">
        <v>43452454</v>
      </c>
      <c r="D31" s="4">
        <v>32222451</v>
      </c>
      <c r="E31" s="4">
        <v>27059997</v>
      </c>
      <c r="F31" s="4">
        <v>26610931</v>
      </c>
      <c r="G31" s="4">
        <v>337457070</v>
      </c>
      <c r="H31" s="4">
        <v>107656294</v>
      </c>
      <c r="I31" s="4">
        <v>337456674</v>
      </c>
      <c r="J31" s="4">
        <v>107656280</v>
      </c>
      <c r="K31" s="4"/>
      <c r="L31" s="5">
        <v>4299.8</v>
      </c>
      <c r="M31" s="5">
        <v>4576.21</v>
      </c>
      <c r="N31" s="5">
        <v>74196.7</v>
      </c>
      <c r="O31" s="5">
        <v>1717.8</v>
      </c>
      <c r="P31" s="5">
        <v>1691.1</v>
      </c>
      <c r="Q31" s="5"/>
      <c r="R31" s="5"/>
      <c r="S31" s="10">
        <v>22.2</v>
      </c>
      <c r="T31" s="4" t="s">
        <v>52</v>
      </c>
      <c r="U31" s="4">
        <v>740</v>
      </c>
      <c r="V31" s="4">
        <v>750</v>
      </c>
      <c r="W31" s="4">
        <v>9188</v>
      </c>
      <c r="X31" s="4">
        <v>8145</v>
      </c>
      <c r="Y31" s="5">
        <v>7.8</v>
      </c>
      <c r="Z31" s="5">
        <v>7.29</v>
      </c>
      <c r="AA31" s="4">
        <v>1314</v>
      </c>
      <c r="AB31" s="4"/>
      <c r="AC31" s="13">
        <f t="shared" ref="AC31:AH31" si="41">IF(OR(C32=""),"",C32-C31)</f>
        <v>44888</v>
      </c>
      <c r="AD31" s="13">
        <f t="shared" si="41"/>
        <v>54786</v>
      </c>
      <c r="AE31" s="13">
        <f t="shared" si="41"/>
        <v>53780</v>
      </c>
      <c r="AF31" s="13">
        <f t="shared" si="41"/>
        <v>53497</v>
      </c>
      <c r="AG31" s="13">
        <f t="shared" si="41"/>
        <v>205453</v>
      </c>
      <c r="AH31" s="13">
        <f t="shared" si="41"/>
        <v>5426</v>
      </c>
      <c r="AI31" s="13">
        <f t="shared" si="1"/>
        <v>1498</v>
      </c>
      <c r="AJ31" s="13">
        <f t="shared" si="2"/>
        <v>205292</v>
      </c>
      <c r="AK31" s="13">
        <f t="shared" si="3"/>
        <v>5424</v>
      </c>
      <c r="AL31" s="13">
        <f t="shared" si="4"/>
        <v>199868</v>
      </c>
      <c r="AM31" s="13">
        <v>4250</v>
      </c>
      <c r="AN31" s="13">
        <f t="shared" si="5"/>
        <v>0</v>
      </c>
      <c r="AO31" s="13">
        <f t="shared" si="6"/>
        <v>0</v>
      </c>
      <c r="AP31" s="13">
        <f t="shared" si="7"/>
        <v>5254</v>
      </c>
      <c r="AQ31" s="13">
        <f t="shared" si="8"/>
        <v>1800</v>
      </c>
      <c r="AR31" s="13">
        <f t="shared" si="9"/>
        <v>2800.00000000007</v>
      </c>
      <c r="AS31" s="17">
        <f t="shared" si="10"/>
        <v>0</v>
      </c>
      <c r="AT31" s="17">
        <f t="shared" si="11"/>
        <v>0</v>
      </c>
      <c r="AU31" s="18">
        <f t="shared" si="12"/>
        <v>26.3</v>
      </c>
      <c r="AV31" s="17">
        <f t="shared" si="13"/>
        <v>9.01</v>
      </c>
    </row>
    <row r="32" spans="1:48">
      <c r="A32" s="6">
        <v>43799</v>
      </c>
      <c r="B32" s="21" t="s">
        <v>48</v>
      </c>
      <c r="C32" s="4">
        <v>43497342</v>
      </c>
      <c r="D32" s="4">
        <v>32277237</v>
      </c>
      <c r="E32" s="4">
        <v>27113777</v>
      </c>
      <c r="F32" s="4">
        <v>26664428</v>
      </c>
      <c r="G32" s="4">
        <v>337662523</v>
      </c>
      <c r="H32" s="4">
        <v>107661720</v>
      </c>
      <c r="I32" s="4">
        <v>337661966</v>
      </c>
      <c r="J32" s="4">
        <v>107661704</v>
      </c>
      <c r="K32" s="4"/>
      <c r="L32" s="5">
        <v>4299.8</v>
      </c>
      <c r="M32" s="5">
        <v>4576.21</v>
      </c>
      <c r="N32" s="5">
        <v>74196.8</v>
      </c>
      <c r="O32" s="5">
        <v>1721.4</v>
      </c>
      <c r="P32" s="5">
        <v>1693.1</v>
      </c>
      <c r="Q32" s="5"/>
      <c r="R32" s="5"/>
      <c r="S32" s="10">
        <v>21</v>
      </c>
      <c r="T32" s="4" t="s">
        <v>62</v>
      </c>
      <c r="U32" s="4">
        <v>400</v>
      </c>
      <c r="V32" s="4">
        <v>420</v>
      </c>
      <c r="W32" s="4">
        <v>9092</v>
      </c>
      <c r="X32" s="4">
        <v>8134</v>
      </c>
      <c r="Y32" s="5">
        <v>7.63</v>
      </c>
      <c r="Z32" s="5">
        <v>7.01</v>
      </c>
      <c r="AA32" s="4">
        <v>1434</v>
      </c>
      <c r="AB32" s="4"/>
      <c r="AC32" s="13">
        <f t="shared" ref="AC32:AH32" si="42">IF(OR(C33=""),"",C33-C32)</f>
        <v>46050</v>
      </c>
      <c r="AD32" s="13">
        <f t="shared" si="42"/>
        <v>56433</v>
      </c>
      <c r="AE32" s="13">
        <f t="shared" si="42"/>
        <v>55315</v>
      </c>
      <c r="AF32" s="13">
        <f t="shared" si="42"/>
        <v>55395</v>
      </c>
      <c r="AG32" s="13">
        <f t="shared" si="42"/>
        <v>208839</v>
      </c>
      <c r="AH32" s="13">
        <f t="shared" si="42"/>
        <v>5408</v>
      </c>
      <c r="AI32" s="13">
        <f t="shared" si="1"/>
        <v>4354</v>
      </c>
      <c r="AJ32" s="13">
        <f t="shared" si="2"/>
        <v>209135</v>
      </c>
      <c r="AK32" s="13">
        <f t="shared" si="3"/>
        <v>5416</v>
      </c>
      <c r="AL32" s="13">
        <f t="shared" si="4"/>
        <v>203719</v>
      </c>
      <c r="AM32" s="13">
        <v>4500</v>
      </c>
      <c r="AN32" s="13">
        <f t="shared" si="5"/>
        <v>0</v>
      </c>
      <c r="AO32" s="13">
        <f t="shared" si="6"/>
        <v>0</v>
      </c>
      <c r="AP32" s="13">
        <f t="shared" si="7"/>
        <v>2840</v>
      </c>
      <c r="AQ32" s="13">
        <f t="shared" si="8"/>
        <v>1008</v>
      </c>
      <c r="AR32" s="13">
        <f t="shared" si="9"/>
        <v>1750</v>
      </c>
      <c r="AS32" s="17">
        <f t="shared" si="10"/>
        <v>0</v>
      </c>
      <c r="AT32" s="17">
        <f t="shared" si="11"/>
        <v>0</v>
      </c>
      <c r="AU32" s="18">
        <f t="shared" si="12"/>
        <v>13.9</v>
      </c>
      <c r="AV32" s="17">
        <f t="shared" si="13"/>
        <v>4.95</v>
      </c>
    </row>
    <row r="33" spans="1:48">
      <c r="A33" s="6">
        <v>43800</v>
      </c>
      <c r="B33" s="21" t="s">
        <v>48</v>
      </c>
      <c r="C33" s="4">
        <v>43543392</v>
      </c>
      <c r="D33" s="4">
        <v>32333670</v>
      </c>
      <c r="E33" s="4">
        <v>27169092</v>
      </c>
      <c r="F33" s="4">
        <v>26719823</v>
      </c>
      <c r="G33" s="4">
        <v>337871362</v>
      </c>
      <c r="H33" s="4">
        <v>107667128</v>
      </c>
      <c r="I33" s="4">
        <v>337871101</v>
      </c>
      <c r="J33" s="4">
        <v>107667120</v>
      </c>
      <c r="K33" s="4"/>
      <c r="L33" s="5">
        <v>4299.8</v>
      </c>
      <c r="M33" s="5">
        <v>4576.21</v>
      </c>
      <c r="N33" s="5">
        <v>74196.8</v>
      </c>
      <c r="O33" s="5">
        <v>1724.9</v>
      </c>
      <c r="P33" s="5">
        <v>1693.1</v>
      </c>
      <c r="Q33" s="5"/>
      <c r="R33" s="5"/>
      <c r="S33" s="10">
        <v>20.8</v>
      </c>
      <c r="T33" s="4" t="s">
        <v>62</v>
      </c>
      <c r="U33" s="4"/>
      <c r="V33" s="4"/>
      <c r="W33" s="4"/>
      <c r="X33" s="4"/>
      <c r="Y33" s="5"/>
      <c r="Z33" s="5"/>
      <c r="AA33" s="4"/>
      <c r="AB33" s="4"/>
      <c r="AC33" s="13" t="str">
        <f t="shared" ref="AC33:AH33" si="43">IF(OR(C34=""),"",C34-C33)</f>
        <v/>
      </c>
      <c r="AD33" s="13" t="str">
        <f t="shared" si="43"/>
        <v/>
      </c>
      <c r="AE33" s="13" t="str">
        <f t="shared" si="43"/>
        <v/>
      </c>
      <c r="AF33" s="13" t="str">
        <f t="shared" si="43"/>
        <v/>
      </c>
      <c r="AG33" s="13" t="str">
        <f t="shared" si="43"/>
        <v/>
      </c>
      <c r="AH33" s="13" t="str">
        <f t="shared" si="43"/>
        <v/>
      </c>
      <c r="AI33" s="13" t="str">
        <f t="shared" si="1"/>
        <v/>
      </c>
      <c r="AJ33" s="13" t="str">
        <f t="shared" si="2"/>
        <v/>
      </c>
      <c r="AK33" s="13" t="str">
        <f t="shared" si="3"/>
        <v/>
      </c>
      <c r="AL33" s="13" t="str">
        <f t="shared" si="4"/>
        <v/>
      </c>
      <c r="AM33" s="13" t="str">
        <f t="shared" ref="AM33" si="44">IF(K33="","",K34-K33)</f>
        <v/>
      </c>
      <c r="AN33" s="13" t="str">
        <f t="shared" si="5"/>
        <v/>
      </c>
      <c r="AO33" s="13" t="str">
        <f t="shared" si="6"/>
        <v/>
      </c>
      <c r="AP33" s="13" t="str">
        <f t="shared" si="7"/>
        <v/>
      </c>
      <c r="AQ33" s="13" t="str">
        <f t="shared" si="8"/>
        <v/>
      </c>
      <c r="AR33" s="13"/>
      <c r="AS33" s="17" t="str">
        <f t="shared" si="10"/>
        <v/>
      </c>
      <c r="AT33" s="17" t="str">
        <f t="shared" si="11"/>
        <v/>
      </c>
      <c r="AU33" s="18" t="str">
        <f t="shared" si="12"/>
        <v/>
      </c>
      <c r="AV33" s="17" t="str">
        <f t="shared" si="13"/>
        <v/>
      </c>
    </row>
    <row r="34" spans="1:48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5"/>
      <c r="R34" s="5"/>
      <c r="S34" s="10"/>
      <c r="T34" s="4"/>
      <c r="AB34" s="14"/>
      <c r="AM34" s="15"/>
      <c r="AP34" s="1"/>
      <c r="AQ34" s="1"/>
      <c r="AR34" s="1"/>
      <c r="AS34" s="12"/>
      <c r="AT34" s="2"/>
      <c r="AU34" s="12"/>
      <c r="AV34" s="2"/>
    </row>
    <row r="35" spans="18:48">
      <c r="R35" s="2"/>
      <c r="S35" s="12"/>
      <c r="AM35" s="15"/>
      <c r="AP35" s="1"/>
      <c r="AQ35" s="1"/>
      <c r="AR35" s="1"/>
      <c r="AS35" s="12"/>
      <c r="AT35" s="2"/>
      <c r="AU35" s="12"/>
      <c r="AV35" s="2"/>
    </row>
    <row r="36" spans="18:48">
      <c r="R36" s="2"/>
      <c r="S36" s="12"/>
      <c r="AC36" s="1" t="str">
        <f t="shared" ref="AC36:AH36" si="45">IF(OR(C37=""),"",C37-C36)</f>
        <v/>
      </c>
      <c r="AD36" s="1" t="str">
        <f t="shared" si="45"/>
        <v/>
      </c>
      <c r="AE36" s="1" t="str">
        <f t="shared" si="45"/>
        <v/>
      </c>
      <c r="AF36" s="1" t="str">
        <f t="shared" si="45"/>
        <v/>
      </c>
      <c r="AG36" s="1" t="str">
        <f t="shared" si="45"/>
        <v/>
      </c>
      <c r="AH36" s="1" t="str">
        <f t="shared" si="45"/>
        <v/>
      </c>
      <c r="AI36" s="1" t="str">
        <f>IF(OR(AC36="",AD36="",AE36=""),"",AC36+AD36+AE36+AF36-AG36)</f>
        <v/>
      </c>
      <c r="AJ36" s="16">
        <f t="shared" ref="AJ36:AQ36" si="46">SUM(AJ3:AJ34)</f>
        <v>5557161</v>
      </c>
      <c r="AK36" s="16">
        <f t="shared" si="46"/>
        <v>162240</v>
      </c>
      <c r="AL36" s="16">
        <f t="shared" si="46"/>
        <v>5394921</v>
      </c>
      <c r="AM36" s="16">
        <f t="shared" si="46"/>
        <v>142550</v>
      </c>
      <c r="AN36" s="16">
        <f t="shared" si="46"/>
        <v>372</v>
      </c>
      <c r="AO36" s="16">
        <f t="shared" si="46"/>
        <v>3</v>
      </c>
      <c r="AP36" s="16">
        <f t="shared" si="46"/>
        <v>112890</v>
      </c>
      <c r="AQ36" s="16">
        <f t="shared" si="46"/>
        <v>38928</v>
      </c>
      <c r="AR36" s="16"/>
      <c r="AS36" s="19">
        <f>IF(OR($AL36=0),"",ROUND(AN36/$AL36*1000,1))</f>
        <v>0.1</v>
      </c>
      <c r="AT36" s="19">
        <f>IF(OR($AL36=0),"",ROUND(AO36/$AL36*1000,2))</f>
        <v>0</v>
      </c>
      <c r="AU36" s="20">
        <f>IF(OR($AL36=0),"",ROUND(AP36/$AL36*1000,1))</f>
        <v>20.9</v>
      </c>
      <c r="AV36" s="19">
        <f>IF(OR($AL36=0),"",ROUND(AQ36/$AL36*1000,2))</f>
        <v>7.22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V43"/>
  <sheetViews>
    <sheetView showGridLines="0" tabSelected="1" workbookViewId="0">
      <pane xSplit="2" ySplit="2" topLeftCell="Q3" activePane="bottomRight" state="frozen"/>
      <selection/>
      <selection pane="topRight"/>
      <selection pane="bottomLeft"/>
      <selection pane="bottomRight" activeCell="Y3" sqref="Y3:Z33"/>
    </sheetView>
  </sheetViews>
  <sheetFormatPr defaultColWidth="10.6666666666667" defaultRowHeight="14.25"/>
  <cols>
    <col min="1" max="1" width="8.33333333333333" style="1" customWidth="1"/>
    <col min="2" max="2" width="8.66666666666667" style="2" customWidth="1"/>
    <col min="3" max="3" width="12.8833333333333" style="1" customWidth="1"/>
    <col min="4" max="4" width="12.5583333333333" style="1" customWidth="1"/>
    <col min="5" max="5" width="11.8833333333333" style="1" customWidth="1"/>
    <col min="6" max="6" width="12" style="1" customWidth="1"/>
    <col min="7" max="7" width="13" style="1" customWidth="1"/>
    <col min="8" max="8" width="12.6666666666667" style="1" customWidth="1"/>
    <col min="9" max="9" width="12.775" style="1" customWidth="1"/>
    <col min="10" max="10" width="12.8833333333333" style="1" customWidth="1"/>
    <col min="11" max="11" width="8" style="1" customWidth="1"/>
    <col min="12" max="13" width="8.33333333333333" style="2" customWidth="1"/>
    <col min="14" max="14" width="11.4416666666667" style="2" customWidth="1"/>
    <col min="15" max="16" width="8.44166666666667" style="2" customWidth="1"/>
    <col min="17" max="17" width="8.33333333333333" style="2" customWidth="1"/>
    <col min="18" max="18" width="9.66666666666667" style="1" customWidth="1"/>
    <col min="19" max="20" width="8.10833333333333" style="1" customWidth="1"/>
    <col min="21" max="21" width="7.66666666666667" style="1" customWidth="1"/>
    <col min="22" max="24" width="8.10833333333333" style="1" customWidth="1"/>
    <col min="25" max="26" width="8.10833333333333" style="2" customWidth="1"/>
    <col min="27" max="27" width="8.10833333333333" style="1" customWidth="1"/>
    <col min="28" max="28" width="15.6666666666667" style="1" customWidth="1"/>
    <col min="29" max="35" width="8.10833333333333" style="1" customWidth="1"/>
    <col min="36" max="36" width="7.88333333333333" style="1" customWidth="1"/>
    <col min="37" max="38" width="8.10833333333333" style="1" customWidth="1"/>
    <col min="39" max="41" width="6.66666666666667" style="1" customWidth="1"/>
    <col min="42" max="42" width="6.66666666666667" style="2" customWidth="1"/>
    <col min="43" max="44" width="8.10833333333333" style="2" customWidth="1"/>
    <col min="45" max="45" width="6.44166666666667" style="3" customWidth="1"/>
    <col min="46" max="46" width="7" style="3" customWidth="1"/>
    <col min="47" max="47" width="6.66666666666667" style="3" customWidth="1"/>
    <col min="48" max="48" width="8.10833333333333" style="3" customWidth="1"/>
    <col min="49" max="16384" width="10.6666666666667" style="3"/>
  </cols>
  <sheetData>
    <row r="2" ht="42.75" spans="1:4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69</v>
      </c>
      <c r="P2" s="5" t="s">
        <v>70</v>
      </c>
      <c r="Q2" s="5" t="s">
        <v>13</v>
      </c>
      <c r="R2" s="5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5" t="s">
        <v>21</v>
      </c>
      <c r="Z2" s="5" t="s">
        <v>22</v>
      </c>
      <c r="AA2" s="4" t="s">
        <v>23</v>
      </c>
      <c r="AB2" s="4" t="s">
        <v>24</v>
      </c>
      <c r="AC2" s="13" t="s">
        <v>25</v>
      </c>
      <c r="AD2" s="13" t="s">
        <v>26</v>
      </c>
      <c r="AE2" s="13" t="s">
        <v>27</v>
      </c>
      <c r="AF2" s="13" t="s">
        <v>28</v>
      </c>
      <c r="AG2" s="13" t="s">
        <v>29</v>
      </c>
      <c r="AH2" s="13" t="s">
        <v>30</v>
      </c>
      <c r="AI2" s="13" t="s">
        <v>31</v>
      </c>
      <c r="AJ2" s="13" t="s">
        <v>32</v>
      </c>
      <c r="AK2" s="13" t="s">
        <v>33</v>
      </c>
      <c r="AL2" s="13" t="s">
        <v>34</v>
      </c>
      <c r="AM2" s="13" t="s">
        <v>35</v>
      </c>
      <c r="AN2" s="13" t="s">
        <v>36</v>
      </c>
      <c r="AO2" s="13" t="s">
        <v>37</v>
      </c>
      <c r="AP2" s="7" t="s">
        <v>38</v>
      </c>
      <c r="AQ2" s="7" t="s">
        <v>39</v>
      </c>
      <c r="AR2" s="7" t="s">
        <v>40</v>
      </c>
      <c r="AS2" s="13" t="s">
        <v>41</v>
      </c>
      <c r="AT2" s="13" t="s">
        <v>42</v>
      </c>
      <c r="AU2" s="7" t="s">
        <v>43</v>
      </c>
      <c r="AV2" s="7" t="s">
        <v>44</v>
      </c>
    </row>
    <row r="3" spans="1:48">
      <c r="A3" s="6">
        <v>43800</v>
      </c>
      <c r="B3" s="7" t="str">
        <f>'11'!B33</f>
        <v>陈智娇</v>
      </c>
      <c r="C3" s="7">
        <f>'11'!C33</f>
        <v>43543392</v>
      </c>
      <c r="D3" s="7">
        <f>'11'!D33</f>
        <v>32333670</v>
      </c>
      <c r="E3" s="7">
        <f>'11'!E33</f>
        <v>27169092</v>
      </c>
      <c r="F3" s="7">
        <f>'11'!F33</f>
        <v>26719823</v>
      </c>
      <c r="G3" s="7">
        <f>'11'!G33</f>
        <v>337871362</v>
      </c>
      <c r="H3" s="7">
        <f>'11'!H33</f>
        <v>107667128</v>
      </c>
      <c r="I3" s="7">
        <f>'11'!I33</f>
        <v>337871101</v>
      </c>
      <c r="J3" s="7">
        <f>'11'!J33</f>
        <v>107667120</v>
      </c>
      <c r="K3" s="7">
        <f>'11'!K33</f>
        <v>0</v>
      </c>
      <c r="L3" s="7">
        <f>'11'!L33</f>
        <v>4299.8</v>
      </c>
      <c r="M3" s="7">
        <f>'11'!M33</f>
        <v>4576.21</v>
      </c>
      <c r="N3" s="7">
        <f>'11'!N33</f>
        <v>74196.8</v>
      </c>
      <c r="O3" s="9">
        <v>1724.9</v>
      </c>
      <c r="P3" s="9">
        <v>1693.1</v>
      </c>
      <c r="Q3" s="7">
        <f>'11'!Q33</f>
        <v>0</v>
      </c>
      <c r="R3" s="7">
        <f>'11'!R33</f>
        <v>0</v>
      </c>
      <c r="S3" s="7">
        <f>'11'!S33</f>
        <v>20.8</v>
      </c>
      <c r="T3" s="7" t="str">
        <f>'11'!T33</f>
        <v>晴 </v>
      </c>
      <c r="U3" s="4">
        <v>550</v>
      </c>
      <c r="V3" s="4">
        <v>560</v>
      </c>
      <c r="W3" s="4">
        <v>9209</v>
      </c>
      <c r="X3" s="4">
        <v>8145</v>
      </c>
      <c r="Y3" s="5">
        <v>7.24</v>
      </c>
      <c r="Z3" s="5">
        <v>5.31</v>
      </c>
      <c r="AA3" s="4">
        <v>1377</v>
      </c>
      <c r="AB3" s="4"/>
      <c r="AC3" s="13">
        <f t="shared" ref="AC3:AH3" si="0">IF(OR(C4=""),"",C4-C3)</f>
        <v>46800</v>
      </c>
      <c r="AD3" s="13">
        <f t="shared" si="0"/>
        <v>57533</v>
      </c>
      <c r="AE3" s="13">
        <f t="shared" si="0"/>
        <v>56133</v>
      </c>
      <c r="AF3" s="13">
        <f t="shared" si="0"/>
        <v>56533</v>
      </c>
      <c r="AG3" s="13">
        <f t="shared" si="0"/>
        <v>205701</v>
      </c>
      <c r="AH3" s="13">
        <f t="shared" si="0"/>
        <v>5388</v>
      </c>
      <c r="AI3" s="13">
        <f t="shared" ref="AI3:AI33" si="1">IF(OR(AC3="",AD3="",AE3=""),"",AC3+AD3+AE3+AF3-AG3)</f>
        <v>11298</v>
      </c>
      <c r="AJ3" s="13">
        <f t="shared" ref="AJ3:AJ33" si="2">IF(OR(I4=""),"",I4-I3)</f>
        <v>206785</v>
      </c>
      <c r="AK3" s="13">
        <f t="shared" ref="AK3:AK33" si="3">IF(OR(J4=""),"",J4-J3)</f>
        <v>5416</v>
      </c>
      <c r="AL3" s="13">
        <f t="shared" ref="AL3:AL33" si="4">IF(OR(AJ3="",AK3=""),"",AJ3-AK3)</f>
        <v>201369</v>
      </c>
      <c r="AM3" s="13">
        <v>4250</v>
      </c>
      <c r="AN3" s="13">
        <f t="shared" ref="AN3:AN33" si="5">IF(OR(L4="",M4=""),"",ROUND((L4-L3+M4-M3)*1200,0))</f>
        <v>0</v>
      </c>
      <c r="AO3" s="13">
        <f>IF(OR(N4=""),"",(ROUND((N4-N3)*2,0)))</f>
        <v>0</v>
      </c>
      <c r="AP3" s="13">
        <f t="shared" ref="AP3:AP33" si="6">IF(OR(U3=""),"",ROUND(U3*7.1,0))</f>
        <v>3905</v>
      </c>
      <c r="AQ3" s="13">
        <f t="shared" ref="AQ3:AQ33" si="7">IF(OR(V3=""),"",ROUND(V3*2.4,0))</f>
        <v>1344</v>
      </c>
      <c r="AR3" s="13">
        <f t="shared" ref="AR3:AR4" si="8">IF(O4=0,"",(O4+P4-O3-P3)*1000/2)</f>
        <v>1799.99999999995</v>
      </c>
      <c r="AS3" s="17">
        <f t="shared" ref="AS3:AS33" si="9">IF(OR($AL3=""),"",ROUND(AN3/$AL3*1000,1))</f>
        <v>0</v>
      </c>
      <c r="AT3" s="17">
        <f t="shared" ref="AT3:AT33" si="10">IF(OR($AL3=""),"",ROUND(AO3/$AL3*1000,2))</f>
        <v>0</v>
      </c>
      <c r="AU3" s="18">
        <f t="shared" ref="AU3:AU33" si="11">IF(OR($AL3=""),"",ROUND(AP3/$AL3*1000,1))</f>
        <v>19.4</v>
      </c>
      <c r="AV3" s="17">
        <f t="shared" ref="AV3:AV33" si="12">IF(OR($AL3=""),"",ROUND(AQ3/$AL3*1000,2))</f>
        <v>6.67</v>
      </c>
    </row>
    <row r="4" spans="1:48">
      <c r="A4" s="6">
        <v>43801</v>
      </c>
      <c r="B4" s="5" t="s">
        <v>48</v>
      </c>
      <c r="C4" s="4">
        <v>43590192</v>
      </c>
      <c r="D4" s="4">
        <v>32391203</v>
      </c>
      <c r="E4" s="4">
        <v>27225225</v>
      </c>
      <c r="F4" s="4">
        <v>26776356</v>
      </c>
      <c r="G4" s="4">
        <v>338077063</v>
      </c>
      <c r="H4" s="4">
        <v>107672516</v>
      </c>
      <c r="I4" s="4">
        <v>338077886</v>
      </c>
      <c r="J4" s="4">
        <v>107672536</v>
      </c>
      <c r="K4" s="4"/>
      <c r="L4" s="5">
        <v>4299.8</v>
      </c>
      <c r="M4" s="5">
        <v>4576.21</v>
      </c>
      <c r="N4" s="5">
        <v>74196.8</v>
      </c>
      <c r="O4" s="5">
        <v>1728.5</v>
      </c>
      <c r="P4" s="5">
        <v>1693.1</v>
      </c>
      <c r="Q4" s="5"/>
      <c r="R4" s="5"/>
      <c r="S4" s="10">
        <v>20.4</v>
      </c>
      <c r="T4" s="4" t="s">
        <v>62</v>
      </c>
      <c r="U4" s="4">
        <v>300</v>
      </c>
      <c r="V4" s="4">
        <v>320</v>
      </c>
      <c r="W4" s="4">
        <v>9245</v>
      </c>
      <c r="X4" s="4">
        <v>8254</v>
      </c>
      <c r="Y4" s="5">
        <v>7.11</v>
      </c>
      <c r="Z4" s="5">
        <v>5.47</v>
      </c>
      <c r="AA4" s="4">
        <v>1440</v>
      </c>
      <c r="AB4" s="4"/>
      <c r="AC4" s="13">
        <f t="shared" ref="AC4:AH4" si="13">IF(OR(C5=""),"",C5-C4)</f>
        <v>46009</v>
      </c>
      <c r="AD4" s="13">
        <f t="shared" si="13"/>
        <v>56598</v>
      </c>
      <c r="AE4" s="13">
        <f t="shared" si="13"/>
        <v>55459</v>
      </c>
      <c r="AF4" s="13">
        <f t="shared" si="13"/>
        <v>56254</v>
      </c>
      <c r="AG4" s="13">
        <f t="shared" si="13"/>
        <v>211754</v>
      </c>
      <c r="AH4" s="13">
        <f t="shared" si="13"/>
        <v>5376</v>
      </c>
      <c r="AI4" s="13">
        <f t="shared" si="1"/>
        <v>2566</v>
      </c>
      <c r="AJ4" s="13">
        <f t="shared" si="2"/>
        <v>211066</v>
      </c>
      <c r="AK4" s="13">
        <f t="shared" si="3"/>
        <v>5400</v>
      </c>
      <c r="AL4" s="13">
        <f t="shared" si="4"/>
        <v>205666</v>
      </c>
      <c r="AM4" s="13">
        <v>3000</v>
      </c>
      <c r="AN4" s="13">
        <f t="shared" si="5"/>
        <v>0</v>
      </c>
      <c r="AO4" s="13">
        <f t="shared" ref="AO4:AO33" si="14">IF(OR(N5=""),"",(ROUND((N5-N4)*2,0)))</f>
        <v>0</v>
      </c>
      <c r="AP4" s="13">
        <f t="shared" si="6"/>
        <v>2130</v>
      </c>
      <c r="AQ4" s="13">
        <f t="shared" si="7"/>
        <v>768</v>
      </c>
      <c r="AR4" s="13">
        <f t="shared" si="8"/>
        <v>1750</v>
      </c>
      <c r="AS4" s="17">
        <f t="shared" si="9"/>
        <v>0</v>
      </c>
      <c r="AT4" s="17">
        <f t="shared" si="10"/>
        <v>0</v>
      </c>
      <c r="AU4" s="18">
        <f t="shared" si="11"/>
        <v>10.4</v>
      </c>
      <c r="AV4" s="17">
        <f t="shared" si="12"/>
        <v>3.73</v>
      </c>
    </row>
    <row r="5" spans="1:48">
      <c r="A5" s="6">
        <v>43802</v>
      </c>
      <c r="B5" s="5" t="s">
        <v>45</v>
      </c>
      <c r="C5" s="4">
        <v>43636201</v>
      </c>
      <c r="D5" s="4">
        <v>32447801</v>
      </c>
      <c r="E5" s="4">
        <v>27280684</v>
      </c>
      <c r="F5" s="4">
        <v>26832610</v>
      </c>
      <c r="G5" s="4">
        <v>338288817</v>
      </c>
      <c r="H5" s="4">
        <v>107677892</v>
      </c>
      <c r="I5" s="4">
        <v>338288952</v>
      </c>
      <c r="J5" s="4">
        <v>107677936</v>
      </c>
      <c r="K5" s="4"/>
      <c r="L5" s="5">
        <v>4299.8</v>
      </c>
      <c r="M5" s="5">
        <v>4576.21</v>
      </c>
      <c r="N5" s="5">
        <v>74196.8</v>
      </c>
      <c r="O5" s="5">
        <v>1732</v>
      </c>
      <c r="P5" s="5">
        <v>1693.1</v>
      </c>
      <c r="Q5" s="5"/>
      <c r="R5" s="5"/>
      <c r="S5" s="10">
        <v>20</v>
      </c>
      <c r="T5" s="4" t="s">
        <v>52</v>
      </c>
      <c r="U5" s="4">
        <v>270</v>
      </c>
      <c r="V5" s="4">
        <v>280</v>
      </c>
      <c r="W5" s="4">
        <v>9013</v>
      </c>
      <c r="X5" s="4">
        <v>8067</v>
      </c>
      <c r="Y5" s="5">
        <v>6.89</v>
      </c>
      <c r="Z5" s="5">
        <v>6.17</v>
      </c>
      <c r="AA5" s="4">
        <v>1440</v>
      </c>
      <c r="AB5" s="4"/>
      <c r="AC5" s="13">
        <f t="shared" ref="AC5:AH5" si="15">IF(OR(C6=""),"",C6-C5)</f>
        <v>43276</v>
      </c>
      <c r="AD5" s="13">
        <f t="shared" si="15"/>
        <v>52457</v>
      </c>
      <c r="AE5" s="13">
        <f t="shared" si="15"/>
        <v>52922</v>
      </c>
      <c r="AF5" s="13">
        <f t="shared" si="15"/>
        <v>52069</v>
      </c>
      <c r="AG5" s="13">
        <f t="shared" si="15"/>
        <v>202560</v>
      </c>
      <c r="AH5" s="13">
        <f t="shared" si="15"/>
        <v>5475</v>
      </c>
      <c r="AI5" s="13">
        <f t="shared" si="1"/>
        <v>-1836</v>
      </c>
      <c r="AJ5" s="13">
        <f t="shared" si="2"/>
        <v>202172</v>
      </c>
      <c r="AK5" s="13">
        <f t="shared" si="3"/>
        <v>5452</v>
      </c>
      <c r="AL5" s="13">
        <f t="shared" si="4"/>
        <v>196720</v>
      </c>
      <c r="AM5" s="13">
        <v>3920</v>
      </c>
      <c r="AN5" s="13">
        <f t="shared" si="5"/>
        <v>0</v>
      </c>
      <c r="AO5" s="13">
        <f t="shared" si="14"/>
        <v>0</v>
      </c>
      <c r="AP5" s="13">
        <f t="shared" si="6"/>
        <v>1917</v>
      </c>
      <c r="AQ5" s="13">
        <f t="shared" si="7"/>
        <v>672</v>
      </c>
      <c r="AR5" s="13">
        <f t="shared" ref="AR5:AR33" si="16">IF(O6=0,"",(O6+P6-O5-P5)*1000/2)</f>
        <v>1649.99999999986</v>
      </c>
      <c r="AS5" s="17">
        <f t="shared" si="9"/>
        <v>0</v>
      </c>
      <c r="AT5" s="17">
        <f t="shared" si="10"/>
        <v>0</v>
      </c>
      <c r="AU5" s="18">
        <f t="shared" si="11"/>
        <v>9.7</v>
      </c>
      <c r="AV5" s="17">
        <f t="shared" si="12"/>
        <v>3.42</v>
      </c>
    </row>
    <row r="6" spans="1:48">
      <c r="A6" s="6">
        <v>43803</v>
      </c>
      <c r="B6" s="5" t="s">
        <v>47</v>
      </c>
      <c r="C6" s="4">
        <v>43679477</v>
      </c>
      <c r="D6" s="4">
        <v>32500258</v>
      </c>
      <c r="E6" s="4">
        <v>27333606</v>
      </c>
      <c r="F6" s="4">
        <v>26884679</v>
      </c>
      <c r="G6" s="4">
        <v>338491377</v>
      </c>
      <c r="H6" s="4">
        <v>107683367</v>
      </c>
      <c r="I6" s="4">
        <v>338491124</v>
      </c>
      <c r="J6" s="4">
        <v>107683388</v>
      </c>
      <c r="K6" s="4"/>
      <c r="L6" s="5">
        <v>4299.8</v>
      </c>
      <c r="M6" s="5">
        <v>4576.21</v>
      </c>
      <c r="N6" s="5">
        <v>74196.8</v>
      </c>
      <c r="O6" s="5">
        <v>1735.3</v>
      </c>
      <c r="P6" s="5">
        <v>1693.1</v>
      </c>
      <c r="Q6" s="5"/>
      <c r="R6" s="5"/>
      <c r="S6" s="10">
        <v>20</v>
      </c>
      <c r="T6" s="4" t="s">
        <v>52</v>
      </c>
      <c r="U6" s="4">
        <v>650</v>
      </c>
      <c r="V6" s="4">
        <v>640</v>
      </c>
      <c r="W6" s="4">
        <v>8641</v>
      </c>
      <c r="X6" s="4">
        <v>7542</v>
      </c>
      <c r="Y6" s="5">
        <v>7.2</v>
      </c>
      <c r="Z6" s="5">
        <v>6.47</v>
      </c>
      <c r="AA6" s="4">
        <v>1375</v>
      </c>
      <c r="AB6" s="4"/>
      <c r="AC6" s="13">
        <f t="shared" ref="AC6:AH6" si="17">IF(OR(C7=""),"",C7-C6)</f>
        <v>42004</v>
      </c>
      <c r="AD6" s="13">
        <f t="shared" si="17"/>
        <v>50375</v>
      </c>
      <c r="AE6" s="13">
        <f t="shared" si="17"/>
        <v>51824</v>
      </c>
      <c r="AF6" s="13">
        <f t="shared" si="17"/>
        <v>49978</v>
      </c>
      <c r="AG6" s="13">
        <f t="shared" si="17"/>
        <v>186966</v>
      </c>
      <c r="AH6" s="13">
        <f t="shared" si="17"/>
        <v>5395</v>
      </c>
      <c r="AI6" s="13">
        <f t="shared" si="1"/>
        <v>7215</v>
      </c>
      <c r="AJ6" s="13">
        <f t="shared" si="2"/>
        <v>187742</v>
      </c>
      <c r="AK6" s="13">
        <f t="shared" si="3"/>
        <v>5380</v>
      </c>
      <c r="AL6" s="13">
        <f t="shared" si="4"/>
        <v>182362</v>
      </c>
      <c r="AM6" s="13">
        <v>4200</v>
      </c>
      <c r="AN6" s="13">
        <f t="shared" si="5"/>
        <v>0</v>
      </c>
      <c r="AO6" s="13">
        <f t="shared" si="14"/>
        <v>0</v>
      </c>
      <c r="AP6" s="13">
        <f t="shared" si="6"/>
        <v>4615</v>
      </c>
      <c r="AQ6" s="13">
        <f t="shared" si="7"/>
        <v>1536</v>
      </c>
      <c r="AR6" s="13">
        <f t="shared" si="16"/>
        <v>1200.00000000016</v>
      </c>
      <c r="AS6" s="17">
        <f t="shared" si="9"/>
        <v>0</v>
      </c>
      <c r="AT6" s="17">
        <f t="shared" si="10"/>
        <v>0</v>
      </c>
      <c r="AU6" s="18">
        <f t="shared" si="11"/>
        <v>25.3</v>
      </c>
      <c r="AV6" s="17">
        <f t="shared" si="12"/>
        <v>8.42</v>
      </c>
    </row>
    <row r="7" spans="1:48">
      <c r="A7" s="6">
        <v>43804</v>
      </c>
      <c r="B7" s="5" t="s">
        <v>48</v>
      </c>
      <c r="C7" s="4">
        <v>43721481</v>
      </c>
      <c r="D7" s="4">
        <v>32550633</v>
      </c>
      <c r="E7" s="4">
        <v>27385430</v>
      </c>
      <c r="F7" s="4">
        <v>26934657</v>
      </c>
      <c r="G7" s="4">
        <v>338678343</v>
      </c>
      <c r="H7" s="4">
        <v>107688762</v>
      </c>
      <c r="I7" s="4">
        <v>338678866</v>
      </c>
      <c r="J7" s="4">
        <v>107688768</v>
      </c>
      <c r="K7" s="4"/>
      <c r="L7" s="5">
        <v>4299.8</v>
      </c>
      <c r="M7" s="5">
        <v>4576.21</v>
      </c>
      <c r="N7" s="5">
        <v>74196.8</v>
      </c>
      <c r="O7" s="5">
        <v>1735.3</v>
      </c>
      <c r="P7" s="5">
        <v>1695.5</v>
      </c>
      <c r="Q7" s="5"/>
      <c r="R7" s="5"/>
      <c r="S7" s="10">
        <v>19.4</v>
      </c>
      <c r="T7" s="4" t="s">
        <v>62</v>
      </c>
      <c r="U7" s="4">
        <v>630</v>
      </c>
      <c r="V7" s="4">
        <v>650</v>
      </c>
      <c r="W7" s="4">
        <v>8300</v>
      </c>
      <c r="X7" s="4">
        <v>7422</v>
      </c>
      <c r="Y7" s="5">
        <v>7.86</v>
      </c>
      <c r="Z7" s="5">
        <v>6.88</v>
      </c>
      <c r="AA7" s="4">
        <v>1377</v>
      </c>
      <c r="AB7" s="4"/>
      <c r="AC7" s="13">
        <f t="shared" ref="AC7:AH7" si="18">IF(OR(C8=""),"",C8-C7)</f>
        <v>40294</v>
      </c>
      <c r="AD7" s="13">
        <f t="shared" si="18"/>
        <v>47897</v>
      </c>
      <c r="AE7" s="13">
        <f t="shared" si="18"/>
        <v>50070</v>
      </c>
      <c r="AF7" s="13">
        <f t="shared" si="18"/>
        <v>48025</v>
      </c>
      <c r="AG7" s="13">
        <f t="shared" si="18"/>
        <v>178424</v>
      </c>
      <c r="AH7" s="13">
        <f t="shared" si="18"/>
        <v>5428</v>
      </c>
      <c r="AI7" s="13">
        <f t="shared" si="1"/>
        <v>7862</v>
      </c>
      <c r="AJ7" s="13">
        <f t="shared" si="2"/>
        <v>177780</v>
      </c>
      <c r="AK7" s="13">
        <f t="shared" si="3"/>
        <v>5416</v>
      </c>
      <c r="AL7" s="13">
        <f t="shared" si="4"/>
        <v>172364</v>
      </c>
      <c r="AM7" s="13">
        <v>3200</v>
      </c>
      <c r="AN7" s="13">
        <f t="shared" si="5"/>
        <v>0</v>
      </c>
      <c r="AO7" s="13">
        <f t="shared" si="14"/>
        <v>0</v>
      </c>
      <c r="AP7" s="13">
        <f t="shared" si="6"/>
        <v>4473</v>
      </c>
      <c r="AQ7" s="13">
        <f t="shared" si="7"/>
        <v>1560</v>
      </c>
      <c r="AR7" s="13">
        <f t="shared" si="16"/>
        <v>1750.00000000011</v>
      </c>
      <c r="AS7" s="17">
        <f t="shared" si="9"/>
        <v>0</v>
      </c>
      <c r="AT7" s="17">
        <f t="shared" si="10"/>
        <v>0</v>
      </c>
      <c r="AU7" s="18">
        <f t="shared" si="11"/>
        <v>26</v>
      </c>
      <c r="AV7" s="17">
        <f t="shared" si="12"/>
        <v>9.05</v>
      </c>
    </row>
    <row r="8" spans="1:48">
      <c r="A8" s="6">
        <v>43805</v>
      </c>
      <c r="B8" s="5" t="s">
        <v>48</v>
      </c>
      <c r="C8" s="4">
        <v>43761775</v>
      </c>
      <c r="D8" s="4">
        <v>32598530</v>
      </c>
      <c r="E8" s="4">
        <v>27435500</v>
      </c>
      <c r="F8" s="4">
        <v>26982682</v>
      </c>
      <c r="G8" s="4">
        <v>338856767</v>
      </c>
      <c r="H8" s="4">
        <v>107694190</v>
      </c>
      <c r="I8" s="4">
        <v>338856646</v>
      </c>
      <c r="J8" s="4">
        <v>107694184</v>
      </c>
      <c r="K8" s="4"/>
      <c r="L8" s="5">
        <v>4299.8</v>
      </c>
      <c r="M8" s="5">
        <v>4576.21</v>
      </c>
      <c r="N8" s="5">
        <v>74196.8</v>
      </c>
      <c r="O8" s="5">
        <v>1735.3</v>
      </c>
      <c r="P8" s="5">
        <v>1699</v>
      </c>
      <c r="Q8" s="5"/>
      <c r="R8" s="5"/>
      <c r="S8" s="10">
        <v>19.7</v>
      </c>
      <c r="T8" s="4" t="s">
        <v>62</v>
      </c>
      <c r="U8" s="4">
        <v>700</v>
      </c>
      <c r="V8" s="4">
        <v>680</v>
      </c>
      <c r="W8" s="4">
        <v>8253</v>
      </c>
      <c r="X8" s="4">
        <v>7315</v>
      </c>
      <c r="Y8" s="5">
        <v>7.56</v>
      </c>
      <c r="Z8" s="5">
        <v>6.76</v>
      </c>
      <c r="AA8" s="4">
        <v>1432</v>
      </c>
      <c r="AB8" s="4"/>
      <c r="AC8" s="13">
        <f t="shared" ref="AC8:AH8" si="19">IF(OR(C9=""),"",C9-C8)</f>
        <v>40528</v>
      </c>
      <c r="AD8" s="13">
        <f t="shared" si="19"/>
        <v>48088</v>
      </c>
      <c r="AE8" s="13">
        <f t="shared" si="19"/>
        <v>50405</v>
      </c>
      <c r="AF8" s="13">
        <f t="shared" si="19"/>
        <v>48269</v>
      </c>
      <c r="AG8" s="13">
        <f t="shared" si="19"/>
        <v>191183</v>
      </c>
      <c r="AH8" s="13">
        <f t="shared" si="19"/>
        <v>5406</v>
      </c>
      <c r="AI8" s="13">
        <f t="shared" si="1"/>
        <v>-3893</v>
      </c>
      <c r="AJ8" s="13">
        <f t="shared" si="2"/>
        <v>190151</v>
      </c>
      <c r="AK8" s="13">
        <f t="shared" si="3"/>
        <v>5416</v>
      </c>
      <c r="AL8" s="13">
        <f t="shared" si="4"/>
        <v>184735</v>
      </c>
      <c r="AM8" s="13">
        <v>3200</v>
      </c>
      <c r="AN8" s="13">
        <f t="shared" si="5"/>
        <v>0</v>
      </c>
      <c r="AO8" s="13">
        <f t="shared" si="14"/>
        <v>0</v>
      </c>
      <c r="AP8" s="13">
        <f t="shared" si="6"/>
        <v>4970</v>
      </c>
      <c r="AQ8" s="13">
        <f t="shared" si="7"/>
        <v>1632</v>
      </c>
      <c r="AR8" s="13">
        <f t="shared" si="16"/>
        <v>2799.99999999984</v>
      </c>
      <c r="AS8" s="17">
        <f t="shared" si="9"/>
        <v>0</v>
      </c>
      <c r="AT8" s="17">
        <f t="shared" si="10"/>
        <v>0</v>
      </c>
      <c r="AU8" s="18">
        <f t="shared" si="11"/>
        <v>26.9</v>
      </c>
      <c r="AV8" s="17">
        <f t="shared" si="12"/>
        <v>8.83</v>
      </c>
    </row>
    <row r="9" spans="1:48">
      <c r="A9" s="6">
        <v>43806</v>
      </c>
      <c r="B9" s="5" t="s">
        <v>48</v>
      </c>
      <c r="C9" s="4">
        <v>43802303</v>
      </c>
      <c r="D9" s="4">
        <v>32646618</v>
      </c>
      <c r="E9" s="4">
        <v>27485905</v>
      </c>
      <c r="F9" s="4">
        <v>27030951</v>
      </c>
      <c r="G9" s="4">
        <v>339047950</v>
      </c>
      <c r="H9" s="4">
        <v>107699596</v>
      </c>
      <c r="I9" s="4">
        <v>339046797</v>
      </c>
      <c r="J9" s="4">
        <v>107699600</v>
      </c>
      <c r="K9" s="4"/>
      <c r="L9" s="5">
        <v>4299.8</v>
      </c>
      <c r="M9" s="5">
        <v>4576.21</v>
      </c>
      <c r="N9" s="5">
        <v>74196.8</v>
      </c>
      <c r="O9" s="5">
        <v>1737.6</v>
      </c>
      <c r="P9" s="5">
        <v>1702.3</v>
      </c>
      <c r="Q9" s="5"/>
      <c r="R9" s="5"/>
      <c r="S9" s="10">
        <v>19.4</v>
      </c>
      <c r="T9" s="4" t="s">
        <v>62</v>
      </c>
      <c r="U9" s="4">
        <v>690</v>
      </c>
      <c r="V9" s="4">
        <v>700</v>
      </c>
      <c r="W9" s="4">
        <v>8345</v>
      </c>
      <c r="X9" s="4">
        <v>7125</v>
      </c>
      <c r="Y9" s="5">
        <v>7.29</v>
      </c>
      <c r="Z9" s="5">
        <v>6.4</v>
      </c>
      <c r="AA9" s="4">
        <v>1308</v>
      </c>
      <c r="AB9" s="4"/>
      <c r="AC9" s="13">
        <f t="shared" ref="AC9:AH9" si="20">IF(OR(C10=""),"",C10-C9)</f>
        <v>42350</v>
      </c>
      <c r="AD9" s="13">
        <f t="shared" si="20"/>
        <v>50118</v>
      </c>
      <c r="AE9" s="13">
        <f t="shared" si="20"/>
        <v>52481</v>
      </c>
      <c r="AF9" s="13">
        <f t="shared" si="20"/>
        <v>50353</v>
      </c>
      <c r="AG9" s="13">
        <f t="shared" si="20"/>
        <v>184727</v>
      </c>
      <c r="AH9" s="13">
        <f t="shared" si="20"/>
        <v>5422</v>
      </c>
      <c r="AI9" s="13">
        <f t="shared" si="1"/>
        <v>10575</v>
      </c>
      <c r="AJ9" s="13">
        <f t="shared" si="2"/>
        <v>185670</v>
      </c>
      <c r="AK9" s="13">
        <f t="shared" si="3"/>
        <v>5408</v>
      </c>
      <c r="AL9" s="13">
        <f t="shared" si="4"/>
        <v>180262</v>
      </c>
      <c r="AM9" s="13">
        <v>3080</v>
      </c>
      <c r="AN9" s="13">
        <f t="shared" si="5"/>
        <v>0</v>
      </c>
      <c r="AO9" s="13">
        <f t="shared" si="14"/>
        <v>0</v>
      </c>
      <c r="AP9" s="13">
        <f t="shared" si="6"/>
        <v>4899</v>
      </c>
      <c r="AQ9" s="13">
        <f t="shared" si="7"/>
        <v>1680</v>
      </c>
      <c r="AR9" s="13">
        <f t="shared" si="16"/>
        <v>3499.99999999989</v>
      </c>
      <c r="AS9" s="17">
        <f t="shared" si="9"/>
        <v>0</v>
      </c>
      <c r="AT9" s="17">
        <f t="shared" si="10"/>
        <v>0</v>
      </c>
      <c r="AU9" s="18">
        <f t="shared" si="11"/>
        <v>27.2</v>
      </c>
      <c r="AV9" s="17">
        <f t="shared" si="12"/>
        <v>9.32</v>
      </c>
    </row>
    <row r="10" spans="1:48">
      <c r="A10" s="6">
        <v>43807</v>
      </c>
      <c r="B10" s="5" t="s">
        <v>48</v>
      </c>
      <c r="C10" s="4">
        <v>43844653</v>
      </c>
      <c r="D10" s="4">
        <v>32696736</v>
      </c>
      <c r="E10" s="4">
        <v>27538386</v>
      </c>
      <c r="F10" s="4">
        <v>27081304</v>
      </c>
      <c r="G10" s="4">
        <v>339232677</v>
      </c>
      <c r="H10" s="4">
        <v>107705018</v>
      </c>
      <c r="I10" s="4">
        <v>339232467</v>
      </c>
      <c r="J10" s="4">
        <v>107705008</v>
      </c>
      <c r="K10" s="4"/>
      <c r="L10" s="5">
        <v>4299.8</v>
      </c>
      <c r="M10" s="5">
        <v>4576.21</v>
      </c>
      <c r="N10" s="5">
        <v>74196.8</v>
      </c>
      <c r="O10" s="5">
        <v>1741.3</v>
      </c>
      <c r="P10" s="5">
        <v>1705.6</v>
      </c>
      <c r="Q10" s="5"/>
      <c r="R10" s="5"/>
      <c r="S10" s="10">
        <v>19.2</v>
      </c>
      <c r="T10" s="4" t="s">
        <v>62</v>
      </c>
      <c r="U10" s="4">
        <v>410</v>
      </c>
      <c r="V10" s="4">
        <v>430</v>
      </c>
      <c r="W10" s="4">
        <v>7945</v>
      </c>
      <c r="X10" s="4">
        <v>7148</v>
      </c>
      <c r="Y10" s="5">
        <v>7.12</v>
      </c>
      <c r="Z10" s="5">
        <v>6.02</v>
      </c>
      <c r="AA10" s="4">
        <v>1428</v>
      </c>
      <c r="AB10" s="4"/>
      <c r="AC10" s="13">
        <f t="shared" ref="AC10:AH10" si="21">IF(OR(C11=""),"",C11-C10)</f>
        <v>40224</v>
      </c>
      <c r="AD10" s="13">
        <f t="shared" si="21"/>
        <v>47726</v>
      </c>
      <c r="AE10" s="13">
        <f t="shared" si="21"/>
        <v>49864</v>
      </c>
      <c r="AF10" s="13">
        <f t="shared" si="21"/>
        <v>47996</v>
      </c>
      <c r="AG10" s="13">
        <f t="shared" si="21"/>
        <v>177903</v>
      </c>
      <c r="AH10" s="13">
        <f t="shared" si="21"/>
        <v>5414</v>
      </c>
      <c r="AI10" s="13">
        <f t="shared" si="1"/>
        <v>7907</v>
      </c>
      <c r="AJ10" s="13">
        <f t="shared" si="2"/>
        <v>177666</v>
      </c>
      <c r="AK10" s="13">
        <f t="shared" si="3"/>
        <v>5408</v>
      </c>
      <c r="AL10" s="13">
        <f t="shared" si="4"/>
        <v>172258</v>
      </c>
      <c r="AM10" s="13">
        <v>3000</v>
      </c>
      <c r="AN10" s="13">
        <f t="shared" si="5"/>
        <v>0</v>
      </c>
      <c r="AO10" s="13">
        <f t="shared" si="14"/>
        <v>1</v>
      </c>
      <c r="AP10" s="13">
        <f t="shared" si="6"/>
        <v>2911</v>
      </c>
      <c r="AQ10" s="13">
        <f t="shared" si="7"/>
        <v>1032</v>
      </c>
      <c r="AR10" s="13">
        <f t="shared" si="16"/>
        <v>3500.00000000011</v>
      </c>
      <c r="AS10" s="17">
        <f t="shared" si="9"/>
        <v>0</v>
      </c>
      <c r="AT10" s="17">
        <f t="shared" si="10"/>
        <v>0.01</v>
      </c>
      <c r="AU10" s="18">
        <f t="shared" si="11"/>
        <v>16.9</v>
      </c>
      <c r="AV10" s="17">
        <f t="shared" si="12"/>
        <v>5.99</v>
      </c>
    </row>
    <row r="11" spans="1:48">
      <c r="A11" s="6">
        <v>43808</v>
      </c>
      <c r="B11" s="5" t="s">
        <v>48</v>
      </c>
      <c r="C11" s="4">
        <v>43884877</v>
      </c>
      <c r="D11" s="4">
        <v>32744462</v>
      </c>
      <c r="E11" s="4">
        <v>27588250</v>
      </c>
      <c r="F11" s="4">
        <v>27129300</v>
      </c>
      <c r="G11" s="4">
        <v>339410580</v>
      </c>
      <c r="H11" s="4">
        <v>107710432</v>
      </c>
      <c r="I11" s="4">
        <v>339410133</v>
      </c>
      <c r="J11" s="4">
        <v>107710416</v>
      </c>
      <c r="K11" s="4"/>
      <c r="L11" s="5">
        <v>4299.8</v>
      </c>
      <c r="M11" s="5">
        <v>4576.21</v>
      </c>
      <c r="N11" s="5">
        <v>74197.1</v>
      </c>
      <c r="O11" s="5">
        <v>1744.9</v>
      </c>
      <c r="P11" s="5">
        <v>1709</v>
      </c>
      <c r="Q11" s="5"/>
      <c r="R11" s="5"/>
      <c r="S11" s="10">
        <v>19.7</v>
      </c>
      <c r="T11" s="4" t="s">
        <v>52</v>
      </c>
      <c r="U11" s="4">
        <v>320</v>
      </c>
      <c r="V11" s="4">
        <v>340</v>
      </c>
      <c r="W11" s="4">
        <v>8398</v>
      </c>
      <c r="X11" s="4">
        <v>8131</v>
      </c>
      <c r="Y11" s="5">
        <v>7.58</v>
      </c>
      <c r="Z11" s="5">
        <v>5.89</v>
      </c>
      <c r="AA11" s="4">
        <v>1440</v>
      </c>
      <c r="AB11" s="4"/>
      <c r="AC11" s="13">
        <f t="shared" ref="AC11:AH11" si="22">IF(OR(C12=""),"",C12-C11)</f>
        <v>41341</v>
      </c>
      <c r="AD11" s="13">
        <f t="shared" si="22"/>
        <v>49126</v>
      </c>
      <c r="AE11" s="13">
        <f t="shared" si="22"/>
        <v>51615</v>
      </c>
      <c r="AF11" s="13">
        <f t="shared" si="22"/>
        <v>49541</v>
      </c>
      <c r="AG11" s="13">
        <f t="shared" si="22"/>
        <v>188967</v>
      </c>
      <c r="AH11" s="13">
        <f t="shared" si="22"/>
        <v>5391</v>
      </c>
      <c r="AI11" s="13">
        <f t="shared" si="1"/>
        <v>2656</v>
      </c>
      <c r="AJ11" s="13">
        <f t="shared" si="2"/>
        <v>189325</v>
      </c>
      <c r="AK11" s="13">
        <f t="shared" si="3"/>
        <v>5395</v>
      </c>
      <c r="AL11" s="13">
        <f t="shared" si="4"/>
        <v>183930</v>
      </c>
      <c r="AM11" s="13">
        <v>2800</v>
      </c>
      <c r="AN11" s="13">
        <f t="shared" si="5"/>
        <v>0</v>
      </c>
      <c r="AO11" s="13">
        <f t="shared" si="14"/>
        <v>0</v>
      </c>
      <c r="AP11" s="13">
        <f t="shared" si="6"/>
        <v>2272</v>
      </c>
      <c r="AQ11" s="13">
        <f t="shared" si="7"/>
        <v>816</v>
      </c>
      <c r="AR11" s="13">
        <f t="shared" si="16"/>
        <v>3599.99999999991</v>
      </c>
      <c r="AS11" s="17">
        <f t="shared" si="9"/>
        <v>0</v>
      </c>
      <c r="AT11" s="17">
        <f t="shared" si="10"/>
        <v>0</v>
      </c>
      <c r="AU11" s="18">
        <f t="shared" si="11"/>
        <v>12.4</v>
      </c>
      <c r="AV11" s="17">
        <f t="shared" si="12"/>
        <v>4.44</v>
      </c>
    </row>
    <row r="12" spans="1:48">
      <c r="A12" s="6">
        <v>43809</v>
      </c>
      <c r="B12" s="5" t="s">
        <v>55</v>
      </c>
      <c r="C12" s="4">
        <v>43926218</v>
      </c>
      <c r="D12" s="4">
        <v>32793588</v>
      </c>
      <c r="E12" s="4">
        <v>27639865</v>
      </c>
      <c r="F12" s="4">
        <v>27178841</v>
      </c>
      <c r="G12" s="4">
        <v>339599547</v>
      </c>
      <c r="H12" s="4">
        <v>107715823</v>
      </c>
      <c r="I12" s="4">
        <v>339599458</v>
      </c>
      <c r="J12" s="4">
        <v>107715811</v>
      </c>
      <c r="K12" s="4"/>
      <c r="L12" s="5">
        <v>4299.8</v>
      </c>
      <c r="M12" s="5">
        <v>4576.21</v>
      </c>
      <c r="N12" s="5">
        <v>74197.1</v>
      </c>
      <c r="O12" s="5">
        <v>1748.5</v>
      </c>
      <c r="P12" s="5">
        <v>1712.6</v>
      </c>
      <c r="Q12" s="5"/>
      <c r="R12" s="5"/>
      <c r="S12" s="10">
        <v>19.6</v>
      </c>
      <c r="T12" s="4" t="s">
        <v>54</v>
      </c>
      <c r="U12" s="4">
        <v>290</v>
      </c>
      <c r="V12" s="4">
        <v>280</v>
      </c>
      <c r="W12" s="4">
        <v>8196</v>
      </c>
      <c r="X12" s="4">
        <v>7925</v>
      </c>
      <c r="Y12" s="5">
        <v>7.05</v>
      </c>
      <c r="Z12" s="5">
        <v>5.9</v>
      </c>
      <c r="AA12" s="4">
        <v>1440</v>
      </c>
      <c r="AB12" s="4"/>
      <c r="AC12" s="13">
        <f t="shared" ref="AC12:AH12" si="23">IF(OR(C13=""),"",C13-C12)</f>
        <v>42562</v>
      </c>
      <c r="AD12" s="13">
        <f t="shared" si="23"/>
        <v>50468</v>
      </c>
      <c r="AE12" s="13">
        <f t="shared" si="23"/>
        <v>52865</v>
      </c>
      <c r="AF12" s="13">
        <f t="shared" si="23"/>
        <v>50724</v>
      </c>
      <c r="AG12" s="13">
        <f t="shared" si="23"/>
        <v>192503</v>
      </c>
      <c r="AH12" s="13">
        <f t="shared" si="23"/>
        <v>5477</v>
      </c>
      <c r="AI12" s="13">
        <f t="shared" si="1"/>
        <v>4116</v>
      </c>
      <c r="AJ12" s="13">
        <f t="shared" si="2"/>
        <v>192592</v>
      </c>
      <c r="AK12" s="13">
        <f t="shared" si="3"/>
        <v>5489</v>
      </c>
      <c r="AL12" s="13">
        <f t="shared" si="4"/>
        <v>187103</v>
      </c>
      <c r="AM12" s="13">
        <v>3000</v>
      </c>
      <c r="AN12" s="13">
        <f t="shared" si="5"/>
        <v>0</v>
      </c>
      <c r="AO12" s="13">
        <f t="shared" si="14"/>
        <v>0</v>
      </c>
      <c r="AP12" s="13">
        <f t="shared" si="6"/>
        <v>2059</v>
      </c>
      <c r="AQ12" s="13">
        <f t="shared" si="7"/>
        <v>672</v>
      </c>
      <c r="AR12" s="13">
        <f t="shared" si="16"/>
        <v>3600.00000000014</v>
      </c>
      <c r="AS12" s="17">
        <f t="shared" si="9"/>
        <v>0</v>
      </c>
      <c r="AT12" s="17">
        <f t="shared" si="10"/>
        <v>0</v>
      </c>
      <c r="AU12" s="18">
        <f t="shared" si="11"/>
        <v>11</v>
      </c>
      <c r="AV12" s="17">
        <f t="shared" si="12"/>
        <v>3.59</v>
      </c>
    </row>
    <row r="13" spans="1:48">
      <c r="A13" s="6">
        <v>43810</v>
      </c>
      <c r="B13" s="5" t="s">
        <v>47</v>
      </c>
      <c r="C13" s="4">
        <v>43968780</v>
      </c>
      <c r="D13" s="4">
        <v>32844056</v>
      </c>
      <c r="E13" s="4">
        <v>27692730</v>
      </c>
      <c r="F13" s="4">
        <v>27229565</v>
      </c>
      <c r="G13" s="4">
        <v>339792050</v>
      </c>
      <c r="H13" s="4">
        <v>107721300</v>
      </c>
      <c r="I13" s="4">
        <v>339792050</v>
      </c>
      <c r="J13" s="4">
        <v>107721300</v>
      </c>
      <c r="K13" s="4"/>
      <c r="L13" s="5">
        <v>4299.8</v>
      </c>
      <c r="M13" s="5">
        <v>4576.21</v>
      </c>
      <c r="N13" s="5">
        <v>74197.1</v>
      </c>
      <c r="O13" s="5">
        <v>1752.1</v>
      </c>
      <c r="P13" s="5">
        <v>1716.2</v>
      </c>
      <c r="Q13" s="5"/>
      <c r="R13" s="5"/>
      <c r="S13" s="10">
        <v>19</v>
      </c>
      <c r="T13" s="4" t="s">
        <v>62</v>
      </c>
      <c r="U13" s="4">
        <v>600</v>
      </c>
      <c r="V13" s="4">
        <v>620</v>
      </c>
      <c r="W13" s="4">
        <v>8542</v>
      </c>
      <c r="X13" s="4">
        <v>7512</v>
      </c>
      <c r="Y13" s="5">
        <v>7.28</v>
      </c>
      <c r="Z13" s="5">
        <v>5.61</v>
      </c>
      <c r="AA13" s="4">
        <v>1318</v>
      </c>
      <c r="AB13" s="4"/>
      <c r="AC13" s="13">
        <f t="shared" ref="AC13:AH13" si="24">IF(OR(C14=""),"",C14-C13)</f>
        <v>41068</v>
      </c>
      <c r="AD13" s="13">
        <f t="shared" si="24"/>
        <v>48910</v>
      </c>
      <c r="AE13" s="13">
        <f t="shared" si="24"/>
        <v>51285</v>
      </c>
      <c r="AF13" s="13">
        <f t="shared" si="24"/>
        <v>49217</v>
      </c>
      <c r="AG13" s="13">
        <f t="shared" si="24"/>
        <v>186807</v>
      </c>
      <c r="AH13" s="13">
        <f t="shared" si="24"/>
        <v>5354</v>
      </c>
      <c r="AI13" s="13">
        <f t="shared" si="1"/>
        <v>3673</v>
      </c>
      <c r="AJ13" s="13">
        <f t="shared" si="2"/>
        <v>186002</v>
      </c>
      <c r="AK13" s="13">
        <f t="shared" si="3"/>
        <v>5324</v>
      </c>
      <c r="AL13" s="13">
        <f t="shared" si="4"/>
        <v>180678</v>
      </c>
      <c r="AM13" s="13">
        <v>3200</v>
      </c>
      <c r="AN13" s="13">
        <f t="shared" si="5"/>
        <v>0</v>
      </c>
      <c r="AO13" s="13">
        <f t="shared" si="14"/>
        <v>0</v>
      </c>
      <c r="AP13" s="13">
        <f t="shared" si="6"/>
        <v>4260</v>
      </c>
      <c r="AQ13" s="13">
        <f t="shared" si="7"/>
        <v>1488</v>
      </c>
      <c r="AR13" s="13">
        <f t="shared" si="16"/>
        <v>3550.00000000007</v>
      </c>
      <c r="AS13" s="17">
        <f t="shared" si="9"/>
        <v>0</v>
      </c>
      <c r="AT13" s="17">
        <f t="shared" si="10"/>
        <v>0</v>
      </c>
      <c r="AU13" s="18">
        <f t="shared" si="11"/>
        <v>23.6</v>
      </c>
      <c r="AV13" s="17">
        <f t="shared" si="12"/>
        <v>8.24</v>
      </c>
    </row>
    <row r="14" spans="1:48">
      <c r="A14" s="6">
        <v>43811</v>
      </c>
      <c r="B14" s="5" t="s">
        <v>48</v>
      </c>
      <c r="C14" s="4">
        <v>44009848</v>
      </c>
      <c r="D14" s="4">
        <v>32892966</v>
      </c>
      <c r="E14" s="4">
        <v>27744015</v>
      </c>
      <c r="F14" s="4">
        <v>27278782</v>
      </c>
      <c r="G14" s="4">
        <v>339978857</v>
      </c>
      <c r="H14" s="4">
        <v>107726654</v>
      </c>
      <c r="I14" s="4">
        <v>339978052</v>
      </c>
      <c r="J14" s="4">
        <v>107726624</v>
      </c>
      <c r="K14" s="4"/>
      <c r="L14" s="5">
        <v>4299.8</v>
      </c>
      <c r="M14" s="5">
        <v>4576.21</v>
      </c>
      <c r="N14" s="5">
        <v>74197.1</v>
      </c>
      <c r="O14" s="5">
        <v>1755.7</v>
      </c>
      <c r="P14" s="5">
        <v>1719.7</v>
      </c>
      <c r="Q14" s="5"/>
      <c r="R14" s="5"/>
      <c r="S14" s="10">
        <v>19</v>
      </c>
      <c r="T14" s="4" t="s">
        <v>62</v>
      </c>
      <c r="U14" s="4">
        <v>650</v>
      </c>
      <c r="V14" s="4">
        <v>660</v>
      </c>
      <c r="W14" s="4">
        <v>8145</v>
      </c>
      <c r="X14" s="4">
        <v>7241</v>
      </c>
      <c r="Y14" s="5">
        <v>6.94</v>
      </c>
      <c r="Z14" s="5">
        <v>5.59</v>
      </c>
      <c r="AA14" s="4">
        <v>1315</v>
      </c>
      <c r="AB14" s="4"/>
      <c r="AC14" s="13">
        <f t="shared" ref="AC14:AH14" si="25">IF(OR(C15=""),"",C15-C14)</f>
        <v>41507</v>
      </c>
      <c r="AD14" s="13">
        <f t="shared" si="25"/>
        <v>49376</v>
      </c>
      <c r="AE14" s="13">
        <f t="shared" si="25"/>
        <v>51580</v>
      </c>
      <c r="AF14" s="13">
        <f t="shared" si="25"/>
        <v>49297</v>
      </c>
      <c r="AG14" s="13">
        <f t="shared" si="25"/>
        <v>181943</v>
      </c>
      <c r="AH14" s="13">
        <f t="shared" si="25"/>
        <v>5371</v>
      </c>
      <c r="AI14" s="13">
        <f t="shared" si="1"/>
        <v>9817</v>
      </c>
      <c r="AJ14" s="13">
        <f t="shared" si="2"/>
        <v>182939</v>
      </c>
      <c r="AK14" s="13">
        <f t="shared" si="3"/>
        <v>5408</v>
      </c>
      <c r="AL14" s="13">
        <f t="shared" si="4"/>
        <v>177531</v>
      </c>
      <c r="AM14" s="13">
        <v>3600</v>
      </c>
      <c r="AN14" s="13">
        <f t="shared" si="5"/>
        <v>0</v>
      </c>
      <c r="AO14" s="13">
        <f t="shared" si="14"/>
        <v>0</v>
      </c>
      <c r="AP14" s="13">
        <f t="shared" si="6"/>
        <v>4615</v>
      </c>
      <c r="AQ14" s="13">
        <f t="shared" si="7"/>
        <v>1584</v>
      </c>
      <c r="AR14" s="13">
        <f t="shared" si="16"/>
        <v>3599.99999999991</v>
      </c>
      <c r="AS14" s="17">
        <f t="shared" si="9"/>
        <v>0</v>
      </c>
      <c r="AT14" s="17">
        <f t="shared" si="10"/>
        <v>0</v>
      </c>
      <c r="AU14" s="18">
        <f t="shared" si="11"/>
        <v>26</v>
      </c>
      <c r="AV14" s="17">
        <f t="shared" si="12"/>
        <v>8.92</v>
      </c>
    </row>
    <row r="15" spans="1:48">
      <c r="A15" s="6">
        <v>43812</v>
      </c>
      <c r="B15" s="5" t="s">
        <v>48</v>
      </c>
      <c r="C15" s="4">
        <v>44051355</v>
      </c>
      <c r="D15" s="4">
        <v>32942342</v>
      </c>
      <c r="E15" s="4">
        <v>27795595</v>
      </c>
      <c r="F15" s="4">
        <v>27328079</v>
      </c>
      <c r="G15" s="4">
        <v>340160800</v>
      </c>
      <c r="H15" s="4">
        <v>107732025</v>
      </c>
      <c r="I15" s="4">
        <v>340160991</v>
      </c>
      <c r="J15" s="4">
        <v>107732032</v>
      </c>
      <c r="K15" s="4"/>
      <c r="L15" s="5">
        <v>4299.8</v>
      </c>
      <c r="M15" s="5">
        <v>4576.21</v>
      </c>
      <c r="N15" s="5">
        <v>74197.1</v>
      </c>
      <c r="O15" s="5">
        <v>1759.3</v>
      </c>
      <c r="P15" s="5">
        <v>1723.3</v>
      </c>
      <c r="Q15" s="5"/>
      <c r="R15" s="5"/>
      <c r="S15" s="10">
        <v>19</v>
      </c>
      <c r="T15" s="4" t="s">
        <v>62</v>
      </c>
      <c r="U15" s="4">
        <v>710</v>
      </c>
      <c r="V15" s="4">
        <v>700</v>
      </c>
      <c r="W15" s="4">
        <v>8100</v>
      </c>
      <c r="X15" s="4">
        <v>7245</v>
      </c>
      <c r="Y15" s="5">
        <v>7.01</v>
      </c>
      <c r="Z15" s="5">
        <v>4.86</v>
      </c>
      <c r="AA15" s="4">
        <v>1430</v>
      </c>
      <c r="AB15" s="4"/>
      <c r="AC15" s="13">
        <f t="shared" ref="AC15:AH15" si="26">IF(OR(C16=""),"",C16-C15)</f>
        <v>39913</v>
      </c>
      <c r="AD15" s="13">
        <f t="shared" si="26"/>
        <v>48628</v>
      </c>
      <c r="AE15" s="13">
        <f t="shared" si="26"/>
        <v>50297</v>
      </c>
      <c r="AF15" s="13">
        <f t="shared" si="26"/>
        <v>48618</v>
      </c>
      <c r="AG15" s="13">
        <f t="shared" si="26"/>
        <v>180889</v>
      </c>
      <c r="AH15" s="13">
        <f t="shared" si="26"/>
        <v>5406</v>
      </c>
      <c r="AI15" s="13">
        <f t="shared" si="1"/>
        <v>6567</v>
      </c>
      <c r="AJ15" s="13">
        <f t="shared" si="2"/>
        <v>180769</v>
      </c>
      <c r="AK15" s="13">
        <f t="shared" si="3"/>
        <v>5400</v>
      </c>
      <c r="AL15" s="13">
        <f t="shared" si="4"/>
        <v>175369</v>
      </c>
      <c r="AM15" s="13">
        <v>3200</v>
      </c>
      <c r="AN15" s="13">
        <f t="shared" si="5"/>
        <v>0</v>
      </c>
      <c r="AO15" s="13">
        <f t="shared" si="14"/>
        <v>0</v>
      </c>
      <c r="AP15" s="13">
        <f t="shared" si="6"/>
        <v>5041</v>
      </c>
      <c r="AQ15" s="13">
        <f t="shared" si="7"/>
        <v>1680</v>
      </c>
      <c r="AR15" s="13">
        <f t="shared" si="16"/>
        <v>3500</v>
      </c>
      <c r="AS15" s="17">
        <f t="shared" si="9"/>
        <v>0</v>
      </c>
      <c r="AT15" s="17">
        <f t="shared" si="10"/>
        <v>0</v>
      </c>
      <c r="AU15" s="18">
        <f t="shared" si="11"/>
        <v>28.7</v>
      </c>
      <c r="AV15" s="17">
        <f t="shared" si="12"/>
        <v>9.58</v>
      </c>
    </row>
    <row r="16" spans="1:48">
      <c r="A16" s="6">
        <v>43813</v>
      </c>
      <c r="B16" s="5" t="s">
        <v>48</v>
      </c>
      <c r="C16" s="4">
        <v>44091268</v>
      </c>
      <c r="D16" s="4">
        <v>32990970</v>
      </c>
      <c r="E16" s="4">
        <v>27845892</v>
      </c>
      <c r="F16" s="4">
        <v>27376697</v>
      </c>
      <c r="G16" s="4">
        <v>340341689</v>
      </c>
      <c r="H16" s="4">
        <v>107737431</v>
      </c>
      <c r="I16" s="4">
        <v>340341760</v>
      </c>
      <c r="J16" s="4">
        <v>107737432</v>
      </c>
      <c r="K16" s="4"/>
      <c r="L16" s="5">
        <v>4299.8</v>
      </c>
      <c r="M16" s="5">
        <v>4576.21</v>
      </c>
      <c r="N16" s="5">
        <v>74197.1</v>
      </c>
      <c r="O16" s="5">
        <v>1762.8</v>
      </c>
      <c r="P16" s="5">
        <v>1726.8</v>
      </c>
      <c r="Q16" s="5"/>
      <c r="R16" s="5"/>
      <c r="S16" s="10">
        <v>19</v>
      </c>
      <c r="T16" s="4" t="s">
        <v>62</v>
      </c>
      <c r="U16" s="4">
        <v>600</v>
      </c>
      <c r="V16" s="4">
        <v>620</v>
      </c>
      <c r="W16" s="4">
        <v>7985</v>
      </c>
      <c r="X16" s="4">
        <v>7012</v>
      </c>
      <c r="Y16" s="5">
        <v>5.49</v>
      </c>
      <c r="Z16" s="5">
        <v>3.01</v>
      </c>
      <c r="AA16" s="4">
        <v>1417</v>
      </c>
      <c r="AB16" s="4"/>
      <c r="AC16" s="13">
        <f t="shared" ref="AC16:AH16" si="27">IF(OR(C17=""),"",C17-C16)</f>
        <v>39847</v>
      </c>
      <c r="AD16" s="13">
        <f t="shared" si="27"/>
        <v>48180</v>
      </c>
      <c r="AE16" s="13">
        <f t="shared" si="27"/>
        <v>49833</v>
      </c>
      <c r="AF16" s="13">
        <f t="shared" si="27"/>
        <v>48402</v>
      </c>
      <c r="AG16" s="13">
        <f t="shared" si="27"/>
        <v>182579</v>
      </c>
      <c r="AH16" s="13">
        <f t="shared" si="27"/>
        <v>5443</v>
      </c>
      <c r="AI16" s="13">
        <f t="shared" si="1"/>
        <v>3683</v>
      </c>
      <c r="AJ16" s="13">
        <f t="shared" si="2"/>
        <v>181541</v>
      </c>
      <c r="AK16" s="13">
        <f t="shared" si="3"/>
        <v>5392</v>
      </c>
      <c r="AL16" s="13">
        <f t="shared" si="4"/>
        <v>176149</v>
      </c>
      <c r="AM16" s="13">
        <v>3600</v>
      </c>
      <c r="AN16" s="13">
        <f t="shared" si="5"/>
        <v>0</v>
      </c>
      <c r="AO16" s="13">
        <f t="shared" si="14"/>
        <v>0</v>
      </c>
      <c r="AP16" s="13">
        <f t="shared" si="6"/>
        <v>4260</v>
      </c>
      <c r="AQ16" s="13">
        <f t="shared" si="7"/>
        <v>1488</v>
      </c>
      <c r="AR16" s="13">
        <f t="shared" si="16"/>
        <v>3549.99999999995</v>
      </c>
      <c r="AS16" s="17">
        <f t="shared" si="9"/>
        <v>0</v>
      </c>
      <c r="AT16" s="17">
        <f t="shared" si="10"/>
        <v>0</v>
      </c>
      <c r="AU16" s="18">
        <f t="shared" si="11"/>
        <v>24.2</v>
      </c>
      <c r="AV16" s="17">
        <f t="shared" si="12"/>
        <v>8.45</v>
      </c>
    </row>
    <row r="17" spans="1:48">
      <c r="A17" s="6">
        <v>43814</v>
      </c>
      <c r="B17" s="5" t="s">
        <v>48</v>
      </c>
      <c r="C17" s="4">
        <v>44131115</v>
      </c>
      <c r="D17" s="4">
        <v>33039150</v>
      </c>
      <c r="E17" s="4">
        <v>27895725</v>
      </c>
      <c r="F17" s="4">
        <v>27425099</v>
      </c>
      <c r="G17" s="4">
        <v>340524268</v>
      </c>
      <c r="H17" s="4">
        <v>107742874</v>
      </c>
      <c r="I17" s="4">
        <v>340523301</v>
      </c>
      <c r="J17" s="4">
        <v>107742824</v>
      </c>
      <c r="K17" s="4"/>
      <c r="L17" s="5">
        <v>4299.8</v>
      </c>
      <c r="M17" s="5">
        <v>4576.21</v>
      </c>
      <c r="N17" s="5">
        <v>74197.1</v>
      </c>
      <c r="O17" s="5">
        <v>1766.4</v>
      </c>
      <c r="P17" s="5">
        <v>1730.3</v>
      </c>
      <c r="Q17" s="5"/>
      <c r="R17" s="5"/>
      <c r="S17" s="10">
        <v>19</v>
      </c>
      <c r="T17" s="4" t="s">
        <v>62</v>
      </c>
      <c r="U17" s="4">
        <v>700</v>
      </c>
      <c r="V17" s="4">
        <v>680</v>
      </c>
      <c r="W17" s="4">
        <v>7387</v>
      </c>
      <c r="X17" s="4">
        <v>5895</v>
      </c>
      <c r="Y17" s="5">
        <v>6.54</v>
      </c>
      <c r="Z17" s="5">
        <v>2.84</v>
      </c>
      <c r="AA17" s="4">
        <v>1320</v>
      </c>
      <c r="AB17" s="4"/>
      <c r="AC17" s="13">
        <f t="shared" ref="AC17:AH17" si="28">IF(OR(C18=""),"",C18-C17)</f>
        <v>36024</v>
      </c>
      <c r="AD17" s="13">
        <f t="shared" si="28"/>
        <v>40688</v>
      </c>
      <c r="AE17" s="13">
        <f t="shared" si="28"/>
        <v>43192</v>
      </c>
      <c r="AF17" s="13">
        <f t="shared" si="28"/>
        <v>42824</v>
      </c>
      <c r="AG17" s="13">
        <f t="shared" si="28"/>
        <v>157170</v>
      </c>
      <c r="AH17" s="13">
        <f t="shared" si="28"/>
        <v>5380</v>
      </c>
      <c r="AI17" s="13">
        <f t="shared" si="1"/>
        <v>5558</v>
      </c>
      <c r="AJ17" s="13">
        <f t="shared" si="2"/>
        <v>158047</v>
      </c>
      <c r="AK17" s="13">
        <f t="shared" si="3"/>
        <v>5430</v>
      </c>
      <c r="AL17" s="13">
        <f t="shared" si="4"/>
        <v>152617</v>
      </c>
      <c r="AM17" s="13">
        <v>3200</v>
      </c>
      <c r="AN17" s="13">
        <f t="shared" si="5"/>
        <v>0</v>
      </c>
      <c r="AO17" s="13">
        <f t="shared" si="14"/>
        <v>0</v>
      </c>
      <c r="AP17" s="13">
        <f t="shared" si="6"/>
        <v>4970</v>
      </c>
      <c r="AQ17" s="13">
        <f t="shared" si="7"/>
        <v>1632</v>
      </c>
      <c r="AR17" s="13">
        <f t="shared" si="16"/>
        <v>3550.00000000007</v>
      </c>
      <c r="AS17" s="17">
        <f t="shared" si="9"/>
        <v>0</v>
      </c>
      <c r="AT17" s="17">
        <f t="shared" si="10"/>
        <v>0</v>
      </c>
      <c r="AU17" s="18">
        <f t="shared" si="11"/>
        <v>32.6</v>
      </c>
      <c r="AV17" s="17">
        <f t="shared" si="12"/>
        <v>10.69</v>
      </c>
    </row>
    <row r="18" spans="1:48">
      <c r="A18" s="6">
        <v>43815</v>
      </c>
      <c r="B18" s="5" t="s">
        <v>47</v>
      </c>
      <c r="C18" s="4">
        <v>44167139</v>
      </c>
      <c r="D18" s="4">
        <v>33079838</v>
      </c>
      <c r="E18" s="4">
        <v>27938917</v>
      </c>
      <c r="F18" s="4">
        <v>27467923</v>
      </c>
      <c r="G18" s="4">
        <v>340681438</v>
      </c>
      <c r="H18" s="4">
        <v>107748254</v>
      </c>
      <c r="I18" s="4">
        <v>340681348</v>
      </c>
      <c r="J18" s="4">
        <v>107748254</v>
      </c>
      <c r="K18" s="4"/>
      <c r="L18" s="5">
        <v>4299.8</v>
      </c>
      <c r="M18" s="5">
        <v>4576.21</v>
      </c>
      <c r="N18" s="5">
        <v>74197.1</v>
      </c>
      <c r="O18" s="5">
        <v>1770</v>
      </c>
      <c r="P18" s="5">
        <v>1733.8</v>
      </c>
      <c r="Q18" s="5"/>
      <c r="R18" s="5"/>
      <c r="S18" s="10">
        <v>19.2</v>
      </c>
      <c r="T18" s="4" t="s">
        <v>52</v>
      </c>
      <c r="U18" s="4">
        <v>660</v>
      </c>
      <c r="V18" s="4">
        <v>650</v>
      </c>
      <c r="W18" s="4">
        <v>7465</v>
      </c>
      <c r="X18" s="4">
        <v>6912</v>
      </c>
      <c r="Y18" s="5">
        <v>6.8</v>
      </c>
      <c r="Z18" s="5">
        <v>4.89</v>
      </c>
      <c r="AA18" s="4">
        <v>1440</v>
      </c>
      <c r="AB18" s="4"/>
      <c r="AC18" s="13">
        <f t="shared" ref="AC18:AH20" si="29">IF(OR(C19=""),"",C19-C18)</f>
        <v>38198</v>
      </c>
      <c r="AD18" s="13">
        <f t="shared" si="29"/>
        <v>43407</v>
      </c>
      <c r="AE18" s="13">
        <f t="shared" si="29"/>
        <v>45825</v>
      </c>
      <c r="AF18" s="13">
        <f t="shared" si="29"/>
        <v>45779</v>
      </c>
      <c r="AG18" s="13">
        <f t="shared" si="29"/>
        <v>165107</v>
      </c>
      <c r="AH18" s="13">
        <f t="shared" si="29"/>
        <v>5434</v>
      </c>
      <c r="AI18" s="13">
        <f t="shared" si="1"/>
        <v>8102</v>
      </c>
      <c r="AJ18" s="13">
        <f t="shared" si="2"/>
        <v>165197</v>
      </c>
      <c r="AK18" s="13">
        <f t="shared" si="3"/>
        <v>5434</v>
      </c>
      <c r="AL18" s="13">
        <f t="shared" si="4"/>
        <v>159763</v>
      </c>
      <c r="AM18" s="13">
        <v>3500</v>
      </c>
      <c r="AN18" s="13">
        <f t="shared" si="5"/>
        <v>0</v>
      </c>
      <c r="AO18" s="13">
        <f t="shared" si="14"/>
        <v>0</v>
      </c>
      <c r="AP18" s="13">
        <f t="shared" si="6"/>
        <v>4686</v>
      </c>
      <c r="AQ18" s="13">
        <f t="shared" si="7"/>
        <v>1560</v>
      </c>
      <c r="AR18" s="13">
        <f t="shared" si="16"/>
        <v>3600.00000000002</v>
      </c>
      <c r="AS18" s="17">
        <f t="shared" si="9"/>
        <v>0</v>
      </c>
      <c r="AT18" s="17">
        <f t="shared" si="10"/>
        <v>0</v>
      </c>
      <c r="AU18" s="18">
        <f t="shared" si="11"/>
        <v>29.3</v>
      </c>
      <c r="AV18" s="17">
        <f t="shared" si="12"/>
        <v>9.76</v>
      </c>
    </row>
    <row r="19" spans="1:48">
      <c r="A19" s="6">
        <v>43816</v>
      </c>
      <c r="B19" s="5" t="s">
        <v>72</v>
      </c>
      <c r="C19" s="4">
        <v>44205337</v>
      </c>
      <c r="D19" s="4">
        <v>33123245</v>
      </c>
      <c r="E19" s="4">
        <v>27984742</v>
      </c>
      <c r="F19" s="4">
        <v>27513702</v>
      </c>
      <c r="G19" s="4">
        <v>340846545</v>
      </c>
      <c r="H19" s="4">
        <v>107753688</v>
      </c>
      <c r="I19" s="4">
        <v>340846545</v>
      </c>
      <c r="J19" s="4">
        <v>107753688</v>
      </c>
      <c r="K19" s="4"/>
      <c r="L19" s="5">
        <v>4299.8</v>
      </c>
      <c r="M19" s="5">
        <v>4576.21</v>
      </c>
      <c r="N19" s="5">
        <v>74197.1</v>
      </c>
      <c r="O19" s="5">
        <v>1737.4</v>
      </c>
      <c r="P19" s="5">
        <v>1773.6</v>
      </c>
      <c r="Q19" s="5"/>
      <c r="R19" s="5"/>
      <c r="S19" s="10">
        <v>19.3</v>
      </c>
      <c r="T19" s="4" t="s">
        <v>62</v>
      </c>
      <c r="U19" s="4">
        <v>400</v>
      </c>
      <c r="V19" s="4">
        <v>430</v>
      </c>
      <c r="W19" s="4">
        <v>7335</v>
      </c>
      <c r="X19" s="4">
        <v>3024</v>
      </c>
      <c r="Y19" s="5">
        <v>6.05</v>
      </c>
      <c r="Z19" s="5">
        <v>3.34</v>
      </c>
      <c r="AA19" s="4">
        <v>1440</v>
      </c>
      <c r="AB19" s="4"/>
      <c r="AC19" s="13">
        <f t="shared" ref="AC19:AH19" si="30">IF(OR(C20=""),"",C20-C19)</f>
        <v>36926</v>
      </c>
      <c r="AD19" s="13">
        <f t="shared" si="30"/>
        <v>41494</v>
      </c>
      <c r="AE19" s="13">
        <f t="shared" si="30"/>
        <v>43961</v>
      </c>
      <c r="AF19" s="13">
        <f t="shared" si="30"/>
        <v>44004</v>
      </c>
      <c r="AG19" s="13">
        <f t="shared" si="29"/>
        <v>160698</v>
      </c>
      <c r="AH19" s="13">
        <f t="shared" si="30"/>
        <v>5346</v>
      </c>
      <c r="AI19" s="13">
        <f t="shared" si="1"/>
        <v>5687</v>
      </c>
      <c r="AJ19" s="13">
        <f>IF(OR(G20=""),"",G20-I19)</f>
        <v>160698</v>
      </c>
      <c r="AK19" s="13">
        <f t="shared" si="3"/>
        <v>5346</v>
      </c>
      <c r="AL19" s="13">
        <f t="shared" si="4"/>
        <v>155352</v>
      </c>
      <c r="AM19" s="13">
        <v>3800</v>
      </c>
      <c r="AN19" s="13">
        <f t="shared" si="5"/>
        <v>0</v>
      </c>
      <c r="AO19" s="13">
        <f t="shared" si="14"/>
        <v>0</v>
      </c>
      <c r="AP19" s="13">
        <f t="shared" si="6"/>
        <v>2840</v>
      </c>
      <c r="AQ19" s="13">
        <f t="shared" si="7"/>
        <v>1032</v>
      </c>
      <c r="AR19" s="13">
        <f t="shared" si="16"/>
        <v>3599.99999999991</v>
      </c>
      <c r="AS19" s="17">
        <f t="shared" si="9"/>
        <v>0</v>
      </c>
      <c r="AT19" s="17">
        <f t="shared" si="10"/>
        <v>0</v>
      </c>
      <c r="AU19" s="18">
        <f t="shared" si="11"/>
        <v>18.3</v>
      </c>
      <c r="AV19" s="17">
        <f t="shared" si="12"/>
        <v>6.64</v>
      </c>
    </row>
    <row r="20" spans="1:48">
      <c r="A20" s="6">
        <v>43817</v>
      </c>
      <c r="B20" s="5" t="s">
        <v>55</v>
      </c>
      <c r="C20" s="4">
        <v>44242263</v>
      </c>
      <c r="D20" s="4">
        <v>33164739</v>
      </c>
      <c r="E20" s="4">
        <v>28028703</v>
      </c>
      <c r="F20" s="4">
        <v>27557706</v>
      </c>
      <c r="G20" s="4">
        <f>341008843-1600</f>
        <v>341007243</v>
      </c>
      <c r="H20" s="4">
        <f>107759149-115</f>
        <v>107759034</v>
      </c>
      <c r="I20" s="1">
        <v>341007243</v>
      </c>
      <c r="J20" s="4">
        <v>107759034</v>
      </c>
      <c r="K20" s="4"/>
      <c r="L20" s="5">
        <v>4299.8</v>
      </c>
      <c r="M20" s="5">
        <v>4576.21</v>
      </c>
      <c r="N20" s="5">
        <v>74197.1</v>
      </c>
      <c r="O20" s="5">
        <v>1740.9</v>
      </c>
      <c r="P20" s="5">
        <v>1777.3</v>
      </c>
      <c r="Q20" s="5"/>
      <c r="R20" s="5"/>
      <c r="S20" s="10">
        <v>19.2</v>
      </c>
      <c r="T20" s="4" t="s">
        <v>62</v>
      </c>
      <c r="U20" s="4">
        <v>500</v>
      </c>
      <c r="V20" s="4">
        <v>520</v>
      </c>
      <c r="W20" s="4">
        <v>6324</v>
      </c>
      <c r="X20" s="4">
        <v>3964</v>
      </c>
      <c r="Y20" s="5">
        <v>5.25</v>
      </c>
      <c r="Z20" s="5">
        <v>2.79</v>
      </c>
      <c r="AA20" s="4">
        <v>1080</v>
      </c>
      <c r="AB20" s="4"/>
      <c r="AC20" s="13">
        <f t="shared" ref="AC20:AH20" si="31">IF(OR(C21=""),"",C21-C20)</f>
        <v>32303</v>
      </c>
      <c r="AD20" s="13">
        <f t="shared" si="31"/>
        <v>34698</v>
      </c>
      <c r="AE20" s="13">
        <f t="shared" si="31"/>
        <v>37800</v>
      </c>
      <c r="AF20" s="13">
        <f t="shared" si="31"/>
        <v>36951</v>
      </c>
      <c r="AG20" s="13">
        <f t="shared" si="29"/>
        <v>138632</v>
      </c>
      <c r="AH20" s="13">
        <f t="shared" si="31"/>
        <v>5438</v>
      </c>
      <c r="AI20" s="13">
        <f t="shared" si="1"/>
        <v>3120</v>
      </c>
      <c r="AJ20" s="13">
        <f>IF(OR(I21=""),"",I21-G20)</f>
        <v>137919</v>
      </c>
      <c r="AK20" s="13">
        <f t="shared" si="3"/>
        <v>5390</v>
      </c>
      <c r="AL20" s="13">
        <f t="shared" si="4"/>
        <v>132529</v>
      </c>
      <c r="AM20" s="13">
        <v>3500</v>
      </c>
      <c r="AN20" s="13">
        <f t="shared" si="5"/>
        <v>0</v>
      </c>
      <c r="AO20" s="13">
        <f t="shared" si="14"/>
        <v>0</v>
      </c>
      <c r="AP20" s="13">
        <f t="shared" si="6"/>
        <v>3550</v>
      </c>
      <c r="AQ20" s="13">
        <f t="shared" si="7"/>
        <v>1248</v>
      </c>
      <c r="AR20" s="13">
        <f t="shared" si="16"/>
        <v>3449.99999999993</v>
      </c>
      <c r="AS20" s="17">
        <f t="shared" si="9"/>
        <v>0</v>
      </c>
      <c r="AT20" s="17">
        <f t="shared" si="10"/>
        <v>0</v>
      </c>
      <c r="AU20" s="18">
        <f t="shared" si="11"/>
        <v>26.8</v>
      </c>
      <c r="AV20" s="17">
        <f t="shared" si="12"/>
        <v>9.42</v>
      </c>
    </row>
    <row r="21" spans="1:48">
      <c r="A21" s="6">
        <v>43818</v>
      </c>
      <c r="B21" s="5" t="s">
        <v>47</v>
      </c>
      <c r="C21" s="4">
        <v>44274566</v>
      </c>
      <c r="D21" s="4">
        <v>33199437</v>
      </c>
      <c r="E21" s="4">
        <v>28066503</v>
      </c>
      <c r="F21" s="4">
        <v>27594657</v>
      </c>
      <c r="G21" s="4">
        <v>341145875</v>
      </c>
      <c r="H21" s="4">
        <v>107764472</v>
      </c>
      <c r="I21" s="4">
        <v>341145162</v>
      </c>
      <c r="J21" s="4">
        <v>107764424</v>
      </c>
      <c r="K21" s="4"/>
      <c r="L21" s="5">
        <v>4299.8</v>
      </c>
      <c r="M21" s="5">
        <v>4576.21</v>
      </c>
      <c r="N21" s="5">
        <v>74197.1</v>
      </c>
      <c r="O21" s="5">
        <v>1744.3</v>
      </c>
      <c r="P21" s="5">
        <v>1780.8</v>
      </c>
      <c r="Q21" s="5"/>
      <c r="R21" s="5"/>
      <c r="S21" s="10">
        <v>17.9</v>
      </c>
      <c r="T21" s="4" t="s">
        <v>62</v>
      </c>
      <c r="U21" s="4">
        <v>630</v>
      </c>
      <c r="V21" s="4">
        <v>650</v>
      </c>
      <c r="W21" s="4">
        <v>6536</v>
      </c>
      <c r="X21" s="4">
        <v>3969</v>
      </c>
      <c r="Y21" s="5">
        <v>6.05</v>
      </c>
      <c r="Z21" s="5">
        <v>2.27</v>
      </c>
      <c r="AA21" s="4">
        <v>1080</v>
      </c>
      <c r="AB21" s="4"/>
      <c r="AC21" s="13">
        <f t="shared" ref="AC21:AH21" si="32">IF(OR(C22=""),"",C22-C21)</f>
        <v>31732</v>
      </c>
      <c r="AD21" s="13">
        <f t="shared" si="32"/>
        <v>33732</v>
      </c>
      <c r="AE21" s="13">
        <f t="shared" si="32"/>
        <v>36661</v>
      </c>
      <c r="AF21" s="13">
        <f t="shared" si="32"/>
        <v>36138</v>
      </c>
      <c r="AG21" s="13">
        <f t="shared" si="32"/>
        <v>131723</v>
      </c>
      <c r="AH21" s="13">
        <f t="shared" si="32"/>
        <v>5337</v>
      </c>
      <c r="AI21" s="13">
        <f t="shared" si="1"/>
        <v>6540</v>
      </c>
      <c r="AJ21" s="13">
        <f t="shared" si="2"/>
        <v>132638</v>
      </c>
      <c r="AK21" s="13">
        <f t="shared" si="3"/>
        <v>5384</v>
      </c>
      <c r="AL21" s="13">
        <f t="shared" si="4"/>
        <v>127254</v>
      </c>
      <c r="AM21" s="13">
        <v>3960</v>
      </c>
      <c r="AN21" s="13">
        <f t="shared" si="5"/>
        <v>0</v>
      </c>
      <c r="AO21" s="13">
        <f t="shared" si="14"/>
        <v>0</v>
      </c>
      <c r="AP21" s="13">
        <f t="shared" si="6"/>
        <v>4473</v>
      </c>
      <c r="AQ21" s="13">
        <f t="shared" si="7"/>
        <v>1560</v>
      </c>
      <c r="AR21" s="13">
        <f t="shared" si="16"/>
        <v>3450.00000000005</v>
      </c>
      <c r="AS21" s="17">
        <f t="shared" si="9"/>
        <v>0</v>
      </c>
      <c r="AT21" s="17">
        <f t="shared" si="10"/>
        <v>0</v>
      </c>
      <c r="AU21" s="18">
        <f t="shared" si="11"/>
        <v>35.2</v>
      </c>
      <c r="AV21" s="17">
        <f t="shared" si="12"/>
        <v>12.26</v>
      </c>
    </row>
    <row r="22" spans="1:48">
      <c r="A22" s="6">
        <v>43819</v>
      </c>
      <c r="B22" s="5" t="s">
        <v>73</v>
      </c>
      <c r="C22" s="4">
        <v>44306298</v>
      </c>
      <c r="D22" s="4">
        <v>33233169</v>
      </c>
      <c r="E22" s="4">
        <v>28103164</v>
      </c>
      <c r="F22" s="4">
        <v>27630795</v>
      </c>
      <c r="G22" s="4">
        <v>341277598</v>
      </c>
      <c r="H22" s="4">
        <v>107769809</v>
      </c>
      <c r="I22" s="4">
        <v>341277800</v>
      </c>
      <c r="J22" s="4">
        <v>107769808</v>
      </c>
      <c r="K22" s="4"/>
      <c r="L22" s="5">
        <v>4299.8</v>
      </c>
      <c r="M22" s="5">
        <v>4576.21</v>
      </c>
      <c r="N22" s="5">
        <v>74197.1</v>
      </c>
      <c r="O22" s="5">
        <v>1747.7</v>
      </c>
      <c r="P22" s="5">
        <v>1784.3</v>
      </c>
      <c r="Q22" s="5"/>
      <c r="R22" s="5"/>
      <c r="S22" s="10">
        <v>19.2</v>
      </c>
      <c r="T22" s="4" t="s">
        <v>62</v>
      </c>
      <c r="U22" s="4">
        <v>610</v>
      </c>
      <c r="V22" s="4">
        <v>630</v>
      </c>
      <c r="W22" s="4">
        <v>6120</v>
      </c>
      <c r="X22" s="4">
        <v>5110</v>
      </c>
      <c r="Y22" s="5">
        <v>5.34</v>
      </c>
      <c r="Z22" s="5">
        <v>2.89</v>
      </c>
      <c r="AA22" s="4">
        <v>1380</v>
      </c>
      <c r="AB22" s="4"/>
      <c r="AC22" s="13">
        <f t="shared" ref="AC22:AH22" si="33">IF(OR(C23=""),"",C23-C22)</f>
        <v>32703</v>
      </c>
      <c r="AD22" s="13">
        <f t="shared" si="33"/>
        <v>34717</v>
      </c>
      <c r="AE22" s="13">
        <f t="shared" si="33"/>
        <v>37821</v>
      </c>
      <c r="AF22" s="13">
        <f t="shared" si="33"/>
        <v>37231</v>
      </c>
      <c r="AG22" s="13">
        <f t="shared" si="33"/>
        <v>134921</v>
      </c>
      <c r="AH22" s="13">
        <f t="shared" si="33"/>
        <v>5378</v>
      </c>
      <c r="AI22" s="13">
        <f t="shared" si="1"/>
        <v>7551</v>
      </c>
      <c r="AJ22" s="13">
        <f t="shared" si="2"/>
        <v>134719</v>
      </c>
      <c r="AK22" s="13">
        <f t="shared" si="3"/>
        <v>5379</v>
      </c>
      <c r="AL22" s="13">
        <f t="shared" si="4"/>
        <v>129340</v>
      </c>
      <c r="AM22" s="13">
        <v>4000</v>
      </c>
      <c r="AN22" s="13">
        <f t="shared" si="5"/>
        <v>0</v>
      </c>
      <c r="AO22" s="13">
        <f t="shared" si="14"/>
        <v>0</v>
      </c>
      <c r="AP22" s="13">
        <f t="shared" si="6"/>
        <v>4331</v>
      </c>
      <c r="AQ22" s="13">
        <f t="shared" si="7"/>
        <v>1512</v>
      </c>
      <c r="AR22" s="13">
        <f t="shared" si="16"/>
        <v>3550.00000000018</v>
      </c>
      <c r="AS22" s="17">
        <f t="shared" si="9"/>
        <v>0</v>
      </c>
      <c r="AT22" s="17">
        <f t="shared" si="10"/>
        <v>0</v>
      </c>
      <c r="AU22" s="18">
        <f t="shared" si="11"/>
        <v>33.5</v>
      </c>
      <c r="AV22" s="17">
        <f t="shared" si="12"/>
        <v>11.69</v>
      </c>
    </row>
    <row r="23" spans="1:48">
      <c r="A23" s="6">
        <v>43820</v>
      </c>
      <c r="B23" s="5" t="s">
        <v>55</v>
      </c>
      <c r="C23" s="4">
        <v>44339001</v>
      </c>
      <c r="D23" s="4">
        <v>33267886</v>
      </c>
      <c r="E23" s="4">
        <v>28140985</v>
      </c>
      <c r="F23" s="4">
        <v>27668026</v>
      </c>
      <c r="G23" s="4">
        <v>341412519</v>
      </c>
      <c r="H23" s="4">
        <v>107775187</v>
      </c>
      <c r="I23" s="4">
        <v>341412519</v>
      </c>
      <c r="J23" s="4">
        <v>107775187</v>
      </c>
      <c r="K23" s="4"/>
      <c r="L23" s="5">
        <v>4299.8</v>
      </c>
      <c r="M23" s="5">
        <v>4576.21</v>
      </c>
      <c r="N23" s="5">
        <v>74197.1</v>
      </c>
      <c r="O23" s="5">
        <v>1751.2</v>
      </c>
      <c r="P23" s="5">
        <v>1787.9</v>
      </c>
      <c r="Q23" s="5"/>
      <c r="R23" s="5"/>
      <c r="S23" s="10">
        <v>19.1</v>
      </c>
      <c r="T23" s="4" t="s">
        <v>62</v>
      </c>
      <c r="U23" s="4">
        <v>650</v>
      </c>
      <c r="V23" s="4">
        <v>660</v>
      </c>
      <c r="W23" s="4">
        <v>6254</v>
      </c>
      <c r="X23" s="4">
        <v>4863</v>
      </c>
      <c r="Y23" s="5">
        <v>5.75</v>
      </c>
      <c r="Z23" s="5">
        <v>2.98</v>
      </c>
      <c r="AA23" s="4">
        <v>1290</v>
      </c>
      <c r="AB23" s="4"/>
      <c r="AC23" s="13">
        <f t="shared" ref="AC23:AH23" si="34">IF(OR(C24=""),"",C24-C23)</f>
        <v>30176</v>
      </c>
      <c r="AD23" s="13">
        <f t="shared" si="34"/>
        <v>31774</v>
      </c>
      <c r="AE23" s="13">
        <f t="shared" si="34"/>
        <v>34644</v>
      </c>
      <c r="AF23" s="13">
        <f t="shared" si="34"/>
        <v>34053</v>
      </c>
      <c r="AG23" s="13">
        <f t="shared" si="34"/>
        <v>127271</v>
      </c>
      <c r="AH23" s="13">
        <f t="shared" si="34"/>
        <v>5403</v>
      </c>
      <c r="AI23" s="13">
        <f t="shared" si="1"/>
        <v>3376</v>
      </c>
      <c r="AJ23" s="13">
        <f t="shared" si="2"/>
        <v>127366</v>
      </c>
      <c r="AK23" s="13">
        <f t="shared" si="3"/>
        <v>5405</v>
      </c>
      <c r="AL23" s="13">
        <f t="shared" si="4"/>
        <v>121961</v>
      </c>
      <c r="AM23" s="13">
        <v>4000</v>
      </c>
      <c r="AN23" s="13">
        <f t="shared" si="5"/>
        <v>0</v>
      </c>
      <c r="AO23" s="13">
        <f t="shared" si="14"/>
        <v>0</v>
      </c>
      <c r="AP23" s="13">
        <f t="shared" si="6"/>
        <v>4615</v>
      </c>
      <c r="AQ23" s="13">
        <f t="shared" si="7"/>
        <v>1584</v>
      </c>
      <c r="AR23" s="13">
        <f t="shared" si="16"/>
        <v>3549.99999999984</v>
      </c>
      <c r="AS23" s="17">
        <f t="shared" si="9"/>
        <v>0</v>
      </c>
      <c r="AT23" s="17">
        <f t="shared" si="10"/>
        <v>0</v>
      </c>
      <c r="AU23" s="18">
        <f t="shared" si="11"/>
        <v>37.8</v>
      </c>
      <c r="AV23" s="17">
        <f t="shared" si="12"/>
        <v>12.99</v>
      </c>
    </row>
    <row r="24" spans="1:48">
      <c r="A24" s="6">
        <v>43821</v>
      </c>
      <c r="B24" s="5" t="s">
        <v>45</v>
      </c>
      <c r="C24" s="4">
        <v>44369177</v>
      </c>
      <c r="D24" s="4">
        <v>33299660</v>
      </c>
      <c r="E24" s="4">
        <v>28175629</v>
      </c>
      <c r="F24" s="4">
        <v>27702079</v>
      </c>
      <c r="G24" s="4">
        <v>341539790</v>
      </c>
      <c r="H24" s="4">
        <v>107780590</v>
      </c>
      <c r="I24" s="4">
        <v>341539885</v>
      </c>
      <c r="J24" s="4">
        <v>107780592</v>
      </c>
      <c r="K24" s="4"/>
      <c r="L24" s="5">
        <v>4299.8</v>
      </c>
      <c r="M24" s="5">
        <v>4576.21</v>
      </c>
      <c r="N24" s="5">
        <v>74197.1</v>
      </c>
      <c r="O24" s="5">
        <v>1754.7</v>
      </c>
      <c r="P24" s="5">
        <v>1791.5</v>
      </c>
      <c r="Q24" s="5"/>
      <c r="R24" s="5"/>
      <c r="S24" s="10">
        <v>19.5</v>
      </c>
      <c r="T24" s="4" t="s">
        <v>62</v>
      </c>
      <c r="U24" s="4">
        <v>500</v>
      </c>
      <c r="V24" s="4">
        <v>520</v>
      </c>
      <c r="W24" s="4">
        <v>6600</v>
      </c>
      <c r="X24" s="4">
        <v>4789</v>
      </c>
      <c r="Y24" s="5">
        <v>6.17</v>
      </c>
      <c r="Z24" s="5">
        <v>3.2</v>
      </c>
      <c r="AA24" s="4">
        <v>1317</v>
      </c>
      <c r="AB24" s="4"/>
      <c r="AC24" s="13">
        <f t="shared" ref="AC24:AH24" si="35">IF(OR(C25=""),"",C25-C24)</f>
        <v>32287</v>
      </c>
      <c r="AD24" s="13">
        <f t="shared" si="35"/>
        <v>34172</v>
      </c>
      <c r="AE24" s="13">
        <f t="shared" si="35"/>
        <v>37465</v>
      </c>
      <c r="AF24" s="13">
        <f t="shared" si="35"/>
        <v>36814</v>
      </c>
      <c r="AG24" s="13">
        <f t="shared" si="35"/>
        <v>129924</v>
      </c>
      <c r="AH24" s="13">
        <f t="shared" si="35"/>
        <v>3103</v>
      </c>
      <c r="AI24" s="13">
        <f t="shared" si="1"/>
        <v>10814</v>
      </c>
      <c r="AJ24" s="13">
        <f t="shared" si="2"/>
        <v>129963</v>
      </c>
      <c r="AK24" s="13">
        <f t="shared" si="3"/>
        <v>3101</v>
      </c>
      <c r="AL24" s="13">
        <f t="shared" si="4"/>
        <v>126862</v>
      </c>
      <c r="AM24" s="13">
        <v>4000</v>
      </c>
      <c r="AN24" s="13">
        <f t="shared" si="5"/>
        <v>0</v>
      </c>
      <c r="AO24" s="13">
        <f t="shared" si="14"/>
        <v>0</v>
      </c>
      <c r="AP24" s="13">
        <f t="shared" si="6"/>
        <v>3550</v>
      </c>
      <c r="AQ24" s="13">
        <f t="shared" si="7"/>
        <v>1248</v>
      </c>
      <c r="AR24" s="13">
        <f t="shared" si="16"/>
        <v>2399.99999999998</v>
      </c>
      <c r="AS24" s="17">
        <f t="shared" si="9"/>
        <v>0</v>
      </c>
      <c r="AT24" s="17">
        <f t="shared" si="10"/>
        <v>0</v>
      </c>
      <c r="AU24" s="18">
        <f t="shared" si="11"/>
        <v>28</v>
      </c>
      <c r="AV24" s="17">
        <f t="shared" si="12"/>
        <v>9.84</v>
      </c>
    </row>
    <row r="25" spans="1:48">
      <c r="A25" s="6">
        <v>43822</v>
      </c>
      <c r="B25" s="5" t="s">
        <v>48</v>
      </c>
      <c r="C25" s="4">
        <v>44401464</v>
      </c>
      <c r="D25" s="4">
        <v>33333832</v>
      </c>
      <c r="E25" s="4">
        <v>28213094</v>
      </c>
      <c r="F25" s="4">
        <v>27738893</v>
      </c>
      <c r="G25" s="4">
        <v>341669714</v>
      </c>
      <c r="H25" s="4">
        <v>107783693</v>
      </c>
      <c r="I25" s="4">
        <v>341669848</v>
      </c>
      <c r="J25" s="4">
        <v>107783693</v>
      </c>
      <c r="K25" s="4"/>
      <c r="L25" s="5">
        <v>4299.8</v>
      </c>
      <c r="M25" s="5">
        <v>4576.21</v>
      </c>
      <c r="N25" s="5">
        <v>74197.1</v>
      </c>
      <c r="O25" s="5">
        <v>1755.9</v>
      </c>
      <c r="P25" s="5">
        <v>1795.1</v>
      </c>
      <c r="Q25" s="5"/>
      <c r="R25" s="5"/>
      <c r="S25" s="10">
        <v>17.2</v>
      </c>
      <c r="T25" s="4" t="s">
        <v>62</v>
      </c>
      <c r="U25" s="4">
        <v>400</v>
      </c>
      <c r="V25" s="4">
        <v>420</v>
      </c>
      <c r="W25" s="4">
        <v>5711</v>
      </c>
      <c r="X25" s="4">
        <v>5177</v>
      </c>
      <c r="Y25" s="5">
        <v>5.06</v>
      </c>
      <c r="Z25" s="5">
        <v>3.5</v>
      </c>
      <c r="AA25" s="4">
        <v>1440</v>
      </c>
      <c r="AB25" s="4"/>
      <c r="AC25" s="13">
        <f t="shared" ref="AC25:AH25" si="36">IF(OR(C26=""),"",C26-C25)</f>
        <v>31386</v>
      </c>
      <c r="AD25" s="13">
        <f t="shared" si="36"/>
        <v>33171</v>
      </c>
      <c r="AE25" s="13">
        <f t="shared" si="36"/>
        <v>36479</v>
      </c>
      <c r="AF25" s="13">
        <f t="shared" si="36"/>
        <v>36021</v>
      </c>
      <c r="AG25" s="13">
        <f t="shared" si="36"/>
        <v>132473</v>
      </c>
      <c r="AH25" s="13">
        <f t="shared" si="36"/>
        <v>5248</v>
      </c>
      <c r="AI25" s="13">
        <f t="shared" si="1"/>
        <v>4584</v>
      </c>
      <c r="AJ25" s="13">
        <f t="shared" si="2"/>
        <v>132045</v>
      </c>
      <c r="AK25" s="13">
        <f t="shared" si="3"/>
        <v>5219</v>
      </c>
      <c r="AL25" s="13">
        <f t="shared" si="4"/>
        <v>126826</v>
      </c>
      <c r="AM25" s="13">
        <v>4000</v>
      </c>
      <c r="AN25" s="13">
        <f t="shared" si="5"/>
        <v>0</v>
      </c>
      <c r="AO25" s="13">
        <f t="shared" si="14"/>
        <v>1</v>
      </c>
      <c r="AP25" s="13">
        <f t="shared" si="6"/>
        <v>2840</v>
      </c>
      <c r="AQ25" s="13">
        <f t="shared" si="7"/>
        <v>1008</v>
      </c>
      <c r="AR25" s="13">
        <f t="shared" si="16"/>
        <v>1800.00000000018</v>
      </c>
      <c r="AS25" s="17">
        <f t="shared" si="9"/>
        <v>0</v>
      </c>
      <c r="AT25" s="17">
        <f t="shared" si="10"/>
        <v>0.01</v>
      </c>
      <c r="AU25" s="18">
        <f t="shared" si="11"/>
        <v>22.4</v>
      </c>
      <c r="AV25" s="17">
        <f t="shared" si="12"/>
        <v>7.95</v>
      </c>
    </row>
    <row r="26" spans="1:48">
      <c r="A26" s="6">
        <v>43823</v>
      </c>
      <c r="B26" s="5" t="s">
        <v>72</v>
      </c>
      <c r="C26" s="4">
        <v>44432850</v>
      </c>
      <c r="D26" s="4">
        <v>33367003</v>
      </c>
      <c r="E26" s="4">
        <v>28249573</v>
      </c>
      <c r="F26" s="4">
        <v>27774914</v>
      </c>
      <c r="G26" s="4">
        <v>341802187</v>
      </c>
      <c r="H26" s="4">
        <v>107788941</v>
      </c>
      <c r="I26" s="4">
        <v>341801893</v>
      </c>
      <c r="J26" s="4">
        <v>107788912</v>
      </c>
      <c r="K26" s="4"/>
      <c r="L26" s="5">
        <v>4299.8</v>
      </c>
      <c r="M26" s="5">
        <v>4576.21</v>
      </c>
      <c r="N26" s="5">
        <v>74197.7</v>
      </c>
      <c r="O26" s="5">
        <v>1755.9</v>
      </c>
      <c r="P26" s="5">
        <v>1798.7</v>
      </c>
      <c r="Q26" s="5"/>
      <c r="R26" s="5"/>
      <c r="S26" s="10">
        <v>16.8</v>
      </c>
      <c r="T26" s="11" t="s">
        <v>62</v>
      </c>
      <c r="U26" s="4">
        <v>230</v>
      </c>
      <c r="V26" s="4">
        <v>250</v>
      </c>
      <c r="W26" s="4">
        <v>7458</v>
      </c>
      <c r="X26" s="4">
        <v>4852</v>
      </c>
      <c r="Y26" s="5">
        <v>6.12</v>
      </c>
      <c r="Z26" s="5">
        <v>2.88</v>
      </c>
      <c r="AA26" s="4">
        <v>1320</v>
      </c>
      <c r="AB26" s="4"/>
      <c r="AC26" s="13">
        <f t="shared" ref="AC26:AH26" si="37">IF(OR(C27=""),"",C27-C26)</f>
        <v>32325</v>
      </c>
      <c r="AD26" s="13">
        <f t="shared" si="37"/>
        <v>34503</v>
      </c>
      <c r="AE26" s="13">
        <f t="shared" si="37"/>
        <v>38088</v>
      </c>
      <c r="AF26" s="13">
        <f t="shared" si="37"/>
        <v>37661</v>
      </c>
      <c r="AG26" s="13">
        <f t="shared" si="37"/>
        <v>135618</v>
      </c>
      <c r="AH26" s="13">
        <f t="shared" si="37"/>
        <v>5140</v>
      </c>
      <c r="AI26" s="13">
        <f t="shared" si="1"/>
        <v>6959</v>
      </c>
      <c r="AJ26" s="13">
        <f t="shared" si="2"/>
        <v>135808</v>
      </c>
      <c r="AK26" s="13">
        <f t="shared" si="3"/>
        <v>5160</v>
      </c>
      <c r="AL26" s="13">
        <f t="shared" si="4"/>
        <v>130648</v>
      </c>
      <c r="AM26" s="13">
        <v>3800</v>
      </c>
      <c r="AN26" s="13">
        <f t="shared" si="5"/>
        <v>5028</v>
      </c>
      <c r="AO26" s="13">
        <f t="shared" si="14"/>
        <v>0</v>
      </c>
      <c r="AP26" s="13">
        <f t="shared" si="6"/>
        <v>1633</v>
      </c>
      <c r="AQ26" s="13">
        <f t="shared" si="7"/>
        <v>600</v>
      </c>
      <c r="AR26" s="13">
        <f t="shared" si="16"/>
        <v>2850.00000000002</v>
      </c>
      <c r="AS26" s="17">
        <f t="shared" si="9"/>
        <v>38.5</v>
      </c>
      <c r="AT26" s="17">
        <f t="shared" si="10"/>
        <v>0</v>
      </c>
      <c r="AU26" s="18">
        <f t="shared" si="11"/>
        <v>12.5</v>
      </c>
      <c r="AV26" s="17">
        <f t="shared" si="12"/>
        <v>4.59</v>
      </c>
    </row>
    <row r="27" spans="1:48">
      <c r="A27" s="6">
        <v>43824</v>
      </c>
      <c r="B27" s="5" t="s">
        <v>45</v>
      </c>
      <c r="C27" s="4">
        <v>44465175</v>
      </c>
      <c r="D27" s="4">
        <v>33401506</v>
      </c>
      <c r="E27" s="4">
        <v>28287661</v>
      </c>
      <c r="F27" s="4">
        <v>27812575</v>
      </c>
      <c r="G27" s="4">
        <v>341937805</v>
      </c>
      <c r="H27" s="4">
        <v>107794081</v>
      </c>
      <c r="I27" s="4">
        <v>341937701</v>
      </c>
      <c r="J27" s="4">
        <v>107794072</v>
      </c>
      <c r="K27" s="4"/>
      <c r="L27" s="5">
        <v>4299.8</v>
      </c>
      <c r="M27" s="5">
        <v>4580.4</v>
      </c>
      <c r="N27" s="5">
        <v>74197.7</v>
      </c>
      <c r="O27" s="5">
        <v>1758</v>
      </c>
      <c r="P27" s="5">
        <v>1802.3</v>
      </c>
      <c r="Q27" s="5"/>
      <c r="R27" s="5"/>
      <c r="S27" s="10">
        <v>17</v>
      </c>
      <c r="T27" s="4" t="s">
        <v>62</v>
      </c>
      <c r="U27" s="4">
        <v>470</v>
      </c>
      <c r="V27" s="4">
        <v>450</v>
      </c>
      <c r="W27" s="4">
        <v>6458</v>
      </c>
      <c r="X27" s="4">
        <v>5440</v>
      </c>
      <c r="Y27" s="5">
        <v>6.56</v>
      </c>
      <c r="Z27" s="5">
        <v>3.56</v>
      </c>
      <c r="AA27" s="4">
        <v>1322</v>
      </c>
      <c r="AB27" s="4"/>
      <c r="AC27" s="13">
        <f t="shared" ref="AC27:AH27" si="38">IF(OR(C28=""),"",C28-C27)</f>
        <v>32363</v>
      </c>
      <c r="AD27" s="13">
        <f t="shared" si="38"/>
        <v>34668</v>
      </c>
      <c r="AE27" s="13">
        <f t="shared" si="38"/>
        <v>37494</v>
      </c>
      <c r="AF27" s="13">
        <f t="shared" si="38"/>
        <v>36999</v>
      </c>
      <c r="AG27" s="13">
        <f t="shared" si="38"/>
        <v>134055</v>
      </c>
      <c r="AH27" s="13">
        <f t="shared" si="38"/>
        <v>5191</v>
      </c>
      <c r="AI27" s="13">
        <f t="shared" si="1"/>
        <v>7469</v>
      </c>
      <c r="AJ27" s="13">
        <f t="shared" si="2"/>
        <v>134377</v>
      </c>
      <c r="AK27" s="13">
        <f t="shared" si="3"/>
        <v>5200</v>
      </c>
      <c r="AL27" s="13">
        <f t="shared" si="4"/>
        <v>129177</v>
      </c>
      <c r="AM27" s="13">
        <v>4000</v>
      </c>
      <c r="AN27" s="13">
        <f t="shared" si="5"/>
        <v>6720</v>
      </c>
      <c r="AO27" s="13">
        <f t="shared" si="14"/>
        <v>0</v>
      </c>
      <c r="AP27" s="13">
        <f t="shared" si="6"/>
        <v>3337</v>
      </c>
      <c r="AQ27" s="13">
        <f t="shared" si="7"/>
        <v>1080</v>
      </c>
      <c r="AR27" s="13">
        <f t="shared" si="16"/>
        <v>3500.00000000011</v>
      </c>
      <c r="AS27" s="17">
        <f t="shared" si="9"/>
        <v>52</v>
      </c>
      <c r="AT27" s="17">
        <f t="shared" si="10"/>
        <v>0</v>
      </c>
      <c r="AU27" s="18">
        <f t="shared" si="11"/>
        <v>25.8</v>
      </c>
      <c r="AV27" s="17">
        <f t="shared" si="12"/>
        <v>8.36</v>
      </c>
    </row>
    <row r="28" spans="1:48">
      <c r="A28" s="6">
        <v>43825</v>
      </c>
      <c r="B28" s="5" t="s">
        <v>48</v>
      </c>
      <c r="C28" s="4">
        <v>44497538</v>
      </c>
      <c r="D28" s="4">
        <v>33436174</v>
      </c>
      <c r="E28" s="4">
        <v>28325155</v>
      </c>
      <c r="F28" s="4">
        <v>27849574</v>
      </c>
      <c r="G28" s="4">
        <v>342071860</v>
      </c>
      <c r="H28" s="4">
        <v>107799272</v>
      </c>
      <c r="I28" s="4">
        <v>342072078</v>
      </c>
      <c r="J28" s="4">
        <v>107799272</v>
      </c>
      <c r="K28" s="4"/>
      <c r="L28" s="5">
        <v>4299.8</v>
      </c>
      <c r="M28" s="5">
        <v>4586</v>
      </c>
      <c r="N28" s="5">
        <v>74197.8</v>
      </c>
      <c r="O28" s="5">
        <v>1761.4</v>
      </c>
      <c r="P28" s="5">
        <v>1805.9</v>
      </c>
      <c r="Q28" s="5"/>
      <c r="R28" s="5"/>
      <c r="S28" s="10">
        <v>16.5</v>
      </c>
      <c r="T28" s="4" t="s">
        <v>54</v>
      </c>
      <c r="U28" s="4">
        <v>670</v>
      </c>
      <c r="V28" s="4">
        <v>680</v>
      </c>
      <c r="W28" s="4">
        <v>6574</v>
      </c>
      <c r="X28" s="4">
        <v>5578</v>
      </c>
      <c r="Y28" s="5">
        <v>6.82</v>
      </c>
      <c r="Z28" s="5">
        <v>3.98</v>
      </c>
      <c r="AA28" s="4">
        <v>1429</v>
      </c>
      <c r="AB28" s="4"/>
      <c r="AC28" s="13">
        <f t="shared" ref="AC28:AH28" si="39">IF(OR(C29=""),"",C29-C28)</f>
        <v>32891</v>
      </c>
      <c r="AD28" s="13">
        <f t="shared" si="39"/>
        <v>35245</v>
      </c>
      <c r="AE28" s="13">
        <f t="shared" si="39"/>
        <v>38468</v>
      </c>
      <c r="AF28" s="13">
        <f t="shared" si="39"/>
        <v>37994</v>
      </c>
      <c r="AG28" s="13">
        <f t="shared" si="39"/>
        <v>139061</v>
      </c>
      <c r="AH28" s="13">
        <f t="shared" si="39"/>
        <v>5216</v>
      </c>
      <c r="AI28" s="13">
        <f t="shared" si="1"/>
        <v>5537</v>
      </c>
      <c r="AJ28" s="13">
        <f t="shared" si="2"/>
        <v>138723</v>
      </c>
      <c r="AK28" s="13">
        <f t="shared" si="3"/>
        <v>5208</v>
      </c>
      <c r="AL28" s="13">
        <f t="shared" si="4"/>
        <v>133515</v>
      </c>
      <c r="AM28" s="13">
        <v>4000</v>
      </c>
      <c r="AN28" s="13">
        <f t="shared" si="5"/>
        <v>2160</v>
      </c>
      <c r="AO28" s="13">
        <f t="shared" si="14"/>
        <v>0</v>
      </c>
      <c r="AP28" s="13">
        <f t="shared" si="6"/>
        <v>4757</v>
      </c>
      <c r="AQ28" s="13">
        <f t="shared" si="7"/>
        <v>1632</v>
      </c>
      <c r="AR28" s="13">
        <f t="shared" si="16"/>
        <v>3449.99999999982</v>
      </c>
      <c r="AS28" s="17">
        <f t="shared" si="9"/>
        <v>16.2</v>
      </c>
      <c r="AT28" s="17">
        <f t="shared" si="10"/>
        <v>0</v>
      </c>
      <c r="AU28" s="18">
        <f t="shared" si="11"/>
        <v>35.6</v>
      </c>
      <c r="AV28" s="17">
        <f t="shared" si="12"/>
        <v>12.22</v>
      </c>
    </row>
    <row r="29" spans="1:48">
      <c r="A29" s="6">
        <v>43826</v>
      </c>
      <c r="B29" s="5" t="s">
        <v>48</v>
      </c>
      <c r="C29" s="4">
        <v>44530429</v>
      </c>
      <c r="D29" s="4">
        <v>33471419</v>
      </c>
      <c r="E29" s="4">
        <v>28363623</v>
      </c>
      <c r="F29" s="4">
        <v>27887568</v>
      </c>
      <c r="G29" s="4">
        <v>342210921</v>
      </c>
      <c r="H29" s="4">
        <v>107804488</v>
      </c>
      <c r="I29" s="4">
        <v>342210801</v>
      </c>
      <c r="J29" s="4">
        <v>107804480</v>
      </c>
      <c r="K29" s="4"/>
      <c r="L29" s="5">
        <v>4299.8</v>
      </c>
      <c r="M29" s="5">
        <v>4587.8</v>
      </c>
      <c r="N29" s="5">
        <v>74197.8</v>
      </c>
      <c r="O29" s="5">
        <v>1764.7</v>
      </c>
      <c r="P29" s="5">
        <v>1809.5</v>
      </c>
      <c r="Q29" s="5"/>
      <c r="R29" s="5"/>
      <c r="S29" s="10">
        <v>16</v>
      </c>
      <c r="T29" s="11" t="s">
        <v>62</v>
      </c>
      <c r="U29" s="4">
        <v>750</v>
      </c>
      <c r="V29" s="4">
        <v>730</v>
      </c>
      <c r="W29" s="4">
        <v>6145</v>
      </c>
      <c r="X29" s="4">
        <v>5750</v>
      </c>
      <c r="Y29" s="5">
        <v>7.31</v>
      </c>
      <c r="Z29" s="5">
        <v>5.06</v>
      </c>
      <c r="AA29" s="4">
        <v>1311</v>
      </c>
      <c r="AB29" s="4"/>
      <c r="AC29" s="13">
        <f t="shared" ref="AC29:AH29" si="40">IF(OR(C30=""),"",C30-C29)</f>
        <v>32908</v>
      </c>
      <c r="AD29" s="13">
        <f t="shared" si="40"/>
        <v>35220</v>
      </c>
      <c r="AE29" s="13">
        <f t="shared" si="40"/>
        <v>38698</v>
      </c>
      <c r="AF29" s="13">
        <f t="shared" si="40"/>
        <v>38265</v>
      </c>
      <c r="AG29" s="13">
        <f t="shared" si="40"/>
        <v>136201</v>
      </c>
      <c r="AH29" s="13">
        <f t="shared" si="40"/>
        <v>5203</v>
      </c>
      <c r="AI29" s="13">
        <f t="shared" si="1"/>
        <v>8890</v>
      </c>
      <c r="AJ29" s="13">
        <f t="shared" si="2"/>
        <v>136271</v>
      </c>
      <c r="AK29" s="13">
        <f t="shared" si="3"/>
        <v>5208</v>
      </c>
      <c r="AL29" s="13">
        <f t="shared" si="4"/>
        <v>131063</v>
      </c>
      <c r="AM29" s="13">
        <v>4000</v>
      </c>
      <c r="AN29" s="13">
        <f t="shared" si="5"/>
        <v>17760</v>
      </c>
      <c r="AO29" s="13">
        <f t="shared" si="14"/>
        <v>0</v>
      </c>
      <c r="AP29" s="13">
        <f t="shared" si="6"/>
        <v>5325</v>
      </c>
      <c r="AQ29" s="13">
        <f t="shared" si="7"/>
        <v>1752</v>
      </c>
      <c r="AR29" s="13">
        <f t="shared" si="16"/>
        <v>3399.99999999998</v>
      </c>
      <c r="AS29" s="17">
        <f t="shared" si="9"/>
        <v>135.5</v>
      </c>
      <c r="AT29" s="17">
        <f t="shared" si="10"/>
        <v>0</v>
      </c>
      <c r="AU29" s="18">
        <f t="shared" si="11"/>
        <v>40.6</v>
      </c>
      <c r="AV29" s="17">
        <f t="shared" si="12"/>
        <v>13.37</v>
      </c>
    </row>
    <row r="30" spans="1:48">
      <c r="A30" s="6">
        <v>43827</v>
      </c>
      <c r="B30" s="5" t="s">
        <v>48</v>
      </c>
      <c r="C30" s="4">
        <v>44563337</v>
      </c>
      <c r="D30" s="4">
        <v>33506639</v>
      </c>
      <c r="E30" s="4">
        <v>28402321</v>
      </c>
      <c r="F30" s="4">
        <v>27925833</v>
      </c>
      <c r="G30" s="4">
        <v>342347122</v>
      </c>
      <c r="H30" s="4">
        <v>107809691</v>
      </c>
      <c r="I30" s="4">
        <v>342347072</v>
      </c>
      <c r="J30" s="4">
        <v>107809688</v>
      </c>
      <c r="K30" s="4"/>
      <c r="L30" s="5">
        <v>4299.8</v>
      </c>
      <c r="M30" s="5">
        <v>4602.6</v>
      </c>
      <c r="N30" s="5">
        <v>74197.9</v>
      </c>
      <c r="O30" s="5">
        <v>1767.9</v>
      </c>
      <c r="P30" s="5">
        <v>1813.1</v>
      </c>
      <c r="Q30" s="5"/>
      <c r="R30" s="5"/>
      <c r="S30" s="10">
        <v>16.3</v>
      </c>
      <c r="T30" s="11" t="s">
        <v>62</v>
      </c>
      <c r="U30" s="4">
        <v>600</v>
      </c>
      <c r="V30" s="4">
        <v>620</v>
      </c>
      <c r="W30" s="4">
        <v>6285</v>
      </c>
      <c r="X30" s="4">
        <v>5624</v>
      </c>
      <c r="Y30" s="5">
        <v>6.72</v>
      </c>
      <c r="Z30" s="5">
        <v>4.89</v>
      </c>
      <c r="AA30" s="4">
        <v>1440</v>
      </c>
      <c r="AB30" s="4"/>
      <c r="AC30" s="13">
        <f t="shared" ref="AC30:AH30" si="41">IF(OR(C31=""),"",C31-C30)</f>
        <v>33686</v>
      </c>
      <c r="AD30" s="13">
        <f t="shared" si="41"/>
        <v>35929</v>
      </c>
      <c r="AE30" s="13">
        <f t="shared" si="41"/>
        <v>38817</v>
      </c>
      <c r="AF30" s="13">
        <f t="shared" si="41"/>
        <v>38381</v>
      </c>
      <c r="AG30" s="13">
        <f t="shared" si="41"/>
        <v>133963</v>
      </c>
      <c r="AH30" s="13">
        <f t="shared" si="41"/>
        <v>5239</v>
      </c>
      <c r="AI30" s="13">
        <f t="shared" si="1"/>
        <v>12850</v>
      </c>
      <c r="AJ30" s="13">
        <f t="shared" si="2"/>
        <v>134125</v>
      </c>
      <c r="AK30" s="13">
        <f t="shared" si="3"/>
        <v>5232</v>
      </c>
      <c r="AL30" s="13">
        <f t="shared" si="4"/>
        <v>128893</v>
      </c>
      <c r="AM30" s="13">
        <v>4000</v>
      </c>
      <c r="AN30" s="13">
        <f t="shared" si="5"/>
        <v>0</v>
      </c>
      <c r="AO30" s="13">
        <f t="shared" si="14"/>
        <v>0</v>
      </c>
      <c r="AP30" s="13">
        <f t="shared" si="6"/>
        <v>4260</v>
      </c>
      <c r="AQ30" s="13">
        <f t="shared" si="7"/>
        <v>1488</v>
      </c>
      <c r="AR30" s="13">
        <f t="shared" si="16"/>
        <v>3400.00000000009</v>
      </c>
      <c r="AS30" s="17">
        <f t="shared" si="9"/>
        <v>0</v>
      </c>
      <c r="AT30" s="17">
        <f t="shared" si="10"/>
        <v>0</v>
      </c>
      <c r="AU30" s="18">
        <f t="shared" si="11"/>
        <v>33.1</v>
      </c>
      <c r="AV30" s="17">
        <f t="shared" si="12"/>
        <v>11.54</v>
      </c>
    </row>
    <row r="31" spans="1:48">
      <c r="A31" s="6">
        <v>43828</v>
      </c>
      <c r="B31" s="5" t="s">
        <v>50</v>
      </c>
      <c r="C31" s="4">
        <v>44597023</v>
      </c>
      <c r="D31" s="4">
        <v>33542568</v>
      </c>
      <c r="E31" s="4">
        <v>28441138</v>
      </c>
      <c r="F31" s="4">
        <v>27964214</v>
      </c>
      <c r="G31" s="4">
        <v>342481085</v>
      </c>
      <c r="H31" s="4">
        <v>107814930</v>
      </c>
      <c r="I31" s="4">
        <v>342481197</v>
      </c>
      <c r="J31" s="4">
        <v>107814920</v>
      </c>
      <c r="K31" s="4"/>
      <c r="L31" s="5">
        <v>4299.8</v>
      </c>
      <c r="M31" s="5">
        <v>4602.6</v>
      </c>
      <c r="N31" s="5">
        <v>74197.9</v>
      </c>
      <c r="O31" s="5">
        <v>1771.1</v>
      </c>
      <c r="P31" s="5">
        <v>1816.7</v>
      </c>
      <c r="Q31" s="5"/>
      <c r="R31" s="5"/>
      <c r="S31" s="10">
        <v>16.5</v>
      </c>
      <c r="T31" s="4" t="s">
        <v>54</v>
      </c>
      <c r="U31" s="4">
        <v>380</v>
      </c>
      <c r="V31" s="4">
        <v>400</v>
      </c>
      <c r="W31" s="4">
        <v>6370</v>
      </c>
      <c r="X31" s="4">
        <v>5683</v>
      </c>
      <c r="Y31" s="5">
        <v>7.21</v>
      </c>
      <c r="Z31" s="5">
        <v>5.03</v>
      </c>
      <c r="AA31" s="4">
        <v>1369</v>
      </c>
      <c r="AB31" s="4"/>
      <c r="AC31" s="13">
        <f t="shared" ref="AC31:AH31" si="42">IF(OR(C32=""),"",C32-C31)</f>
        <v>32840</v>
      </c>
      <c r="AD31" s="13">
        <f t="shared" si="42"/>
        <v>35123</v>
      </c>
      <c r="AE31" s="13">
        <f t="shared" si="42"/>
        <v>38241</v>
      </c>
      <c r="AF31" s="13">
        <f t="shared" si="42"/>
        <v>37731</v>
      </c>
      <c r="AG31" s="13">
        <f t="shared" si="42"/>
        <v>134966</v>
      </c>
      <c r="AH31" s="13">
        <f t="shared" si="42"/>
        <v>5208</v>
      </c>
      <c r="AI31" s="13">
        <f t="shared" si="1"/>
        <v>8969</v>
      </c>
      <c r="AJ31" s="13">
        <f t="shared" si="2"/>
        <v>135039</v>
      </c>
      <c r="AK31" s="13">
        <f t="shared" si="3"/>
        <v>5216</v>
      </c>
      <c r="AL31" s="13">
        <f t="shared" si="4"/>
        <v>129823</v>
      </c>
      <c r="AM31" s="13">
        <v>3800</v>
      </c>
      <c r="AN31" s="13">
        <f t="shared" si="5"/>
        <v>5880</v>
      </c>
      <c r="AO31" s="13">
        <f t="shared" si="14"/>
        <v>0</v>
      </c>
      <c r="AP31" s="13">
        <f t="shared" si="6"/>
        <v>2698</v>
      </c>
      <c r="AQ31" s="13">
        <f t="shared" si="7"/>
        <v>960</v>
      </c>
      <c r="AR31" s="13">
        <f t="shared" si="16"/>
        <v>3500.00000000011</v>
      </c>
      <c r="AS31" s="17">
        <f t="shared" si="9"/>
        <v>45.3</v>
      </c>
      <c r="AT31" s="17">
        <f t="shared" si="10"/>
        <v>0</v>
      </c>
      <c r="AU31" s="18">
        <f t="shared" si="11"/>
        <v>20.8</v>
      </c>
      <c r="AV31" s="17">
        <f t="shared" si="12"/>
        <v>7.39</v>
      </c>
    </row>
    <row r="32" spans="1:48">
      <c r="A32" s="6">
        <v>43829</v>
      </c>
      <c r="B32" s="5" t="s">
        <v>48</v>
      </c>
      <c r="C32" s="4">
        <v>44629863</v>
      </c>
      <c r="D32" s="4">
        <v>33577691</v>
      </c>
      <c r="E32" s="4">
        <v>28479379</v>
      </c>
      <c r="F32" s="4">
        <v>28001945</v>
      </c>
      <c r="G32" s="4">
        <v>342616051</v>
      </c>
      <c r="H32" s="4">
        <v>107820138</v>
      </c>
      <c r="I32" s="4">
        <v>342616236</v>
      </c>
      <c r="J32" s="4">
        <v>107820136</v>
      </c>
      <c r="K32" s="4"/>
      <c r="L32" s="5">
        <v>4299.8</v>
      </c>
      <c r="M32" s="5">
        <v>4607.5</v>
      </c>
      <c r="N32" s="5">
        <v>74197.9</v>
      </c>
      <c r="O32" s="5">
        <v>1774.6</v>
      </c>
      <c r="P32" s="5">
        <v>1820.2</v>
      </c>
      <c r="Q32" s="5"/>
      <c r="R32" s="5"/>
      <c r="S32" s="10">
        <v>16.2</v>
      </c>
      <c r="T32" s="4" t="s">
        <v>54</v>
      </c>
      <c r="U32" s="4">
        <v>320</v>
      </c>
      <c r="V32" s="4">
        <v>340</v>
      </c>
      <c r="W32" s="4">
        <v>6470</v>
      </c>
      <c r="X32" s="4">
        <v>5525</v>
      </c>
      <c r="Y32" s="5">
        <v>6.82</v>
      </c>
      <c r="Z32" s="5">
        <v>4.71</v>
      </c>
      <c r="AA32" s="4">
        <v>1440</v>
      </c>
      <c r="AB32" s="4"/>
      <c r="AC32" s="13">
        <f t="shared" ref="AC32:AH32" si="43">IF(OR(C33=""),"",C33-C32)</f>
        <v>35118</v>
      </c>
      <c r="AD32" s="13">
        <f t="shared" si="43"/>
        <v>37593</v>
      </c>
      <c r="AE32" s="13">
        <f t="shared" si="43"/>
        <v>40902</v>
      </c>
      <c r="AF32" s="13">
        <f t="shared" si="43"/>
        <v>40379</v>
      </c>
      <c r="AG32" s="13">
        <f t="shared" si="43"/>
        <v>141909</v>
      </c>
      <c r="AH32" s="13">
        <f t="shared" si="43"/>
        <v>5206</v>
      </c>
      <c r="AI32" s="13">
        <f t="shared" si="1"/>
        <v>12083</v>
      </c>
      <c r="AJ32" s="13">
        <f t="shared" si="2"/>
        <v>141856</v>
      </c>
      <c r="AK32" s="13">
        <f t="shared" si="3"/>
        <v>5208</v>
      </c>
      <c r="AL32" s="13">
        <f t="shared" si="4"/>
        <v>136648</v>
      </c>
      <c r="AM32" s="13">
        <v>4000</v>
      </c>
      <c r="AN32" s="13">
        <f t="shared" si="5"/>
        <v>6456</v>
      </c>
      <c r="AO32" s="13">
        <f t="shared" si="14"/>
        <v>0</v>
      </c>
      <c r="AP32" s="13">
        <f t="shared" si="6"/>
        <v>2272</v>
      </c>
      <c r="AQ32" s="13">
        <f t="shared" si="7"/>
        <v>816</v>
      </c>
      <c r="AR32" s="13">
        <f t="shared" si="16"/>
        <v>2149.99999999998</v>
      </c>
      <c r="AS32" s="17">
        <f t="shared" si="9"/>
        <v>47.2</v>
      </c>
      <c r="AT32" s="17">
        <f t="shared" si="10"/>
        <v>0</v>
      </c>
      <c r="AU32" s="18">
        <f t="shared" si="11"/>
        <v>16.6</v>
      </c>
      <c r="AV32" s="17">
        <f t="shared" si="12"/>
        <v>5.97</v>
      </c>
    </row>
    <row r="33" spans="1:48">
      <c r="A33" s="6">
        <v>43830</v>
      </c>
      <c r="B33" s="5" t="s">
        <v>55</v>
      </c>
      <c r="C33" s="4">
        <v>44664981</v>
      </c>
      <c r="D33" s="4">
        <v>33615284</v>
      </c>
      <c r="E33" s="4">
        <v>28520281</v>
      </c>
      <c r="F33" s="4">
        <v>28042324</v>
      </c>
      <c r="G33" s="4">
        <v>342757960</v>
      </c>
      <c r="H33" s="4">
        <v>107825344</v>
      </c>
      <c r="I33" s="4">
        <v>342758092</v>
      </c>
      <c r="J33" s="4">
        <v>107825344</v>
      </c>
      <c r="K33" s="4"/>
      <c r="L33" s="5">
        <v>4299.8</v>
      </c>
      <c r="M33" s="5">
        <v>4612.88</v>
      </c>
      <c r="N33" s="5">
        <v>74197.97</v>
      </c>
      <c r="O33" s="5">
        <v>1775.3</v>
      </c>
      <c r="P33" s="5">
        <v>1823.8</v>
      </c>
      <c r="Q33" s="5"/>
      <c r="R33" s="5"/>
      <c r="S33" s="10">
        <v>16.3</v>
      </c>
      <c r="T33" s="4" t="s">
        <v>54</v>
      </c>
      <c r="U33" s="4">
        <v>270</v>
      </c>
      <c r="V33" s="4">
        <v>290</v>
      </c>
      <c r="W33" s="4">
        <v>6034</v>
      </c>
      <c r="X33" s="4">
        <v>5498</v>
      </c>
      <c r="Y33" s="5">
        <v>6.53</v>
      </c>
      <c r="Z33" s="5">
        <v>5.09</v>
      </c>
      <c r="AA33" s="4">
        <v>1440</v>
      </c>
      <c r="AB33" s="4"/>
      <c r="AC33" s="13">
        <f t="shared" ref="AC33:AH33" si="44">IF(OR(C34=""),"",C34-C33)</f>
        <v>30507</v>
      </c>
      <c r="AD33" s="13">
        <f t="shared" si="44"/>
        <v>32491</v>
      </c>
      <c r="AE33" s="13">
        <f t="shared" si="44"/>
        <v>35374</v>
      </c>
      <c r="AF33" s="13">
        <f t="shared" si="44"/>
        <v>34926</v>
      </c>
      <c r="AG33" s="13">
        <f t="shared" si="44"/>
        <v>129996</v>
      </c>
      <c r="AH33" s="13">
        <f t="shared" si="44"/>
        <v>5226</v>
      </c>
      <c r="AI33" s="13">
        <f t="shared" si="1"/>
        <v>3302</v>
      </c>
      <c r="AJ33" s="13">
        <f t="shared" si="2"/>
        <v>129578</v>
      </c>
      <c r="AK33" s="13">
        <f t="shared" si="3"/>
        <v>5216</v>
      </c>
      <c r="AL33" s="13">
        <f t="shared" si="4"/>
        <v>124362</v>
      </c>
      <c r="AM33" s="13">
        <v>4000</v>
      </c>
      <c r="AN33" s="13">
        <f t="shared" si="5"/>
        <v>4152</v>
      </c>
      <c r="AO33" s="13">
        <f t="shared" si="14"/>
        <v>0</v>
      </c>
      <c r="AP33" s="13">
        <f t="shared" si="6"/>
        <v>1917</v>
      </c>
      <c r="AQ33" s="13">
        <f t="shared" si="7"/>
        <v>696</v>
      </c>
      <c r="AR33" s="13">
        <f t="shared" si="16"/>
        <v>1750</v>
      </c>
      <c r="AS33" s="17">
        <f t="shared" si="9"/>
        <v>33.4</v>
      </c>
      <c r="AT33" s="17">
        <f t="shared" si="10"/>
        <v>0</v>
      </c>
      <c r="AU33" s="18">
        <f t="shared" si="11"/>
        <v>15.4</v>
      </c>
      <c r="AV33" s="17">
        <f t="shared" si="12"/>
        <v>5.6</v>
      </c>
    </row>
    <row r="34" spans="1:48">
      <c r="A34" s="6">
        <v>43831</v>
      </c>
      <c r="B34" s="5" t="s">
        <v>47</v>
      </c>
      <c r="C34" s="4">
        <v>44695488</v>
      </c>
      <c r="D34" s="4">
        <v>33647775</v>
      </c>
      <c r="E34" s="4">
        <v>28555655</v>
      </c>
      <c r="F34" s="4">
        <v>28077250</v>
      </c>
      <c r="G34" s="4">
        <v>342887956</v>
      </c>
      <c r="H34" s="4">
        <v>107830570</v>
      </c>
      <c r="I34" s="4">
        <v>342887670</v>
      </c>
      <c r="J34" s="4">
        <v>107830560</v>
      </c>
      <c r="K34" s="4"/>
      <c r="L34" s="5">
        <v>4299.8</v>
      </c>
      <c r="M34" s="5">
        <v>4616.34</v>
      </c>
      <c r="N34" s="5">
        <v>74197.97</v>
      </c>
      <c r="O34" s="5">
        <v>1775.3</v>
      </c>
      <c r="P34" s="5">
        <v>1827.3</v>
      </c>
      <c r="Q34" s="5"/>
      <c r="R34" s="5"/>
      <c r="S34" s="10">
        <v>16.5</v>
      </c>
      <c r="T34" s="4" t="s">
        <v>54</v>
      </c>
      <c r="AB34" s="14"/>
      <c r="AM34" s="15"/>
      <c r="AP34" s="1"/>
      <c r="AQ34" s="1"/>
      <c r="AR34" s="1"/>
      <c r="AS34" s="12"/>
      <c r="AT34" s="2"/>
      <c r="AU34" s="12"/>
      <c r="AV34" s="2"/>
    </row>
    <row r="35" spans="18:48">
      <c r="R35" s="2"/>
      <c r="S35" s="12"/>
      <c r="AM35" s="15"/>
      <c r="AP35" s="1"/>
      <c r="AQ35" s="1"/>
      <c r="AR35" s="1"/>
      <c r="AS35" s="12"/>
      <c r="AT35" s="2"/>
      <c r="AU35" s="12"/>
      <c r="AV35" s="2"/>
    </row>
    <row r="36" spans="18:48">
      <c r="R36" s="2"/>
      <c r="S36" s="12"/>
      <c r="AC36" s="1" t="str">
        <f t="shared" ref="AC36:AH36" si="45">IF(OR(C37=""),"",C37-C36)</f>
        <v/>
      </c>
      <c r="AD36" s="1" t="str">
        <f t="shared" si="45"/>
        <v/>
      </c>
      <c r="AE36" s="1" t="str">
        <f t="shared" si="45"/>
        <v/>
      </c>
      <c r="AF36" s="1" t="str">
        <f t="shared" si="45"/>
        <v/>
      </c>
      <c r="AG36" s="1" t="str">
        <f t="shared" si="45"/>
        <v/>
      </c>
      <c r="AH36" s="1" t="str">
        <f t="shared" si="45"/>
        <v/>
      </c>
      <c r="AI36" s="1" t="str">
        <f>IF(OR(AC36="",AD36="",AE36=""),"",AC36+AD36+AE36+AF36-AG36)</f>
        <v/>
      </c>
      <c r="AJ36" s="16">
        <f t="shared" ref="AJ36:AQ36" si="46">SUM(AJ3:AJ34)</f>
        <v>5016569</v>
      </c>
      <c r="AK36" s="16">
        <f t="shared" si="46"/>
        <v>163440</v>
      </c>
      <c r="AL36" s="16">
        <f t="shared" si="46"/>
        <v>4853129</v>
      </c>
      <c r="AM36" s="16">
        <f t="shared" si="46"/>
        <v>112810</v>
      </c>
      <c r="AN36" s="16">
        <f t="shared" si="46"/>
        <v>48156</v>
      </c>
      <c r="AO36" s="16">
        <f t="shared" si="46"/>
        <v>2</v>
      </c>
      <c r="AP36" s="16">
        <f t="shared" si="46"/>
        <v>114381</v>
      </c>
      <c r="AQ36" s="16">
        <f t="shared" si="46"/>
        <v>39360</v>
      </c>
      <c r="AR36" s="16"/>
      <c r="AS36" s="19">
        <f>IF(OR($AL36=0),"",ROUND(AN36/$AL36*1000,1))</f>
        <v>9.9</v>
      </c>
      <c r="AT36" s="19">
        <f>IF(OR($AL36=0),"",ROUND(AO36/$AL36*1000,2))</f>
        <v>0</v>
      </c>
      <c r="AU36" s="20">
        <f>IF(OR($AL36=0),"",ROUND(AP36/$AL36*1000,1))</f>
        <v>23.6</v>
      </c>
      <c r="AV36" s="19">
        <f>IF(OR($AL36=0),"",ROUND(AQ36/$AL36*1000,2))</f>
        <v>8.11</v>
      </c>
    </row>
    <row r="37" spans="3:3">
      <c r="C37" s="8"/>
    </row>
    <row r="38" spans="3:3">
      <c r="C38" s="8"/>
    </row>
    <row r="39" spans="3:3">
      <c r="C39" s="8"/>
    </row>
    <row r="40" spans="3:3">
      <c r="C40" s="8"/>
    </row>
    <row r="41" spans="3:3">
      <c r="C41" s="8"/>
    </row>
    <row r="42" spans="3:3">
      <c r="C42" s="8"/>
    </row>
    <row r="43" spans="3:3">
      <c r="C43" s="8"/>
    </row>
  </sheetData>
  <pageMargins left="0.75" right="0.75" top="1" bottom="1" header="0.511805555555556" footer="0.511805555555556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ASUKER</cp:lastModifiedBy>
  <dcterms:created xsi:type="dcterms:W3CDTF">2018-12-18T13:54:00Z</dcterms:created>
  <dcterms:modified xsi:type="dcterms:W3CDTF">2023-01-05T07:26:00Z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ed9d2e593b6f4fd4b6759a671b9797b9</vt:lpwstr>
  </property>
</Properties>
</file>