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3176" windowHeight="12876" activeTab="11"/>
  </bookViews>
  <sheets>
    <sheet name="1" sheetId="1" r:id="rId1"/>
    <sheet name="2" sheetId="2" r:id="rId2"/>
    <sheet name="3" sheetId="3" r:id="rId3"/>
    <sheet name="Chart1" sheetId="1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</sheets>
  <calcPr calcId="152511" concurrentCalc="0"/>
</workbook>
</file>

<file path=xl/calcChain.xml><?xml version="1.0" encoding="utf-8"?>
<calcChain xmlns="http://schemas.openxmlformats.org/spreadsheetml/2006/main">
  <c r="AE38" i="11"/>
  <c r="AE25"/>
  <c r="AE26"/>
  <c r="AE27"/>
  <c r="AD25"/>
  <c r="AD26"/>
  <c r="AD27"/>
  <c r="AC25"/>
  <c r="AC26"/>
  <c r="AC27"/>
  <c r="AB25"/>
  <c r="AB26"/>
  <c r="AB27"/>
  <c r="AA24"/>
  <c r="AA25"/>
  <c r="AA26"/>
  <c r="AA27"/>
  <c r="AI19"/>
  <c r="AJ18"/>
  <c r="AF19"/>
  <c r="AA8"/>
  <c r="AB8"/>
  <c r="AC8"/>
  <c r="AD8"/>
  <c r="AG8"/>
  <c r="AT3"/>
  <c r="AS3"/>
  <c r="AR3"/>
  <c r="AQ3"/>
  <c r="AH3"/>
  <c r="AI3"/>
  <c r="AJ3"/>
  <c r="AN3"/>
  <c r="AM3"/>
  <c r="AL3"/>
  <c r="AO3"/>
  <c r="AA3"/>
  <c r="AB3"/>
  <c r="AC3"/>
  <c r="AD3"/>
  <c r="AE3"/>
  <c r="AG3"/>
  <c r="AF3"/>
  <c r="AO34" i="8"/>
  <c r="AN34"/>
  <c r="AE5"/>
  <c r="AE6"/>
  <c r="AE7"/>
  <c r="AE8"/>
  <c r="AE9"/>
  <c r="AE10"/>
  <c r="AE11"/>
  <c r="AE12"/>
  <c r="AE13"/>
  <c r="AG13"/>
  <c r="AF18" i="6"/>
  <c r="AF19"/>
  <c r="AQ20" i="5"/>
  <c r="AH10"/>
  <c r="AH11"/>
  <c r="AJ10"/>
  <c r="AH7"/>
  <c r="AH6"/>
  <c r="AI4"/>
  <c r="AM25" i="4"/>
  <c r="AM26"/>
  <c r="AO20"/>
  <c r="AO21"/>
  <c r="AI18"/>
  <c r="AJ18"/>
  <c r="AQ16"/>
  <c r="AE15"/>
  <c r="AE14"/>
  <c r="AO13"/>
  <c r="AH13"/>
  <c r="AH12"/>
  <c r="AD10" i="3"/>
  <c r="AM30" i="2"/>
  <c r="AL30"/>
  <c r="AI30"/>
  <c r="AJ30"/>
  <c r="AS30"/>
  <c r="AH30"/>
  <c r="AF30"/>
  <c r="AE30"/>
  <c r="AD30"/>
  <c r="AC30"/>
  <c r="AB30"/>
  <c r="AG30"/>
  <c r="AA30"/>
  <c r="AF36" i="12"/>
  <c r="AE36"/>
  <c r="AD36"/>
  <c r="AC36"/>
  <c r="AB36"/>
  <c r="AG36"/>
  <c r="AA36"/>
  <c r="AO33"/>
  <c r="AN33"/>
  <c r="AM33"/>
  <c r="AL33"/>
  <c r="AI33"/>
  <c r="AH33"/>
  <c r="AJ33"/>
  <c r="AF33"/>
  <c r="AE33"/>
  <c r="AD33"/>
  <c r="AC33"/>
  <c r="AB33"/>
  <c r="AA33"/>
  <c r="AG33"/>
  <c r="AO32"/>
  <c r="AN32"/>
  <c r="AM32"/>
  <c r="AL32"/>
  <c r="AI32"/>
  <c r="AH32"/>
  <c r="AJ32"/>
  <c r="AF32"/>
  <c r="AE32"/>
  <c r="AD32"/>
  <c r="AC32"/>
  <c r="AB32"/>
  <c r="AA32"/>
  <c r="AG32"/>
  <c r="AO31"/>
  <c r="AN31"/>
  <c r="AM31"/>
  <c r="AL31"/>
  <c r="AI31"/>
  <c r="AH31"/>
  <c r="AJ31"/>
  <c r="AF31"/>
  <c r="AE31"/>
  <c r="AD31"/>
  <c r="AC31"/>
  <c r="AB31"/>
  <c r="AA31"/>
  <c r="AG31"/>
  <c r="AO30"/>
  <c r="AN30"/>
  <c r="AM30"/>
  <c r="AL30"/>
  <c r="AI30"/>
  <c r="AH30"/>
  <c r="AJ30"/>
  <c r="AF30"/>
  <c r="AE30"/>
  <c r="AD30"/>
  <c r="AC30"/>
  <c r="AB30"/>
  <c r="AA30"/>
  <c r="AG30"/>
  <c r="AO29"/>
  <c r="AN29"/>
  <c r="AM29"/>
  <c r="AL29"/>
  <c r="AI29"/>
  <c r="AH29"/>
  <c r="AJ29"/>
  <c r="AF29"/>
  <c r="AE29"/>
  <c r="AD29"/>
  <c r="AC29"/>
  <c r="AB29"/>
  <c r="AA29"/>
  <c r="AG29"/>
  <c r="AO28"/>
  <c r="AN28"/>
  <c r="AM28"/>
  <c r="AL28"/>
  <c r="AI28"/>
  <c r="AH28"/>
  <c r="AJ28"/>
  <c r="AF28"/>
  <c r="AE28"/>
  <c r="AD28"/>
  <c r="AC28"/>
  <c r="AB28"/>
  <c r="AA28"/>
  <c r="AG28"/>
  <c r="AO27"/>
  <c r="AN27"/>
  <c r="AM27"/>
  <c r="AL27"/>
  <c r="AI27"/>
  <c r="AH27"/>
  <c r="AJ27"/>
  <c r="AF27"/>
  <c r="AE27"/>
  <c r="AD27"/>
  <c r="AC27"/>
  <c r="AB27"/>
  <c r="AA27"/>
  <c r="AG27"/>
  <c r="AO26"/>
  <c r="AN26"/>
  <c r="AM26"/>
  <c r="AL26"/>
  <c r="AI26"/>
  <c r="AH26"/>
  <c r="AJ26"/>
  <c r="AF26"/>
  <c r="AE26"/>
  <c r="AD26"/>
  <c r="AC26"/>
  <c r="AB26"/>
  <c r="AA26"/>
  <c r="AG26"/>
  <c r="AO25"/>
  <c r="AN25"/>
  <c r="AM25"/>
  <c r="AL25"/>
  <c r="AI25"/>
  <c r="AH25"/>
  <c r="AJ25"/>
  <c r="AF25"/>
  <c r="AE25"/>
  <c r="AD25"/>
  <c r="AC25"/>
  <c r="AB25"/>
  <c r="AA25"/>
  <c r="AG25"/>
  <c r="AO24"/>
  <c r="AN24"/>
  <c r="AM24"/>
  <c r="AL24"/>
  <c r="AI24"/>
  <c r="AH24"/>
  <c r="AJ24"/>
  <c r="AF24"/>
  <c r="AE24"/>
  <c r="AD24"/>
  <c r="AC24"/>
  <c r="AB24"/>
  <c r="AA24"/>
  <c r="AG24"/>
  <c r="AO23"/>
  <c r="AN23"/>
  <c r="AM23"/>
  <c r="AL23"/>
  <c r="AI23"/>
  <c r="AH23"/>
  <c r="AJ23"/>
  <c r="AF23"/>
  <c r="AE23"/>
  <c r="AD23"/>
  <c r="AC23"/>
  <c r="AB23"/>
  <c r="AA23"/>
  <c r="AG23"/>
  <c r="AO22"/>
  <c r="AN22"/>
  <c r="AM22"/>
  <c r="AL22"/>
  <c r="AI22"/>
  <c r="AH22"/>
  <c r="AJ22"/>
  <c r="AF22"/>
  <c r="AE22"/>
  <c r="AD22"/>
  <c r="AC22"/>
  <c r="AB22"/>
  <c r="AA22"/>
  <c r="AG22"/>
  <c r="AO21"/>
  <c r="AN21"/>
  <c r="AM21"/>
  <c r="AL21"/>
  <c r="AI21"/>
  <c r="AH21"/>
  <c r="AJ21"/>
  <c r="AF21"/>
  <c r="AE21"/>
  <c r="AD21"/>
  <c r="AC21"/>
  <c r="AB21"/>
  <c r="AA21"/>
  <c r="AG21"/>
  <c r="AO20"/>
  <c r="AN20"/>
  <c r="AM20"/>
  <c r="AL20"/>
  <c r="AI20"/>
  <c r="AH20"/>
  <c r="AJ20"/>
  <c r="AF20"/>
  <c r="AE20"/>
  <c r="AD20"/>
  <c r="AC20"/>
  <c r="AB20"/>
  <c r="AA20"/>
  <c r="AG20"/>
  <c r="AO19"/>
  <c r="AN19"/>
  <c r="AM19"/>
  <c r="AL19"/>
  <c r="AI19"/>
  <c r="AH19"/>
  <c r="AJ19"/>
  <c r="AF19"/>
  <c r="AE19"/>
  <c r="AD19"/>
  <c r="AC19"/>
  <c r="AB19"/>
  <c r="AA19"/>
  <c r="AG19"/>
  <c r="AO18"/>
  <c r="AN18"/>
  <c r="AM18"/>
  <c r="AL18"/>
  <c r="AI18"/>
  <c r="AH18"/>
  <c r="AJ18"/>
  <c r="AF18"/>
  <c r="AE18"/>
  <c r="AD18"/>
  <c r="AC18"/>
  <c r="AB18"/>
  <c r="AA18"/>
  <c r="AG18"/>
  <c r="AO17"/>
  <c r="AN17"/>
  <c r="AM17"/>
  <c r="AL17"/>
  <c r="AI17"/>
  <c r="AH17"/>
  <c r="AJ17"/>
  <c r="AF17"/>
  <c r="AE17"/>
  <c r="AD17"/>
  <c r="AC17"/>
  <c r="AB17"/>
  <c r="AA17"/>
  <c r="AG17"/>
  <c r="AO16"/>
  <c r="AN16"/>
  <c r="AM16"/>
  <c r="AL16"/>
  <c r="AI16"/>
  <c r="AH16"/>
  <c r="AJ16"/>
  <c r="AF16"/>
  <c r="AE16"/>
  <c r="AD16"/>
  <c r="AC16"/>
  <c r="AB16"/>
  <c r="AA16"/>
  <c r="AG16"/>
  <c r="AO15"/>
  <c r="AN15"/>
  <c r="AM15"/>
  <c r="AL15"/>
  <c r="AI15"/>
  <c r="AH15"/>
  <c r="AJ15"/>
  <c r="AF15"/>
  <c r="AE15"/>
  <c r="AD15"/>
  <c r="AC15"/>
  <c r="AB15"/>
  <c r="AA15"/>
  <c r="AG15"/>
  <c r="AO14"/>
  <c r="AN14"/>
  <c r="AM14"/>
  <c r="AL14"/>
  <c r="AI14"/>
  <c r="AH14"/>
  <c r="AJ14"/>
  <c r="AF14"/>
  <c r="AE14"/>
  <c r="AD14"/>
  <c r="AC14"/>
  <c r="AB14"/>
  <c r="AA14"/>
  <c r="AG14"/>
  <c r="AO13"/>
  <c r="AN13"/>
  <c r="AM13"/>
  <c r="AL13"/>
  <c r="AI13"/>
  <c r="AH13"/>
  <c r="AJ13"/>
  <c r="AF13"/>
  <c r="AE13"/>
  <c r="AD13"/>
  <c r="AC13"/>
  <c r="AB13"/>
  <c r="AA13"/>
  <c r="AG13"/>
  <c r="AO12"/>
  <c r="AN12"/>
  <c r="AM12"/>
  <c r="AL12"/>
  <c r="AI12"/>
  <c r="AH12"/>
  <c r="AJ12"/>
  <c r="AF12"/>
  <c r="AE12"/>
  <c r="AD12"/>
  <c r="AC12"/>
  <c r="AB12"/>
  <c r="AA12"/>
  <c r="AG12"/>
  <c r="AO11"/>
  <c r="AN11"/>
  <c r="AM11"/>
  <c r="AL11"/>
  <c r="AI11"/>
  <c r="AH11"/>
  <c r="AJ11"/>
  <c r="AF11"/>
  <c r="AE11"/>
  <c r="AD11"/>
  <c r="AC11"/>
  <c r="AB11"/>
  <c r="AA11"/>
  <c r="AG11"/>
  <c r="AO10"/>
  <c r="AN10"/>
  <c r="AM10"/>
  <c r="AL10"/>
  <c r="AI10"/>
  <c r="AH10"/>
  <c r="AJ10"/>
  <c r="AF10"/>
  <c r="AE10"/>
  <c r="AD10"/>
  <c r="AC10"/>
  <c r="AB10"/>
  <c r="AA10"/>
  <c r="AG10"/>
  <c r="AO9"/>
  <c r="AN9"/>
  <c r="AM9"/>
  <c r="AL9"/>
  <c r="AI9"/>
  <c r="AH9"/>
  <c r="AJ9"/>
  <c r="AF9"/>
  <c r="AE9"/>
  <c r="AD9"/>
  <c r="AC9"/>
  <c r="AB9"/>
  <c r="AA9"/>
  <c r="AG9"/>
  <c r="AO8"/>
  <c r="AN8"/>
  <c r="AM8"/>
  <c r="AL8"/>
  <c r="AI8"/>
  <c r="AH8"/>
  <c r="AJ8"/>
  <c r="AF8"/>
  <c r="AE8"/>
  <c r="AD8"/>
  <c r="AC8"/>
  <c r="AB8"/>
  <c r="AA8"/>
  <c r="AG8"/>
  <c r="AO7"/>
  <c r="AN7"/>
  <c r="AM7"/>
  <c r="AL7"/>
  <c r="AI7"/>
  <c r="AH7"/>
  <c r="AJ7"/>
  <c r="AF7"/>
  <c r="AE7"/>
  <c r="AD7"/>
  <c r="AC7"/>
  <c r="AB7"/>
  <c r="AA7"/>
  <c r="AG7"/>
  <c r="AO6"/>
  <c r="AN6"/>
  <c r="AM6"/>
  <c r="AL6"/>
  <c r="AI6"/>
  <c r="AH6"/>
  <c r="AJ6"/>
  <c r="AF6"/>
  <c r="AE6"/>
  <c r="AD6"/>
  <c r="AC6"/>
  <c r="AB6"/>
  <c r="AA6"/>
  <c r="AO5"/>
  <c r="AN5"/>
  <c r="AM5"/>
  <c r="AL5"/>
  <c r="AI5"/>
  <c r="AH5"/>
  <c r="AJ5"/>
  <c r="AF5"/>
  <c r="AE5"/>
  <c r="AD5"/>
  <c r="AC5"/>
  <c r="AB5"/>
  <c r="AA5"/>
  <c r="AG5"/>
  <c r="AO4"/>
  <c r="AN4"/>
  <c r="AM4"/>
  <c r="AL4"/>
  <c r="AI4"/>
  <c r="AH4"/>
  <c r="AJ4"/>
  <c r="AF4"/>
  <c r="AE4"/>
  <c r="AD4"/>
  <c r="AC4"/>
  <c r="AB4"/>
  <c r="AA4"/>
  <c r="AO3"/>
  <c r="AO36"/>
  <c r="AN3"/>
  <c r="AN36"/>
  <c r="N3"/>
  <c r="AM3"/>
  <c r="AM36"/>
  <c r="L3"/>
  <c r="M3"/>
  <c r="AL3"/>
  <c r="AL36"/>
  <c r="K3"/>
  <c r="AK36"/>
  <c r="J3"/>
  <c r="AI3"/>
  <c r="AI36"/>
  <c r="I3"/>
  <c r="AH3"/>
  <c r="AJ3"/>
  <c r="H3"/>
  <c r="AF3"/>
  <c r="G3"/>
  <c r="AE3"/>
  <c r="F3"/>
  <c r="AD3"/>
  <c r="E3"/>
  <c r="AC3"/>
  <c r="D3"/>
  <c r="AB3"/>
  <c r="C3"/>
  <c r="AA3"/>
  <c r="AG3"/>
  <c r="Q3"/>
  <c r="P3"/>
  <c r="O3"/>
  <c r="B3"/>
  <c r="AF36" i="11"/>
  <c r="AE36"/>
  <c r="AD36"/>
  <c r="AC36"/>
  <c r="AB36"/>
  <c r="AA36"/>
  <c r="AG36"/>
  <c r="AO33"/>
  <c r="AN33"/>
  <c r="AM33"/>
  <c r="AL33"/>
  <c r="AK33"/>
  <c r="AI33"/>
  <c r="AH33"/>
  <c r="AJ33"/>
  <c r="AF33"/>
  <c r="AE33"/>
  <c r="AD33"/>
  <c r="AC33"/>
  <c r="AB33"/>
  <c r="AA33"/>
  <c r="AO32"/>
  <c r="AN32"/>
  <c r="AM32"/>
  <c r="AL32"/>
  <c r="AI32"/>
  <c r="AH32"/>
  <c r="AJ32"/>
  <c r="AF32"/>
  <c r="AE32"/>
  <c r="AD32"/>
  <c r="AC32"/>
  <c r="AB32"/>
  <c r="AA32"/>
  <c r="AG32"/>
  <c r="AO31"/>
  <c r="AN31"/>
  <c r="AM31"/>
  <c r="AL31"/>
  <c r="AI31"/>
  <c r="AH31"/>
  <c r="AJ31"/>
  <c r="AF31"/>
  <c r="AE31"/>
  <c r="AD31"/>
  <c r="AC31"/>
  <c r="AB31"/>
  <c r="AA31"/>
  <c r="AO30"/>
  <c r="AN30"/>
  <c r="AM30"/>
  <c r="AL30"/>
  <c r="AI30"/>
  <c r="AH30"/>
  <c r="AJ30"/>
  <c r="AF30"/>
  <c r="AE30"/>
  <c r="AD30"/>
  <c r="AC30"/>
  <c r="AB30"/>
  <c r="AA30"/>
  <c r="AG30"/>
  <c r="AO29"/>
  <c r="AN29"/>
  <c r="AM29"/>
  <c r="AL29"/>
  <c r="AI29"/>
  <c r="AH29"/>
  <c r="AJ29"/>
  <c r="AF29"/>
  <c r="AE29"/>
  <c r="AD29"/>
  <c r="AC29"/>
  <c r="AB29"/>
  <c r="AA29"/>
  <c r="AO28"/>
  <c r="AN28"/>
  <c r="AM28"/>
  <c r="AL28"/>
  <c r="AI28"/>
  <c r="AH28"/>
  <c r="AJ28"/>
  <c r="AF28"/>
  <c r="AE28"/>
  <c r="AD28"/>
  <c r="AC28"/>
  <c r="AB28"/>
  <c r="AA28"/>
  <c r="AG28"/>
  <c r="AO27"/>
  <c r="AN27"/>
  <c r="AM27"/>
  <c r="AL27"/>
  <c r="AI27"/>
  <c r="AH27"/>
  <c r="AJ27"/>
  <c r="AF27"/>
  <c r="AO26"/>
  <c r="AN26"/>
  <c r="AM26"/>
  <c r="AL26"/>
  <c r="AI26"/>
  <c r="AH26"/>
  <c r="AJ26"/>
  <c r="AF26"/>
  <c r="AG26"/>
  <c r="AO25"/>
  <c r="AN25"/>
  <c r="AM25"/>
  <c r="AL25"/>
  <c r="AI25"/>
  <c r="AH25"/>
  <c r="AJ25"/>
  <c r="AF25"/>
  <c r="AG25"/>
  <c r="AO24"/>
  <c r="AN24"/>
  <c r="AM24"/>
  <c r="AL24"/>
  <c r="AI24"/>
  <c r="AH24"/>
  <c r="AJ24"/>
  <c r="AF24"/>
  <c r="AE24"/>
  <c r="AD24"/>
  <c r="AC24"/>
  <c r="AB24"/>
  <c r="AG24"/>
  <c r="AO23"/>
  <c r="AN23"/>
  <c r="AM23"/>
  <c r="AL23"/>
  <c r="AI23"/>
  <c r="AH23"/>
  <c r="AJ23"/>
  <c r="AF23"/>
  <c r="AE23"/>
  <c r="AD23"/>
  <c r="AC23"/>
  <c r="AB23"/>
  <c r="AA23"/>
  <c r="AG23"/>
  <c r="AO22"/>
  <c r="AN22"/>
  <c r="AM22"/>
  <c r="AL22"/>
  <c r="AI22"/>
  <c r="AH22"/>
  <c r="AJ22"/>
  <c r="AF22"/>
  <c r="AE22"/>
  <c r="AD22"/>
  <c r="AC22"/>
  <c r="AB22"/>
  <c r="AA22"/>
  <c r="AG22"/>
  <c r="AO21"/>
  <c r="AN21"/>
  <c r="AM21"/>
  <c r="AL21"/>
  <c r="AI21"/>
  <c r="AH21"/>
  <c r="AJ21"/>
  <c r="AF21"/>
  <c r="AE21"/>
  <c r="AD21"/>
  <c r="AC21"/>
  <c r="AB21"/>
  <c r="AA21"/>
  <c r="AG21"/>
  <c r="AO20"/>
  <c r="AN20"/>
  <c r="AM20"/>
  <c r="AL20"/>
  <c r="AI20"/>
  <c r="AH20"/>
  <c r="AJ20"/>
  <c r="AF20"/>
  <c r="AE20"/>
  <c r="AD20"/>
  <c r="AC20"/>
  <c r="AB20"/>
  <c r="AA20"/>
  <c r="AG20"/>
  <c r="AO19"/>
  <c r="AN19"/>
  <c r="AM19"/>
  <c r="AL19"/>
  <c r="AH19"/>
  <c r="AJ19"/>
  <c r="AE19"/>
  <c r="AD19"/>
  <c r="AC19"/>
  <c r="AB19"/>
  <c r="AA19"/>
  <c r="AG19"/>
  <c r="AO18"/>
  <c r="AN18"/>
  <c r="AM18"/>
  <c r="AL18"/>
  <c r="AI18"/>
  <c r="AH18"/>
  <c r="AF18"/>
  <c r="AE18"/>
  <c r="AD18"/>
  <c r="AC18"/>
  <c r="AB18"/>
  <c r="AA18"/>
  <c r="AG18"/>
  <c r="AO17"/>
  <c r="AN17"/>
  <c r="AM17"/>
  <c r="AL17"/>
  <c r="AI17"/>
  <c r="AH17"/>
  <c r="AJ17"/>
  <c r="AF17"/>
  <c r="AE17"/>
  <c r="AD17"/>
  <c r="AC17"/>
  <c r="AB17"/>
  <c r="AA17"/>
  <c r="AG17"/>
  <c r="AO16"/>
  <c r="AN16"/>
  <c r="AM16"/>
  <c r="AL16"/>
  <c r="AI16"/>
  <c r="AH16"/>
  <c r="AJ16"/>
  <c r="AF16"/>
  <c r="AE16"/>
  <c r="AD16"/>
  <c r="AC16"/>
  <c r="AB16"/>
  <c r="AA16"/>
  <c r="AG16"/>
  <c r="AO15"/>
  <c r="AN15"/>
  <c r="AM15"/>
  <c r="AL15"/>
  <c r="AI15"/>
  <c r="AH15"/>
  <c r="AJ15"/>
  <c r="AF15"/>
  <c r="AE15"/>
  <c r="AD15"/>
  <c r="AC15"/>
  <c r="AB15"/>
  <c r="AA15"/>
  <c r="AG15"/>
  <c r="AO14"/>
  <c r="AN14"/>
  <c r="AM14"/>
  <c r="AL14"/>
  <c r="AI14"/>
  <c r="AH14"/>
  <c r="AJ14"/>
  <c r="AF14"/>
  <c r="AE14"/>
  <c r="AD14"/>
  <c r="AC14"/>
  <c r="AB14"/>
  <c r="AA14"/>
  <c r="AG14"/>
  <c r="AO13"/>
  <c r="AN13"/>
  <c r="AM13"/>
  <c r="AL13"/>
  <c r="AI13"/>
  <c r="AH13"/>
  <c r="AJ13"/>
  <c r="AF13"/>
  <c r="AE13"/>
  <c r="AD13"/>
  <c r="AC13"/>
  <c r="AB13"/>
  <c r="AA13"/>
  <c r="AG13"/>
  <c r="AO12"/>
  <c r="AN12"/>
  <c r="AM12"/>
  <c r="AL12"/>
  <c r="AI12"/>
  <c r="AH12"/>
  <c r="AJ12"/>
  <c r="AF12"/>
  <c r="AE12"/>
  <c r="AD12"/>
  <c r="AC12"/>
  <c r="AB12"/>
  <c r="AA12"/>
  <c r="AG12"/>
  <c r="AO11"/>
  <c r="AN11"/>
  <c r="AM11"/>
  <c r="AL11"/>
  <c r="AI11"/>
  <c r="AH11"/>
  <c r="AJ11"/>
  <c r="AF11"/>
  <c r="AE11"/>
  <c r="AD11"/>
  <c r="AC11"/>
  <c r="AB11"/>
  <c r="AA11"/>
  <c r="AG11"/>
  <c r="AO10"/>
  <c r="AN10"/>
  <c r="AM10"/>
  <c r="AL10"/>
  <c r="AI10"/>
  <c r="AH10"/>
  <c r="AJ10"/>
  <c r="AF10"/>
  <c r="AE10"/>
  <c r="AD10"/>
  <c r="AC10"/>
  <c r="AB10"/>
  <c r="AA10"/>
  <c r="AG10"/>
  <c r="AO9"/>
  <c r="AN9"/>
  <c r="AM9"/>
  <c r="AL9"/>
  <c r="AI9"/>
  <c r="AH9"/>
  <c r="AJ9"/>
  <c r="AF9"/>
  <c r="AE9"/>
  <c r="AD9"/>
  <c r="AC9"/>
  <c r="AB9"/>
  <c r="AA9"/>
  <c r="AG9"/>
  <c r="AO8"/>
  <c r="AN8"/>
  <c r="AM8"/>
  <c r="AL8"/>
  <c r="AI8"/>
  <c r="AH8"/>
  <c r="AJ8"/>
  <c r="AF8"/>
  <c r="AE8"/>
  <c r="AO7"/>
  <c r="AN7"/>
  <c r="AM7"/>
  <c r="AL7"/>
  <c r="AI7"/>
  <c r="AH7"/>
  <c r="AJ7"/>
  <c r="AF7"/>
  <c r="AE7"/>
  <c r="AD7"/>
  <c r="AC7"/>
  <c r="AB7"/>
  <c r="AA7"/>
  <c r="AG7"/>
  <c r="AO6"/>
  <c r="AN6"/>
  <c r="AM6"/>
  <c r="AL6"/>
  <c r="AI6"/>
  <c r="AH6"/>
  <c r="AJ6"/>
  <c r="AF6"/>
  <c r="AE6"/>
  <c r="AD6"/>
  <c r="AC6"/>
  <c r="AB6"/>
  <c r="AA6"/>
  <c r="AG6"/>
  <c r="AO5"/>
  <c r="AN5"/>
  <c r="AM5"/>
  <c r="AL5"/>
  <c r="AI5"/>
  <c r="AH5"/>
  <c r="AJ5"/>
  <c r="AF5"/>
  <c r="AE5"/>
  <c r="AD5"/>
  <c r="AC5"/>
  <c r="AB5"/>
  <c r="AA5"/>
  <c r="AG5"/>
  <c r="AO4"/>
  <c r="AN4"/>
  <c r="AM4"/>
  <c r="AL4"/>
  <c r="AI4"/>
  <c r="AH4"/>
  <c r="AJ4"/>
  <c r="AF4"/>
  <c r="AE4"/>
  <c r="AD4"/>
  <c r="AC4"/>
  <c r="AB4"/>
  <c r="AA4"/>
  <c r="AG4"/>
  <c r="AO36"/>
  <c r="AM36"/>
  <c r="AL36"/>
  <c r="AI36"/>
  <c r="R3"/>
  <c r="Q3"/>
  <c r="P3"/>
  <c r="O3"/>
  <c r="N3"/>
  <c r="M3"/>
  <c r="L3"/>
  <c r="K3"/>
  <c r="AK36"/>
  <c r="F3"/>
  <c r="E3"/>
  <c r="D3"/>
  <c r="C3"/>
  <c r="B3"/>
  <c r="AF36" i="10"/>
  <c r="AE36"/>
  <c r="AD36"/>
  <c r="AC36"/>
  <c r="AB36"/>
  <c r="AA36"/>
  <c r="AG36"/>
  <c r="AO33"/>
  <c r="AN33"/>
  <c r="AM33"/>
  <c r="AL33"/>
  <c r="AI33"/>
  <c r="AH33"/>
  <c r="AJ33"/>
  <c r="AF33"/>
  <c r="AE33"/>
  <c r="AD33"/>
  <c r="AC33"/>
  <c r="AB33"/>
  <c r="AA33"/>
  <c r="AO32"/>
  <c r="AN32"/>
  <c r="AM32"/>
  <c r="AL32"/>
  <c r="AI32"/>
  <c r="AH32"/>
  <c r="AF32"/>
  <c r="AE32"/>
  <c r="AD32"/>
  <c r="AC32"/>
  <c r="AB32"/>
  <c r="AA32"/>
  <c r="AO31"/>
  <c r="AN31"/>
  <c r="AM31"/>
  <c r="AL31"/>
  <c r="AI31"/>
  <c r="AH31"/>
  <c r="AJ31"/>
  <c r="AQ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J26"/>
  <c r="AR26"/>
  <c r="AF26"/>
  <c r="AE26"/>
  <c r="AD26"/>
  <c r="AC26"/>
  <c r="AB26"/>
  <c r="AA26"/>
  <c r="AO25"/>
  <c r="AN25"/>
  <c r="AM25"/>
  <c r="AL25"/>
  <c r="AI25"/>
  <c r="AH25"/>
  <c r="AF25"/>
  <c r="AE25"/>
  <c r="AD25"/>
  <c r="AC25"/>
  <c r="AB25"/>
  <c r="AA25"/>
  <c r="AG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J23"/>
  <c r="AT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F21"/>
  <c r="AE21"/>
  <c r="AD21"/>
  <c r="AC21"/>
  <c r="AB21"/>
  <c r="AA21"/>
  <c r="AO20"/>
  <c r="AN20"/>
  <c r="AM20"/>
  <c r="AL20"/>
  <c r="AI20"/>
  <c r="AH20"/>
  <c r="AJ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F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M16"/>
  <c r="AL16"/>
  <c r="AI16"/>
  <c r="AH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F14"/>
  <c r="AE14"/>
  <c r="AD14"/>
  <c r="AC14"/>
  <c r="AB14"/>
  <c r="AA14"/>
  <c r="AG14"/>
  <c r="AO13"/>
  <c r="AN13"/>
  <c r="AM13"/>
  <c r="AL13"/>
  <c r="AI13"/>
  <c r="AH13"/>
  <c r="AF13"/>
  <c r="AE13"/>
  <c r="AD13"/>
  <c r="AC13"/>
  <c r="AB13"/>
  <c r="AA13"/>
  <c r="AO12"/>
  <c r="AN12"/>
  <c r="AM12"/>
  <c r="AL12"/>
  <c r="AI12"/>
  <c r="AH12"/>
  <c r="AJ12"/>
  <c r="AT12"/>
  <c r="AF12"/>
  <c r="AE12"/>
  <c r="AD12"/>
  <c r="AC12"/>
  <c r="AB12"/>
  <c r="AA12"/>
  <c r="AO11"/>
  <c r="AN11"/>
  <c r="AM11"/>
  <c r="AL11"/>
  <c r="AI11"/>
  <c r="AH11"/>
  <c r="AF11"/>
  <c r="AE11"/>
  <c r="AD11"/>
  <c r="AC11"/>
  <c r="AB11"/>
  <c r="AA11"/>
  <c r="AO10"/>
  <c r="AN10"/>
  <c r="AM10"/>
  <c r="AL10"/>
  <c r="AI10"/>
  <c r="AH10"/>
  <c r="AF10"/>
  <c r="AE10"/>
  <c r="AD10"/>
  <c r="AC10"/>
  <c r="AB10"/>
  <c r="AA10"/>
  <c r="AO9"/>
  <c r="AN9"/>
  <c r="AM9"/>
  <c r="AL9"/>
  <c r="AI9"/>
  <c r="AH9"/>
  <c r="AJ9"/>
  <c r="AF9"/>
  <c r="AE9"/>
  <c r="AD9"/>
  <c r="AC9"/>
  <c r="AB9"/>
  <c r="AA9"/>
  <c r="AO8"/>
  <c r="AN8"/>
  <c r="AM8"/>
  <c r="AL8"/>
  <c r="AI8"/>
  <c r="AH8"/>
  <c r="AF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J6"/>
  <c r="AT6"/>
  <c r="AF6"/>
  <c r="AE6"/>
  <c r="AG6"/>
  <c r="AD6"/>
  <c r="AC6"/>
  <c r="AB6"/>
  <c r="AA6"/>
  <c r="AO5"/>
  <c r="AN5"/>
  <c r="AM5"/>
  <c r="AL5"/>
  <c r="AI5"/>
  <c r="AH5"/>
  <c r="AF5"/>
  <c r="AE5"/>
  <c r="AG5"/>
  <c r="AD5"/>
  <c r="AC5"/>
  <c r="AB5"/>
  <c r="AA5"/>
  <c r="AO4"/>
  <c r="AN4"/>
  <c r="AM4"/>
  <c r="AL4"/>
  <c r="AI4"/>
  <c r="AH4"/>
  <c r="AJ4"/>
  <c r="AF4"/>
  <c r="AE4"/>
  <c r="AD4"/>
  <c r="AC4"/>
  <c r="AB4"/>
  <c r="AA4"/>
  <c r="AO3"/>
  <c r="AN3"/>
  <c r="R3"/>
  <c r="Q3"/>
  <c r="P3"/>
  <c r="O3"/>
  <c r="N3"/>
  <c r="AM3"/>
  <c r="M3"/>
  <c r="L3"/>
  <c r="K3"/>
  <c r="AK3"/>
  <c r="J3"/>
  <c r="AI3"/>
  <c r="I3"/>
  <c r="AH3"/>
  <c r="H3"/>
  <c r="AF3"/>
  <c r="G3"/>
  <c r="AE3"/>
  <c r="F3"/>
  <c r="AD3"/>
  <c r="E3"/>
  <c r="AC3"/>
  <c r="D3"/>
  <c r="AB3"/>
  <c r="C3"/>
  <c r="AA3"/>
  <c r="B3"/>
  <c r="AF36" i="9"/>
  <c r="AE36"/>
  <c r="AD36"/>
  <c r="AC36"/>
  <c r="AB36"/>
  <c r="AA36"/>
  <c r="AG36"/>
  <c r="AO33"/>
  <c r="AN33"/>
  <c r="AM33"/>
  <c r="AL33"/>
  <c r="AK33"/>
  <c r="AI33"/>
  <c r="AH33"/>
  <c r="AJ33"/>
  <c r="AR33"/>
  <c r="AF33"/>
  <c r="AE33"/>
  <c r="AD33"/>
  <c r="AC33"/>
  <c r="AB33"/>
  <c r="AA33"/>
  <c r="AO32"/>
  <c r="AN32"/>
  <c r="AM32"/>
  <c r="AL32"/>
  <c r="AI32"/>
  <c r="AH32"/>
  <c r="AJ32"/>
  <c r="AF32"/>
  <c r="AE32"/>
  <c r="AD32"/>
  <c r="AC32"/>
  <c r="AB32"/>
  <c r="AA32"/>
  <c r="AO31"/>
  <c r="AN31"/>
  <c r="AM31"/>
  <c r="AL31"/>
  <c r="AI31"/>
  <c r="AH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J27"/>
  <c r="AF27"/>
  <c r="AE27"/>
  <c r="AD27"/>
  <c r="AC27"/>
  <c r="AB27"/>
  <c r="AA27"/>
  <c r="AO26"/>
  <c r="AN26"/>
  <c r="AM26"/>
  <c r="AL26"/>
  <c r="AI26"/>
  <c r="AH26"/>
  <c r="AJ26"/>
  <c r="AF26"/>
  <c r="AE26"/>
  <c r="AD26"/>
  <c r="AC26"/>
  <c r="AB26"/>
  <c r="AA26"/>
  <c r="AG26"/>
  <c r="AO25"/>
  <c r="AN25"/>
  <c r="AM25"/>
  <c r="AL25"/>
  <c r="AI25"/>
  <c r="AH25"/>
  <c r="AF25"/>
  <c r="AE25"/>
  <c r="AD25"/>
  <c r="AC25"/>
  <c r="AB25"/>
  <c r="AA25"/>
  <c r="AO24"/>
  <c r="AN24"/>
  <c r="AM24"/>
  <c r="AL24"/>
  <c r="AI24"/>
  <c r="AH24"/>
  <c r="AJ24"/>
  <c r="AF24"/>
  <c r="AE24"/>
  <c r="AD24"/>
  <c r="AC24"/>
  <c r="AB24"/>
  <c r="AA24"/>
  <c r="AO23"/>
  <c r="AN23"/>
  <c r="AM23"/>
  <c r="AL23"/>
  <c r="AI23"/>
  <c r="AH23"/>
  <c r="AJ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F21"/>
  <c r="AE21"/>
  <c r="AD21"/>
  <c r="AC21"/>
  <c r="AB21"/>
  <c r="AA21"/>
  <c r="AO20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J18"/>
  <c r="AF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M16"/>
  <c r="AL16"/>
  <c r="AI16"/>
  <c r="AH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J14"/>
  <c r="AQ14"/>
  <c r="AF14"/>
  <c r="AE14"/>
  <c r="AD14"/>
  <c r="AC14"/>
  <c r="AB14"/>
  <c r="AA14"/>
  <c r="AO13"/>
  <c r="AN13"/>
  <c r="AM13"/>
  <c r="AL13"/>
  <c r="AI13"/>
  <c r="AH13"/>
  <c r="AF13"/>
  <c r="AE13"/>
  <c r="AD13"/>
  <c r="AC13"/>
  <c r="AB13"/>
  <c r="AA13"/>
  <c r="AO12"/>
  <c r="AN12"/>
  <c r="AM12"/>
  <c r="AL12"/>
  <c r="AI12"/>
  <c r="AH12"/>
  <c r="AF12"/>
  <c r="AE12"/>
  <c r="AD12"/>
  <c r="AC12"/>
  <c r="AB12"/>
  <c r="AA12"/>
  <c r="AO11"/>
  <c r="AN11"/>
  <c r="AM11"/>
  <c r="AL11"/>
  <c r="AI11"/>
  <c r="AH11"/>
  <c r="AJ11"/>
  <c r="AT11"/>
  <c r="AF11"/>
  <c r="AE11"/>
  <c r="AD11"/>
  <c r="AC11"/>
  <c r="AB11"/>
  <c r="AA11"/>
  <c r="AO10"/>
  <c r="AN10"/>
  <c r="AS10"/>
  <c r="AM10"/>
  <c r="AL10"/>
  <c r="AI10"/>
  <c r="AH10"/>
  <c r="AJ10"/>
  <c r="AF10"/>
  <c r="AE10"/>
  <c r="AD10"/>
  <c r="AC10"/>
  <c r="AB10"/>
  <c r="AA10"/>
  <c r="AO9"/>
  <c r="AN9"/>
  <c r="AM9"/>
  <c r="AL9"/>
  <c r="AI9"/>
  <c r="AH9"/>
  <c r="AJ9"/>
  <c r="AF9"/>
  <c r="AE9"/>
  <c r="AD9"/>
  <c r="AC9"/>
  <c r="AB9"/>
  <c r="AA9"/>
  <c r="AO8"/>
  <c r="AN8"/>
  <c r="AM8"/>
  <c r="AL8"/>
  <c r="AI8"/>
  <c r="AH8"/>
  <c r="AJ8"/>
  <c r="AF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I4"/>
  <c r="AH4"/>
  <c r="AF4"/>
  <c r="AE4"/>
  <c r="AD4"/>
  <c r="AC4"/>
  <c r="AB4"/>
  <c r="AA4"/>
  <c r="AO3"/>
  <c r="AN3"/>
  <c r="R3"/>
  <c r="Q3"/>
  <c r="P3"/>
  <c r="O3"/>
  <c r="N3"/>
  <c r="AM3"/>
  <c r="M3"/>
  <c r="L3"/>
  <c r="AL3"/>
  <c r="K3"/>
  <c r="J3"/>
  <c r="AI3"/>
  <c r="I3"/>
  <c r="AH3"/>
  <c r="AJ3"/>
  <c r="H3"/>
  <c r="AF3"/>
  <c r="G3"/>
  <c r="AE3"/>
  <c r="F3"/>
  <c r="AD3"/>
  <c r="E3"/>
  <c r="AC3"/>
  <c r="D3"/>
  <c r="AB3"/>
  <c r="C3"/>
  <c r="AA3"/>
  <c r="B3"/>
  <c r="AF36" i="8"/>
  <c r="AE36"/>
  <c r="AD36"/>
  <c r="AC36"/>
  <c r="AB36"/>
  <c r="AA36"/>
  <c r="AG36"/>
  <c r="AO33"/>
  <c r="AN33"/>
  <c r="AM33"/>
  <c r="AL33"/>
  <c r="AI33"/>
  <c r="AH33"/>
  <c r="AJ33"/>
  <c r="AF33"/>
  <c r="AE33"/>
  <c r="AD33"/>
  <c r="AC33"/>
  <c r="AB33"/>
  <c r="AA33"/>
  <c r="AO32"/>
  <c r="AN32"/>
  <c r="AM32"/>
  <c r="AL32"/>
  <c r="AI32"/>
  <c r="AH32"/>
  <c r="AF32"/>
  <c r="AE32"/>
  <c r="AD32"/>
  <c r="AC32"/>
  <c r="AB32"/>
  <c r="AA32"/>
  <c r="AG32"/>
  <c r="AO31"/>
  <c r="AN31"/>
  <c r="AM31"/>
  <c r="AL31"/>
  <c r="AI31"/>
  <c r="AH31"/>
  <c r="AJ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J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G26"/>
  <c r="AO25"/>
  <c r="AN25"/>
  <c r="AM25"/>
  <c r="AL25"/>
  <c r="AI25"/>
  <c r="AH25"/>
  <c r="AF25"/>
  <c r="AE25"/>
  <c r="AD25"/>
  <c r="AC25"/>
  <c r="AB25"/>
  <c r="AA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J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F21"/>
  <c r="AE21"/>
  <c r="AD21"/>
  <c r="AC21"/>
  <c r="AB21"/>
  <c r="AA21"/>
  <c r="AO20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J18"/>
  <c r="AT18"/>
  <c r="AF18"/>
  <c r="AE18"/>
  <c r="AD18"/>
  <c r="AC18"/>
  <c r="AB18"/>
  <c r="AA18"/>
  <c r="AO17"/>
  <c r="AN17"/>
  <c r="AM17"/>
  <c r="AL17"/>
  <c r="AI17"/>
  <c r="AH17"/>
  <c r="AJ17"/>
  <c r="AF17"/>
  <c r="AE17"/>
  <c r="AD17"/>
  <c r="AC17"/>
  <c r="AB17"/>
  <c r="AA17"/>
  <c r="AO16"/>
  <c r="AN16"/>
  <c r="AM16"/>
  <c r="AL16"/>
  <c r="AI16"/>
  <c r="AH16"/>
  <c r="AJ16"/>
  <c r="AF16"/>
  <c r="AE16"/>
  <c r="AD16"/>
  <c r="AC16"/>
  <c r="AB16"/>
  <c r="AA16"/>
  <c r="AO15"/>
  <c r="AN15"/>
  <c r="AM15"/>
  <c r="AL15"/>
  <c r="AI15"/>
  <c r="AH15"/>
  <c r="AJ15"/>
  <c r="AF15"/>
  <c r="AE15"/>
  <c r="AD15"/>
  <c r="AC15"/>
  <c r="AB15"/>
  <c r="AA15"/>
  <c r="AO14"/>
  <c r="AN14"/>
  <c r="AM14"/>
  <c r="AL14"/>
  <c r="AI14"/>
  <c r="AH14"/>
  <c r="AJ14"/>
  <c r="AT14"/>
  <c r="AF14"/>
  <c r="AE14"/>
  <c r="AD14"/>
  <c r="AC14"/>
  <c r="AB14"/>
  <c r="AA14"/>
  <c r="AO13"/>
  <c r="AN13"/>
  <c r="AM13"/>
  <c r="AL13"/>
  <c r="AI13"/>
  <c r="AH13"/>
  <c r="AJ13"/>
  <c r="AF13"/>
  <c r="AD13"/>
  <c r="AC13"/>
  <c r="AB13"/>
  <c r="AA13"/>
  <c r="AO12"/>
  <c r="AN12"/>
  <c r="AM12"/>
  <c r="AL12"/>
  <c r="AI12"/>
  <c r="AH12"/>
  <c r="AF12"/>
  <c r="AD12"/>
  <c r="AC12"/>
  <c r="AB12"/>
  <c r="AA12"/>
  <c r="AO11"/>
  <c r="AN11"/>
  <c r="AM11"/>
  <c r="AL11"/>
  <c r="AI11"/>
  <c r="AH11"/>
  <c r="AF11"/>
  <c r="AD11"/>
  <c r="AC11"/>
  <c r="AB11"/>
  <c r="AA11"/>
  <c r="AO10"/>
  <c r="AN10"/>
  <c r="AM10"/>
  <c r="AL10"/>
  <c r="AI10"/>
  <c r="AH10"/>
  <c r="AJ10"/>
  <c r="AF10"/>
  <c r="AD10"/>
  <c r="AC10"/>
  <c r="AB10"/>
  <c r="AA10"/>
  <c r="AO9"/>
  <c r="AN9"/>
  <c r="AM9"/>
  <c r="AL9"/>
  <c r="AI9"/>
  <c r="AH9"/>
  <c r="AF9"/>
  <c r="AD9"/>
  <c r="AC9"/>
  <c r="AB9"/>
  <c r="AA9"/>
  <c r="AO8"/>
  <c r="AN8"/>
  <c r="AM8"/>
  <c r="AL8"/>
  <c r="AI8"/>
  <c r="AH8"/>
  <c r="AJ8"/>
  <c r="AF8"/>
  <c r="AD8"/>
  <c r="AC8"/>
  <c r="AB8"/>
  <c r="AA8"/>
  <c r="AO7"/>
  <c r="AN7"/>
  <c r="AM7"/>
  <c r="AL7"/>
  <c r="AI7"/>
  <c r="AH7"/>
  <c r="AJ7"/>
  <c r="AF7"/>
  <c r="AD7"/>
  <c r="AC7"/>
  <c r="AB7"/>
  <c r="AA7"/>
  <c r="AO6"/>
  <c r="AN6"/>
  <c r="AM6"/>
  <c r="AL6"/>
  <c r="AI6"/>
  <c r="AH6"/>
  <c r="AF6"/>
  <c r="AD6"/>
  <c r="AC6"/>
  <c r="AB6"/>
  <c r="AA6"/>
  <c r="AG6"/>
  <c r="AO5"/>
  <c r="AN5"/>
  <c r="AM5"/>
  <c r="AL5"/>
  <c r="AI5"/>
  <c r="AH5"/>
  <c r="AF5"/>
  <c r="AD5"/>
  <c r="AC5"/>
  <c r="AB5"/>
  <c r="AA5"/>
  <c r="AO4"/>
  <c r="AN4"/>
  <c r="AM4"/>
  <c r="AL4"/>
  <c r="AI4"/>
  <c r="AH4"/>
  <c r="AF4"/>
  <c r="AE4"/>
  <c r="AD4"/>
  <c r="AC4"/>
  <c r="AB4"/>
  <c r="AA4"/>
  <c r="AG4"/>
  <c r="AO3"/>
  <c r="AN3"/>
  <c r="AD3"/>
  <c r="AC3"/>
  <c r="AB3"/>
  <c r="AA3"/>
  <c r="R3"/>
  <c r="Q3"/>
  <c r="P3"/>
  <c r="O3"/>
  <c r="N3"/>
  <c r="AM3"/>
  <c r="M3"/>
  <c r="L3"/>
  <c r="AL3"/>
  <c r="K3"/>
  <c r="AK36"/>
  <c r="J3"/>
  <c r="AI3"/>
  <c r="I3"/>
  <c r="AH3"/>
  <c r="H3"/>
  <c r="AF3"/>
  <c r="G3"/>
  <c r="AE3"/>
  <c r="F3"/>
  <c r="E3"/>
  <c r="D3"/>
  <c r="C3"/>
  <c r="B3"/>
  <c r="AF36" i="7"/>
  <c r="AE36"/>
  <c r="AD36"/>
  <c r="AC36"/>
  <c r="AB36"/>
  <c r="AA36"/>
  <c r="AG36"/>
  <c r="AO33"/>
  <c r="AN33"/>
  <c r="AM33"/>
  <c r="AL33"/>
  <c r="AI33"/>
  <c r="AH33"/>
  <c r="AF33"/>
  <c r="AE33"/>
  <c r="AD33"/>
  <c r="AC33"/>
  <c r="AB33"/>
  <c r="AA33"/>
  <c r="AO32"/>
  <c r="AN32"/>
  <c r="AM32"/>
  <c r="AL32"/>
  <c r="AI32"/>
  <c r="AH32"/>
  <c r="AJ32"/>
  <c r="AF32"/>
  <c r="AE32"/>
  <c r="AD32"/>
  <c r="AC32"/>
  <c r="AB32"/>
  <c r="AA32"/>
  <c r="AO31"/>
  <c r="AN31"/>
  <c r="AM31"/>
  <c r="AL31"/>
  <c r="AI31"/>
  <c r="AH31"/>
  <c r="AJ31"/>
  <c r="AF31"/>
  <c r="AE31"/>
  <c r="AD31"/>
  <c r="AC31"/>
  <c r="AB31"/>
  <c r="AA31"/>
  <c r="AO30"/>
  <c r="AN30"/>
  <c r="AM30"/>
  <c r="AL30"/>
  <c r="AI30"/>
  <c r="AH30"/>
  <c r="AJ30"/>
  <c r="AS30"/>
  <c r="AF30"/>
  <c r="AE30"/>
  <c r="AD30"/>
  <c r="AC30"/>
  <c r="AB30"/>
  <c r="AA30"/>
  <c r="AO29"/>
  <c r="AN29"/>
  <c r="AM29"/>
  <c r="AL29"/>
  <c r="AI29"/>
  <c r="AH29"/>
  <c r="AJ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O25"/>
  <c r="AN25"/>
  <c r="AM25"/>
  <c r="AL25"/>
  <c r="AI25"/>
  <c r="AH25"/>
  <c r="AF25"/>
  <c r="AE25"/>
  <c r="AD25"/>
  <c r="AC25"/>
  <c r="AB25"/>
  <c r="AA25"/>
  <c r="AO24"/>
  <c r="AN24"/>
  <c r="AM24"/>
  <c r="AL24"/>
  <c r="AI24"/>
  <c r="AH24"/>
  <c r="AJ24"/>
  <c r="AQ24"/>
  <c r="AF24"/>
  <c r="AE24"/>
  <c r="AD24"/>
  <c r="AC24"/>
  <c r="AB24"/>
  <c r="AA24"/>
  <c r="AO23"/>
  <c r="AN23"/>
  <c r="AM23"/>
  <c r="AL23"/>
  <c r="AI23"/>
  <c r="AH23"/>
  <c r="AJ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T21"/>
  <c r="AN21"/>
  <c r="AM21"/>
  <c r="AL21"/>
  <c r="AI21"/>
  <c r="AH21"/>
  <c r="AJ21"/>
  <c r="AF21"/>
  <c r="AE21"/>
  <c r="AD21"/>
  <c r="AC21"/>
  <c r="AB21"/>
  <c r="AA21"/>
  <c r="AO20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J19"/>
  <c r="AF19"/>
  <c r="AE19"/>
  <c r="AD19"/>
  <c r="AC19"/>
  <c r="AB19"/>
  <c r="AA19"/>
  <c r="AO18"/>
  <c r="AN18"/>
  <c r="AM18"/>
  <c r="AL18"/>
  <c r="AI18"/>
  <c r="AH18"/>
  <c r="AF18"/>
  <c r="AE18"/>
  <c r="AD18"/>
  <c r="AC18"/>
  <c r="AB18"/>
  <c r="AA18"/>
  <c r="AO17"/>
  <c r="AN17"/>
  <c r="AM17"/>
  <c r="AL17"/>
  <c r="AI17"/>
  <c r="AH17"/>
  <c r="AF17"/>
  <c r="AE17"/>
  <c r="AD17"/>
  <c r="AC17"/>
  <c r="AG17"/>
  <c r="AB17"/>
  <c r="AA17"/>
  <c r="AO16"/>
  <c r="AN16"/>
  <c r="AM16"/>
  <c r="AL16"/>
  <c r="AI16"/>
  <c r="AH16"/>
  <c r="AJ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J14"/>
  <c r="AF14"/>
  <c r="AE14"/>
  <c r="AD14"/>
  <c r="AC14"/>
  <c r="AB14"/>
  <c r="AA14"/>
  <c r="AO13"/>
  <c r="AN13"/>
  <c r="AM13"/>
  <c r="AL13"/>
  <c r="AI13"/>
  <c r="AH13"/>
  <c r="AF13"/>
  <c r="AE13"/>
  <c r="AD13"/>
  <c r="AC13"/>
  <c r="AG13"/>
  <c r="AB13"/>
  <c r="AA13"/>
  <c r="AO12"/>
  <c r="AN12"/>
  <c r="AM12"/>
  <c r="AL12"/>
  <c r="AI12"/>
  <c r="AH12"/>
  <c r="AF12"/>
  <c r="AE12"/>
  <c r="AD12"/>
  <c r="AC12"/>
  <c r="AB12"/>
  <c r="AA12"/>
  <c r="AO11"/>
  <c r="AN11"/>
  <c r="AM11"/>
  <c r="AL11"/>
  <c r="AI11"/>
  <c r="AH11"/>
  <c r="AF11"/>
  <c r="AE11"/>
  <c r="AD11"/>
  <c r="AC11"/>
  <c r="AB11"/>
  <c r="AA11"/>
  <c r="AG11"/>
  <c r="AO10"/>
  <c r="AN10"/>
  <c r="AM10"/>
  <c r="AL10"/>
  <c r="AI10"/>
  <c r="AH10"/>
  <c r="AF10"/>
  <c r="AE10"/>
  <c r="AD10"/>
  <c r="AC10"/>
  <c r="AB10"/>
  <c r="AA10"/>
  <c r="AO9"/>
  <c r="AN9"/>
  <c r="AM9"/>
  <c r="AL9"/>
  <c r="AI9"/>
  <c r="AH9"/>
  <c r="AF9"/>
  <c r="AE9"/>
  <c r="AD9"/>
  <c r="AC9"/>
  <c r="AB9"/>
  <c r="AA9"/>
  <c r="AO8"/>
  <c r="AN8"/>
  <c r="AM8"/>
  <c r="AL8"/>
  <c r="AI8"/>
  <c r="AH8"/>
  <c r="AF8"/>
  <c r="AE8"/>
  <c r="AG8"/>
  <c r="AD8"/>
  <c r="AC8"/>
  <c r="AB8"/>
  <c r="AA8"/>
  <c r="AO7"/>
  <c r="AN7"/>
  <c r="AM7"/>
  <c r="AL7"/>
  <c r="AI7"/>
  <c r="AH7"/>
  <c r="AJ7"/>
  <c r="AT7"/>
  <c r="AF7"/>
  <c r="AE7"/>
  <c r="AD7"/>
  <c r="AC7"/>
  <c r="AB7"/>
  <c r="AA7"/>
  <c r="AG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I4"/>
  <c r="AH4"/>
  <c r="AF4"/>
  <c r="AE4"/>
  <c r="AD4"/>
  <c r="AC4"/>
  <c r="AB4"/>
  <c r="AA4"/>
  <c r="AO3"/>
  <c r="AN3"/>
  <c r="R3"/>
  <c r="Q3"/>
  <c r="P3"/>
  <c r="O3"/>
  <c r="N3"/>
  <c r="AM3"/>
  <c r="M3"/>
  <c r="L3"/>
  <c r="AL3"/>
  <c r="K3"/>
  <c r="AK36"/>
  <c r="J3"/>
  <c r="AI3"/>
  <c r="I3"/>
  <c r="AH3"/>
  <c r="H3"/>
  <c r="AF3"/>
  <c r="G3"/>
  <c r="AE3"/>
  <c r="F3"/>
  <c r="E3"/>
  <c r="AC3"/>
  <c r="D3"/>
  <c r="AB3"/>
  <c r="C3"/>
  <c r="AA3"/>
  <c r="B3"/>
  <c r="AF36" i="6"/>
  <c r="AE36"/>
  <c r="AD36"/>
  <c r="AC36"/>
  <c r="AB36"/>
  <c r="AA36"/>
  <c r="AG36"/>
  <c r="AO33"/>
  <c r="AN33"/>
  <c r="AM33"/>
  <c r="AL33"/>
  <c r="AK33"/>
  <c r="AI33"/>
  <c r="AH33"/>
  <c r="AJ33"/>
  <c r="AS33"/>
  <c r="AF33"/>
  <c r="AE33"/>
  <c r="AD33"/>
  <c r="AC33"/>
  <c r="AG33"/>
  <c r="AB33"/>
  <c r="AA33"/>
  <c r="AO32"/>
  <c r="AN32"/>
  <c r="AM32"/>
  <c r="AL32"/>
  <c r="AI32"/>
  <c r="AH32"/>
  <c r="AF32"/>
  <c r="AE32"/>
  <c r="AB32"/>
  <c r="AA32"/>
  <c r="AO31"/>
  <c r="AN31"/>
  <c r="AM31"/>
  <c r="AL31"/>
  <c r="AI31"/>
  <c r="AH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O25"/>
  <c r="AN25"/>
  <c r="AM25"/>
  <c r="AL25"/>
  <c r="AI25"/>
  <c r="AH25"/>
  <c r="AJ25"/>
  <c r="AF25"/>
  <c r="AE25"/>
  <c r="AD25"/>
  <c r="AC25"/>
  <c r="AB25"/>
  <c r="AA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F21"/>
  <c r="AE21"/>
  <c r="AD21"/>
  <c r="AC21"/>
  <c r="AB21"/>
  <c r="AA21"/>
  <c r="AO20"/>
  <c r="AN20"/>
  <c r="AM20"/>
  <c r="AL20"/>
  <c r="AI20"/>
  <c r="AH20"/>
  <c r="AJ20"/>
  <c r="AF20"/>
  <c r="AE20"/>
  <c r="AD20"/>
  <c r="AC20"/>
  <c r="AB20"/>
  <c r="AA20"/>
  <c r="AG20"/>
  <c r="AO19"/>
  <c r="AN19"/>
  <c r="AM19"/>
  <c r="AL19"/>
  <c r="AI19"/>
  <c r="AH19"/>
  <c r="AJ19"/>
  <c r="AE19"/>
  <c r="AD19"/>
  <c r="AC19"/>
  <c r="AB19"/>
  <c r="AA19"/>
  <c r="AO18"/>
  <c r="AN18"/>
  <c r="AM18"/>
  <c r="AL18"/>
  <c r="AI18"/>
  <c r="AH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M16"/>
  <c r="AL16"/>
  <c r="AI16"/>
  <c r="AH16"/>
  <c r="AJ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F14"/>
  <c r="AE14"/>
  <c r="AD14"/>
  <c r="AC14"/>
  <c r="AB14"/>
  <c r="AA14"/>
  <c r="AO13"/>
  <c r="AN13"/>
  <c r="AI13"/>
  <c r="AH13"/>
  <c r="AF13"/>
  <c r="AE13"/>
  <c r="AD13"/>
  <c r="AC13"/>
  <c r="AB13"/>
  <c r="AA13"/>
  <c r="AO12"/>
  <c r="AN12"/>
  <c r="AM12"/>
  <c r="AL12"/>
  <c r="AI12"/>
  <c r="AH12"/>
  <c r="AF12"/>
  <c r="AE12"/>
  <c r="AD12"/>
  <c r="AC12"/>
  <c r="AB12"/>
  <c r="AA12"/>
  <c r="AO11"/>
  <c r="AN11"/>
  <c r="AM11"/>
  <c r="AL11"/>
  <c r="AI11"/>
  <c r="AH11"/>
  <c r="AF11"/>
  <c r="AE11"/>
  <c r="AD11"/>
  <c r="AC11"/>
  <c r="AB11"/>
  <c r="AA11"/>
  <c r="AO10"/>
  <c r="AN10"/>
  <c r="AM10"/>
  <c r="AL10"/>
  <c r="AI10"/>
  <c r="AH10"/>
  <c r="AF10"/>
  <c r="AE10"/>
  <c r="AD10"/>
  <c r="AC10"/>
  <c r="AB10"/>
  <c r="AA10"/>
  <c r="AO9"/>
  <c r="AN9"/>
  <c r="AM9"/>
  <c r="AL9"/>
  <c r="AI9"/>
  <c r="AH9"/>
  <c r="AF9"/>
  <c r="AE9"/>
  <c r="AD9"/>
  <c r="AC9"/>
  <c r="AB9"/>
  <c r="AA9"/>
  <c r="AO8"/>
  <c r="AN8"/>
  <c r="AM8"/>
  <c r="AL8"/>
  <c r="AI8"/>
  <c r="AH8"/>
  <c r="AF8"/>
  <c r="AE8"/>
  <c r="AD8"/>
  <c r="AC8"/>
  <c r="AB8"/>
  <c r="AA8"/>
  <c r="AO7"/>
  <c r="AN7"/>
  <c r="AM7"/>
  <c r="AL7"/>
  <c r="AI7"/>
  <c r="AH7"/>
  <c r="AJ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I4"/>
  <c r="AH4"/>
  <c r="AF4"/>
  <c r="AE4"/>
  <c r="AD4"/>
  <c r="AC4"/>
  <c r="AB4"/>
  <c r="AA4"/>
  <c r="AO3"/>
  <c r="AN3"/>
  <c r="AD3"/>
  <c r="AC3"/>
  <c r="AB3"/>
  <c r="AA3"/>
  <c r="R3"/>
  <c r="Q3"/>
  <c r="P3"/>
  <c r="O3"/>
  <c r="N3"/>
  <c r="AM3"/>
  <c r="M3"/>
  <c r="AL3"/>
  <c r="L3"/>
  <c r="K3"/>
  <c r="AK36"/>
  <c r="J3"/>
  <c r="AI3"/>
  <c r="I3"/>
  <c r="AH3"/>
  <c r="H3"/>
  <c r="AF3"/>
  <c r="G3"/>
  <c r="AE3"/>
  <c r="F3"/>
  <c r="E3"/>
  <c r="D3"/>
  <c r="C3"/>
  <c r="B3"/>
  <c r="AF36" i="5"/>
  <c r="AE36"/>
  <c r="AD36"/>
  <c r="AC36"/>
  <c r="AB36"/>
  <c r="AA36"/>
  <c r="AG36"/>
  <c r="AO33"/>
  <c r="AN33"/>
  <c r="AM33"/>
  <c r="AL33"/>
  <c r="AI33"/>
  <c r="AH33"/>
  <c r="AF33"/>
  <c r="AE33"/>
  <c r="AD33"/>
  <c r="AC33"/>
  <c r="AB33"/>
  <c r="AA33"/>
  <c r="AO32"/>
  <c r="AN32"/>
  <c r="AM32"/>
  <c r="AL32"/>
  <c r="AI32"/>
  <c r="AH32"/>
  <c r="AF32"/>
  <c r="AE32"/>
  <c r="AD32"/>
  <c r="AC32"/>
  <c r="AB32"/>
  <c r="AA32"/>
  <c r="AG32"/>
  <c r="AO31"/>
  <c r="AN31"/>
  <c r="AM31"/>
  <c r="AL31"/>
  <c r="AI31"/>
  <c r="AH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G26"/>
  <c r="AO25"/>
  <c r="AN25"/>
  <c r="AM25"/>
  <c r="AL25"/>
  <c r="AI25"/>
  <c r="AH25"/>
  <c r="AF25"/>
  <c r="AE25"/>
  <c r="AD25"/>
  <c r="AC25"/>
  <c r="AB25"/>
  <c r="AA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F21"/>
  <c r="AE21"/>
  <c r="AD21"/>
  <c r="AC21"/>
  <c r="AB21"/>
  <c r="AA21"/>
  <c r="AO20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F18"/>
  <c r="AE18"/>
  <c r="AD18"/>
  <c r="AC18"/>
  <c r="AB18"/>
  <c r="AA18"/>
  <c r="AO17"/>
  <c r="AN17"/>
  <c r="AM17"/>
  <c r="AL17"/>
  <c r="AI17"/>
  <c r="AH17"/>
  <c r="AJ17"/>
  <c r="AF17"/>
  <c r="AE17"/>
  <c r="AD17"/>
  <c r="AC17"/>
  <c r="AB17"/>
  <c r="AA17"/>
  <c r="AO16"/>
  <c r="AN16"/>
  <c r="AM16"/>
  <c r="AL16"/>
  <c r="AI16"/>
  <c r="AH16"/>
  <c r="AF16"/>
  <c r="AE16"/>
  <c r="AD16"/>
  <c r="AC16"/>
  <c r="AB16"/>
  <c r="AA16"/>
  <c r="AG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F14"/>
  <c r="AE14"/>
  <c r="AD14"/>
  <c r="AC14"/>
  <c r="AB14"/>
  <c r="AA14"/>
  <c r="AG14"/>
  <c r="AO13"/>
  <c r="AN13"/>
  <c r="AM13"/>
  <c r="AL13"/>
  <c r="AI13"/>
  <c r="AH13"/>
  <c r="AJ13"/>
  <c r="AF13"/>
  <c r="AE13"/>
  <c r="AD13"/>
  <c r="AC13"/>
  <c r="AB13"/>
  <c r="AA13"/>
  <c r="AO12"/>
  <c r="AN12"/>
  <c r="AM12"/>
  <c r="AL12"/>
  <c r="AI12"/>
  <c r="AH12"/>
  <c r="AF12"/>
  <c r="AE12"/>
  <c r="AD12"/>
  <c r="AC12"/>
  <c r="AB12"/>
  <c r="AA12"/>
  <c r="AO11"/>
  <c r="AN11"/>
  <c r="AM11"/>
  <c r="AL11"/>
  <c r="AI11"/>
  <c r="AF11"/>
  <c r="AE11"/>
  <c r="AD11"/>
  <c r="AC11"/>
  <c r="AB11"/>
  <c r="AA11"/>
  <c r="AO10"/>
  <c r="AN10"/>
  <c r="AM10"/>
  <c r="AL10"/>
  <c r="AI10"/>
  <c r="AF10"/>
  <c r="AE10"/>
  <c r="AD10"/>
  <c r="AC10"/>
  <c r="AB10"/>
  <c r="AA10"/>
  <c r="AO9"/>
  <c r="AN9"/>
  <c r="AM9"/>
  <c r="AL9"/>
  <c r="AI9"/>
  <c r="AH9"/>
  <c r="AJ9"/>
  <c r="AF9"/>
  <c r="AE9"/>
  <c r="AD9"/>
  <c r="AC9"/>
  <c r="AB9"/>
  <c r="AA9"/>
  <c r="AO8"/>
  <c r="AN8"/>
  <c r="AM8"/>
  <c r="AL8"/>
  <c r="AI8"/>
  <c r="AH8"/>
  <c r="AF8"/>
  <c r="AE8"/>
  <c r="AD8"/>
  <c r="AC8"/>
  <c r="AB8"/>
  <c r="AA8"/>
  <c r="AO7"/>
  <c r="AN7"/>
  <c r="AM7"/>
  <c r="AL7"/>
  <c r="AI7"/>
  <c r="AJ7"/>
  <c r="AF7"/>
  <c r="AE7"/>
  <c r="AD7"/>
  <c r="AC7"/>
  <c r="AB7"/>
  <c r="AA7"/>
  <c r="AO6"/>
  <c r="AN6"/>
  <c r="AM6"/>
  <c r="AL6"/>
  <c r="AI6"/>
  <c r="AJ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H4"/>
  <c r="AJ4"/>
  <c r="AF4"/>
  <c r="AE4"/>
  <c r="AD4"/>
  <c r="AC4"/>
  <c r="AB4"/>
  <c r="AA4"/>
  <c r="AO3"/>
  <c r="AN3"/>
  <c r="R3"/>
  <c r="Q3"/>
  <c r="N3"/>
  <c r="AM3"/>
  <c r="M3"/>
  <c r="L3"/>
  <c r="K3"/>
  <c r="AK3"/>
  <c r="J3"/>
  <c r="AI3"/>
  <c r="I3"/>
  <c r="AH3"/>
  <c r="H3"/>
  <c r="AF3"/>
  <c r="G3"/>
  <c r="AE3"/>
  <c r="F3"/>
  <c r="AD3"/>
  <c r="E3"/>
  <c r="AC3"/>
  <c r="D3"/>
  <c r="AB3"/>
  <c r="C3"/>
  <c r="AA3"/>
  <c r="B3"/>
  <c r="AF36" i="4"/>
  <c r="AE36"/>
  <c r="AD36"/>
  <c r="AC36"/>
  <c r="AB36"/>
  <c r="AA36"/>
  <c r="AG36"/>
  <c r="AO33"/>
  <c r="AN33"/>
  <c r="AM33"/>
  <c r="AL33"/>
  <c r="AK33"/>
  <c r="AI33"/>
  <c r="AH33"/>
  <c r="AF33"/>
  <c r="AE33"/>
  <c r="AD33"/>
  <c r="AC33"/>
  <c r="AB33"/>
  <c r="AA33"/>
  <c r="AG33"/>
  <c r="AO32"/>
  <c r="AN32"/>
  <c r="AM32"/>
  <c r="AL32"/>
  <c r="AI32"/>
  <c r="AH32"/>
  <c r="AF32"/>
  <c r="AE32"/>
  <c r="AD32"/>
  <c r="AC32"/>
  <c r="AB32"/>
  <c r="AA32"/>
  <c r="AO31"/>
  <c r="AN31"/>
  <c r="AM31"/>
  <c r="AL31"/>
  <c r="AI31"/>
  <c r="AH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G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L26"/>
  <c r="AI26"/>
  <c r="AH26"/>
  <c r="AF26"/>
  <c r="AE26"/>
  <c r="AD26"/>
  <c r="AC26"/>
  <c r="AB26"/>
  <c r="AA26"/>
  <c r="AO25"/>
  <c r="AN25"/>
  <c r="AL25"/>
  <c r="AI25"/>
  <c r="AH25"/>
  <c r="AJ25"/>
  <c r="AF25"/>
  <c r="AE25"/>
  <c r="AD25"/>
  <c r="AC25"/>
  <c r="AB25"/>
  <c r="AA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N21"/>
  <c r="AM21"/>
  <c r="AL21"/>
  <c r="AI21"/>
  <c r="AH21"/>
  <c r="AF21"/>
  <c r="AE21"/>
  <c r="AD21"/>
  <c r="AC21"/>
  <c r="AB21"/>
  <c r="AA21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H18"/>
  <c r="AF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M16"/>
  <c r="AL16"/>
  <c r="AI16"/>
  <c r="AH16"/>
  <c r="AF16"/>
  <c r="AE16"/>
  <c r="AD16"/>
  <c r="AC16"/>
  <c r="AB16"/>
  <c r="AA16"/>
  <c r="AO15"/>
  <c r="AN15"/>
  <c r="AM15"/>
  <c r="AL15"/>
  <c r="AI15"/>
  <c r="AH15"/>
  <c r="AF15"/>
  <c r="AD15"/>
  <c r="AC15"/>
  <c r="AB15"/>
  <c r="AA15"/>
  <c r="AO14"/>
  <c r="AN14"/>
  <c r="AM14"/>
  <c r="AL14"/>
  <c r="AI14"/>
  <c r="AH14"/>
  <c r="AJ14"/>
  <c r="AF14"/>
  <c r="AD14"/>
  <c r="AC14"/>
  <c r="AB14"/>
  <c r="AA14"/>
  <c r="AN13"/>
  <c r="AM13"/>
  <c r="AL13"/>
  <c r="AI13"/>
  <c r="AJ13"/>
  <c r="AF13"/>
  <c r="AE13"/>
  <c r="AD13"/>
  <c r="AC13"/>
  <c r="AB13"/>
  <c r="AA13"/>
  <c r="AO12"/>
  <c r="AN12"/>
  <c r="AM12"/>
  <c r="AL12"/>
  <c r="AI12"/>
  <c r="AF12"/>
  <c r="AE12"/>
  <c r="AD12"/>
  <c r="AC12"/>
  <c r="AA12"/>
  <c r="AO11"/>
  <c r="AN11"/>
  <c r="AM11"/>
  <c r="AL11"/>
  <c r="AI11"/>
  <c r="AH11"/>
  <c r="AJ11"/>
  <c r="AF11"/>
  <c r="AE11"/>
  <c r="AD11"/>
  <c r="AC11"/>
  <c r="AB11"/>
  <c r="AA11"/>
  <c r="AO10"/>
  <c r="AN10"/>
  <c r="AM10"/>
  <c r="AL10"/>
  <c r="AI10"/>
  <c r="AH10"/>
  <c r="AF10"/>
  <c r="AE10"/>
  <c r="AD10"/>
  <c r="AC10"/>
  <c r="AB10"/>
  <c r="AA10"/>
  <c r="AO9"/>
  <c r="AN9"/>
  <c r="AM9"/>
  <c r="AL9"/>
  <c r="AI9"/>
  <c r="AH9"/>
  <c r="AJ9"/>
  <c r="AF9"/>
  <c r="AE9"/>
  <c r="AD9"/>
  <c r="AC9"/>
  <c r="AB9"/>
  <c r="AA9"/>
  <c r="AO8"/>
  <c r="AN8"/>
  <c r="AM8"/>
  <c r="AL8"/>
  <c r="AI8"/>
  <c r="AH8"/>
  <c r="AF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I4"/>
  <c r="AH4"/>
  <c r="AF4"/>
  <c r="AE4"/>
  <c r="AD4"/>
  <c r="AC4"/>
  <c r="AB4"/>
  <c r="AA4"/>
  <c r="AO3"/>
  <c r="AN3"/>
  <c r="R3"/>
  <c r="Q3"/>
  <c r="P3"/>
  <c r="O3"/>
  <c r="N3"/>
  <c r="AM3"/>
  <c r="M3"/>
  <c r="L3"/>
  <c r="K3"/>
  <c r="J3"/>
  <c r="AI3"/>
  <c r="I3"/>
  <c r="AH3"/>
  <c r="H3"/>
  <c r="AF3"/>
  <c r="G3"/>
  <c r="AE3"/>
  <c r="F3"/>
  <c r="AD3"/>
  <c r="E3"/>
  <c r="AC3"/>
  <c r="D3"/>
  <c r="AB3"/>
  <c r="C3"/>
  <c r="AA3"/>
  <c r="B3"/>
  <c r="AF36" i="3"/>
  <c r="AE36"/>
  <c r="AD36"/>
  <c r="AC36"/>
  <c r="AB36"/>
  <c r="AA36"/>
  <c r="AG36"/>
  <c r="AO33"/>
  <c r="AN33"/>
  <c r="AM33"/>
  <c r="AL33"/>
  <c r="AI33"/>
  <c r="AH33"/>
  <c r="AF33"/>
  <c r="AE33"/>
  <c r="AD33"/>
  <c r="AC33"/>
  <c r="AB33"/>
  <c r="AA33"/>
  <c r="AO32"/>
  <c r="AN32"/>
  <c r="AM32"/>
  <c r="AL32"/>
  <c r="AI32"/>
  <c r="AH32"/>
  <c r="AF32"/>
  <c r="AE32"/>
  <c r="AD32"/>
  <c r="AC32"/>
  <c r="AB32"/>
  <c r="AA32"/>
  <c r="AO31"/>
  <c r="AN31"/>
  <c r="AM31"/>
  <c r="AL31"/>
  <c r="AI31"/>
  <c r="AH31"/>
  <c r="AJ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O25"/>
  <c r="AN25"/>
  <c r="AM25"/>
  <c r="AL25"/>
  <c r="AH25"/>
  <c r="AE25"/>
  <c r="AD25"/>
  <c r="AC25"/>
  <c r="AB25"/>
  <c r="AA25"/>
  <c r="AO24"/>
  <c r="AN24"/>
  <c r="AM24"/>
  <c r="AL24"/>
  <c r="AI24"/>
  <c r="AH24"/>
  <c r="AF24"/>
  <c r="AE24"/>
  <c r="AD24"/>
  <c r="AC24"/>
  <c r="AB24"/>
  <c r="AA24"/>
  <c r="AO23"/>
  <c r="AN23"/>
  <c r="AM23"/>
  <c r="AL23"/>
  <c r="AI23"/>
  <c r="AH23"/>
  <c r="AJ23"/>
  <c r="AF23"/>
  <c r="AE23"/>
  <c r="AD23"/>
  <c r="AC23"/>
  <c r="AB23"/>
  <c r="AA23"/>
  <c r="AO22"/>
  <c r="AN22"/>
  <c r="AM22"/>
  <c r="AL22"/>
  <c r="AI22"/>
  <c r="AH22"/>
  <c r="AF22"/>
  <c r="AE22"/>
  <c r="AD22"/>
  <c r="AC22"/>
  <c r="AB22"/>
  <c r="AA22"/>
  <c r="AO21"/>
  <c r="AN21"/>
  <c r="AM21"/>
  <c r="AL21"/>
  <c r="AI21"/>
  <c r="AH21"/>
  <c r="AJ21"/>
  <c r="AR21"/>
  <c r="AF21"/>
  <c r="AE21"/>
  <c r="AD21"/>
  <c r="AC21"/>
  <c r="AB21"/>
  <c r="AA21"/>
  <c r="AO20"/>
  <c r="AN20"/>
  <c r="AM20"/>
  <c r="AL20"/>
  <c r="AI20"/>
  <c r="AH20"/>
  <c r="AF20"/>
  <c r="AE20"/>
  <c r="AD20"/>
  <c r="AC20"/>
  <c r="AB20"/>
  <c r="AA20"/>
  <c r="AO19"/>
  <c r="AN19"/>
  <c r="AM19"/>
  <c r="AL19"/>
  <c r="AI19"/>
  <c r="AH19"/>
  <c r="AJ19"/>
  <c r="AF19"/>
  <c r="AE19"/>
  <c r="AD19"/>
  <c r="AC19"/>
  <c r="AB19"/>
  <c r="AA19"/>
  <c r="AO18"/>
  <c r="AN18"/>
  <c r="AM18"/>
  <c r="AL18"/>
  <c r="AI18"/>
  <c r="AJ18"/>
  <c r="AH18"/>
  <c r="AF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M16"/>
  <c r="AL16"/>
  <c r="AI16"/>
  <c r="AH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J14"/>
  <c r="AF14"/>
  <c r="AE14"/>
  <c r="AD14"/>
  <c r="AC14"/>
  <c r="AB14"/>
  <c r="AA14"/>
  <c r="AO13"/>
  <c r="AN13"/>
  <c r="AM13"/>
  <c r="AL13"/>
  <c r="AI13"/>
  <c r="AH13"/>
  <c r="AF13"/>
  <c r="AE13"/>
  <c r="AD13"/>
  <c r="AC13"/>
  <c r="AB13"/>
  <c r="AA13"/>
  <c r="AO12"/>
  <c r="AN12"/>
  <c r="AM12"/>
  <c r="AL12"/>
  <c r="AI12"/>
  <c r="AH12"/>
  <c r="AF12"/>
  <c r="AE12"/>
  <c r="AD12"/>
  <c r="AC12"/>
  <c r="AB12"/>
  <c r="AA12"/>
  <c r="AO11"/>
  <c r="AT11"/>
  <c r="AN11"/>
  <c r="AM11"/>
  <c r="AL11"/>
  <c r="AI11"/>
  <c r="AH11"/>
  <c r="AJ11"/>
  <c r="AS11"/>
  <c r="AF11"/>
  <c r="AE11"/>
  <c r="AD11"/>
  <c r="AC11"/>
  <c r="AB11"/>
  <c r="AG11"/>
  <c r="AA11"/>
  <c r="AO10"/>
  <c r="AN10"/>
  <c r="AM10"/>
  <c r="AL10"/>
  <c r="AI10"/>
  <c r="AH10"/>
  <c r="AF10"/>
  <c r="AE10"/>
  <c r="AC10"/>
  <c r="AB10"/>
  <c r="AA10"/>
  <c r="AO9"/>
  <c r="AN9"/>
  <c r="AM9"/>
  <c r="AL9"/>
  <c r="AI9"/>
  <c r="AH9"/>
  <c r="AF9"/>
  <c r="AE9"/>
  <c r="AD9"/>
  <c r="AC9"/>
  <c r="AB9"/>
  <c r="AA9"/>
  <c r="AO8"/>
  <c r="AN8"/>
  <c r="AM8"/>
  <c r="AL8"/>
  <c r="AI8"/>
  <c r="AH8"/>
  <c r="AJ8"/>
  <c r="AS8"/>
  <c r="AF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J5"/>
  <c r="AQ5"/>
  <c r="AF5"/>
  <c r="AE5"/>
  <c r="AD5"/>
  <c r="AC5"/>
  <c r="AG5"/>
  <c r="AB5"/>
  <c r="AA5"/>
  <c r="AO4"/>
  <c r="AN4"/>
  <c r="AM4"/>
  <c r="AL4"/>
  <c r="AI4"/>
  <c r="AH4"/>
  <c r="AF4"/>
  <c r="AE4"/>
  <c r="AD4"/>
  <c r="AC4"/>
  <c r="AB4"/>
  <c r="AA4"/>
  <c r="AO3"/>
  <c r="AN3"/>
  <c r="R3"/>
  <c r="Q3"/>
  <c r="P3"/>
  <c r="O3"/>
  <c r="N3"/>
  <c r="AM3"/>
  <c r="M3"/>
  <c r="L3"/>
  <c r="K3"/>
  <c r="J3"/>
  <c r="AI3"/>
  <c r="I3"/>
  <c r="AH3"/>
  <c r="H3"/>
  <c r="AF3"/>
  <c r="G3"/>
  <c r="AE3"/>
  <c r="F3"/>
  <c r="AD3"/>
  <c r="E3"/>
  <c r="AC3"/>
  <c r="D3"/>
  <c r="AB3"/>
  <c r="C3"/>
  <c r="AA3"/>
  <c r="B3"/>
  <c r="AF35" i="2"/>
  <c r="AE35"/>
  <c r="AD35"/>
  <c r="AC35"/>
  <c r="AB35"/>
  <c r="AA35"/>
  <c r="AG35"/>
  <c r="AO32"/>
  <c r="AN32"/>
  <c r="AM32"/>
  <c r="AL32"/>
  <c r="AK32"/>
  <c r="AI32"/>
  <c r="AH32"/>
  <c r="AJ32"/>
  <c r="AF32"/>
  <c r="AE32"/>
  <c r="AD32"/>
  <c r="AC32"/>
  <c r="AB32"/>
  <c r="AA32"/>
  <c r="AG32"/>
  <c r="AO31"/>
  <c r="AN31"/>
  <c r="AM31"/>
  <c r="AL31"/>
  <c r="AK31"/>
  <c r="AI31"/>
  <c r="AH31"/>
  <c r="AJ31"/>
  <c r="AF31"/>
  <c r="AE31"/>
  <c r="AD31"/>
  <c r="AC31"/>
  <c r="AB31"/>
  <c r="AA31"/>
  <c r="AO30"/>
  <c r="AN30"/>
  <c r="AO29"/>
  <c r="AN29"/>
  <c r="AM29"/>
  <c r="AL29"/>
  <c r="AI29"/>
  <c r="AH29"/>
  <c r="AJ29"/>
  <c r="AR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G28"/>
  <c r="AO27"/>
  <c r="AN27"/>
  <c r="AM27"/>
  <c r="AL27"/>
  <c r="AI27"/>
  <c r="AH27"/>
  <c r="AJ27"/>
  <c r="AT27"/>
  <c r="AF27"/>
  <c r="AE27"/>
  <c r="AD27"/>
  <c r="AC27"/>
  <c r="AB27"/>
  <c r="AA27"/>
  <c r="AO26"/>
  <c r="AN26"/>
  <c r="AM26"/>
  <c r="AL26"/>
  <c r="AI26"/>
  <c r="AH26"/>
  <c r="AJ26"/>
  <c r="AR26"/>
  <c r="AF26"/>
  <c r="AE26"/>
  <c r="AD26"/>
  <c r="AC26"/>
  <c r="AB26"/>
  <c r="AG26"/>
  <c r="AA26"/>
  <c r="AO25"/>
  <c r="AN25"/>
  <c r="AM25"/>
  <c r="AL25"/>
  <c r="AI25"/>
  <c r="AH25"/>
  <c r="AJ25"/>
  <c r="AF25"/>
  <c r="AE25"/>
  <c r="AD25"/>
  <c r="AC25"/>
  <c r="AB25"/>
  <c r="AA25"/>
  <c r="AO24"/>
  <c r="AN24"/>
  <c r="AM24"/>
  <c r="AL24"/>
  <c r="AI24"/>
  <c r="AH24"/>
  <c r="AJ24"/>
  <c r="AF24"/>
  <c r="AE24"/>
  <c r="AD24"/>
  <c r="AC24"/>
  <c r="AB24"/>
  <c r="AA24"/>
  <c r="AG24"/>
  <c r="AO23"/>
  <c r="AN23"/>
  <c r="AM23"/>
  <c r="AL23"/>
  <c r="AI23"/>
  <c r="AH23"/>
  <c r="AJ23"/>
  <c r="AT23"/>
  <c r="AF23"/>
  <c r="AE23"/>
  <c r="AD23"/>
  <c r="AC23"/>
  <c r="AB23"/>
  <c r="AA23"/>
  <c r="AG23"/>
  <c r="AO22"/>
  <c r="AN22"/>
  <c r="AM22"/>
  <c r="AL22"/>
  <c r="AI22"/>
  <c r="AH22"/>
  <c r="AJ22"/>
  <c r="AF22"/>
  <c r="AE22"/>
  <c r="AD22"/>
  <c r="AC22"/>
  <c r="AB22"/>
  <c r="AA22"/>
  <c r="AO21"/>
  <c r="AN21"/>
  <c r="AM21"/>
  <c r="AL21"/>
  <c r="AI21"/>
  <c r="AH21"/>
  <c r="AJ21"/>
  <c r="AF21"/>
  <c r="AE21"/>
  <c r="AD21"/>
  <c r="AC21"/>
  <c r="AB21"/>
  <c r="AG21"/>
  <c r="AA21"/>
  <c r="AO20"/>
  <c r="AN20"/>
  <c r="AM20"/>
  <c r="AL20"/>
  <c r="AI20"/>
  <c r="AJ20"/>
  <c r="AH20"/>
  <c r="AF20"/>
  <c r="AE20"/>
  <c r="AD20"/>
  <c r="AC20"/>
  <c r="AB20"/>
  <c r="AA20"/>
  <c r="AG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J18"/>
  <c r="AF18"/>
  <c r="AE18"/>
  <c r="AD18"/>
  <c r="AC18"/>
  <c r="AB18"/>
  <c r="AA18"/>
  <c r="AG18"/>
  <c r="AO17"/>
  <c r="AN17"/>
  <c r="AM17"/>
  <c r="AL17"/>
  <c r="AI17"/>
  <c r="AH17"/>
  <c r="AF17"/>
  <c r="AE17"/>
  <c r="AD17"/>
  <c r="AC17"/>
  <c r="AB17"/>
  <c r="AA17"/>
  <c r="AG17"/>
  <c r="AO16"/>
  <c r="AN16"/>
  <c r="AM16"/>
  <c r="AL16"/>
  <c r="AI16"/>
  <c r="AH16"/>
  <c r="AF16"/>
  <c r="AE16"/>
  <c r="AD16"/>
  <c r="AC16"/>
  <c r="AB16"/>
  <c r="AA16"/>
  <c r="AO15"/>
  <c r="AN15"/>
  <c r="AM15"/>
  <c r="AL15"/>
  <c r="AI15"/>
  <c r="AH15"/>
  <c r="AF15"/>
  <c r="AE15"/>
  <c r="AD15"/>
  <c r="AC15"/>
  <c r="AB15"/>
  <c r="AA15"/>
  <c r="AO14"/>
  <c r="AN14"/>
  <c r="AM14"/>
  <c r="AL14"/>
  <c r="AI14"/>
  <c r="AH14"/>
  <c r="AJ14"/>
  <c r="AF14"/>
  <c r="AE14"/>
  <c r="AD14"/>
  <c r="AC14"/>
  <c r="AB14"/>
  <c r="AG14"/>
  <c r="AA14"/>
  <c r="AO13"/>
  <c r="AN13"/>
  <c r="AM13"/>
  <c r="AL13"/>
  <c r="AI13"/>
  <c r="AH13"/>
  <c r="AJ13"/>
  <c r="AF13"/>
  <c r="AE13"/>
  <c r="AD13"/>
  <c r="AC13"/>
  <c r="AB13"/>
  <c r="AA13"/>
  <c r="AO12"/>
  <c r="AN12"/>
  <c r="AM12"/>
  <c r="AL12"/>
  <c r="AI12"/>
  <c r="AH12"/>
  <c r="AJ12"/>
  <c r="AF12"/>
  <c r="AE12"/>
  <c r="AD12"/>
  <c r="AC12"/>
  <c r="AB12"/>
  <c r="AG12"/>
  <c r="AA12"/>
  <c r="AO11"/>
  <c r="AN11"/>
  <c r="AM11"/>
  <c r="AL11"/>
  <c r="AI11"/>
  <c r="AI35"/>
  <c r="AH11"/>
  <c r="AJ11"/>
  <c r="AF11"/>
  <c r="AE11"/>
  <c r="AD11"/>
  <c r="AC11"/>
  <c r="AB11"/>
  <c r="AA11"/>
  <c r="AO10"/>
  <c r="AN10"/>
  <c r="AM10"/>
  <c r="AL10"/>
  <c r="AL35"/>
  <c r="AI10"/>
  <c r="AH10"/>
  <c r="AJ10"/>
  <c r="AQ10"/>
  <c r="AF10"/>
  <c r="AE10"/>
  <c r="AD10"/>
  <c r="AC10"/>
  <c r="AB10"/>
  <c r="AA10"/>
  <c r="AO9"/>
  <c r="AN9"/>
  <c r="AM9"/>
  <c r="AL9"/>
  <c r="AI9"/>
  <c r="AH9"/>
  <c r="AJ9"/>
  <c r="AQ9"/>
  <c r="AF9"/>
  <c r="AE9"/>
  <c r="AD9"/>
  <c r="AC9"/>
  <c r="AB9"/>
  <c r="AA9"/>
  <c r="AG9"/>
  <c r="AO8"/>
  <c r="AN8"/>
  <c r="AM8"/>
  <c r="AL8"/>
  <c r="AI8"/>
  <c r="AH8"/>
  <c r="AF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O4"/>
  <c r="AN4"/>
  <c r="AM4"/>
  <c r="AL4"/>
  <c r="AI4"/>
  <c r="AH4"/>
  <c r="AF4"/>
  <c r="AE4"/>
  <c r="AD4"/>
  <c r="AC4"/>
  <c r="AB4"/>
  <c r="AA4"/>
  <c r="AG4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O3"/>
  <c r="AO35"/>
  <c r="AN3"/>
  <c r="P3"/>
  <c r="O3"/>
  <c r="N3"/>
  <c r="AM3"/>
  <c r="M3"/>
  <c r="L3"/>
  <c r="AL3"/>
  <c r="K3"/>
  <c r="J3"/>
  <c r="AI3"/>
  <c r="I3"/>
  <c r="AH3"/>
  <c r="H3"/>
  <c r="AF3"/>
  <c r="G3"/>
  <c r="AE3"/>
  <c r="F3"/>
  <c r="AD3"/>
  <c r="E3"/>
  <c r="AC3"/>
  <c r="D3"/>
  <c r="AB3"/>
  <c r="C3"/>
  <c r="AA3"/>
  <c r="AG3"/>
  <c r="B3"/>
  <c r="AF36" i="1"/>
  <c r="AE36"/>
  <c r="AD36"/>
  <c r="AC36"/>
  <c r="AB36"/>
  <c r="AA36"/>
  <c r="AG36"/>
  <c r="AO33"/>
  <c r="AN33"/>
  <c r="AM33"/>
  <c r="AL33"/>
  <c r="AI33"/>
  <c r="AH33"/>
  <c r="AF33"/>
  <c r="AE33"/>
  <c r="AD33"/>
  <c r="AC33"/>
  <c r="AB33"/>
  <c r="AA33"/>
  <c r="AO32"/>
  <c r="AN32"/>
  <c r="AM32"/>
  <c r="AL32"/>
  <c r="AI32"/>
  <c r="AH32"/>
  <c r="AF32"/>
  <c r="AE32"/>
  <c r="AD32"/>
  <c r="AC32"/>
  <c r="AB32"/>
  <c r="AA32"/>
  <c r="AO31"/>
  <c r="AN31"/>
  <c r="AM31"/>
  <c r="AL31"/>
  <c r="AI31"/>
  <c r="AH31"/>
  <c r="AF31"/>
  <c r="AE31"/>
  <c r="AD31"/>
  <c r="AC31"/>
  <c r="AB31"/>
  <c r="AA31"/>
  <c r="AO30"/>
  <c r="AN30"/>
  <c r="AM30"/>
  <c r="AL30"/>
  <c r="AI30"/>
  <c r="AH30"/>
  <c r="AF30"/>
  <c r="AE30"/>
  <c r="AD30"/>
  <c r="AC30"/>
  <c r="AB30"/>
  <c r="AA30"/>
  <c r="AG30"/>
  <c r="AO29"/>
  <c r="AN29"/>
  <c r="AM29"/>
  <c r="AL29"/>
  <c r="AI29"/>
  <c r="AH29"/>
  <c r="AF29"/>
  <c r="AE29"/>
  <c r="AD29"/>
  <c r="AC29"/>
  <c r="AB29"/>
  <c r="AA29"/>
  <c r="AO28"/>
  <c r="AN28"/>
  <c r="AM28"/>
  <c r="AL28"/>
  <c r="AI28"/>
  <c r="AH28"/>
  <c r="AF28"/>
  <c r="AE28"/>
  <c r="AD28"/>
  <c r="AC28"/>
  <c r="AB28"/>
  <c r="AA28"/>
  <c r="AO27"/>
  <c r="AN27"/>
  <c r="AM27"/>
  <c r="AL27"/>
  <c r="AI27"/>
  <c r="AH27"/>
  <c r="AJ27"/>
  <c r="AQ27"/>
  <c r="AF27"/>
  <c r="AE27"/>
  <c r="AD27"/>
  <c r="AC27"/>
  <c r="AB27"/>
  <c r="AA27"/>
  <c r="AO26"/>
  <c r="AN26"/>
  <c r="AM26"/>
  <c r="AL26"/>
  <c r="AI26"/>
  <c r="AH26"/>
  <c r="AF26"/>
  <c r="AE26"/>
  <c r="AD26"/>
  <c r="AC26"/>
  <c r="AB26"/>
  <c r="AA26"/>
  <c r="AO25"/>
  <c r="AN25"/>
  <c r="AM25"/>
  <c r="AL25"/>
  <c r="AI25"/>
  <c r="AH25"/>
  <c r="AF25"/>
  <c r="AE25"/>
  <c r="AD25"/>
  <c r="AC25"/>
  <c r="AB25"/>
  <c r="AA25"/>
  <c r="AG25"/>
  <c r="AO24"/>
  <c r="AN24"/>
  <c r="AM24"/>
  <c r="AL24"/>
  <c r="AI24"/>
  <c r="AH24"/>
  <c r="AJ24"/>
  <c r="AF24"/>
  <c r="AE24"/>
  <c r="AD24"/>
  <c r="AC24"/>
  <c r="AB24"/>
  <c r="AA24"/>
  <c r="AO23"/>
  <c r="AN23"/>
  <c r="AM23"/>
  <c r="AL23"/>
  <c r="AI23"/>
  <c r="AH23"/>
  <c r="AJ23"/>
  <c r="AF23"/>
  <c r="AE23"/>
  <c r="AD23"/>
  <c r="AC23"/>
  <c r="AB23"/>
  <c r="AA23"/>
  <c r="AO22"/>
  <c r="AN22"/>
  <c r="AM22"/>
  <c r="AL22"/>
  <c r="AQ22"/>
  <c r="AI22"/>
  <c r="AH22"/>
  <c r="AJ22"/>
  <c r="AS22"/>
  <c r="AF22"/>
  <c r="AE22"/>
  <c r="AD22"/>
  <c r="AC22"/>
  <c r="AB22"/>
  <c r="AA22"/>
  <c r="AO21"/>
  <c r="AN21"/>
  <c r="AM21"/>
  <c r="AL21"/>
  <c r="AI21"/>
  <c r="AH21"/>
  <c r="AJ21"/>
  <c r="AQ21"/>
  <c r="AF21"/>
  <c r="AE21"/>
  <c r="AD21"/>
  <c r="AC21"/>
  <c r="AB21"/>
  <c r="AA21"/>
  <c r="AO20"/>
  <c r="AN20"/>
  <c r="AM20"/>
  <c r="AL20"/>
  <c r="AI20"/>
  <c r="AH20"/>
  <c r="AJ20"/>
  <c r="AS20"/>
  <c r="AF20"/>
  <c r="AE20"/>
  <c r="AD20"/>
  <c r="AC20"/>
  <c r="AB20"/>
  <c r="AA20"/>
  <c r="AO19"/>
  <c r="AN19"/>
  <c r="AM19"/>
  <c r="AL19"/>
  <c r="AI19"/>
  <c r="AH19"/>
  <c r="AF19"/>
  <c r="AE19"/>
  <c r="AD19"/>
  <c r="AC19"/>
  <c r="AB19"/>
  <c r="AA19"/>
  <c r="AO18"/>
  <c r="AN18"/>
  <c r="AM18"/>
  <c r="AL18"/>
  <c r="AI18"/>
  <c r="AH18"/>
  <c r="AJ18"/>
  <c r="AF18"/>
  <c r="AE18"/>
  <c r="AD18"/>
  <c r="AC18"/>
  <c r="AB18"/>
  <c r="AA18"/>
  <c r="AO17"/>
  <c r="AN17"/>
  <c r="AM17"/>
  <c r="AL17"/>
  <c r="AI17"/>
  <c r="AH17"/>
  <c r="AF17"/>
  <c r="AE17"/>
  <c r="AD17"/>
  <c r="AC17"/>
  <c r="AB17"/>
  <c r="AA17"/>
  <c r="AO16"/>
  <c r="AN16"/>
  <c r="AS16"/>
  <c r="AM16"/>
  <c r="AL16"/>
  <c r="AI16"/>
  <c r="AH16"/>
  <c r="AJ16"/>
  <c r="AQ16"/>
  <c r="AF16"/>
  <c r="AE16"/>
  <c r="AD16"/>
  <c r="AC16"/>
  <c r="AB16"/>
  <c r="AA16"/>
  <c r="AO15"/>
  <c r="AN15"/>
  <c r="AM15"/>
  <c r="AL15"/>
  <c r="AI15"/>
  <c r="AH15"/>
  <c r="AJ15"/>
  <c r="AF15"/>
  <c r="AE15"/>
  <c r="AD15"/>
  <c r="AC15"/>
  <c r="AB15"/>
  <c r="AA15"/>
  <c r="AO14"/>
  <c r="AN14"/>
  <c r="AM14"/>
  <c r="AL14"/>
  <c r="AI14"/>
  <c r="AH14"/>
  <c r="AF14"/>
  <c r="AE14"/>
  <c r="AD14"/>
  <c r="AC14"/>
  <c r="AB14"/>
  <c r="AA14"/>
  <c r="AO13"/>
  <c r="AN13"/>
  <c r="AM13"/>
  <c r="AL13"/>
  <c r="AI13"/>
  <c r="AH13"/>
  <c r="AJ13"/>
  <c r="AQ13"/>
  <c r="AF13"/>
  <c r="AE13"/>
  <c r="AD13"/>
  <c r="AC13"/>
  <c r="AB13"/>
  <c r="AA13"/>
  <c r="AO12"/>
  <c r="AN12"/>
  <c r="AS12"/>
  <c r="AM12"/>
  <c r="AL12"/>
  <c r="AI12"/>
  <c r="AH12"/>
  <c r="AF12"/>
  <c r="AE12"/>
  <c r="AD12"/>
  <c r="AC12"/>
  <c r="AB12"/>
  <c r="AA12"/>
  <c r="AG12"/>
  <c r="AO11"/>
  <c r="AN11"/>
  <c r="AM11"/>
  <c r="AL11"/>
  <c r="AI11"/>
  <c r="AH11"/>
  <c r="AF11"/>
  <c r="AE11"/>
  <c r="AD11"/>
  <c r="AC11"/>
  <c r="AB11"/>
  <c r="AA11"/>
  <c r="AO10"/>
  <c r="AN10"/>
  <c r="AM10"/>
  <c r="AL10"/>
  <c r="AI10"/>
  <c r="AH10"/>
  <c r="AF10"/>
  <c r="AE10"/>
  <c r="AD10"/>
  <c r="AC10"/>
  <c r="AB10"/>
  <c r="AA10"/>
  <c r="AO9"/>
  <c r="AN9"/>
  <c r="AM9"/>
  <c r="AL9"/>
  <c r="AI9"/>
  <c r="AH9"/>
  <c r="AF9"/>
  <c r="AE9"/>
  <c r="AD9"/>
  <c r="AC9"/>
  <c r="AB9"/>
  <c r="AA9"/>
  <c r="AO8"/>
  <c r="AN8"/>
  <c r="AM8"/>
  <c r="AL8"/>
  <c r="AJ8"/>
  <c r="AH8"/>
  <c r="AE8"/>
  <c r="AD8"/>
  <c r="AC8"/>
  <c r="AB8"/>
  <c r="AA8"/>
  <c r="AO7"/>
  <c r="AN7"/>
  <c r="AM7"/>
  <c r="AL7"/>
  <c r="AI7"/>
  <c r="AH7"/>
  <c r="AF7"/>
  <c r="AE7"/>
  <c r="AD7"/>
  <c r="AC7"/>
  <c r="AB7"/>
  <c r="AA7"/>
  <c r="AO6"/>
  <c r="AN6"/>
  <c r="AM6"/>
  <c r="AL6"/>
  <c r="AI6"/>
  <c r="AH6"/>
  <c r="AF6"/>
  <c r="AE6"/>
  <c r="AD6"/>
  <c r="AC6"/>
  <c r="AB6"/>
  <c r="AA6"/>
  <c r="AO5"/>
  <c r="AN5"/>
  <c r="AM5"/>
  <c r="AL5"/>
  <c r="AI5"/>
  <c r="AH5"/>
  <c r="AF5"/>
  <c r="AE5"/>
  <c r="AD5"/>
  <c r="AC5"/>
  <c r="AB5"/>
  <c r="AA5"/>
  <c r="AG5"/>
  <c r="AO4"/>
  <c r="AN4"/>
  <c r="AM4"/>
  <c r="AL4"/>
  <c r="AI4"/>
  <c r="AH4"/>
  <c r="AJ4"/>
  <c r="AF4"/>
  <c r="AE4"/>
  <c r="AD4"/>
  <c r="AC4"/>
  <c r="AB4"/>
  <c r="AA4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O3"/>
  <c r="AN3"/>
  <c r="AM3"/>
  <c r="AL3"/>
  <c r="AK36"/>
  <c r="AI3"/>
  <c r="AH3"/>
  <c r="AF3"/>
  <c r="AE3"/>
  <c r="AD3"/>
  <c r="AC3"/>
  <c r="AB3"/>
  <c r="AA3"/>
  <c r="AG3"/>
  <c r="AG4"/>
  <c r="AS13"/>
  <c r="AS27"/>
  <c r="AS4"/>
  <c r="AQ4"/>
  <c r="AT4"/>
  <c r="AR4"/>
  <c r="AT16"/>
  <c r="AR20"/>
  <c r="AQ32" i="2"/>
  <c r="AJ3" i="1"/>
  <c r="AQ11" i="3"/>
  <c r="AT16" i="7"/>
  <c r="AT24"/>
  <c r="AT20" i="6"/>
  <c r="AS20"/>
  <c r="AQ7" i="7"/>
  <c r="AT19"/>
  <c r="AT8" i="8"/>
  <c r="AR10"/>
  <c r="AR14"/>
  <c r="AG4" i="9"/>
  <c r="AR11"/>
  <c r="AT23"/>
  <c r="AT27"/>
  <c r="AS27"/>
  <c r="AT33"/>
  <c r="AS33"/>
  <c r="AJ16" i="10"/>
  <c r="AJ24"/>
  <c r="AQ24"/>
  <c r="AQ33"/>
  <c r="AT4" i="11"/>
  <c r="AR4"/>
  <c r="AS4"/>
  <c r="AQ4"/>
  <c r="AT6"/>
  <c r="AR6"/>
  <c r="AS6"/>
  <c r="AQ6"/>
  <c r="AT8"/>
  <c r="AR8"/>
  <c r="AS8"/>
  <c r="AQ8"/>
  <c r="AT10"/>
  <c r="AR10"/>
  <c r="AS10"/>
  <c r="AQ10"/>
  <c r="AT12"/>
  <c r="AR12"/>
  <c r="AS12"/>
  <c r="AQ12"/>
  <c r="AT14"/>
  <c r="AR14"/>
  <c r="AS14"/>
  <c r="AQ14"/>
  <c r="AT16"/>
  <c r="AR16"/>
  <c r="AS16"/>
  <c r="AQ16"/>
  <c r="AT18"/>
  <c r="AR18"/>
  <c r="AS18"/>
  <c r="AQ18"/>
  <c r="AT20"/>
  <c r="AR20"/>
  <c r="AS20"/>
  <c r="AQ20"/>
  <c r="AT22"/>
  <c r="AR22"/>
  <c r="AS22"/>
  <c r="AQ22"/>
  <c r="AT24"/>
  <c r="AR24"/>
  <c r="AS24"/>
  <c r="AQ24"/>
  <c r="AT4" i="12"/>
  <c r="AR4"/>
  <c r="AQ4"/>
  <c r="AS4"/>
  <c r="AT6"/>
  <c r="AR6"/>
  <c r="AQ6"/>
  <c r="AS6"/>
  <c r="AS5" i="11"/>
  <c r="AQ5"/>
  <c r="AT5"/>
  <c r="AR5"/>
  <c r="AS7"/>
  <c r="AQ7"/>
  <c r="AT7"/>
  <c r="AR7"/>
  <c r="AS9"/>
  <c r="AQ9"/>
  <c r="AT9"/>
  <c r="AR9"/>
  <c r="AS11"/>
  <c r="AQ11"/>
  <c r="AT11"/>
  <c r="AR11"/>
  <c r="AS13"/>
  <c r="AQ13"/>
  <c r="AT13"/>
  <c r="AR13"/>
  <c r="AS15"/>
  <c r="AQ15"/>
  <c r="AT15"/>
  <c r="AR15"/>
  <c r="AS17"/>
  <c r="AQ17"/>
  <c r="AT17"/>
  <c r="AR17"/>
  <c r="AS19"/>
  <c r="AQ19"/>
  <c r="AT19"/>
  <c r="AR19"/>
  <c r="AS21"/>
  <c r="AQ21"/>
  <c r="AT21"/>
  <c r="AR21"/>
  <c r="AS23"/>
  <c r="AQ23"/>
  <c r="AT23"/>
  <c r="AR23"/>
  <c r="AS25"/>
  <c r="AQ25"/>
  <c r="AT25"/>
  <c r="AR25"/>
  <c r="AT27"/>
  <c r="AR27"/>
  <c r="AQ27"/>
  <c r="AS27"/>
  <c r="AT29"/>
  <c r="AR29"/>
  <c r="AQ29"/>
  <c r="AS29"/>
  <c r="AT31"/>
  <c r="AR31"/>
  <c r="AQ31"/>
  <c r="AS31"/>
  <c r="AT33"/>
  <c r="AR33"/>
  <c r="AQ33"/>
  <c r="AS33"/>
  <c r="AS26"/>
  <c r="AQ26"/>
  <c r="AT26"/>
  <c r="AS28"/>
  <c r="AQ28"/>
  <c r="AT28"/>
  <c r="AS30"/>
  <c r="AQ30"/>
  <c r="AT30"/>
  <c r="AS32"/>
  <c r="AQ32"/>
  <c r="AT32"/>
  <c r="AS3" i="12"/>
  <c r="AQ3"/>
  <c r="AJ36"/>
  <c r="AT3"/>
  <c r="AS5"/>
  <c r="AQ5"/>
  <c r="AT5"/>
  <c r="AS7"/>
  <c r="AQ7"/>
  <c r="AT7"/>
  <c r="AT8"/>
  <c r="AR8"/>
  <c r="AS8"/>
  <c r="AQ8"/>
  <c r="AS9"/>
  <c r="AQ9"/>
  <c r="AT9"/>
  <c r="AR9"/>
  <c r="AT10"/>
  <c r="AR10"/>
  <c r="AS10"/>
  <c r="AQ10"/>
  <c r="AS11"/>
  <c r="AQ11"/>
  <c r="AT11"/>
  <c r="AR11"/>
  <c r="AT12"/>
  <c r="AR12"/>
  <c r="AS12"/>
  <c r="AQ12"/>
  <c r="AS13"/>
  <c r="AQ13"/>
  <c r="AT13"/>
  <c r="AR13"/>
  <c r="AT14"/>
  <c r="AR14"/>
  <c r="AS14"/>
  <c r="AQ14"/>
  <c r="AS15"/>
  <c r="AQ15"/>
  <c r="AT15"/>
  <c r="AR15"/>
  <c r="AT16"/>
  <c r="AR16"/>
  <c r="AS16"/>
  <c r="AQ16"/>
  <c r="AS17"/>
  <c r="AQ17"/>
  <c r="AT17"/>
  <c r="AR17"/>
  <c r="AT18"/>
  <c r="AR18"/>
  <c r="AS18"/>
  <c r="AQ18"/>
  <c r="AS19"/>
  <c r="AQ19"/>
  <c r="AT19"/>
  <c r="AR19"/>
  <c r="AT20"/>
  <c r="AR20"/>
  <c r="AS20"/>
  <c r="AQ20"/>
  <c r="AS21"/>
  <c r="AQ21"/>
  <c r="AT21"/>
  <c r="AR21"/>
  <c r="AT22"/>
  <c r="AR22"/>
  <c r="AS22"/>
  <c r="AQ22"/>
  <c r="AS23"/>
  <c r="AQ23"/>
  <c r="AT23"/>
  <c r="AR23"/>
  <c r="AT24"/>
  <c r="AR24"/>
  <c r="AS24"/>
  <c r="AQ24"/>
  <c r="AS25"/>
  <c r="AQ25"/>
  <c r="AT25"/>
  <c r="AR25"/>
  <c r="AT26"/>
  <c r="AR26"/>
  <c r="AS26"/>
  <c r="AQ26"/>
  <c r="AS27"/>
  <c r="AQ27"/>
  <c r="AT27"/>
  <c r="AR27"/>
  <c r="AT28"/>
  <c r="AR28"/>
  <c r="AS28"/>
  <c r="AQ28"/>
  <c r="AS29"/>
  <c r="AQ29"/>
  <c r="AT29"/>
  <c r="AR29"/>
  <c r="AT30"/>
  <c r="AR30"/>
  <c r="AS30"/>
  <c r="AQ30"/>
  <c r="AS31"/>
  <c r="AQ31"/>
  <c r="AT31"/>
  <c r="AR31"/>
  <c r="AT32"/>
  <c r="AR32"/>
  <c r="AS32"/>
  <c r="AQ32"/>
  <c r="AS33"/>
  <c r="AQ33"/>
  <c r="AT33"/>
  <c r="AR33"/>
  <c r="AN36" i="11"/>
  <c r="AR26"/>
  <c r="AG27"/>
  <c r="AR28"/>
  <c r="AG29"/>
  <c r="AR30"/>
  <c r="AG31"/>
  <c r="AR32"/>
  <c r="AG33"/>
  <c r="AR3" i="12"/>
  <c r="AG4"/>
  <c r="AR5"/>
  <c r="AG6"/>
  <c r="AR7"/>
  <c r="AH36"/>
  <c r="AT36"/>
  <c r="AR36"/>
  <c r="AS36"/>
  <c r="AQ36"/>
  <c r="AS24" i="10"/>
  <c r="AS16"/>
  <c r="AS3" i="1"/>
  <c r="AQ3"/>
  <c r="AT3"/>
  <c r="AR3"/>
  <c r="AJ11"/>
  <c r="AJ12"/>
  <c r="AQ12"/>
  <c r="AR12"/>
  <c r="AT12"/>
  <c r="AJ10"/>
  <c r="AR10"/>
  <c r="AS11"/>
  <c r="AR11"/>
  <c r="AQ11"/>
  <c r="AS10"/>
  <c r="AT11"/>
  <c r="AG10"/>
  <c r="AG11"/>
  <c r="AG9"/>
  <c r="AJ9"/>
  <c r="AS9"/>
  <c r="AT8"/>
  <c r="AG8"/>
  <c r="AJ6"/>
  <c r="AS6"/>
  <c r="AG7"/>
  <c r="AS8"/>
  <c r="AQ8"/>
  <c r="AJ7"/>
  <c r="AS7"/>
  <c r="AQ6"/>
  <c r="AR6"/>
  <c r="AJ5"/>
  <c r="AT5"/>
  <c r="AG6"/>
  <c r="AS5"/>
  <c r="AT6"/>
  <c r="AT10"/>
  <c r="AQ10"/>
  <c r="AR9"/>
  <c r="AT9"/>
  <c r="AR8"/>
  <c r="AQ9"/>
  <c r="AR7"/>
  <c r="AT7"/>
  <c r="AQ5"/>
  <c r="AQ7"/>
  <c r="AR5"/>
  <c r="AJ4" i="3"/>
  <c r="AT4"/>
  <c r="AS4"/>
  <c r="AG4"/>
  <c r="AQ4"/>
  <c r="AR4"/>
  <c r="AK36"/>
  <c r="AG19"/>
  <c r="AG31"/>
  <c r="AG31" i="2"/>
  <c r="AS9"/>
  <c r="AQ31"/>
  <c r="AS31"/>
  <c r="AT25"/>
  <c r="AJ4"/>
  <c r="AQ4"/>
  <c r="AJ8"/>
  <c r="AG29"/>
  <c r="AS29"/>
  <c r="AR30"/>
  <c r="AK35"/>
  <c r="AT30"/>
  <c r="AT29"/>
  <c r="AG27"/>
  <c r="AJ28"/>
  <c r="AR28"/>
  <c r="AT26"/>
  <c r="AS26"/>
  <c r="AG25"/>
  <c r="AR25"/>
  <c r="AQ23"/>
  <c r="AT22"/>
  <c r="AG22"/>
  <c r="AS21"/>
  <c r="AR21"/>
  <c r="AJ19"/>
  <c r="AR19"/>
  <c r="AS19"/>
  <c r="AG19"/>
  <c r="AG16"/>
  <c r="AJ16"/>
  <c r="AJ17"/>
  <c r="AS17"/>
  <c r="AR17"/>
  <c r="AJ15"/>
  <c r="AS15"/>
  <c r="AG15"/>
  <c r="AT14"/>
  <c r="AR14"/>
  <c r="AT13"/>
  <c r="AG13"/>
  <c r="AT11"/>
  <c r="AR12"/>
  <c r="AG11"/>
  <c r="AG10"/>
  <c r="AR10"/>
  <c r="AT10"/>
  <c r="AT9"/>
  <c r="AQ8"/>
  <c r="AT8"/>
  <c r="AS8"/>
  <c r="AR9"/>
  <c r="AN35"/>
  <c r="AR8"/>
  <c r="AJ7"/>
  <c r="AS7"/>
  <c r="AG8"/>
  <c r="AJ6"/>
  <c r="AT6"/>
  <c r="AG7"/>
  <c r="AJ5"/>
  <c r="AR5"/>
  <c r="AS6"/>
  <c r="AQ6"/>
  <c r="AG5"/>
  <c r="AG6"/>
  <c r="AM35"/>
  <c r="AQ5"/>
  <c r="AS5"/>
  <c r="AR4"/>
  <c r="AH35"/>
  <c r="AJ33" i="1"/>
  <c r="AS33"/>
  <c r="AJ3" i="2"/>
  <c r="AQ3"/>
  <c r="AG33" i="1"/>
  <c r="AJ32"/>
  <c r="AT33"/>
  <c r="AG32"/>
  <c r="AQ32"/>
  <c r="AR32"/>
  <c r="AS32"/>
  <c r="AT32"/>
  <c r="AJ31"/>
  <c r="AS31"/>
  <c r="AG31"/>
  <c r="AJ30"/>
  <c r="AQ30"/>
  <c r="AJ29"/>
  <c r="AR29"/>
  <c r="AG29"/>
  <c r="AQ29"/>
  <c r="AG27"/>
  <c r="AG28"/>
  <c r="AI36"/>
  <c r="AJ28"/>
  <c r="AS28"/>
  <c r="AR28"/>
  <c r="AT27"/>
  <c r="AJ26"/>
  <c r="AQ26"/>
  <c r="AR27"/>
  <c r="AG26"/>
  <c r="AJ25"/>
  <c r="AS25"/>
  <c r="AQ25"/>
  <c r="AR25"/>
  <c r="AT25"/>
  <c r="AS26"/>
  <c r="AR26"/>
  <c r="AG24"/>
  <c r="AS24"/>
  <c r="AQ24"/>
  <c r="AR24"/>
  <c r="AG23"/>
  <c r="AQ23"/>
  <c r="AS23"/>
  <c r="AT24"/>
  <c r="AT23"/>
  <c r="AR23"/>
  <c r="AG22"/>
  <c r="AR22"/>
  <c r="AT21"/>
  <c r="AT22"/>
  <c r="AS21"/>
  <c r="AQ20"/>
  <c r="AR21"/>
  <c r="AG21"/>
  <c r="AG20"/>
  <c r="AT20"/>
  <c r="AJ19"/>
  <c r="AQ19"/>
  <c r="AG19"/>
  <c r="AG18"/>
  <c r="AL36"/>
  <c r="AJ17"/>
  <c r="AS17"/>
  <c r="AQ18"/>
  <c r="AR18"/>
  <c r="AS18"/>
  <c r="AT18"/>
  <c r="AT17"/>
  <c r="AR17"/>
  <c r="AO36"/>
  <c r="AG17"/>
  <c r="AM36"/>
  <c r="AG16"/>
  <c r="AG15"/>
  <c r="AS15"/>
  <c r="AR15"/>
  <c r="AQ15"/>
  <c r="AR16"/>
  <c r="AH36"/>
  <c r="AN36"/>
  <c r="AT15"/>
  <c r="AG13"/>
  <c r="AG14"/>
  <c r="AT13"/>
  <c r="AJ14"/>
  <c r="AS14"/>
  <c r="AT14"/>
  <c r="AR14"/>
  <c r="AR13"/>
  <c r="AQ30" i="2"/>
  <c r="AR6"/>
  <c r="AT15"/>
  <c r="AT17"/>
  <c r="AT19"/>
  <c r="AQ29"/>
  <c r="AQ28"/>
  <c r="AS28"/>
  <c r="AT28"/>
  <c r="AR23"/>
  <c r="AQ17"/>
  <c r="AQ15"/>
  <c r="AQ33" i="1"/>
  <c r="AR33"/>
  <c r="AR3" i="2"/>
  <c r="AT3"/>
  <c r="AR31" i="1"/>
  <c r="AT31"/>
  <c r="AR30"/>
  <c r="AQ31"/>
  <c r="AT30"/>
  <c r="AS30"/>
  <c r="AS29"/>
  <c r="AT29"/>
  <c r="AT28"/>
  <c r="AQ28"/>
  <c r="AT26"/>
  <c r="AT19"/>
  <c r="AR19"/>
  <c r="AS19"/>
  <c r="AQ17"/>
  <c r="AJ36"/>
  <c r="AS36"/>
  <c r="AQ14"/>
  <c r="AT36"/>
  <c r="AR36"/>
  <c r="AQ36"/>
  <c r="AG33" i="10"/>
  <c r="AG31"/>
  <c r="AJ32"/>
  <c r="AT32"/>
  <c r="AG30"/>
  <c r="AJ30"/>
  <c r="AQ30"/>
  <c r="AJ29"/>
  <c r="AQ29"/>
  <c r="AG29"/>
  <c r="AR29"/>
  <c r="AG27"/>
  <c r="AJ28"/>
  <c r="AR28"/>
  <c r="AJ27"/>
  <c r="AT27"/>
  <c r="AG26"/>
  <c r="AJ25"/>
  <c r="AT25"/>
  <c r="AR24"/>
  <c r="AG24"/>
  <c r="AG22"/>
  <c r="AJ22"/>
  <c r="AR22"/>
  <c r="AG21"/>
  <c r="AJ21"/>
  <c r="AQ21"/>
  <c r="AG20"/>
  <c r="AG18"/>
  <c r="AJ19"/>
  <c r="AS19"/>
  <c r="AJ18"/>
  <c r="AS18"/>
  <c r="AG17"/>
  <c r="AQ16"/>
  <c r="AJ17"/>
  <c r="AT17"/>
  <c r="AR16"/>
  <c r="AG16"/>
  <c r="AJ15"/>
  <c r="AT15"/>
  <c r="AJ14"/>
  <c r="AJ13"/>
  <c r="AS13"/>
  <c r="AG13"/>
  <c r="AG12"/>
  <c r="AJ11"/>
  <c r="AJ10"/>
  <c r="AT10"/>
  <c r="AG10"/>
  <c r="AJ8"/>
  <c r="AS8"/>
  <c r="AS9"/>
  <c r="AT9"/>
  <c r="AT8"/>
  <c r="AG9"/>
  <c r="AG8"/>
  <c r="AJ7"/>
  <c r="AS7"/>
  <c r="AN36"/>
  <c r="AS6"/>
  <c r="AK36"/>
  <c r="AL3"/>
  <c r="AQ20"/>
  <c r="AT20"/>
  <c r="AS20"/>
  <c r="AR20"/>
  <c r="AR7"/>
  <c r="AR10"/>
  <c r="AR12"/>
  <c r="AQ12"/>
  <c r="AR15"/>
  <c r="AS15"/>
  <c r="AR17"/>
  <c r="AR23"/>
  <c r="AS23"/>
  <c r="AR25"/>
  <c r="AS26"/>
  <c r="AT26"/>
  <c r="AS28"/>
  <c r="AT31"/>
  <c r="AS31"/>
  <c r="AT33"/>
  <c r="AS33"/>
  <c r="AT16"/>
  <c r="AT24"/>
  <c r="AQ26"/>
  <c r="AR33"/>
  <c r="AR31"/>
  <c r="AS12"/>
  <c r="AS10"/>
  <c r="AS25"/>
  <c r="AQ23"/>
  <c r="AQ17"/>
  <c r="AQ15"/>
  <c r="AR6"/>
  <c r="AQ6"/>
  <c r="AQ8"/>
  <c r="AQ9"/>
  <c r="AR9"/>
  <c r="AQ11"/>
  <c r="AR11"/>
  <c r="AR14"/>
  <c r="AQ14"/>
  <c r="AR19"/>
  <c r="AS27"/>
  <c r="AS32"/>
  <c r="AH36" i="11"/>
  <c r="AI36" i="10"/>
  <c r="AJ5"/>
  <c r="AQ5"/>
  <c r="AG7"/>
  <c r="AG11"/>
  <c r="AG15"/>
  <c r="AG19"/>
  <c r="AG23"/>
  <c r="AG28"/>
  <c r="AG32"/>
  <c r="AJ36" i="11"/>
  <c r="AG3" i="10"/>
  <c r="AM36"/>
  <c r="AO36"/>
  <c r="AL36"/>
  <c r="AT5"/>
  <c r="AH36"/>
  <c r="AG4"/>
  <c r="AT4"/>
  <c r="AS4"/>
  <c r="AR4"/>
  <c r="AQ4"/>
  <c r="AG33" i="9"/>
  <c r="AQ33"/>
  <c r="AS32"/>
  <c r="AQ32"/>
  <c r="AR32"/>
  <c r="AT32"/>
  <c r="AG32"/>
  <c r="AJ30"/>
  <c r="AJ31"/>
  <c r="AT31"/>
  <c r="AS31"/>
  <c r="AQ31"/>
  <c r="AS30"/>
  <c r="AQ30"/>
  <c r="AR30"/>
  <c r="AG31"/>
  <c r="AT30"/>
  <c r="AG29"/>
  <c r="AG30"/>
  <c r="AJ29"/>
  <c r="AT29"/>
  <c r="AS29"/>
  <c r="AQ29"/>
  <c r="AG28"/>
  <c r="AR27"/>
  <c r="AJ28"/>
  <c r="AS28"/>
  <c r="AR28"/>
  <c r="AQ27"/>
  <c r="AG27"/>
  <c r="AJ25"/>
  <c r="AS26"/>
  <c r="AT26"/>
  <c r="AQ26"/>
  <c r="AR26"/>
  <c r="AG25"/>
  <c r="AT25"/>
  <c r="AS25"/>
  <c r="AR25"/>
  <c r="AQ25"/>
  <c r="AG24"/>
  <c r="AR23"/>
  <c r="AQ24"/>
  <c r="AR24"/>
  <c r="AS24"/>
  <c r="AT24"/>
  <c r="AS23"/>
  <c r="AQ23"/>
  <c r="AG22"/>
  <c r="AG23"/>
  <c r="AG21"/>
  <c r="AJ21"/>
  <c r="AS21"/>
  <c r="AJ22"/>
  <c r="AS22"/>
  <c r="AT22"/>
  <c r="AR22"/>
  <c r="AT21"/>
  <c r="AR21"/>
  <c r="AJ20"/>
  <c r="AR20"/>
  <c r="AJ19"/>
  <c r="AQ20"/>
  <c r="AG20"/>
  <c r="AG19"/>
  <c r="AG18"/>
  <c r="AS18"/>
  <c r="AR18"/>
  <c r="AR19"/>
  <c r="AQ19"/>
  <c r="AT19"/>
  <c r="AS19"/>
  <c r="AQ18"/>
  <c r="AT18"/>
  <c r="AJ17"/>
  <c r="AR17"/>
  <c r="AS17"/>
  <c r="AG17"/>
  <c r="AG16"/>
  <c r="AG15"/>
  <c r="AJ16"/>
  <c r="AS16"/>
  <c r="AQ16"/>
  <c r="AG14"/>
  <c r="AT14"/>
  <c r="AI36"/>
  <c r="AJ15"/>
  <c r="AR15"/>
  <c r="AS15"/>
  <c r="AS14"/>
  <c r="AR14"/>
  <c r="AG13"/>
  <c r="AG12"/>
  <c r="AJ13"/>
  <c r="AR13"/>
  <c r="AQ13"/>
  <c r="AS13"/>
  <c r="AJ12"/>
  <c r="AQ12"/>
  <c r="AR12"/>
  <c r="AT12"/>
  <c r="AQ11"/>
  <c r="AG11"/>
  <c r="AR10"/>
  <c r="AS11"/>
  <c r="AT10"/>
  <c r="AQ10"/>
  <c r="AG10"/>
  <c r="AG9"/>
  <c r="AG8"/>
  <c r="AQ9"/>
  <c r="AR9"/>
  <c r="AS9"/>
  <c r="AT9"/>
  <c r="AJ7"/>
  <c r="AR8"/>
  <c r="AQ8"/>
  <c r="AT8"/>
  <c r="AS8"/>
  <c r="AR7"/>
  <c r="AQ7"/>
  <c r="AJ6"/>
  <c r="AR6"/>
  <c r="AT6"/>
  <c r="AT7"/>
  <c r="AS7"/>
  <c r="AG7"/>
  <c r="AG6"/>
  <c r="AQ6"/>
  <c r="AG5"/>
  <c r="AO36"/>
  <c r="AN36"/>
  <c r="AJ4"/>
  <c r="AJ5"/>
  <c r="AQ5"/>
  <c r="AT5"/>
  <c r="AS3"/>
  <c r="AR3"/>
  <c r="AJ3" i="10"/>
  <c r="AK36" i="9"/>
  <c r="AM36"/>
  <c r="AL36"/>
  <c r="AT4"/>
  <c r="AS4"/>
  <c r="AR4"/>
  <c r="AQ4"/>
  <c r="AH36"/>
  <c r="AG33" i="8"/>
  <c r="AG3" i="9"/>
  <c r="AQ3"/>
  <c r="AT3"/>
  <c r="AR33" i="8"/>
  <c r="AQ33"/>
  <c r="AT33"/>
  <c r="AS33"/>
  <c r="AJ32"/>
  <c r="AT32"/>
  <c r="AQ31"/>
  <c r="AS31"/>
  <c r="AQ32"/>
  <c r="AG31"/>
  <c r="AT31"/>
  <c r="AR31"/>
  <c r="AJ29"/>
  <c r="AJ30"/>
  <c r="AR30"/>
  <c r="AQ29"/>
  <c r="AT29"/>
  <c r="AG29"/>
  <c r="AG30"/>
  <c r="AG28"/>
  <c r="AS29"/>
  <c r="AR28"/>
  <c r="AT28"/>
  <c r="AR29"/>
  <c r="AG27"/>
  <c r="AS28"/>
  <c r="AQ28"/>
  <c r="AJ27"/>
  <c r="AS27"/>
  <c r="AR27"/>
  <c r="AJ26"/>
  <c r="AQ26"/>
  <c r="AG25"/>
  <c r="AR26"/>
  <c r="AG24"/>
  <c r="AJ25"/>
  <c r="AQ25"/>
  <c r="AJ24"/>
  <c r="AR24"/>
  <c r="AQ23"/>
  <c r="AS23"/>
  <c r="AS24"/>
  <c r="AT23"/>
  <c r="AR23"/>
  <c r="AG22"/>
  <c r="AG23"/>
  <c r="AJ21"/>
  <c r="AR21"/>
  <c r="AJ22"/>
  <c r="AT22"/>
  <c r="AS21"/>
  <c r="AQ21"/>
  <c r="AS22"/>
  <c r="AQ22"/>
  <c r="AG21"/>
  <c r="AG20"/>
  <c r="AT21"/>
  <c r="AJ19"/>
  <c r="AJ20"/>
  <c r="AQ20"/>
  <c r="AQ19"/>
  <c r="AS19"/>
  <c r="AT19"/>
  <c r="AR20"/>
  <c r="AT20"/>
  <c r="AG19"/>
  <c r="AQ18"/>
  <c r="AR19"/>
  <c r="AG18"/>
  <c r="AG17"/>
  <c r="AR18"/>
  <c r="AQ17"/>
  <c r="AS17"/>
  <c r="AS18"/>
  <c r="AG16"/>
  <c r="AT17"/>
  <c r="AR17"/>
  <c r="AG15"/>
  <c r="AT16"/>
  <c r="AS16"/>
  <c r="AR16"/>
  <c r="AQ16"/>
  <c r="AG14"/>
  <c r="AQ15"/>
  <c r="AR15"/>
  <c r="AS15"/>
  <c r="AT15"/>
  <c r="AQ14"/>
  <c r="AS13"/>
  <c r="AQ13"/>
  <c r="AR13"/>
  <c r="AS14"/>
  <c r="AT13"/>
  <c r="AJ12"/>
  <c r="AT12"/>
  <c r="AQ12"/>
  <c r="AG12"/>
  <c r="AG11"/>
  <c r="AT10"/>
  <c r="AJ11"/>
  <c r="AS11"/>
  <c r="AR11"/>
  <c r="AQ10"/>
  <c r="AS10"/>
  <c r="AG10"/>
  <c r="AG9"/>
  <c r="AR8"/>
  <c r="AG8"/>
  <c r="AJ9"/>
  <c r="AQ9"/>
  <c r="AS8"/>
  <c r="AI36"/>
  <c r="AQ8"/>
  <c r="AL36"/>
  <c r="AQ7"/>
  <c r="AR7"/>
  <c r="AS7"/>
  <c r="AT7"/>
  <c r="AG7"/>
  <c r="AG5"/>
  <c r="AJ5"/>
  <c r="AJ6"/>
  <c r="AT6"/>
  <c r="AQ6"/>
  <c r="AO36"/>
  <c r="AN36"/>
  <c r="AJ4"/>
  <c r="AS5"/>
  <c r="AT5"/>
  <c r="AQ5"/>
  <c r="AR5"/>
  <c r="AT4"/>
  <c r="AR4"/>
  <c r="AQ4"/>
  <c r="AH36"/>
  <c r="AG3"/>
  <c r="AM36"/>
  <c r="AS4"/>
  <c r="AJ33" i="7"/>
  <c r="AR33"/>
  <c r="AQ33"/>
  <c r="AS33"/>
  <c r="AS32"/>
  <c r="AR32"/>
  <c r="AG32"/>
  <c r="AG33"/>
  <c r="AG31"/>
  <c r="AQ32"/>
  <c r="AT32"/>
  <c r="AR31"/>
  <c r="AQ31"/>
  <c r="AT31"/>
  <c r="AS31"/>
  <c r="AR30"/>
  <c r="AG29"/>
  <c r="AG30"/>
  <c r="AQ30"/>
  <c r="AT30"/>
  <c r="AG28"/>
  <c r="AR29"/>
  <c r="AQ29"/>
  <c r="AT29"/>
  <c r="AS29"/>
  <c r="AJ28"/>
  <c r="AQ28"/>
  <c r="AG27"/>
  <c r="AG26"/>
  <c r="AJ26"/>
  <c r="AS26"/>
  <c r="AJ27"/>
  <c r="AQ27"/>
  <c r="AQ26"/>
  <c r="AR27"/>
  <c r="AT26"/>
  <c r="AG25"/>
  <c r="AJ25"/>
  <c r="AR25"/>
  <c r="AS25"/>
  <c r="AG24"/>
  <c r="AS24"/>
  <c r="AR23"/>
  <c r="AS23"/>
  <c r="AT23"/>
  <c r="AR24"/>
  <c r="AG23"/>
  <c r="AJ22"/>
  <c r="AQ22"/>
  <c r="AT22"/>
  <c r="AQ23"/>
  <c r="AR21"/>
  <c r="AS21"/>
  <c r="AG22"/>
  <c r="AG20"/>
  <c r="AG21"/>
  <c r="AJ20"/>
  <c r="AS20"/>
  <c r="AR20"/>
  <c r="AQ21"/>
  <c r="AR19"/>
  <c r="AT20"/>
  <c r="AG19"/>
  <c r="AG18"/>
  <c r="AS19"/>
  <c r="AQ19"/>
  <c r="AJ17"/>
  <c r="AJ18"/>
  <c r="AS18"/>
  <c r="AR18"/>
  <c r="AQ16"/>
  <c r="AG16"/>
  <c r="AR17"/>
  <c r="AQ17"/>
  <c r="AT17"/>
  <c r="AS17"/>
  <c r="AG15"/>
  <c r="AJ15"/>
  <c r="AS16"/>
  <c r="AR15"/>
  <c r="AT15"/>
  <c r="AR16"/>
  <c r="AG14"/>
  <c r="AM36"/>
  <c r="AS15"/>
  <c r="AQ15"/>
  <c r="AS14"/>
  <c r="AT14"/>
  <c r="AQ14"/>
  <c r="AR14"/>
  <c r="AG12"/>
  <c r="AJ13"/>
  <c r="AT13"/>
  <c r="AS13"/>
  <c r="AQ13"/>
  <c r="AJ12"/>
  <c r="AS12"/>
  <c r="AT12"/>
  <c r="AG10"/>
  <c r="AJ11"/>
  <c r="AR11"/>
  <c r="AJ10"/>
  <c r="AS10"/>
  <c r="AR10"/>
  <c r="AG9"/>
  <c r="AJ9"/>
  <c r="AR9"/>
  <c r="AL36"/>
  <c r="AJ8"/>
  <c r="AQ8"/>
  <c r="AR7"/>
  <c r="AS7"/>
  <c r="AG6"/>
  <c r="AO36"/>
  <c r="AN36"/>
  <c r="AJ6"/>
  <c r="AS6"/>
  <c r="AT6"/>
  <c r="AR6"/>
  <c r="AH36"/>
  <c r="AG5"/>
  <c r="AI36"/>
  <c r="AJ4"/>
  <c r="AR4"/>
  <c r="AJ5"/>
  <c r="AR5"/>
  <c r="AQ5"/>
  <c r="AT5"/>
  <c r="AS5"/>
  <c r="AJ3" i="8"/>
  <c r="AG4" i="7"/>
  <c r="AQ4"/>
  <c r="AG3"/>
  <c r="AQ33" i="6"/>
  <c r="AJ32"/>
  <c r="AR33"/>
  <c r="AR32"/>
  <c r="AT32"/>
  <c r="AS32"/>
  <c r="AT33"/>
  <c r="AG31"/>
  <c r="AG32"/>
  <c r="AQ32"/>
  <c r="AJ31"/>
  <c r="AQ31"/>
  <c r="AT31"/>
  <c r="AG30"/>
  <c r="AG29"/>
  <c r="AJ30"/>
  <c r="AR30"/>
  <c r="AQ30"/>
  <c r="AT30"/>
  <c r="AS30"/>
  <c r="AJ29"/>
  <c r="AS29"/>
  <c r="AR29"/>
  <c r="AG28"/>
  <c r="AJ27"/>
  <c r="AJ28"/>
  <c r="AT28"/>
  <c r="AQ28"/>
  <c r="AQ27"/>
  <c r="AR27"/>
  <c r="AS27"/>
  <c r="AT27"/>
  <c r="AG27"/>
  <c r="AG26"/>
  <c r="AJ26"/>
  <c r="AT26"/>
  <c r="AS26"/>
  <c r="AQ26"/>
  <c r="AG25"/>
  <c r="AS25"/>
  <c r="AT25"/>
  <c r="AQ25"/>
  <c r="AR25"/>
  <c r="AG24"/>
  <c r="AJ23"/>
  <c r="AJ24"/>
  <c r="AR24"/>
  <c r="AG23"/>
  <c r="AG22"/>
  <c r="AS23"/>
  <c r="AT23"/>
  <c r="AQ23"/>
  <c r="AR23"/>
  <c r="AJ21"/>
  <c r="AJ22"/>
  <c r="AR22"/>
  <c r="AG21"/>
  <c r="AR20"/>
  <c r="AS21"/>
  <c r="AT21"/>
  <c r="AQ21"/>
  <c r="AR21"/>
  <c r="AG19"/>
  <c r="AS19"/>
  <c r="AR19"/>
  <c r="AQ20"/>
  <c r="AQ19"/>
  <c r="AT19"/>
  <c r="AG18"/>
  <c r="AJ18"/>
  <c r="AR18"/>
  <c r="AS18"/>
  <c r="AG17"/>
  <c r="AJ17"/>
  <c r="AS17"/>
  <c r="AR16"/>
  <c r="AS16"/>
  <c r="AR17"/>
  <c r="AT16"/>
  <c r="AJ15"/>
  <c r="AT15"/>
  <c r="AQ16"/>
  <c r="AG16"/>
  <c r="AG15"/>
  <c r="AS15"/>
  <c r="AQ15"/>
  <c r="AG14"/>
  <c r="AJ14"/>
  <c r="AR14"/>
  <c r="AS14"/>
  <c r="AG12"/>
  <c r="AG13"/>
  <c r="AJ13"/>
  <c r="AQ13"/>
  <c r="AT13"/>
  <c r="AJ12"/>
  <c r="AR12"/>
  <c r="AS12"/>
  <c r="AG11"/>
  <c r="AJ11"/>
  <c r="AS11"/>
  <c r="AR11"/>
  <c r="AG9"/>
  <c r="AG10"/>
  <c r="AJ10"/>
  <c r="AT10"/>
  <c r="AQ10"/>
  <c r="AG8"/>
  <c r="AJ8"/>
  <c r="AJ9"/>
  <c r="AQ9"/>
  <c r="AT9"/>
  <c r="AT8"/>
  <c r="AS8"/>
  <c r="AR8"/>
  <c r="AQ8"/>
  <c r="AM36"/>
  <c r="AJ6"/>
  <c r="AR6"/>
  <c r="AQ7"/>
  <c r="AR7"/>
  <c r="AS7"/>
  <c r="AT7"/>
  <c r="AT6"/>
  <c r="AH36"/>
  <c r="AG7"/>
  <c r="AO36"/>
  <c r="AN36"/>
  <c r="AL36"/>
  <c r="AS6"/>
  <c r="AQ6"/>
  <c r="AG5"/>
  <c r="AG6"/>
  <c r="AJ5"/>
  <c r="AS5"/>
  <c r="AT5"/>
  <c r="AQ5"/>
  <c r="AR5"/>
  <c r="AG4"/>
  <c r="AJ3" i="7"/>
  <c r="AI36" i="6"/>
  <c r="AJ4"/>
  <c r="AT4"/>
  <c r="AJ32" i="5"/>
  <c r="AQ32"/>
  <c r="AG29"/>
  <c r="AG30"/>
  <c r="AJ29"/>
  <c r="AQ29"/>
  <c r="AG28"/>
  <c r="AG25"/>
  <c r="AJ25"/>
  <c r="AS25"/>
  <c r="AG24"/>
  <c r="AG22"/>
  <c r="AJ21"/>
  <c r="AG20"/>
  <c r="AG21"/>
  <c r="AG18"/>
  <c r="AG17"/>
  <c r="AG13"/>
  <c r="AG12"/>
  <c r="AG10"/>
  <c r="AG9"/>
  <c r="AK36"/>
  <c r="AS4"/>
  <c r="AG11"/>
  <c r="AJ11"/>
  <c r="AT11"/>
  <c r="AG15"/>
  <c r="AJ15"/>
  <c r="AT15"/>
  <c r="AG19"/>
  <c r="AJ19"/>
  <c r="AT19"/>
  <c r="AG23"/>
  <c r="AJ23"/>
  <c r="AT23"/>
  <c r="AG27"/>
  <c r="AJ27"/>
  <c r="AT27"/>
  <c r="AG31"/>
  <c r="AJ31"/>
  <c r="AS31"/>
  <c r="AG33"/>
  <c r="AJ33"/>
  <c r="AG8"/>
  <c r="AS9"/>
  <c r="AT9"/>
  <c r="AS13"/>
  <c r="AT13"/>
  <c r="AS17"/>
  <c r="AT17"/>
  <c r="AS21"/>
  <c r="AT21"/>
  <c r="AR29"/>
  <c r="AS7"/>
  <c r="AT7"/>
  <c r="AS11"/>
  <c r="AG7"/>
  <c r="AG6"/>
  <c r="AN36"/>
  <c r="AT32"/>
  <c r="AH36"/>
  <c r="AJ8"/>
  <c r="AS8"/>
  <c r="AS10"/>
  <c r="AJ12"/>
  <c r="AS12"/>
  <c r="AJ14"/>
  <c r="AS14"/>
  <c r="AJ16"/>
  <c r="AS16"/>
  <c r="AJ18"/>
  <c r="AS18"/>
  <c r="AJ20"/>
  <c r="AS20"/>
  <c r="AJ22"/>
  <c r="AS22"/>
  <c r="AJ24"/>
  <c r="AS24"/>
  <c r="AJ26"/>
  <c r="AS26"/>
  <c r="AJ28"/>
  <c r="AS28"/>
  <c r="AJ30"/>
  <c r="AS30"/>
  <c r="AJ3" i="6"/>
  <c r="AS3"/>
  <c r="AQ10" i="5"/>
  <c r="AR16"/>
  <c r="AQ18"/>
  <c r="AR30"/>
  <c r="AR33"/>
  <c r="AT30"/>
  <c r="AR7"/>
  <c r="AQ7"/>
  <c r="AR9"/>
  <c r="AQ9"/>
  <c r="AR11"/>
  <c r="AR13"/>
  <c r="AQ13"/>
  <c r="AR17"/>
  <c r="AQ17"/>
  <c r="AR21"/>
  <c r="AQ21"/>
  <c r="AR27"/>
  <c r="AR32"/>
  <c r="AS32"/>
  <c r="AI36"/>
  <c r="AL3"/>
  <c r="AL36"/>
  <c r="AG3" i="6"/>
  <c r="AO36" i="5"/>
  <c r="AM36"/>
  <c r="AJ5"/>
  <c r="AT5"/>
  <c r="AG5"/>
  <c r="AR4"/>
  <c r="AG4"/>
  <c r="AQ4"/>
  <c r="AT4"/>
  <c r="AJ33" i="4"/>
  <c r="AJ32"/>
  <c r="AS32"/>
  <c r="AG32"/>
  <c r="AJ31"/>
  <c r="AR31"/>
  <c r="AG30"/>
  <c r="AJ29"/>
  <c r="AJ30"/>
  <c r="AQ30"/>
  <c r="AS29"/>
  <c r="AQ29"/>
  <c r="AJ28"/>
  <c r="AT28"/>
  <c r="AG28"/>
  <c r="AJ26"/>
  <c r="AR26"/>
  <c r="AJ27"/>
  <c r="AQ27"/>
  <c r="AG26"/>
  <c r="AG25"/>
  <c r="AG24"/>
  <c r="AJ24"/>
  <c r="AS24"/>
  <c r="AJ20"/>
  <c r="AR20"/>
  <c r="AJ23"/>
  <c r="AR23"/>
  <c r="AG22"/>
  <c r="AG21"/>
  <c r="AJ22"/>
  <c r="AG20"/>
  <c r="AJ21"/>
  <c r="AS21"/>
  <c r="AJ19"/>
  <c r="AR19"/>
  <c r="AJ17"/>
  <c r="AG18"/>
  <c r="AG17"/>
  <c r="AG16"/>
  <c r="AJ16"/>
  <c r="AS16"/>
  <c r="AR29"/>
  <c r="AG3" i="5"/>
  <c r="AJ15" i="4"/>
  <c r="AR15"/>
  <c r="AG14"/>
  <c r="AT16"/>
  <c r="AT24"/>
  <c r="AR24"/>
  <c r="AT32"/>
  <c r="AS13"/>
  <c r="AT13"/>
  <c r="AQ13"/>
  <c r="AR13"/>
  <c r="AS17"/>
  <c r="AT17"/>
  <c r="AQ17"/>
  <c r="AR17"/>
  <c r="AS25"/>
  <c r="AT25"/>
  <c r="AQ25"/>
  <c r="AR25"/>
  <c r="AS33"/>
  <c r="AT33"/>
  <c r="AQ33"/>
  <c r="AR33"/>
  <c r="AJ3" i="5"/>
  <c r="AS3"/>
  <c r="AS28" i="4"/>
  <c r="AT29"/>
  <c r="AG13"/>
  <c r="AJ12"/>
  <c r="AT12"/>
  <c r="AG12"/>
  <c r="AG10"/>
  <c r="AS20" i="2"/>
  <c r="AR20"/>
  <c r="AQ20"/>
  <c r="AT20"/>
  <c r="AJ35"/>
  <c r="AQ16"/>
  <c r="AS16"/>
  <c r="AR16"/>
  <c r="AQ11"/>
  <c r="AS11"/>
  <c r="AR11"/>
  <c r="AS13"/>
  <c r="AR13"/>
  <c r="AR18"/>
  <c r="AT18"/>
  <c r="AQ22"/>
  <c r="AS22"/>
  <c r="AR22"/>
  <c r="AS24"/>
  <c r="AQ24"/>
  <c r="AT24"/>
  <c r="AS32"/>
  <c r="AR32"/>
  <c r="AT32"/>
  <c r="AS3"/>
  <c r="AR7"/>
  <c r="AS23"/>
  <c r="AQ19"/>
  <c r="AT7"/>
  <c r="AS4"/>
  <c r="AT4"/>
  <c r="AT5"/>
  <c r="AQ7"/>
  <c r="AS10"/>
  <c r="AQ13"/>
  <c r="AR15"/>
  <c r="AT16"/>
  <c r="AQ18"/>
  <c r="AR24"/>
  <c r="AQ26"/>
  <c r="AQ12"/>
  <c r="AT12"/>
  <c r="AS12"/>
  <c r="AS14"/>
  <c r="AQ14"/>
  <c r="AS18"/>
  <c r="AQ21"/>
  <c r="AT21"/>
  <c r="AQ25"/>
  <c r="AS25"/>
  <c r="AR27"/>
  <c r="AQ27"/>
  <c r="AS27"/>
  <c r="AR31"/>
  <c r="AT31"/>
  <c r="AL3" i="3"/>
  <c r="AG3"/>
  <c r="AJ3"/>
  <c r="AJ10" i="4"/>
  <c r="AR10"/>
  <c r="AS9"/>
  <c r="AR9"/>
  <c r="AQ9"/>
  <c r="AG9"/>
  <c r="AT9"/>
  <c r="AG8"/>
  <c r="AJ8"/>
  <c r="AR8"/>
  <c r="AG6"/>
  <c r="AK36"/>
  <c r="AJ7"/>
  <c r="AQ7"/>
  <c r="AH36"/>
  <c r="AM36"/>
  <c r="AJ6"/>
  <c r="AQ6"/>
  <c r="AO36"/>
  <c r="AI36"/>
  <c r="AJ5"/>
  <c r="AS5"/>
  <c r="AG5"/>
  <c r="AR7"/>
  <c r="AT7"/>
  <c r="AS10"/>
  <c r="AR18"/>
  <c r="AQ18"/>
  <c r="AT18"/>
  <c r="AS18"/>
  <c r="AQ23"/>
  <c r="AS23"/>
  <c r="AQ26"/>
  <c r="AS26"/>
  <c r="AQ31"/>
  <c r="AQ11"/>
  <c r="AR11"/>
  <c r="AS11"/>
  <c r="AT11"/>
  <c r="AR14"/>
  <c r="AQ14"/>
  <c r="AT14"/>
  <c r="AS14"/>
  <c r="AS19"/>
  <c r="AR22"/>
  <c r="AQ22"/>
  <c r="AT22"/>
  <c r="AS22"/>
  <c r="AR27"/>
  <c r="AT27"/>
  <c r="AR30"/>
  <c r="AT30"/>
  <c r="AL3"/>
  <c r="AL36"/>
  <c r="AN36"/>
  <c r="AG7"/>
  <c r="AG11"/>
  <c r="AG15"/>
  <c r="AG19"/>
  <c r="AG23"/>
  <c r="AG27"/>
  <c r="AG31"/>
  <c r="AG4"/>
  <c r="AG3"/>
  <c r="AJ4"/>
  <c r="AR4"/>
  <c r="AJ3"/>
  <c r="AG33" i="3"/>
  <c r="AJ32"/>
  <c r="AR32"/>
  <c r="AJ33"/>
  <c r="AT33"/>
  <c r="AS32"/>
  <c r="AT32"/>
  <c r="AR33"/>
  <c r="AQ33"/>
  <c r="AG32"/>
  <c r="AR31"/>
  <c r="AT31"/>
  <c r="AQ32"/>
  <c r="AS31"/>
  <c r="AJ30"/>
  <c r="AQ31"/>
  <c r="AG30"/>
  <c r="AR30"/>
  <c r="AS30"/>
  <c r="AQ30"/>
  <c r="AT30"/>
  <c r="AG29"/>
  <c r="AJ28"/>
  <c r="AJ29"/>
  <c r="AT29"/>
  <c r="AG27"/>
  <c r="AS28"/>
  <c r="AR28"/>
  <c r="AT28"/>
  <c r="AQ28"/>
  <c r="AG28"/>
  <c r="AJ27"/>
  <c r="AT27"/>
  <c r="AJ26"/>
  <c r="AQ26"/>
  <c r="AG26"/>
  <c r="AS26"/>
  <c r="AG25"/>
  <c r="AJ25"/>
  <c r="AS25"/>
  <c r="AJ24"/>
  <c r="AS24"/>
  <c r="AQ24"/>
  <c r="AT24"/>
  <c r="AT23"/>
  <c r="AS23"/>
  <c r="AG23"/>
  <c r="AG24"/>
  <c r="AJ22"/>
  <c r="AR22"/>
  <c r="AS21"/>
  <c r="AQ23"/>
  <c r="AR23"/>
  <c r="AG21"/>
  <c r="AG22"/>
  <c r="AS22"/>
  <c r="AQ21"/>
  <c r="AT21"/>
  <c r="AJ20"/>
  <c r="AT20"/>
  <c r="AQ20"/>
  <c r="AS19"/>
  <c r="AR19"/>
  <c r="AQ19"/>
  <c r="AT19"/>
  <c r="AG20"/>
  <c r="AT18"/>
  <c r="AS18"/>
  <c r="AQ18"/>
  <c r="AI36"/>
  <c r="AR18"/>
  <c r="AG18"/>
  <c r="AG17"/>
  <c r="AJ16"/>
  <c r="AJ17"/>
  <c r="AT17"/>
  <c r="AS17"/>
  <c r="AR16"/>
  <c r="AS16"/>
  <c r="AQ16"/>
  <c r="AT16"/>
  <c r="AG16"/>
  <c r="AG15"/>
  <c r="AG14"/>
  <c r="AJ15"/>
  <c r="AR15"/>
  <c r="AS15"/>
  <c r="AQ15"/>
  <c r="AN36"/>
  <c r="AQ14"/>
  <c r="AT14"/>
  <c r="AR14"/>
  <c r="AS14"/>
  <c r="AG13"/>
  <c r="AJ13"/>
  <c r="AQ13"/>
  <c r="AG12"/>
  <c r="AJ12"/>
  <c r="AS12"/>
  <c r="AR11"/>
  <c r="AM36"/>
  <c r="AJ10"/>
  <c r="AS10"/>
  <c r="AG10"/>
  <c r="AJ9"/>
  <c r="AT9"/>
  <c r="AG9"/>
  <c r="AO36"/>
  <c r="AL36"/>
  <c r="AQ8"/>
  <c r="AJ7"/>
  <c r="AT8"/>
  <c r="AR8"/>
  <c r="AG7"/>
  <c r="AG8"/>
  <c r="AJ6"/>
  <c r="AS6"/>
  <c r="AR7"/>
  <c r="AT7"/>
  <c r="AQ7"/>
  <c r="AS7"/>
  <c r="AH36"/>
  <c r="AS5"/>
  <c r="AR6"/>
  <c r="AR5"/>
  <c r="AT5"/>
  <c r="AT6"/>
  <c r="AQ6"/>
  <c r="AG6"/>
  <c r="AR32" i="10"/>
  <c r="AQ32"/>
  <c r="AS30"/>
  <c r="AR30"/>
  <c r="AT30"/>
  <c r="AS29"/>
  <c r="AT29"/>
  <c r="AQ28"/>
  <c r="AT28"/>
  <c r="AQ27"/>
  <c r="AR27"/>
  <c r="AQ25"/>
  <c r="AQ22"/>
  <c r="AS22"/>
  <c r="AT22"/>
  <c r="AR21"/>
  <c r="AT21"/>
  <c r="AS21"/>
  <c r="AQ19"/>
  <c r="AT19"/>
  <c r="AT18"/>
  <c r="AQ18"/>
  <c r="AR18"/>
  <c r="AS17"/>
  <c r="AT13"/>
  <c r="AR13"/>
  <c r="AS14"/>
  <c r="AT14"/>
  <c r="AQ13"/>
  <c r="AT11"/>
  <c r="AS11"/>
  <c r="AQ10"/>
  <c r="AR8"/>
  <c r="AT7"/>
  <c r="AQ7"/>
  <c r="AR5"/>
  <c r="AS5"/>
  <c r="AS36" i="11"/>
  <c r="AT36"/>
  <c r="AQ36"/>
  <c r="AR36"/>
  <c r="AR31" i="9"/>
  <c r="AR29"/>
  <c r="AT28"/>
  <c r="AQ28"/>
  <c r="AQ22"/>
  <c r="AQ21"/>
  <c r="AS20"/>
  <c r="AT20"/>
  <c r="AQ17"/>
  <c r="AT17"/>
  <c r="AR16"/>
  <c r="AT16"/>
  <c r="AQ15"/>
  <c r="AT15"/>
  <c r="AT13"/>
  <c r="AS12"/>
  <c r="AS6"/>
  <c r="AJ36"/>
  <c r="AS36"/>
  <c r="AR5"/>
  <c r="AS5"/>
  <c r="AJ36" i="10"/>
  <c r="AQ3"/>
  <c r="AR3"/>
  <c r="AS3"/>
  <c r="AT3"/>
  <c r="AS32" i="8"/>
  <c r="AR32"/>
  <c r="AS30"/>
  <c r="AQ30"/>
  <c r="AT30"/>
  <c r="AT27"/>
  <c r="AQ27"/>
  <c r="AS26"/>
  <c r="AT25"/>
  <c r="AT26"/>
  <c r="AR25"/>
  <c r="AS25"/>
  <c r="AQ24"/>
  <c r="AT24"/>
  <c r="AR22"/>
  <c r="AS20"/>
  <c r="AS12"/>
  <c r="AR12"/>
  <c r="AT11"/>
  <c r="AQ11"/>
  <c r="AT9"/>
  <c r="AR9"/>
  <c r="AS9"/>
  <c r="AS6"/>
  <c r="AR6"/>
  <c r="AT33" i="7"/>
  <c r="AT28"/>
  <c r="AR28"/>
  <c r="AT27"/>
  <c r="AS28"/>
  <c r="AS27"/>
  <c r="AR26"/>
  <c r="AQ25"/>
  <c r="AT25"/>
  <c r="AR22"/>
  <c r="AS22"/>
  <c r="AQ20"/>
  <c r="AT18"/>
  <c r="AQ18"/>
  <c r="AR13"/>
  <c r="AR12"/>
  <c r="AQ12"/>
  <c r="AS11"/>
  <c r="AQ11"/>
  <c r="AT11"/>
  <c r="AT10"/>
  <c r="AS9"/>
  <c r="AQ10"/>
  <c r="AQ9"/>
  <c r="AT8"/>
  <c r="AT9"/>
  <c r="AR8"/>
  <c r="AS8"/>
  <c r="AS4"/>
  <c r="AQ6"/>
  <c r="AT4"/>
  <c r="AS3" i="8"/>
  <c r="AT3"/>
  <c r="AJ36"/>
  <c r="AQ3"/>
  <c r="AR3"/>
  <c r="AR31" i="6"/>
  <c r="AS31"/>
  <c r="AT29"/>
  <c r="AQ29"/>
  <c r="AS28"/>
  <c r="AR28"/>
  <c r="AR26"/>
  <c r="AS24"/>
  <c r="AQ24"/>
  <c r="AT24"/>
  <c r="AS22"/>
  <c r="AQ22"/>
  <c r="AT22"/>
  <c r="AQ18"/>
  <c r="AT17"/>
  <c r="AQ17"/>
  <c r="AT18"/>
  <c r="AR15"/>
  <c r="AQ14"/>
  <c r="AT14"/>
  <c r="AR13"/>
  <c r="AS13"/>
  <c r="AQ12"/>
  <c r="AT11"/>
  <c r="AT12"/>
  <c r="AQ11"/>
  <c r="AS10"/>
  <c r="AR10"/>
  <c r="AR9"/>
  <c r="AS9"/>
  <c r="AQ4"/>
  <c r="AS4"/>
  <c r="AT3" i="7"/>
  <c r="AS3"/>
  <c r="AJ36"/>
  <c r="AR3"/>
  <c r="AQ3"/>
  <c r="AR4" i="6"/>
  <c r="AQ31" i="5"/>
  <c r="AT31"/>
  <c r="AQ30"/>
  <c r="AT29"/>
  <c r="AS29"/>
  <c r="AS27"/>
  <c r="AR26"/>
  <c r="AQ25"/>
  <c r="AT26"/>
  <c r="AQ26"/>
  <c r="AT25"/>
  <c r="AR25"/>
  <c r="AR23"/>
  <c r="AT22"/>
  <c r="AR22"/>
  <c r="AS23"/>
  <c r="AQ22"/>
  <c r="AR19"/>
  <c r="AS19"/>
  <c r="AT18"/>
  <c r="AR18"/>
  <c r="AR15"/>
  <c r="AS15"/>
  <c r="AR14"/>
  <c r="AT14"/>
  <c r="AQ14"/>
  <c r="AQ5"/>
  <c r="AR24"/>
  <c r="AT10"/>
  <c r="AR10"/>
  <c r="AS33"/>
  <c r="AQ33"/>
  <c r="AQ27"/>
  <c r="AQ23"/>
  <c r="AQ19"/>
  <c r="AQ15"/>
  <c r="AQ11"/>
  <c r="AT33"/>
  <c r="AR28"/>
  <c r="AR20"/>
  <c r="AR12"/>
  <c r="AR31"/>
  <c r="AR8"/>
  <c r="AT8"/>
  <c r="AT12"/>
  <c r="AT16"/>
  <c r="AT20"/>
  <c r="AT24"/>
  <c r="AT28"/>
  <c r="AR3" i="6"/>
  <c r="AQ28" i="5"/>
  <c r="AQ24"/>
  <c r="AQ16"/>
  <c r="AQ12"/>
  <c r="AQ8"/>
  <c r="AT6"/>
  <c r="AQ6"/>
  <c r="AS6"/>
  <c r="AS5"/>
  <c r="AR6"/>
  <c r="AR5"/>
  <c r="AJ36" i="6"/>
  <c r="AT3"/>
  <c r="AQ3"/>
  <c r="AR32" i="4"/>
  <c r="AQ32"/>
  <c r="AS31"/>
  <c r="AT31"/>
  <c r="AS30"/>
  <c r="AR28"/>
  <c r="AQ28"/>
  <c r="AS27"/>
  <c r="AT26"/>
  <c r="AQ24"/>
  <c r="AS20"/>
  <c r="AQ19"/>
  <c r="AT20"/>
  <c r="AR21"/>
  <c r="AQ20"/>
  <c r="AQ21"/>
  <c r="AT23"/>
  <c r="AT21"/>
  <c r="AT19"/>
  <c r="AR16"/>
  <c r="AS15"/>
  <c r="AQ15"/>
  <c r="AR6"/>
  <c r="AT15"/>
  <c r="AQ10"/>
  <c r="AS7"/>
  <c r="AR5"/>
  <c r="AR3" i="5"/>
  <c r="AT3"/>
  <c r="AQ3"/>
  <c r="AJ36"/>
  <c r="AQ12" i="4"/>
  <c r="AS12"/>
  <c r="AR12"/>
  <c r="AT10"/>
  <c r="AT35" i="2"/>
  <c r="AR35"/>
  <c r="AS35"/>
  <c r="AQ35"/>
  <c r="AS3" i="3"/>
  <c r="AQ3"/>
  <c r="AT3"/>
  <c r="AR3"/>
  <c r="AS8" i="4"/>
  <c r="AQ8"/>
  <c r="AT8"/>
  <c r="AT6"/>
  <c r="AS6"/>
  <c r="AT5"/>
  <c r="AQ5"/>
  <c r="AS4"/>
  <c r="AQ4"/>
  <c r="AJ36"/>
  <c r="AR36"/>
  <c r="AT4"/>
  <c r="AQ3"/>
  <c r="AT3"/>
  <c r="AS3"/>
  <c r="AR3"/>
  <c r="AS33" i="3"/>
  <c r="AQ29"/>
  <c r="AS29"/>
  <c r="AR29"/>
  <c r="AQ27"/>
  <c r="AR27"/>
  <c r="AS27"/>
  <c r="AT26"/>
  <c r="AQ25"/>
  <c r="AR26"/>
  <c r="AR25"/>
  <c r="AT25"/>
  <c r="AR24"/>
  <c r="AQ22"/>
  <c r="AT22"/>
  <c r="AR20"/>
  <c r="AS20"/>
  <c r="AR17"/>
  <c r="AQ17"/>
  <c r="AT15"/>
  <c r="AS13"/>
  <c r="AT13"/>
  <c r="AR13"/>
  <c r="AR12"/>
  <c r="AJ36"/>
  <c r="AQ36"/>
  <c r="AQ12"/>
  <c r="AT12"/>
  <c r="AQ10"/>
  <c r="AT10"/>
  <c r="AR10"/>
  <c r="AS9"/>
  <c r="AR9"/>
  <c r="AQ9"/>
  <c r="AQ36" i="9"/>
  <c r="AR36"/>
  <c r="AT36"/>
  <c r="AS36" i="10"/>
  <c r="AT36"/>
  <c r="AQ36"/>
  <c r="AR36"/>
  <c r="AS36" i="8"/>
  <c r="AR36"/>
  <c r="AQ36"/>
  <c r="AT36"/>
  <c r="AS36" i="7"/>
  <c r="AT36"/>
  <c r="AQ36"/>
  <c r="AR36"/>
  <c r="AQ36" i="6"/>
  <c r="AS36"/>
  <c r="AT36"/>
  <c r="AR36"/>
  <c r="AR36" i="5"/>
  <c r="AT36"/>
  <c r="AQ36"/>
  <c r="AS36"/>
  <c r="AS36" i="4"/>
  <c r="AT36"/>
  <c r="AQ36"/>
  <c r="AT36" i="3"/>
  <c r="AR36"/>
  <c r="AS36"/>
</calcChain>
</file>

<file path=xl/comments1.xml><?xml version="1.0" encoding="utf-8"?>
<comments xmlns="http://schemas.openxmlformats.org/spreadsheetml/2006/main">
  <authors>
    <author>admin</author>
  </authors>
  <commentList>
    <comment ref="H9" authorId="0">
      <text>
        <r>
          <rPr>
            <b/>
            <sz val="9"/>
            <color indexed="81"/>
            <rFont val="宋体"/>
            <family val="3"/>
            <charset val="134"/>
          </rPr>
          <t>重置新表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11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</text>
    </comment>
    <comment ref="J18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现场数据</t>
        </r>
      </text>
    </comment>
    <comment ref="J1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24" authorId="0">
      <text>
        <r>
          <rPr>
            <b/>
            <sz val="9"/>
            <color indexed="81"/>
            <rFont val="宋体"/>
            <family val="3"/>
            <charset val="134"/>
          </rPr>
          <t>德宏数据升级中，现场数据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4" authorId="0">
      <text>
        <r>
          <rPr>
            <b/>
            <sz val="9"/>
            <color indexed="81"/>
            <rFont val="宋体"/>
            <family val="3"/>
            <charset val="134"/>
          </rPr>
          <t>德宏数据升级中，现场数据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25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德宏系统升级中，现场数据</t>
        </r>
      </text>
    </comment>
    <comment ref="J25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德宏系统升级中，现场数据</t>
        </r>
      </text>
    </comment>
    <comment ref="I2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德宏系统升级中，现场数据</t>
        </r>
      </text>
    </comment>
    <comment ref="J2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德宏系统升级中，现场数据</t>
        </r>
      </text>
    </comment>
    <comment ref="I27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7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28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8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9" authorId="0">
      <text>
        <r>
          <rPr>
            <b/>
            <sz val="9"/>
            <color indexed="81"/>
            <rFont val="宋体"/>
            <family val="3"/>
            <charset val="134"/>
          </rPr>
          <t>德宏异常，现场数据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31" authorId="0">
      <text>
        <r>
          <rPr>
            <b/>
            <sz val="9"/>
            <color indexed="81"/>
            <rFont val="宋体"/>
            <family val="3"/>
            <charset val="134"/>
          </rPr>
          <t>德宏网站异常，现场数据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31" authorId="0">
      <text>
        <r>
          <rPr>
            <b/>
            <sz val="9"/>
            <color indexed="81"/>
            <rFont val="宋体"/>
            <family val="3"/>
            <charset val="134"/>
          </rPr>
          <t>德宏网站异常，现场数据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I32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德宏异常，现场数据
</t>
        </r>
      </text>
    </comment>
    <comment ref="J32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德宏异常 现在数据
</t>
        </r>
      </text>
    </comment>
    <comment ref="I3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德宏异常，现场数据</t>
        </r>
      </text>
    </comment>
    <comment ref="J3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德宏异常，现场数据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color indexed="81"/>
            <rFont val="宋体"/>
            <family val="3"/>
            <charset val="134"/>
          </rPr>
          <t>现场数据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3" authorId="0">
      <text>
        <r>
          <rPr>
            <sz val="9"/>
            <color indexed="81"/>
            <rFont val="宋体"/>
            <family val="3"/>
            <charset val="134"/>
          </rPr>
          <t xml:space="preserve">德宏异常，现场数据
</t>
        </r>
      </text>
    </comment>
    <comment ref="V8" authorId="0">
      <text>
        <r>
          <rPr>
            <b/>
            <sz val="9"/>
            <color indexed="81"/>
            <rFont val="宋体"/>
            <family val="3"/>
            <charset val="134"/>
          </rPr>
          <t>高配低配换2#自总柜，进水局部进水解池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2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现场数据，德宏无更新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H26" authorId="0">
      <text>
        <r>
          <rPr>
            <sz val="9"/>
            <color indexed="81"/>
            <rFont val="宋体"/>
            <family val="3"/>
            <charset val="134"/>
          </rPr>
          <t xml:space="preserve">更换表数，104305139
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D1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更换流量计 原底数19536010
</t>
        </r>
      </text>
    </comment>
    <comment ref="J1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德宏数据恢复</t>
        </r>
      </text>
    </comment>
    <comment ref="J20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德宏无数据显示，现场数据</t>
        </r>
      </text>
    </comment>
    <comment ref="J2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德宏数据恢复</t>
        </r>
      </text>
    </comment>
    <comment ref="J25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德宏无数据显示，现场数据</t>
        </r>
      </text>
    </comment>
    <comment ref="J2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 现场数据
</t>
        </r>
      </text>
    </comment>
    <comment ref="J27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28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2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30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3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32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德宏未恢复，现场数据</t>
        </r>
      </text>
    </comment>
    <comment ref="J3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网站数据已恢复
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J4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网站未恢复 现场数据
</t>
        </r>
      </text>
    </comment>
    <comment ref="AJ12" authorId="0">
      <text>
        <r>
          <rPr>
            <b/>
            <sz val="9"/>
            <color indexed="81"/>
            <rFont val="宋体"/>
            <family val="3"/>
            <charset val="134"/>
          </rPr>
          <t xml:space="preserve">admin:
滤池反冲洗水泵阀门故障，不能大水量运行
</t>
        </r>
      </text>
    </comment>
    <comment ref="J2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德宏数据恢复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AC32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更换新流量计</t>
        </r>
      </text>
    </comment>
    <comment ref="AD32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更换新流量计</t>
        </r>
      </text>
    </comment>
    <comment ref="E3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更换新流量计</t>
        </r>
      </text>
    </comment>
    <comment ref="J3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现场数据，7月1日网站数据异常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F4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更换新流量计</t>
        </r>
      </text>
    </comment>
    <comment ref="I1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德宏网站异常，现场数据</t>
        </r>
      </text>
    </comment>
    <comment ref="J1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德宏网站异常，现场数据</t>
        </r>
      </text>
    </comment>
    <comment ref="AL1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AQ16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L17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AL17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AQ17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L18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AL18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</t>
        </r>
      </text>
    </comment>
    <comment ref="AQ18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L1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德宏数据更新</t>
        </r>
      </text>
    </comment>
    <comment ref="AL19" authorId="0">
      <text>
        <r>
          <rPr>
            <b/>
            <sz val="9"/>
            <color indexed="81"/>
            <rFont val="宋体"/>
            <family val="3"/>
            <charset val="134"/>
          </rPr>
          <t>德宏数据更新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AP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停水检修，碳源停</t>
        </r>
      </text>
    </comment>
    <comment ref="AP4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停水检修，碳源停</t>
        </r>
      </text>
    </comment>
    <comment ref="J10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德宏数据异常，现场数据</t>
        </r>
      </text>
    </comment>
    <comment ref="I2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德宏无数据，现场数据</t>
        </r>
      </text>
    </comment>
    <comment ref="J29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德宏无数据，现场数据</t>
        </r>
      </text>
    </comment>
  </commentList>
</comments>
</file>

<file path=xl/comments9.xml><?xml version="1.0" encoding="utf-8"?>
<comments xmlns="http://schemas.openxmlformats.org/spreadsheetml/2006/main">
  <authors>
    <author>admin</author>
  </authors>
  <commentList>
    <comment ref="I3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德宏数据未恢复，现场数据</t>
        </r>
      </text>
    </comment>
  </commentList>
</comments>
</file>

<file path=xl/sharedStrings.xml><?xml version="1.0" encoding="utf-8"?>
<sst xmlns="http://schemas.openxmlformats.org/spreadsheetml/2006/main" count="1372" uniqueCount="625">
  <si>
    <t>记录人</t>
  </si>
  <si>
    <t>一期左进水
流量计读数</t>
  </si>
  <si>
    <t>一期右进水
流量计读数</t>
  </si>
  <si>
    <t>二期左进水
流量计读数</t>
  </si>
  <si>
    <t>二期右进水
流量计读数</t>
  </si>
  <si>
    <t>现场出水
流量计读数</t>
  </si>
  <si>
    <t>现场回用水
读数</t>
  </si>
  <si>
    <t>出水流量计
读数（网站）</t>
  </si>
  <si>
    <t>回用水流量
（网站）</t>
  </si>
  <si>
    <t>污泥流量
计读数</t>
  </si>
  <si>
    <t>PAC2#流量计读数</t>
  </si>
  <si>
    <t>PAC3#流量计读数</t>
  </si>
  <si>
    <t>PAM流量
计读数</t>
  </si>
  <si>
    <t>盐酸流量
计读数</t>
  </si>
  <si>
    <t>氯酸钠流
量计读数</t>
  </si>
  <si>
    <t>生反池
水温</t>
  </si>
  <si>
    <t>天气
(阴晴雨)</t>
  </si>
  <si>
    <t>盐酸液位
差（CM）</t>
  </si>
  <si>
    <t>氯酸钠液位差
差（CM）</t>
  </si>
  <si>
    <r>
      <rPr>
        <sz val="9"/>
        <color indexed="8"/>
        <rFont val="微软雅黑"/>
        <family val="2"/>
        <charset val="134"/>
      </rPr>
      <t>最高流量
m</t>
    </r>
    <r>
      <rPr>
        <vertAlign val="superscript"/>
        <sz val="9"/>
        <color indexed="8"/>
        <rFont val="微软雅黑"/>
        <family val="2"/>
        <charset val="134"/>
      </rPr>
      <t>3/</t>
    </r>
    <r>
      <rPr>
        <sz val="9"/>
        <color indexed="8"/>
        <rFont val="微软雅黑"/>
        <family val="2"/>
        <charset val="134"/>
      </rPr>
      <t>h</t>
    </r>
  </si>
  <si>
    <r>
      <rPr>
        <sz val="9"/>
        <color indexed="8"/>
        <rFont val="微软雅黑"/>
        <family val="2"/>
        <charset val="134"/>
      </rPr>
      <t>最低流量
m</t>
    </r>
    <r>
      <rPr>
        <vertAlign val="superscript"/>
        <sz val="9"/>
        <color indexed="8"/>
        <rFont val="微软雅黑"/>
        <family val="2"/>
        <charset val="134"/>
      </rPr>
      <t>3/</t>
    </r>
    <r>
      <rPr>
        <sz val="9"/>
        <color indexed="8"/>
        <rFont val="微软雅黑"/>
        <family val="2"/>
        <charset val="134"/>
      </rPr>
      <t>h</t>
    </r>
  </si>
  <si>
    <t>最高液位
m</t>
  </si>
  <si>
    <t>最低液位
m</t>
  </si>
  <si>
    <t>超液位时
间（分）</t>
  </si>
  <si>
    <t>备注</t>
  </si>
  <si>
    <t>一期左
进水流量</t>
  </si>
  <si>
    <t>一期右
进水流量</t>
  </si>
  <si>
    <t>二期左
进水流量</t>
  </si>
  <si>
    <t>二期右
进水流量</t>
  </si>
  <si>
    <t>现场出水
流量</t>
  </si>
  <si>
    <t>现场回用水
流量</t>
  </si>
  <si>
    <t>进出水
流量差</t>
  </si>
  <si>
    <t>出水流量（网站）</t>
  </si>
  <si>
    <t>回用水流量（网站）</t>
  </si>
  <si>
    <t>实际处理量（网站）</t>
  </si>
  <si>
    <r>
      <rPr>
        <sz val="9"/>
        <color indexed="8"/>
        <rFont val="微软雅黑"/>
        <family val="2"/>
        <charset val="134"/>
      </rPr>
      <t>排泥量
m</t>
    </r>
    <r>
      <rPr>
        <vertAlign val="superscript"/>
        <sz val="9"/>
        <color indexed="8"/>
        <rFont val="微软雅黑"/>
        <family val="2"/>
        <charset val="134"/>
      </rPr>
      <t>3</t>
    </r>
  </si>
  <si>
    <t>PAC量
kg</t>
  </si>
  <si>
    <t>PAM量
kg</t>
  </si>
  <si>
    <t>盐酸量
kg</t>
  </si>
  <si>
    <t>氯酸钠量
kg</t>
  </si>
  <si>
    <t>PAC单耗
ppm</t>
  </si>
  <si>
    <t>PAM单耗
ppm</t>
  </si>
  <si>
    <t>盐酸单耗
ppm</t>
  </si>
  <si>
    <t>氯酸钠单耗
ppm</t>
  </si>
  <si>
    <t>晴</t>
    <phoneticPr fontId="4" type="noConversion"/>
  </si>
  <si>
    <t>仇昊</t>
    <phoneticPr fontId="4" type="noConversion"/>
  </si>
  <si>
    <t>潘汝鑫</t>
    <phoneticPr fontId="4" type="noConversion"/>
  </si>
  <si>
    <t>胡叶青</t>
    <phoneticPr fontId="4" type="noConversion"/>
  </si>
  <si>
    <t>陈智娇</t>
    <phoneticPr fontId="4" type="noConversion"/>
  </si>
  <si>
    <t>阴</t>
    <phoneticPr fontId="4" type="noConversion"/>
  </si>
  <si>
    <t>张亚光</t>
    <phoneticPr fontId="4" type="noConversion"/>
  </si>
  <si>
    <t>易萍</t>
    <phoneticPr fontId="4" type="noConversion"/>
  </si>
  <si>
    <t>晴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</si>
  <si>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</si>
  <si>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</si>
  <si>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</si>
  <si>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阴</t>
    <phoneticPr fontId="4" type="noConversion"/>
  </si>
  <si>
    <t>雨</t>
    <phoneticPr fontId="4" type="noConversion"/>
  </si>
  <si>
    <t>陈智娇</t>
    <phoneticPr fontId="4" type="noConversion"/>
  </si>
  <si>
    <t>阴</t>
    <phoneticPr fontId="4" type="noConversion"/>
  </si>
  <si>
    <t>晴</t>
    <phoneticPr fontId="4" type="noConversion"/>
  </si>
  <si>
    <t>雨</t>
    <phoneticPr fontId="4" type="noConversion"/>
  </si>
  <si>
    <t>张亚光</t>
    <phoneticPr fontId="4" type="noConversion"/>
  </si>
  <si>
    <t>阴</t>
    <phoneticPr fontId="4" type="noConversion"/>
  </si>
  <si>
    <t>阴</t>
    <phoneticPr fontId="4" type="noConversion"/>
  </si>
  <si>
    <t>胡叶青</t>
    <phoneticPr fontId="4" type="noConversion"/>
  </si>
  <si>
    <t>潘汝鑫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</si>
  <si>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</si>
  <si>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</si>
  <si>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</si>
  <si>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潘汝鑫</t>
    <phoneticPr fontId="4" type="noConversion"/>
  </si>
  <si>
    <t>张亚光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</si>
  <si>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</si>
  <si>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</si>
  <si>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</si>
  <si>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碳源量
kg</t>
    <phoneticPr fontId="4" type="noConversion"/>
  </si>
  <si>
    <t>雨</t>
    <phoneticPr fontId="4" type="noConversion"/>
  </si>
  <si>
    <t>潘汝鑫</t>
    <phoneticPr fontId="4" type="noConversion"/>
  </si>
  <si>
    <t>陈智娇</t>
    <phoneticPr fontId="4" type="noConversion"/>
  </si>
  <si>
    <t>晴</t>
    <phoneticPr fontId="4" type="noConversion"/>
  </si>
  <si>
    <t>阴</t>
    <phoneticPr fontId="4" type="noConversion"/>
  </si>
  <si>
    <t>仇昊</t>
    <phoneticPr fontId="4" type="noConversion"/>
  </si>
  <si>
    <t>雨</t>
    <phoneticPr fontId="4" type="noConversion"/>
  </si>
  <si>
    <t>碳源用量
kg</t>
    <phoneticPr fontId="4" type="noConversion"/>
  </si>
  <si>
    <t>胡叶青</t>
    <phoneticPr fontId="4" type="noConversion"/>
  </si>
  <si>
    <t>张亚光</t>
    <phoneticPr fontId="4" type="noConversion"/>
  </si>
  <si>
    <t>雨</t>
    <phoneticPr fontId="4" type="noConversion"/>
  </si>
  <si>
    <t>潘汝鑫</t>
    <phoneticPr fontId="4" type="noConversion"/>
  </si>
  <si>
    <t>阴</t>
    <phoneticPr fontId="4" type="noConversion"/>
  </si>
  <si>
    <t>宣晟浩</t>
    <phoneticPr fontId="4" type="noConversion"/>
  </si>
  <si>
    <t>晴</t>
    <phoneticPr fontId="4" type="noConversion"/>
  </si>
  <si>
    <t>胡叶青</t>
    <phoneticPr fontId="4" type="noConversion"/>
  </si>
  <si>
    <t>阴</t>
    <phoneticPr fontId="4" type="noConversion"/>
  </si>
  <si>
    <t>陈智娇</t>
    <phoneticPr fontId="4" type="noConversion"/>
  </si>
  <si>
    <t>阴</t>
    <phoneticPr fontId="4" type="noConversion"/>
  </si>
  <si>
    <t>仇昊</t>
    <phoneticPr fontId="4" type="noConversion"/>
  </si>
  <si>
    <t>晴</t>
    <phoneticPr fontId="4" type="noConversion"/>
  </si>
  <si>
    <t>胡叶青</t>
    <phoneticPr fontId="4" type="noConversion"/>
  </si>
  <si>
    <t>潘汝鑫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</si>
  <si>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</si>
  <si>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</si>
  <si>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</si>
  <si>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</si>
  <si>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</si>
  <si>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</si>
  <si>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2600</t>
    <phoneticPr fontId="4" type="noConversion"/>
  </si>
  <si>
    <t>2700</t>
    <phoneticPr fontId="4" type="noConversion"/>
  </si>
  <si>
    <t>2280</t>
    <phoneticPr fontId="4" type="noConversion"/>
  </si>
  <si>
    <t>2440</t>
    <phoneticPr fontId="4" type="noConversion"/>
  </si>
  <si>
    <t>2480</t>
    <phoneticPr fontId="4" type="noConversion"/>
  </si>
  <si>
    <t>2650</t>
    <phoneticPr fontId="4" type="noConversion"/>
  </si>
  <si>
    <t>2770</t>
    <phoneticPr fontId="4" type="noConversion"/>
  </si>
  <si>
    <t>2090</t>
    <phoneticPr fontId="4" type="noConversion"/>
  </si>
  <si>
    <t>2290</t>
    <phoneticPr fontId="4" type="noConversion"/>
  </si>
  <si>
    <t>2070</t>
    <phoneticPr fontId="4" type="noConversion"/>
  </si>
  <si>
    <t>1640</t>
    <phoneticPr fontId="4" type="noConversion"/>
  </si>
  <si>
    <t>2620</t>
    <phoneticPr fontId="4" type="noConversion"/>
  </si>
  <si>
    <t>2220</t>
    <phoneticPr fontId="4" type="noConversion"/>
  </si>
  <si>
    <t>2130</t>
    <phoneticPr fontId="4" type="noConversion"/>
  </si>
  <si>
    <t>2010</t>
    <phoneticPr fontId="4" type="noConversion"/>
  </si>
  <si>
    <t>2170</t>
    <phoneticPr fontId="4" type="noConversion"/>
  </si>
  <si>
    <t>2730</t>
    <phoneticPr fontId="4" type="noConversion"/>
  </si>
  <si>
    <t>2400</t>
    <phoneticPr fontId="4" type="noConversion"/>
  </si>
  <si>
    <t>2530</t>
    <phoneticPr fontId="4" type="noConversion"/>
  </si>
  <si>
    <t>2430</t>
    <phoneticPr fontId="4" type="noConversion"/>
  </si>
  <si>
    <t>1515</t>
    <phoneticPr fontId="4" type="noConversion"/>
  </si>
  <si>
    <t>2785</t>
    <phoneticPr fontId="4" type="noConversion"/>
  </si>
  <si>
    <t>2320</t>
    <phoneticPr fontId="4" type="noConversion"/>
  </si>
  <si>
    <t>2900</t>
    <phoneticPr fontId="4" type="noConversion"/>
  </si>
  <si>
    <t>1735</t>
    <phoneticPr fontId="4" type="noConversion"/>
  </si>
  <si>
    <t>1855</t>
    <phoneticPr fontId="4" type="noConversion"/>
  </si>
  <si>
    <t>2120</t>
    <phoneticPr fontId="4" type="noConversion"/>
  </si>
  <si>
    <t>1980</t>
    <phoneticPr fontId="4" type="noConversion"/>
  </si>
  <si>
    <t>2360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</si>
  <si>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</si>
  <si>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</si>
  <si>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</si>
  <si>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</si>
  <si>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</si>
  <si>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</si>
  <si>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</si>
  <si>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</si>
  <si>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</si>
  <si>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</si>
  <si>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</si>
  <si>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</si>
  <si>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</si>
  <si>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</si>
  <si>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</si>
  <si>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</si>
  <si>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</si>
  <si>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</si>
  <si>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</si>
  <si>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</si>
  <si>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</si>
  <si>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</si>
  <si>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</si>
  <si>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</si>
  <si>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</si>
  <si>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</si>
  <si>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</si>
  <si>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晴</t>
    <phoneticPr fontId="4" type="noConversion"/>
  </si>
  <si>
    <t>易萍</t>
    <phoneticPr fontId="4" type="noConversion"/>
  </si>
  <si>
    <t>易萍</t>
    <phoneticPr fontId="4" type="noConversion"/>
  </si>
  <si>
    <t>晴</t>
    <phoneticPr fontId="4" type="noConversion"/>
  </si>
  <si>
    <t>胡叶青</t>
    <phoneticPr fontId="4" type="noConversion"/>
  </si>
  <si>
    <t>晴</t>
    <phoneticPr fontId="4" type="noConversion"/>
  </si>
  <si>
    <t>陈智娇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</si>
  <si>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</si>
  <si>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</si>
  <si>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</si>
  <si>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</si>
  <si>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</si>
  <si>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宣晟浩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</si>
  <si>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</si>
  <si>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</si>
  <si>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</si>
  <si>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</si>
  <si>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</si>
  <si>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</si>
  <si>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</si>
  <si>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</si>
  <si>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</si>
  <si>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</si>
  <si>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潘汝鑫</t>
    <phoneticPr fontId="4" type="noConversion"/>
  </si>
  <si>
    <t>陈智娇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</si>
  <si>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</si>
  <si>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</si>
  <si>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</si>
  <si>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</si>
  <si>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</si>
  <si>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</si>
  <si>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</si>
  <si>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</si>
  <si>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</si>
  <si>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</si>
  <si>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胡叶青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</si>
  <si>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</si>
  <si>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</si>
  <si>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</si>
  <si>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</si>
  <si>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</si>
  <si>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</si>
  <si>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</si>
  <si>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</si>
  <si>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</si>
  <si>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</si>
  <si>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</si>
  <si>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</si>
  <si>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</si>
  <si>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</si>
  <si>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</si>
  <si>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</si>
  <si>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碳源用量
kg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</si>
  <si>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</si>
  <si>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</si>
  <si>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</si>
  <si>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</si>
  <si>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陈智娇</t>
    <phoneticPr fontId="4" type="noConversion"/>
  </si>
  <si>
    <t>晴</t>
    <phoneticPr fontId="4" type="noConversion"/>
  </si>
  <si>
    <t>仇昊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</si>
  <si>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</si>
  <si>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</si>
  <si>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</si>
  <si>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</si>
  <si>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</si>
  <si>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</si>
  <si>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</si>
  <si>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</si>
  <si>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</si>
  <si>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贺加贝</t>
    <phoneticPr fontId="4" type="noConversion"/>
  </si>
  <si>
    <t>晴</t>
    <phoneticPr fontId="4" type="noConversion"/>
  </si>
  <si>
    <t>雨</t>
    <phoneticPr fontId="4" type="noConversion"/>
  </si>
  <si>
    <t>易萍</t>
    <phoneticPr fontId="4" type="noConversion"/>
  </si>
  <si>
    <t>雨</t>
    <phoneticPr fontId="4" type="noConversion"/>
  </si>
  <si>
    <t>潘汝鑫</t>
    <phoneticPr fontId="4" type="noConversion"/>
  </si>
  <si>
    <t>易萍</t>
    <phoneticPr fontId="4" type="noConversion"/>
  </si>
  <si>
    <t>阴</t>
    <phoneticPr fontId="4" type="noConversion"/>
  </si>
  <si>
    <t>阴</t>
    <phoneticPr fontId="4" type="noConversion"/>
  </si>
  <si>
    <t>易萍</t>
    <phoneticPr fontId="4" type="noConversion"/>
  </si>
  <si>
    <t>胡叶青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</si>
  <si>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</si>
  <si>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</si>
  <si>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</si>
  <si>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</si>
  <si>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</si>
  <si>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</si>
  <si>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</si>
  <si>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</si>
  <si>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</si>
  <si>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</si>
  <si>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</si>
  <si>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</si>
  <si>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</si>
  <si>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</si>
  <si>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</si>
  <si>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</si>
  <si>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</si>
  <si>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</si>
  <si>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</si>
  <si>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9:18-14:55更换1#进水流量计</t>
    <phoneticPr fontId="4" type="noConversion"/>
  </si>
  <si>
    <t>9:00-10:45更换2#流量计</t>
    <phoneticPr fontId="4" type="noConversion"/>
  </si>
  <si>
    <t>陈智娇</t>
    <phoneticPr fontId="4" type="noConversion"/>
  </si>
  <si>
    <t>雨</t>
    <phoneticPr fontId="4" type="noConversion"/>
  </si>
  <si>
    <t>仇昊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</si>
  <si>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</si>
  <si>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</si>
  <si>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</si>
  <si>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</si>
  <si>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</si>
  <si>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</si>
  <si>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</si>
  <si>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</si>
  <si>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</si>
  <si>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</si>
  <si>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张亚光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</si>
  <si>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</si>
  <si>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</si>
  <si>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</si>
  <si>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</si>
  <si>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</si>
  <si>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</si>
  <si>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易萍</t>
    <phoneticPr fontId="4" type="noConversion"/>
  </si>
  <si>
    <t>晴</t>
    <phoneticPr fontId="4" type="noConversion"/>
  </si>
  <si>
    <t>德宏网站异常，7月14日13:37恢复</t>
    <phoneticPr fontId="4" type="noConversion"/>
  </si>
  <si>
    <t>易萍</t>
    <phoneticPr fontId="4" type="noConversion"/>
  </si>
  <si>
    <t>阴</t>
    <phoneticPr fontId="4" type="noConversion"/>
  </si>
  <si>
    <t>潘汝鑫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</si>
  <si>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</si>
  <si>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</si>
  <si>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</si>
  <si>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</si>
  <si>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</si>
  <si>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</si>
  <si>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</si>
  <si>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</si>
  <si>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</si>
  <si>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雨</t>
    <phoneticPr fontId="4" type="noConversion"/>
  </si>
  <si>
    <t>接泵站所通知，水解池放空</t>
    <phoneticPr fontId="4" type="noConversion"/>
  </si>
  <si>
    <t>胡叶青</t>
    <phoneticPr fontId="4" type="noConversion"/>
  </si>
  <si>
    <t>9:30接泵站所通知，关水解池放空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</si>
  <si>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</si>
  <si>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</si>
  <si>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</si>
  <si>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</si>
  <si>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</si>
  <si>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</si>
  <si>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</si>
  <si>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</si>
  <si>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</si>
  <si>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</si>
  <si>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</si>
  <si>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</si>
  <si>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碳源用量kg</t>
    <phoneticPr fontId="4" type="noConversion"/>
  </si>
  <si>
    <t>碳源用量kg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</si>
  <si>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</si>
  <si>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</si>
  <si>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</si>
  <si>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</si>
  <si>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</si>
  <si>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</si>
  <si>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</si>
  <si>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</si>
  <si>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潘汝鑫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</si>
  <si>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</si>
  <si>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</si>
  <si>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</si>
  <si>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</si>
  <si>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</si>
  <si>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</si>
  <si>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</si>
  <si>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</si>
  <si>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雨</t>
    <phoneticPr fontId="4" type="noConversion"/>
  </si>
  <si>
    <t>12:30水解池进水15圈，15:30停。高沉池4#放空</t>
    <phoneticPr fontId="4" type="noConversion"/>
  </si>
  <si>
    <t>10:30水解池进水15圈，6:30停。高沉池2#放空。8:40水解池放空，一边10圈</t>
    <phoneticPr fontId="4" type="noConversion"/>
  </si>
  <si>
    <t>12:00水解池进水15圈，14:30停。</t>
    <phoneticPr fontId="4" type="noConversion"/>
  </si>
  <si>
    <t>易萍</t>
    <phoneticPr fontId="4" type="noConversion"/>
  </si>
  <si>
    <t>阴</t>
    <phoneticPr fontId="4" type="noConversion"/>
  </si>
  <si>
    <t>胡叶青</t>
    <phoneticPr fontId="4" type="noConversion"/>
  </si>
  <si>
    <t>潘汝鑫</t>
    <phoneticPr fontId="4" type="noConversion"/>
  </si>
  <si>
    <t>雨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</si>
  <si>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</si>
  <si>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</si>
  <si>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</si>
  <si>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</si>
  <si>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12:30水解池进水45圈,14:00停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</si>
  <si>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</si>
  <si>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</si>
  <si>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</si>
  <si>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</si>
  <si>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7:00全厂跳电，7:50恢复</t>
    <phoneticPr fontId="4" type="noConversion"/>
  </si>
  <si>
    <t>易萍</t>
    <phoneticPr fontId="4" type="noConversion"/>
  </si>
  <si>
    <t>阴</t>
    <phoneticPr fontId="4" type="noConversion"/>
  </si>
  <si>
    <t>雨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</si>
  <si>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</si>
  <si>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</si>
  <si>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</si>
  <si>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</si>
  <si>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</si>
  <si>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8:50进水解池30圈，10:25停。12:50进水解池13圈</t>
    <phoneticPr fontId="4" type="noConversion"/>
  </si>
  <si>
    <t>易萍</t>
    <phoneticPr fontId="4" type="noConversion"/>
  </si>
  <si>
    <t>晴</t>
    <phoneticPr fontId="4" type="noConversion"/>
  </si>
  <si>
    <t>8:50进水解池调至30圈，12:00进水解池调至10圈，21:54关</t>
    <phoneticPr fontId="4" type="noConversion"/>
  </si>
  <si>
    <t>晴</t>
    <phoneticPr fontId="4" type="noConversion"/>
  </si>
  <si>
    <t>8:50进水解池30圈，11:00停</t>
    <phoneticPr fontId="4" type="noConversion"/>
  </si>
  <si>
    <t>易萍</t>
    <phoneticPr fontId="4" type="noConversion"/>
  </si>
  <si>
    <t>易萍</t>
    <phoneticPr fontId="4" type="noConversion"/>
  </si>
  <si>
    <t>阴</t>
    <phoneticPr fontId="4" type="noConversion"/>
  </si>
  <si>
    <t>陈智娇</t>
    <phoneticPr fontId="4" type="noConversion"/>
  </si>
  <si>
    <t>11:50分进水解池40圈，13:30分停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</si>
  <si>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</si>
  <si>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</si>
  <si>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</si>
  <si>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</si>
  <si>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</si>
  <si>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</si>
  <si>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</si>
  <si>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</si>
  <si>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</si>
  <si>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</si>
  <si>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8:55进水解池28圈，15：30剩10圈，18:00关水解池。</t>
    <phoneticPr fontId="4" type="noConversion"/>
  </si>
  <si>
    <t>潘汝鑫</t>
    <phoneticPr fontId="4" type="noConversion"/>
  </si>
  <si>
    <t>陈智娇</t>
    <phoneticPr fontId="4" type="noConversion"/>
  </si>
  <si>
    <t>8点50分进水解池14圈，2:00关水解池</t>
    <phoneticPr fontId="4" type="noConversion"/>
  </si>
  <si>
    <t>易萍</t>
    <phoneticPr fontId="4" type="noConversion"/>
  </si>
  <si>
    <t>阴</t>
    <phoneticPr fontId="4" type="noConversion"/>
  </si>
  <si>
    <t>17:00进水解池13圈，3:00关水解池</t>
    <phoneticPr fontId="4" type="noConversion"/>
  </si>
  <si>
    <t>易萍</t>
    <phoneticPr fontId="4" type="noConversion"/>
  </si>
  <si>
    <t>阴</t>
    <phoneticPr fontId="4" type="noConversion"/>
  </si>
  <si>
    <t>12:30进水解池，5:30关水解池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</si>
  <si>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</si>
  <si>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</si>
  <si>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</si>
  <si>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</si>
  <si>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8:50进水解池30圈，10:00剩13圈，7:00关水解池</t>
    <phoneticPr fontId="4" type="noConversion"/>
  </si>
  <si>
    <t>10:00进水解池15圈，5:30关水解池</t>
    <phoneticPr fontId="4" type="noConversion"/>
  </si>
  <si>
    <t>易萍</t>
    <phoneticPr fontId="4" type="noConversion"/>
  </si>
  <si>
    <t>晴</t>
    <phoneticPr fontId="4" type="noConversion"/>
  </si>
  <si>
    <t>11:30进水解池12圈，6:10关水解池</t>
    <phoneticPr fontId="4" type="noConversion"/>
  </si>
  <si>
    <t>胡叶青</t>
    <phoneticPr fontId="4" type="noConversion"/>
  </si>
  <si>
    <t>11:00进水解池12圈</t>
    <phoneticPr fontId="4" type="noConversion"/>
  </si>
  <si>
    <t>陈智娇</t>
    <phoneticPr fontId="4" type="noConversion"/>
  </si>
  <si>
    <t>9.12号早上7点关水解池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</si>
  <si>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</si>
  <si>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</si>
  <si>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</si>
  <si>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</si>
  <si>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1:00关水解池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</si>
  <si>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</si>
  <si>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</si>
  <si>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</si>
  <si>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</si>
  <si>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8:50进水解池15圈，3:30关水解池</t>
    <phoneticPr fontId="4" type="noConversion"/>
  </si>
  <si>
    <t>易萍</t>
    <phoneticPr fontId="4" type="noConversion"/>
  </si>
  <si>
    <t>晴</t>
    <phoneticPr fontId="4" type="noConversion"/>
  </si>
  <si>
    <t>10:30进水解池15圈，7:00关水解池</t>
    <phoneticPr fontId="4" type="noConversion"/>
  </si>
  <si>
    <t>易萍</t>
    <phoneticPr fontId="4" type="noConversion"/>
  </si>
  <si>
    <t>晴</t>
    <phoneticPr fontId="4" type="noConversion"/>
  </si>
  <si>
    <t>11：00进水解池13圈，7:00关水解池</t>
    <phoneticPr fontId="4" type="noConversion"/>
  </si>
  <si>
    <t>11：00进水解池13圈，6:00关水解池</t>
    <phoneticPr fontId="4" type="noConversion"/>
  </si>
  <si>
    <t>潘汝鑫</t>
    <phoneticPr fontId="4" type="noConversion"/>
  </si>
  <si>
    <t>6：00关水解</t>
    <phoneticPr fontId="4" type="noConversion"/>
  </si>
  <si>
    <t>陈智娇</t>
    <phoneticPr fontId="4" type="noConversion"/>
  </si>
  <si>
    <t>易萍</t>
    <phoneticPr fontId="4" type="noConversion"/>
  </si>
  <si>
    <t>9:00开水解池，5:40关水解池</t>
    <phoneticPr fontId="4" type="noConversion"/>
  </si>
  <si>
    <t>9:00开水解池，6：30分关水解</t>
    <phoneticPr fontId="4" type="noConversion"/>
  </si>
  <si>
    <t>易萍</t>
    <phoneticPr fontId="4" type="noConversion"/>
  </si>
  <si>
    <t>晴</t>
    <phoneticPr fontId="4" type="noConversion"/>
  </si>
  <si>
    <t>12:00进水解池12圈，6:00关水解池</t>
    <phoneticPr fontId="4" type="noConversion"/>
  </si>
  <si>
    <t>易萍</t>
    <phoneticPr fontId="4" type="noConversion"/>
  </si>
  <si>
    <t>晴</t>
    <phoneticPr fontId="4" type="noConversion"/>
  </si>
  <si>
    <t>9:00进水解池12圈，12:00关水解池.14:30进水解池12圈，5:50关水解池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</si>
  <si>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</si>
  <si>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</si>
  <si>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</si>
  <si>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16:15进水解池13圈，7:00停</t>
    <phoneticPr fontId="4" type="noConversion"/>
  </si>
  <si>
    <t>易萍</t>
    <phoneticPr fontId="4" type="noConversion"/>
  </si>
  <si>
    <t>晴</t>
    <phoneticPr fontId="4" type="noConversion"/>
  </si>
  <si>
    <t>11:00进水解池30圈，12:30增开至55圈，15:30停。16:30进水解池12圈，5:00停。</t>
    <phoneticPr fontId="4" type="noConversion"/>
  </si>
  <si>
    <t>易萍</t>
    <phoneticPr fontId="4" type="noConversion"/>
  </si>
  <si>
    <t>晴</t>
    <phoneticPr fontId="4" type="noConversion"/>
  </si>
  <si>
    <t>15:30进水解池12圈，5:00关水解池。</t>
    <phoneticPr fontId="4" type="noConversion"/>
  </si>
  <si>
    <t>易萍</t>
    <phoneticPr fontId="4" type="noConversion"/>
  </si>
  <si>
    <t>阴</t>
    <phoneticPr fontId="4" type="noConversion"/>
  </si>
  <si>
    <t>11:30进水解池12圈，7:00关水解池</t>
    <phoneticPr fontId="4" type="noConversion"/>
  </si>
  <si>
    <t>易萍</t>
    <phoneticPr fontId="4" type="noConversion"/>
  </si>
  <si>
    <t>9:00进水解池12圈，6:12关水解池</t>
    <phoneticPr fontId="4" type="noConversion"/>
  </si>
  <si>
    <t>潘汝鑫</t>
    <phoneticPr fontId="4" type="noConversion"/>
  </si>
  <si>
    <t>晴</t>
    <phoneticPr fontId="4" type="noConversion"/>
  </si>
  <si>
    <t>陈智娇</t>
    <phoneticPr fontId="4" type="noConversion"/>
  </si>
  <si>
    <t>碳源用量
kg</t>
    <phoneticPr fontId="4" type="noConversion"/>
  </si>
  <si>
    <t>仇昊</t>
    <phoneticPr fontId="4" type="noConversion"/>
  </si>
  <si>
    <t>易萍</t>
    <phoneticPr fontId="4" type="noConversion"/>
  </si>
  <si>
    <t>晴</t>
    <phoneticPr fontId="4" type="noConversion"/>
  </si>
  <si>
    <t>17:00进水解池15圈，6:00停。因四期施工，造成德宏网站断电，数据累计到8:05分,8:40恢复</t>
    <phoneticPr fontId="4" type="noConversion"/>
  </si>
  <si>
    <t>易萍</t>
    <phoneticPr fontId="4" type="noConversion"/>
  </si>
  <si>
    <t>11:35进水解池12圈，5:00关水解池</t>
    <phoneticPr fontId="4" type="noConversion"/>
  </si>
  <si>
    <t>阴</t>
    <phoneticPr fontId="4" type="noConversion"/>
  </si>
  <si>
    <t>13:00进水解池13圈，5:30关水解池</t>
    <phoneticPr fontId="4" type="noConversion"/>
  </si>
  <si>
    <t>12:30进水解池12圈，6:10关水解池</t>
    <phoneticPr fontId="4" type="noConversion"/>
  </si>
  <si>
    <t>易萍</t>
    <phoneticPr fontId="4" type="noConversion"/>
  </si>
  <si>
    <t>阴</t>
    <phoneticPr fontId="4" type="noConversion"/>
  </si>
  <si>
    <t>8:50进水解池24圈，6:00关水解池</t>
    <phoneticPr fontId="4" type="noConversion"/>
  </si>
  <si>
    <t>9点开水解池12圈，1点关水接池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</si>
  <si>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</si>
  <si>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</si>
  <si>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</si>
  <si>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</si>
  <si>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8:30进水解池12圈</t>
    <phoneticPr fontId="4" type="noConversion"/>
  </si>
  <si>
    <t>16:00关水解池</t>
    <phoneticPr fontId="4" type="noConversion"/>
  </si>
  <si>
    <t>易萍</t>
    <phoneticPr fontId="4" type="noConversion"/>
  </si>
  <si>
    <t>阴</t>
    <phoneticPr fontId="4" type="noConversion"/>
  </si>
  <si>
    <t>9:00进水解池15圈，6:00关水解池</t>
    <phoneticPr fontId="4" type="noConversion"/>
  </si>
  <si>
    <t>易萍</t>
    <phoneticPr fontId="4" type="noConversion"/>
  </si>
  <si>
    <t>阴</t>
    <phoneticPr fontId="4" type="noConversion"/>
  </si>
  <si>
    <t>9:00进水解池15圈。5:30关水解池</t>
    <phoneticPr fontId="4" type="noConversion"/>
  </si>
  <si>
    <t>雨</t>
    <phoneticPr fontId="4" type="noConversion"/>
  </si>
  <si>
    <t>9:00进水解池20圈，11：00关水解池</t>
    <phoneticPr fontId="4" type="noConversion"/>
  </si>
  <si>
    <t>易萍</t>
    <phoneticPr fontId="4" type="noConversion"/>
  </si>
  <si>
    <t>胡叶青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</si>
  <si>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</si>
  <si>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</si>
  <si>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</si>
  <si>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</si>
  <si>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9:00进水解池15圈</t>
    <phoneticPr fontId="4" type="noConversion"/>
  </si>
  <si>
    <t>易萍</t>
    <phoneticPr fontId="4" type="noConversion"/>
  </si>
  <si>
    <t>雨</t>
    <phoneticPr fontId="4" type="noConversion"/>
  </si>
  <si>
    <t>6:30关水解池</t>
    <phoneticPr fontId="4" type="noConversion"/>
  </si>
  <si>
    <t>易萍</t>
    <phoneticPr fontId="4" type="noConversion"/>
  </si>
  <si>
    <t>晴</t>
    <phoneticPr fontId="4" type="noConversion"/>
  </si>
  <si>
    <t>9:00开水解池12圈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</si>
  <si>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</si>
  <si>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</si>
  <si>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</si>
  <si>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</si>
  <si>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</si>
  <si>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</si>
  <si>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9:00进水解池20圈，6:00关水解池</t>
    <phoneticPr fontId="4" type="noConversion"/>
  </si>
  <si>
    <t>易萍</t>
    <phoneticPr fontId="4" type="noConversion"/>
  </si>
  <si>
    <t>9:00进水解池20圈，6:30关水解池</t>
    <phoneticPr fontId="4" type="noConversion"/>
  </si>
  <si>
    <t>易萍</t>
    <phoneticPr fontId="4" type="noConversion"/>
  </si>
  <si>
    <t>晴</t>
    <phoneticPr fontId="4" type="noConversion"/>
  </si>
  <si>
    <t>12:30进水解池12圈，7:00关水解池</t>
    <phoneticPr fontId="4" type="noConversion"/>
  </si>
  <si>
    <t>易萍</t>
    <phoneticPr fontId="4" type="noConversion"/>
  </si>
  <si>
    <t>晴</t>
    <phoneticPr fontId="4" type="noConversion"/>
  </si>
  <si>
    <t>13:30开水解池10圈，5:00关水解池</t>
    <phoneticPr fontId="4" type="noConversion"/>
  </si>
  <si>
    <t>潘汝鑫</t>
    <phoneticPr fontId="4" type="noConversion"/>
  </si>
  <si>
    <t>宣晟浩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</si>
  <si>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</si>
  <si>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</si>
  <si>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</si>
  <si>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</si>
  <si>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液位免责</t>
    <phoneticPr fontId="4" type="noConversion"/>
  </si>
  <si>
    <t>易萍</t>
    <phoneticPr fontId="4" type="noConversion"/>
  </si>
  <si>
    <t>晴</t>
    <phoneticPr fontId="4" type="noConversion"/>
  </si>
  <si>
    <t>高沉池1#2#放空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</si>
  <si>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</si>
  <si>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</si>
  <si>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</si>
  <si>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雨</t>
    <phoneticPr fontId="4" type="noConversion"/>
  </si>
  <si>
    <t>易萍</t>
    <phoneticPr fontId="4" type="noConversion"/>
  </si>
  <si>
    <t>阴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</si>
  <si>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</si>
  <si>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</si>
  <si>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</si>
  <si>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</si>
  <si>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</si>
  <si>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</si>
  <si>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</si>
  <si>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9:00进水解池20圈，2:30停</t>
    <phoneticPr fontId="4" type="noConversion"/>
  </si>
  <si>
    <t>易萍</t>
    <phoneticPr fontId="4" type="noConversion"/>
  </si>
  <si>
    <t>晴</t>
    <phoneticPr fontId="4" type="noConversion"/>
  </si>
  <si>
    <t>6:30进水解，8:00停</t>
    <phoneticPr fontId="4" type="noConversion"/>
  </si>
  <si>
    <t>仇昊</t>
    <phoneticPr fontId="4" type="noConversion"/>
  </si>
  <si>
    <t>12:00进水解 5:30停</t>
    <phoneticPr fontId="4" type="noConversion"/>
  </si>
  <si>
    <t>胡叶青</t>
    <phoneticPr fontId="4" type="noConversion"/>
  </si>
  <si>
    <t>易萍</t>
    <phoneticPr fontId="4" type="noConversion"/>
  </si>
  <si>
    <t>14:00进水解池，5点停</t>
    <phoneticPr fontId="4" type="noConversion"/>
  </si>
  <si>
    <t>易萍</t>
    <phoneticPr fontId="4" type="noConversion"/>
  </si>
  <si>
    <t>晴</t>
    <phoneticPr fontId="4" type="noConversion"/>
  </si>
  <si>
    <t>10:00开水解池12圈,6:00停</t>
    <phoneticPr fontId="4" type="noConversion"/>
  </si>
  <si>
    <t>易萍</t>
    <phoneticPr fontId="4" type="noConversion"/>
  </si>
  <si>
    <t>阴</t>
    <phoneticPr fontId="4" type="noConversion"/>
  </si>
  <si>
    <t>12:00进水解池12圈，11:30停。进水有严重煤油味，经排水同意，进水水量控制在7000左右稳定运行。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</si>
  <si>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</si>
  <si>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</si>
  <si>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</si>
  <si>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</si>
  <si>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3#4#高沉池放空</t>
    <phoneticPr fontId="4" type="noConversion"/>
  </si>
  <si>
    <t>陈智娇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</si>
  <si>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</si>
  <si>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</si>
  <si>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</si>
  <si>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</si>
  <si>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</si>
  <si>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</si>
  <si>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</si>
  <si>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</si>
  <si>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</si>
  <si>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</si>
  <si>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</si>
  <si>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潘汝鑫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</si>
  <si>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</si>
  <si>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</si>
  <si>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</si>
  <si>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</si>
  <si>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</si>
  <si>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</si>
  <si>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</si>
  <si>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</si>
  <si>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</si>
  <si>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碳源用量kg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</si>
  <si>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</si>
  <si>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</si>
  <si>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</si>
  <si>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</si>
  <si>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设备维修，进水解池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</si>
  <si>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</si>
  <si>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</si>
  <si>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</si>
  <si>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</si>
  <si>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</si>
  <si>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</si>
  <si>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</si>
  <si>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</si>
  <si>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</si>
  <si>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</si>
  <si>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</si>
  <si>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仇昊</t>
    <phoneticPr fontId="4" type="noConversion"/>
  </si>
  <si>
    <t>胡叶青</t>
    <phoneticPr fontId="4" type="noConversion"/>
  </si>
  <si>
    <t>雨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</si>
  <si>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</si>
  <si>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</si>
  <si>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</si>
  <si>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</si>
  <si>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 xml:space="preserve"> 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</si>
  <si>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</si>
  <si>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</si>
  <si>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</si>
  <si>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</si>
  <si>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</si>
  <si>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</si>
  <si>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</si>
  <si>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</si>
  <si>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排水泵站停电检修</t>
    <phoneticPr fontId="4" type="noConversion"/>
  </si>
  <si>
    <t>易萍</t>
    <phoneticPr fontId="4" type="noConversion"/>
  </si>
  <si>
    <t>配合圩塘泵站检修，控制液位，进水8000m3/h左右，14:00进水解池12圈，17:00停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</si>
  <si>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</si>
  <si>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</si>
  <si>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</si>
  <si>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</si>
  <si>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</si>
  <si>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阴</t>
    <phoneticPr fontId="4" type="noConversion"/>
  </si>
  <si>
    <t>陈智娇</t>
    <phoneticPr fontId="4" type="noConversion"/>
  </si>
  <si>
    <t>易萍</t>
    <phoneticPr fontId="4" type="noConversion"/>
  </si>
  <si>
    <t>晴</t>
    <phoneticPr fontId="4" type="noConversion"/>
  </si>
  <si>
    <t>宣晟浩</t>
    <phoneticPr fontId="4" type="noConversion"/>
  </si>
  <si>
    <t>易萍</t>
    <phoneticPr fontId="4" type="noConversion"/>
  </si>
  <si>
    <t>晴</t>
    <phoneticPr fontId="4" type="noConversion"/>
  </si>
  <si>
    <t>易萍</t>
    <phoneticPr fontId="4" type="noConversion"/>
  </si>
  <si>
    <t>晴</t>
    <phoneticPr fontId="4" type="noConversion"/>
  </si>
  <si>
    <t>17：00开水解池，7:00关</t>
    <phoneticPr fontId="4" type="noConversion"/>
  </si>
  <si>
    <t>易萍</t>
    <phoneticPr fontId="4" type="noConversion"/>
  </si>
  <si>
    <t>晴</t>
    <phoneticPr fontId="4" type="noConversion"/>
  </si>
  <si>
    <t>晴</t>
    <phoneticPr fontId="4" type="noConversion"/>
  </si>
</sst>
</file>

<file path=xl/styles.xml><?xml version="1.0" encoding="utf-8"?>
<styleSheet xmlns="http://schemas.openxmlformats.org/spreadsheetml/2006/main">
  <numFmts count="4">
    <numFmt numFmtId="176" formatCode="m&quot;月&quot;d&quot;日&quot;;@"/>
    <numFmt numFmtId="177" formatCode="0.00_);[Red]\(0.00\)"/>
    <numFmt numFmtId="178" formatCode="0_);[Red]\(0\)"/>
    <numFmt numFmtId="179" formatCode="0.0_);[Red]\(0.0\)"/>
  </numFmts>
  <fonts count="10">
    <font>
      <sz val="11"/>
      <color theme="1"/>
      <name val="宋体"/>
      <charset val="134"/>
      <scheme val="minor"/>
    </font>
    <font>
      <sz val="9"/>
      <color indexed="8"/>
      <name val="微软雅黑"/>
      <family val="2"/>
      <charset val="134"/>
    </font>
    <font>
      <sz val="9"/>
      <name val="微软雅黑"/>
      <family val="2"/>
      <charset val="134"/>
    </font>
    <font>
      <vertAlign val="superscript"/>
      <sz val="9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indexed="8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000000"/>
      <name val="微软雅黑"/>
      <family val="2"/>
      <charset val="134"/>
    </font>
    <font>
      <sz val="11"/>
      <color rgb="FF9C0006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178" fontId="1" fillId="0" borderId="0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left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 applyProtection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 applyProtection="1">
      <alignment horizontal="center" vertical="center" wrapText="1"/>
    </xf>
    <xf numFmtId="177" fontId="1" fillId="3" borderId="1" xfId="0" applyNumberFormat="1" applyFont="1" applyFill="1" applyBorder="1" applyAlignment="1" applyProtection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 applyProtection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Fill="1" applyBorder="1" applyAlignment="1" applyProtection="1">
      <alignment horizontal="center" vertical="center" wrapText="1"/>
    </xf>
    <xf numFmtId="177" fontId="1" fillId="0" borderId="0" xfId="0" applyNumberFormat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9" fontId="1" fillId="4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78" fontId="9" fillId="5" borderId="1" xfId="1" applyNumberFormat="1" applyBorder="1" applyAlignment="1" applyProtection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'1'!$AT$2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'1'!$AT$3:$AT$34</c:f>
              <c:numCache>
                <c:formatCode>General</c:formatCode>
                <c:ptCount val="32"/>
                <c:pt idx="0">
                  <c:v>6.38</c:v>
                </c:pt>
                <c:pt idx="1">
                  <c:v>5.56</c:v>
                </c:pt>
                <c:pt idx="2">
                  <c:v>9.0299999999999994</c:v>
                </c:pt>
                <c:pt idx="3">
                  <c:v>7.27</c:v>
                </c:pt>
                <c:pt idx="4">
                  <c:v>10.73</c:v>
                </c:pt>
                <c:pt idx="5">
                  <c:v>8.74</c:v>
                </c:pt>
                <c:pt idx="6">
                  <c:v>11.46</c:v>
                </c:pt>
                <c:pt idx="7">
                  <c:v>8.7200000000000006</c:v>
                </c:pt>
                <c:pt idx="8">
                  <c:v>5.16</c:v>
                </c:pt>
                <c:pt idx="9">
                  <c:v>8.75</c:v>
                </c:pt>
                <c:pt idx="10">
                  <c:v>12.49</c:v>
                </c:pt>
                <c:pt idx="11">
                  <c:v>12.58</c:v>
                </c:pt>
                <c:pt idx="12">
                  <c:v>11.72</c:v>
                </c:pt>
                <c:pt idx="13">
                  <c:v>10.79</c:v>
                </c:pt>
                <c:pt idx="14">
                  <c:v>9.0500000000000007</c:v>
                </c:pt>
                <c:pt idx="15">
                  <c:v>6.17</c:v>
                </c:pt>
                <c:pt idx="16">
                  <c:v>7.59</c:v>
                </c:pt>
                <c:pt idx="17">
                  <c:v>12.39</c:v>
                </c:pt>
                <c:pt idx="18">
                  <c:v>12.18</c:v>
                </c:pt>
                <c:pt idx="19">
                  <c:v>11.34</c:v>
                </c:pt>
                <c:pt idx="20">
                  <c:v>9.06</c:v>
                </c:pt>
                <c:pt idx="21">
                  <c:v>8.2200000000000006</c:v>
                </c:pt>
                <c:pt idx="22">
                  <c:v>7.78</c:v>
                </c:pt>
                <c:pt idx="23">
                  <c:v>8.57</c:v>
                </c:pt>
                <c:pt idx="24">
                  <c:v>9.94</c:v>
                </c:pt>
                <c:pt idx="25">
                  <c:v>11.27</c:v>
                </c:pt>
                <c:pt idx="26">
                  <c:v>6.94</c:v>
                </c:pt>
                <c:pt idx="27">
                  <c:v>9.26</c:v>
                </c:pt>
                <c:pt idx="28">
                  <c:v>9.08</c:v>
                </c:pt>
                <c:pt idx="29">
                  <c:v>7.69</c:v>
                </c:pt>
                <c:pt idx="30">
                  <c:v>8.68</c:v>
                </c:pt>
              </c:numCache>
            </c:numRef>
          </c:val>
        </c:ser>
        <c:ser>
          <c:idx val="2"/>
          <c:order val="2"/>
          <c:tx>
            <c:strRef>
              <c:f>'1'!$AQ$2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'1'!$AQ$3:$AQ$34</c:f>
              <c:numCache>
                <c:formatCode>General</c:formatCode>
                <c:ptCount val="32"/>
                <c:pt idx="0">
                  <c:v>43.7</c:v>
                </c:pt>
                <c:pt idx="1">
                  <c:v>33.700000000000003</c:v>
                </c:pt>
                <c:pt idx="2">
                  <c:v>75.2</c:v>
                </c:pt>
                <c:pt idx="3">
                  <c:v>84.3</c:v>
                </c:pt>
                <c:pt idx="4">
                  <c:v>85.1</c:v>
                </c:pt>
                <c:pt idx="5">
                  <c:v>54.1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54.1</c:v>
                </c:pt>
                <c:pt idx="10">
                  <c:v>52.4</c:v>
                </c:pt>
                <c:pt idx="11">
                  <c:v>50.1</c:v>
                </c:pt>
                <c:pt idx="12">
                  <c:v>48.5</c:v>
                </c:pt>
                <c:pt idx="13">
                  <c:v>49.5</c:v>
                </c:pt>
                <c:pt idx="14">
                  <c:v>45.5</c:v>
                </c:pt>
                <c:pt idx="15">
                  <c:v>23</c:v>
                </c:pt>
                <c:pt idx="16">
                  <c:v>21.2</c:v>
                </c:pt>
                <c:pt idx="17">
                  <c:v>21.3</c:v>
                </c:pt>
                <c:pt idx="18">
                  <c:v>10.7</c:v>
                </c:pt>
                <c:pt idx="19">
                  <c:v>4.8</c:v>
                </c:pt>
                <c:pt idx="20">
                  <c:v>0</c:v>
                </c:pt>
                <c:pt idx="21">
                  <c:v>0</c:v>
                </c:pt>
                <c:pt idx="22">
                  <c:v>52</c:v>
                </c:pt>
                <c:pt idx="23">
                  <c:v>34.799999999999997</c:v>
                </c:pt>
                <c:pt idx="24">
                  <c:v>59.9</c:v>
                </c:pt>
                <c:pt idx="25">
                  <c:v>41.6</c:v>
                </c:pt>
                <c:pt idx="26">
                  <c:v>74.5</c:v>
                </c:pt>
                <c:pt idx="27">
                  <c:v>71.7</c:v>
                </c:pt>
                <c:pt idx="28">
                  <c:v>66.5</c:v>
                </c:pt>
                <c:pt idx="29">
                  <c:v>87.6</c:v>
                </c:pt>
                <c:pt idx="30">
                  <c:v>102.2</c:v>
                </c:pt>
              </c:numCache>
            </c:numRef>
          </c:val>
        </c:ser>
        <c:ser>
          <c:idx val="3"/>
          <c:order val="3"/>
          <c:tx>
            <c:strRef>
              <c:f>'1'!$AR$2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'1'!$AR$3:$AR$34</c:f>
              <c:numCache>
                <c:formatCode>General</c:formatCode>
                <c:ptCount val="32"/>
                <c:pt idx="0">
                  <c:v>0.21</c:v>
                </c:pt>
                <c:pt idx="1">
                  <c:v>0.2</c:v>
                </c:pt>
                <c:pt idx="2">
                  <c:v>0.24</c:v>
                </c:pt>
                <c:pt idx="3">
                  <c:v>0.09</c:v>
                </c:pt>
                <c:pt idx="4">
                  <c:v>0.13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0.19</c:v>
                </c:pt>
                <c:pt idx="11">
                  <c:v>0.18</c:v>
                </c:pt>
                <c:pt idx="12">
                  <c:v>0.18</c:v>
                </c:pt>
                <c:pt idx="13">
                  <c:v>0.11</c:v>
                </c:pt>
                <c:pt idx="14">
                  <c:v>0.16</c:v>
                </c:pt>
                <c:pt idx="15">
                  <c:v>0.1</c:v>
                </c:pt>
                <c:pt idx="16">
                  <c:v>0.14000000000000001</c:v>
                </c:pt>
                <c:pt idx="17">
                  <c:v>0.18</c:v>
                </c:pt>
                <c:pt idx="18">
                  <c:v>0.18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0.15</c:v>
                </c:pt>
                <c:pt idx="23">
                  <c:v>0.48</c:v>
                </c:pt>
                <c:pt idx="24">
                  <c:v>0.3</c:v>
                </c:pt>
                <c:pt idx="25">
                  <c:v>0.05</c:v>
                </c:pt>
                <c:pt idx="26">
                  <c:v>0.19</c:v>
                </c:pt>
                <c:pt idx="27">
                  <c:v>0.2</c:v>
                </c:pt>
                <c:pt idx="28">
                  <c:v>0.12</c:v>
                </c:pt>
                <c:pt idx="29">
                  <c:v>0</c:v>
                </c:pt>
                <c:pt idx="30">
                  <c:v>0.16</c:v>
                </c:pt>
              </c:numCache>
            </c:numRef>
          </c:val>
        </c:ser>
        <c:dLbls/>
        <c:marker val="1"/>
        <c:axId val="212008960"/>
        <c:axId val="212010496"/>
      </c:lineChart>
      <c:lineChart>
        <c:grouping val="standard"/>
        <c:ser>
          <c:idx val="0"/>
          <c:order val="0"/>
          <c:tx>
            <c:strRef>
              <c:f>'1'!$AS$2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'1'!$AS$3:$AS$34</c:f>
              <c:numCache>
                <c:formatCode>0.0_);[Red]\(0.0\)</c:formatCode>
                <c:ptCount val="32"/>
                <c:pt idx="0">
                  <c:v>17.8</c:v>
                </c:pt>
                <c:pt idx="1">
                  <c:v>14.9</c:v>
                </c:pt>
                <c:pt idx="2">
                  <c:v>25.1</c:v>
                </c:pt>
                <c:pt idx="3">
                  <c:v>19.100000000000001</c:v>
                </c:pt>
                <c:pt idx="4">
                  <c:v>29.1</c:v>
                </c:pt>
                <c:pt idx="5">
                  <c:v>24.4</c:v>
                </c:pt>
                <c:pt idx="6">
                  <c:v>33.4</c:v>
                </c:pt>
                <c:pt idx="7">
                  <c:v>24.8</c:v>
                </c:pt>
                <c:pt idx="8">
                  <c:v>14.3</c:v>
                </c:pt>
                <c:pt idx="9">
                  <c:v>24.4</c:v>
                </c:pt>
                <c:pt idx="10">
                  <c:v>35.4</c:v>
                </c:pt>
                <c:pt idx="11">
                  <c:v>37.700000000000003</c:v>
                </c:pt>
                <c:pt idx="12">
                  <c:v>35.200000000000003</c:v>
                </c:pt>
                <c:pt idx="13">
                  <c:v>32.4</c:v>
                </c:pt>
                <c:pt idx="14">
                  <c:v>24.4</c:v>
                </c:pt>
                <c:pt idx="15">
                  <c:v>17.2</c:v>
                </c:pt>
                <c:pt idx="16">
                  <c:v>20</c:v>
                </c:pt>
                <c:pt idx="17">
                  <c:v>35.6</c:v>
                </c:pt>
                <c:pt idx="18">
                  <c:v>35.5</c:v>
                </c:pt>
                <c:pt idx="19">
                  <c:v>31.3</c:v>
                </c:pt>
                <c:pt idx="20">
                  <c:v>25.3</c:v>
                </c:pt>
                <c:pt idx="21">
                  <c:v>23.4</c:v>
                </c:pt>
                <c:pt idx="22">
                  <c:v>20.9</c:v>
                </c:pt>
                <c:pt idx="23">
                  <c:v>23.7</c:v>
                </c:pt>
                <c:pt idx="24">
                  <c:v>28.5</c:v>
                </c:pt>
                <c:pt idx="25">
                  <c:v>31.4</c:v>
                </c:pt>
                <c:pt idx="26">
                  <c:v>18.3</c:v>
                </c:pt>
                <c:pt idx="27">
                  <c:v>25.6</c:v>
                </c:pt>
                <c:pt idx="28">
                  <c:v>27.8</c:v>
                </c:pt>
                <c:pt idx="29">
                  <c:v>23.3</c:v>
                </c:pt>
                <c:pt idx="30">
                  <c:v>26.7</c:v>
                </c:pt>
              </c:numCache>
            </c:numRef>
          </c:val>
        </c:ser>
        <c:dLbls/>
        <c:marker val="1"/>
        <c:axId val="212012032"/>
        <c:axId val="212026112"/>
      </c:lineChart>
      <c:catAx>
        <c:axId val="2120089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10496"/>
        <c:crosses val="autoZero"/>
        <c:auto val="1"/>
        <c:lblAlgn val="ctr"/>
        <c:lblOffset val="100"/>
      </c:catAx>
      <c:valAx>
        <c:axId val="2120104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08960"/>
        <c:crosses val="autoZero"/>
        <c:crossBetween val="between"/>
      </c:valAx>
      <c:catAx>
        <c:axId val="212012032"/>
        <c:scaling>
          <c:orientation val="minMax"/>
        </c:scaling>
        <c:delete val="1"/>
        <c:axPos val="b"/>
        <c:tickLblPos val="none"/>
        <c:crossAx val="212026112"/>
        <c:crosses val="autoZero"/>
        <c:auto val="1"/>
        <c:lblAlgn val="ctr"/>
        <c:lblOffset val="100"/>
      </c:catAx>
      <c:valAx>
        <c:axId val="212026112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01203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'2'!$AT$2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'2'!$AT$3:$AT$33</c:f>
              <c:numCache>
                <c:formatCode>General</c:formatCode>
                <c:ptCount val="31"/>
                <c:pt idx="0">
                  <c:v>9.6</c:v>
                </c:pt>
                <c:pt idx="1">
                  <c:v>10.65</c:v>
                </c:pt>
                <c:pt idx="2">
                  <c:v>9.9499999999999993</c:v>
                </c:pt>
                <c:pt idx="3">
                  <c:v>8.01</c:v>
                </c:pt>
                <c:pt idx="4">
                  <c:v>6.23</c:v>
                </c:pt>
                <c:pt idx="5">
                  <c:v>12.03</c:v>
                </c:pt>
                <c:pt idx="6">
                  <c:v>12.11</c:v>
                </c:pt>
                <c:pt idx="7">
                  <c:v>12.35</c:v>
                </c:pt>
                <c:pt idx="8">
                  <c:v>6.6</c:v>
                </c:pt>
                <c:pt idx="9">
                  <c:v>6.24</c:v>
                </c:pt>
                <c:pt idx="10">
                  <c:v>4.28</c:v>
                </c:pt>
                <c:pt idx="11">
                  <c:v>9.9</c:v>
                </c:pt>
                <c:pt idx="12">
                  <c:v>5.85</c:v>
                </c:pt>
                <c:pt idx="13">
                  <c:v>7.91</c:v>
                </c:pt>
                <c:pt idx="14">
                  <c:v>7.02</c:v>
                </c:pt>
                <c:pt idx="15">
                  <c:v>6.68</c:v>
                </c:pt>
                <c:pt idx="16">
                  <c:v>11.79</c:v>
                </c:pt>
                <c:pt idx="17">
                  <c:v>9.08</c:v>
                </c:pt>
                <c:pt idx="18">
                  <c:v>6.47</c:v>
                </c:pt>
                <c:pt idx="19">
                  <c:v>7.35</c:v>
                </c:pt>
                <c:pt idx="20">
                  <c:v>6.23</c:v>
                </c:pt>
                <c:pt idx="21">
                  <c:v>8.27</c:v>
                </c:pt>
                <c:pt idx="22">
                  <c:v>7.5</c:v>
                </c:pt>
                <c:pt idx="23">
                  <c:v>5.56</c:v>
                </c:pt>
                <c:pt idx="24">
                  <c:v>3.95</c:v>
                </c:pt>
                <c:pt idx="25">
                  <c:v>3.1</c:v>
                </c:pt>
                <c:pt idx="26">
                  <c:v>5</c:v>
                </c:pt>
                <c:pt idx="27">
                  <c:v>5.0199999999999996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2"/>
          <c:order val="2"/>
          <c:tx>
            <c:strRef>
              <c:f>'2'!$AQ$2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'2'!$AQ$3:$AQ$33</c:f>
              <c:numCache>
                <c:formatCode>General</c:formatCode>
                <c:ptCount val="31"/>
                <c:pt idx="0">
                  <c:v>76.599999999999994</c:v>
                </c:pt>
                <c:pt idx="1">
                  <c:v>83.5</c:v>
                </c:pt>
                <c:pt idx="2">
                  <c:v>90.9</c:v>
                </c:pt>
                <c:pt idx="3">
                  <c:v>93.6</c:v>
                </c:pt>
                <c:pt idx="4">
                  <c:v>106.3</c:v>
                </c:pt>
                <c:pt idx="5">
                  <c:v>122</c:v>
                </c:pt>
                <c:pt idx="6">
                  <c:v>136.1</c:v>
                </c:pt>
                <c:pt idx="7">
                  <c:v>154.6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72.599999999999994</c:v>
                </c:pt>
                <c:pt idx="16">
                  <c:v>86.2</c:v>
                </c:pt>
                <c:pt idx="17">
                  <c:v>66.2</c:v>
                </c:pt>
                <c:pt idx="18">
                  <c:v>78.599999999999994</c:v>
                </c:pt>
                <c:pt idx="19">
                  <c:v>73.400000000000006</c:v>
                </c:pt>
                <c:pt idx="20">
                  <c:v>61.2</c:v>
                </c:pt>
                <c:pt idx="21">
                  <c:v>54.2</c:v>
                </c:pt>
                <c:pt idx="22">
                  <c:v>52.3</c:v>
                </c:pt>
                <c:pt idx="23">
                  <c:v>42.9</c:v>
                </c:pt>
                <c:pt idx="24">
                  <c:v>32.700000000000003</c:v>
                </c:pt>
                <c:pt idx="25">
                  <c:v>24.1</c:v>
                </c:pt>
                <c:pt idx="26">
                  <c:v>24.3</c:v>
                </c:pt>
                <c:pt idx="27">
                  <c:v>13.9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3"/>
          <c:order val="3"/>
          <c:tx>
            <c:strRef>
              <c:f>'2'!$AR$2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'2'!$AR$3:$AR$33</c:f>
              <c:numCache>
                <c:formatCode>General</c:formatCode>
                <c:ptCount val="31"/>
                <c:pt idx="0">
                  <c:v>0.24</c:v>
                </c:pt>
                <c:pt idx="1">
                  <c:v>0.25</c:v>
                </c:pt>
                <c:pt idx="2">
                  <c:v>0.36</c:v>
                </c:pt>
                <c:pt idx="3">
                  <c:v>0.35</c:v>
                </c:pt>
                <c:pt idx="4">
                  <c:v>0.41</c:v>
                </c:pt>
                <c:pt idx="5">
                  <c:v>0.44</c:v>
                </c:pt>
                <c:pt idx="6">
                  <c:v>0.45</c:v>
                </c:pt>
                <c:pt idx="7">
                  <c:v>0.51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0.24</c:v>
                </c:pt>
                <c:pt idx="16">
                  <c:v>0.27</c:v>
                </c:pt>
                <c:pt idx="17">
                  <c:v>0.4</c:v>
                </c:pt>
                <c:pt idx="18">
                  <c:v>0.4</c:v>
                </c:pt>
                <c:pt idx="19">
                  <c:v>0.34</c:v>
                </c:pt>
                <c:pt idx="20">
                  <c:v>0.33</c:v>
                </c:pt>
                <c:pt idx="21">
                  <c:v>0.3</c:v>
                </c:pt>
                <c:pt idx="22">
                  <c:v>0.28999999999999998</c:v>
                </c:pt>
                <c:pt idx="23">
                  <c:v>0.25</c:v>
                </c:pt>
                <c:pt idx="24">
                  <c:v>0.18</c:v>
                </c:pt>
                <c:pt idx="25">
                  <c:v>0.14000000000000001</c:v>
                </c:pt>
                <c:pt idx="26">
                  <c:v>0.15</c:v>
                </c:pt>
                <c:pt idx="27">
                  <c:v>7.0000000000000007E-2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/>
        <c:marker val="1"/>
        <c:axId val="97081984"/>
        <c:axId val="97104256"/>
      </c:lineChart>
      <c:lineChart>
        <c:grouping val="standard"/>
        <c:ser>
          <c:idx val="0"/>
          <c:order val="0"/>
          <c:tx>
            <c:strRef>
              <c:f>'2'!$AS$2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'2'!$AS$3:$AS$33</c:f>
              <c:numCache>
                <c:formatCode>0.0_);[Red]\(0.0\)</c:formatCode>
                <c:ptCount val="31"/>
                <c:pt idx="0">
                  <c:v>29.3</c:v>
                </c:pt>
                <c:pt idx="1">
                  <c:v>32</c:v>
                </c:pt>
                <c:pt idx="2">
                  <c:v>30.5</c:v>
                </c:pt>
                <c:pt idx="3">
                  <c:v>24.2</c:v>
                </c:pt>
                <c:pt idx="4">
                  <c:v>19.600000000000001</c:v>
                </c:pt>
                <c:pt idx="5">
                  <c:v>37.1</c:v>
                </c:pt>
                <c:pt idx="6">
                  <c:v>35.200000000000003</c:v>
                </c:pt>
                <c:pt idx="7">
                  <c:v>35.1</c:v>
                </c:pt>
                <c:pt idx="8">
                  <c:v>18</c:v>
                </c:pt>
                <c:pt idx="9">
                  <c:v>17</c:v>
                </c:pt>
                <c:pt idx="10">
                  <c:v>11.3</c:v>
                </c:pt>
                <c:pt idx="11">
                  <c:v>27.9</c:v>
                </c:pt>
                <c:pt idx="12">
                  <c:v>15.3</c:v>
                </c:pt>
                <c:pt idx="13">
                  <c:v>20.6</c:v>
                </c:pt>
                <c:pt idx="14">
                  <c:v>19.399999999999999</c:v>
                </c:pt>
                <c:pt idx="15">
                  <c:v>18.399999999999999</c:v>
                </c:pt>
                <c:pt idx="16">
                  <c:v>33</c:v>
                </c:pt>
                <c:pt idx="17">
                  <c:v>26.1</c:v>
                </c:pt>
                <c:pt idx="18">
                  <c:v>17.399999999999999</c:v>
                </c:pt>
                <c:pt idx="19">
                  <c:v>20.9</c:v>
                </c:pt>
                <c:pt idx="20">
                  <c:v>16.8</c:v>
                </c:pt>
                <c:pt idx="21">
                  <c:v>23.7</c:v>
                </c:pt>
                <c:pt idx="22">
                  <c:v>19.2</c:v>
                </c:pt>
                <c:pt idx="23">
                  <c:v>14.6</c:v>
                </c:pt>
                <c:pt idx="24">
                  <c:v>10.7</c:v>
                </c:pt>
                <c:pt idx="25">
                  <c:v>8.5</c:v>
                </c:pt>
                <c:pt idx="26">
                  <c:v>14.1</c:v>
                </c:pt>
                <c:pt idx="27">
                  <c:v>14.2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/>
        <c:marker val="1"/>
        <c:axId val="97105792"/>
        <c:axId val="97107328"/>
      </c:lineChart>
      <c:catAx>
        <c:axId val="9708198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104256"/>
        <c:crosses val="autoZero"/>
        <c:auto val="1"/>
        <c:lblAlgn val="ctr"/>
        <c:lblOffset val="100"/>
      </c:catAx>
      <c:valAx>
        <c:axId val="971042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81984"/>
        <c:crosses val="autoZero"/>
        <c:crossBetween val="between"/>
      </c:valAx>
      <c:catAx>
        <c:axId val="97105792"/>
        <c:scaling>
          <c:orientation val="minMax"/>
        </c:scaling>
        <c:delete val="1"/>
        <c:axPos val="b"/>
        <c:tickLblPos val="none"/>
        <c:crossAx val="97107328"/>
        <c:crosses val="autoZero"/>
        <c:auto val="1"/>
        <c:lblAlgn val="ctr"/>
        <c:lblOffset val="100"/>
      </c:catAx>
      <c:valAx>
        <c:axId val="97107328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10579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'3'!$AT$2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'3'!$AT$3:$AT$34</c:f>
              <c:numCache>
                <c:formatCode>General</c:formatCode>
                <c:ptCount val="32"/>
                <c:pt idx="0">
                  <c:v>7.13</c:v>
                </c:pt>
                <c:pt idx="1">
                  <c:v>6.88</c:v>
                </c:pt>
                <c:pt idx="2">
                  <c:v>6.83</c:v>
                </c:pt>
                <c:pt idx="3">
                  <c:v>5.26</c:v>
                </c:pt>
                <c:pt idx="4">
                  <c:v>5.0999999999999996</c:v>
                </c:pt>
                <c:pt idx="5">
                  <c:v>3.55</c:v>
                </c:pt>
                <c:pt idx="6">
                  <c:v>6.19</c:v>
                </c:pt>
                <c:pt idx="7">
                  <c:v>7.59</c:v>
                </c:pt>
                <c:pt idx="8">
                  <c:v>5.61</c:v>
                </c:pt>
                <c:pt idx="9">
                  <c:v>6.79</c:v>
                </c:pt>
                <c:pt idx="10">
                  <c:v>6.8</c:v>
                </c:pt>
                <c:pt idx="11">
                  <c:v>3.23</c:v>
                </c:pt>
                <c:pt idx="12">
                  <c:v>3.36</c:v>
                </c:pt>
                <c:pt idx="13">
                  <c:v>6.79</c:v>
                </c:pt>
                <c:pt idx="14">
                  <c:v>7.58</c:v>
                </c:pt>
                <c:pt idx="15">
                  <c:v>6.7</c:v>
                </c:pt>
                <c:pt idx="16">
                  <c:v>6.65</c:v>
                </c:pt>
                <c:pt idx="17">
                  <c:v>6.12</c:v>
                </c:pt>
                <c:pt idx="18">
                  <c:v>3.71</c:v>
                </c:pt>
                <c:pt idx="19">
                  <c:v>4.07</c:v>
                </c:pt>
                <c:pt idx="20">
                  <c:v>5.37</c:v>
                </c:pt>
                <c:pt idx="21">
                  <c:v>6.58</c:v>
                </c:pt>
                <c:pt idx="22">
                  <c:v>8.25</c:v>
                </c:pt>
                <c:pt idx="23">
                  <c:v>6.32</c:v>
                </c:pt>
                <c:pt idx="24">
                  <c:v>6.15</c:v>
                </c:pt>
                <c:pt idx="25">
                  <c:v>4.7699999999999996</c:v>
                </c:pt>
                <c:pt idx="26">
                  <c:v>4.22</c:v>
                </c:pt>
                <c:pt idx="27">
                  <c:v>6.87</c:v>
                </c:pt>
                <c:pt idx="28">
                  <c:v>6.68</c:v>
                </c:pt>
                <c:pt idx="29">
                  <c:v>8.49</c:v>
                </c:pt>
                <c:pt idx="30">
                  <c:v>4.5</c:v>
                </c:pt>
              </c:numCache>
            </c:numRef>
          </c:val>
        </c:ser>
        <c:ser>
          <c:idx val="2"/>
          <c:order val="2"/>
          <c:tx>
            <c:strRef>
              <c:f>'3'!$AQ$2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'3'!$AQ$3:$AQ$34</c:f>
              <c:numCache>
                <c:formatCode>General</c:formatCode>
                <c:ptCount val="32"/>
                <c:pt idx="0">
                  <c:v>23.5</c:v>
                </c:pt>
                <c:pt idx="1">
                  <c:v>49.5</c:v>
                </c:pt>
                <c:pt idx="2">
                  <c:v>49.3</c:v>
                </c:pt>
                <c:pt idx="3">
                  <c:v>48.7</c:v>
                </c:pt>
                <c:pt idx="4">
                  <c:v>61.7</c:v>
                </c:pt>
                <c:pt idx="5">
                  <c:v>53.9</c:v>
                </c:pt>
                <c:pt idx="6">
                  <c:v>57.1</c:v>
                </c:pt>
                <c:pt idx="7">
                  <c:v>79.5</c:v>
                </c:pt>
                <c:pt idx="8">
                  <c:v>63</c:v>
                </c:pt>
                <c:pt idx="9">
                  <c:v>80</c:v>
                </c:pt>
                <c:pt idx="10">
                  <c:v>72</c:v>
                </c:pt>
                <c:pt idx="11">
                  <c:v>58.2</c:v>
                </c:pt>
                <c:pt idx="12">
                  <c:v>56.7</c:v>
                </c:pt>
                <c:pt idx="13">
                  <c:v>59.4</c:v>
                </c:pt>
                <c:pt idx="14">
                  <c:v>55.1</c:v>
                </c:pt>
                <c:pt idx="15">
                  <c:v>39.299999999999997</c:v>
                </c:pt>
                <c:pt idx="16">
                  <c:v>63.9</c:v>
                </c:pt>
                <c:pt idx="17">
                  <c:v>45</c:v>
                </c:pt>
                <c:pt idx="18">
                  <c:v>2</c:v>
                </c:pt>
                <c:pt idx="19">
                  <c:v>1.5</c:v>
                </c:pt>
                <c:pt idx="20">
                  <c:v>35.1</c:v>
                </c:pt>
                <c:pt idx="21">
                  <c:v>31.8</c:v>
                </c:pt>
                <c:pt idx="22">
                  <c:v>36.6</c:v>
                </c:pt>
                <c:pt idx="23">
                  <c:v>13.3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32.700000000000003</c:v>
                </c:pt>
                <c:pt idx="28">
                  <c:v>44.7</c:v>
                </c:pt>
                <c:pt idx="29">
                  <c:v>51.8</c:v>
                </c:pt>
                <c:pt idx="30">
                  <c:v>47.8</c:v>
                </c:pt>
              </c:numCache>
            </c:numRef>
          </c:val>
        </c:ser>
        <c:ser>
          <c:idx val="3"/>
          <c:order val="3"/>
          <c:tx>
            <c:strRef>
              <c:f>'3'!$AR$2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'3'!$AR$3:$AR$34</c:f>
              <c:numCache>
                <c:formatCode>General</c:formatCode>
                <c:ptCount val="32"/>
                <c:pt idx="0">
                  <c:v>0.11</c:v>
                </c:pt>
                <c:pt idx="1">
                  <c:v>0.16</c:v>
                </c:pt>
                <c:pt idx="2">
                  <c:v>0.17</c:v>
                </c:pt>
                <c:pt idx="3">
                  <c:v>0.16</c:v>
                </c:pt>
                <c:pt idx="4">
                  <c:v>0.2</c:v>
                </c:pt>
                <c:pt idx="5">
                  <c:v>0.19</c:v>
                </c:pt>
                <c:pt idx="6">
                  <c:v>0.21</c:v>
                </c:pt>
                <c:pt idx="7">
                  <c:v>0.23</c:v>
                </c:pt>
                <c:pt idx="8">
                  <c:v>0.16</c:v>
                </c:pt>
                <c:pt idx="9">
                  <c:v>0.2</c:v>
                </c:pt>
                <c:pt idx="10">
                  <c:v>0.17</c:v>
                </c:pt>
                <c:pt idx="11">
                  <c:v>0.17</c:v>
                </c:pt>
                <c:pt idx="12">
                  <c:v>0.17</c:v>
                </c:pt>
                <c:pt idx="13">
                  <c:v>0.2</c:v>
                </c:pt>
                <c:pt idx="14">
                  <c:v>0.18</c:v>
                </c:pt>
                <c:pt idx="15">
                  <c:v>0.11</c:v>
                </c:pt>
                <c:pt idx="16">
                  <c:v>0.22</c:v>
                </c:pt>
                <c:pt idx="17">
                  <c:v>0.24</c:v>
                </c:pt>
                <c:pt idx="18">
                  <c:v>0.01</c:v>
                </c:pt>
                <c:pt idx="19">
                  <c:v>0.01</c:v>
                </c:pt>
                <c:pt idx="20">
                  <c:v>0.19</c:v>
                </c:pt>
                <c:pt idx="21">
                  <c:v>0.18</c:v>
                </c:pt>
                <c:pt idx="22">
                  <c:v>0.23</c:v>
                </c:pt>
                <c:pt idx="23">
                  <c:v>0.08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0.16</c:v>
                </c:pt>
                <c:pt idx="28">
                  <c:v>0.21</c:v>
                </c:pt>
                <c:pt idx="29">
                  <c:v>0.22</c:v>
                </c:pt>
                <c:pt idx="30">
                  <c:v>0.2</c:v>
                </c:pt>
              </c:numCache>
            </c:numRef>
          </c:val>
        </c:ser>
        <c:dLbls/>
        <c:marker val="1"/>
        <c:axId val="97248768"/>
        <c:axId val="97250304"/>
      </c:lineChart>
      <c:lineChart>
        <c:grouping val="standard"/>
        <c:ser>
          <c:idx val="0"/>
          <c:order val="0"/>
          <c:tx>
            <c:strRef>
              <c:f>'3'!$AS$2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'3'!$AS$3:$AS$34</c:f>
              <c:numCache>
                <c:formatCode>0.0_);[Red]\(0.0\)</c:formatCode>
                <c:ptCount val="32"/>
                <c:pt idx="0">
                  <c:v>20</c:v>
                </c:pt>
                <c:pt idx="1">
                  <c:v>19.7</c:v>
                </c:pt>
                <c:pt idx="2">
                  <c:v>19.100000000000001</c:v>
                </c:pt>
                <c:pt idx="3">
                  <c:v>14.5</c:v>
                </c:pt>
                <c:pt idx="4">
                  <c:v>13.9</c:v>
                </c:pt>
                <c:pt idx="5">
                  <c:v>9.6999999999999993</c:v>
                </c:pt>
                <c:pt idx="6">
                  <c:v>17</c:v>
                </c:pt>
                <c:pt idx="7">
                  <c:v>21.4</c:v>
                </c:pt>
                <c:pt idx="8">
                  <c:v>16.2</c:v>
                </c:pt>
                <c:pt idx="9">
                  <c:v>19.2</c:v>
                </c:pt>
                <c:pt idx="10">
                  <c:v>18.899999999999999</c:v>
                </c:pt>
                <c:pt idx="11">
                  <c:v>10.4</c:v>
                </c:pt>
                <c:pt idx="12">
                  <c:v>10.4</c:v>
                </c:pt>
                <c:pt idx="13">
                  <c:v>19.100000000000001</c:v>
                </c:pt>
                <c:pt idx="14">
                  <c:v>22</c:v>
                </c:pt>
                <c:pt idx="15">
                  <c:v>18.7</c:v>
                </c:pt>
                <c:pt idx="16">
                  <c:v>18.8</c:v>
                </c:pt>
                <c:pt idx="17">
                  <c:v>16.8</c:v>
                </c:pt>
                <c:pt idx="18">
                  <c:v>10.3</c:v>
                </c:pt>
                <c:pt idx="19">
                  <c:v>11</c:v>
                </c:pt>
                <c:pt idx="20">
                  <c:v>14.1</c:v>
                </c:pt>
                <c:pt idx="21">
                  <c:v>18.8</c:v>
                </c:pt>
                <c:pt idx="22">
                  <c:v>23.5</c:v>
                </c:pt>
                <c:pt idx="23">
                  <c:v>17.5</c:v>
                </c:pt>
                <c:pt idx="24">
                  <c:v>17.3</c:v>
                </c:pt>
                <c:pt idx="25">
                  <c:v>13.2</c:v>
                </c:pt>
                <c:pt idx="26">
                  <c:v>11.6</c:v>
                </c:pt>
                <c:pt idx="27">
                  <c:v>19.399999999999999</c:v>
                </c:pt>
                <c:pt idx="28">
                  <c:v>18.5</c:v>
                </c:pt>
                <c:pt idx="29">
                  <c:v>24.3</c:v>
                </c:pt>
                <c:pt idx="30">
                  <c:v>12.1</c:v>
                </c:pt>
              </c:numCache>
            </c:numRef>
          </c:val>
        </c:ser>
        <c:dLbls/>
        <c:marker val="1"/>
        <c:axId val="97284864"/>
        <c:axId val="97286400"/>
      </c:lineChart>
      <c:catAx>
        <c:axId val="9724876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50304"/>
        <c:crosses val="autoZero"/>
        <c:auto val="1"/>
        <c:lblAlgn val="ctr"/>
        <c:lblOffset val="100"/>
      </c:catAx>
      <c:valAx>
        <c:axId val="972503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48768"/>
        <c:crosses val="autoZero"/>
        <c:crossBetween val="between"/>
      </c:valAx>
      <c:catAx>
        <c:axId val="97284864"/>
        <c:scaling>
          <c:orientation val="minMax"/>
        </c:scaling>
        <c:delete val="1"/>
        <c:axPos val="b"/>
        <c:tickLblPos val="none"/>
        <c:crossAx val="97286400"/>
        <c:crosses val="autoZero"/>
        <c:auto val="1"/>
        <c:lblAlgn val="ctr"/>
        <c:lblOffset val="100"/>
      </c:catAx>
      <c:valAx>
        <c:axId val="97286400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84864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'4'!$A$3</c:f>
              <c:strCache>
                <c:ptCount val="1"/>
                <c:pt idx="0">
                  <c:v>4月1日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'4'!$B$3:$AT$3</c:f>
              <c:numCache>
                <c:formatCode>0.00_);[Red]\(0.00\)</c:formatCode>
                <c:ptCount val="45"/>
                <c:pt idx="0">
                  <c:v>0</c:v>
                </c:pt>
                <c:pt idx="1">
                  <c:v>15981865</c:v>
                </c:pt>
                <c:pt idx="2">
                  <c:v>19061839</c:v>
                </c:pt>
                <c:pt idx="3">
                  <c:v>17726000</c:v>
                </c:pt>
                <c:pt idx="4">
                  <c:v>17696000</c:v>
                </c:pt>
                <c:pt idx="5">
                  <c:v>218982193</c:v>
                </c:pt>
                <c:pt idx="6">
                  <c:v>104354320</c:v>
                </c:pt>
                <c:pt idx="7">
                  <c:v>218982083</c:v>
                </c:pt>
                <c:pt idx="8">
                  <c:v>104354320</c:v>
                </c:pt>
                <c:pt idx="9">
                  <c:v>0</c:v>
                </c:pt>
                <c:pt idx="10">
                  <c:v>4246.2</c:v>
                </c:pt>
                <c:pt idx="11">
                  <c:v>3773.33</c:v>
                </c:pt>
                <c:pt idx="12">
                  <c:v>72716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 formatCode="0_);[Red]\(0\)">
                  <c:v>380</c:v>
                </c:pt>
                <c:pt idx="18" formatCode="0_);[Red]\(0\)">
                  <c:v>400</c:v>
                </c:pt>
                <c:pt idx="19" formatCode="0_);[Red]\(0\)">
                  <c:v>10256</c:v>
                </c:pt>
                <c:pt idx="20" formatCode="0_);[Red]\(0\)">
                  <c:v>9012</c:v>
                </c:pt>
                <c:pt idx="21">
                  <c:v>6.78</c:v>
                </c:pt>
                <c:pt idx="22">
                  <c:v>5.3</c:v>
                </c:pt>
                <c:pt idx="23" formatCode="0_);[Red]\(0\)">
                  <c:v>1430</c:v>
                </c:pt>
                <c:pt idx="25" formatCode="0_);[Red]\(0\)">
                  <c:v>49349</c:v>
                </c:pt>
                <c:pt idx="26" formatCode="0_);[Red]\(0\)">
                  <c:v>61343</c:v>
                </c:pt>
                <c:pt idx="27" formatCode="0_);[Red]\(0\)">
                  <c:v>28000</c:v>
                </c:pt>
                <c:pt idx="28" formatCode="0_);[Red]\(0\)">
                  <c:v>87000</c:v>
                </c:pt>
                <c:pt idx="29" formatCode="0_);[Red]\(0\)">
                  <c:v>204896</c:v>
                </c:pt>
                <c:pt idx="30" formatCode="0_);[Red]\(0\)">
                  <c:v>5226</c:v>
                </c:pt>
                <c:pt idx="31" formatCode="0_);[Red]\(0\)">
                  <c:v>20796</c:v>
                </c:pt>
                <c:pt idx="32" formatCode="0_);[Red]\(0\)">
                  <c:v>206129</c:v>
                </c:pt>
                <c:pt idx="33" formatCode="0_);[Red]\(0\)">
                  <c:v>5226</c:v>
                </c:pt>
                <c:pt idx="34" formatCode="0_);[Red]\(0\)">
                  <c:v>200903</c:v>
                </c:pt>
                <c:pt idx="35" formatCode="0_);[Red]\(0\)">
                  <c:v>5500</c:v>
                </c:pt>
                <c:pt idx="36" formatCode="0_);[Red]\(0\)">
                  <c:v>7980</c:v>
                </c:pt>
                <c:pt idx="37" formatCode="0_);[Red]\(0\)">
                  <c:v>42</c:v>
                </c:pt>
                <c:pt idx="38" formatCode="0_);[Red]\(0\)">
                  <c:v>2698</c:v>
                </c:pt>
                <c:pt idx="39" formatCode="0_);[Red]\(0\)">
                  <c:v>960</c:v>
                </c:pt>
                <c:pt idx="40" formatCode="0_);[Red]\(0\)">
                  <c:v>1820</c:v>
                </c:pt>
                <c:pt idx="41" formatCode="General">
                  <c:v>39.700000000000003</c:v>
                </c:pt>
                <c:pt idx="42" formatCode="General">
                  <c:v>0.21</c:v>
                </c:pt>
                <c:pt idx="43" formatCode="0.0_);[Red]\(0.0\)">
                  <c:v>13.4</c:v>
                </c:pt>
                <c:pt idx="44" formatCode="General">
                  <c:v>4.78</c:v>
                </c:pt>
              </c:numCache>
            </c:numRef>
          </c:val>
        </c:ser>
        <c:ser>
          <c:idx val="1"/>
          <c:order val="1"/>
          <c:tx>
            <c:strRef>
              <c:f>'4'!$A$4</c:f>
              <c:strCache>
                <c:ptCount val="1"/>
                <c:pt idx="0">
                  <c:v>4月2日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'4'!$B$4:$AT$4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16031214</c:v>
                </c:pt>
                <c:pt idx="2">
                  <c:v>19123182</c:v>
                </c:pt>
                <c:pt idx="3">
                  <c:v>17754000</c:v>
                </c:pt>
                <c:pt idx="4">
                  <c:v>17783000</c:v>
                </c:pt>
                <c:pt idx="5">
                  <c:v>219187089</c:v>
                </c:pt>
                <c:pt idx="6">
                  <c:v>104359546</c:v>
                </c:pt>
                <c:pt idx="7">
                  <c:v>219188212</c:v>
                </c:pt>
                <c:pt idx="8">
                  <c:v>104359546</c:v>
                </c:pt>
                <c:pt idx="10" formatCode="0.00_);[Red]\(0.00\)">
                  <c:v>4246.2</c:v>
                </c:pt>
                <c:pt idx="11" formatCode="0.00_);[Red]\(0.00\)">
                  <c:v>3779.98</c:v>
                </c:pt>
                <c:pt idx="12" formatCode="0.00_);[Red]\(0.00\)">
                  <c:v>72736.820000000007</c:v>
                </c:pt>
                <c:pt idx="15" formatCode="0.0_);[Red]\(0.0\)">
                  <c:v>20.7</c:v>
                </c:pt>
                <c:pt idx="16">
                  <c:v>0</c:v>
                </c:pt>
                <c:pt idx="17">
                  <c:v>370</c:v>
                </c:pt>
                <c:pt idx="18">
                  <c:v>390</c:v>
                </c:pt>
                <c:pt idx="19">
                  <c:v>9287</c:v>
                </c:pt>
                <c:pt idx="20">
                  <c:v>8268</c:v>
                </c:pt>
                <c:pt idx="21" formatCode="0.00_);[Red]\(0.00\)">
                  <c:v>5.98</c:v>
                </c:pt>
                <c:pt idx="22" formatCode="0.00_);[Red]\(0.00\)">
                  <c:v>4.8600000000000003</c:v>
                </c:pt>
                <c:pt idx="23">
                  <c:v>1436</c:v>
                </c:pt>
                <c:pt idx="25">
                  <c:v>48091</c:v>
                </c:pt>
                <c:pt idx="26">
                  <c:v>58239</c:v>
                </c:pt>
                <c:pt idx="27">
                  <c:v>56000</c:v>
                </c:pt>
                <c:pt idx="28">
                  <c:v>54000</c:v>
                </c:pt>
                <c:pt idx="29">
                  <c:v>206202</c:v>
                </c:pt>
                <c:pt idx="30">
                  <c:v>5468</c:v>
                </c:pt>
                <c:pt idx="31">
                  <c:v>10128</c:v>
                </c:pt>
                <c:pt idx="32">
                  <c:v>207202</c:v>
                </c:pt>
                <c:pt idx="33">
                  <c:v>5468</c:v>
                </c:pt>
                <c:pt idx="34">
                  <c:v>201734</c:v>
                </c:pt>
                <c:pt idx="35">
                  <c:v>5300</c:v>
                </c:pt>
                <c:pt idx="36">
                  <c:v>8352</c:v>
                </c:pt>
                <c:pt idx="37">
                  <c:v>43</c:v>
                </c:pt>
                <c:pt idx="38">
                  <c:v>2627</c:v>
                </c:pt>
                <c:pt idx="39">
                  <c:v>936</c:v>
                </c:pt>
                <c:pt idx="40">
                  <c:v>1850</c:v>
                </c:pt>
                <c:pt idx="41" formatCode="General">
                  <c:v>41.4</c:v>
                </c:pt>
                <c:pt idx="42" formatCode="General">
                  <c:v>0.21</c:v>
                </c:pt>
                <c:pt idx="43" formatCode="0.0_);[Red]\(0.0\)">
                  <c:v>13</c:v>
                </c:pt>
                <c:pt idx="44" formatCode="General">
                  <c:v>4.6399999999999997</c:v>
                </c:pt>
              </c:numCache>
            </c:numRef>
          </c:val>
        </c:ser>
        <c:ser>
          <c:idx val="2"/>
          <c:order val="2"/>
          <c:tx>
            <c:strRef>
              <c:f>'4'!$A$5</c:f>
              <c:strCache>
                <c:ptCount val="1"/>
                <c:pt idx="0">
                  <c:v>4月3日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'4'!$B$5:$AT$5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16079305</c:v>
                </c:pt>
                <c:pt idx="2">
                  <c:v>19181421</c:v>
                </c:pt>
                <c:pt idx="3">
                  <c:v>17810000</c:v>
                </c:pt>
                <c:pt idx="4">
                  <c:v>17837000</c:v>
                </c:pt>
                <c:pt idx="5">
                  <c:v>219393291</c:v>
                </c:pt>
                <c:pt idx="6">
                  <c:v>104365014</c:v>
                </c:pt>
                <c:pt idx="7">
                  <c:v>219395414</c:v>
                </c:pt>
                <c:pt idx="8">
                  <c:v>104365014</c:v>
                </c:pt>
                <c:pt idx="10" formatCode="0.00_);[Red]\(0.00\)">
                  <c:v>4246.2</c:v>
                </c:pt>
                <c:pt idx="11" formatCode="0.00_);[Red]\(0.00\)">
                  <c:v>3786.94</c:v>
                </c:pt>
                <c:pt idx="12" formatCode="0.00_);[Red]\(0.00\)">
                  <c:v>72758.22</c:v>
                </c:pt>
                <c:pt idx="15" formatCode="0.0_);[Red]\(0.0\)">
                  <c:v>18.600000000000001</c:v>
                </c:pt>
                <c:pt idx="16">
                  <c:v>0</c:v>
                </c:pt>
                <c:pt idx="17">
                  <c:v>200</c:v>
                </c:pt>
                <c:pt idx="18">
                  <c:v>220</c:v>
                </c:pt>
                <c:pt idx="19">
                  <c:v>9586</c:v>
                </c:pt>
                <c:pt idx="20">
                  <c:v>2258</c:v>
                </c:pt>
                <c:pt idx="21" formatCode="0.00_);[Red]\(0.00\)">
                  <c:v>5.32</c:v>
                </c:pt>
                <c:pt idx="22" formatCode="0.00_);[Red]\(0.00\)">
                  <c:v>2.1800000000000002</c:v>
                </c:pt>
                <c:pt idx="23">
                  <c:v>1063</c:v>
                </c:pt>
                <c:pt idx="25">
                  <c:v>44647</c:v>
                </c:pt>
                <c:pt idx="26">
                  <c:v>54300</c:v>
                </c:pt>
                <c:pt idx="27">
                  <c:v>78000</c:v>
                </c:pt>
                <c:pt idx="28">
                  <c:v>25000</c:v>
                </c:pt>
                <c:pt idx="29">
                  <c:v>201749</c:v>
                </c:pt>
                <c:pt idx="30">
                  <c:v>5549</c:v>
                </c:pt>
                <c:pt idx="31">
                  <c:v>198</c:v>
                </c:pt>
                <c:pt idx="32">
                  <c:v>199609</c:v>
                </c:pt>
                <c:pt idx="33">
                  <c:v>5549</c:v>
                </c:pt>
                <c:pt idx="34">
                  <c:v>194060</c:v>
                </c:pt>
                <c:pt idx="35">
                  <c:v>5000</c:v>
                </c:pt>
                <c:pt idx="36">
                  <c:v>3204</c:v>
                </c:pt>
                <c:pt idx="37">
                  <c:v>17</c:v>
                </c:pt>
                <c:pt idx="38">
                  <c:v>1420</c:v>
                </c:pt>
                <c:pt idx="39">
                  <c:v>528</c:v>
                </c:pt>
                <c:pt idx="40">
                  <c:v>2760</c:v>
                </c:pt>
                <c:pt idx="41" formatCode="General">
                  <c:v>16.5</c:v>
                </c:pt>
                <c:pt idx="42" formatCode="General">
                  <c:v>0.09</c:v>
                </c:pt>
                <c:pt idx="43" formatCode="0.0_);[Red]\(0.0\)">
                  <c:v>7.3</c:v>
                </c:pt>
                <c:pt idx="44" formatCode="General">
                  <c:v>2.72</c:v>
                </c:pt>
              </c:numCache>
            </c:numRef>
          </c:val>
        </c:ser>
        <c:ser>
          <c:idx val="3"/>
          <c:order val="3"/>
          <c:tx>
            <c:strRef>
              <c:f>'4'!$A$6</c:f>
              <c:strCache>
                <c:ptCount val="1"/>
                <c:pt idx="0">
                  <c:v>4月4日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'4'!$B$6:$AT$6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16123952</c:v>
                </c:pt>
                <c:pt idx="2">
                  <c:v>19235721</c:v>
                </c:pt>
                <c:pt idx="3">
                  <c:v>17888000</c:v>
                </c:pt>
                <c:pt idx="4">
                  <c:v>17862000</c:v>
                </c:pt>
                <c:pt idx="5">
                  <c:v>219595040</c:v>
                </c:pt>
                <c:pt idx="6">
                  <c:v>104370563</c:v>
                </c:pt>
                <c:pt idx="7">
                  <c:v>219595023</c:v>
                </c:pt>
                <c:pt idx="8">
                  <c:v>104370563</c:v>
                </c:pt>
                <c:pt idx="10" formatCode="0.00_);[Red]\(0.00\)">
                  <c:v>4246.2</c:v>
                </c:pt>
                <c:pt idx="11" formatCode="0.00_);[Red]\(0.00\)">
                  <c:v>3789.61</c:v>
                </c:pt>
                <c:pt idx="12" formatCode="0.00_);[Red]\(0.00\)">
                  <c:v>72766.81</c:v>
                </c:pt>
                <c:pt idx="15" formatCode="0.0_);[Red]\(0.0\)">
                  <c:v>18.8</c:v>
                </c:pt>
                <c:pt idx="16">
                  <c:v>0</c:v>
                </c:pt>
                <c:pt idx="17">
                  <c:v>170</c:v>
                </c:pt>
                <c:pt idx="18">
                  <c:v>180</c:v>
                </c:pt>
                <c:pt idx="19">
                  <c:v>10227</c:v>
                </c:pt>
                <c:pt idx="20">
                  <c:v>2753</c:v>
                </c:pt>
                <c:pt idx="21" formatCode="0.00_);[Red]\(0.00\)">
                  <c:v>3.07</c:v>
                </c:pt>
                <c:pt idx="22" formatCode="0.00_);[Red]\(0.00\)">
                  <c:v>2.4500000000000002</c:v>
                </c:pt>
                <c:pt idx="23">
                  <c:v>1040</c:v>
                </c:pt>
                <c:pt idx="25">
                  <c:v>36194</c:v>
                </c:pt>
                <c:pt idx="26">
                  <c:v>44021</c:v>
                </c:pt>
                <c:pt idx="27">
                  <c:v>43000</c:v>
                </c:pt>
                <c:pt idx="28">
                  <c:v>43000</c:v>
                </c:pt>
                <c:pt idx="29">
                  <c:v>157592</c:v>
                </c:pt>
                <c:pt idx="30">
                  <c:v>5508</c:v>
                </c:pt>
                <c:pt idx="31">
                  <c:v>8623</c:v>
                </c:pt>
                <c:pt idx="32">
                  <c:v>157304</c:v>
                </c:pt>
                <c:pt idx="33">
                  <c:v>5508</c:v>
                </c:pt>
                <c:pt idx="34">
                  <c:v>151796</c:v>
                </c:pt>
                <c:pt idx="35">
                  <c:v>5000</c:v>
                </c:pt>
                <c:pt idx="36">
                  <c:v>6468</c:v>
                </c:pt>
                <c:pt idx="37">
                  <c:v>42</c:v>
                </c:pt>
                <c:pt idx="38">
                  <c:v>1207</c:v>
                </c:pt>
                <c:pt idx="39">
                  <c:v>432</c:v>
                </c:pt>
                <c:pt idx="40">
                  <c:v>1310</c:v>
                </c:pt>
                <c:pt idx="41" formatCode="General">
                  <c:v>42.6</c:v>
                </c:pt>
                <c:pt idx="42" formatCode="General">
                  <c:v>0.28000000000000003</c:v>
                </c:pt>
                <c:pt idx="43" formatCode="0.0_);[Red]\(0.0\)">
                  <c:v>8</c:v>
                </c:pt>
                <c:pt idx="44" formatCode="General">
                  <c:v>2.85</c:v>
                </c:pt>
              </c:numCache>
            </c:numRef>
          </c:val>
        </c:ser>
        <c:ser>
          <c:idx val="4"/>
          <c:order val="4"/>
          <c:tx>
            <c:strRef>
              <c:f>'4'!$A$7</c:f>
              <c:strCache>
                <c:ptCount val="1"/>
                <c:pt idx="0">
                  <c:v>4月5日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'4'!$B$7:$AT$7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16160146</c:v>
                </c:pt>
                <c:pt idx="2">
                  <c:v>19279742</c:v>
                </c:pt>
                <c:pt idx="3">
                  <c:v>17931000</c:v>
                </c:pt>
                <c:pt idx="4">
                  <c:v>17905000</c:v>
                </c:pt>
                <c:pt idx="5">
                  <c:v>219752632</c:v>
                </c:pt>
                <c:pt idx="6">
                  <c:v>104376071</c:v>
                </c:pt>
                <c:pt idx="7">
                  <c:v>219752327</c:v>
                </c:pt>
                <c:pt idx="8">
                  <c:v>104376071</c:v>
                </c:pt>
                <c:pt idx="10" formatCode="0.00_);[Red]\(0.00\)">
                  <c:v>4246.2</c:v>
                </c:pt>
                <c:pt idx="11" formatCode="0.00_);[Red]\(0.00\)">
                  <c:v>3795</c:v>
                </c:pt>
                <c:pt idx="12" formatCode="0.00_);[Red]\(0.00\)">
                  <c:v>72787.97</c:v>
                </c:pt>
                <c:pt idx="15" formatCode="0.0_);[Red]\(0.0\)">
                  <c:v>18.7</c:v>
                </c:pt>
                <c:pt idx="16">
                  <c:v>0</c:v>
                </c:pt>
                <c:pt idx="17">
                  <c:v>350</c:v>
                </c:pt>
                <c:pt idx="18">
                  <c:v>370</c:v>
                </c:pt>
                <c:pt idx="19">
                  <c:v>6152</c:v>
                </c:pt>
                <c:pt idx="20">
                  <c:v>2985</c:v>
                </c:pt>
                <c:pt idx="21" formatCode="0.00_);[Red]\(0.00\)">
                  <c:v>4.32</c:v>
                </c:pt>
                <c:pt idx="22" formatCode="0.00_);[Red]\(0.00\)">
                  <c:v>2.41</c:v>
                </c:pt>
                <c:pt idx="23">
                  <c:v>1195</c:v>
                </c:pt>
                <c:pt idx="25">
                  <c:v>30276</c:v>
                </c:pt>
                <c:pt idx="26">
                  <c:v>35368</c:v>
                </c:pt>
                <c:pt idx="27">
                  <c:v>34000</c:v>
                </c:pt>
                <c:pt idx="28">
                  <c:v>34000</c:v>
                </c:pt>
                <c:pt idx="29">
                  <c:v>122963</c:v>
                </c:pt>
                <c:pt idx="30">
                  <c:v>5472</c:v>
                </c:pt>
                <c:pt idx="31">
                  <c:v>10681</c:v>
                </c:pt>
                <c:pt idx="32">
                  <c:v>123116</c:v>
                </c:pt>
                <c:pt idx="33">
                  <c:v>5472</c:v>
                </c:pt>
                <c:pt idx="34">
                  <c:v>117644</c:v>
                </c:pt>
                <c:pt idx="35">
                  <c:v>5200</c:v>
                </c:pt>
                <c:pt idx="36">
                  <c:v>8544</c:v>
                </c:pt>
                <c:pt idx="37">
                  <c:v>43</c:v>
                </c:pt>
                <c:pt idx="38">
                  <c:v>2485</c:v>
                </c:pt>
                <c:pt idx="39">
                  <c:v>888</c:v>
                </c:pt>
                <c:pt idx="40">
                  <c:v>1830</c:v>
                </c:pt>
                <c:pt idx="41" formatCode="General">
                  <c:v>72.599999999999994</c:v>
                </c:pt>
                <c:pt idx="42" formatCode="General">
                  <c:v>0.37</c:v>
                </c:pt>
                <c:pt idx="43" formatCode="0.0_);[Red]\(0.0\)">
                  <c:v>21.1</c:v>
                </c:pt>
                <c:pt idx="44" formatCode="General">
                  <c:v>7.55</c:v>
                </c:pt>
              </c:numCache>
            </c:numRef>
          </c:val>
        </c:ser>
        <c:ser>
          <c:idx val="5"/>
          <c:order val="5"/>
          <c:tx>
            <c:strRef>
              <c:f>'4'!$A$8</c:f>
              <c:strCache>
                <c:ptCount val="1"/>
                <c:pt idx="0">
                  <c:v>4月6日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'4'!$B$8:$AT$8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16190422</c:v>
                </c:pt>
                <c:pt idx="2">
                  <c:v>19315110</c:v>
                </c:pt>
                <c:pt idx="3">
                  <c:v>17965000</c:v>
                </c:pt>
                <c:pt idx="4">
                  <c:v>17939000</c:v>
                </c:pt>
                <c:pt idx="5">
                  <c:v>219875595</c:v>
                </c:pt>
                <c:pt idx="6">
                  <c:v>104381543</c:v>
                </c:pt>
                <c:pt idx="7">
                  <c:v>219875443</c:v>
                </c:pt>
                <c:pt idx="8">
                  <c:v>104381543</c:v>
                </c:pt>
                <c:pt idx="10" formatCode="0.00_);[Red]\(0.00\)">
                  <c:v>4246.2</c:v>
                </c:pt>
                <c:pt idx="11" formatCode="0.00_);[Red]\(0.00\)">
                  <c:v>3802.12</c:v>
                </c:pt>
                <c:pt idx="12" formatCode="0.00_);[Red]\(0.00\)">
                  <c:v>72809.7</c:v>
                </c:pt>
                <c:pt idx="15" formatCode="0.0_);[Red]\(0.0\)">
                  <c:v>19.2</c:v>
                </c:pt>
                <c:pt idx="16">
                  <c:v>0</c:v>
                </c:pt>
                <c:pt idx="17">
                  <c:v>450</c:v>
                </c:pt>
                <c:pt idx="18">
                  <c:v>460</c:v>
                </c:pt>
                <c:pt idx="19">
                  <c:v>7947</c:v>
                </c:pt>
                <c:pt idx="20">
                  <c:v>6011</c:v>
                </c:pt>
                <c:pt idx="21" formatCode="0.00_);[Red]\(0.00\)">
                  <c:v>6.63</c:v>
                </c:pt>
                <c:pt idx="22" formatCode="0.00_);[Red]\(0.00\)">
                  <c:v>4.5999999999999996</c:v>
                </c:pt>
                <c:pt idx="23">
                  <c:v>1434</c:v>
                </c:pt>
                <c:pt idx="25">
                  <c:v>36346</c:v>
                </c:pt>
                <c:pt idx="26">
                  <c:v>41997</c:v>
                </c:pt>
                <c:pt idx="27">
                  <c:v>42000</c:v>
                </c:pt>
                <c:pt idx="28">
                  <c:v>42000</c:v>
                </c:pt>
                <c:pt idx="29">
                  <c:v>156547</c:v>
                </c:pt>
                <c:pt idx="30">
                  <c:v>5493</c:v>
                </c:pt>
                <c:pt idx="31">
                  <c:v>5796</c:v>
                </c:pt>
                <c:pt idx="32">
                  <c:v>156528</c:v>
                </c:pt>
                <c:pt idx="33">
                  <c:v>5493</c:v>
                </c:pt>
                <c:pt idx="34">
                  <c:v>151035</c:v>
                </c:pt>
                <c:pt idx="35">
                  <c:v>4200</c:v>
                </c:pt>
                <c:pt idx="36">
                  <c:v>7008</c:v>
                </c:pt>
                <c:pt idx="37">
                  <c:v>42</c:v>
                </c:pt>
                <c:pt idx="38">
                  <c:v>3195</c:v>
                </c:pt>
                <c:pt idx="39">
                  <c:v>1104</c:v>
                </c:pt>
                <c:pt idx="40">
                  <c:v>1850</c:v>
                </c:pt>
                <c:pt idx="41" formatCode="General">
                  <c:v>46.4</c:v>
                </c:pt>
                <c:pt idx="42" formatCode="General">
                  <c:v>0.28000000000000003</c:v>
                </c:pt>
                <c:pt idx="43" formatCode="0.0_);[Red]\(0.0\)">
                  <c:v>21.2</c:v>
                </c:pt>
                <c:pt idx="44" formatCode="General">
                  <c:v>7.31</c:v>
                </c:pt>
              </c:numCache>
            </c:numRef>
          </c:val>
        </c:ser>
        <c:ser>
          <c:idx val="6"/>
          <c:order val="6"/>
          <c:tx>
            <c:strRef>
              <c:f>'4'!$A$9</c:f>
              <c:strCache>
                <c:ptCount val="1"/>
                <c:pt idx="0">
                  <c:v>4月7日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'4'!$B$9:$AT$9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16226768</c:v>
                </c:pt>
                <c:pt idx="2">
                  <c:v>19357107</c:v>
                </c:pt>
                <c:pt idx="3">
                  <c:v>18007000</c:v>
                </c:pt>
                <c:pt idx="4">
                  <c:v>17981000</c:v>
                </c:pt>
                <c:pt idx="5">
                  <c:v>220032142</c:v>
                </c:pt>
                <c:pt idx="6">
                  <c:v>104387036</c:v>
                </c:pt>
                <c:pt idx="7">
                  <c:v>220031971</c:v>
                </c:pt>
                <c:pt idx="8">
                  <c:v>104387036</c:v>
                </c:pt>
                <c:pt idx="10" formatCode="0.00_);[Red]\(0.00\)">
                  <c:v>4246.2</c:v>
                </c:pt>
                <c:pt idx="11" formatCode="0.00_);[Red]\(0.00\)">
                  <c:v>3807.96</c:v>
                </c:pt>
                <c:pt idx="12" formatCode="0.00_);[Red]\(0.00\)">
                  <c:v>72830.86</c:v>
                </c:pt>
                <c:pt idx="15" formatCode="0.0_);[Red]\(0.0\)">
                  <c:v>20.9</c:v>
                </c:pt>
                <c:pt idx="16">
                  <c:v>0</c:v>
                </c:pt>
                <c:pt idx="17">
                  <c:v>680</c:v>
                </c:pt>
                <c:pt idx="18">
                  <c:v>700</c:v>
                </c:pt>
                <c:pt idx="19">
                  <c:v>9341</c:v>
                </c:pt>
                <c:pt idx="20">
                  <c:v>7521</c:v>
                </c:pt>
                <c:pt idx="21" formatCode="0.00_);[Red]\(0.00\)">
                  <c:v>7.78</c:v>
                </c:pt>
                <c:pt idx="22" formatCode="0.00_);[Red]\(0.00\)">
                  <c:v>5.23</c:v>
                </c:pt>
                <c:pt idx="23">
                  <c:v>1435</c:v>
                </c:pt>
                <c:pt idx="25">
                  <c:v>42270</c:v>
                </c:pt>
                <c:pt idx="26">
                  <c:v>48318</c:v>
                </c:pt>
                <c:pt idx="27">
                  <c:v>50000</c:v>
                </c:pt>
                <c:pt idx="28">
                  <c:v>50000</c:v>
                </c:pt>
                <c:pt idx="29">
                  <c:v>151245</c:v>
                </c:pt>
                <c:pt idx="30">
                  <c:v>5602</c:v>
                </c:pt>
                <c:pt idx="31">
                  <c:v>39343</c:v>
                </c:pt>
                <c:pt idx="32">
                  <c:v>148601</c:v>
                </c:pt>
                <c:pt idx="33">
                  <c:v>5602</c:v>
                </c:pt>
                <c:pt idx="34">
                  <c:v>142999</c:v>
                </c:pt>
                <c:pt idx="35">
                  <c:v>4000</c:v>
                </c:pt>
                <c:pt idx="36">
                  <c:v>7116</c:v>
                </c:pt>
                <c:pt idx="37">
                  <c:v>43</c:v>
                </c:pt>
                <c:pt idx="38">
                  <c:v>4828</c:v>
                </c:pt>
                <c:pt idx="39">
                  <c:v>1680</c:v>
                </c:pt>
                <c:pt idx="40">
                  <c:v>2330</c:v>
                </c:pt>
                <c:pt idx="41" formatCode="General">
                  <c:v>49.8</c:v>
                </c:pt>
                <c:pt idx="42" formatCode="General">
                  <c:v>0.3</c:v>
                </c:pt>
                <c:pt idx="43" formatCode="0.0_);[Red]\(0.0\)">
                  <c:v>33.799999999999997</c:v>
                </c:pt>
                <c:pt idx="44" formatCode="General">
                  <c:v>11.75</c:v>
                </c:pt>
              </c:numCache>
            </c:numRef>
          </c:val>
        </c:ser>
        <c:ser>
          <c:idx val="7"/>
          <c:order val="7"/>
          <c:tx>
            <c:strRef>
              <c:f>'4'!$A$10</c:f>
              <c:strCache>
                <c:ptCount val="1"/>
                <c:pt idx="0">
                  <c:v>4月8日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'4'!$B$10:$AT$10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16269038</c:v>
                </c:pt>
                <c:pt idx="2">
                  <c:v>19405425</c:v>
                </c:pt>
                <c:pt idx="3">
                  <c:v>18057000</c:v>
                </c:pt>
                <c:pt idx="4">
                  <c:v>18031000</c:v>
                </c:pt>
                <c:pt idx="5">
                  <c:v>220183387</c:v>
                </c:pt>
                <c:pt idx="6">
                  <c:v>104392638</c:v>
                </c:pt>
                <c:pt idx="7">
                  <c:v>220180572</c:v>
                </c:pt>
                <c:pt idx="8">
                  <c:v>104392638</c:v>
                </c:pt>
                <c:pt idx="10" formatCode="0.00_);[Red]\(0.00\)">
                  <c:v>4246.2</c:v>
                </c:pt>
                <c:pt idx="11" formatCode="0.00_);[Red]\(0.00\)">
                  <c:v>3813.89</c:v>
                </c:pt>
                <c:pt idx="12" formatCode="0.00_);[Red]\(0.00\)">
                  <c:v>72852.38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300</c:v>
                </c:pt>
                <c:pt idx="18">
                  <c:v>330</c:v>
                </c:pt>
                <c:pt idx="19">
                  <c:v>10201</c:v>
                </c:pt>
                <c:pt idx="20">
                  <c:v>7647</c:v>
                </c:pt>
                <c:pt idx="21" formatCode="0.00_);[Red]\(0.00\)">
                  <c:v>7.37</c:v>
                </c:pt>
                <c:pt idx="22" formatCode="0.00_);[Red]\(0.00\)">
                  <c:v>5.98</c:v>
                </c:pt>
                <c:pt idx="23">
                  <c:v>1437</c:v>
                </c:pt>
                <c:pt idx="25">
                  <c:v>49179</c:v>
                </c:pt>
                <c:pt idx="26">
                  <c:v>62072</c:v>
                </c:pt>
                <c:pt idx="27">
                  <c:v>64000</c:v>
                </c:pt>
                <c:pt idx="28">
                  <c:v>64000</c:v>
                </c:pt>
                <c:pt idx="29">
                  <c:v>189565</c:v>
                </c:pt>
                <c:pt idx="30">
                  <c:v>5446</c:v>
                </c:pt>
                <c:pt idx="31">
                  <c:v>49686</c:v>
                </c:pt>
                <c:pt idx="32">
                  <c:v>191421</c:v>
                </c:pt>
                <c:pt idx="33">
                  <c:v>5446</c:v>
                </c:pt>
                <c:pt idx="34">
                  <c:v>185975</c:v>
                </c:pt>
                <c:pt idx="35">
                  <c:v>3800</c:v>
                </c:pt>
                <c:pt idx="36">
                  <c:v>6816</c:v>
                </c:pt>
                <c:pt idx="37">
                  <c:v>42</c:v>
                </c:pt>
                <c:pt idx="38">
                  <c:v>2130</c:v>
                </c:pt>
                <c:pt idx="39">
                  <c:v>792</c:v>
                </c:pt>
                <c:pt idx="40">
                  <c:v>1650</c:v>
                </c:pt>
                <c:pt idx="41" formatCode="General">
                  <c:v>36.700000000000003</c:v>
                </c:pt>
                <c:pt idx="42" formatCode="General">
                  <c:v>0.23</c:v>
                </c:pt>
                <c:pt idx="43" formatCode="0.0_);[Red]\(0.0\)">
                  <c:v>11.5</c:v>
                </c:pt>
                <c:pt idx="44" formatCode="General">
                  <c:v>4.26</c:v>
                </c:pt>
              </c:numCache>
            </c:numRef>
          </c:val>
        </c:ser>
        <c:ser>
          <c:idx val="8"/>
          <c:order val="8"/>
          <c:tx>
            <c:strRef>
              <c:f>'4'!$A$11</c:f>
              <c:strCache>
                <c:ptCount val="1"/>
                <c:pt idx="0">
                  <c:v>4月9日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'4'!$B$11:$AT$11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16318217</c:v>
                </c:pt>
                <c:pt idx="2">
                  <c:v>19467497</c:v>
                </c:pt>
                <c:pt idx="3">
                  <c:v>18121000</c:v>
                </c:pt>
                <c:pt idx="4">
                  <c:v>18095000</c:v>
                </c:pt>
                <c:pt idx="5">
                  <c:v>220372952</c:v>
                </c:pt>
                <c:pt idx="6">
                  <c:v>104398084</c:v>
                </c:pt>
                <c:pt idx="7">
                  <c:v>220371993</c:v>
                </c:pt>
                <c:pt idx="8">
                  <c:v>104398084</c:v>
                </c:pt>
                <c:pt idx="10" formatCode="0.00_);[Red]\(0.00\)">
                  <c:v>4246.2</c:v>
                </c:pt>
                <c:pt idx="11" formatCode="0.00_);[Red]\(0.00\)">
                  <c:v>3819.57</c:v>
                </c:pt>
                <c:pt idx="12" formatCode="0.00_);[Red]\(0.00\)">
                  <c:v>72873.59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200</c:v>
                </c:pt>
                <c:pt idx="18">
                  <c:v>210</c:v>
                </c:pt>
                <c:pt idx="19">
                  <c:v>10425</c:v>
                </c:pt>
                <c:pt idx="20">
                  <c:v>9745</c:v>
                </c:pt>
                <c:pt idx="21" formatCode="0.00_);[Red]\(0.00\)">
                  <c:v>5.96</c:v>
                </c:pt>
                <c:pt idx="22" formatCode="0.00_);[Red]\(0.00\)">
                  <c:v>4.46</c:v>
                </c:pt>
                <c:pt idx="23">
                  <c:v>1430</c:v>
                </c:pt>
                <c:pt idx="25">
                  <c:v>49168</c:v>
                </c:pt>
                <c:pt idx="26">
                  <c:v>63273</c:v>
                </c:pt>
                <c:pt idx="27">
                  <c:v>65000</c:v>
                </c:pt>
                <c:pt idx="28">
                  <c:v>66000</c:v>
                </c:pt>
                <c:pt idx="29">
                  <c:v>208583</c:v>
                </c:pt>
                <c:pt idx="30">
                  <c:v>5502</c:v>
                </c:pt>
                <c:pt idx="31">
                  <c:v>34858</c:v>
                </c:pt>
                <c:pt idx="32">
                  <c:v>209098</c:v>
                </c:pt>
                <c:pt idx="33">
                  <c:v>5502</c:v>
                </c:pt>
                <c:pt idx="34">
                  <c:v>203596</c:v>
                </c:pt>
                <c:pt idx="35">
                  <c:v>4200</c:v>
                </c:pt>
                <c:pt idx="36">
                  <c:v>1428</c:v>
                </c:pt>
                <c:pt idx="37">
                  <c:v>0</c:v>
                </c:pt>
                <c:pt idx="38">
                  <c:v>1420</c:v>
                </c:pt>
                <c:pt idx="39">
                  <c:v>504</c:v>
                </c:pt>
                <c:pt idx="40">
                  <c:v>1610</c:v>
                </c:pt>
                <c:pt idx="41" formatCode="General">
                  <c:v>7</c:v>
                </c:pt>
                <c:pt idx="42" formatCode="General">
                  <c:v>0</c:v>
                </c:pt>
                <c:pt idx="43" formatCode="0.0_);[Red]\(0.0\)">
                  <c:v>7</c:v>
                </c:pt>
                <c:pt idx="44" formatCode="General">
                  <c:v>2.48</c:v>
                </c:pt>
              </c:numCache>
            </c:numRef>
          </c:val>
        </c:ser>
        <c:ser>
          <c:idx val="9"/>
          <c:order val="9"/>
          <c:tx>
            <c:strRef>
              <c:f>'4'!$A$12</c:f>
              <c:strCache>
                <c:ptCount val="1"/>
                <c:pt idx="0">
                  <c:v>4月10日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'4'!$B$12:$AT$12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16367385</c:v>
                </c:pt>
                <c:pt idx="2">
                  <c:v>19530770</c:v>
                </c:pt>
                <c:pt idx="3">
                  <c:v>18186000</c:v>
                </c:pt>
                <c:pt idx="4">
                  <c:v>18161000</c:v>
                </c:pt>
                <c:pt idx="5">
                  <c:v>220581535</c:v>
                </c:pt>
                <c:pt idx="6">
                  <c:v>104403586</c:v>
                </c:pt>
                <c:pt idx="7">
                  <c:v>220581091</c:v>
                </c:pt>
                <c:pt idx="8">
                  <c:v>104403586</c:v>
                </c:pt>
                <c:pt idx="10" formatCode="0.00_);[Red]\(0.00\)">
                  <c:v>4246.2</c:v>
                </c:pt>
                <c:pt idx="11" formatCode="0.00_);[Red]\(0.00\)">
                  <c:v>3820.76</c:v>
                </c:pt>
                <c:pt idx="12" formatCode="0.00_);[Red]\(0.00\)">
                  <c:v>72873.460000000006</c:v>
                </c:pt>
                <c:pt idx="15" formatCode="0.0_);[Red]\(0.0\)">
                  <c:v>21.6</c:v>
                </c:pt>
                <c:pt idx="16">
                  <c:v>0</c:v>
                </c:pt>
                <c:pt idx="17">
                  <c:v>210</c:v>
                </c:pt>
                <c:pt idx="18">
                  <c:v>230</c:v>
                </c:pt>
                <c:pt idx="19">
                  <c:v>10733</c:v>
                </c:pt>
                <c:pt idx="20">
                  <c:v>9880</c:v>
                </c:pt>
                <c:pt idx="21" formatCode="0.00_);[Red]\(0.00\)">
                  <c:v>2.61</c:v>
                </c:pt>
                <c:pt idx="22" formatCode="0.00_);[Red]\(0.00\)">
                  <c:v>4.29</c:v>
                </c:pt>
                <c:pt idx="23">
                  <c:v>707</c:v>
                </c:pt>
                <c:pt idx="25">
                  <c:v>48765</c:v>
                </c:pt>
                <c:pt idx="26">
                  <c:v>63813</c:v>
                </c:pt>
                <c:pt idx="27">
                  <c:v>66000</c:v>
                </c:pt>
                <c:pt idx="28">
                  <c:v>68000</c:v>
                </c:pt>
                <c:pt idx="29">
                  <c:v>211104</c:v>
                </c:pt>
                <c:pt idx="30">
                  <c:v>4575</c:v>
                </c:pt>
                <c:pt idx="31">
                  <c:v>35474</c:v>
                </c:pt>
                <c:pt idx="32">
                  <c:v>213608</c:v>
                </c:pt>
                <c:pt idx="33">
                  <c:v>4575</c:v>
                </c:pt>
                <c:pt idx="34">
                  <c:v>209033</c:v>
                </c:pt>
                <c:pt idx="35">
                  <c:v>4000</c:v>
                </c:pt>
                <c:pt idx="36">
                  <c:v>0</c:v>
                </c:pt>
                <c:pt idx="37">
                  <c:v>0</c:v>
                </c:pt>
                <c:pt idx="38">
                  <c:v>1491</c:v>
                </c:pt>
                <c:pt idx="39">
                  <c:v>552</c:v>
                </c:pt>
                <c:pt idx="40">
                  <c:v>1790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7.1</c:v>
                </c:pt>
                <c:pt idx="44" formatCode="General">
                  <c:v>2.64</c:v>
                </c:pt>
              </c:numCache>
            </c:numRef>
          </c:val>
        </c:ser>
        <c:ser>
          <c:idx val="10"/>
          <c:order val="10"/>
          <c:tx>
            <c:strRef>
              <c:f>'4'!$A$13</c:f>
              <c:strCache>
                <c:ptCount val="1"/>
                <c:pt idx="0">
                  <c:v>4月11日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'4'!$B$13:$AT$13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16416150</c:v>
                </c:pt>
                <c:pt idx="2">
                  <c:v>58591</c:v>
                </c:pt>
                <c:pt idx="3">
                  <c:v>18252000</c:v>
                </c:pt>
                <c:pt idx="4">
                  <c:v>18229000</c:v>
                </c:pt>
                <c:pt idx="5">
                  <c:v>220792639</c:v>
                </c:pt>
                <c:pt idx="6">
                  <c:v>104408161</c:v>
                </c:pt>
                <c:pt idx="7">
                  <c:v>220794699</c:v>
                </c:pt>
                <c:pt idx="8">
                  <c:v>104408161</c:v>
                </c:pt>
                <c:pt idx="10" formatCode="0.00_);[Red]\(0.00\)">
                  <c:v>4246.2</c:v>
                </c:pt>
                <c:pt idx="11" formatCode="0.00_);[Red]\(0.00\)">
                  <c:v>3820.76</c:v>
                </c:pt>
                <c:pt idx="12" formatCode="0.00_);[Red]\(0.00\)">
                  <c:v>72873.460000000006</c:v>
                </c:pt>
                <c:pt idx="15" formatCode="0.0_);[Red]\(0.0\)">
                  <c:v>20.8</c:v>
                </c:pt>
                <c:pt idx="16">
                  <c:v>0</c:v>
                </c:pt>
                <c:pt idx="17">
                  <c:v>430</c:v>
                </c:pt>
                <c:pt idx="18">
                  <c:v>450</c:v>
                </c:pt>
                <c:pt idx="19">
                  <c:v>10325</c:v>
                </c:pt>
                <c:pt idx="20">
                  <c:v>7251</c:v>
                </c:pt>
                <c:pt idx="21" formatCode="0.00_);[Red]\(0.00\)">
                  <c:v>6.93</c:v>
                </c:pt>
                <c:pt idx="22" formatCode="0.00_);[Red]\(0.00\)">
                  <c:v>2.73</c:v>
                </c:pt>
                <c:pt idx="23">
                  <c:v>969</c:v>
                </c:pt>
                <c:pt idx="25">
                  <c:v>47727</c:v>
                </c:pt>
                <c:pt idx="26">
                  <c:v>61105</c:v>
                </c:pt>
                <c:pt idx="27">
                  <c:v>60000</c:v>
                </c:pt>
                <c:pt idx="28">
                  <c:v>62000</c:v>
                </c:pt>
                <c:pt idx="29">
                  <c:v>211004</c:v>
                </c:pt>
                <c:pt idx="30">
                  <c:v>5966</c:v>
                </c:pt>
                <c:pt idx="31">
                  <c:v>19828</c:v>
                </c:pt>
                <c:pt idx="32">
                  <c:v>209225</c:v>
                </c:pt>
                <c:pt idx="33">
                  <c:v>5966</c:v>
                </c:pt>
                <c:pt idx="34">
                  <c:v>203259</c:v>
                </c:pt>
                <c:pt idx="35">
                  <c:v>4180</c:v>
                </c:pt>
                <c:pt idx="36">
                  <c:v>2544</c:v>
                </c:pt>
                <c:pt idx="37">
                  <c:v>12</c:v>
                </c:pt>
                <c:pt idx="38">
                  <c:v>3053</c:v>
                </c:pt>
                <c:pt idx="39">
                  <c:v>1080</c:v>
                </c:pt>
                <c:pt idx="40">
                  <c:v>3580</c:v>
                </c:pt>
                <c:pt idx="41" formatCode="General">
                  <c:v>12.5</c:v>
                </c:pt>
                <c:pt idx="42" formatCode="General">
                  <c:v>0.06</c:v>
                </c:pt>
                <c:pt idx="43" formatCode="0.0_);[Red]\(0.0\)">
                  <c:v>15</c:v>
                </c:pt>
                <c:pt idx="44" formatCode="General">
                  <c:v>5.31</c:v>
                </c:pt>
              </c:numCache>
            </c:numRef>
          </c:val>
        </c:ser>
        <c:ser>
          <c:idx val="11"/>
          <c:order val="11"/>
          <c:tx>
            <c:strRef>
              <c:f>'4'!$A$14</c:f>
              <c:strCache>
                <c:ptCount val="1"/>
                <c:pt idx="0">
                  <c:v>4月12日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'4'!$B$14:$AT$14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16463877</c:v>
                </c:pt>
                <c:pt idx="2">
                  <c:v>119696</c:v>
                </c:pt>
                <c:pt idx="3">
                  <c:v>18312000</c:v>
                </c:pt>
                <c:pt idx="4">
                  <c:v>18291000</c:v>
                </c:pt>
                <c:pt idx="5">
                  <c:v>221003643</c:v>
                </c:pt>
                <c:pt idx="6">
                  <c:v>104414127</c:v>
                </c:pt>
                <c:pt idx="7">
                  <c:v>221003924</c:v>
                </c:pt>
                <c:pt idx="8">
                  <c:v>104414127</c:v>
                </c:pt>
                <c:pt idx="10" formatCode="0.00_);[Red]\(0.00\)">
                  <c:v>4246.2</c:v>
                </c:pt>
                <c:pt idx="11" formatCode="0.00_);[Red]\(0.00\)">
                  <c:v>3822.88</c:v>
                </c:pt>
                <c:pt idx="12" formatCode="0.00_);[Red]\(0.00\)">
                  <c:v>72879.48</c:v>
                </c:pt>
                <c:pt idx="15" formatCode="0.0_);[Red]\(0.0\)">
                  <c:v>21.2</c:v>
                </c:pt>
                <c:pt idx="16">
                  <c:v>0</c:v>
                </c:pt>
                <c:pt idx="17">
                  <c:v>520</c:v>
                </c:pt>
                <c:pt idx="18">
                  <c:v>500</c:v>
                </c:pt>
                <c:pt idx="19">
                  <c:v>9315</c:v>
                </c:pt>
                <c:pt idx="20">
                  <c:v>8524</c:v>
                </c:pt>
                <c:pt idx="21" formatCode="0.00_);[Red]\(0.00\)">
                  <c:v>7.57</c:v>
                </c:pt>
                <c:pt idx="22" formatCode="0.00_);[Red]\(0.00\)">
                  <c:v>6.88</c:v>
                </c:pt>
                <c:pt idx="23">
                  <c:v>1433</c:v>
                </c:pt>
                <c:pt idx="25">
                  <c:v>47594</c:v>
                </c:pt>
                <c:pt idx="26">
                  <c:v>58179</c:v>
                </c:pt>
                <c:pt idx="27">
                  <c:v>54000</c:v>
                </c:pt>
                <c:pt idx="28">
                  <c:v>54000</c:v>
                </c:pt>
                <c:pt idx="29">
                  <c:v>205335</c:v>
                </c:pt>
                <c:pt idx="30">
                  <c:v>4993</c:v>
                </c:pt>
                <c:pt idx="31">
                  <c:v>8438</c:v>
                </c:pt>
                <c:pt idx="32">
                  <c:v>205054</c:v>
                </c:pt>
                <c:pt idx="33">
                  <c:v>4993</c:v>
                </c:pt>
                <c:pt idx="34">
                  <c:v>200061</c:v>
                </c:pt>
                <c:pt idx="35">
                  <c:v>3780</c:v>
                </c:pt>
                <c:pt idx="36">
                  <c:v>7188</c:v>
                </c:pt>
                <c:pt idx="37">
                  <c:v>39</c:v>
                </c:pt>
                <c:pt idx="38">
                  <c:v>3692</c:v>
                </c:pt>
                <c:pt idx="39">
                  <c:v>1200</c:v>
                </c:pt>
                <c:pt idx="40">
                  <c:v>1860</c:v>
                </c:pt>
                <c:pt idx="41" formatCode="General">
                  <c:v>35.9</c:v>
                </c:pt>
                <c:pt idx="42" formatCode="General">
                  <c:v>0.19</c:v>
                </c:pt>
                <c:pt idx="43" formatCode="0.0_);[Red]\(0.0\)">
                  <c:v>18.5</c:v>
                </c:pt>
                <c:pt idx="44" formatCode="General">
                  <c:v>6</c:v>
                </c:pt>
              </c:numCache>
            </c:numRef>
          </c:val>
        </c:ser>
        <c:ser>
          <c:idx val="12"/>
          <c:order val="12"/>
          <c:tx>
            <c:strRef>
              <c:f>'4'!$A$15</c:f>
              <c:strCache>
                <c:ptCount val="1"/>
                <c:pt idx="0">
                  <c:v>4月13日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'4'!$B$15:$AT$15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16511471</c:v>
                </c:pt>
                <c:pt idx="2">
                  <c:v>177875</c:v>
                </c:pt>
                <c:pt idx="3">
                  <c:v>18366000</c:v>
                </c:pt>
                <c:pt idx="4">
                  <c:v>18345000</c:v>
                </c:pt>
                <c:pt idx="5">
                  <c:v>221208978</c:v>
                </c:pt>
                <c:pt idx="6">
                  <c:v>104419120</c:v>
                </c:pt>
                <c:pt idx="7">
                  <c:v>221208950</c:v>
                </c:pt>
                <c:pt idx="8">
                  <c:v>104419120</c:v>
                </c:pt>
                <c:pt idx="10" formatCode="0.00_);[Red]\(0.00\)">
                  <c:v>4246.2</c:v>
                </c:pt>
                <c:pt idx="11" formatCode="0.00_);[Red]\(0.00\)">
                  <c:v>3828.87</c:v>
                </c:pt>
                <c:pt idx="12" formatCode="0.00_);[Red]\(0.00\)">
                  <c:v>72898.759999999995</c:v>
                </c:pt>
                <c:pt idx="15" formatCode="0.0_);[Red]\(0.0\)">
                  <c:v>19.7</c:v>
                </c:pt>
                <c:pt idx="16">
                  <c:v>0</c:v>
                </c:pt>
                <c:pt idx="17">
                  <c:v>600</c:v>
                </c:pt>
                <c:pt idx="18">
                  <c:v>610</c:v>
                </c:pt>
                <c:pt idx="19">
                  <c:v>9567</c:v>
                </c:pt>
                <c:pt idx="20">
                  <c:v>7847</c:v>
                </c:pt>
                <c:pt idx="21" formatCode="0.00_);[Red]\(0.00\)">
                  <c:v>7.14</c:v>
                </c:pt>
                <c:pt idx="22" formatCode="0.00_);[Red]\(0.00\)">
                  <c:v>6.74</c:v>
                </c:pt>
                <c:pt idx="23">
                  <c:v>1433</c:v>
                </c:pt>
                <c:pt idx="25">
                  <c:v>48553</c:v>
                </c:pt>
                <c:pt idx="26">
                  <c:v>60491</c:v>
                </c:pt>
                <c:pt idx="27">
                  <c:v>56000</c:v>
                </c:pt>
                <c:pt idx="28">
                  <c:v>58000</c:v>
                </c:pt>
                <c:pt idx="29">
                  <c:v>209015</c:v>
                </c:pt>
                <c:pt idx="30">
                  <c:v>6078</c:v>
                </c:pt>
                <c:pt idx="31">
                  <c:v>14029</c:v>
                </c:pt>
                <c:pt idx="32">
                  <c:v>209528</c:v>
                </c:pt>
                <c:pt idx="33">
                  <c:v>6078</c:v>
                </c:pt>
                <c:pt idx="34">
                  <c:v>203450</c:v>
                </c:pt>
                <c:pt idx="35">
                  <c:v>3640</c:v>
                </c:pt>
                <c:pt idx="36">
                  <c:v>2724</c:v>
                </c:pt>
                <c:pt idx="37">
                  <c:v>16</c:v>
                </c:pt>
                <c:pt idx="38">
                  <c:v>4260</c:v>
                </c:pt>
                <c:pt idx="39">
                  <c:v>1464</c:v>
                </c:pt>
                <c:pt idx="40">
                  <c:v>1830</c:v>
                </c:pt>
                <c:pt idx="41" formatCode="General">
                  <c:v>13.4</c:v>
                </c:pt>
                <c:pt idx="42" formatCode="General">
                  <c:v>0.08</c:v>
                </c:pt>
                <c:pt idx="43" formatCode="0.0_);[Red]\(0.0\)">
                  <c:v>20.9</c:v>
                </c:pt>
                <c:pt idx="44" formatCode="General">
                  <c:v>7.2</c:v>
                </c:pt>
              </c:numCache>
            </c:numRef>
          </c:val>
        </c:ser>
        <c:ser>
          <c:idx val="13"/>
          <c:order val="13"/>
          <c:tx>
            <c:strRef>
              <c:f>'4'!$A$16</c:f>
              <c:strCache>
                <c:ptCount val="1"/>
                <c:pt idx="0">
                  <c:v>4月14日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'4'!$B$16:$AT$16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16560024</c:v>
                </c:pt>
                <c:pt idx="2">
                  <c:v>238366</c:v>
                </c:pt>
                <c:pt idx="3">
                  <c:v>18422000</c:v>
                </c:pt>
                <c:pt idx="4">
                  <c:v>18403000</c:v>
                </c:pt>
                <c:pt idx="5">
                  <c:v>221417993</c:v>
                </c:pt>
                <c:pt idx="6">
                  <c:v>104425198</c:v>
                </c:pt>
                <c:pt idx="7">
                  <c:v>221418506</c:v>
                </c:pt>
                <c:pt idx="8">
                  <c:v>104425198</c:v>
                </c:pt>
                <c:pt idx="10" formatCode="0.00_);[Red]\(0.00\)">
                  <c:v>4246.2</c:v>
                </c:pt>
                <c:pt idx="11" formatCode="0.00_);[Red]\(0.00\)">
                  <c:v>3831.14</c:v>
                </c:pt>
                <c:pt idx="12" formatCode="0.00_);[Red]\(0.00\)">
                  <c:v>72906.59</c:v>
                </c:pt>
                <c:pt idx="15" formatCode="0.0_);[Red]\(0.0\)">
                  <c:v>20</c:v>
                </c:pt>
                <c:pt idx="16">
                  <c:v>0</c:v>
                </c:pt>
                <c:pt idx="17">
                  <c:v>460</c:v>
                </c:pt>
                <c:pt idx="18">
                  <c:v>480</c:v>
                </c:pt>
                <c:pt idx="19">
                  <c:v>10354</c:v>
                </c:pt>
                <c:pt idx="20">
                  <c:v>7685</c:v>
                </c:pt>
                <c:pt idx="21" formatCode="0.00_);[Red]\(0.00\)">
                  <c:v>6.8</c:v>
                </c:pt>
                <c:pt idx="22" formatCode="0.00_);[Red]\(0.00\)">
                  <c:v>5.55</c:v>
                </c:pt>
                <c:pt idx="23">
                  <c:v>1431</c:v>
                </c:pt>
                <c:pt idx="25">
                  <c:v>55033</c:v>
                </c:pt>
                <c:pt idx="26">
                  <c:v>67040</c:v>
                </c:pt>
                <c:pt idx="27">
                  <c:v>59000</c:v>
                </c:pt>
                <c:pt idx="28">
                  <c:v>60000</c:v>
                </c:pt>
                <c:pt idx="29">
                  <c:v>210324</c:v>
                </c:pt>
                <c:pt idx="30">
                  <c:v>5517</c:v>
                </c:pt>
                <c:pt idx="31">
                  <c:v>30749</c:v>
                </c:pt>
                <c:pt idx="32">
                  <c:v>209784</c:v>
                </c:pt>
                <c:pt idx="33">
                  <c:v>5517</c:v>
                </c:pt>
                <c:pt idx="34">
                  <c:v>204267</c:v>
                </c:pt>
                <c:pt idx="35">
                  <c:v>4440</c:v>
                </c:pt>
                <c:pt idx="36">
                  <c:v>3192</c:v>
                </c:pt>
                <c:pt idx="37">
                  <c:v>12</c:v>
                </c:pt>
                <c:pt idx="38">
                  <c:v>3266</c:v>
                </c:pt>
                <c:pt idx="39">
                  <c:v>1152</c:v>
                </c:pt>
                <c:pt idx="40">
                  <c:v>1490</c:v>
                </c:pt>
                <c:pt idx="41" formatCode="General">
                  <c:v>15.6</c:v>
                </c:pt>
                <c:pt idx="42" formatCode="General">
                  <c:v>0.06</c:v>
                </c:pt>
                <c:pt idx="43" formatCode="0.0_);[Red]\(0.0\)">
                  <c:v>16</c:v>
                </c:pt>
                <c:pt idx="44" formatCode="General">
                  <c:v>5.64</c:v>
                </c:pt>
              </c:numCache>
            </c:numRef>
          </c:val>
        </c:ser>
        <c:ser>
          <c:idx val="14"/>
          <c:order val="14"/>
          <c:tx>
            <c:strRef>
              <c:f>'4'!$A$17</c:f>
              <c:strCache>
                <c:ptCount val="1"/>
                <c:pt idx="0">
                  <c:v>4月15日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'4'!$B$17:$AT$17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16615057</c:v>
                </c:pt>
                <c:pt idx="2">
                  <c:v>305406</c:v>
                </c:pt>
                <c:pt idx="3">
                  <c:v>18481000</c:v>
                </c:pt>
                <c:pt idx="4">
                  <c:v>18463000</c:v>
                </c:pt>
                <c:pt idx="5">
                  <c:v>221628317</c:v>
                </c:pt>
                <c:pt idx="6">
                  <c:v>104430715</c:v>
                </c:pt>
                <c:pt idx="7">
                  <c:v>221628290</c:v>
                </c:pt>
                <c:pt idx="8">
                  <c:v>104430715</c:v>
                </c:pt>
                <c:pt idx="10" formatCode="0.00_);[Red]\(0.00\)">
                  <c:v>4246.2</c:v>
                </c:pt>
                <c:pt idx="11" formatCode="0.00_);[Red]\(0.00\)">
                  <c:v>3833.8</c:v>
                </c:pt>
                <c:pt idx="12" formatCode="0.00_);[Red]\(0.00\)">
                  <c:v>72912.7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450</c:v>
                </c:pt>
                <c:pt idx="18">
                  <c:v>460</c:v>
                </c:pt>
                <c:pt idx="19">
                  <c:v>10312</c:v>
                </c:pt>
                <c:pt idx="20">
                  <c:v>8012</c:v>
                </c:pt>
                <c:pt idx="21" formatCode="0.00_);[Red]\(0.00\)">
                  <c:v>6.61</c:v>
                </c:pt>
                <c:pt idx="22" formatCode="0.00_);[Red]\(0.00\)">
                  <c:v>5.31</c:v>
                </c:pt>
                <c:pt idx="23">
                  <c:v>1434</c:v>
                </c:pt>
                <c:pt idx="25">
                  <c:v>48251</c:v>
                </c:pt>
                <c:pt idx="26">
                  <c:v>62114</c:v>
                </c:pt>
                <c:pt idx="27">
                  <c:v>61000</c:v>
                </c:pt>
                <c:pt idx="28">
                  <c:v>62000</c:v>
                </c:pt>
                <c:pt idx="29">
                  <c:v>213220</c:v>
                </c:pt>
                <c:pt idx="30">
                  <c:v>5500</c:v>
                </c:pt>
                <c:pt idx="31">
                  <c:v>20145</c:v>
                </c:pt>
                <c:pt idx="32">
                  <c:v>213256</c:v>
                </c:pt>
                <c:pt idx="33">
                  <c:v>5500</c:v>
                </c:pt>
                <c:pt idx="34">
                  <c:v>207756</c:v>
                </c:pt>
                <c:pt idx="35">
                  <c:v>4240</c:v>
                </c:pt>
                <c:pt idx="36">
                  <c:v>0</c:v>
                </c:pt>
                <c:pt idx="37">
                  <c:v>0</c:v>
                </c:pt>
                <c:pt idx="38">
                  <c:v>3195</c:v>
                </c:pt>
                <c:pt idx="39">
                  <c:v>1104</c:v>
                </c:pt>
                <c:pt idx="40">
                  <c:v>2020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15.4</c:v>
                </c:pt>
                <c:pt idx="44" formatCode="General">
                  <c:v>5.31</c:v>
                </c:pt>
              </c:numCache>
            </c:numRef>
          </c:val>
        </c:ser>
        <c:ser>
          <c:idx val="15"/>
          <c:order val="15"/>
          <c:tx>
            <c:strRef>
              <c:f>'4'!$A$18</c:f>
              <c:strCache>
                <c:ptCount val="1"/>
                <c:pt idx="0">
                  <c:v>4月16日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'4'!$B$18:$AT$18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16663308</c:v>
                </c:pt>
                <c:pt idx="2">
                  <c:v>367520</c:v>
                </c:pt>
                <c:pt idx="3">
                  <c:v>18542000</c:v>
                </c:pt>
                <c:pt idx="4">
                  <c:v>18525000</c:v>
                </c:pt>
                <c:pt idx="5">
                  <c:v>221841537</c:v>
                </c:pt>
                <c:pt idx="6">
                  <c:v>104436215</c:v>
                </c:pt>
                <c:pt idx="7">
                  <c:v>221841546</c:v>
                </c:pt>
                <c:pt idx="8">
                  <c:v>104436215</c:v>
                </c:pt>
                <c:pt idx="10" formatCode="0.00_);[Red]\(0.00\)">
                  <c:v>4246.2</c:v>
                </c:pt>
                <c:pt idx="11" formatCode="0.00_);[Red]\(0.00\)">
                  <c:v>3833.8</c:v>
                </c:pt>
                <c:pt idx="12" formatCode="0.00_);[Red]\(0.00\)">
                  <c:v>72912.7</c:v>
                </c:pt>
                <c:pt idx="15" formatCode="0.0_);[Red]\(0.0\)">
                  <c:v>20.8</c:v>
                </c:pt>
                <c:pt idx="16">
                  <c:v>0</c:v>
                </c:pt>
                <c:pt idx="17">
                  <c:v>280</c:v>
                </c:pt>
                <c:pt idx="18">
                  <c:v>300</c:v>
                </c:pt>
                <c:pt idx="19">
                  <c:v>9263</c:v>
                </c:pt>
                <c:pt idx="20">
                  <c:v>8547</c:v>
                </c:pt>
                <c:pt idx="21" formatCode="0.00_);[Red]\(0.00\)">
                  <c:v>6.25</c:v>
                </c:pt>
                <c:pt idx="22" formatCode="0.00_);[Red]\(0.00\)">
                  <c:v>5.47</c:v>
                </c:pt>
                <c:pt idx="23">
                  <c:v>1440</c:v>
                </c:pt>
                <c:pt idx="25">
                  <c:v>47317</c:v>
                </c:pt>
                <c:pt idx="26">
                  <c:v>57908</c:v>
                </c:pt>
                <c:pt idx="27">
                  <c:v>53000</c:v>
                </c:pt>
                <c:pt idx="28">
                  <c:v>60000</c:v>
                </c:pt>
                <c:pt idx="29">
                  <c:v>209654</c:v>
                </c:pt>
                <c:pt idx="30">
                  <c:v>5488</c:v>
                </c:pt>
                <c:pt idx="31">
                  <c:v>8571</c:v>
                </c:pt>
                <c:pt idx="32">
                  <c:v>209726</c:v>
                </c:pt>
                <c:pt idx="33">
                  <c:v>5489</c:v>
                </c:pt>
                <c:pt idx="34">
                  <c:v>204237</c:v>
                </c:pt>
                <c:pt idx="35">
                  <c:v>3720</c:v>
                </c:pt>
                <c:pt idx="36">
                  <c:v>0</c:v>
                </c:pt>
                <c:pt idx="37">
                  <c:v>0</c:v>
                </c:pt>
                <c:pt idx="38">
                  <c:v>1988</c:v>
                </c:pt>
                <c:pt idx="39">
                  <c:v>720</c:v>
                </c:pt>
                <c:pt idx="40">
                  <c:v>1860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9.6999999999999993</c:v>
                </c:pt>
                <c:pt idx="44" formatCode="General">
                  <c:v>3.53</c:v>
                </c:pt>
              </c:numCache>
            </c:numRef>
          </c:val>
        </c:ser>
        <c:ser>
          <c:idx val="16"/>
          <c:order val="16"/>
          <c:tx>
            <c:strRef>
              <c:f>'4'!$A$19</c:f>
              <c:strCache>
                <c:ptCount val="1"/>
                <c:pt idx="0">
                  <c:v>4月17日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'4'!$B$19:$AT$19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16710625</c:v>
                </c:pt>
                <c:pt idx="2">
                  <c:v>425428</c:v>
                </c:pt>
                <c:pt idx="3">
                  <c:v>18595000</c:v>
                </c:pt>
                <c:pt idx="4">
                  <c:v>18585000</c:v>
                </c:pt>
                <c:pt idx="5">
                  <c:v>222051191</c:v>
                </c:pt>
                <c:pt idx="6">
                  <c:v>104441703</c:v>
                </c:pt>
                <c:pt idx="7">
                  <c:v>222051272</c:v>
                </c:pt>
                <c:pt idx="8">
                  <c:v>104441704</c:v>
                </c:pt>
                <c:pt idx="10" formatCode="0.00_);[Red]\(0.00\)">
                  <c:v>4246.2</c:v>
                </c:pt>
                <c:pt idx="11" formatCode="0.00_);[Red]\(0.00\)">
                  <c:v>3833.8</c:v>
                </c:pt>
                <c:pt idx="12" formatCode="0.00_);[Red]\(0.00\)">
                  <c:v>72912.7</c:v>
                </c:pt>
                <c:pt idx="15" formatCode="0.0_);[Red]\(0.0\)">
                  <c:v>19.8</c:v>
                </c:pt>
                <c:pt idx="16">
                  <c:v>0</c:v>
                </c:pt>
                <c:pt idx="17">
                  <c:v>220</c:v>
                </c:pt>
                <c:pt idx="18">
                  <c:v>230</c:v>
                </c:pt>
                <c:pt idx="19">
                  <c:v>10425</c:v>
                </c:pt>
                <c:pt idx="20">
                  <c:v>9152</c:v>
                </c:pt>
                <c:pt idx="21" formatCode="0.00_);[Red]\(0.00\)">
                  <c:v>6.13</c:v>
                </c:pt>
                <c:pt idx="22" formatCode="0.00_);[Red]\(0.00\)">
                  <c:v>4.53</c:v>
                </c:pt>
                <c:pt idx="23">
                  <c:v>1433</c:v>
                </c:pt>
                <c:pt idx="25">
                  <c:v>49668</c:v>
                </c:pt>
                <c:pt idx="26">
                  <c:v>63102</c:v>
                </c:pt>
                <c:pt idx="27">
                  <c:v>62000</c:v>
                </c:pt>
                <c:pt idx="28">
                  <c:v>58000</c:v>
                </c:pt>
                <c:pt idx="29">
                  <c:v>214513</c:v>
                </c:pt>
                <c:pt idx="30">
                  <c:v>5533</c:v>
                </c:pt>
                <c:pt idx="31">
                  <c:v>18257</c:v>
                </c:pt>
                <c:pt idx="32">
                  <c:v>213119</c:v>
                </c:pt>
                <c:pt idx="33">
                  <c:v>5532</c:v>
                </c:pt>
                <c:pt idx="34">
                  <c:v>207587</c:v>
                </c:pt>
                <c:pt idx="35">
                  <c:v>4200</c:v>
                </c:pt>
                <c:pt idx="36">
                  <c:v>492</c:v>
                </c:pt>
                <c:pt idx="37">
                  <c:v>0</c:v>
                </c:pt>
                <c:pt idx="38">
                  <c:v>1562</c:v>
                </c:pt>
                <c:pt idx="39">
                  <c:v>552</c:v>
                </c:pt>
                <c:pt idx="40">
                  <c:v>1850</c:v>
                </c:pt>
                <c:pt idx="41" formatCode="General">
                  <c:v>2.4</c:v>
                </c:pt>
                <c:pt idx="42" formatCode="General">
                  <c:v>0</c:v>
                </c:pt>
                <c:pt idx="43" formatCode="0.0_);[Red]\(0.0\)">
                  <c:v>7.5</c:v>
                </c:pt>
                <c:pt idx="44" formatCode="General">
                  <c:v>2.66</c:v>
                </c:pt>
              </c:numCache>
            </c:numRef>
          </c:val>
        </c:ser>
        <c:ser>
          <c:idx val="17"/>
          <c:order val="17"/>
          <c:tx>
            <c:strRef>
              <c:f>'4'!$A$20</c:f>
              <c:strCache>
                <c:ptCount val="1"/>
                <c:pt idx="0">
                  <c:v>4月18日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'4'!$B$20:$AT$20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16760293</c:v>
                </c:pt>
                <c:pt idx="2">
                  <c:v>488530</c:v>
                </c:pt>
                <c:pt idx="3">
                  <c:v>18657000</c:v>
                </c:pt>
                <c:pt idx="4">
                  <c:v>18643000</c:v>
                </c:pt>
                <c:pt idx="5">
                  <c:v>222265704</c:v>
                </c:pt>
                <c:pt idx="6">
                  <c:v>104447236</c:v>
                </c:pt>
                <c:pt idx="7">
                  <c:v>222264391</c:v>
                </c:pt>
                <c:pt idx="8">
                  <c:v>104447236</c:v>
                </c:pt>
                <c:pt idx="10" formatCode="0.00_);[Red]\(0.00\)">
                  <c:v>4246.2</c:v>
                </c:pt>
                <c:pt idx="11" formatCode="0.00_);[Red]\(0.00\)">
                  <c:v>3834.21</c:v>
                </c:pt>
                <c:pt idx="12" formatCode="0.00_);[Red]\(0.00\)">
                  <c:v>72912.800000000003</c:v>
                </c:pt>
                <c:pt idx="15" formatCode="0.0_);[Red]\(0.0\)">
                  <c:v>21.6</c:v>
                </c:pt>
                <c:pt idx="16">
                  <c:v>0</c:v>
                </c:pt>
                <c:pt idx="17">
                  <c:v>420</c:v>
                </c:pt>
                <c:pt idx="18">
                  <c:v>430</c:v>
                </c:pt>
                <c:pt idx="19">
                  <c:v>10349</c:v>
                </c:pt>
                <c:pt idx="20">
                  <c:v>7512</c:v>
                </c:pt>
                <c:pt idx="21" formatCode="0.00_);[Red]\(0.00\)">
                  <c:v>8.36</c:v>
                </c:pt>
                <c:pt idx="22" formatCode="0.00_);[Red]\(0.00\)">
                  <c:v>2.76</c:v>
                </c:pt>
                <c:pt idx="23">
                  <c:v>1251</c:v>
                </c:pt>
                <c:pt idx="25">
                  <c:v>48504</c:v>
                </c:pt>
                <c:pt idx="26">
                  <c:v>62787</c:v>
                </c:pt>
                <c:pt idx="27">
                  <c:v>63000</c:v>
                </c:pt>
                <c:pt idx="28">
                  <c:v>66000</c:v>
                </c:pt>
                <c:pt idx="29">
                  <c:v>213390</c:v>
                </c:pt>
                <c:pt idx="30">
                  <c:v>5495</c:v>
                </c:pt>
                <c:pt idx="31">
                  <c:v>26901</c:v>
                </c:pt>
                <c:pt idx="32">
                  <c:v>213626</c:v>
                </c:pt>
                <c:pt idx="33">
                  <c:v>5460</c:v>
                </c:pt>
                <c:pt idx="34">
                  <c:v>208166</c:v>
                </c:pt>
                <c:pt idx="35">
                  <c:v>4600</c:v>
                </c:pt>
                <c:pt idx="36">
                  <c:v>468</c:v>
                </c:pt>
                <c:pt idx="37">
                  <c:v>2</c:v>
                </c:pt>
                <c:pt idx="38">
                  <c:v>2982</c:v>
                </c:pt>
                <c:pt idx="39">
                  <c:v>1032</c:v>
                </c:pt>
                <c:pt idx="40">
                  <c:v>1770</c:v>
                </c:pt>
                <c:pt idx="41" formatCode="General">
                  <c:v>2.2000000000000002</c:v>
                </c:pt>
                <c:pt idx="42" formatCode="General">
                  <c:v>0.01</c:v>
                </c:pt>
                <c:pt idx="43" formatCode="0.0_);[Red]\(0.0\)">
                  <c:v>14.3</c:v>
                </c:pt>
                <c:pt idx="44" formatCode="General">
                  <c:v>4.96</c:v>
                </c:pt>
              </c:numCache>
            </c:numRef>
          </c:val>
        </c:ser>
        <c:ser>
          <c:idx val="18"/>
          <c:order val="18"/>
          <c:tx>
            <c:strRef>
              <c:f>'4'!$A$21</c:f>
              <c:strCache>
                <c:ptCount val="1"/>
                <c:pt idx="0">
                  <c:v>4月19日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'4'!$B$21:$AT$21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16808797</c:v>
                </c:pt>
                <c:pt idx="2">
                  <c:v>551317</c:v>
                </c:pt>
                <c:pt idx="3">
                  <c:v>18720000</c:v>
                </c:pt>
                <c:pt idx="4">
                  <c:v>18709000</c:v>
                </c:pt>
                <c:pt idx="5">
                  <c:v>222479094</c:v>
                </c:pt>
                <c:pt idx="6">
                  <c:v>104452731</c:v>
                </c:pt>
                <c:pt idx="7">
                  <c:v>222478017</c:v>
                </c:pt>
                <c:pt idx="8">
                  <c:v>104452696</c:v>
                </c:pt>
                <c:pt idx="10" formatCode="0.00_);[Red]\(0.00\)">
                  <c:v>4246.2</c:v>
                </c:pt>
                <c:pt idx="11" formatCode="0.00_);[Red]\(0.00\)">
                  <c:v>3834.6</c:v>
                </c:pt>
                <c:pt idx="12" formatCode="0.00_);[Red]\(0.00\)">
                  <c:v>72913.8</c:v>
                </c:pt>
                <c:pt idx="15" formatCode="0.0_);[Red]\(0.0\)">
                  <c:v>21.8</c:v>
                </c:pt>
                <c:pt idx="16">
                  <c:v>0</c:v>
                </c:pt>
                <c:pt idx="17">
                  <c:v>600</c:v>
                </c:pt>
                <c:pt idx="18">
                  <c:v>620</c:v>
                </c:pt>
                <c:pt idx="19">
                  <c:v>10391</c:v>
                </c:pt>
                <c:pt idx="20">
                  <c:v>3999</c:v>
                </c:pt>
                <c:pt idx="21" formatCode="0.00_);[Red]\(0.00\)">
                  <c:v>6.92</c:v>
                </c:pt>
                <c:pt idx="22" formatCode="0.00_);[Red]\(0.00\)">
                  <c:v>2.11</c:v>
                </c:pt>
                <c:pt idx="23">
                  <c:v>826</c:v>
                </c:pt>
                <c:pt idx="25">
                  <c:v>49707</c:v>
                </c:pt>
                <c:pt idx="26">
                  <c:v>60849</c:v>
                </c:pt>
                <c:pt idx="27">
                  <c:v>58000</c:v>
                </c:pt>
                <c:pt idx="28">
                  <c:v>58000</c:v>
                </c:pt>
                <c:pt idx="29">
                  <c:v>201558</c:v>
                </c:pt>
                <c:pt idx="30">
                  <c:v>5518</c:v>
                </c:pt>
                <c:pt idx="31">
                  <c:v>24998</c:v>
                </c:pt>
                <c:pt idx="32">
                  <c:v>201487</c:v>
                </c:pt>
                <c:pt idx="33">
                  <c:v>5504</c:v>
                </c:pt>
                <c:pt idx="34">
                  <c:v>195983</c:v>
                </c:pt>
                <c:pt idx="35">
                  <c:v>3600</c:v>
                </c:pt>
                <c:pt idx="36">
                  <c:v>4440</c:v>
                </c:pt>
                <c:pt idx="37">
                  <c:v>16</c:v>
                </c:pt>
                <c:pt idx="38">
                  <c:v>4260</c:v>
                </c:pt>
                <c:pt idx="39">
                  <c:v>1488</c:v>
                </c:pt>
                <c:pt idx="40">
                  <c:v>2480</c:v>
                </c:pt>
                <c:pt idx="41" formatCode="General">
                  <c:v>22.7</c:v>
                </c:pt>
                <c:pt idx="42" formatCode="General">
                  <c:v>0.08</c:v>
                </c:pt>
                <c:pt idx="43" formatCode="0.0_);[Red]\(0.0\)">
                  <c:v>21.7</c:v>
                </c:pt>
                <c:pt idx="44" formatCode="General">
                  <c:v>7.59</c:v>
                </c:pt>
              </c:numCache>
            </c:numRef>
          </c:val>
        </c:ser>
        <c:ser>
          <c:idx val="19"/>
          <c:order val="19"/>
          <c:tx>
            <c:strRef>
              <c:f>'4'!$A$22</c:f>
              <c:strCache>
                <c:ptCount val="1"/>
                <c:pt idx="0">
                  <c:v>4月20日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'4'!$B$22:$AT$22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16858504</c:v>
                </c:pt>
                <c:pt idx="2">
                  <c:v>612166</c:v>
                </c:pt>
                <c:pt idx="3">
                  <c:v>18778000</c:v>
                </c:pt>
                <c:pt idx="4">
                  <c:v>18767000</c:v>
                </c:pt>
                <c:pt idx="5">
                  <c:v>222680652</c:v>
                </c:pt>
                <c:pt idx="6">
                  <c:v>104458249</c:v>
                </c:pt>
                <c:pt idx="7">
                  <c:v>222679504</c:v>
                </c:pt>
                <c:pt idx="8">
                  <c:v>104458200</c:v>
                </c:pt>
                <c:pt idx="10" formatCode="0.00_);[Red]\(0.00\)">
                  <c:v>4246.2</c:v>
                </c:pt>
                <c:pt idx="11" formatCode="0.00_);[Red]\(0.00\)">
                  <c:v>3838.3</c:v>
                </c:pt>
                <c:pt idx="12" formatCode="0.00_);[Red]\(0.00\)">
                  <c:v>72921.8</c:v>
                </c:pt>
                <c:pt idx="15" formatCode="0.0_);[Red]\(0.0\)">
                  <c:v>21.5</c:v>
                </c:pt>
                <c:pt idx="16">
                  <c:v>0</c:v>
                </c:pt>
                <c:pt idx="17">
                  <c:v>560</c:v>
                </c:pt>
                <c:pt idx="18">
                  <c:v>590</c:v>
                </c:pt>
                <c:pt idx="19">
                  <c:v>10265</c:v>
                </c:pt>
                <c:pt idx="20">
                  <c:v>5123</c:v>
                </c:pt>
                <c:pt idx="21" formatCode="0.00_);[Red]\(0.00\)">
                  <c:v>6.07</c:v>
                </c:pt>
                <c:pt idx="22" formatCode="0.00_);[Red]\(0.00\)">
                  <c:v>2.19</c:v>
                </c:pt>
                <c:pt idx="23">
                  <c:v>291</c:v>
                </c:pt>
                <c:pt idx="25">
                  <c:v>47862</c:v>
                </c:pt>
                <c:pt idx="26">
                  <c:v>58787</c:v>
                </c:pt>
                <c:pt idx="27">
                  <c:v>50000</c:v>
                </c:pt>
                <c:pt idx="28">
                  <c:v>50000</c:v>
                </c:pt>
                <c:pt idx="29">
                  <c:v>178986</c:v>
                </c:pt>
                <c:pt idx="30">
                  <c:v>5501</c:v>
                </c:pt>
                <c:pt idx="31">
                  <c:v>27663</c:v>
                </c:pt>
                <c:pt idx="32">
                  <c:v>179223</c:v>
                </c:pt>
                <c:pt idx="33">
                  <c:v>5496</c:v>
                </c:pt>
                <c:pt idx="34">
                  <c:v>173727</c:v>
                </c:pt>
                <c:pt idx="35">
                  <c:v>4200</c:v>
                </c:pt>
                <c:pt idx="36">
                  <c:v>5040</c:v>
                </c:pt>
                <c:pt idx="37">
                  <c:v>15</c:v>
                </c:pt>
                <c:pt idx="38">
                  <c:v>3976</c:v>
                </c:pt>
                <c:pt idx="39">
                  <c:v>1416</c:v>
                </c:pt>
                <c:pt idx="40">
                  <c:v>1870</c:v>
                </c:pt>
                <c:pt idx="41" formatCode="General">
                  <c:v>29</c:v>
                </c:pt>
                <c:pt idx="42" formatCode="General">
                  <c:v>0.09</c:v>
                </c:pt>
                <c:pt idx="43" formatCode="0.0_);[Red]\(0.0\)">
                  <c:v>22.9</c:v>
                </c:pt>
                <c:pt idx="44" formatCode="General">
                  <c:v>8.15</c:v>
                </c:pt>
              </c:numCache>
            </c:numRef>
          </c:val>
        </c:ser>
        <c:ser>
          <c:idx val="20"/>
          <c:order val="20"/>
          <c:tx>
            <c:strRef>
              <c:f>'4'!$A$23</c:f>
              <c:strCache>
                <c:ptCount val="1"/>
                <c:pt idx="0">
                  <c:v>4月21日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'4'!$B$23:$AT$23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16906366</c:v>
                </c:pt>
                <c:pt idx="2">
                  <c:v>670953</c:v>
                </c:pt>
                <c:pt idx="3">
                  <c:v>18828000</c:v>
                </c:pt>
                <c:pt idx="4">
                  <c:v>18817000</c:v>
                </c:pt>
                <c:pt idx="5">
                  <c:v>222859638</c:v>
                </c:pt>
                <c:pt idx="6">
                  <c:v>104463750</c:v>
                </c:pt>
                <c:pt idx="7">
                  <c:v>222858727</c:v>
                </c:pt>
                <c:pt idx="8">
                  <c:v>104463696</c:v>
                </c:pt>
                <c:pt idx="10" formatCode="0.00_);[Red]\(0.00\)">
                  <c:v>4246.2</c:v>
                </c:pt>
                <c:pt idx="11" formatCode="0.00_);[Red]\(0.00\)">
                  <c:v>3842.5</c:v>
                </c:pt>
                <c:pt idx="12" formatCode="0.00_);[Red]\(0.00\)">
                  <c:v>72929.3</c:v>
                </c:pt>
                <c:pt idx="15" formatCode="0.0_);[Red]\(0.0\)">
                  <c:v>21.6</c:v>
                </c:pt>
                <c:pt idx="16">
                  <c:v>0</c:v>
                </c:pt>
                <c:pt idx="17">
                  <c:v>460</c:v>
                </c:pt>
                <c:pt idx="18">
                  <c:v>480</c:v>
                </c:pt>
                <c:pt idx="19">
                  <c:v>10211</c:v>
                </c:pt>
                <c:pt idx="20">
                  <c:v>4652</c:v>
                </c:pt>
                <c:pt idx="21" formatCode="0.00_);[Red]\(0.00\)">
                  <c:v>4.9400000000000004</c:v>
                </c:pt>
                <c:pt idx="22" formatCode="0.00_);[Red]\(0.00\)">
                  <c:v>2.1800000000000002</c:v>
                </c:pt>
                <c:pt idx="23">
                  <c:v>85</c:v>
                </c:pt>
                <c:pt idx="25">
                  <c:v>53584</c:v>
                </c:pt>
                <c:pt idx="26">
                  <c:v>64812</c:v>
                </c:pt>
                <c:pt idx="27">
                  <c:v>40000</c:v>
                </c:pt>
                <c:pt idx="28">
                  <c:v>40000</c:v>
                </c:pt>
                <c:pt idx="29">
                  <c:v>183173</c:v>
                </c:pt>
                <c:pt idx="30">
                  <c:v>5435</c:v>
                </c:pt>
                <c:pt idx="31">
                  <c:v>15223</c:v>
                </c:pt>
                <c:pt idx="32">
                  <c:v>184240</c:v>
                </c:pt>
                <c:pt idx="33">
                  <c:v>5496</c:v>
                </c:pt>
                <c:pt idx="34">
                  <c:v>178744</c:v>
                </c:pt>
                <c:pt idx="35">
                  <c:v>3520</c:v>
                </c:pt>
                <c:pt idx="36">
                  <c:v>3720</c:v>
                </c:pt>
                <c:pt idx="37">
                  <c:v>10</c:v>
                </c:pt>
                <c:pt idx="38">
                  <c:v>3266</c:v>
                </c:pt>
                <c:pt idx="39">
                  <c:v>1152</c:v>
                </c:pt>
                <c:pt idx="40">
                  <c:v>2010</c:v>
                </c:pt>
                <c:pt idx="41" formatCode="General">
                  <c:v>20.8</c:v>
                </c:pt>
                <c:pt idx="42" formatCode="General">
                  <c:v>0.06</c:v>
                </c:pt>
                <c:pt idx="43" formatCode="0.0_);[Red]\(0.0\)">
                  <c:v>18.3</c:v>
                </c:pt>
                <c:pt idx="44" formatCode="General">
                  <c:v>6.44</c:v>
                </c:pt>
              </c:numCache>
            </c:numRef>
          </c:val>
        </c:ser>
        <c:ser>
          <c:idx val="21"/>
          <c:order val="21"/>
          <c:tx>
            <c:strRef>
              <c:f>'4'!$A$24</c:f>
              <c:strCache>
                <c:ptCount val="1"/>
                <c:pt idx="0">
                  <c:v>4月22日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'4'!$B$24:$AT$24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16959950</c:v>
                </c:pt>
                <c:pt idx="2">
                  <c:v>735765</c:v>
                </c:pt>
                <c:pt idx="3">
                  <c:v>18868000</c:v>
                </c:pt>
                <c:pt idx="4">
                  <c:v>18857000</c:v>
                </c:pt>
                <c:pt idx="5">
                  <c:v>223042811</c:v>
                </c:pt>
                <c:pt idx="6">
                  <c:v>104469185</c:v>
                </c:pt>
                <c:pt idx="7">
                  <c:v>223042967</c:v>
                </c:pt>
                <c:pt idx="8">
                  <c:v>104469192</c:v>
                </c:pt>
                <c:pt idx="10" formatCode="0.00_);[Red]\(0.00\)">
                  <c:v>4246.2</c:v>
                </c:pt>
                <c:pt idx="11" formatCode="0.00_);[Red]\(0.00\)">
                  <c:v>3845.6</c:v>
                </c:pt>
                <c:pt idx="12" formatCode="0.00_);[Red]\(0.00\)">
                  <c:v>72934.100000000006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400</c:v>
                </c:pt>
                <c:pt idx="18">
                  <c:v>420</c:v>
                </c:pt>
                <c:pt idx="19">
                  <c:v>10302</c:v>
                </c:pt>
                <c:pt idx="20">
                  <c:v>4878</c:v>
                </c:pt>
                <c:pt idx="21" formatCode="0.00_);[Red]\(0.00\)">
                  <c:v>6.87</c:v>
                </c:pt>
                <c:pt idx="22" formatCode="0.00_);[Red]\(0.00\)">
                  <c:v>2.2999999999999998</c:v>
                </c:pt>
                <c:pt idx="23">
                  <c:v>1278</c:v>
                </c:pt>
                <c:pt idx="25">
                  <c:v>54259</c:v>
                </c:pt>
                <c:pt idx="26">
                  <c:v>67398</c:v>
                </c:pt>
                <c:pt idx="27">
                  <c:v>56000</c:v>
                </c:pt>
                <c:pt idx="28">
                  <c:v>57000</c:v>
                </c:pt>
                <c:pt idx="29">
                  <c:v>208471</c:v>
                </c:pt>
                <c:pt idx="30">
                  <c:v>5508</c:v>
                </c:pt>
                <c:pt idx="31">
                  <c:v>26186</c:v>
                </c:pt>
                <c:pt idx="32">
                  <c:v>208294</c:v>
                </c:pt>
                <c:pt idx="33">
                  <c:v>5501</c:v>
                </c:pt>
                <c:pt idx="34">
                  <c:v>202793</c:v>
                </c:pt>
                <c:pt idx="35">
                  <c:v>3840</c:v>
                </c:pt>
                <c:pt idx="36">
                  <c:v>0</c:v>
                </c:pt>
                <c:pt idx="37">
                  <c:v>0</c:v>
                </c:pt>
                <c:pt idx="38">
                  <c:v>2840</c:v>
                </c:pt>
                <c:pt idx="39">
                  <c:v>1008</c:v>
                </c:pt>
                <c:pt idx="40">
                  <c:v>1910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14</c:v>
                </c:pt>
                <c:pt idx="44" formatCode="General">
                  <c:v>4.97</c:v>
                </c:pt>
              </c:numCache>
            </c:numRef>
          </c:val>
        </c:ser>
        <c:ser>
          <c:idx val="22"/>
          <c:order val="22"/>
          <c:tx>
            <c:strRef>
              <c:f>'4'!$A$25</c:f>
              <c:strCache>
                <c:ptCount val="1"/>
                <c:pt idx="0">
                  <c:v>4月23日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'4'!$B$25:$AT$25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17014209</c:v>
                </c:pt>
                <c:pt idx="2">
                  <c:v>803163</c:v>
                </c:pt>
                <c:pt idx="3">
                  <c:v>18924000</c:v>
                </c:pt>
                <c:pt idx="4">
                  <c:v>18914000</c:v>
                </c:pt>
                <c:pt idx="5">
                  <c:v>223251282</c:v>
                </c:pt>
                <c:pt idx="6">
                  <c:v>104474693</c:v>
                </c:pt>
                <c:pt idx="7">
                  <c:v>223251261</c:v>
                </c:pt>
                <c:pt idx="8">
                  <c:v>104474693</c:v>
                </c:pt>
                <c:pt idx="10" formatCode="0.00_);[Red]\(0.00\)">
                  <c:v>4246.2</c:v>
                </c:pt>
                <c:pt idx="11" formatCode="0.00_);[Red]\(0.00\)">
                  <c:v>3845.6</c:v>
                </c:pt>
                <c:pt idx="12" formatCode="0.00_);[Red]\(0.00\)">
                  <c:v>72934.100000000006</c:v>
                </c:pt>
                <c:pt idx="15" formatCode="0.0_);[Red]\(0.0\)">
                  <c:v>22</c:v>
                </c:pt>
                <c:pt idx="16">
                  <c:v>0</c:v>
                </c:pt>
                <c:pt idx="17">
                  <c:v>360</c:v>
                </c:pt>
                <c:pt idx="18">
                  <c:v>380</c:v>
                </c:pt>
                <c:pt idx="19">
                  <c:v>10356</c:v>
                </c:pt>
                <c:pt idx="20">
                  <c:v>8856</c:v>
                </c:pt>
                <c:pt idx="21" formatCode="0.00_);[Red]\(0.00\)">
                  <c:v>5.95</c:v>
                </c:pt>
                <c:pt idx="22" formatCode="0.00_);[Red]\(0.00\)">
                  <c:v>2.98</c:v>
                </c:pt>
                <c:pt idx="23">
                  <c:v>1404</c:v>
                </c:pt>
                <c:pt idx="25">
                  <c:v>58237</c:v>
                </c:pt>
                <c:pt idx="26">
                  <c:v>69406</c:v>
                </c:pt>
                <c:pt idx="27">
                  <c:v>58000</c:v>
                </c:pt>
                <c:pt idx="28">
                  <c:v>60000</c:v>
                </c:pt>
                <c:pt idx="29">
                  <c:v>206632</c:v>
                </c:pt>
                <c:pt idx="30">
                  <c:v>5383</c:v>
                </c:pt>
                <c:pt idx="31">
                  <c:v>39011</c:v>
                </c:pt>
                <c:pt idx="32">
                  <c:v>210970</c:v>
                </c:pt>
                <c:pt idx="33">
                  <c:v>5383</c:v>
                </c:pt>
                <c:pt idx="34">
                  <c:v>205587</c:v>
                </c:pt>
                <c:pt idx="35">
                  <c:v>3500</c:v>
                </c:pt>
                <c:pt idx="36">
                  <c:v>0</c:v>
                </c:pt>
                <c:pt idx="37">
                  <c:v>0</c:v>
                </c:pt>
                <c:pt idx="38">
                  <c:v>2556</c:v>
                </c:pt>
                <c:pt idx="39">
                  <c:v>912</c:v>
                </c:pt>
                <c:pt idx="40">
                  <c:v>1480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12.4</c:v>
                </c:pt>
                <c:pt idx="44" formatCode="General">
                  <c:v>4.4400000000000004</c:v>
                </c:pt>
              </c:numCache>
            </c:numRef>
          </c:val>
        </c:ser>
        <c:ser>
          <c:idx val="23"/>
          <c:order val="23"/>
          <c:tx>
            <c:strRef>
              <c:f>'4'!$A$26</c:f>
              <c:strCache>
                <c:ptCount val="1"/>
                <c:pt idx="0">
                  <c:v>4月24日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'4'!$B$26:$AT$26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17072446</c:v>
                </c:pt>
                <c:pt idx="2">
                  <c:v>872569</c:v>
                </c:pt>
                <c:pt idx="3">
                  <c:v>18982000</c:v>
                </c:pt>
                <c:pt idx="4">
                  <c:v>18974000</c:v>
                </c:pt>
                <c:pt idx="5">
                  <c:v>223457914</c:v>
                </c:pt>
                <c:pt idx="6">
                  <c:v>104480076</c:v>
                </c:pt>
                <c:pt idx="7">
                  <c:v>223462231</c:v>
                </c:pt>
                <c:pt idx="8">
                  <c:v>104480076</c:v>
                </c:pt>
                <c:pt idx="10" formatCode="0.00_);[Red]\(0.00\)">
                  <c:v>4246.2</c:v>
                </c:pt>
                <c:pt idx="11" formatCode="0.00_);[Red]\(0.00\)">
                  <c:v>3845.6</c:v>
                </c:pt>
                <c:pt idx="12" formatCode="0.00_);[Red]\(0.00\)">
                  <c:v>72934.100000000006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600</c:v>
                </c:pt>
                <c:pt idx="18">
                  <c:v>630</c:v>
                </c:pt>
                <c:pt idx="19">
                  <c:v>10291</c:v>
                </c:pt>
                <c:pt idx="20">
                  <c:v>5726</c:v>
                </c:pt>
                <c:pt idx="21" formatCode="0.00_);[Red]\(0.00\)">
                  <c:v>7.2</c:v>
                </c:pt>
                <c:pt idx="22" formatCode="0.00_);[Red]\(0.00\)">
                  <c:v>2.34</c:v>
                </c:pt>
                <c:pt idx="23">
                  <c:v>1092</c:v>
                </c:pt>
                <c:pt idx="25">
                  <c:v>55549</c:v>
                </c:pt>
                <c:pt idx="26">
                  <c:v>66220</c:v>
                </c:pt>
                <c:pt idx="27">
                  <c:v>57000</c:v>
                </c:pt>
                <c:pt idx="28">
                  <c:v>58000</c:v>
                </c:pt>
                <c:pt idx="29">
                  <c:v>214570</c:v>
                </c:pt>
                <c:pt idx="30">
                  <c:v>5634</c:v>
                </c:pt>
                <c:pt idx="31">
                  <c:v>22199</c:v>
                </c:pt>
                <c:pt idx="32">
                  <c:v>209923</c:v>
                </c:pt>
                <c:pt idx="33">
                  <c:v>5634</c:v>
                </c:pt>
                <c:pt idx="34">
                  <c:v>204289</c:v>
                </c:pt>
                <c:pt idx="35">
                  <c:v>2880</c:v>
                </c:pt>
                <c:pt idx="36">
                  <c:v>720</c:v>
                </c:pt>
                <c:pt idx="37">
                  <c:v>2</c:v>
                </c:pt>
                <c:pt idx="38">
                  <c:v>4260</c:v>
                </c:pt>
                <c:pt idx="39">
                  <c:v>1512</c:v>
                </c:pt>
                <c:pt idx="40">
                  <c:v>1840</c:v>
                </c:pt>
                <c:pt idx="41" formatCode="General">
                  <c:v>3.5</c:v>
                </c:pt>
                <c:pt idx="42" formatCode="General">
                  <c:v>0.01</c:v>
                </c:pt>
                <c:pt idx="43" formatCode="0.0_);[Red]\(0.0\)">
                  <c:v>20.9</c:v>
                </c:pt>
                <c:pt idx="44" formatCode="General">
                  <c:v>7.4</c:v>
                </c:pt>
              </c:numCache>
            </c:numRef>
          </c:val>
        </c:ser>
        <c:ser>
          <c:idx val="24"/>
          <c:order val="24"/>
          <c:tx>
            <c:strRef>
              <c:f>'4'!$A$27</c:f>
              <c:strCache>
                <c:ptCount val="1"/>
                <c:pt idx="0">
                  <c:v>4月25日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'4'!$B$27:$AT$27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17127995</c:v>
                </c:pt>
                <c:pt idx="2">
                  <c:v>938789</c:v>
                </c:pt>
                <c:pt idx="3">
                  <c:v>19039000</c:v>
                </c:pt>
                <c:pt idx="4">
                  <c:v>19032000</c:v>
                </c:pt>
                <c:pt idx="5">
                  <c:v>223672484</c:v>
                </c:pt>
                <c:pt idx="6">
                  <c:v>104485710</c:v>
                </c:pt>
                <c:pt idx="7">
                  <c:v>223672154</c:v>
                </c:pt>
                <c:pt idx="8">
                  <c:v>104485710</c:v>
                </c:pt>
                <c:pt idx="10" formatCode="0.00_);[Red]\(0.00\)">
                  <c:v>4246.2</c:v>
                </c:pt>
                <c:pt idx="11" formatCode="0.00_);[Red]\(0.00\)">
                  <c:v>3846.2</c:v>
                </c:pt>
                <c:pt idx="12" formatCode="0.00_);[Red]\(0.00\)">
                  <c:v>72935.3</c:v>
                </c:pt>
                <c:pt idx="15" formatCode="0.0_);[Red]\(0.0\)">
                  <c:v>20.8</c:v>
                </c:pt>
                <c:pt idx="16">
                  <c:v>0</c:v>
                </c:pt>
                <c:pt idx="17">
                  <c:v>540</c:v>
                </c:pt>
                <c:pt idx="18">
                  <c:v>560</c:v>
                </c:pt>
                <c:pt idx="19">
                  <c:v>10312</c:v>
                </c:pt>
                <c:pt idx="20">
                  <c:v>5496</c:v>
                </c:pt>
                <c:pt idx="21" formatCode="0.00_);[Red]\(0.00\)">
                  <c:v>5.6</c:v>
                </c:pt>
                <c:pt idx="22" formatCode="0.00_);[Red]\(0.00\)">
                  <c:v>2.56</c:v>
                </c:pt>
                <c:pt idx="23">
                  <c:v>1027</c:v>
                </c:pt>
                <c:pt idx="25">
                  <c:v>48518</c:v>
                </c:pt>
                <c:pt idx="26">
                  <c:v>61753</c:v>
                </c:pt>
                <c:pt idx="27">
                  <c:v>63000</c:v>
                </c:pt>
                <c:pt idx="28">
                  <c:v>64000</c:v>
                </c:pt>
                <c:pt idx="29">
                  <c:v>193229</c:v>
                </c:pt>
                <c:pt idx="30">
                  <c:v>5481</c:v>
                </c:pt>
                <c:pt idx="31">
                  <c:v>44042</c:v>
                </c:pt>
                <c:pt idx="32">
                  <c:v>193924</c:v>
                </c:pt>
                <c:pt idx="33">
                  <c:v>5481</c:v>
                </c:pt>
                <c:pt idx="34">
                  <c:v>188443</c:v>
                </c:pt>
                <c:pt idx="35">
                  <c:v>3520</c:v>
                </c:pt>
                <c:pt idx="36">
                  <c:v>10080</c:v>
                </c:pt>
                <c:pt idx="37">
                  <c:v>36</c:v>
                </c:pt>
                <c:pt idx="38">
                  <c:v>3834</c:v>
                </c:pt>
                <c:pt idx="39">
                  <c:v>1344</c:v>
                </c:pt>
                <c:pt idx="40">
                  <c:v>1350</c:v>
                </c:pt>
                <c:pt idx="41" formatCode="General">
                  <c:v>53.5</c:v>
                </c:pt>
                <c:pt idx="42" formatCode="General">
                  <c:v>0.19</c:v>
                </c:pt>
                <c:pt idx="43" formatCode="0.0_);[Red]\(0.0\)">
                  <c:v>20.3</c:v>
                </c:pt>
                <c:pt idx="44" formatCode="General">
                  <c:v>7.13</c:v>
                </c:pt>
              </c:numCache>
            </c:numRef>
          </c:val>
        </c:ser>
        <c:ser>
          <c:idx val="25"/>
          <c:order val="25"/>
          <c:tx>
            <c:strRef>
              <c:f>'4'!$A$28</c:f>
              <c:strCache>
                <c:ptCount val="1"/>
                <c:pt idx="0">
                  <c:v>4月26日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'4'!$B$28:$AT$28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17176513</c:v>
                </c:pt>
                <c:pt idx="2">
                  <c:v>1000542</c:v>
                </c:pt>
                <c:pt idx="3">
                  <c:v>19102000</c:v>
                </c:pt>
                <c:pt idx="4">
                  <c:v>19096000</c:v>
                </c:pt>
                <c:pt idx="5">
                  <c:v>223865713</c:v>
                </c:pt>
                <c:pt idx="6">
                  <c:v>104491191</c:v>
                </c:pt>
                <c:pt idx="7">
                  <c:v>223866078</c:v>
                </c:pt>
                <c:pt idx="8">
                  <c:v>104491191</c:v>
                </c:pt>
                <c:pt idx="10" formatCode="0.00_);[Red]\(0.00\)">
                  <c:v>4246.2</c:v>
                </c:pt>
                <c:pt idx="11" formatCode="0.00_);[Red]\(0.00\)">
                  <c:v>3854.6</c:v>
                </c:pt>
                <c:pt idx="12" formatCode="0.00_);[Red]\(0.00\)">
                  <c:v>72953.5</c:v>
                </c:pt>
                <c:pt idx="15" formatCode="0.0_);[Red]\(0.0\)">
                  <c:v>21</c:v>
                </c:pt>
                <c:pt idx="16">
                  <c:v>0</c:v>
                </c:pt>
                <c:pt idx="17">
                  <c:v>600</c:v>
                </c:pt>
                <c:pt idx="18">
                  <c:v>630</c:v>
                </c:pt>
                <c:pt idx="19">
                  <c:v>10294</c:v>
                </c:pt>
                <c:pt idx="20">
                  <c:v>9764</c:v>
                </c:pt>
                <c:pt idx="21" formatCode="0.00_);[Red]\(0.00\)">
                  <c:v>6.23</c:v>
                </c:pt>
                <c:pt idx="22" formatCode="0.00_);[Red]\(0.00\)">
                  <c:v>4.8899999999999997</c:v>
                </c:pt>
                <c:pt idx="23">
                  <c:v>1438</c:v>
                </c:pt>
                <c:pt idx="25">
                  <c:v>53692</c:v>
                </c:pt>
                <c:pt idx="26">
                  <c:v>68378</c:v>
                </c:pt>
                <c:pt idx="27">
                  <c:v>62000</c:v>
                </c:pt>
                <c:pt idx="28">
                  <c:v>63000</c:v>
                </c:pt>
                <c:pt idx="29">
                  <c:v>210378</c:v>
                </c:pt>
                <c:pt idx="30">
                  <c:v>5522</c:v>
                </c:pt>
                <c:pt idx="31">
                  <c:v>36692</c:v>
                </c:pt>
                <c:pt idx="32">
                  <c:v>209776</c:v>
                </c:pt>
                <c:pt idx="33">
                  <c:v>5522</c:v>
                </c:pt>
                <c:pt idx="34">
                  <c:v>204254</c:v>
                </c:pt>
                <c:pt idx="35">
                  <c:v>3580</c:v>
                </c:pt>
                <c:pt idx="36">
                  <c:v>4680</c:v>
                </c:pt>
                <c:pt idx="37">
                  <c:v>17</c:v>
                </c:pt>
                <c:pt idx="38">
                  <c:v>4260</c:v>
                </c:pt>
                <c:pt idx="39">
                  <c:v>1512</c:v>
                </c:pt>
                <c:pt idx="40">
                  <c:v>1299</c:v>
                </c:pt>
                <c:pt idx="41" formatCode="General">
                  <c:v>22.9</c:v>
                </c:pt>
                <c:pt idx="42" formatCode="General">
                  <c:v>0.08</c:v>
                </c:pt>
                <c:pt idx="43" formatCode="0.0_);[Red]\(0.0\)">
                  <c:v>20.9</c:v>
                </c:pt>
                <c:pt idx="44" formatCode="General">
                  <c:v>7.4</c:v>
                </c:pt>
              </c:numCache>
            </c:numRef>
          </c:val>
        </c:ser>
        <c:ser>
          <c:idx val="26"/>
          <c:order val="26"/>
          <c:tx>
            <c:strRef>
              <c:f>'4'!$A$29</c:f>
              <c:strCache>
                <c:ptCount val="1"/>
                <c:pt idx="0">
                  <c:v>4月27日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'4'!$B$29:$AT$29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17230205</c:v>
                </c:pt>
                <c:pt idx="2">
                  <c:v>1068920</c:v>
                </c:pt>
                <c:pt idx="3">
                  <c:v>19164000</c:v>
                </c:pt>
                <c:pt idx="4">
                  <c:v>19159000</c:v>
                </c:pt>
                <c:pt idx="5">
                  <c:v>224076091</c:v>
                </c:pt>
                <c:pt idx="6">
                  <c:v>104496713</c:v>
                </c:pt>
                <c:pt idx="7">
                  <c:v>224075854</c:v>
                </c:pt>
                <c:pt idx="8">
                  <c:v>104496713</c:v>
                </c:pt>
                <c:pt idx="10" formatCode="0.00_);[Red]\(0.00\)">
                  <c:v>4246.2</c:v>
                </c:pt>
                <c:pt idx="11" formatCode="0.00_);[Red]\(0.00\)">
                  <c:v>3858.5</c:v>
                </c:pt>
                <c:pt idx="12" formatCode="0.00_);[Red]\(0.00\)">
                  <c:v>72961.8</c:v>
                </c:pt>
                <c:pt idx="15" formatCode="0.0_);[Red]\(0.0\)">
                  <c:v>22</c:v>
                </c:pt>
                <c:pt idx="16">
                  <c:v>0</c:v>
                </c:pt>
                <c:pt idx="17">
                  <c:v>630</c:v>
                </c:pt>
                <c:pt idx="18">
                  <c:v>650</c:v>
                </c:pt>
                <c:pt idx="19">
                  <c:v>10312</c:v>
                </c:pt>
                <c:pt idx="20">
                  <c:v>7954</c:v>
                </c:pt>
                <c:pt idx="21" formatCode="0.00_);[Red]\(0.00\)">
                  <c:v>7.05</c:v>
                </c:pt>
                <c:pt idx="22" formatCode="0.00_);[Red]\(0.00\)">
                  <c:v>4.78</c:v>
                </c:pt>
                <c:pt idx="23">
                  <c:v>1435</c:v>
                </c:pt>
                <c:pt idx="25">
                  <c:v>47069</c:v>
                </c:pt>
                <c:pt idx="26">
                  <c:v>62002</c:v>
                </c:pt>
                <c:pt idx="27">
                  <c:v>58000</c:v>
                </c:pt>
                <c:pt idx="28">
                  <c:v>60000</c:v>
                </c:pt>
                <c:pt idx="29">
                  <c:v>208550</c:v>
                </c:pt>
                <c:pt idx="30">
                  <c:v>5502</c:v>
                </c:pt>
                <c:pt idx="31">
                  <c:v>18521</c:v>
                </c:pt>
                <c:pt idx="32">
                  <c:v>208637</c:v>
                </c:pt>
                <c:pt idx="33">
                  <c:v>5502</c:v>
                </c:pt>
                <c:pt idx="34">
                  <c:v>203135</c:v>
                </c:pt>
                <c:pt idx="35">
                  <c:v>3200</c:v>
                </c:pt>
                <c:pt idx="36">
                  <c:v>7320</c:v>
                </c:pt>
                <c:pt idx="37">
                  <c:v>23</c:v>
                </c:pt>
                <c:pt idx="38">
                  <c:v>4473</c:v>
                </c:pt>
                <c:pt idx="39">
                  <c:v>1560</c:v>
                </c:pt>
                <c:pt idx="40">
                  <c:v>1420</c:v>
                </c:pt>
                <c:pt idx="41" formatCode="General">
                  <c:v>36</c:v>
                </c:pt>
                <c:pt idx="42" formatCode="General">
                  <c:v>0.11</c:v>
                </c:pt>
                <c:pt idx="43" formatCode="0.0_);[Red]\(0.0\)">
                  <c:v>22</c:v>
                </c:pt>
                <c:pt idx="44" formatCode="General">
                  <c:v>7.68</c:v>
                </c:pt>
              </c:numCache>
            </c:numRef>
          </c:val>
        </c:ser>
        <c:ser>
          <c:idx val="27"/>
          <c:order val="27"/>
          <c:tx>
            <c:strRef>
              <c:f>'4'!$A$30</c:f>
              <c:strCache>
                <c:ptCount val="1"/>
                <c:pt idx="0">
                  <c:v>4月28日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'4'!$B$30:$AT$30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17277274</c:v>
                </c:pt>
                <c:pt idx="2">
                  <c:v>1130922</c:v>
                </c:pt>
                <c:pt idx="3">
                  <c:v>19222000</c:v>
                </c:pt>
                <c:pt idx="4">
                  <c:v>19219000</c:v>
                </c:pt>
                <c:pt idx="5">
                  <c:v>224284641</c:v>
                </c:pt>
                <c:pt idx="6">
                  <c:v>104502215</c:v>
                </c:pt>
                <c:pt idx="7">
                  <c:v>224284491</c:v>
                </c:pt>
                <c:pt idx="8">
                  <c:v>104502215</c:v>
                </c:pt>
                <c:pt idx="10" formatCode="0.00_);[Red]\(0.00\)">
                  <c:v>4246.2</c:v>
                </c:pt>
                <c:pt idx="11" formatCode="0.00_);[Red]\(0.00\)">
                  <c:v>3864.6</c:v>
                </c:pt>
                <c:pt idx="12" formatCode="0.00_);[Red]\(0.00\)">
                  <c:v>72973.2</c:v>
                </c:pt>
                <c:pt idx="15" formatCode="0.0_);[Red]\(0.0\)">
                  <c:v>22</c:v>
                </c:pt>
                <c:pt idx="16">
                  <c:v>0</c:v>
                </c:pt>
                <c:pt idx="17">
                  <c:v>470</c:v>
                </c:pt>
                <c:pt idx="18">
                  <c:v>500</c:v>
                </c:pt>
                <c:pt idx="19">
                  <c:v>9562</c:v>
                </c:pt>
                <c:pt idx="20">
                  <c:v>7407</c:v>
                </c:pt>
                <c:pt idx="21" formatCode="0.00_);[Red]\(0.00\)">
                  <c:v>6.92</c:v>
                </c:pt>
                <c:pt idx="22" formatCode="0.00_);[Red]\(0.00\)">
                  <c:v>5.76</c:v>
                </c:pt>
                <c:pt idx="23">
                  <c:v>1436</c:v>
                </c:pt>
                <c:pt idx="25">
                  <c:v>46314</c:v>
                </c:pt>
                <c:pt idx="26">
                  <c:v>59043</c:v>
                </c:pt>
                <c:pt idx="27">
                  <c:v>54000</c:v>
                </c:pt>
                <c:pt idx="28">
                  <c:v>55000</c:v>
                </c:pt>
                <c:pt idx="29">
                  <c:v>208966</c:v>
                </c:pt>
                <c:pt idx="30">
                  <c:v>5523</c:v>
                </c:pt>
                <c:pt idx="31">
                  <c:v>5391</c:v>
                </c:pt>
                <c:pt idx="32">
                  <c:v>208254</c:v>
                </c:pt>
                <c:pt idx="33">
                  <c:v>5523</c:v>
                </c:pt>
                <c:pt idx="34">
                  <c:v>202731</c:v>
                </c:pt>
                <c:pt idx="35">
                  <c:v>4400</c:v>
                </c:pt>
                <c:pt idx="36">
                  <c:v>2760</c:v>
                </c:pt>
                <c:pt idx="37">
                  <c:v>9</c:v>
                </c:pt>
                <c:pt idx="38">
                  <c:v>3337</c:v>
                </c:pt>
                <c:pt idx="39">
                  <c:v>1200</c:v>
                </c:pt>
                <c:pt idx="40">
                  <c:v>2592</c:v>
                </c:pt>
                <c:pt idx="41" formatCode="General">
                  <c:v>13.6</c:v>
                </c:pt>
                <c:pt idx="42" formatCode="General">
                  <c:v>0.04</c:v>
                </c:pt>
                <c:pt idx="43" formatCode="0.0_);[Red]\(0.0\)">
                  <c:v>16.5</c:v>
                </c:pt>
                <c:pt idx="44" formatCode="General">
                  <c:v>5.92</c:v>
                </c:pt>
              </c:numCache>
            </c:numRef>
          </c:val>
        </c:ser>
        <c:ser>
          <c:idx val="28"/>
          <c:order val="28"/>
          <c:tx>
            <c:strRef>
              <c:f>'4'!$A$31</c:f>
              <c:strCache>
                <c:ptCount val="1"/>
                <c:pt idx="0">
                  <c:v>4月29日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'4'!$B$31:$AT$31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17323588</c:v>
                </c:pt>
                <c:pt idx="2">
                  <c:v>1189965</c:v>
                </c:pt>
                <c:pt idx="3">
                  <c:v>19276000</c:v>
                </c:pt>
                <c:pt idx="4">
                  <c:v>19274000</c:v>
                </c:pt>
                <c:pt idx="5">
                  <c:v>224493607</c:v>
                </c:pt>
                <c:pt idx="6">
                  <c:v>104507738</c:v>
                </c:pt>
                <c:pt idx="7">
                  <c:v>224492745</c:v>
                </c:pt>
                <c:pt idx="8">
                  <c:v>104507738</c:v>
                </c:pt>
                <c:pt idx="10" formatCode="0.00_);[Red]\(0.00\)">
                  <c:v>4246.2</c:v>
                </c:pt>
                <c:pt idx="11" formatCode="0.00_);[Red]\(0.00\)">
                  <c:v>3866.9</c:v>
                </c:pt>
                <c:pt idx="12" formatCode="0.00_);[Red]\(0.00\)">
                  <c:v>72977.8</c:v>
                </c:pt>
                <c:pt idx="15" formatCode="0.0_);[Red]\(0.0\)">
                  <c:v>22.6</c:v>
                </c:pt>
                <c:pt idx="16">
                  <c:v>0</c:v>
                </c:pt>
                <c:pt idx="17">
                  <c:v>400</c:v>
                </c:pt>
                <c:pt idx="18">
                  <c:v>430</c:v>
                </c:pt>
                <c:pt idx="19">
                  <c:v>10329</c:v>
                </c:pt>
                <c:pt idx="20">
                  <c:v>7868</c:v>
                </c:pt>
                <c:pt idx="21" formatCode="0.00_);[Red]\(0.00\)">
                  <c:v>6.34</c:v>
                </c:pt>
                <c:pt idx="22" formatCode="0.00_);[Red]\(0.00\)">
                  <c:v>4.91</c:v>
                </c:pt>
                <c:pt idx="23">
                  <c:v>1436</c:v>
                </c:pt>
                <c:pt idx="25">
                  <c:v>49381</c:v>
                </c:pt>
                <c:pt idx="26">
                  <c:v>64026</c:v>
                </c:pt>
                <c:pt idx="27">
                  <c:v>61000</c:v>
                </c:pt>
                <c:pt idx="28">
                  <c:v>63000</c:v>
                </c:pt>
                <c:pt idx="29">
                  <c:v>209153</c:v>
                </c:pt>
                <c:pt idx="30">
                  <c:v>5502</c:v>
                </c:pt>
                <c:pt idx="31">
                  <c:v>28254</c:v>
                </c:pt>
                <c:pt idx="32">
                  <c:v>209342</c:v>
                </c:pt>
                <c:pt idx="33">
                  <c:v>5502</c:v>
                </c:pt>
                <c:pt idx="34">
                  <c:v>203840</c:v>
                </c:pt>
                <c:pt idx="35">
                  <c:v>4200</c:v>
                </c:pt>
                <c:pt idx="36">
                  <c:v>3480</c:v>
                </c:pt>
                <c:pt idx="37">
                  <c:v>8</c:v>
                </c:pt>
                <c:pt idx="38">
                  <c:v>2840</c:v>
                </c:pt>
                <c:pt idx="39">
                  <c:v>1032</c:v>
                </c:pt>
                <c:pt idx="40">
                  <c:v>2268</c:v>
                </c:pt>
                <c:pt idx="41" formatCode="General">
                  <c:v>17.100000000000001</c:v>
                </c:pt>
                <c:pt idx="42" formatCode="General">
                  <c:v>0.04</c:v>
                </c:pt>
                <c:pt idx="43" formatCode="0.0_);[Red]\(0.0\)">
                  <c:v>13.9</c:v>
                </c:pt>
                <c:pt idx="44" formatCode="General">
                  <c:v>5.0599999999999996</c:v>
                </c:pt>
              </c:numCache>
            </c:numRef>
          </c:val>
        </c:ser>
        <c:ser>
          <c:idx val="29"/>
          <c:order val="29"/>
          <c:tx>
            <c:strRef>
              <c:f>'4'!$A$32</c:f>
              <c:strCache>
                <c:ptCount val="1"/>
                <c:pt idx="0">
                  <c:v>4月30日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'4'!$B$32:$AT$32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17372969</c:v>
                </c:pt>
                <c:pt idx="2">
                  <c:v>1253991</c:v>
                </c:pt>
                <c:pt idx="3">
                  <c:v>19337000</c:v>
                </c:pt>
                <c:pt idx="4">
                  <c:v>19337000</c:v>
                </c:pt>
                <c:pt idx="5">
                  <c:v>224702760</c:v>
                </c:pt>
                <c:pt idx="6">
                  <c:v>104513240</c:v>
                </c:pt>
                <c:pt idx="7">
                  <c:v>224702087</c:v>
                </c:pt>
                <c:pt idx="8">
                  <c:v>104513240</c:v>
                </c:pt>
                <c:pt idx="10" formatCode="0.00_);[Red]\(0.00\)">
                  <c:v>4246.2</c:v>
                </c:pt>
                <c:pt idx="11" formatCode="0.00_);[Red]\(0.00\)">
                  <c:v>3869.8</c:v>
                </c:pt>
                <c:pt idx="12" formatCode="0.00_);[Red]\(0.00\)">
                  <c:v>72981.600000000006</c:v>
                </c:pt>
                <c:pt idx="15" formatCode="0.0_);[Red]\(0.0\)">
                  <c:v>22.7</c:v>
                </c:pt>
                <c:pt idx="16">
                  <c:v>0</c:v>
                </c:pt>
                <c:pt idx="17">
                  <c:v>340</c:v>
                </c:pt>
                <c:pt idx="18">
                  <c:v>370</c:v>
                </c:pt>
                <c:pt idx="19">
                  <c:v>10916</c:v>
                </c:pt>
                <c:pt idx="20">
                  <c:v>4360</c:v>
                </c:pt>
                <c:pt idx="21" formatCode="0.00_);[Red]\(0.00\)">
                  <c:v>5.58</c:v>
                </c:pt>
                <c:pt idx="22" formatCode="0.00_);[Red]\(0.00\)">
                  <c:v>3.34</c:v>
                </c:pt>
                <c:pt idx="23">
                  <c:v>1432</c:v>
                </c:pt>
                <c:pt idx="25">
                  <c:v>44779</c:v>
                </c:pt>
                <c:pt idx="26">
                  <c:v>54468</c:v>
                </c:pt>
                <c:pt idx="27">
                  <c:v>52000</c:v>
                </c:pt>
                <c:pt idx="28">
                  <c:v>53000</c:v>
                </c:pt>
                <c:pt idx="29">
                  <c:v>205631</c:v>
                </c:pt>
                <c:pt idx="30">
                  <c:v>5461</c:v>
                </c:pt>
                <c:pt idx="31">
                  <c:v>-1384</c:v>
                </c:pt>
                <c:pt idx="32">
                  <c:v>207326</c:v>
                </c:pt>
                <c:pt idx="33">
                  <c:v>5461</c:v>
                </c:pt>
                <c:pt idx="34">
                  <c:v>201865</c:v>
                </c:pt>
                <c:pt idx="35">
                  <c:v>4800</c:v>
                </c:pt>
                <c:pt idx="36">
                  <c:v>0</c:v>
                </c:pt>
                <c:pt idx="37">
                  <c:v>0</c:v>
                </c:pt>
                <c:pt idx="38">
                  <c:v>2414</c:v>
                </c:pt>
                <c:pt idx="39">
                  <c:v>888</c:v>
                </c:pt>
                <c:pt idx="40">
                  <c:v>1930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12</c:v>
                </c:pt>
                <c:pt idx="44" formatCode="General">
                  <c:v>4.4000000000000004</c:v>
                </c:pt>
              </c:numCache>
            </c:numRef>
          </c:val>
        </c:ser>
        <c:ser>
          <c:idx val="30"/>
          <c:order val="30"/>
          <c:tx>
            <c:strRef>
              <c:f>'4'!$A$33</c:f>
              <c:strCache>
                <c:ptCount val="1"/>
                <c:pt idx="0">
                  <c:v>5月1日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'4'!$B$2:$AT$2</c:f>
              <c:strCache>
                <c:ptCount val="45"/>
                <c:pt idx="0">
                  <c:v>记录人</c:v>
                </c:pt>
                <c:pt idx="1">
                  <c:v>一期左进水
流量计读数</c:v>
                </c:pt>
                <c:pt idx="2">
                  <c:v>一期右进水
流量计读数</c:v>
                </c:pt>
                <c:pt idx="3">
                  <c:v>二期左进水
流量计读数</c:v>
                </c:pt>
                <c:pt idx="4">
                  <c:v>二期右进水
流量计读数</c:v>
                </c:pt>
                <c:pt idx="5">
                  <c:v>现场出水
流量计读数</c:v>
                </c:pt>
                <c:pt idx="6">
                  <c:v>现场回用水
读数</c:v>
                </c:pt>
                <c:pt idx="7">
                  <c:v>出水流量计
读数（网站）</c:v>
                </c:pt>
                <c:pt idx="8">
                  <c:v>回用水流量
（网站）</c:v>
                </c:pt>
                <c:pt idx="9">
                  <c:v>污泥流量
计读数</c:v>
                </c:pt>
                <c:pt idx="10">
                  <c:v>PAC2#流量计读数</c:v>
                </c:pt>
                <c:pt idx="11">
                  <c:v>PAC3#流量计读数</c:v>
                </c:pt>
                <c:pt idx="12">
                  <c:v>PAM流量
计读数</c:v>
                </c:pt>
                <c:pt idx="13">
                  <c:v>盐酸流量
计读数</c:v>
                </c:pt>
                <c:pt idx="14">
                  <c:v>氯酸钠流
量计读数</c:v>
                </c:pt>
                <c:pt idx="15">
                  <c:v>生反池
水温</c:v>
                </c:pt>
                <c:pt idx="16">
                  <c:v>天气
(阴晴雨)</c:v>
                </c:pt>
                <c:pt idx="17">
                  <c:v>盐酸液位
差（CM）</c:v>
                </c:pt>
                <c:pt idx="18">
                  <c:v>氯酸钠液位差
差（CM）</c:v>
                </c:pt>
                <c:pt idx="19">
                  <c:v>最高流量
m3/h</c:v>
                </c:pt>
                <c:pt idx="20">
                  <c:v>最低流量
m3/h</c:v>
                </c:pt>
                <c:pt idx="21">
                  <c:v>最高液位
m</c:v>
                </c:pt>
                <c:pt idx="22">
                  <c:v>最低液位
m</c:v>
                </c:pt>
                <c:pt idx="23">
                  <c:v>超液位时
间（分）</c:v>
                </c:pt>
                <c:pt idx="24">
                  <c:v>备注</c:v>
                </c:pt>
                <c:pt idx="25">
                  <c:v>一期左
进水流量</c:v>
                </c:pt>
                <c:pt idx="26">
                  <c:v>一期右
进水流量</c:v>
                </c:pt>
                <c:pt idx="27">
                  <c:v>二期左
进水流量</c:v>
                </c:pt>
                <c:pt idx="28">
                  <c:v>二期右
进水流量</c:v>
                </c:pt>
                <c:pt idx="29">
                  <c:v>现场出水
流量</c:v>
                </c:pt>
                <c:pt idx="30">
                  <c:v>现场回用水
流量</c:v>
                </c:pt>
                <c:pt idx="31">
                  <c:v>进出水
流量差</c:v>
                </c:pt>
                <c:pt idx="32">
                  <c:v>出水流量（网站）</c:v>
                </c:pt>
                <c:pt idx="33">
                  <c:v>回用水流量（网站）</c:v>
                </c:pt>
                <c:pt idx="34">
                  <c:v>实际处理量（网站）</c:v>
                </c:pt>
                <c:pt idx="35">
                  <c:v>排泥量
m3</c:v>
                </c:pt>
                <c:pt idx="36">
                  <c:v>PAC量
kg</c:v>
                </c:pt>
                <c:pt idx="37">
                  <c:v>PAM量
kg</c:v>
                </c:pt>
                <c:pt idx="38">
                  <c:v>盐酸量
kg</c:v>
                </c:pt>
                <c:pt idx="39">
                  <c:v>氯酸钠量
kg</c:v>
                </c:pt>
                <c:pt idx="40">
                  <c:v>碳源用量
kg</c:v>
                </c:pt>
                <c:pt idx="41">
                  <c:v>PAC单耗
ppm</c:v>
                </c:pt>
                <c:pt idx="42">
                  <c:v>PAM单耗
ppm</c:v>
                </c:pt>
                <c:pt idx="43">
                  <c:v>盐酸单耗
ppm</c:v>
                </c:pt>
                <c:pt idx="44">
                  <c:v>氯酸钠单耗
ppm</c:v>
                </c:pt>
              </c:strCache>
            </c:strRef>
          </c:cat>
          <c:val>
            <c:numRef>
              <c:f>'4'!$B$33:$AT$33</c:f>
              <c:numCache>
                <c:formatCode>0_);[Red]\(0\)</c:formatCode>
                <c:ptCount val="45"/>
                <c:pt idx="0" formatCode="0.00_);[Red]\(0.00\)">
                  <c:v>0</c:v>
                </c:pt>
                <c:pt idx="1">
                  <c:v>17417748</c:v>
                </c:pt>
                <c:pt idx="2">
                  <c:v>1308459</c:v>
                </c:pt>
                <c:pt idx="3">
                  <c:v>19389000</c:v>
                </c:pt>
                <c:pt idx="4">
                  <c:v>19390000</c:v>
                </c:pt>
                <c:pt idx="5">
                  <c:v>224908391</c:v>
                </c:pt>
                <c:pt idx="6">
                  <c:v>104518701</c:v>
                </c:pt>
                <c:pt idx="7">
                  <c:v>224909413</c:v>
                </c:pt>
                <c:pt idx="8">
                  <c:v>104518701</c:v>
                </c:pt>
                <c:pt idx="10" formatCode="0.00_);[Red]\(0.00\)">
                  <c:v>4246.2</c:v>
                </c:pt>
                <c:pt idx="11" formatCode="0.00_);[Red]\(0.00\)">
                  <c:v>3869.8</c:v>
                </c:pt>
                <c:pt idx="12" formatCode="0.00_);[Red]\(0.00\)">
                  <c:v>72981.600000000006</c:v>
                </c:pt>
                <c:pt idx="15" formatCode="0.0_);[Red]\(0.0\)">
                  <c:v>23.5</c:v>
                </c:pt>
                <c:pt idx="16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0.0_);[Red]\(0.0\)">
                  <c:v>0</c:v>
                </c:pt>
                <c:pt idx="44" formatCode="General">
                  <c:v>0</c:v>
                </c:pt>
              </c:numCache>
            </c:numRef>
          </c:val>
        </c:ser>
        <c:dLbls/>
        <c:gapWidth val="219"/>
        <c:overlap val="-27"/>
        <c:axId val="97762688"/>
        <c:axId val="97789056"/>
      </c:barChart>
      <c:catAx>
        <c:axId val="9776268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89056"/>
        <c:crosses val="autoZero"/>
        <c:auto val="1"/>
        <c:lblAlgn val="ctr"/>
        <c:lblOffset val="100"/>
      </c:catAx>
      <c:valAx>
        <c:axId val="977890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6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'4'!$AT$2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'4'!$AT$3:$AT$34</c:f>
              <c:numCache>
                <c:formatCode>General</c:formatCode>
                <c:ptCount val="32"/>
                <c:pt idx="0">
                  <c:v>4.78</c:v>
                </c:pt>
                <c:pt idx="1">
                  <c:v>4.6399999999999997</c:v>
                </c:pt>
                <c:pt idx="2">
                  <c:v>2.72</c:v>
                </c:pt>
                <c:pt idx="3">
                  <c:v>2.85</c:v>
                </c:pt>
                <c:pt idx="4">
                  <c:v>7.55</c:v>
                </c:pt>
                <c:pt idx="5">
                  <c:v>7.31</c:v>
                </c:pt>
                <c:pt idx="6">
                  <c:v>11.75</c:v>
                </c:pt>
                <c:pt idx="7">
                  <c:v>4.26</c:v>
                </c:pt>
                <c:pt idx="8">
                  <c:v>2.48</c:v>
                </c:pt>
                <c:pt idx="9">
                  <c:v>2.64</c:v>
                </c:pt>
                <c:pt idx="10">
                  <c:v>5.31</c:v>
                </c:pt>
                <c:pt idx="11">
                  <c:v>6</c:v>
                </c:pt>
                <c:pt idx="12">
                  <c:v>7.2</c:v>
                </c:pt>
                <c:pt idx="13">
                  <c:v>5.64</c:v>
                </c:pt>
                <c:pt idx="14">
                  <c:v>5.31</c:v>
                </c:pt>
                <c:pt idx="15">
                  <c:v>3.53</c:v>
                </c:pt>
                <c:pt idx="16">
                  <c:v>2.66</c:v>
                </c:pt>
                <c:pt idx="17">
                  <c:v>4.96</c:v>
                </c:pt>
                <c:pt idx="18">
                  <c:v>7.59</c:v>
                </c:pt>
                <c:pt idx="19">
                  <c:v>8.15</c:v>
                </c:pt>
                <c:pt idx="20">
                  <c:v>6.44</c:v>
                </c:pt>
                <c:pt idx="21">
                  <c:v>4.97</c:v>
                </c:pt>
                <c:pt idx="22">
                  <c:v>4.4400000000000004</c:v>
                </c:pt>
                <c:pt idx="23">
                  <c:v>7.4</c:v>
                </c:pt>
                <c:pt idx="24">
                  <c:v>7.13</c:v>
                </c:pt>
                <c:pt idx="25">
                  <c:v>7.4</c:v>
                </c:pt>
                <c:pt idx="26">
                  <c:v>7.68</c:v>
                </c:pt>
                <c:pt idx="27">
                  <c:v>5.92</c:v>
                </c:pt>
                <c:pt idx="28">
                  <c:v>5.0599999999999996</c:v>
                </c:pt>
                <c:pt idx="29">
                  <c:v>4.4000000000000004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'4'!$AQ$2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'4'!$AQ$3:$AQ$34</c:f>
              <c:numCache>
                <c:formatCode>General</c:formatCode>
                <c:ptCount val="32"/>
                <c:pt idx="0">
                  <c:v>39.700000000000003</c:v>
                </c:pt>
                <c:pt idx="1">
                  <c:v>41.4</c:v>
                </c:pt>
                <c:pt idx="2">
                  <c:v>16.5</c:v>
                </c:pt>
                <c:pt idx="3">
                  <c:v>42.6</c:v>
                </c:pt>
                <c:pt idx="4">
                  <c:v>72.599999999999994</c:v>
                </c:pt>
                <c:pt idx="5">
                  <c:v>46.4</c:v>
                </c:pt>
                <c:pt idx="6">
                  <c:v>49.8</c:v>
                </c:pt>
                <c:pt idx="7">
                  <c:v>36.700000000000003</c:v>
                </c:pt>
                <c:pt idx="8">
                  <c:v>7</c:v>
                </c:pt>
                <c:pt idx="9">
                  <c:v>0</c:v>
                </c:pt>
                <c:pt idx="10">
                  <c:v>12.5</c:v>
                </c:pt>
                <c:pt idx="11">
                  <c:v>35.9</c:v>
                </c:pt>
                <c:pt idx="12">
                  <c:v>13.4</c:v>
                </c:pt>
                <c:pt idx="13">
                  <c:v>15.6</c:v>
                </c:pt>
                <c:pt idx="14">
                  <c:v>0</c:v>
                </c:pt>
                <c:pt idx="15">
                  <c:v>0</c:v>
                </c:pt>
                <c:pt idx="16">
                  <c:v>2.4</c:v>
                </c:pt>
                <c:pt idx="17">
                  <c:v>2.2000000000000002</c:v>
                </c:pt>
                <c:pt idx="18">
                  <c:v>22.7</c:v>
                </c:pt>
                <c:pt idx="19">
                  <c:v>29</c:v>
                </c:pt>
                <c:pt idx="20">
                  <c:v>20.8</c:v>
                </c:pt>
                <c:pt idx="21">
                  <c:v>0</c:v>
                </c:pt>
                <c:pt idx="22">
                  <c:v>0</c:v>
                </c:pt>
                <c:pt idx="23">
                  <c:v>3.5</c:v>
                </c:pt>
                <c:pt idx="24">
                  <c:v>53.5</c:v>
                </c:pt>
                <c:pt idx="25">
                  <c:v>22.9</c:v>
                </c:pt>
                <c:pt idx="26">
                  <c:v>36</c:v>
                </c:pt>
                <c:pt idx="27">
                  <c:v>13.6</c:v>
                </c:pt>
                <c:pt idx="28">
                  <c:v>17.100000000000001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'4'!$AR$2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'4'!$AR$3:$AR$34</c:f>
              <c:numCache>
                <c:formatCode>General</c:formatCode>
                <c:ptCount val="32"/>
                <c:pt idx="0">
                  <c:v>0.21</c:v>
                </c:pt>
                <c:pt idx="1">
                  <c:v>0.21</c:v>
                </c:pt>
                <c:pt idx="2">
                  <c:v>0.09</c:v>
                </c:pt>
                <c:pt idx="3">
                  <c:v>0.28000000000000003</c:v>
                </c:pt>
                <c:pt idx="4">
                  <c:v>0.37</c:v>
                </c:pt>
                <c:pt idx="5">
                  <c:v>0.28000000000000003</c:v>
                </c:pt>
                <c:pt idx="6">
                  <c:v>0.3</c:v>
                </c:pt>
                <c:pt idx="7">
                  <c:v>0.23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0.19</c:v>
                </c:pt>
                <c:pt idx="12">
                  <c:v>0.08</c:v>
                </c:pt>
                <c:pt idx="13">
                  <c:v>0.06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0.08</c:v>
                </c:pt>
                <c:pt idx="19">
                  <c:v>0.09</c:v>
                </c:pt>
                <c:pt idx="20">
                  <c:v>0.06</c:v>
                </c:pt>
                <c:pt idx="21">
                  <c:v>0</c:v>
                </c:pt>
                <c:pt idx="22">
                  <c:v>0</c:v>
                </c:pt>
                <c:pt idx="23">
                  <c:v>0.01</c:v>
                </c:pt>
                <c:pt idx="24">
                  <c:v>0.19</c:v>
                </c:pt>
                <c:pt idx="25">
                  <c:v>0.08</c:v>
                </c:pt>
                <c:pt idx="26">
                  <c:v>0.11</c:v>
                </c:pt>
                <c:pt idx="27">
                  <c:v>0.04</c:v>
                </c:pt>
                <c:pt idx="28">
                  <c:v>0.04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98118272"/>
        <c:axId val="98148736"/>
      </c:lineChart>
      <c:lineChart>
        <c:grouping val="standard"/>
        <c:ser>
          <c:idx val="0"/>
          <c:order val="0"/>
          <c:tx>
            <c:strRef>
              <c:f>'4'!$AS$2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'4'!$AS$3:$AS$34</c:f>
              <c:numCache>
                <c:formatCode>0.0_);[Red]\(0.0\)</c:formatCode>
                <c:ptCount val="32"/>
                <c:pt idx="0">
                  <c:v>13.4</c:v>
                </c:pt>
                <c:pt idx="1">
                  <c:v>13</c:v>
                </c:pt>
                <c:pt idx="2">
                  <c:v>7.3</c:v>
                </c:pt>
                <c:pt idx="3">
                  <c:v>8</c:v>
                </c:pt>
                <c:pt idx="4">
                  <c:v>21.1</c:v>
                </c:pt>
                <c:pt idx="5">
                  <c:v>21.2</c:v>
                </c:pt>
                <c:pt idx="6">
                  <c:v>33.799999999999997</c:v>
                </c:pt>
                <c:pt idx="7">
                  <c:v>11.5</c:v>
                </c:pt>
                <c:pt idx="8">
                  <c:v>7</c:v>
                </c:pt>
                <c:pt idx="9">
                  <c:v>7.1</c:v>
                </c:pt>
                <c:pt idx="10">
                  <c:v>15</c:v>
                </c:pt>
                <c:pt idx="11">
                  <c:v>18.5</c:v>
                </c:pt>
                <c:pt idx="12">
                  <c:v>20.9</c:v>
                </c:pt>
                <c:pt idx="13">
                  <c:v>16</c:v>
                </c:pt>
                <c:pt idx="14">
                  <c:v>15.4</c:v>
                </c:pt>
                <c:pt idx="15">
                  <c:v>9.6999999999999993</c:v>
                </c:pt>
                <c:pt idx="16">
                  <c:v>7.5</c:v>
                </c:pt>
                <c:pt idx="17">
                  <c:v>14.3</c:v>
                </c:pt>
                <c:pt idx="18">
                  <c:v>21.7</c:v>
                </c:pt>
                <c:pt idx="19">
                  <c:v>22.9</c:v>
                </c:pt>
                <c:pt idx="20">
                  <c:v>18.3</c:v>
                </c:pt>
                <c:pt idx="21">
                  <c:v>14</c:v>
                </c:pt>
                <c:pt idx="22">
                  <c:v>12.4</c:v>
                </c:pt>
                <c:pt idx="23">
                  <c:v>20.9</c:v>
                </c:pt>
                <c:pt idx="24">
                  <c:v>20.3</c:v>
                </c:pt>
                <c:pt idx="25">
                  <c:v>20.9</c:v>
                </c:pt>
                <c:pt idx="26">
                  <c:v>22</c:v>
                </c:pt>
                <c:pt idx="27">
                  <c:v>16.5</c:v>
                </c:pt>
                <c:pt idx="28">
                  <c:v>13.9</c:v>
                </c:pt>
                <c:pt idx="29">
                  <c:v>12</c:v>
                </c:pt>
                <c:pt idx="30">
                  <c:v>0</c:v>
                </c:pt>
              </c:numCache>
            </c:numRef>
          </c:val>
        </c:ser>
        <c:dLbls/>
        <c:marker val="1"/>
        <c:axId val="98150272"/>
        <c:axId val="98151808"/>
      </c:lineChart>
      <c:catAx>
        <c:axId val="9811827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48736"/>
        <c:crosses val="autoZero"/>
        <c:auto val="1"/>
        <c:lblAlgn val="ctr"/>
        <c:lblOffset val="100"/>
      </c:catAx>
      <c:valAx>
        <c:axId val="981487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18272"/>
        <c:crosses val="autoZero"/>
        <c:crossBetween val="between"/>
      </c:valAx>
      <c:catAx>
        <c:axId val="98150272"/>
        <c:scaling>
          <c:orientation val="minMax"/>
        </c:scaling>
        <c:delete val="1"/>
        <c:axPos val="b"/>
        <c:tickLblPos val="none"/>
        <c:crossAx val="98151808"/>
        <c:crosses val="autoZero"/>
        <c:auto val="1"/>
        <c:lblAlgn val="ctr"/>
        <c:lblOffset val="100"/>
      </c:catAx>
      <c:valAx>
        <c:axId val="98151808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5027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'5'!$AT$2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'5'!$AT$3:$AT$34</c:f>
              <c:numCache>
                <c:formatCode>General</c:formatCode>
                <c:ptCount val="32"/>
                <c:pt idx="0">
                  <c:v>13.01</c:v>
                </c:pt>
                <c:pt idx="1">
                  <c:v>3.49</c:v>
                </c:pt>
                <c:pt idx="2">
                  <c:v>2.75</c:v>
                </c:pt>
                <c:pt idx="3">
                  <c:v>2.19</c:v>
                </c:pt>
                <c:pt idx="4">
                  <c:v>5.33</c:v>
                </c:pt>
                <c:pt idx="5">
                  <c:v>8.25</c:v>
                </c:pt>
                <c:pt idx="6">
                  <c:v>6.03</c:v>
                </c:pt>
                <c:pt idx="7">
                  <c:v>3.16</c:v>
                </c:pt>
                <c:pt idx="8">
                  <c:v>5.77</c:v>
                </c:pt>
                <c:pt idx="9">
                  <c:v>7.56</c:v>
                </c:pt>
                <c:pt idx="10">
                  <c:v>8.17</c:v>
                </c:pt>
                <c:pt idx="11">
                  <c:v>5.15</c:v>
                </c:pt>
                <c:pt idx="12">
                  <c:v>4.7</c:v>
                </c:pt>
                <c:pt idx="13">
                  <c:v>3.69</c:v>
                </c:pt>
                <c:pt idx="14">
                  <c:v>2.9</c:v>
                </c:pt>
                <c:pt idx="15">
                  <c:v>5.98</c:v>
                </c:pt>
                <c:pt idx="16">
                  <c:v>7.08</c:v>
                </c:pt>
                <c:pt idx="17">
                  <c:v>7.31</c:v>
                </c:pt>
                <c:pt idx="18">
                  <c:v>6.48</c:v>
                </c:pt>
                <c:pt idx="19">
                  <c:v>4.8099999999999996</c:v>
                </c:pt>
                <c:pt idx="20">
                  <c:v>3.89</c:v>
                </c:pt>
                <c:pt idx="21">
                  <c:v>2.85</c:v>
                </c:pt>
                <c:pt idx="22">
                  <c:v>5.24</c:v>
                </c:pt>
                <c:pt idx="23">
                  <c:v>6.4</c:v>
                </c:pt>
                <c:pt idx="24">
                  <c:v>6.94</c:v>
                </c:pt>
                <c:pt idx="25">
                  <c:v>5.19</c:v>
                </c:pt>
                <c:pt idx="26">
                  <c:v>4.67</c:v>
                </c:pt>
                <c:pt idx="27">
                  <c:v>4.21</c:v>
                </c:pt>
                <c:pt idx="28">
                  <c:v>2.83</c:v>
                </c:pt>
                <c:pt idx="29">
                  <c:v>5.0999999999999996</c:v>
                </c:pt>
                <c:pt idx="30">
                  <c:v>7.69</c:v>
                </c:pt>
              </c:numCache>
            </c:numRef>
          </c:val>
        </c:ser>
        <c:ser>
          <c:idx val="2"/>
          <c:order val="2"/>
          <c:tx>
            <c:strRef>
              <c:f>'5'!$AQ$2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'5'!$AQ$3:$AQ$34</c:f>
              <c:numCache>
                <c:formatCode>General</c:formatCode>
                <c:ptCount val="32"/>
                <c:pt idx="0">
                  <c:v>45.4</c:v>
                </c:pt>
                <c:pt idx="1">
                  <c:v>149.1</c:v>
                </c:pt>
                <c:pt idx="2">
                  <c:v>29.8</c:v>
                </c:pt>
                <c:pt idx="3">
                  <c:v>0</c:v>
                </c:pt>
                <c:pt idx="4">
                  <c:v>3</c:v>
                </c:pt>
                <c:pt idx="5">
                  <c:v>17.3</c:v>
                </c:pt>
                <c:pt idx="6">
                  <c:v>10</c:v>
                </c:pt>
                <c:pt idx="7">
                  <c:v>0</c:v>
                </c:pt>
                <c:pt idx="8">
                  <c:v>17.3</c:v>
                </c:pt>
                <c:pt idx="9">
                  <c:v>10.4</c:v>
                </c:pt>
                <c:pt idx="10">
                  <c:v>11.9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</c:v>
                </c:pt>
                <c:pt idx="16">
                  <c:v>27.7</c:v>
                </c:pt>
                <c:pt idx="17">
                  <c:v>15.9</c:v>
                </c:pt>
                <c:pt idx="18">
                  <c:v>11</c:v>
                </c:pt>
                <c:pt idx="19">
                  <c:v>5.2</c:v>
                </c:pt>
                <c:pt idx="20">
                  <c:v>0</c:v>
                </c:pt>
                <c:pt idx="21">
                  <c:v>0</c:v>
                </c:pt>
                <c:pt idx="22">
                  <c:v>2.2999999999999998</c:v>
                </c:pt>
                <c:pt idx="23">
                  <c:v>15.1</c:v>
                </c:pt>
                <c:pt idx="24">
                  <c:v>15.6</c:v>
                </c:pt>
                <c:pt idx="25">
                  <c:v>11</c:v>
                </c:pt>
                <c:pt idx="26">
                  <c:v>6.4</c:v>
                </c:pt>
                <c:pt idx="27">
                  <c:v>0</c:v>
                </c:pt>
                <c:pt idx="28">
                  <c:v>3.4</c:v>
                </c:pt>
                <c:pt idx="29">
                  <c:v>0</c:v>
                </c:pt>
                <c:pt idx="30">
                  <c:v>1.7</c:v>
                </c:pt>
              </c:numCache>
            </c:numRef>
          </c:val>
        </c:ser>
        <c:ser>
          <c:idx val="3"/>
          <c:order val="3"/>
          <c:tx>
            <c:strRef>
              <c:f>'5'!$AR$2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'5'!$AR$3:$AR$34</c:f>
              <c:numCache>
                <c:formatCode>General</c:formatCode>
                <c:ptCount val="32"/>
                <c:pt idx="0">
                  <c:v>0.12</c:v>
                </c:pt>
                <c:pt idx="1">
                  <c:v>0.25</c:v>
                </c:pt>
                <c:pt idx="2">
                  <c:v>0.06</c:v>
                </c:pt>
                <c:pt idx="3">
                  <c:v>0</c:v>
                </c:pt>
                <c:pt idx="4">
                  <c:v>0.01</c:v>
                </c:pt>
                <c:pt idx="5">
                  <c:v>0.04</c:v>
                </c:pt>
                <c:pt idx="6">
                  <c:v>0.01</c:v>
                </c:pt>
                <c:pt idx="7">
                  <c:v>0</c:v>
                </c:pt>
                <c:pt idx="8">
                  <c:v>0.01</c:v>
                </c:pt>
                <c:pt idx="9">
                  <c:v>0.02</c:v>
                </c:pt>
                <c:pt idx="10">
                  <c:v>0.05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0.11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0.01</c:v>
                </c:pt>
                <c:pt idx="23">
                  <c:v>0.04</c:v>
                </c:pt>
                <c:pt idx="24">
                  <c:v>0.09</c:v>
                </c:pt>
                <c:pt idx="25">
                  <c:v>0.06</c:v>
                </c:pt>
                <c:pt idx="26">
                  <c:v>0.05</c:v>
                </c:pt>
                <c:pt idx="27">
                  <c:v>0</c:v>
                </c:pt>
                <c:pt idx="28">
                  <c:v>0.03</c:v>
                </c:pt>
                <c:pt idx="29">
                  <c:v>0</c:v>
                </c:pt>
                <c:pt idx="30">
                  <c:v>0.01</c:v>
                </c:pt>
              </c:numCache>
            </c:numRef>
          </c:val>
        </c:ser>
        <c:dLbls/>
        <c:marker val="1"/>
        <c:axId val="98174080"/>
        <c:axId val="98175616"/>
      </c:lineChart>
      <c:lineChart>
        <c:grouping val="standard"/>
        <c:ser>
          <c:idx val="0"/>
          <c:order val="0"/>
          <c:tx>
            <c:strRef>
              <c:f>'5'!$AS$2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'5'!$AS$3:$AS$34</c:f>
              <c:numCache>
                <c:formatCode>0.0_);[Red]\(0.0\)</c:formatCode>
                <c:ptCount val="32"/>
                <c:pt idx="0">
                  <c:v>35</c:v>
                </c:pt>
                <c:pt idx="1">
                  <c:v>9.3000000000000007</c:v>
                </c:pt>
                <c:pt idx="2">
                  <c:v>7.2</c:v>
                </c:pt>
                <c:pt idx="3">
                  <c:v>5.8</c:v>
                </c:pt>
                <c:pt idx="4">
                  <c:v>15.1</c:v>
                </c:pt>
                <c:pt idx="5">
                  <c:v>23.6</c:v>
                </c:pt>
                <c:pt idx="6">
                  <c:v>15.9</c:v>
                </c:pt>
                <c:pt idx="7">
                  <c:v>8.1999999999999993</c:v>
                </c:pt>
                <c:pt idx="8">
                  <c:v>16.3</c:v>
                </c:pt>
                <c:pt idx="9">
                  <c:v>21.6</c:v>
                </c:pt>
                <c:pt idx="10">
                  <c:v>23.4</c:v>
                </c:pt>
                <c:pt idx="11">
                  <c:v>14.2</c:v>
                </c:pt>
                <c:pt idx="12">
                  <c:v>12.9</c:v>
                </c:pt>
                <c:pt idx="13">
                  <c:v>10.199999999999999</c:v>
                </c:pt>
                <c:pt idx="14">
                  <c:v>7.9</c:v>
                </c:pt>
                <c:pt idx="15">
                  <c:v>17</c:v>
                </c:pt>
                <c:pt idx="16">
                  <c:v>20.2</c:v>
                </c:pt>
                <c:pt idx="17">
                  <c:v>20.6</c:v>
                </c:pt>
                <c:pt idx="18">
                  <c:v>18.8</c:v>
                </c:pt>
                <c:pt idx="19">
                  <c:v>13.6</c:v>
                </c:pt>
                <c:pt idx="20">
                  <c:v>10.8</c:v>
                </c:pt>
                <c:pt idx="21">
                  <c:v>7.8</c:v>
                </c:pt>
                <c:pt idx="22">
                  <c:v>14.5</c:v>
                </c:pt>
                <c:pt idx="23">
                  <c:v>17.2</c:v>
                </c:pt>
                <c:pt idx="24">
                  <c:v>19.2</c:v>
                </c:pt>
                <c:pt idx="25">
                  <c:v>14.3</c:v>
                </c:pt>
                <c:pt idx="26">
                  <c:v>12.8</c:v>
                </c:pt>
                <c:pt idx="27">
                  <c:v>11.4</c:v>
                </c:pt>
                <c:pt idx="28">
                  <c:v>7.7</c:v>
                </c:pt>
                <c:pt idx="29">
                  <c:v>14.4</c:v>
                </c:pt>
                <c:pt idx="30">
                  <c:v>22.1</c:v>
                </c:pt>
              </c:numCache>
            </c:numRef>
          </c:val>
        </c:ser>
        <c:dLbls/>
        <c:marker val="1"/>
        <c:axId val="98189696"/>
        <c:axId val="98191232"/>
      </c:lineChart>
      <c:catAx>
        <c:axId val="9817408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75616"/>
        <c:crosses val="autoZero"/>
        <c:auto val="1"/>
        <c:lblAlgn val="ctr"/>
        <c:lblOffset val="100"/>
      </c:catAx>
      <c:valAx>
        <c:axId val="981756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74080"/>
        <c:crosses val="autoZero"/>
        <c:crossBetween val="between"/>
      </c:valAx>
      <c:catAx>
        <c:axId val="98189696"/>
        <c:scaling>
          <c:orientation val="minMax"/>
        </c:scaling>
        <c:delete val="1"/>
        <c:axPos val="b"/>
        <c:tickLblPos val="none"/>
        <c:crossAx val="98191232"/>
        <c:crosses val="autoZero"/>
        <c:auto val="1"/>
        <c:lblAlgn val="ctr"/>
        <c:lblOffset val="100"/>
      </c:catAx>
      <c:valAx>
        <c:axId val="98191232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8969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'6'!$AT$2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'6'!$AT$3:$AT$34</c:f>
              <c:numCache>
                <c:formatCode>General</c:formatCode>
                <c:ptCount val="32"/>
                <c:pt idx="0">
                  <c:v>6.97</c:v>
                </c:pt>
                <c:pt idx="1">
                  <c:v>5.78</c:v>
                </c:pt>
                <c:pt idx="2">
                  <c:v>4.58</c:v>
                </c:pt>
                <c:pt idx="3">
                  <c:v>3.45</c:v>
                </c:pt>
                <c:pt idx="4">
                  <c:v>3.44</c:v>
                </c:pt>
                <c:pt idx="5">
                  <c:v>4.97</c:v>
                </c:pt>
                <c:pt idx="6">
                  <c:v>6.99</c:v>
                </c:pt>
                <c:pt idx="7">
                  <c:v>7.39</c:v>
                </c:pt>
                <c:pt idx="8">
                  <c:v>4.63</c:v>
                </c:pt>
                <c:pt idx="9">
                  <c:v>3.88</c:v>
                </c:pt>
                <c:pt idx="10">
                  <c:v>2.98</c:v>
                </c:pt>
                <c:pt idx="11">
                  <c:v>3.3</c:v>
                </c:pt>
                <c:pt idx="12">
                  <c:v>3.06</c:v>
                </c:pt>
                <c:pt idx="13">
                  <c:v>5.32</c:v>
                </c:pt>
                <c:pt idx="14">
                  <c:v>6.96</c:v>
                </c:pt>
                <c:pt idx="15">
                  <c:v>7.76</c:v>
                </c:pt>
                <c:pt idx="16">
                  <c:v>4.74</c:v>
                </c:pt>
                <c:pt idx="17">
                  <c:v>4.58</c:v>
                </c:pt>
                <c:pt idx="18">
                  <c:v>3.49</c:v>
                </c:pt>
                <c:pt idx="19">
                  <c:v>6.57</c:v>
                </c:pt>
                <c:pt idx="20">
                  <c:v>6.94</c:v>
                </c:pt>
                <c:pt idx="21">
                  <c:v>6.9</c:v>
                </c:pt>
                <c:pt idx="22">
                  <c:v>4.08</c:v>
                </c:pt>
                <c:pt idx="23">
                  <c:v>8.26</c:v>
                </c:pt>
                <c:pt idx="24">
                  <c:v>6.93</c:v>
                </c:pt>
                <c:pt idx="25">
                  <c:v>7.01</c:v>
                </c:pt>
                <c:pt idx="26">
                  <c:v>8.41</c:v>
                </c:pt>
                <c:pt idx="27">
                  <c:v>9.16</c:v>
                </c:pt>
                <c:pt idx="28">
                  <c:v>9.43</c:v>
                </c:pt>
                <c:pt idx="29">
                  <c:v>6.8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'6'!$AQ$2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'6'!$AQ$3:$AQ$34</c:f>
              <c:numCache>
                <c:formatCode>General</c:formatCode>
                <c:ptCount val="32"/>
                <c:pt idx="0">
                  <c:v>12.2</c:v>
                </c:pt>
                <c:pt idx="1">
                  <c:v>7.5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</c:v>
                </c:pt>
                <c:pt idx="6">
                  <c:v>2.2999999999999998</c:v>
                </c:pt>
                <c:pt idx="7">
                  <c:v>4.0999999999999996</c:v>
                </c:pt>
                <c:pt idx="8">
                  <c:v>2.2999999999999998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5.3</c:v>
                </c:pt>
                <c:pt idx="14">
                  <c:v>15</c:v>
                </c:pt>
                <c:pt idx="15">
                  <c:v>20.9</c:v>
                </c:pt>
                <c:pt idx="16">
                  <c:v>5.2</c:v>
                </c:pt>
                <c:pt idx="17">
                  <c:v>0</c:v>
                </c:pt>
                <c:pt idx="18">
                  <c:v>0</c:v>
                </c:pt>
                <c:pt idx="19">
                  <c:v>13.5</c:v>
                </c:pt>
                <c:pt idx="20">
                  <c:v>6.4</c:v>
                </c:pt>
                <c:pt idx="21">
                  <c:v>16.399999999999999</c:v>
                </c:pt>
                <c:pt idx="22">
                  <c:v>5.2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3.6</c:v>
                </c:pt>
                <c:pt idx="27">
                  <c:v>21.7</c:v>
                </c:pt>
                <c:pt idx="28">
                  <c:v>23.6</c:v>
                </c:pt>
                <c:pt idx="29">
                  <c:v>3.5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'6'!$AR$2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'6'!$AR$3:$AR$34</c:f>
              <c:numCache>
                <c:formatCode>General</c:formatCode>
                <c:ptCount val="32"/>
                <c:pt idx="0">
                  <c:v>0.05</c:v>
                </c:pt>
                <c:pt idx="1">
                  <c:v>0.01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0.01</c:v>
                </c:pt>
                <c:pt idx="6">
                  <c:v>0.02</c:v>
                </c:pt>
                <c:pt idx="7">
                  <c:v>0.04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0.01</c:v>
                </c:pt>
                <c:pt idx="15">
                  <c:v>0.03</c:v>
                </c:pt>
                <c:pt idx="16">
                  <c:v>0.01</c:v>
                </c:pt>
                <c:pt idx="17">
                  <c:v>0</c:v>
                </c:pt>
                <c:pt idx="18">
                  <c:v>0</c:v>
                </c:pt>
                <c:pt idx="19">
                  <c:v>0.02</c:v>
                </c:pt>
                <c:pt idx="20">
                  <c:v>0.01</c:v>
                </c:pt>
                <c:pt idx="21">
                  <c:v>0.01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0.02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98422784"/>
        <c:axId val="98424320"/>
      </c:lineChart>
      <c:lineChart>
        <c:grouping val="standard"/>
        <c:ser>
          <c:idx val="0"/>
          <c:order val="0"/>
          <c:tx>
            <c:strRef>
              <c:f>'6'!$AS$2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'6'!$AS$3:$AS$34</c:f>
              <c:numCache>
                <c:formatCode>0.0_);[Red]\(0.0\)</c:formatCode>
                <c:ptCount val="32"/>
                <c:pt idx="0">
                  <c:v>19.899999999999999</c:v>
                </c:pt>
                <c:pt idx="1">
                  <c:v>16.100000000000001</c:v>
                </c:pt>
                <c:pt idx="2">
                  <c:v>11.9</c:v>
                </c:pt>
                <c:pt idx="3">
                  <c:v>9.1999999999999993</c:v>
                </c:pt>
                <c:pt idx="4">
                  <c:v>9.5</c:v>
                </c:pt>
                <c:pt idx="5">
                  <c:v>13.7</c:v>
                </c:pt>
                <c:pt idx="6">
                  <c:v>20.3</c:v>
                </c:pt>
                <c:pt idx="7">
                  <c:v>21.2</c:v>
                </c:pt>
                <c:pt idx="8">
                  <c:v>12</c:v>
                </c:pt>
                <c:pt idx="9">
                  <c:v>10.4</c:v>
                </c:pt>
                <c:pt idx="10">
                  <c:v>7.8</c:v>
                </c:pt>
                <c:pt idx="11">
                  <c:v>8.6999999999999993</c:v>
                </c:pt>
                <c:pt idx="12">
                  <c:v>8.1</c:v>
                </c:pt>
                <c:pt idx="13">
                  <c:v>14.5</c:v>
                </c:pt>
                <c:pt idx="14">
                  <c:v>19.899999999999999</c:v>
                </c:pt>
                <c:pt idx="15">
                  <c:v>20.6</c:v>
                </c:pt>
                <c:pt idx="16">
                  <c:v>13.3</c:v>
                </c:pt>
                <c:pt idx="17">
                  <c:v>12.5</c:v>
                </c:pt>
                <c:pt idx="18">
                  <c:v>9.6</c:v>
                </c:pt>
                <c:pt idx="19">
                  <c:v>19.100000000000001</c:v>
                </c:pt>
                <c:pt idx="20">
                  <c:v>19.899999999999999</c:v>
                </c:pt>
                <c:pt idx="21">
                  <c:v>19.399999999999999</c:v>
                </c:pt>
                <c:pt idx="22">
                  <c:v>11</c:v>
                </c:pt>
                <c:pt idx="23">
                  <c:v>23.7</c:v>
                </c:pt>
                <c:pt idx="24">
                  <c:v>19.5</c:v>
                </c:pt>
                <c:pt idx="25">
                  <c:v>19.7</c:v>
                </c:pt>
                <c:pt idx="26">
                  <c:v>24.5</c:v>
                </c:pt>
                <c:pt idx="27">
                  <c:v>26.4</c:v>
                </c:pt>
                <c:pt idx="28">
                  <c:v>27.5</c:v>
                </c:pt>
                <c:pt idx="29">
                  <c:v>20.8</c:v>
                </c:pt>
                <c:pt idx="30">
                  <c:v>0</c:v>
                </c:pt>
              </c:numCache>
            </c:numRef>
          </c:val>
        </c:ser>
        <c:dLbls/>
        <c:marker val="1"/>
        <c:axId val="98425856"/>
        <c:axId val="97321728"/>
      </c:lineChart>
      <c:catAx>
        <c:axId val="9842278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4320"/>
        <c:crosses val="autoZero"/>
        <c:auto val="1"/>
        <c:lblAlgn val="ctr"/>
        <c:lblOffset val="100"/>
      </c:catAx>
      <c:valAx>
        <c:axId val="9842432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2784"/>
        <c:crosses val="autoZero"/>
        <c:crossBetween val="between"/>
      </c:valAx>
      <c:catAx>
        <c:axId val="98425856"/>
        <c:scaling>
          <c:orientation val="minMax"/>
        </c:scaling>
        <c:delete val="1"/>
        <c:axPos val="b"/>
        <c:tickLblPos val="none"/>
        <c:crossAx val="97321728"/>
        <c:crosses val="autoZero"/>
        <c:auto val="1"/>
        <c:lblAlgn val="ctr"/>
        <c:lblOffset val="100"/>
      </c:catAx>
      <c:valAx>
        <c:axId val="97321728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585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'7'!$AT$2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'7'!$AT$3:$AT$34</c:f>
              <c:numCache>
                <c:formatCode>General</c:formatCode>
                <c:ptCount val="32"/>
                <c:pt idx="0">
                  <c:v>6.45</c:v>
                </c:pt>
                <c:pt idx="1">
                  <c:v>7.58</c:v>
                </c:pt>
                <c:pt idx="2">
                  <c:v>5.27</c:v>
                </c:pt>
                <c:pt idx="3">
                  <c:v>6.88</c:v>
                </c:pt>
                <c:pt idx="4">
                  <c:v>7.9</c:v>
                </c:pt>
                <c:pt idx="5">
                  <c:v>8.32</c:v>
                </c:pt>
                <c:pt idx="6">
                  <c:v>6.31</c:v>
                </c:pt>
                <c:pt idx="7">
                  <c:v>6.07</c:v>
                </c:pt>
                <c:pt idx="8">
                  <c:v>5.96</c:v>
                </c:pt>
                <c:pt idx="9">
                  <c:v>5.17</c:v>
                </c:pt>
                <c:pt idx="10">
                  <c:v>6.27</c:v>
                </c:pt>
                <c:pt idx="11">
                  <c:v>7.05</c:v>
                </c:pt>
                <c:pt idx="12">
                  <c:v>7.22</c:v>
                </c:pt>
                <c:pt idx="13">
                  <c:v>6.26</c:v>
                </c:pt>
                <c:pt idx="14">
                  <c:v>5.91</c:v>
                </c:pt>
                <c:pt idx="15">
                  <c:v>5.32</c:v>
                </c:pt>
                <c:pt idx="16">
                  <c:v>5.54</c:v>
                </c:pt>
                <c:pt idx="17">
                  <c:v>5.75</c:v>
                </c:pt>
                <c:pt idx="18">
                  <c:v>7.79</c:v>
                </c:pt>
                <c:pt idx="19">
                  <c:v>7.52</c:v>
                </c:pt>
                <c:pt idx="20">
                  <c:v>5.81</c:v>
                </c:pt>
                <c:pt idx="21">
                  <c:v>4.54</c:v>
                </c:pt>
                <c:pt idx="22">
                  <c:v>3.5</c:v>
                </c:pt>
                <c:pt idx="23">
                  <c:v>3.18</c:v>
                </c:pt>
                <c:pt idx="24">
                  <c:v>0.63</c:v>
                </c:pt>
                <c:pt idx="25">
                  <c:v>7.79</c:v>
                </c:pt>
                <c:pt idx="26">
                  <c:v>8.06</c:v>
                </c:pt>
                <c:pt idx="27">
                  <c:v>5.14</c:v>
                </c:pt>
                <c:pt idx="28">
                  <c:v>4.6100000000000003</c:v>
                </c:pt>
                <c:pt idx="29">
                  <c:v>3.83</c:v>
                </c:pt>
                <c:pt idx="30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'7'!$AQ$2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'7'!$AQ$3:$AQ$34</c:f>
              <c:numCache>
                <c:formatCode>General</c:formatCode>
                <c:ptCount val="32"/>
                <c:pt idx="0">
                  <c:v>0</c:v>
                </c:pt>
                <c:pt idx="1">
                  <c:v>82.2</c:v>
                </c:pt>
                <c:pt idx="2">
                  <c:v>75.599999999999994</c:v>
                </c:pt>
                <c:pt idx="3">
                  <c:v>4</c:v>
                </c:pt>
                <c:pt idx="4">
                  <c:v>5.8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0.6</c:v>
                </c:pt>
                <c:pt idx="12">
                  <c:v>0</c:v>
                </c:pt>
                <c:pt idx="13">
                  <c:v>98.6</c:v>
                </c:pt>
                <c:pt idx="14">
                  <c:v>87.5</c:v>
                </c:pt>
                <c:pt idx="15">
                  <c:v>87.8</c:v>
                </c:pt>
                <c:pt idx="16">
                  <c:v>1.7</c:v>
                </c:pt>
                <c:pt idx="17">
                  <c:v>0</c:v>
                </c:pt>
                <c:pt idx="18">
                  <c:v>0.6</c:v>
                </c:pt>
                <c:pt idx="19">
                  <c:v>0.6</c:v>
                </c:pt>
                <c:pt idx="20">
                  <c:v>0</c:v>
                </c:pt>
                <c:pt idx="21">
                  <c:v>0.6</c:v>
                </c:pt>
                <c:pt idx="22">
                  <c:v>0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4</c:v>
                </c:pt>
                <c:pt idx="28">
                  <c:v>41.5</c:v>
                </c:pt>
                <c:pt idx="29">
                  <c:v>74.3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'7'!$AR$2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'7'!$AR$3:$AR$34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0.01</c:v>
                </c:pt>
                <c:pt idx="28">
                  <c:v>0.14000000000000001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98568832"/>
        <c:axId val="98582912"/>
      </c:lineChart>
      <c:lineChart>
        <c:grouping val="standard"/>
        <c:ser>
          <c:idx val="0"/>
          <c:order val="0"/>
          <c:tx>
            <c:strRef>
              <c:f>'7'!$AS$2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'7'!$AS$3:$AS$34</c:f>
              <c:numCache>
                <c:formatCode>0.0_);[Red]\(0.0\)</c:formatCode>
                <c:ptCount val="32"/>
                <c:pt idx="0">
                  <c:v>17.7</c:v>
                </c:pt>
                <c:pt idx="1">
                  <c:v>21.4</c:v>
                </c:pt>
                <c:pt idx="2">
                  <c:v>14.6</c:v>
                </c:pt>
                <c:pt idx="3">
                  <c:v>19.3</c:v>
                </c:pt>
                <c:pt idx="4">
                  <c:v>22.3</c:v>
                </c:pt>
                <c:pt idx="5">
                  <c:v>23.9</c:v>
                </c:pt>
                <c:pt idx="6">
                  <c:v>18</c:v>
                </c:pt>
                <c:pt idx="7">
                  <c:v>17.3</c:v>
                </c:pt>
                <c:pt idx="8">
                  <c:v>17.3</c:v>
                </c:pt>
                <c:pt idx="9">
                  <c:v>15</c:v>
                </c:pt>
                <c:pt idx="10">
                  <c:v>17.899999999999999</c:v>
                </c:pt>
                <c:pt idx="11">
                  <c:v>20.2</c:v>
                </c:pt>
                <c:pt idx="12">
                  <c:v>20.7</c:v>
                </c:pt>
                <c:pt idx="13">
                  <c:v>17.5</c:v>
                </c:pt>
                <c:pt idx="14">
                  <c:v>16.8</c:v>
                </c:pt>
                <c:pt idx="15">
                  <c:v>15.1</c:v>
                </c:pt>
                <c:pt idx="16">
                  <c:v>15.7</c:v>
                </c:pt>
                <c:pt idx="17">
                  <c:v>16.3</c:v>
                </c:pt>
                <c:pt idx="18">
                  <c:v>22.7</c:v>
                </c:pt>
                <c:pt idx="19">
                  <c:v>21.6</c:v>
                </c:pt>
                <c:pt idx="20">
                  <c:v>16.2</c:v>
                </c:pt>
                <c:pt idx="21">
                  <c:v>11.8</c:v>
                </c:pt>
                <c:pt idx="22">
                  <c:v>9.6999999999999993</c:v>
                </c:pt>
                <c:pt idx="23">
                  <c:v>8.6999999999999993</c:v>
                </c:pt>
                <c:pt idx="24">
                  <c:v>17.2</c:v>
                </c:pt>
                <c:pt idx="25">
                  <c:v>22.7</c:v>
                </c:pt>
                <c:pt idx="26">
                  <c:v>23.5</c:v>
                </c:pt>
                <c:pt idx="27">
                  <c:v>14.2</c:v>
                </c:pt>
                <c:pt idx="28">
                  <c:v>11.9</c:v>
                </c:pt>
                <c:pt idx="29">
                  <c:v>10.3</c:v>
                </c:pt>
                <c:pt idx="30">
                  <c:v>10.4</c:v>
                </c:pt>
              </c:numCache>
            </c:numRef>
          </c:val>
        </c:ser>
        <c:dLbls/>
        <c:marker val="1"/>
        <c:axId val="98584448"/>
        <c:axId val="98585984"/>
      </c:lineChart>
      <c:catAx>
        <c:axId val="9856883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82912"/>
        <c:crosses val="autoZero"/>
        <c:auto val="1"/>
        <c:lblAlgn val="ctr"/>
        <c:lblOffset val="100"/>
      </c:catAx>
      <c:valAx>
        <c:axId val="985829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68832"/>
        <c:crosses val="autoZero"/>
        <c:crossBetween val="between"/>
      </c:valAx>
      <c:catAx>
        <c:axId val="98584448"/>
        <c:scaling>
          <c:orientation val="minMax"/>
        </c:scaling>
        <c:delete val="1"/>
        <c:axPos val="b"/>
        <c:tickLblPos val="none"/>
        <c:crossAx val="98585984"/>
        <c:crosses val="autoZero"/>
        <c:auto val="1"/>
        <c:lblAlgn val="ctr"/>
        <c:lblOffset val="100"/>
      </c:catAx>
      <c:valAx>
        <c:axId val="98585984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58444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'8'!$AT$2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'8'!$AT$3:$AT$34</c:f>
              <c:numCache>
                <c:formatCode>General</c:formatCode>
                <c:ptCount val="32"/>
                <c:pt idx="0">
                  <c:v>5.51</c:v>
                </c:pt>
                <c:pt idx="1">
                  <c:v>8.48</c:v>
                </c:pt>
                <c:pt idx="2">
                  <c:v>7.97</c:v>
                </c:pt>
                <c:pt idx="3">
                  <c:v>5.04</c:v>
                </c:pt>
                <c:pt idx="4">
                  <c:v>4.79</c:v>
                </c:pt>
                <c:pt idx="5">
                  <c:v>3.74</c:v>
                </c:pt>
                <c:pt idx="6">
                  <c:v>3.95</c:v>
                </c:pt>
                <c:pt idx="7">
                  <c:v>5.58</c:v>
                </c:pt>
                <c:pt idx="8">
                  <c:v>7.29</c:v>
                </c:pt>
                <c:pt idx="9">
                  <c:v>8.2100000000000009</c:v>
                </c:pt>
                <c:pt idx="10">
                  <c:v>5.31</c:v>
                </c:pt>
                <c:pt idx="11">
                  <c:v>5.43</c:v>
                </c:pt>
                <c:pt idx="12">
                  <c:v>3.68</c:v>
                </c:pt>
                <c:pt idx="13">
                  <c:v>3.82</c:v>
                </c:pt>
                <c:pt idx="14">
                  <c:v>7.3</c:v>
                </c:pt>
                <c:pt idx="15">
                  <c:v>7.54</c:v>
                </c:pt>
                <c:pt idx="16">
                  <c:v>7.8</c:v>
                </c:pt>
                <c:pt idx="17">
                  <c:v>7.85</c:v>
                </c:pt>
                <c:pt idx="18">
                  <c:v>8.81</c:v>
                </c:pt>
                <c:pt idx="19">
                  <c:v>5.17</c:v>
                </c:pt>
                <c:pt idx="20">
                  <c:v>3.44</c:v>
                </c:pt>
                <c:pt idx="21">
                  <c:v>5.69</c:v>
                </c:pt>
                <c:pt idx="22">
                  <c:v>7.26</c:v>
                </c:pt>
                <c:pt idx="23">
                  <c:v>7.45</c:v>
                </c:pt>
                <c:pt idx="24">
                  <c:v>6.21</c:v>
                </c:pt>
                <c:pt idx="25">
                  <c:v>4.72</c:v>
                </c:pt>
                <c:pt idx="26">
                  <c:v>4.3899999999999997</c:v>
                </c:pt>
                <c:pt idx="27">
                  <c:v>4.4400000000000004</c:v>
                </c:pt>
                <c:pt idx="28">
                  <c:v>5.49</c:v>
                </c:pt>
                <c:pt idx="29">
                  <c:v>7.51</c:v>
                </c:pt>
                <c:pt idx="30">
                  <c:v>8.14</c:v>
                </c:pt>
              </c:numCache>
            </c:numRef>
          </c:val>
        </c:ser>
        <c:ser>
          <c:idx val="2"/>
          <c:order val="2"/>
          <c:tx>
            <c:strRef>
              <c:f>'8'!$AQ$2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'8'!$AQ$3:$AQ$34</c:f>
              <c:numCache>
                <c:formatCode>General</c:formatCode>
                <c:ptCount val="32"/>
                <c:pt idx="0">
                  <c:v>2.9</c:v>
                </c:pt>
                <c:pt idx="1">
                  <c:v>0.6</c:v>
                </c:pt>
                <c:pt idx="2">
                  <c:v>0.6</c:v>
                </c:pt>
                <c:pt idx="3">
                  <c:v>0</c:v>
                </c:pt>
                <c:pt idx="4">
                  <c:v>0.6</c:v>
                </c:pt>
                <c:pt idx="5">
                  <c:v>0.6</c:v>
                </c:pt>
                <c:pt idx="6">
                  <c:v>0</c:v>
                </c:pt>
                <c:pt idx="7">
                  <c:v>0.6</c:v>
                </c:pt>
                <c:pt idx="8">
                  <c:v>0.6</c:v>
                </c:pt>
                <c:pt idx="9">
                  <c:v>3.5</c:v>
                </c:pt>
                <c:pt idx="10">
                  <c:v>78.5</c:v>
                </c:pt>
                <c:pt idx="11">
                  <c:v>19.600000000000001</c:v>
                </c:pt>
                <c:pt idx="12">
                  <c:v>0.6</c:v>
                </c:pt>
                <c:pt idx="13">
                  <c:v>0</c:v>
                </c:pt>
                <c:pt idx="14">
                  <c:v>0.6</c:v>
                </c:pt>
                <c:pt idx="15">
                  <c:v>0.6</c:v>
                </c:pt>
                <c:pt idx="16">
                  <c:v>0</c:v>
                </c:pt>
                <c:pt idx="17">
                  <c:v>2.4</c:v>
                </c:pt>
                <c:pt idx="18">
                  <c:v>24.4</c:v>
                </c:pt>
                <c:pt idx="19">
                  <c:v>0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</c:v>
                </c:pt>
                <c:pt idx="24">
                  <c:v>4.0999999999999996</c:v>
                </c:pt>
                <c:pt idx="25">
                  <c:v>41.9</c:v>
                </c:pt>
                <c:pt idx="26">
                  <c:v>0</c:v>
                </c:pt>
                <c:pt idx="27">
                  <c:v>0</c:v>
                </c:pt>
                <c:pt idx="28">
                  <c:v>1.1000000000000001</c:v>
                </c:pt>
                <c:pt idx="29">
                  <c:v>0.6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'8'!$AR$2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'8'!$AR$3:$AR$34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</c:v>
                </c:pt>
                <c:pt idx="11">
                  <c:v>7.0000000000000007E-2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98711040"/>
        <c:axId val="98712576"/>
      </c:lineChart>
      <c:lineChart>
        <c:grouping val="standard"/>
        <c:ser>
          <c:idx val="0"/>
          <c:order val="0"/>
          <c:tx>
            <c:strRef>
              <c:f>'8'!$AS$2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'8'!$AS$3:$AS$34</c:f>
              <c:numCache>
                <c:formatCode>0.0_);[Red]\(0.0\)</c:formatCode>
                <c:ptCount val="32"/>
                <c:pt idx="0">
                  <c:v>15.3</c:v>
                </c:pt>
                <c:pt idx="1">
                  <c:v>24.4</c:v>
                </c:pt>
                <c:pt idx="2">
                  <c:v>22.5</c:v>
                </c:pt>
                <c:pt idx="3">
                  <c:v>13.9</c:v>
                </c:pt>
                <c:pt idx="4">
                  <c:v>13.8</c:v>
                </c:pt>
                <c:pt idx="5">
                  <c:v>10.1</c:v>
                </c:pt>
                <c:pt idx="6">
                  <c:v>11</c:v>
                </c:pt>
                <c:pt idx="7">
                  <c:v>15.5</c:v>
                </c:pt>
                <c:pt idx="8">
                  <c:v>20.9</c:v>
                </c:pt>
                <c:pt idx="9">
                  <c:v>23.9</c:v>
                </c:pt>
                <c:pt idx="10">
                  <c:v>15.4</c:v>
                </c:pt>
                <c:pt idx="11">
                  <c:v>15.4</c:v>
                </c:pt>
                <c:pt idx="12">
                  <c:v>10.199999999999999</c:v>
                </c:pt>
                <c:pt idx="13">
                  <c:v>10.6</c:v>
                </c:pt>
                <c:pt idx="14">
                  <c:v>20.6</c:v>
                </c:pt>
                <c:pt idx="15">
                  <c:v>21.3</c:v>
                </c:pt>
                <c:pt idx="16">
                  <c:v>22.4</c:v>
                </c:pt>
                <c:pt idx="17">
                  <c:v>22.5</c:v>
                </c:pt>
                <c:pt idx="18">
                  <c:v>26.4</c:v>
                </c:pt>
                <c:pt idx="19">
                  <c:v>14.6</c:v>
                </c:pt>
                <c:pt idx="20">
                  <c:v>9.5</c:v>
                </c:pt>
                <c:pt idx="21">
                  <c:v>16.2</c:v>
                </c:pt>
                <c:pt idx="22">
                  <c:v>20.8</c:v>
                </c:pt>
                <c:pt idx="23">
                  <c:v>21.4</c:v>
                </c:pt>
                <c:pt idx="24">
                  <c:v>17.7</c:v>
                </c:pt>
                <c:pt idx="25">
                  <c:v>13.3</c:v>
                </c:pt>
                <c:pt idx="26">
                  <c:v>11.9</c:v>
                </c:pt>
                <c:pt idx="27">
                  <c:v>12.4</c:v>
                </c:pt>
                <c:pt idx="28">
                  <c:v>15.2</c:v>
                </c:pt>
                <c:pt idx="29">
                  <c:v>21.9</c:v>
                </c:pt>
                <c:pt idx="30">
                  <c:v>23.4</c:v>
                </c:pt>
              </c:numCache>
            </c:numRef>
          </c:val>
        </c:ser>
        <c:dLbls/>
        <c:marker val="1"/>
        <c:axId val="98722560"/>
        <c:axId val="98724096"/>
      </c:lineChart>
      <c:catAx>
        <c:axId val="987110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712576"/>
        <c:crosses val="autoZero"/>
        <c:auto val="1"/>
        <c:lblAlgn val="ctr"/>
        <c:lblOffset val="100"/>
      </c:catAx>
      <c:valAx>
        <c:axId val="987125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711040"/>
        <c:crosses val="autoZero"/>
        <c:crossBetween val="between"/>
      </c:valAx>
      <c:catAx>
        <c:axId val="98722560"/>
        <c:scaling>
          <c:orientation val="minMax"/>
        </c:scaling>
        <c:delete val="1"/>
        <c:axPos val="b"/>
        <c:tickLblPos val="none"/>
        <c:crossAx val="98724096"/>
        <c:crosses val="autoZero"/>
        <c:auto val="1"/>
        <c:lblAlgn val="ctr"/>
        <c:lblOffset val="100"/>
      </c:catAx>
      <c:valAx>
        <c:axId val="98724096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722560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'9'!$AT$2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'9'!$AT$3:$AT$34</c:f>
              <c:numCache>
                <c:formatCode>General</c:formatCode>
                <c:ptCount val="32"/>
                <c:pt idx="0">
                  <c:v>5.73</c:v>
                </c:pt>
                <c:pt idx="1">
                  <c:v>5.22</c:v>
                </c:pt>
                <c:pt idx="2">
                  <c:v>4.03</c:v>
                </c:pt>
                <c:pt idx="3">
                  <c:v>3.76</c:v>
                </c:pt>
                <c:pt idx="4">
                  <c:v>5.88</c:v>
                </c:pt>
                <c:pt idx="5">
                  <c:v>7.59</c:v>
                </c:pt>
                <c:pt idx="6">
                  <c:v>7.56</c:v>
                </c:pt>
                <c:pt idx="7">
                  <c:v>6.36</c:v>
                </c:pt>
                <c:pt idx="8">
                  <c:v>4.99</c:v>
                </c:pt>
                <c:pt idx="9">
                  <c:v>3.72</c:v>
                </c:pt>
                <c:pt idx="10">
                  <c:v>3.51</c:v>
                </c:pt>
                <c:pt idx="11">
                  <c:v>6.07</c:v>
                </c:pt>
                <c:pt idx="12">
                  <c:v>7.71</c:v>
                </c:pt>
                <c:pt idx="13">
                  <c:v>7.78</c:v>
                </c:pt>
                <c:pt idx="14">
                  <c:v>6.72</c:v>
                </c:pt>
                <c:pt idx="15">
                  <c:v>6.37</c:v>
                </c:pt>
                <c:pt idx="16">
                  <c:v>8.26</c:v>
                </c:pt>
                <c:pt idx="17">
                  <c:v>3.34</c:v>
                </c:pt>
                <c:pt idx="18">
                  <c:v>1.89</c:v>
                </c:pt>
                <c:pt idx="19">
                  <c:v>0.57999999999999996</c:v>
                </c:pt>
                <c:pt idx="20">
                  <c:v>5.01</c:v>
                </c:pt>
                <c:pt idx="21">
                  <c:v>6.58</c:v>
                </c:pt>
                <c:pt idx="22">
                  <c:v>5.24</c:v>
                </c:pt>
                <c:pt idx="23">
                  <c:v>3.05</c:v>
                </c:pt>
                <c:pt idx="24">
                  <c:v>4.3099999999999996</c:v>
                </c:pt>
                <c:pt idx="25">
                  <c:v>8.9700000000000006</c:v>
                </c:pt>
                <c:pt idx="26">
                  <c:v>8.07</c:v>
                </c:pt>
                <c:pt idx="27">
                  <c:v>7.57</c:v>
                </c:pt>
                <c:pt idx="28">
                  <c:v>5.95</c:v>
                </c:pt>
                <c:pt idx="29">
                  <c:v>3.88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'9'!$AQ$2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'9'!$AQ$3:$AQ$34</c:f>
              <c:numCache>
                <c:formatCode>General</c:formatCode>
                <c:ptCount val="32"/>
                <c:pt idx="0">
                  <c:v>0.6</c:v>
                </c:pt>
                <c:pt idx="1">
                  <c:v>0.6</c:v>
                </c:pt>
                <c:pt idx="2">
                  <c:v>0</c:v>
                </c:pt>
                <c:pt idx="3">
                  <c:v>0.6</c:v>
                </c:pt>
                <c:pt idx="4">
                  <c:v>0.6</c:v>
                </c:pt>
                <c:pt idx="5">
                  <c:v>0</c:v>
                </c:pt>
                <c:pt idx="6">
                  <c:v>0.6</c:v>
                </c:pt>
                <c:pt idx="7">
                  <c:v>0.6</c:v>
                </c:pt>
                <c:pt idx="8">
                  <c:v>4.0999999999999996</c:v>
                </c:pt>
                <c:pt idx="9">
                  <c:v>0.6</c:v>
                </c:pt>
                <c:pt idx="10">
                  <c:v>0.6</c:v>
                </c:pt>
                <c:pt idx="11">
                  <c:v>0</c:v>
                </c:pt>
                <c:pt idx="12">
                  <c:v>0.6</c:v>
                </c:pt>
                <c:pt idx="13">
                  <c:v>0.6</c:v>
                </c:pt>
                <c:pt idx="14">
                  <c:v>0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12</c:v>
                </c:pt>
                <c:pt idx="19">
                  <c:v>48.6</c:v>
                </c:pt>
                <c:pt idx="20">
                  <c:v>0.6</c:v>
                </c:pt>
                <c:pt idx="21">
                  <c:v>1.8</c:v>
                </c:pt>
                <c:pt idx="22">
                  <c:v>8.3000000000000007</c:v>
                </c:pt>
                <c:pt idx="23">
                  <c:v>10.4</c:v>
                </c:pt>
                <c:pt idx="24">
                  <c:v>0</c:v>
                </c:pt>
                <c:pt idx="25">
                  <c:v>3.3</c:v>
                </c:pt>
                <c:pt idx="26">
                  <c:v>14.3</c:v>
                </c:pt>
                <c:pt idx="27">
                  <c:v>8.8000000000000007</c:v>
                </c:pt>
                <c:pt idx="28">
                  <c:v>14</c:v>
                </c:pt>
                <c:pt idx="29">
                  <c:v>8.6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'9'!$AR$2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'9'!$AR$3:$AR$34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0.14000000000000001</c:v>
                </c:pt>
                <c:pt idx="20">
                  <c:v>0</c:v>
                </c:pt>
                <c:pt idx="21">
                  <c:v>0.01</c:v>
                </c:pt>
                <c:pt idx="22">
                  <c:v>0.03</c:v>
                </c:pt>
                <c:pt idx="23">
                  <c:v>0.04</c:v>
                </c:pt>
                <c:pt idx="24">
                  <c:v>0</c:v>
                </c:pt>
                <c:pt idx="25">
                  <c:v>0.01</c:v>
                </c:pt>
                <c:pt idx="26">
                  <c:v>0.02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</c:v>
                </c:pt>
              </c:numCache>
            </c:numRef>
          </c:val>
        </c:ser>
        <c:dLbls/>
        <c:marker val="1"/>
        <c:axId val="98988416"/>
        <c:axId val="98989952"/>
      </c:lineChart>
      <c:lineChart>
        <c:grouping val="standard"/>
        <c:ser>
          <c:idx val="0"/>
          <c:order val="0"/>
          <c:tx>
            <c:strRef>
              <c:f>'9'!$AS$2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'9'!$AS$3:$AS$34</c:f>
              <c:numCache>
                <c:formatCode>0.0_);[Red]\(0.0\)</c:formatCode>
                <c:ptCount val="32"/>
                <c:pt idx="0">
                  <c:v>16.3</c:v>
                </c:pt>
                <c:pt idx="1">
                  <c:v>14.4</c:v>
                </c:pt>
                <c:pt idx="2">
                  <c:v>11.3</c:v>
                </c:pt>
                <c:pt idx="3">
                  <c:v>10.4</c:v>
                </c:pt>
                <c:pt idx="4">
                  <c:v>16.7</c:v>
                </c:pt>
                <c:pt idx="5">
                  <c:v>21.7</c:v>
                </c:pt>
                <c:pt idx="6">
                  <c:v>21.4</c:v>
                </c:pt>
                <c:pt idx="7">
                  <c:v>18.5</c:v>
                </c:pt>
                <c:pt idx="8">
                  <c:v>13.7</c:v>
                </c:pt>
                <c:pt idx="9">
                  <c:v>10.3</c:v>
                </c:pt>
                <c:pt idx="10">
                  <c:v>9.6999999999999993</c:v>
                </c:pt>
                <c:pt idx="11">
                  <c:v>17.3</c:v>
                </c:pt>
                <c:pt idx="12">
                  <c:v>22.1</c:v>
                </c:pt>
                <c:pt idx="13">
                  <c:v>22.3</c:v>
                </c:pt>
                <c:pt idx="14">
                  <c:v>19.2</c:v>
                </c:pt>
                <c:pt idx="15">
                  <c:v>18.5</c:v>
                </c:pt>
                <c:pt idx="16">
                  <c:v>23.7</c:v>
                </c:pt>
                <c:pt idx="17">
                  <c:v>9.5</c:v>
                </c:pt>
                <c:pt idx="18">
                  <c:v>5.0999999999999996</c:v>
                </c:pt>
                <c:pt idx="19">
                  <c:v>1</c:v>
                </c:pt>
                <c:pt idx="20">
                  <c:v>14.2</c:v>
                </c:pt>
                <c:pt idx="21">
                  <c:v>19.100000000000001</c:v>
                </c:pt>
                <c:pt idx="22">
                  <c:v>14.8</c:v>
                </c:pt>
                <c:pt idx="23">
                  <c:v>8.3000000000000007</c:v>
                </c:pt>
                <c:pt idx="24">
                  <c:v>12.1</c:v>
                </c:pt>
                <c:pt idx="25">
                  <c:v>26.2</c:v>
                </c:pt>
                <c:pt idx="26">
                  <c:v>23.1</c:v>
                </c:pt>
                <c:pt idx="27">
                  <c:v>21.6</c:v>
                </c:pt>
                <c:pt idx="28">
                  <c:v>16.899999999999999</c:v>
                </c:pt>
                <c:pt idx="29">
                  <c:v>10.8</c:v>
                </c:pt>
                <c:pt idx="30">
                  <c:v>0</c:v>
                </c:pt>
              </c:numCache>
            </c:numRef>
          </c:val>
        </c:ser>
        <c:dLbls/>
        <c:marker val="1"/>
        <c:axId val="98991488"/>
        <c:axId val="99009664"/>
      </c:lineChart>
      <c:catAx>
        <c:axId val="9898841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89952"/>
        <c:crosses val="autoZero"/>
        <c:auto val="1"/>
        <c:lblAlgn val="ctr"/>
        <c:lblOffset val="100"/>
      </c:catAx>
      <c:valAx>
        <c:axId val="9898995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88416"/>
        <c:crosses val="autoZero"/>
        <c:crossBetween val="between"/>
      </c:valAx>
      <c:catAx>
        <c:axId val="98991488"/>
        <c:scaling>
          <c:orientation val="minMax"/>
        </c:scaling>
        <c:delete val="1"/>
        <c:axPos val="b"/>
        <c:tickLblPos val="none"/>
        <c:crossAx val="99009664"/>
        <c:crosses val="autoZero"/>
        <c:auto val="1"/>
        <c:lblAlgn val="ctr"/>
        <c:lblOffset val="100"/>
      </c:catAx>
      <c:valAx>
        <c:axId val="99009664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91488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'10'!$AT$2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'10'!$AT$3:$AT$34</c:f>
              <c:numCache>
                <c:formatCode>General</c:formatCode>
                <c:ptCount val="32"/>
                <c:pt idx="0">
                  <c:v>1.1499999999999999</c:v>
                </c:pt>
                <c:pt idx="1">
                  <c:v>1</c:v>
                </c:pt>
                <c:pt idx="2">
                  <c:v>0.88</c:v>
                </c:pt>
                <c:pt idx="3">
                  <c:v>0.59</c:v>
                </c:pt>
                <c:pt idx="4">
                  <c:v>0.62</c:v>
                </c:pt>
                <c:pt idx="5">
                  <c:v>0.94</c:v>
                </c:pt>
                <c:pt idx="6">
                  <c:v>4.9000000000000004</c:v>
                </c:pt>
                <c:pt idx="7">
                  <c:v>7.51</c:v>
                </c:pt>
                <c:pt idx="8">
                  <c:v>3.49</c:v>
                </c:pt>
                <c:pt idx="9">
                  <c:v>5.78</c:v>
                </c:pt>
                <c:pt idx="10">
                  <c:v>7.31</c:v>
                </c:pt>
                <c:pt idx="11">
                  <c:v>7.83</c:v>
                </c:pt>
                <c:pt idx="12">
                  <c:v>7.1</c:v>
                </c:pt>
                <c:pt idx="13">
                  <c:v>3.93</c:v>
                </c:pt>
                <c:pt idx="14">
                  <c:v>3.87</c:v>
                </c:pt>
                <c:pt idx="15">
                  <c:v>3.64</c:v>
                </c:pt>
                <c:pt idx="16">
                  <c:v>5.32</c:v>
                </c:pt>
                <c:pt idx="17">
                  <c:v>7.65</c:v>
                </c:pt>
                <c:pt idx="18">
                  <c:v>7.13</c:v>
                </c:pt>
                <c:pt idx="19">
                  <c:v>6.52</c:v>
                </c:pt>
                <c:pt idx="20">
                  <c:v>4.51</c:v>
                </c:pt>
                <c:pt idx="21">
                  <c:v>2.86</c:v>
                </c:pt>
                <c:pt idx="22">
                  <c:v>2.92</c:v>
                </c:pt>
                <c:pt idx="23">
                  <c:v>4.59</c:v>
                </c:pt>
                <c:pt idx="24">
                  <c:v>6.83</c:v>
                </c:pt>
                <c:pt idx="25">
                  <c:v>8.32</c:v>
                </c:pt>
                <c:pt idx="26">
                  <c:v>6.17</c:v>
                </c:pt>
                <c:pt idx="27">
                  <c:v>5.35</c:v>
                </c:pt>
                <c:pt idx="28">
                  <c:v>3.58</c:v>
                </c:pt>
                <c:pt idx="29">
                  <c:v>3.61</c:v>
                </c:pt>
                <c:pt idx="30">
                  <c:v>5.61</c:v>
                </c:pt>
              </c:numCache>
            </c:numRef>
          </c:val>
        </c:ser>
        <c:ser>
          <c:idx val="2"/>
          <c:order val="2"/>
          <c:tx>
            <c:strRef>
              <c:f>'10'!$AQ$2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'10'!$AQ$3:$AQ$34</c:f>
              <c:numCache>
                <c:formatCode>General</c:formatCode>
                <c:ptCount val="32"/>
                <c:pt idx="0">
                  <c:v>0</c:v>
                </c:pt>
                <c:pt idx="1">
                  <c:v>1.7</c:v>
                </c:pt>
                <c:pt idx="2">
                  <c:v>0.9</c:v>
                </c:pt>
                <c:pt idx="3">
                  <c:v>69.8</c:v>
                </c:pt>
                <c:pt idx="4">
                  <c:v>0.6</c:v>
                </c:pt>
                <c:pt idx="5">
                  <c:v>0.6</c:v>
                </c:pt>
                <c:pt idx="6">
                  <c:v>0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</c:v>
                </c:pt>
                <c:pt idx="15">
                  <c:v>0</c:v>
                </c:pt>
                <c:pt idx="16">
                  <c:v>1.2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</c:v>
                </c:pt>
                <c:pt idx="22">
                  <c:v>0</c:v>
                </c:pt>
                <c:pt idx="23">
                  <c:v>1.1000000000000001</c:v>
                </c:pt>
                <c:pt idx="24">
                  <c:v>0.6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'10'!$AR$2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'10'!$AR$3:$AR$34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0.12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212339712"/>
        <c:axId val="212366080"/>
      </c:lineChart>
      <c:lineChart>
        <c:grouping val="standard"/>
        <c:ser>
          <c:idx val="0"/>
          <c:order val="0"/>
          <c:tx>
            <c:strRef>
              <c:f>'10'!$AS$2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'10'!$AS$3:$AS$34</c:f>
              <c:numCache>
                <c:formatCode>0.0_);[Red]\(0.0\)</c:formatCode>
                <c:ptCount val="32"/>
                <c:pt idx="0">
                  <c:v>2.4</c:v>
                </c:pt>
                <c:pt idx="1">
                  <c:v>2</c:v>
                </c:pt>
                <c:pt idx="2">
                  <c:v>1.6</c:v>
                </c:pt>
                <c:pt idx="3">
                  <c:v>1</c:v>
                </c:pt>
                <c:pt idx="4">
                  <c:v>1.1000000000000001</c:v>
                </c:pt>
                <c:pt idx="5">
                  <c:v>2.1</c:v>
                </c:pt>
                <c:pt idx="6">
                  <c:v>13.5</c:v>
                </c:pt>
                <c:pt idx="7">
                  <c:v>21.9</c:v>
                </c:pt>
                <c:pt idx="8">
                  <c:v>9.3000000000000007</c:v>
                </c:pt>
                <c:pt idx="9">
                  <c:v>16.399999999999999</c:v>
                </c:pt>
                <c:pt idx="10">
                  <c:v>21</c:v>
                </c:pt>
                <c:pt idx="11">
                  <c:v>22.5</c:v>
                </c:pt>
                <c:pt idx="12">
                  <c:v>20.7</c:v>
                </c:pt>
                <c:pt idx="13">
                  <c:v>10.6</c:v>
                </c:pt>
                <c:pt idx="14">
                  <c:v>10.4</c:v>
                </c:pt>
                <c:pt idx="15">
                  <c:v>10.1</c:v>
                </c:pt>
                <c:pt idx="16">
                  <c:v>15</c:v>
                </c:pt>
                <c:pt idx="17">
                  <c:v>22.3</c:v>
                </c:pt>
                <c:pt idx="18">
                  <c:v>20.399999999999999</c:v>
                </c:pt>
                <c:pt idx="19">
                  <c:v>19</c:v>
                </c:pt>
                <c:pt idx="20">
                  <c:v>12.7</c:v>
                </c:pt>
                <c:pt idx="21">
                  <c:v>7.8</c:v>
                </c:pt>
                <c:pt idx="22">
                  <c:v>8</c:v>
                </c:pt>
                <c:pt idx="23">
                  <c:v>12.9</c:v>
                </c:pt>
                <c:pt idx="24">
                  <c:v>19.2</c:v>
                </c:pt>
                <c:pt idx="25">
                  <c:v>23.9</c:v>
                </c:pt>
                <c:pt idx="26">
                  <c:v>17.2</c:v>
                </c:pt>
                <c:pt idx="27">
                  <c:v>15.1</c:v>
                </c:pt>
                <c:pt idx="28">
                  <c:v>9.9</c:v>
                </c:pt>
                <c:pt idx="29">
                  <c:v>9.9</c:v>
                </c:pt>
                <c:pt idx="30">
                  <c:v>15.3</c:v>
                </c:pt>
              </c:numCache>
            </c:numRef>
          </c:val>
        </c:ser>
        <c:dLbls/>
        <c:marker val="1"/>
        <c:axId val="212367616"/>
        <c:axId val="212373504"/>
      </c:lineChart>
      <c:catAx>
        <c:axId val="21233971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366080"/>
        <c:crosses val="autoZero"/>
        <c:auto val="1"/>
        <c:lblAlgn val="ctr"/>
        <c:lblOffset val="100"/>
      </c:catAx>
      <c:valAx>
        <c:axId val="2123660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339712"/>
        <c:crosses val="autoZero"/>
        <c:crossBetween val="between"/>
      </c:valAx>
      <c:catAx>
        <c:axId val="212367616"/>
        <c:scaling>
          <c:orientation val="minMax"/>
        </c:scaling>
        <c:delete val="1"/>
        <c:axPos val="b"/>
        <c:tickLblPos val="none"/>
        <c:crossAx val="212373504"/>
        <c:crosses val="autoZero"/>
        <c:auto val="1"/>
        <c:lblAlgn val="ctr"/>
        <c:lblOffset val="100"/>
      </c:catAx>
      <c:valAx>
        <c:axId val="212373504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36761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'11'!$AT$2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'11'!$AT$3:$AT$34</c:f>
              <c:numCache>
                <c:formatCode>General</c:formatCode>
                <c:ptCount val="32"/>
                <c:pt idx="0">
                  <c:v>8.2100000000000009</c:v>
                </c:pt>
                <c:pt idx="1">
                  <c:v>8.25</c:v>
                </c:pt>
                <c:pt idx="2">
                  <c:v>8.2100000000000009</c:v>
                </c:pt>
                <c:pt idx="3">
                  <c:v>6.69</c:v>
                </c:pt>
                <c:pt idx="4">
                  <c:v>5.32</c:v>
                </c:pt>
                <c:pt idx="5">
                  <c:v>7.58</c:v>
                </c:pt>
                <c:pt idx="6">
                  <c:v>8.3699999999999992</c:v>
                </c:pt>
                <c:pt idx="7">
                  <c:v>8.73</c:v>
                </c:pt>
                <c:pt idx="8">
                  <c:v>8.1300000000000008</c:v>
                </c:pt>
                <c:pt idx="9">
                  <c:v>9.19</c:v>
                </c:pt>
                <c:pt idx="10">
                  <c:v>6.16</c:v>
                </c:pt>
                <c:pt idx="11">
                  <c:v>7.28</c:v>
                </c:pt>
                <c:pt idx="12">
                  <c:v>8.15</c:v>
                </c:pt>
                <c:pt idx="13">
                  <c:v>7.45</c:v>
                </c:pt>
                <c:pt idx="14">
                  <c:v>9.25</c:v>
                </c:pt>
                <c:pt idx="15">
                  <c:v>8.77</c:v>
                </c:pt>
                <c:pt idx="16">
                  <c:v>8.92</c:v>
                </c:pt>
                <c:pt idx="17">
                  <c:v>7.29</c:v>
                </c:pt>
                <c:pt idx="18">
                  <c:v>6.04</c:v>
                </c:pt>
                <c:pt idx="19">
                  <c:v>3.34</c:v>
                </c:pt>
                <c:pt idx="20">
                  <c:v>6.18</c:v>
                </c:pt>
                <c:pt idx="21">
                  <c:v>9.16</c:v>
                </c:pt>
                <c:pt idx="22">
                  <c:v>9.24</c:v>
                </c:pt>
                <c:pt idx="23">
                  <c:v>7.86</c:v>
                </c:pt>
                <c:pt idx="24">
                  <c:v>8.43</c:v>
                </c:pt>
                <c:pt idx="25">
                  <c:v>6.16</c:v>
                </c:pt>
                <c:pt idx="26">
                  <c:v>4.1399999999999997</c:v>
                </c:pt>
                <c:pt idx="27">
                  <c:v>7.57</c:v>
                </c:pt>
                <c:pt idx="28">
                  <c:v>10.47</c:v>
                </c:pt>
                <c:pt idx="29">
                  <c:v>9.06</c:v>
                </c:pt>
                <c:pt idx="30">
                  <c:v>0</c:v>
                </c:pt>
              </c:numCache>
            </c:numRef>
          </c:val>
        </c:ser>
        <c:ser>
          <c:idx val="2"/>
          <c:order val="2"/>
          <c:tx>
            <c:strRef>
              <c:f>'11'!$AQ$2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'11'!$AQ$3:$AQ$34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114.1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34.9</c:v>
                </c:pt>
                <c:pt idx="20">
                  <c:v>42.7</c:v>
                </c:pt>
                <c:pt idx="21">
                  <c:v>144.4</c:v>
                </c:pt>
                <c:pt idx="22">
                  <c:v>23.5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21.6</c:v>
                </c:pt>
                <c:pt idx="27">
                  <c:v>40.9</c:v>
                </c:pt>
                <c:pt idx="28">
                  <c:v>43.2</c:v>
                </c:pt>
                <c:pt idx="29">
                  <c:v>41.1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'11'!$AR$2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'11'!$AR$3:$AR$34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0.16</c:v>
                </c:pt>
                <c:pt idx="21">
                  <c:v>0.32</c:v>
                </c:pt>
                <c:pt idx="22">
                  <c:v>0.05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0.19</c:v>
                </c:pt>
                <c:pt idx="27">
                  <c:v>0.27</c:v>
                </c:pt>
                <c:pt idx="28">
                  <c:v>0.26</c:v>
                </c:pt>
                <c:pt idx="29">
                  <c:v>0.27</c:v>
                </c:pt>
                <c:pt idx="30">
                  <c:v>0</c:v>
                </c:pt>
              </c:numCache>
            </c:numRef>
          </c:val>
        </c:ser>
        <c:dLbls/>
        <c:marker val="1"/>
        <c:axId val="212461440"/>
        <c:axId val="212462976"/>
      </c:lineChart>
      <c:lineChart>
        <c:grouping val="standard"/>
        <c:ser>
          <c:idx val="0"/>
          <c:order val="0"/>
          <c:tx>
            <c:strRef>
              <c:f>'11'!$AS$2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'11'!$AS$3:$AS$34</c:f>
              <c:numCache>
                <c:formatCode>0.0_);[Red]\(0.0\)</c:formatCode>
                <c:ptCount val="32"/>
                <c:pt idx="0" formatCode="General">
                  <c:v>23.84</c:v>
                </c:pt>
                <c:pt idx="1">
                  <c:v>23.5</c:v>
                </c:pt>
                <c:pt idx="2">
                  <c:v>23.8</c:v>
                </c:pt>
                <c:pt idx="3">
                  <c:v>18.899999999999999</c:v>
                </c:pt>
                <c:pt idx="4">
                  <c:v>15.4</c:v>
                </c:pt>
                <c:pt idx="5">
                  <c:v>21.8</c:v>
                </c:pt>
                <c:pt idx="6">
                  <c:v>24.1</c:v>
                </c:pt>
                <c:pt idx="7">
                  <c:v>25.5</c:v>
                </c:pt>
                <c:pt idx="8">
                  <c:v>23.4</c:v>
                </c:pt>
                <c:pt idx="9">
                  <c:v>26.8</c:v>
                </c:pt>
                <c:pt idx="10">
                  <c:v>17.399999999999999</c:v>
                </c:pt>
                <c:pt idx="11">
                  <c:v>20.6</c:v>
                </c:pt>
                <c:pt idx="12">
                  <c:v>23.7</c:v>
                </c:pt>
                <c:pt idx="13">
                  <c:v>21.7</c:v>
                </c:pt>
                <c:pt idx="14">
                  <c:v>27.7</c:v>
                </c:pt>
                <c:pt idx="15">
                  <c:v>25.6</c:v>
                </c:pt>
                <c:pt idx="16">
                  <c:v>25.6</c:v>
                </c:pt>
                <c:pt idx="17">
                  <c:v>22</c:v>
                </c:pt>
                <c:pt idx="18">
                  <c:v>17.5</c:v>
                </c:pt>
                <c:pt idx="19">
                  <c:v>9.1</c:v>
                </c:pt>
                <c:pt idx="20">
                  <c:v>17.899999999999999</c:v>
                </c:pt>
                <c:pt idx="21">
                  <c:v>26.3</c:v>
                </c:pt>
                <c:pt idx="22">
                  <c:v>26.9</c:v>
                </c:pt>
                <c:pt idx="23">
                  <c:v>22.8</c:v>
                </c:pt>
                <c:pt idx="24">
                  <c:v>23.9</c:v>
                </c:pt>
                <c:pt idx="25">
                  <c:v>17.3</c:v>
                </c:pt>
                <c:pt idx="26">
                  <c:v>11.3</c:v>
                </c:pt>
                <c:pt idx="27">
                  <c:v>21.4</c:v>
                </c:pt>
                <c:pt idx="28">
                  <c:v>30.5</c:v>
                </c:pt>
                <c:pt idx="29">
                  <c:v>26</c:v>
                </c:pt>
                <c:pt idx="30">
                  <c:v>0</c:v>
                </c:pt>
              </c:numCache>
            </c:numRef>
          </c:val>
        </c:ser>
        <c:dLbls/>
        <c:marker val="1"/>
        <c:axId val="214631552"/>
        <c:axId val="214633088"/>
      </c:lineChart>
      <c:catAx>
        <c:axId val="21246144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462976"/>
        <c:crosses val="autoZero"/>
        <c:auto val="1"/>
        <c:lblAlgn val="ctr"/>
        <c:lblOffset val="100"/>
      </c:catAx>
      <c:valAx>
        <c:axId val="21246297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461440"/>
        <c:crosses val="autoZero"/>
        <c:crossBetween val="between"/>
      </c:valAx>
      <c:catAx>
        <c:axId val="214631552"/>
        <c:scaling>
          <c:orientation val="minMax"/>
        </c:scaling>
        <c:delete val="1"/>
        <c:axPos val="b"/>
        <c:tickLblPos val="none"/>
        <c:crossAx val="214633088"/>
        <c:crosses val="autoZero"/>
        <c:auto val="1"/>
        <c:lblAlgn val="ctr"/>
        <c:lblOffset val="100"/>
      </c:catAx>
      <c:valAx>
        <c:axId val="214633088"/>
        <c:scaling>
          <c:orientation val="minMax"/>
        </c:scaling>
        <c:axPos val="r"/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63155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药剂单耗统计表（自动生成）</a:t>
            </a:r>
          </a:p>
        </c:rich>
      </c:tx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5637906777687794E-2"/>
          <c:y val="0.10759551502753702"/>
          <c:w val="0.85872002151340721"/>
          <c:h val="0.71047260942965584"/>
        </c:manualLayout>
      </c:layout>
      <c:lineChart>
        <c:grouping val="standard"/>
        <c:ser>
          <c:idx val="1"/>
          <c:order val="1"/>
          <c:tx>
            <c:strRef>
              <c:f>'12'!$AT$2</c:f>
              <c:strCache>
                <c:ptCount val="1"/>
                <c:pt idx="0">
                  <c:v>氯酸钠单耗
ppm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'12'!$AT$3:$AT$34</c:f>
              <c:numCache>
                <c:formatCode>General</c:formatCode>
                <c:ptCount val="32"/>
                <c:pt idx="0">
                  <c:v>6.85</c:v>
                </c:pt>
                <c:pt idx="1">
                  <c:v>6.29</c:v>
                </c:pt>
                <c:pt idx="2">
                  <c:v>8.4</c:v>
                </c:pt>
                <c:pt idx="3">
                  <c:v>9.42</c:v>
                </c:pt>
                <c:pt idx="4">
                  <c:v>6.26</c:v>
                </c:pt>
                <c:pt idx="5">
                  <c:v>7.84</c:v>
                </c:pt>
                <c:pt idx="6">
                  <c:v>8.11</c:v>
                </c:pt>
                <c:pt idx="7">
                  <c:v>7.95</c:v>
                </c:pt>
                <c:pt idx="8">
                  <c:v>7.21</c:v>
                </c:pt>
                <c:pt idx="9">
                  <c:v>5.0199999999999996</c:v>
                </c:pt>
                <c:pt idx="10">
                  <c:v>5.23</c:v>
                </c:pt>
                <c:pt idx="11">
                  <c:v>6.66</c:v>
                </c:pt>
                <c:pt idx="12">
                  <c:v>10.49</c:v>
                </c:pt>
                <c:pt idx="13">
                  <c:v>7.96</c:v>
                </c:pt>
                <c:pt idx="14">
                  <c:v>7.05</c:v>
                </c:pt>
                <c:pt idx="15">
                  <c:v>8.91</c:v>
                </c:pt>
                <c:pt idx="16">
                  <c:v>6.14</c:v>
                </c:pt>
                <c:pt idx="17">
                  <c:v>4.75</c:v>
                </c:pt>
                <c:pt idx="18">
                  <c:v>7.08</c:v>
                </c:pt>
                <c:pt idx="19">
                  <c:v>10.79</c:v>
                </c:pt>
                <c:pt idx="20">
                  <c:v>11.08</c:v>
                </c:pt>
                <c:pt idx="21">
                  <c:v>8.2200000000000006</c:v>
                </c:pt>
                <c:pt idx="22">
                  <c:v>6.9</c:v>
                </c:pt>
                <c:pt idx="23">
                  <c:v>4.8600000000000003</c:v>
                </c:pt>
                <c:pt idx="24">
                  <c:v>5.1100000000000003</c:v>
                </c:pt>
                <c:pt idx="25">
                  <c:v>7.07</c:v>
                </c:pt>
                <c:pt idx="26">
                  <c:v>8.57</c:v>
                </c:pt>
                <c:pt idx="27">
                  <c:v>8.75</c:v>
                </c:pt>
                <c:pt idx="28">
                  <c:v>6.81</c:v>
                </c:pt>
                <c:pt idx="29">
                  <c:v>7.98</c:v>
                </c:pt>
                <c:pt idx="30">
                  <c:v>6.56</c:v>
                </c:pt>
              </c:numCache>
            </c:numRef>
          </c:val>
        </c:ser>
        <c:ser>
          <c:idx val="2"/>
          <c:order val="2"/>
          <c:tx>
            <c:strRef>
              <c:f>'12'!$AQ$2</c:f>
              <c:strCache>
                <c:ptCount val="1"/>
                <c:pt idx="0">
                  <c:v>PAC单耗
ppm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'12'!$AQ$3:$AQ$34</c:f>
              <c:numCache>
                <c:formatCode>General</c:formatCode>
                <c:ptCount val="32"/>
                <c:pt idx="0">
                  <c:v>38.200000000000003</c:v>
                </c:pt>
                <c:pt idx="1">
                  <c:v>37</c:v>
                </c:pt>
                <c:pt idx="2">
                  <c:v>51.7</c:v>
                </c:pt>
                <c:pt idx="3">
                  <c:v>33.200000000000003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23.2</c:v>
                </c:pt>
                <c:pt idx="9">
                  <c:v>37.4</c:v>
                </c:pt>
                <c:pt idx="10">
                  <c:v>32</c:v>
                </c:pt>
                <c:pt idx="11">
                  <c:v>39.9</c:v>
                </c:pt>
                <c:pt idx="12">
                  <c:v>42.5</c:v>
                </c:pt>
                <c:pt idx="13">
                  <c:v>7.9</c:v>
                </c:pt>
                <c:pt idx="14">
                  <c:v>19.899999999999999</c:v>
                </c:pt>
                <c:pt idx="15">
                  <c:v>44.9</c:v>
                </c:pt>
                <c:pt idx="16">
                  <c:v>37</c:v>
                </c:pt>
                <c:pt idx="17">
                  <c:v>61.6</c:v>
                </c:pt>
                <c:pt idx="18">
                  <c:v>53.5</c:v>
                </c:pt>
                <c:pt idx="19">
                  <c:v>94.4</c:v>
                </c:pt>
                <c:pt idx="20">
                  <c:v>22.3</c:v>
                </c:pt>
                <c:pt idx="21">
                  <c:v>116.6</c:v>
                </c:pt>
                <c:pt idx="22">
                  <c:v>41.6</c:v>
                </c:pt>
                <c:pt idx="23">
                  <c:v>40.700000000000003</c:v>
                </c:pt>
                <c:pt idx="24">
                  <c:v>41.5</c:v>
                </c:pt>
                <c:pt idx="25">
                  <c:v>15.1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3"/>
          <c:order val="3"/>
          <c:tx>
            <c:strRef>
              <c:f>'12'!$AR$2</c:f>
              <c:strCache>
                <c:ptCount val="1"/>
                <c:pt idx="0">
                  <c:v>PAM单耗
ppm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'12'!$AR$3:$AR$34</c:f>
              <c:numCache>
                <c:formatCode>General</c:formatCode>
                <c:ptCount val="32"/>
                <c:pt idx="0">
                  <c:v>0.2</c:v>
                </c:pt>
                <c:pt idx="1">
                  <c:v>0.22</c:v>
                </c:pt>
                <c:pt idx="2">
                  <c:v>0.31</c:v>
                </c:pt>
                <c:pt idx="3">
                  <c:v>0.2</c:v>
                </c:pt>
                <c:pt idx="4">
                  <c:v>0.19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0.26</c:v>
                </c:pt>
                <c:pt idx="10">
                  <c:v>0.24</c:v>
                </c:pt>
                <c:pt idx="11">
                  <c:v>0.34</c:v>
                </c:pt>
                <c:pt idx="12">
                  <c:v>0.36</c:v>
                </c:pt>
                <c:pt idx="13">
                  <c:v>0.06</c:v>
                </c:pt>
                <c:pt idx="14">
                  <c:v>0.16</c:v>
                </c:pt>
                <c:pt idx="15">
                  <c:v>0.41</c:v>
                </c:pt>
                <c:pt idx="16">
                  <c:v>0.06</c:v>
                </c:pt>
                <c:pt idx="17">
                  <c:v>0.54</c:v>
                </c:pt>
                <c:pt idx="18">
                  <c:v>0.17</c:v>
                </c:pt>
                <c:pt idx="19">
                  <c:v>0.31</c:v>
                </c:pt>
                <c:pt idx="20">
                  <c:v>7.0000000000000007E-2</c:v>
                </c:pt>
                <c:pt idx="21">
                  <c:v>0.31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dLbls/>
        <c:marker val="1"/>
        <c:axId val="214754048"/>
        <c:axId val="214755584"/>
      </c:lineChart>
      <c:lineChart>
        <c:grouping val="standard"/>
        <c:ser>
          <c:idx val="0"/>
          <c:order val="0"/>
          <c:tx>
            <c:strRef>
              <c:f>'12'!$AS$2</c:f>
              <c:strCache>
                <c:ptCount val="1"/>
                <c:pt idx="0">
                  <c:v>盐酸单耗
ppm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'12'!$AS$3:$AS$34</c:f>
              <c:numCache>
                <c:formatCode>0.0_);[Red]\(0.0\)</c:formatCode>
                <c:ptCount val="32"/>
                <c:pt idx="0">
                  <c:v>19.899999999999999</c:v>
                </c:pt>
                <c:pt idx="1">
                  <c:v>19.399999999999999</c:v>
                </c:pt>
                <c:pt idx="2">
                  <c:v>24.9</c:v>
                </c:pt>
                <c:pt idx="3">
                  <c:v>27.1</c:v>
                </c:pt>
                <c:pt idx="4">
                  <c:v>18.899999999999999</c:v>
                </c:pt>
                <c:pt idx="5">
                  <c:v>23.6</c:v>
                </c:pt>
                <c:pt idx="6">
                  <c:v>23.2</c:v>
                </c:pt>
                <c:pt idx="7">
                  <c:v>23.1</c:v>
                </c:pt>
                <c:pt idx="8">
                  <c:v>20.9</c:v>
                </c:pt>
                <c:pt idx="9">
                  <c:v>14</c:v>
                </c:pt>
                <c:pt idx="10">
                  <c:v>14.5</c:v>
                </c:pt>
                <c:pt idx="11">
                  <c:v>19.2</c:v>
                </c:pt>
                <c:pt idx="12">
                  <c:v>30.6</c:v>
                </c:pt>
                <c:pt idx="13">
                  <c:v>23</c:v>
                </c:pt>
                <c:pt idx="14">
                  <c:v>19.899999999999999</c:v>
                </c:pt>
                <c:pt idx="15">
                  <c:v>25.8</c:v>
                </c:pt>
                <c:pt idx="16">
                  <c:v>17.3</c:v>
                </c:pt>
                <c:pt idx="17">
                  <c:v>13.1</c:v>
                </c:pt>
                <c:pt idx="18">
                  <c:v>19.5</c:v>
                </c:pt>
                <c:pt idx="19">
                  <c:v>31.4</c:v>
                </c:pt>
                <c:pt idx="20">
                  <c:v>31.1</c:v>
                </c:pt>
                <c:pt idx="21">
                  <c:v>23.2</c:v>
                </c:pt>
                <c:pt idx="22">
                  <c:v>19.899999999999999</c:v>
                </c:pt>
                <c:pt idx="23">
                  <c:v>13.4</c:v>
                </c:pt>
                <c:pt idx="24">
                  <c:v>14.1</c:v>
                </c:pt>
                <c:pt idx="25">
                  <c:v>19.899999999999999</c:v>
                </c:pt>
                <c:pt idx="26">
                  <c:v>24.4</c:v>
                </c:pt>
                <c:pt idx="27">
                  <c:v>24.9</c:v>
                </c:pt>
                <c:pt idx="28">
                  <c:v>19.7</c:v>
                </c:pt>
                <c:pt idx="29">
                  <c:v>23.1</c:v>
                </c:pt>
                <c:pt idx="30">
                  <c:v>18.399999999999999</c:v>
                </c:pt>
              </c:numCache>
            </c:numRef>
          </c:val>
        </c:ser>
        <c:dLbls/>
        <c:marker val="1"/>
        <c:axId val="214761472"/>
        <c:axId val="214763008"/>
      </c:lineChart>
      <c:catAx>
        <c:axId val="2147540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755584"/>
        <c:crosses val="autoZero"/>
        <c:auto val="1"/>
        <c:lblAlgn val="ctr"/>
        <c:lblOffset val="100"/>
      </c:catAx>
      <c:valAx>
        <c:axId val="2147555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754048"/>
        <c:crosses val="autoZero"/>
        <c:crossBetween val="between"/>
      </c:valAx>
      <c:catAx>
        <c:axId val="214761472"/>
        <c:scaling>
          <c:orientation val="minMax"/>
        </c:scaling>
        <c:delete val="1"/>
        <c:axPos val="b"/>
        <c:tickLblPos val="none"/>
        <c:crossAx val="214763008"/>
        <c:crosses val="autoZero"/>
        <c:auto val="1"/>
        <c:lblAlgn val="ctr"/>
        <c:lblOffset val="100"/>
      </c:catAx>
      <c:valAx>
        <c:axId val="214763008"/>
        <c:scaling>
          <c:orientation val="minMax"/>
        </c:scaling>
        <c:axPos val="r"/>
        <c:numFmt formatCode="0.0_);[Red]\(0.0\)" sourceLinked="1"/>
        <c:maj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76147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2569832787026103"/>
          <c:y val="0.89692587545027513"/>
          <c:w val="0.54748604285360192"/>
          <c:h val="8.3182641674823907E-2"/>
        </c:manualLayout>
      </c:layout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555625</xdr:colOff>
      <xdr:row>38</xdr:row>
      <xdr:rowOff>49530</xdr:rowOff>
    </xdr:from>
    <xdr:to>
      <xdr:col>20</xdr:col>
      <xdr:colOff>346710</xdr:colOff>
      <xdr:row>63</xdr:row>
      <xdr:rowOff>34290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38</xdr:row>
      <xdr:rowOff>97367</xdr:rowOff>
    </xdr:from>
    <xdr:to>
      <xdr:col>29</xdr:col>
      <xdr:colOff>304800</xdr:colOff>
      <xdr:row>63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91440</xdr:colOff>
      <xdr:row>39</xdr:row>
      <xdr:rowOff>97367</xdr:rowOff>
    </xdr:from>
    <xdr:to>
      <xdr:col>29</xdr:col>
      <xdr:colOff>304800</xdr:colOff>
      <xdr:row>64</xdr:row>
      <xdr:rowOff>82127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20" zoomScaleNormal="120" workbookViewId="0">
      <pane xSplit="2" ySplit="2" topLeftCell="C15" activePane="bottomRight" state="frozen"/>
      <selection pane="topRight"/>
      <selection pane="bottomLeft"/>
      <selection pane="bottomRight" activeCell="AP33" sqref="AP33"/>
    </sheetView>
  </sheetViews>
  <sheetFormatPr defaultColWidth="10.6640625" defaultRowHeight="13.2"/>
  <cols>
    <col min="1" max="1" width="7" style="1" customWidth="1"/>
    <col min="2" max="2" width="8.6640625" style="2" customWidth="1"/>
    <col min="3" max="4" width="9.6640625" style="1" customWidth="1"/>
    <col min="5" max="6" width="9.88671875" style="1" customWidth="1"/>
    <col min="7" max="9" width="9.6640625" style="1" customWidth="1"/>
    <col min="10" max="10" width="8.8867187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75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43831</v>
      </c>
      <c r="B3" s="25" t="s">
        <v>45</v>
      </c>
      <c r="C3" s="24">
        <v>12589440</v>
      </c>
      <c r="D3" s="24">
        <v>15183451</v>
      </c>
      <c r="E3" s="24">
        <v>14233000</v>
      </c>
      <c r="F3" s="24">
        <v>14231000</v>
      </c>
      <c r="G3" s="24">
        <v>205463623</v>
      </c>
      <c r="H3" s="24">
        <v>43037145</v>
      </c>
      <c r="I3" s="24">
        <v>205463698</v>
      </c>
      <c r="J3" s="24">
        <v>43037145</v>
      </c>
      <c r="K3" s="24"/>
      <c r="L3" s="25">
        <v>4246.2</v>
      </c>
      <c r="M3" s="25">
        <v>3276.65</v>
      </c>
      <c r="N3" s="25">
        <v>71617.86</v>
      </c>
      <c r="O3" s="25"/>
      <c r="P3" s="25"/>
      <c r="Q3" s="26">
        <v>17.8</v>
      </c>
      <c r="R3" s="24" t="s">
        <v>44</v>
      </c>
      <c r="S3" s="4">
        <v>330</v>
      </c>
      <c r="T3" s="4">
        <v>350</v>
      </c>
      <c r="U3" s="4">
        <v>6427</v>
      </c>
      <c r="V3" s="4">
        <v>5586</v>
      </c>
      <c r="W3" s="5">
        <v>6</v>
      </c>
      <c r="X3" s="5">
        <v>3</v>
      </c>
      <c r="Y3" s="4">
        <v>1044</v>
      </c>
      <c r="Z3" s="4"/>
      <c r="AA3" s="11">
        <f t="shared" ref="AA3:AF3" si="0">IF(OR(C4=""),"",C4-C3)</f>
        <v>32739</v>
      </c>
      <c r="AB3" s="11">
        <f t="shared" si="0"/>
        <v>36286</v>
      </c>
      <c r="AC3" s="11">
        <f t="shared" si="0"/>
        <v>33000</v>
      </c>
      <c r="AD3" s="11">
        <f t="shared" si="0"/>
        <v>31000</v>
      </c>
      <c r="AE3" s="11">
        <f t="shared" si="0"/>
        <v>134872</v>
      </c>
      <c r="AF3" s="11">
        <f t="shared" si="0"/>
        <v>5094</v>
      </c>
      <c r="AG3" s="11">
        <f>IF(OR(AA3="",AB3="",AC3=""),"",AA3+AB3+AC3+AD3-AE3)</f>
        <v>-1847</v>
      </c>
      <c r="AH3" s="11">
        <f>IF(OR(I4=""),"",I4-I3)</f>
        <v>136795</v>
      </c>
      <c r="AI3" s="15">
        <f>IF(OR(J4=""),"",J4-J3)</f>
        <v>5094</v>
      </c>
      <c r="AJ3" s="15">
        <f>IF(OR(AH3="",AI3=""),"",AH3-AI3)</f>
        <v>131701</v>
      </c>
      <c r="AK3" s="15">
        <v>1750</v>
      </c>
      <c r="AL3" s="15">
        <f>IF(OR(L4="",M4=""),"",ROUND((L4-L3+M4-M3)*1200,0))</f>
        <v>5760</v>
      </c>
      <c r="AM3" s="15">
        <f>IF(OR(N4=""),"",(ROUND((N4-N3)*2,0)))</f>
        <v>28</v>
      </c>
      <c r="AN3" s="15">
        <f>IF(OR(S3=""),"",ROUND(S3*7.1,0))</f>
        <v>2343</v>
      </c>
      <c r="AO3" s="15">
        <f>IF(OR(T3=""),"",ROUND(T3*2.4,0))</f>
        <v>840</v>
      </c>
      <c r="AP3" s="15">
        <v>1900</v>
      </c>
      <c r="AQ3" s="18">
        <f>IF(OR($AJ3=""),"",ROUND(AL3/$AJ3*1000,1))</f>
        <v>43.7</v>
      </c>
      <c r="AR3" s="18">
        <f>IF(OR($AJ3=""),"",ROUND(AM3/$AJ3*1000,2))</f>
        <v>0.21</v>
      </c>
      <c r="AS3" s="19">
        <f>IF(OR($AJ3=""),"",ROUND(AN3/$AJ3*1000,1))</f>
        <v>17.8</v>
      </c>
      <c r="AT3" s="18">
        <f>IF(OR($AJ3=""),"",ROUND(AO3/$AJ3*1000,2))</f>
        <v>6.38</v>
      </c>
    </row>
    <row r="4" spans="1:46">
      <c r="A4" s="6">
        <f>A3+1</f>
        <v>43832</v>
      </c>
      <c r="B4" s="5" t="s">
        <v>47</v>
      </c>
      <c r="C4" s="4">
        <v>12622179</v>
      </c>
      <c r="D4" s="4">
        <v>15219737</v>
      </c>
      <c r="E4" s="4">
        <v>14266000</v>
      </c>
      <c r="F4" s="4">
        <v>14262000</v>
      </c>
      <c r="G4" s="4">
        <v>205598495</v>
      </c>
      <c r="H4" s="4">
        <v>43042239</v>
      </c>
      <c r="I4" s="4">
        <v>205600493</v>
      </c>
      <c r="J4" s="4">
        <v>43042239</v>
      </c>
      <c r="K4" s="4"/>
      <c r="L4" s="25">
        <v>4246.2</v>
      </c>
      <c r="M4" s="5">
        <v>3281.45</v>
      </c>
      <c r="N4" s="5">
        <v>71632.070000000007</v>
      </c>
      <c r="O4" s="5"/>
      <c r="P4" s="5"/>
      <c r="Q4" s="9">
        <v>17.5</v>
      </c>
      <c r="R4" s="24" t="s">
        <v>44</v>
      </c>
      <c r="S4" s="4">
        <v>300</v>
      </c>
      <c r="T4" s="4">
        <v>330</v>
      </c>
      <c r="U4" s="4">
        <v>6174</v>
      </c>
      <c r="V4" s="4">
        <v>5867</v>
      </c>
      <c r="W4" s="5">
        <v>5.4</v>
      </c>
      <c r="X4" s="5">
        <v>4.8099999999999996</v>
      </c>
      <c r="Y4" s="4">
        <v>1320</v>
      </c>
      <c r="Z4" s="4"/>
      <c r="AA4" s="11">
        <f t="shared" ref="AA4:AA33" si="1">IF(OR(C5=""),"",C5-C4)</f>
        <v>35763</v>
      </c>
      <c r="AB4" s="11">
        <f t="shared" ref="AB4:AB33" si="2">IF(OR(D5=""),"",D5-D4)</f>
        <v>38999</v>
      </c>
      <c r="AC4" s="11">
        <f t="shared" ref="AC4:AC33" si="3">IF(OR(E5=""),"",E5-E4)</f>
        <v>34000</v>
      </c>
      <c r="AD4" s="11">
        <f t="shared" ref="AD4:AD33" si="4">IF(OR(F5=""),"",F5-F4)</f>
        <v>34000</v>
      </c>
      <c r="AE4" s="11">
        <f t="shared" ref="AE4:AE33" si="5">IF(OR(G5=""),"",G5-G4)</f>
        <v>150191</v>
      </c>
      <c r="AF4" s="11">
        <f t="shared" ref="AF4:AF33" si="6">IF(OR(H5=""),"",H5-H4)</f>
        <v>5282</v>
      </c>
      <c r="AG4" s="11">
        <f t="shared" ref="AG4:AG33" si="7">IF(OR(AA4="",AB4="",AC4=""),"",AA4+AB4+AC4+AD4-AE4)</f>
        <v>-7429</v>
      </c>
      <c r="AH4" s="11">
        <f t="shared" ref="AH4:AH33" si="8">IF(OR(I5=""),"",I5-I4)</f>
        <v>147807</v>
      </c>
      <c r="AI4" s="15">
        <f t="shared" ref="AI4:AI33" si="9">IF(OR(J5=""),"",J5-J4)</f>
        <v>5282</v>
      </c>
      <c r="AJ4" s="15">
        <f t="shared" ref="AJ4:AJ33" si="10">IF(OR(AH4="",AI4=""),"",AH4-AI4)</f>
        <v>142525</v>
      </c>
      <c r="AK4" s="15">
        <v>1400</v>
      </c>
      <c r="AL4" s="15">
        <f t="shared" ref="AL4:AL33" si="11">IF(OR(L5="",M5=""),"",ROUND((L5-L4+M5-M4)*1200,0))</f>
        <v>4800</v>
      </c>
      <c r="AM4" s="15">
        <f t="shared" ref="AM4:AM33" si="12">IF(OR(N5=""),"",(ROUND((N5-N4)*2,0)))</f>
        <v>29</v>
      </c>
      <c r="AN4" s="15">
        <f t="shared" ref="AN4:AN33" si="13">IF(OR(S4=""),"",ROUND(S4*7.1,0))</f>
        <v>2130</v>
      </c>
      <c r="AO4" s="15">
        <f t="shared" ref="AO4:AO33" si="14">IF(OR(T4=""),"",ROUND(T4*2.4,0))</f>
        <v>792</v>
      </c>
      <c r="AP4" s="15">
        <v>1900</v>
      </c>
      <c r="AQ4" s="18">
        <f t="shared" ref="AQ4:AQ33" si="15">IF(OR($AJ4=""),"",ROUND(AL4/$AJ4*1000,1))</f>
        <v>33.700000000000003</v>
      </c>
      <c r="AR4" s="18">
        <f t="shared" ref="AR4:AR33" si="16">IF(OR($AJ4=""),"",ROUND(AM4/$AJ4*1000,2))</f>
        <v>0.2</v>
      </c>
      <c r="AS4" s="19">
        <f t="shared" ref="AS4:AS33" si="17">IF(OR($AJ4=""),"",ROUND(AN4/$AJ4*1000,1))</f>
        <v>14.9</v>
      </c>
      <c r="AT4" s="18">
        <f t="shared" ref="AT4:AT33" si="18">IF(OR($AJ4=""),"",ROUND(AO4/$AJ4*1000,2))</f>
        <v>5.56</v>
      </c>
    </row>
    <row r="5" spans="1:46">
      <c r="A5" s="6">
        <f t="shared" ref="A5:A34" si="19">A4+1</f>
        <v>43833</v>
      </c>
      <c r="B5" s="5" t="s">
        <v>46</v>
      </c>
      <c r="C5" s="4">
        <v>12657942</v>
      </c>
      <c r="D5" s="4">
        <v>15258736</v>
      </c>
      <c r="E5" s="4">
        <v>14300000</v>
      </c>
      <c r="F5" s="4">
        <v>14296000</v>
      </c>
      <c r="G5" s="4">
        <v>205748686</v>
      </c>
      <c r="H5" s="4">
        <v>43047521</v>
      </c>
      <c r="I5" s="4">
        <v>205748300</v>
      </c>
      <c r="J5" s="4">
        <v>43047521</v>
      </c>
      <c r="K5" s="4"/>
      <c r="L5" s="25">
        <v>4246.2</v>
      </c>
      <c r="M5" s="5">
        <v>3285.45</v>
      </c>
      <c r="N5" s="5">
        <v>71646.490000000005</v>
      </c>
      <c r="O5" s="5"/>
      <c r="P5" s="5"/>
      <c r="Q5" s="27">
        <v>18.2</v>
      </c>
      <c r="R5" s="24" t="s">
        <v>44</v>
      </c>
      <c r="S5" s="4">
        <v>470</v>
      </c>
      <c r="T5" s="4">
        <v>500</v>
      </c>
      <c r="U5" s="4">
        <v>8399</v>
      </c>
      <c r="V5" s="4">
        <v>5054</v>
      </c>
      <c r="W5" s="5">
        <v>5.96</v>
      </c>
      <c r="X5" s="5">
        <v>4.28</v>
      </c>
      <c r="Y5" s="4">
        <v>1431</v>
      </c>
      <c r="Z5" s="4"/>
      <c r="AA5" s="11">
        <f t="shared" si="1"/>
        <v>39647</v>
      </c>
      <c r="AB5" s="11">
        <f t="shared" si="2"/>
        <v>44353</v>
      </c>
      <c r="AC5" s="11">
        <f t="shared" si="3"/>
        <v>40000</v>
      </c>
      <c r="AD5" s="11">
        <f t="shared" si="4"/>
        <v>40000</v>
      </c>
      <c r="AE5" s="11">
        <f t="shared" si="5"/>
        <v>137715</v>
      </c>
      <c r="AF5" s="11">
        <f t="shared" si="6"/>
        <v>5200</v>
      </c>
      <c r="AG5" s="11">
        <f t="shared" si="7"/>
        <v>26285</v>
      </c>
      <c r="AH5" s="11">
        <f t="shared" si="8"/>
        <v>138071</v>
      </c>
      <c r="AI5" s="15">
        <f t="shared" si="9"/>
        <v>5200</v>
      </c>
      <c r="AJ5" s="15">
        <f t="shared" si="10"/>
        <v>132871</v>
      </c>
      <c r="AK5" s="15">
        <v>1200</v>
      </c>
      <c r="AL5" s="15">
        <f t="shared" si="11"/>
        <v>9996</v>
      </c>
      <c r="AM5" s="15">
        <f t="shared" si="12"/>
        <v>32</v>
      </c>
      <c r="AN5" s="15">
        <f t="shared" si="13"/>
        <v>3337</v>
      </c>
      <c r="AO5" s="15">
        <f t="shared" si="14"/>
        <v>1200</v>
      </c>
      <c r="AP5" s="15">
        <v>1900</v>
      </c>
      <c r="AQ5" s="18">
        <f t="shared" si="15"/>
        <v>75.2</v>
      </c>
      <c r="AR5" s="18">
        <f t="shared" si="16"/>
        <v>0.24</v>
      </c>
      <c r="AS5" s="19">
        <f t="shared" si="17"/>
        <v>25.1</v>
      </c>
      <c r="AT5" s="18">
        <f t="shared" si="18"/>
        <v>9.0299999999999994</v>
      </c>
    </row>
    <row r="6" spans="1:46">
      <c r="A6" s="6">
        <f t="shared" si="19"/>
        <v>43834</v>
      </c>
      <c r="B6" s="5" t="s">
        <v>48</v>
      </c>
      <c r="C6" s="4">
        <v>12697589</v>
      </c>
      <c r="D6" s="4">
        <v>15303089</v>
      </c>
      <c r="E6" s="4">
        <v>14340000</v>
      </c>
      <c r="F6" s="4">
        <v>14336000</v>
      </c>
      <c r="G6" s="4">
        <v>205886401</v>
      </c>
      <c r="H6" s="4">
        <v>43052721</v>
      </c>
      <c r="I6" s="4">
        <v>205886371</v>
      </c>
      <c r="J6" s="4">
        <v>43052721</v>
      </c>
      <c r="K6" s="4"/>
      <c r="L6" s="25">
        <v>4246.2</v>
      </c>
      <c r="M6" s="5">
        <v>3293.78</v>
      </c>
      <c r="N6" s="5">
        <v>71662.25</v>
      </c>
      <c r="O6" s="5"/>
      <c r="P6" s="5"/>
      <c r="Q6" s="9">
        <v>18.3</v>
      </c>
      <c r="R6" s="4" t="s">
        <v>49</v>
      </c>
      <c r="S6" s="4">
        <v>400</v>
      </c>
      <c r="T6" s="4">
        <v>450</v>
      </c>
      <c r="U6" s="4">
        <v>8012</v>
      </c>
      <c r="V6" s="4">
        <v>4993</v>
      </c>
      <c r="W6" s="5">
        <v>5.9</v>
      </c>
      <c r="X6" s="5">
        <v>4.25</v>
      </c>
      <c r="Y6" s="4">
        <v>1434</v>
      </c>
      <c r="Z6" s="4"/>
      <c r="AA6" s="11">
        <f t="shared" si="1"/>
        <v>41663</v>
      </c>
      <c r="AB6" s="11">
        <f t="shared" si="2"/>
        <v>47029</v>
      </c>
      <c r="AC6" s="11">
        <f t="shared" si="3"/>
        <v>42000</v>
      </c>
      <c r="AD6" s="11">
        <f t="shared" si="4"/>
        <v>42000</v>
      </c>
      <c r="AE6" s="11">
        <f t="shared" si="5"/>
        <v>156130</v>
      </c>
      <c r="AF6" s="11">
        <f t="shared" si="6"/>
        <v>5120</v>
      </c>
      <c r="AG6" s="11">
        <f t="shared" si="7"/>
        <v>16562</v>
      </c>
      <c r="AH6" s="11">
        <f t="shared" si="8"/>
        <v>153730</v>
      </c>
      <c r="AI6" s="15">
        <f t="shared" si="9"/>
        <v>5120</v>
      </c>
      <c r="AJ6" s="15">
        <f t="shared" si="10"/>
        <v>148610</v>
      </c>
      <c r="AK6" s="15">
        <v>0</v>
      </c>
      <c r="AL6" s="15">
        <f t="shared" si="11"/>
        <v>12528</v>
      </c>
      <c r="AM6" s="15">
        <f t="shared" si="12"/>
        <v>14</v>
      </c>
      <c r="AN6" s="15">
        <f t="shared" si="13"/>
        <v>2840</v>
      </c>
      <c r="AO6" s="15">
        <f t="shared" si="14"/>
        <v>1080</v>
      </c>
      <c r="AP6" s="15">
        <v>2200</v>
      </c>
      <c r="AQ6" s="18">
        <f t="shared" si="15"/>
        <v>84.3</v>
      </c>
      <c r="AR6" s="18">
        <f t="shared" si="16"/>
        <v>0.09</v>
      </c>
      <c r="AS6" s="19">
        <f t="shared" si="17"/>
        <v>19.100000000000001</v>
      </c>
      <c r="AT6" s="18">
        <f t="shared" si="18"/>
        <v>7.27</v>
      </c>
    </row>
    <row r="7" spans="1:46">
      <c r="A7" s="6">
        <f t="shared" si="19"/>
        <v>43835</v>
      </c>
      <c r="B7" s="5" t="s">
        <v>48</v>
      </c>
      <c r="C7" s="4">
        <v>12739252</v>
      </c>
      <c r="D7" s="4">
        <v>15350118</v>
      </c>
      <c r="E7" s="4">
        <v>14382000</v>
      </c>
      <c r="F7" s="4">
        <v>14378000</v>
      </c>
      <c r="G7" s="4">
        <v>206042531</v>
      </c>
      <c r="H7" s="4">
        <v>43057841</v>
      </c>
      <c r="I7" s="4">
        <v>206040101</v>
      </c>
      <c r="J7" s="4">
        <v>43057841</v>
      </c>
      <c r="K7" s="4"/>
      <c r="L7" s="5">
        <v>4246.2</v>
      </c>
      <c r="M7" s="5">
        <v>3304.22</v>
      </c>
      <c r="N7" s="5">
        <v>71669.17</v>
      </c>
      <c r="O7" s="5"/>
      <c r="P7" s="5"/>
      <c r="Q7" s="9">
        <v>16.899999999999999</v>
      </c>
      <c r="R7" s="4" t="s">
        <v>49</v>
      </c>
      <c r="S7" s="4">
        <v>550</v>
      </c>
      <c r="T7" s="4">
        <v>600</v>
      </c>
      <c r="U7" s="4">
        <v>6975</v>
      </c>
      <c r="V7" s="4">
        <v>5012</v>
      </c>
      <c r="W7" s="5">
        <v>6.15</v>
      </c>
      <c r="X7" s="5">
        <v>4.45</v>
      </c>
      <c r="Y7" s="4">
        <v>1434</v>
      </c>
      <c r="Z7" s="4"/>
      <c r="AA7" s="11">
        <f t="shared" si="1"/>
        <v>35125</v>
      </c>
      <c r="AB7" s="11">
        <f t="shared" si="2"/>
        <v>38688</v>
      </c>
      <c r="AC7" s="11">
        <f t="shared" si="3"/>
        <v>35000</v>
      </c>
      <c r="AD7" s="11">
        <f t="shared" si="4"/>
        <v>33000</v>
      </c>
      <c r="AE7" s="11">
        <f t="shared" si="5"/>
        <v>136953</v>
      </c>
      <c r="AF7" s="11">
        <f t="shared" si="6"/>
        <v>5170</v>
      </c>
      <c r="AG7" s="11">
        <f t="shared" si="7"/>
        <v>4860</v>
      </c>
      <c r="AH7" s="11">
        <f t="shared" si="8"/>
        <v>139358</v>
      </c>
      <c r="AI7" s="15">
        <f t="shared" si="9"/>
        <v>5170</v>
      </c>
      <c r="AJ7" s="15">
        <f t="shared" si="10"/>
        <v>134188</v>
      </c>
      <c r="AK7" s="15">
        <v>0</v>
      </c>
      <c r="AL7" s="15">
        <f t="shared" si="11"/>
        <v>11424</v>
      </c>
      <c r="AM7" s="15">
        <f t="shared" si="12"/>
        <v>18</v>
      </c>
      <c r="AN7" s="15">
        <f t="shared" si="13"/>
        <v>3905</v>
      </c>
      <c r="AO7" s="15">
        <f t="shared" si="14"/>
        <v>1440</v>
      </c>
      <c r="AP7" s="15">
        <v>2200</v>
      </c>
      <c r="AQ7" s="18">
        <f t="shared" si="15"/>
        <v>85.1</v>
      </c>
      <c r="AR7" s="18">
        <f t="shared" si="16"/>
        <v>0.13</v>
      </c>
      <c r="AS7" s="19">
        <f t="shared" si="17"/>
        <v>29.1</v>
      </c>
      <c r="AT7" s="18">
        <f t="shared" si="18"/>
        <v>10.73</v>
      </c>
    </row>
    <row r="8" spans="1:46">
      <c r="A8" s="6">
        <f t="shared" si="19"/>
        <v>43836</v>
      </c>
      <c r="B8" s="5" t="s">
        <v>48</v>
      </c>
      <c r="C8" s="4">
        <v>12774377</v>
      </c>
      <c r="D8" s="4">
        <v>15388806</v>
      </c>
      <c r="E8" s="4">
        <v>14417000</v>
      </c>
      <c r="F8" s="4">
        <v>14411000</v>
      </c>
      <c r="G8" s="4">
        <v>206179484</v>
      </c>
      <c r="H8" s="4">
        <v>43063011</v>
      </c>
      <c r="I8" s="4">
        <v>206179459</v>
      </c>
      <c r="J8" s="4">
        <v>43063011</v>
      </c>
      <c r="K8" s="4"/>
      <c r="L8" s="5">
        <v>4246.2</v>
      </c>
      <c r="M8" s="5">
        <v>3313.74</v>
      </c>
      <c r="N8" s="5">
        <v>71678.080000000002</v>
      </c>
      <c r="O8" s="5"/>
      <c r="P8" s="5"/>
      <c r="Q8" s="9">
        <v>17.2</v>
      </c>
      <c r="R8" s="4" t="s">
        <v>49</v>
      </c>
      <c r="S8" s="4">
        <v>500</v>
      </c>
      <c r="T8" s="4">
        <v>530</v>
      </c>
      <c r="U8" s="4">
        <v>7200</v>
      </c>
      <c r="V8" s="4">
        <v>4851</v>
      </c>
      <c r="W8" s="5">
        <v>5.93</v>
      </c>
      <c r="X8" s="5">
        <v>4.17</v>
      </c>
      <c r="Y8" s="4">
        <v>1434</v>
      </c>
      <c r="Z8" s="4"/>
      <c r="AA8" s="11">
        <f t="shared" si="1"/>
        <v>37792</v>
      </c>
      <c r="AB8" s="11">
        <f t="shared" si="2"/>
        <v>41406</v>
      </c>
      <c r="AC8" s="11">
        <f t="shared" si="3"/>
        <v>38000</v>
      </c>
      <c r="AD8" s="11">
        <f t="shared" si="4"/>
        <v>37000</v>
      </c>
      <c r="AE8" s="11">
        <f t="shared" si="5"/>
        <v>151032</v>
      </c>
      <c r="AF8" s="11">
        <v>5157</v>
      </c>
      <c r="AG8" s="11">
        <f t="shared" si="7"/>
        <v>3166</v>
      </c>
      <c r="AH8" s="11">
        <f t="shared" si="8"/>
        <v>150634</v>
      </c>
      <c r="AI8" s="15">
        <v>5157</v>
      </c>
      <c r="AJ8" s="15">
        <f t="shared" si="10"/>
        <v>145477</v>
      </c>
      <c r="AK8" s="15">
        <v>0</v>
      </c>
      <c r="AL8" s="15">
        <f t="shared" si="11"/>
        <v>7872</v>
      </c>
      <c r="AM8" s="15">
        <f t="shared" si="12"/>
        <v>37</v>
      </c>
      <c r="AN8" s="15">
        <f t="shared" si="13"/>
        <v>3550</v>
      </c>
      <c r="AO8" s="15">
        <f t="shared" si="14"/>
        <v>1272</v>
      </c>
      <c r="AP8" s="15">
        <v>2100</v>
      </c>
      <c r="AQ8" s="18">
        <f t="shared" si="15"/>
        <v>54.1</v>
      </c>
      <c r="AR8" s="18">
        <f t="shared" si="16"/>
        <v>0.25</v>
      </c>
      <c r="AS8" s="19">
        <f t="shared" si="17"/>
        <v>24.4</v>
      </c>
      <c r="AT8" s="18">
        <f t="shared" si="18"/>
        <v>8.74</v>
      </c>
    </row>
    <row r="9" spans="1:46">
      <c r="A9" s="6">
        <f t="shared" si="19"/>
        <v>43837</v>
      </c>
      <c r="B9" s="5" t="s">
        <v>48</v>
      </c>
      <c r="C9" s="4">
        <v>12812169</v>
      </c>
      <c r="D9" s="4">
        <v>15430212</v>
      </c>
      <c r="E9" s="4">
        <v>14455000</v>
      </c>
      <c r="F9" s="4">
        <v>14448000</v>
      </c>
      <c r="G9" s="4">
        <v>206330516</v>
      </c>
      <c r="H9" s="4">
        <v>5157</v>
      </c>
      <c r="I9" s="4">
        <v>206330093</v>
      </c>
      <c r="J9" s="4">
        <v>5157</v>
      </c>
      <c r="K9" s="4"/>
      <c r="L9" s="5">
        <v>4246.2</v>
      </c>
      <c r="M9" s="5">
        <v>3320.3</v>
      </c>
      <c r="N9" s="5">
        <v>71696.509999999995</v>
      </c>
      <c r="O9" s="5"/>
      <c r="P9" s="5"/>
      <c r="Q9" s="9">
        <v>17.7</v>
      </c>
      <c r="R9" s="4" t="s">
        <v>49</v>
      </c>
      <c r="S9" s="4">
        <v>670</v>
      </c>
      <c r="T9" s="4">
        <v>680</v>
      </c>
      <c r="U9" s="4">
        <v>7648</v>
      </c>
      <c r="V9" s="4">
        <v>5033</v>
      </c>
      <c r="W9" s="5">
        <v>5.92</v>
      </c>
      <c r="X9" s="5">
        <v>3.67</v>
      </c>
      <c r="Y9" s="4">
        <v>1434</v>
      </c>
      <c r="Z9" s="4"/>
      <c r="AA9" s="11">
        <f t="shared" si="1"/>
        <v>40820</v>
      </c>
      <c r="AB9" s="11">
        <f t="shared" si="2"/>
        <v>44932</v>
      </c>
      <c r="AC9" s="11">
        <f t="shared" si="3"/>
        <v>31000</v>
      </c>
      <c r="AD9" s="11">
        <f t="shared" si="4"/>
        <v>30000</v>
      </c>
      <c r="AE9" s="11">
        <f t="shared" si="5"/>
        <v>145864</v>
      </c>
      <c r="AF9" s="11">
        <f t="shared" si="6"/>
        <v>4816</v>
      </c>
      <c r="AG9" s="11">
        <f t="shared" si="7"/>
        <v>888</v>
      </c>
      <c r="AH9" s="11">
        <f t="shared" si="8"/>
        <v>147271</v>
      </c>
      <c r="AI9" s="15">
        <f t="shared" si="9"/>
        <v>4816</v>
      </c>
      <c r="AJ9" s="15">
        <f t="shared" si="10"/>
        <v>142455</v>
      </c>
      <c r="AK9" s="15">
        <v>0</v>
      </c>
      <c r="AL9" s="15">
        <f t="shared" si="11"/>
        <v>12</v>
      </c>
      <c r="AM9" s="15">
        <f t="shared" si="12"/>
        <v>0</v>
      </c>
      <c r="AN9" s="15">
        <f t="shared" si="13"/>
        <v>4757</v>
      </c>
      <c r="AO9" s="15">
        <f t="shared" si="14"/>
        <v>1632</v>
      </c>
      <c r="AP9" s="15">
        <v>2100</v>
      </c>
      <c r="AQ9" s="18">
        <f t="shared" si="15"/>
        <v>0.1</v>
      </c>
      <c r="AR9" s="18">
        <f t="shared" si="16"/>
        <v>0</v>
      </c>
      <c r="AS9" s="19">
        <f t="shared" si="17"/>
        <v>33.4</v>
      </c>
      <c r="AT9" s="18">
        <f t="shared" si="18"/>
        <v>11.46</v>
      </c>
    </row>
    <row r="10" spans="1:46">
      <c r="A10" s="6">
        <f t="shared" si="19"/>
        <v>43838</v>
      </c>
      <c r="B10" s="5" t="s">
        <v>48</v>
      </c>
      <c r="C10" s="4">
        <v>12852989</v>
      </c>
      <c r="D10" s="4">
        <v>15475144</v>
      </c>
      <c r="E10" s="4">
        <v>14486000</v>
      </c>
      <c r="F10" s="4">
        <v>14478000</v>
      </c>
      <c r="G10" s="4">
        <v>206476380</v>
      </c>
      <c r="H10" s="4">
        <v>9973</v>
      </c>
      <c r="I10" s="4">
        <v>206477364</v>
      </c>
      <c r="J10" s="4">
        <v>9973</v>
      </c>
      <c r="K10" s="4"/>
      <c r="L10" s="5">
        <v>4246.2</v>
      </c>
      <c r="M10" s="5">
        <v>3320.31</v>
      </c>
      <c r="N10" s="5">
        <v>71696.600000000006</v>
      </c>
      <c r="O10" s="5"/>
      <c r="P10" s="5"/>
      <c r="Q10" s="9">
        <v>17</v>
      </c>
      <c r="R10" s="24" t="s">
        <v>44</v>
      </c>
      <c r="S10" s="4">
        <v>480</v>
      </c>
      <c r="T10" s="4">
        <v>500</v>
      </c>
      <c r="U10" s="4">
        <v>6188</v>
      </c>
      <c r="V10" s="4">
        <v>5600</v>
      </c>
      <c r="W10" s="5">
        <v>5.5</v>
      </c>
      <c r="X10" s="5">
        <v>2.72</v>
      </c>
      <c r="Y10" s="4">
        <v>1285</v>
      </c>
      <c r="Z10" s="4"/>
      <c r="AA10" s="11">
        <f t="shared" si="1"/>
        <v>41386</v>
      </c>
      <c r="AB10" s="11">
        <f t="shared" si="2"/>
        <v>44798</v>
      </c>
      <c r="AC10" s="11">
        <f t="shared" si="3"/>
        <v>27000</v>
      </c>
      <c r="AD10" s="11">
        <f t="shared" si="4"/>
        <v>27000</v>
      </c>
      <c r="AE10" s="11">
        <f t="shared" si="5"/>
        <v>143988</v>
      </c>
      <c r="AF10" s="11">
        <f t="shared" si="6"/>
        <v>5195</v>
      </c>
      <c r="AG10" s="11">
        <f t="shared" si="7"/>
        <v>-3804</v>
      </c>
      <c r="AH10" s="11">
        <f t="shared" si="8"/>
        <v>142737</v>
      </c>
      <c r="AI10" s="15">
        <f t="shared" si="9"/>
        <v>5195</v>
      </c>
      <c r="AJ10" s="15">
        <f t="shared" si="10"/>
        <v>137542</v>
      </c>
      <c r="AK10" s="15">
        <v>0</v>
      </c>
      <c r="AL10" s="15">
        <f t="shared" si="11"/>
        <v>0</v>
      </c>
      <c r="AM10" s="15">
        <f t="shared" si="12"/>
        <v>0</v>
      </c>
      <c r="AN10" s="15">
        <f t="shared" si="13"/>
        <v>3408</v>
      </c>
      <c r="AO10" s="15">
        <f t="shared" si="14"/>
        <v>1200</v>
      </c>
      <c r="AP10" s="15">
        <v>2100</v>
      </c>
      <c r="AQ10" s="18">
        <f t="shared" si="15"/>
        <v>0</v>
      </c>
      <c r="AR10" s="18">
        <f t="shared" si="16"/>
        <v>0</v>
      </c>
      <c r="AS10" s="19">
        <f t="shared" si="17"/>
        <v>24.8</v>
      </c>
      <c r="AT10" s="18">
        <f t="shared" si="18"/>
        <v>8.7200000000000006</v>
      </c>
    </row>
    <row r="11" spans="1:46">
      <c r="A11" s="6">
        <f t="shared" si="19"/>
        <v>43839</v>
      </c>
      <c r="B11" s="5" t="s">
        <v>50</v>
      </c>
      <c r="C11" s="4">
        <v>12894375</v>
      </c>
      <c r="D11" s="4">
        <v>15519942</v>
      </c>
      <c r="E11" s="4">
        <v>14513000</v>
      </c>
      <c r="F11" s="4">
        <v>14505000</v>
      </c>
      <c r="G11" s="4">
        <v>206620368</v>
      </c>
      <c r="H11" s="4">
        <v>15168</v>
      </c>
      <c r="I11" s="4">
        <v>206620101</v>
      </c>
      <c r="J11" s="4">
        <v>15168</v>
      </c>
      <c r="K11" s="4"/>
      <c r="L11" s="5">
        <v>4246.2</v>
      </c>
      <c r="M11" s="5">
        <v>3320.31</v>
      </c>
      <c r="N11" s="5">
        <v>71696.600000000006</v>
      </c>
      <c r="O11" s="5"/>
      <c r="P11" s="5"/>
      <c r="Q11" s="9">
        <v>17.399999999999999</v>
      </c>
      <c r="R11" s="24" t="s">
        <v>44</v>
      </c>
      <c r="S11" s="4">
        <v>290</v>
      </c>
      <c r="T11" s="4">
        <v>310</v>
      </c>
      <c r="U11" s="4">
        <v>6654</v>
      </c>
      <c r="V11" s="4">
        <v>6128</v>
      </c>
      <c r="W11" s="5">
        <v>5.52</v>
      </c>
      <c r="X11" s="5">
        <v>2.83</v>
      </c>
      <c r="Y11" s="4">
        <v>1035</v>
      </c>
      <c r="Z11" s="4"/>
      <c r="AA11" s="11">
        <f t="shared" si="1"/>
        <v>43818</v>
      </c>
      <c r="AB11" s="11">
        <f t="shared" si="2"/>
        <v>47543</v>
      </c>
      <c r="AC11" s="11">
        <f t="shared" si="3"/>
        <v>29000</v>
      </c>
      <c r="AD11" s="11">
        <f t="shared" si="4"/>
        <v>27000</v>
      </c>
      <c r="AE11" s="11">
        <f t="shared" si="5"/>
        <v>146445</v>
      </c>
      <c r="AF11" s="11">
        <f t="shared" si="6"/>
        <v>4711</v>
      </c>
      <c r="AG11" s="11">
        <f t="shared" si="7"/>
        <v>916</v>
      </c>
      <c r="AH11" s="11">
        <f t="shared" si="8"/>
        <v>148982</v>
      </c>
      <c r="AI11" s="15">
        <f t="shared" si="9"/>
        <v>4711</v>
      </c>
      <c r="AJ11" s="15">
        <f t="shared" si="10"/>
        <v>144271</v>
      </c>
      <c r="AK11" s="15">
        <v>0</v>
      </c>
      <c r="AL11" s="15">
        <f t="shared" si="11"/>
        <v>0</v>
      </c>
      <c r="AM11" s="15">
        <f t="shared" si="12"/>
        <v>0</v>
      </c>
      <c r="AN11" s="15">
        <f t="shared" si="13"/>
        <v>2059</v>
      </c>
      <c r="AO11" s="15">
        <f t="shared" si="14"/>
        <v>744</v>
      </c>
      <c r="AP11" s="15">
        <v>1900</v>
      </c>
      <c r="AQ11" s="18">
        <f t="shared" si="15"/>
        <v>0</v>
      </c>
      <c r="AR11" s="18">
        <f t="shared" si="16"/>
        <v>0</v>
      </c>
      <c r="AS11" s="19">
        <f t="shared" si="17"/>
        <v>14.3</v>
      </c>
      <c r="AT11" s="18">
        <f t="shared" si="18"/>
        <v>5.16</v>
      </c>
    </row>
    <row r="12" spans="1:46">
      <c r="A12" s="6">
        <f t="shared" si="19"/>
        <v>43840</v>
      </c>
      <c r="B12" s="5" t="s">
        <v>47</v>
      </c>
      <c r="C12" s="4">
        <v>12938193</v>
      </c>
      <c r="D12" s="4">
        <v>15567485</v>
      </c>
      <c r="E12" s="4">
        <v>14542000</v>
      </c>
      <c r="F12" s="4">
        <v>14532000</v>
      </c>
      <c r="G12" s="4">
        <v>206766813</v>
      </c>
      <c r="H12" s="4">
        <v>19879</v>
      </c>
      <c r="I12" s="4">
        <v>206769083</v>
      </c>
      <c r="J12" s="4">
        <v>19879</v>
      </c>
      <c r="K12" s="4"/>
      <c r="L12" s="5">
        <v>4246.2</v>
      </c>
      <c r="M12" s="5">
        <v>3320.31</v>
      </c>
      <c r="N12" s="5">
        <v>71696.600000000006</v>
      </c>
      <c r="O12" s="5"/>
      <c r="P12" s="5"/>
      <c r="Q12" s="9">
        <v>17.600000000000001</v>
      </c>
      <c r="R12" s="24" t="s">
        <v>44</v>
      </c>
      <c r="S12" s="4">
        <v>500</v>
      </c>
      <c r="T12" s="4">
        <v>530</v>
      </c>
      <c r="U12" s="4">
        <v>6641</v>
      </c>
      <c r="V12" s="4">
        <v>4950</v>
      </c>
      <c r="W12" s="5">
        <v>6.53</v>
      </c>
      <c r="X12" s="5">
        <v>4.2300000000000004</v>
      </c>
      <c r="Y12" s="4">
        <v>1432</v>
      </c>
      <c r="Z12" s="4"/>
      <c r="AA12" s="11">
        <f t="shared" si="1"/>
        <v>44805</v>
      </c>
      <c r="AB12" s="11">
        <f t="shared" si="2"/>
        <v>48733</v>
      </c>
      <c r="AC12" s="11">
        <f t="shared" si="3"/>
        <v>29000</v>
      </c>
      <c r="AD12" s="11">
        <f t="shared" si="4"/>
        <v>29000</v>
      </c>
      <c r="AE12" s="11">
        <f t="shared" si="5"/>
        <v>154057</v>
      </c>
      <c r="AF12" s="11">
        <f t="shared" si="6"/>
        <v>5517</v>
      </c>
      <c r="AG12" s="11">
        <f t="shared" si="7"/>
        <v>-2519</v>
      </c>
      <c r="AH12" s="11">
        <f t="shared" si="8"/>
        <v>150904</v>
      </c>
      <c r="AI12" s="15">
        <f t="shared" si="9"/>
        <v>5517</v>
      </c>
      <c r="AJ12" s="15">
        <f t="shared" si="10"/>
        <v>145387</v>
      </c>
      <c r="AK12" s="15">
        <v>495</v>
      </c>
      <c r="AL12" s="15">
        <f t="shared" si="11"/>
        <v>7872</v>
      </c>
      <c r="AM12" s="15">
        <f t="shared" si="12"/>
        <v>36</v>
      </c>
      <c r="AN12" s="15">
        <f t="shared" si="13"/>
        <v>3550</v>
      </c>
      <c r="AO12" s="15">
        <f t="shared" si="14"/>
        <v>1272</v>
      </c>
      <c r="AP12" s="15">
        <v>2700</v>
      </c>
      <c r="AQ12" s="18">
        <f t="shared" si="15"/>
        <v>54.1</v>
      </c>
      <c r="AR12" s="18">
        <f t="shared" si="16"/>
        <v>0.25</v>
      </c>
      <c r="AS12" s="19">
        <f t="shared" si="17"/>
        <v>24.4</v>
      </c>
      <c r="AT12" s="18">
        <f t="shared" si="18"/>
        <v>8.75</v>
      </c>
    </row>
    <row r="13" spans="1:46">
      <c r="A13" s="6">
        <f t="shared" si="19"/>
        <v>43841</v>
      </c>
      <c r="B13" s="5" t="s">
        <v>48</v>
      </c>
      <c r="C13" s="4">
        <v>12982998</v>
      </c>
      <c r="D13" s="4">
        <v>15616218</v>
      </c>
      <c r="E13" s="4">
        <v>14571000</v>
      </c>
      <c r="F13" s="4">
        <v>14561000</v>
      </c>
      <c r="G13" s="4">
        <v>206920870</v>
      </c>
      <c r="H13" s="4">
        <v>25396</v>
      </c>
      <c r="I13" s="4">
        <v>206919987</v>
      </c>
      <c r="J13" s="4">
        <v>25396</v>
      </c>
      <c r="K13" s="4"/>
      <c r="L13" s="5">
        <v>4246.2</v>
      </c>
      <c r="M13" s="5">
        <v>3326.87</v>
      </c>
      <c r="N13" s="5">
        <v>71714.460000000006</v>
      </c>
      <c r="O13" s="5"/>
      <c r="P13" s="5"/>
      <c r="Q13" s="9">
        <v>17.2</v>
      </c>
      <c r="R13" s="24" t="s">
        <v>44</v>
      </c>
      <c r="S13" s="4">
        <v>700</v>
      </c>
      <c r="T13" s="4">
        <v>730</v>
      </c>
      <c r="U13" s="4">
        <v>7878</v>
      </c>
      <c r="V13" s="4">
        <v>5012</v>
      </c>
      <c r="W13" s="5">
        <v>5.8</v>
      </c>
      <c r="X13" s="5">
        <v>4.2300000000000004</v>
      </c>
      <c r="Y13" s="4">
        <v>1439</v>
      </c>
      <c r="Z13" s="4"/>
      <c r="AA13" s="11">
        <f t="shared" si="1"/>
        <v>46421</v>
      </c>
      <c r="AB13" s="11">
        <f t="shared" si="2"/>
        <v>51837</v>
      </c>
      <c r="AC13" s="11">
        <f t="shared" si="3"/>
        <v>31000</v>
      </c>
      <c r="AD13" s="11">
        <f t="shared" si="4"/>
        <v>30000</v>
      </c>
      <c r="AE13" s="11">
        <f t="shared" si="5"/>
        <v>145150</v>
      </c>
      <c r="AF13" s="11">
        <f t="shared" si="6"/>
        <v>5440</v>
      </c>
      <c r="AG13" s="11">
        <f t="shared" si="7"/>
        <v>14108</v>
      </c>
      <c r="AH13" s="11">
        <f t="shared" si="8"/>
        <v>145766</v>
      </c>
      <c r="AI13" s="15">
        <f t="shared" si="9"/>
        <v>5440</v>
      </c>
      <c r="AJ13" s="15">
        <f t="shared" si="10"/>
        <v>140326</v>
      </c>
      <c r="AK13" s="15">
        <v>0</v>
      </c>
      <c r="AL13" s="15">
        <f t="shared" si="11"/>
        <v>7356</v>
      </c>
      <c r="AM13" s="15">
        <f t="shared" si="12"/>
        <v>26</v>
      </c>
      <c r="AN13" s="15">
        <f t="shared" si="13"/>
        <v>4970</v>
      </c>
      <c r="AO13" s="15">
        <f t="shared" si="14"/>
        <v>1752</v>
      </c>
      <c r="AP13" s="15">
        <v>2900</v>
      </c>
      <c r="AQ13" s="18">
        <f t="shared" si="15"/>
        <v>52.4</v>
      </c>
      <c r="AR13" s="18">
        <f t="shared" si="16"/>
        <v>0.19</v>
      </c>
      <c r="AS13" s="19">
        <f t="shared" si="17"/>
        <v>35.4</v>
      </c>
      <c r="AT13" s="18">
        <f t="shared" si="18"/>
        <v>12.49</v>
      </c>
    </row>
    <row r="14" spans="1:46">
      <c r="A14" s="6">
        <f t="shared" si="19"/>
        <v>43842</v>
      </c>
      <c r="B14" s="5" t="s">
        <v>48</v>
      </c>
      <c r="C14" s="4">
        <v>13029419</v>
      </c>
      <c r="D14" s="4">
        <v>15668055</v>
      </c>
      <c r="E14" s="4">
        <v>14602000</v>
      </c>
      <c r="F14" s="4">
        <v>14591000</v>
      </c>
      <c r="G14" s="4">
        <v>207066020</v>
      </c>
      <c r="H14" s="4">
        <v>30836</v>
      </c>
      <c r="I14" s="4">
        <v>207065753</v>
      </c>
      <c r="J14" s="4">
        <v>30836</v>
      </c>
      <c r="K14" s="4"/>
      <c r="L14" s="5">
        <v>4246.2</v>
      </c>
      <c r="M14" s="5">
        <v>3333</v>
      </c>
      <c r="N14" s="5">
        <v>71727.360000000001</v>
      </c>
      <c r="O14" s="5"/>
      <c r="P14" s="5"/>
      <c r="Q14" s="9">
        <v>17</v>
      </c>
      <c r="R14" s="24" t="s">
        <v>44</v>
      </c>
      <c r="S14" s="4">
        <v>750</v>
      </c>
      <c r="T14" s="4">
        <v>740</v>
      </c>
      <c r="U14" s="4">
        <v>7156</v>
      </c>
      <c r="V14" s="4">
        <v>5525</v>
      </c>
      <c r="W14" s="5">
        <v>6.07</v>
      </c>
      <c r="X14" s="5">
        <v>3.51</v>
      </c>
      <c r="Y14" s="4">
        <v>1427</v>
      </c>
      <c r="Z14" s="4"/>
      <c r="AA14" s="11">
        <f t="shared" si="1"/>
        <v>46510</v>
      </c>
      <c r="AB14" s="11">
        <f t="shared" si="2"/>
        <v>51728</v>
      </c>
      <c r="AC14" s="11">
        <f t="shared" si="3"/>
        <v>31000</v>
      </c>
      <c r="AD14" s="11">
        <f t="shared" si="4"/>
        <v>29000</v>
      </c>
      <c r="AE14" s="11">
        <f t="shared" si="5"/>
        <v>147223</v>
      </c>
      <c r="AF14" s="11">
        <f t="shared" si="6"/>
        <v>5503</v>
      </c>
      <c r="AG14" s="11">
        <f t="shared" si="7"/>
        <v>11015</v>
      </c>
      <c r="AH14" s="11">
        <f t="shared" si="8"/>
        <v>146689</v>
      </c>
      <c r="AI14" s="15">
        <f t="shared" si="9"/>
        <v>5503</v>
      </c>
      <c r="AJ14" s="15">
        <f t="shared" si="10"/>
        <v>141186</v>
      </c>
      <c r="AK14" s="15">
        <v>1320</v>
      </c>
      <c r="AL14" s="15">
        <f t="shared" si="11"/>
        <v>7080</v>
      </c>
      <c r="AM14" s="15">
        <f t="shared" si="12"/>
        <v>25</v>
      </c>
      <c r="AN14" s="15">
        <f t="shared" si="13"/>
        <v>5325</v>
      </c>
      <c r="AO14" s="15">
        <f t="shared" si="14"/>
        <v>1776</v>
      </c>
      <c r="AP14" s="15">
        <v>2400</v>
      </c>
      <c r="AQ14" s="18">
        <f t="shared" si="15"/>
        <v>50.1</v>
      </c>
      <c r="AR14" s="18">
        <f t="shared" si="16"/>
        <v>0.18</v>
      </c>
      <c r="AS14" s="19">
        <f t="shared" si="17"/>
        <v>37.700000000000003</v>
      </c>
      <c r="AT14" s="18">
        <f t="shared" si="18"/>
        <v>12.58</v>
      </c>
    </row>
    <row r="15" spans="1:46">
      <c r="A15" s="6">
        <f t="shared" si="19"/>
        <v>43843</v>
      </c>
      <c r="B15" s="5" t="s">
        <v>48</v>
      </c>
      <c r="C15" s="4">
        <v>13075929</v>
      </c>
      <c r="D15" s="4">
        <v>15719783</v>
      </c>
      <c r="E15" s="4">
        <v>14633000</v>
      </c>
      <c r="F15" s="4">
        <v>14620000</v>
      </c>
      <c r="G15" s="4">
        <v>207213243</v>
      </c>
      <c r="H15" s="4">
        <v>36339</v>
      </c>
      <c r="I15" s="4">
        <v>207212442</v>
      </c>
      <c r="J15" s="4">
        <v>36339</v>
      </c>
      <c r="K15" s="4"/>
      <c r="L15" s="5">
        <v>4246.2</v>
      </c>
      <c r="M15" s="5">
        <v>3338.9</v>
      </c>
      <c r="N15" s="5">
        <v>71740</v>
      </c>
      <c r="O15" s="5"/>
      <c r="P15" s="5"/>
      <c r="Q15" s="9">
        <v>17.2</v>
      </c>
      <c r="R15" s="24" t="s">
        <v>44</v>
      </c>
      <c r="S15" s="4">
        <v>710</v>
      </c>
      <c r="T15" s="4">
        <v>700</v>
      </c>
      <c r="U15" s="4">
        <v>8245</v>
      </c>
      <c r="V15" s="4">
        <v>5421</v>
      </c>
      <c r="W15" s="5">
        <v>5.77</v>
      </c>
      <c r="X15" s="5">
        <v>3.65</v>
      </c>
      <c r="Y15" s="4">
        <v>1432</v>
      </c>
      <c r="Z15" s="4"/>
      <c r="AA15" s="11">
        <f t="shared" si="1"/>
        <v>47308</v>
      </c>
      <c r="AB15" s="11">
        <f t="shared" si="2"/>
        <v>53371</v>
      </c>
      <c r="AC15" s="11">
        <f t="shared" si="3"/>
        <v>31000</v>
      </c>
      <c r="AD15" s="11">
        <f t="shared" si="4"/>
        <v>31000</v>
      </c>
      <c r="AE15" s="11">
        <f t="shared" si="5"/>
        <v>148712</v>
      </c>
      <c r="AF15" s="11">
        <f t="shared" si="6"/>
        <v>5476</v>
      </c>
      <c r="AG15" s="11">
        <f t="shared" si="7"/>
        <v>13967</v>
      </c>
      <c r="AH15" s="11">
        <f t="shared" si="8"/>
        <v>148845</v>
      </c>
      <c r="AI15" s="15">
        <f t="shared" si="9"/>
        <v>5476</v>
      </c>
      <c r="AJ15" s="15">
        <f t="shared" si="10"/>
        <v>143369</v>
      </c>
      <c r="AK15" s="15">
        <v>1485</v>
      </c>
      <c r="AL15" s="15">
        <f t="shared" si="11"/>
        <v>6948</v>
      </c>
      <c r="AM15" s="15">
        <f t="shared" si="12"/>
        <v>26</v>
      </c>
      <c r="AN15" s="15">
        <f t="shared" si="13"/>
        <v>5041</v>
      </c>
      <c r="AO15" s="15">
        <f t="shared" si="14"/>
        <v>1680</v>
      </c>
      <c r="AP15" s="15">
        <v>2300</v>
      </c>
      <c r="AQ15" s="18">
        <f t="shared" si="15"/>
        <v>48.5</v>
      </c>
      <c r="AR15" s="18">
        <f t="shared" si="16"/>
        <v>0.18</v>
      </c>
      <c r="AS15" s="19">
        <f t="shared" si="17"/>
        <v>35.200000000000003</v>
      </c>
      <c r="AT15" s="18">
        <f t="shared" si="18"/>
        <v>11.72</v>
      </c>
    </row>
    <row r="16" spans="1:46">
      <c r="A16" s="6">
        <f t="shared" si="19"/>
        <v>43844</v>
      </c>
      <c r="B16" s="5" t="s">
        <v>48</v>
      </c>
      <c r="C16" s="4">
        <v>13123237</v>
      </c>
      <c r="D16" s="4">
        <v>15773154</v>
      </c>
      <c r="E16" s="4">
        <v>14664000</v>
      </c>
      <c r="F16" s="4">
        <v>14651000</v>
      </c>
      <c r="G16" s="4">
        <v>207361955</v>
      </c>
      <c r="H16" s="4">
        <v>41815</v>
      </c>
      <c r="I16" s="4">
        <v>207361287</v>
      </c>
      <c r="J16" s="4">
        <v>41815</v>
      </c>
      <c r="K16" s="4"/>
      <c r="L16" s="5">
        <v>4246.2</v>
      </c>
      <c r="M16" s="5">
        <v>3344.69</v>
      </c>
      <c r="N16" s="5">
        <v>71752.83</v>
      </c>
      <c r="O16" s="5"/>
      <c r="P16" s="5"/>
      <c r="Q16" s="9">
        <v>16.399999999999999</v>
      </c>
      <c r="R16" s="24" t="s">
        <v>44</v>
      </c>
      <c r="S16" s="4">
        <v>660</v>
      </c>
      <c r="T16" s="4">
        <v>650</v>
      </c>
      <c r="U16" s="4">
        <v>7012</v>
      </c>
      <c r="V16" s="4">
        <v>5689</v>
      </c>
      <c r="W16" s="5">
        <v>5.9</v>
      </c>
      <c r="X16" s="5">
        <v>3.82</v>
      </c>
      <c r="Y16" s="4">
        <v>1435</v>
      </c>
      <c r="Z16" s="4"/>
      <c r="AA16" s="11">
        <f t="shared" si="1"/>
        <v>44971</v>
      </c>
      <c r="AB16" s="11">
        <f t="shared" si="2"/>
        <v>49587</v>
      </c>
      <c r="AC16" s="11">
        <f t="shared" si="3"/>
        <v>29000</v>
      </c>
      <c r="AD16" s="11">
        <f t="shared" si="4"/>
        <v>28000</v>
      </c>
      <c r="AE16" s="11">
        <f t="shared" si="5"/>
        <v>150086</v>
      </c>
      <c r="AF16" s="11">
        <f t="shared" si="6"/>
        <v>5481</v>
      </c>
      <c r="AG16" s="11">
        <f t="shared" si="7"/>
        <v>1472</v>
      </c>
      <c r="AH16" s="11">
        <f t="shared" si="8"/>
        <v>150106</v>
      </c>
      <c r="AI16" s="15">
        <f t="shared" si="9"/>
        <v>5481</v>
      </c>
      <c r="AJ16" s="15">
        <f t="shared" si="10"/>
        <v>144625</v>
      </c>
      <c r="AK16" s="15">
        <v>1320</v>
      </c>
      <c r="AL16" s="15">
        <f t="shared" si="11"/>
        <v>7164</v>
      </c>
      <c r="AM16" s="15">
        <f t="shared" si="12"/>
        <v>16</v>
      </c>
      <c r="AN16" s="15">
        <f t="shared" si="13"/>
        <v>4686</v>
      </c>
      <c r="AO16" s="15">
        <f t="shared" si="14"/>
        <v>1560</v>
      </c>
      <c r="AP16" s="15">
        <v>2300</v>
      </c>
      <c r="AQ16" s="18">
        <f t="shared" si="15"/>
        <v>49.5</v>
      </c>
      <c r="AR16" s="18">
        <f t="shared" si="16"/>
        <v>0.11</v>
      </c>
      <c r="AS16" s="19">
        <f t="shared" si="17"/>
        <v>32.4</v>
      </c>
      <c r="AT16" s="18">
        <f t="shared" si="18"/>
        <v>10.79</v>
      </c>
    </row>
    <row r="17" spans="1:46">
      <c r="A17" s="6">
        <f t="shared" si="19"/>
        <v>43845</v>
      </c>
      <c r="B17" s="5" t="s">
        <v>48</v>
      </c>
      <c r="C17" s="4">
        <v>13168208</v>
      </c>
      <c r="D17" s="4">
        <v>15822741</v>
      </c>
      <c r="E17" s="4">
        <v>14693000</v>
      </c>
      <c r="F17" s="4">
        <v>14679000</v>
      </c>
      <c r="G17" s="4">
        <v>207512041</v>
      </c>
      <c r="H17" s="4">
        <v>47296</v>
      </c>
      <c r="I17" s="4">
        <v>207511393</v>
      </c>
      <c r="J17" s="4">
        <v>47296</v>
      </c>
      <c r="K17" s="4"/>
      <c r="L17" s="5">
        <v>4246.2</v>
      </c>
      <c r="M17" s="5">
        <v>3350.66</v>
      </c>
      <c r="N17" s="5">
        <v>71760.75</v>
      </c>
      <c r="O17" s="5"/>
      <c r="P17" s="5"/>
      <c r="Q17" s="9">
        <v>17.8</v>
      </c>
      <c r="R17" s="24" t="s">
        <v>44</v>
      </c>
      <c r="S17" s="4">
        <v>500</v>
      </c>
      <c r="T17" s="4">
        <v>550</v>
      </c>
      <c r="U17" s="4">
        <v>7000</v>
      </c>
      <c r="V17" s="4">
        <v>5852</v>
      </c>
      <c r="W17" s="5">
        <v>3.94</v>
      </c>
      <c r="X17" s="5">
        <v>3.23</v>
      </c>
      <c r="Y17" s="4">
        <v>19</v>
      </c>
      <c r="Z17" s="4"/>
      <c r="AA17" s="11">
        <f t="shared" si="1"/>
        <v>46687</v>
      </c>
      <c r="AB17" s="11">
        <f t="shared" si="2"/>
        <v>51789</v>
      </c>
      <c r="AC17" s="11">
        <f t="shared" si="3"/>
        <v>29000</v>
      </c>
      <c r="AD17" s="11">
        <f t="shared" si="4"/>
        <v>28000</v>
      </c>
      <c r="AE17" s="11">
        <f t="shared" si="5"/>
        <v>149402</v>
      </c>
      <c r="AF17" s="11">
        <f t="shared" si="6"/>
        <v>5436</v>
      </c>
      <c r="AG17" s="11">
        <f t="shared" si="7"/>
        <v>6074</v>
      </c>
      <c r="AH17" s="11">
        <f t="shared" si="8"/>
        <v>151220</v>
      </c>
      <c r="AI17" s="15">
        <f t="shared" si="9"/>
        <v>5436</v>
      </c>
      <c r="AJ17" s="15">
        <f t="shared" si="10"/>
        <v>145784</v>
      </c>
      <c r="AK17" s="15">
        <v>700</v>
      </c>
      <c r="AL17" s="15">
        <f t="shared" si="11"/>
        <v>6636</v>
      </c>
      <c r="AM17" s="15">
        <f t="shared" si="12"/>
        <v>24</v>
      </c>
      <c r="AN17" s="15">
        <f t="shared" si="13"/>
        <v>3550</v>
      </c>
      <c r="AO17" s="15">
        <f t="shared" si="14"/>
        <v>1320</v>
      </c>
      <c r="AP17" s="15">
        <v>2300</v>
      </c>
      <c r="AQ17" s="18">
        <f t="shared" si="15"/>
        <v>45.5</v>
      </c>
      <c r="AR17" s="18">
        <f t="shared" si="16"/>
        <v>0.16</v>
      </c>
      <c r="AS17" s="19">
        <f t="shared" si="17"/>
        <v>24.4</v>
      </c>
      <c r="AT17" s="18">
        <f t="shared" si="18"/>
        <v>9.0500000000000007</v>
      </c>
    </row>
    <row r="18" spans="1:46">
      <c r="A18" s="6">
        <f t="shared" si="19"/>
        <v>43846</v>
      </c>
      <c r="B18" s="5" t="s">
        <v>51</v>
      </c>
      <c r="C18" s="4">
        <v>13214895</v>
      </c>
      <c r="D18" s="4">
        <v>15874530</v>
      </c>
      <c r="E18" s="4">
        <v>14722000</v>
      </c>
      <c r="F18" s="4">
        <v>14707000</v>
      </c>
      <c r="G18" s="4">
        <v>207661443</v>
      </c>
      <c r="H18" s="4">
        <v>52732</v>
      </c>
      <c r="I18" s="4">
        <v>207662613</v>
      </c>
      <c r="J18" s="4">
        <v>52732</v>
      </c>
      <c r="K18" s="4"/>
      <c r="L18" s="5">
        <v>4246.2</v>
      </c>
      <c r="M18" s="5">
        <v>3356.19</v>
      </c>
      <c r="N18" s="5">
        <v>71772.69</v>
      </c>
      <c r="O18" s="5"/>
      <c r="P18" s="5"/>
      <c r="Q18" s="9">
        <v>17</v>
      </c>
      <c r="R18" s="4" t="s">
        <v>52</v>
      </c>
      <c r="S18" s="4">
        <v>330</v>
      </c>
      <c r="T18" s="4">
        <v>350</v>
      </c>
      <c r="U18" s="4">
        <v>6217</v>
      </c>
      <c r="V18" s="4">
        <v>5319</v>
      </c>
      <c r="W18" s="5">
        <v>5.4</v>
      </c>
      <c r="X18" s="5">
        <v>2.96</v>
      </c>
      <c r="Y18" s="4">
        <v>1346</v>
      </c>
      <c r="Z18" s="4"/>
      <c r="AA18" s="11">
        <f t="shared" si="1"/>
        <v>43802</v>
      </c>
      <c r="AB18" s="11">
        <f t="shared" si="2"/>
        <v>46457</v>
      </c>
      <c r="AC18" s="11">
        <f t="shared" si="3"/>
        <v>26000</v>
      </c>
      <c r="AD18" s="11">
        <f t="shared" si="4"/>
        <v>26000</v>
      </c>
      <c r="AE18" s="11">
        <f t="shared" si="5"/>
        <v>141865</v>
      </c>
      <c r="AF18" s="11">
        <f t="shared" si="6"/>
        <v>5516</v>
      </c>
      <c r="AG18" s="11">
        <f t="shared" si="7"/>
        <v>394</v>
      </c>
      <c r="AH18" s="11">
        <f t="shared" si="8"/>
        <v>141549</v>
      </c>
      <c r="AI18" s="15">
        <f t="shared" si="9"/>
        <v>5516</v>
      </c>
      <c r="AJ18" s="15">
        <f t="shared" si="10"/>
        <v>136033</v>
      </c>
      <c r="AK18" s="15">
        <v>1500</v>
      </c>
      <c r="AL18" s="15">
        <f t="shared" si="11"/>
        <v>3132</v>
      </c>
      <c r="AM18" s="15">
        <f t="shared" si="12"/>
        <v>14</v>
      </c>
      <c r="AN18" s="15">
        <f t="shared" si="13"/>
        <v>2343</v>
      </c>
      <c r="AO18" s="15">
        <f t="shared" si="14"/>
        <v>840</v>
      </c>
      <c r="AP18" s="15">
        <v>2000</v>
      </c>
      <c r="AQ18" s="18">
        <f t="shared" si="15"/>
        <v>23</v>
      </c>
      <c r="AR18" s="18">
        <f t="shared" si="16"/>
        <v>0.1</v>
      </c>
      <c r="AS18" s="19">
        <f t="shared" si="17"/>
        <v>17.2</v>
      </c>
      <c r="AT18" s="18">
        <f t="shared" si="18"/>
        <v>6.17</v>
      </c>
    </row>
    <row r="19" spans="1:46">
      <c r="A19" s="6">
        <f t="shared" si="19"/>
        <v>43847</v>
      </c>
      <c r="B19" s="25" t="s">
        <v>45</v>
      </c>
      <c r="C19" s="4">
        <v>13258697</v>
      </c>
      <c r="D19" s="4">
        <v>15920987</v>
      </c>
      <c r="E19" s="4">
        <v>14748000</v>
      </c>
      <c r="F19" s="4">
        <v>14733000</v>
      </c>
      <c r="G19" s="4">
        <v>207803308</v>
      </c>
      <c r="H19" s="4">
        <v>58248</v>
      </c>
      <c r="I19" s="4">
        <v>207804162</v>
      </c>
      <c r="J19" s="4">
        <v>58248</v>
      </c>
      <c r="K19" s="4"/>
      <c r="L19" s="5">
        <v>4246.2</v>
      </c>
      <c r="M19" s="5">
        <v>3358.8</v>
      </c>
      <c r="N19" s="5">
        <v>71779.788</v>
      </c>
      <c r="O19" s="5"/>
      <c r="P19" s="5"/>
      <c r="Q19" s="9">
        <v>16.8</v>
      </c>
      <c r="R19" s="4" t="s">
        <v>44</v>
      </c>
      <c r="S19" s="4">
        <v>400</v>
      </c>
      <c r="T19" s="4">
        <v>450</v>
      </c>
      <c r="U19" s="4">
        <v>7312</v>
      </c>
      <c r="V19" s="4">
        <v>5341</v>
      </c>
      <c r="W19" s="5">
        <v>5.01</v>
      </c>
      <c r="X19" s="5">
        <v>3.2</v>
      </c>
      <c r="Y19" s="4">
        <v>955</v>
      </c>
      <c r="Z19" s="4"/>
      <c r="AA19" s="11">
        <f t="shared" si="1"/>
        <v>45767</v>
      </c>
      <c r="AB19" s="11">
        <f t="shared" si="2"/>
        <v>49497</v>
      </c>
      <c r="AC19" s="11">
        <f t="shared" si="3"/>
        <v>29000</v>
      </c>
      <c r="AD19" s="11">
        <f t="shared" si="4"/>
        <v>27000</v>
      </c>
      <c r="AE19" s="11">
        <f t="shared" si="5"/>
        <v>148993</v>
      </c>
      <c r="AF19" s="11">
        <f t="shared" si="6"/>
        <v>5528</v>
      </c>
      <c r="AG19" s="11">
        <f t="shared" si="7"/>
        <v>2271</v>
      </c>
      <c r="AH19" s="11">
        <f t="shared" si="8"/>
        <v>147881</v>
      </c>
      <c r="AI19" s="15">
        <f t="shared" si="9"/>
        <v>5528</v>
      </c>
      <c r="AJ19" s="15">
        <f t="shared" si="10"/>
        <v>142353</v>
      </c>
      <c r="AK19" s="15">
        <v>1980</v>
      </c>
      <c r="AL19" s="15">
        <f t="shared" si="11"/>
        <v>3024</v>
      </c>
      <c r="AM19" s="15">
        <f t="shared" si="12"/>
        <v>20</v>
      </c>
      <c r="AN19" s="15">
        <f t="shared" si="13"/>
        <v>2840</v>
      </c>
      <c r="AO19" s="15">
        <f t="shared" si="14"/>
        <v>1080</v>
      </c>
      <c r="AP19" s="15">
        <v>1900</v>
      </c>
      <c r="AQ19" s="18">
        <f t="shared" si="15"/>
        <v>21.2</v>
      </c>
      <c r="AR19" s="18">
        <f t="shared" si="16"/>
        <v>0.14000000000000001</v>
      </c>
      <c r="AS19" s="19">
        <f t="shared" si="17"/>
        <v>20</v>
      </c>
      <c r="AT19" s="18">
        <f t="shared" si="18"/>
        <v>7.59</v>
      </c>
    </row>
    <row r="20" spans="1:46">
      <c r="A20" s="6">
        <f t="shared" si="19"/>
        <v>43848</v>
      </c>
      <c r="B20" s="5" t="s">
        <v>48</v>
      </c>
      <c r="C20" s="4">
        <v>13304464</v>
      </c>
      <c r="D20" s="4">
        <v>15970484</v>
      </c>
      <c r="E20" s="4">
        <v>14777000</v>
      </c>
      <c r="F20" s="4">
        <v>14760000</v>
      </c>
      <c r="G20" s="4">
        <v>207952301</v>
      </c>
      <c r="H20" s="4">
        <v>63776</v>
      </c>
      <c r="I20" s="4">
        <v>207952043</v>
      </c>
      <c r="J20" s="4">
        <v>63776</v>
      </c>
      <c r="K20" s="4"/>
      <c r="L20" s="5">
        <v>4246.2</v>
      </c>
      <c r="M20" s="5">
        <v>3361.32</v>
      </c>
      <c r="N20" s="5">
        <v>71789.56</v>
      </c>
      <c r="O20" s="5"/>
      <c r="P20" s="5"/>
      <c r="Q20" s="9">
        <v>16.7</v>
      </c>
      <c r="R20" s="4" t="s">
        <v>44</v>
      </c>
      <c r="S20" s="4">
        <v>660</v>
      </c>
      <c r="T20" s="4">
        <v>680</v>
      </c>
      <c r="U20" s="4">
        <v>6400</v>
      </c>
      <c r="V20" s="4">
        <v>4100</v>
      </c>
      <c r="W20" s="5">
        <v>4.76</v>
      </c>
      <c r="X20" s="5">
        <v>2.71</v>
      </c>
      <c r="Y20" s="4">
        <v>838</v>
      </c>
      <c r="Z20" s="4"/>
      <c r="AA20" s="11">
        <f t="shared" si="1"/>
        <v>34455</v>
      </c>
      <c r="AB20" s="11">
        <f t="shared" si="2"/>
        <v>36371</v>
      </c>
      <c r="AC20" s="11">
        <f t="shared" si="3"/>
        <v>34000</v>
      </c>
      <c r="AD20" s="11">
        <f t="shared" si="4"/>
        <v>33000</v>
      </c>
      <c r="AE20" s="11">
        <f t="shared" si="5"/>
        <v>137091</v>
      </c>
      <c r="AF20" s="11">
        <f t="shared" si="6"/>
        <v>5477</v>
      </c>
      <c r="AG20" s="11">
        <f t="shared" si="7"/>
        <v>735</v>
      </c>
      <c r="AH20" s="11">
        <f t="shared" si="8"/>
        <v>137151</v>
      </c>
      <c r="AI20" s="15">
        <f t="shared" si="9"/>
        <v>5477</v>
      </c>
      <c r="AJ20" s="15">
        <f t="shared" si="10"/>
        <v>131674</v>
      </c>
      <c r="AK20" s="15">
        <v>1980</v>
      </c>
      <c r="AL20" s="15">
        <f t="shared" si="11"/>
        <v>2808</v>
      </c>
      <c r="AM20" s="15">
        <f t="shared" si="12"/>
        <v>24</v>
      </c>
      <c r="AN20" s="15">
        <f t="shared" si="13"/>
        <v>4686</v>
      </c>
      <c r="AO20" s="15">
        <f t="shared" si="14"/>
        <v>1632</v>
      </c>
      <c r="AP20" s="15">
        <v>2800</v>
      </c>
      <c r="AQ20" s="18">
        <f t="shared" si="15"/>
        <v>21.3</v>
      </c>
      <c r="AR20" s="18">
        <f t="shared" si="16"/>
        <v>0.18</v>
      </c>
      <c r="AS20" s="19">
        <f t="shared" si="17"/>
        <v>35.6</v>
      </c>
      <c r="AT20" s="18">
        <f t="shared" si="18"/>
        <v>12.39</v>
      </c>
    </row>
    <row r="21" spans="1:46">
      <c r="A21" s="6">
        <f t="shared" si="19"/>
        <v>43849</v>
      </c>
      <c r="B21" s="5" t="s">
        <v>48</v>
      </c>
      <c r="C21" s="4">
        <v>13338919</v>
      </c>
      <c r="D21" s="4">
        <v>16006855</v>
      </c>
      <c r="E21" s="4">
        <v>14811000</v>
      </c>
      <c r="F21" s="4">
        <v>14793000</v>
      </c>
      <c r="G21" s="4">
        <v>208089392</v>
      </c>
      <c r="H21" s="4">
        <v>69253</v>
      </c>
      <c r="I21" s="4">
        <v>208089194</v>
      </c>
      <c r="J21" s="4">
        <v>69253</v>
      </c>
      <c r="K21" s="4"/>
      <c r="L21" s="5">
        <v>4246.2</v>
      </c>
      <c r="M21" s="5">
        <v>3363.66</v>
      </c>
      <c r="N21" s="5">
        <v>71801.759999999995</v>
      </c>
      <c r="O21" s="5"/>
      <c r="P21" s="5"/>
      <c r="Q21" s="9">
        <v>18.2</v>
      </c>
      <c r="R21" s="4" t="s">
        <v>44</v>
      </c>
      <c r="S21" s="4">
        <v>690</v>
      </c>
      <c r="T21" s="4">
        <v>700</v>
      </c>
      <c r="U21" s="4">
        <v>7282</v>
      </c>
      <c r="V21" s="4">
        <v>2891</v>
      </c>
      <c r="W21" s="5">
        <v>3.87</v>
      </c>
      <c r="X21" s="5">
        <v>2.27</v>
      </c>
      <c r="Y21" s="4">
        <v>944</v>
      </c>
      <c r="Z21" s="4"/>
      <c r="AA21" s="11">
        <f t="shared" si="1"/>
        <v>33895</v>
      </c>
      <c r="AB21" s="11">
        <f t="shared" si="2"/>
        <v>35854</v>
      </c>
      <c r="AC21" s="11">
        <f t="shared" si="3"/>
        <v>38000</v>
      </c>
      <c r="AD21" s="11">
        <f t="shared" si="4"/>
        <v>38000</v>
      </c>
      <c r="AE21" s="11">
        <f t="shared" si="5"/>
        <v>142999</v>
      </c>
      <c r="AF21" s="11">
        <f t="shared" si="6"/>
        <v>5457</v>
      </c>
      <c r="AG21" s="11">
        <f t="shared" si="7"/>
        <v>2750</v>
      </c>
      <c r="AH21" s="11">
        <f t="shared" si="8"/>
        <v>143444</v>
      </c>
      <c r="AI21" s="15">
        <f t="shared" si="9"/>
        <v>5457</v>
      </c>
      <c r="AJ21" s="15">
        <f t="shared" si="10"/>
        <v>137987</v>
      </c>
      <c r="AK21" s="15">
        <v>1485</v>
      </c>
      <c r="AL21" s="15">
        <f t="shared" si="11"/>
        <v>1476</v>
      </c>
      <c r="AM21" s="15">
        <f t="shared" si="12"/>
        <v>25</v>
      </c>
      <c r="AN21" s="15">
        <f t="shared" si="13"/>
        <v>4899</v>
      </c>
      <c r="AO21" s="15">
        <f t="shared" si="14"/>
        <v>1680</v>
      </c>
      <c r="AP21" s="15">
        <v>2100</v>
      </c>
      <c r="AQ21" s="18">
        <f t="shared" si="15"/>
        <v>10.7</v>
      </c>
      <c r="AR21" s="18">
        <f t="shared" si="16"/>
        <v>0.18</v>
      </c>
      <c r="AS21" s="19">
        <f t="shared" si="17"/>
        <v>35.5</v>
      </c>
      <c r="AT21" s="18">
        <f t="shared" si="18"/>
        <v>12.18</v>
      </c>
    </row>
    <row r="22" spans="1:46">
      <c r="A22" s="6">
        <f t="shared" si="19"/>
        <v>43850</v>
      </c>
      <c r="B22" s="5" t="s">
        <v>48</v>
      </c>
      <c r="C22" s="4">
        <v>13372814</v>
      </c>
      <c r="D22" s="4">
        <v>16042709</v>
      </c>
      <c r="E22" s="4">
        <v>14849000</v>
      </c>
      <c r="F22" s="4">
        <v>14831000</v>
      </c>
      <c r="G22" s="4">
        <v>208232391</v>
      </c>
      <c r="H22" s="4">
        <v>74710</v>
      </c>
      <c r="I22" s="4">
        <v>208232638</v>
      </c>
      <c r="J22" s="4">
        <v>74710</v>
      </c>
      <c r="K22" s="4"/>
      <c r="L22" s="5">
        <v>4246.2</v>
      </c>
      <c r="M22" s="5">
        <v>3364.89</v>
      </c>
      <c r="N22" s="5">
        <v>71814.13</v>
      </c>
      <c r="O22" s="5"/>
      <c r="P22" s="5"/>
      <c r="Q22" s="9">
        <v>17</v>
      </c>
      <c r="R22" s="4" t="s">
        <v>44</v>
      </c>
      <c r="S22" s="4">
        <v>560</v>
      </c>
      <c r="T22" s="4">
        <v>600</v>
      </c>
      <c r="U22" s="4">
        <v>6234</v>
      </c>
      <c r="V22" s="4">
        <v>2789</v>
      </c>
      <c r="W22" s="5">
        <v>5.01</v>
      </c>
      <c r="X22" s="5">
        <v>2.2599999999999998</v>
      </c>
      <c r="Y22" s="4">
        <v>1044</v>
      </c>
      <c r="Z22" s="4"/>
      <c r="AA22" s="11">
        <f t="shared" si="1"/>
        <v>32698</v>
      </c>
      <c r="AB22" s="11">
        <f t="shared" si="2"/>
        <v>35050</v>
      </c>
      <c r="AC22" s="11">
        <f t="shared" si="3"/>
        <v>35000</v>
      </c>
      <c r="AD22" s="11">
        <f t="shared" si="4"/>
        <v>34000</v>
      </c>
      <c r="AE22" s="11">
        <f t="shared" si="5"/>
        <v>132775</v>
      </c>
      <c r="AF22" s="11">
        <f t="shared" si="6"/>
        <v>5493</v>
      </c>
      <c r="AG22" s="11">
        <f t="shared" si="7"/>
        <v>3973</v>
      </c>
      <c r="AH22" s="11">
        <f t="shared" si="8"/>
        <v>132475</v>
      </c>
      <c r="AI22" s="15">
        <f t="shared" si="9"/>
        <v>5493</v>
      </c>
      <c r="AJ22" s="15">
        <f t="shared" si="10"/>
        <v>126982</v>
      </c>
      <c r="AK22" s="15">
        <v>1525</v>
      </c>
      <c r="AL22" s="15">
        <f t="shared" si="11"/>
        <v>612</v>
      </c>
      <c r="AM22" s="15">
        <f t="shared" si="12"/>
        <v>6</v>
      </c>
      <c r="AN22" s="15">
        <f t="shared" si="13"/>
        <v>3976</v>
      </c>
      <c r="AO22" s="15">
        <f t="shared" si="14"/>
        <v>1440</v>
      </c>
      <c r="AP22" s="15">
        <v>3400</v>
      </c>
      <c r="AQ22" s="18">
        <f t="shared" si="15"/>
        <v>4.8</v>
      </c>
      <c r="AR22" s="18">
        <f t="shared" si="16"/>
        <v>0.05</v>
      </c>
      <c r="AS22" s="19">
        <f t="shared" si="17"/>
        <v>31.3</v>
      </c>
      <c r="AT22" s="18">
        <f t="shared" si="18"/>
        <v>11.34</v>
      </c>
    </row>
    <row r="23" spans="1:46">
      <c r="A23" s="6">
        <f t="shared" si="19"/>
        <v>43851</v>
      </c>
      <c r="B23" s="25" t="s">
        <v>45</v>
      </c>
      <c r="C23" s="4">
        <v>13405512</v>
      </c>
      <c r="D23" s="4">
        <v>16077759</v>
      </c>
      <c r="E23" s="4">
        <v>14884000</v>
      </c>
      <c r="F23" s="4">
        <v>14865000</v>
      </c>
      <c r="G23" s="4">
        <v>208365166</v>
      </c>
      <c r="H23" s="4">
        <v>80203</v>
      </c>
      <c r="I23" s="4">
        <v>208365113</v>
      </c>
      <c r="J23" s="4">
        <v>80203</v>
      </c>
      <c r="K23" s="4"/>
      <c r="L23" s="5">
        <v>4246.2</v>
      </c>
      <c r="M23" s="5">
        <v>3365.4</v>
      </c>
      <c r="N23" s="5">
        <v>71817.009999999995</v>
      </c>
      <c r="O23" s="5"/>
      <c r="P23" s="5"/>
      <c r="Q23" s="9">
        <v>16.8</v>
      </c>
      <c r="R23" s="4" t="s">
        <v>53</v>
      </c>
      <c r="S23" s="4">
        <v>500</v>
      </c>
      <c r="T23" s="4">
        <v>530</v>
      </c>
      <c r="U23" s="4">
        <v>6489</v>
      </c>
      <c r="V23" s="4">
        <v>4929</v>
      </c>
      <c r="W23" s="5">
        <v>5.2</v>
      </c>
      <c r="X23" s="5">
        <v>2.82</v>
      </c>
      <c r="Y23" s="4">
        <v>1361</v>
      </c>
      <c r="Z23" s="4"/>
      <c r="AA23" s="11">
        <f t="shared" si="1"/>
        <v>35570</v>
      </c>
      <c r="AB23" s="11">
        <f t="shared" si="2"/>
        <v>36619</v>
      </c>
      <c r="AC23" s="11">
        <f t="shared" si="3"/>
        <v>39000</v>
      </c>
      <c r="AD23" s="11">
        <f t="shared" si="4"/>
        <v>38000</v>
      </c>
      <c r="AE23" s="11">
        <f t="shared" si="5"/>
        <v>145827</v>
      </c>
      <c r="AF23" s="11">
        <f t="shared" si="6"/>
        <v>5477</v>
      </c>
      <c r="AG23" s="11">
        <f t="shared" si="7"/>
        <v>3362</v>
      </c>
      <c r="AH23" s="11">
        <f t="shared" si="8"/>
        <v>145880</v>
      </c>
      <c r="AI23" s="15">
        <f t="shared" si="9"/>
        <v>5477</v>
      </c>
      <c r="AJ23" s="15">
        <f t="shared" si="10"/>
        <v>140403</v>
      </c>
      <c r="AK23" s="15">
        <v>1815</v>
      </c>
      <c r="AL23" s="15">
        <f t="shared" si="11"/>
        <v>0</v>
      </c>
      <c r="AM23" s="15">
        <f t="shared" si="12"/>
        <v>0</v>
      </c>
      <c r="AN23" s="15">
        <f t="shared" si="13"/>
        <v>3550</v>
      </c>
      <c r="AO23" s="15">
        <f t="shared" si="14"/>
        <v>1272</v>
      </c>
      <c r="AP23" s="15">
        <v>3450</v>
      </c>
      <c r="AQ23" s="18">
        <f t="shared" si="15"/>
        <v>0</v>
      </c>
      <c r="AR23" s="18">
        <f t="shared" si="16"/>
        <v>0</v>
      </c>
      <c r="AS23" s="19">
        <f t="shared" si="17"/>
        <v>25.3</v>
      </c>
      <c r="AT23" s="18">
        <f t="shared" si="18"/>
        <v>9.06</v>
      </c>
    </row>
    <row r="24" spans="1:46">
      <c r="A24" s="6">
        <f t="shared" si="19"/>
        <v>43852</v>
      </c>
      <c r="B24" s="5" t="s">
        <v>48</v>
      </c>
      <c r="C24" s="4">
        <v>13441082</v>
      </c>
      <c r="D24" s="4">
        <v>16114378</v>
      </c>
      <c r="E24" s="4">
        <v>14923000</v>
      </c>
      <c r="F24" s="4">
        <v>14903000</v>
      </c>
      <c r="G24" s="4">
        <v>208510993</v>
      </c>
      <c r="H24" s="4">
        <v>85680</v>
      </c>
      <c r="I24" s="4">
        <v>208510993</v>
      </c>
      <c r="J24" s="4">
        <v>85680</v>
      </c>
      <c r="K24" s="4"/>
      <c r="L24" s="5">
        <v>4246.2</v>
      </c>
      <c r="M24" s="5">
        <v>3365.4</v>
      </c>
      <c r="N24" s="5">
        <v>71817.009999999995</v>
      </c>
      <c r="O24" s="5"/>
      <c r="P24" s="5"/>
      <c r="Q24" s="9">
        <v>17.8</v>
      </c>
      <c r="R24" s="4" t="s">
        <v>53</v>
      </c>
      <c r="S24" s="4">
        <v>500</v>
      </c>
      <c r="T24" s="4">
        <v>520</v>
      </c>
      <c r="U24" s="4">
        <v>8342</v>
      </c>
      <c r="V24" s="4">
        <v>4991</v>
      </c>
      <c r="W24" s="5">
        <v>5.89</v>
      </c>
      <c r="X24" s="5">
        <v>3.62</v>
      </c>
      <c r="Y24" s="4">
        <v>1434</v>
      </c>
      <c r="Z24" s="4"/>
      <c r="AA24" s="11">
        <f t="shared" si="1"/>
        <v>45301</v>
      </c>
      <c r="AB24" s="11">
        <f t="shared" si="2"/>
        <v>50171</v>
      </c>
      <c r="AC24" s="11">
        <f t="shared" si="3"/>
        <v>45000</v>
      </c>
      <c r="AD24" s="11">
        <f t="shared" si="4"/>
        <v>44000</v>
      </c>
      <c r="AE24" s="11">
        <f t="shared" si="5"/>
        <v>156968</v>
      </c>
      <c r="AF24" s="11">
        <f t="shared" si="6"/>
        <v>5182</v>
      </c>
      <c r="AG24" s="11">
        <f t="shared" si="7"/>
        <v>27504</v>
      </c>
      <c r="AH24" s="11">
        <f t="shared" si="8"/>
        <v>156968</v>
      </c>
      <c r="AI24" s="15">
        <f t="shared" si="9"/>
        <v>5182</v>
      </c>
      <c r="AJ24" s="15">
        <f t="shared" si="10"/>
        <v>151786</v>
      </c>
      <c r="AK24" s="15">
        <v>2100</v>
      </c>
      <c r="AL24" s="15">
        <f t="shared" si="11"/>
        <v>0</v>
      </c>
      <c r="AM24" s="15">
        <f t="shared" si="12"/>
        <v>0</v>
      </c>
      <c r="AN24" s="15">
        <f t="shared" si="13"/>
        <v>3550</v>
      </c>
      <c r="AO24" s="15">
        <f t="shared" si="14"/>
        <v>1248</v>
      </c>
      <c r="AP24" s="15">
        <v>3500</v>
      </c>
      <c r="AQ24" s="18">
        <f t="shared" si="15"/>
        <v>0</v>
      </c>
      <c r="AR24" s="18">
        <f t="shared" si="16"/>
        <v>0</v>
      </c>
      <c r="AS24" s="19">
        <f t="shared" si="17"/>
        <v>23.4</v>
      </c>
      <c r="AT24" s="18">
        <f t="shared" si="18"/>
        <v>8.2200000000000006</v>
      </c>
    </row>
    <row r="25" spans="1:46">
      <c r="A25" s="6">
        <f t="shared" si="19"/>
        <v>43853</v>
      </c>
      <c r="B25" s="5" t="s">
        <v>46</v>
      </c>
      <c r="C25" s="4">
        <v>13486383</v>
      </c>
      <c r="D25" s="4">
        <v>16164549</v>
      </c>
      <c r="E25" s="4">
        <v>14968000</v>
      </c>
      <c r="F25" s="4">
        <v>14947000</v>
      </c>
      <c r="G25" s="4">
        <v>208667961</v>
      </c>
      <c r="H25" s="4">
        <v>90862</v>
      </c>
      <c r="I25" s="4">
        <v>208667961</v>
      </c>
      <c r="J25" s="4">
        <v>90862</v>
      </c>
      <c r="K25" s="4"/>
      <c r="L25" s="5">
        <v>4246.2</v>
      </c>
      <c r="M25" s="5">
        <v>3365.4</v>
      </c>
      <c r="N25" s="5">
        <v>71817.009999999995</v>
      </c>
      <c r="O25" s="5"/>
      <c r="P25" s="5"/>
      <c r="Q25" s="9">
        <v>17.100000000000001</v>
      </c>
      <c r="R25" s="4" t="s">
        <v>53</v>
      </c>
      <c r="S25" s="4">
        <v>500</v>
      </c>
      <c r="T25" s="4">
        <v>550</v>
      </c>
      <c r="U25" s="4">
        <v>8616</v>
      </c>
      <c r="V25" s="4">
        <v>7122</v>
      </c>
      <c r="W25" s="5">
        <v>7.64</v>
      </c>
      <c r="X25" s="5">
        <v>6.65</v>
      </c>
      <c r="Y25" s="4">
        <v>1424</v>
      </c>
      <c r="Z25" s="4"/>
      <c r="AA25" s="11">
        <f t="shared" si="1"/>
        <v>43580</v>
      </c>
      <c r="AB25" s="11">
        <f t="shared" si="2"/>
        <v>47723</v>
      </c>
      <c r="AC25" s="11">
        <f t="shared" si="3"/>
        <v>51000</v>
      </c>
      <c r="AD25" s="11">
        <f t="shared" si="4"/>
        <v>50000</v>
      </c>
      <c r="AE25" s="11">
        <f t="shared" si="5"/>
        <v>174346</v>
      </c>
      <c r="AF25" s="11">
        <f t="shared" si="6"/>
        <v>5566</v>
      </c>
      <c r="AG25" s="11">
        <f t="shared" si="7"/>
        <v>17957</v>
      </c>
      <c r="AH25" s="11">
        <f t="shared" si="8"/>
        <v>175246</v>
      </c>
      <c r="AI25" s="15">
        <f t="shared" si="9"/>
        <v>5566</v>
      </c>
      <c r="AJ25" s="15">
        <f t="shared" si="10"/>
        <v>169680</v>
      </c>
      <c r="AK25" s="15">
        <v>3500</v>
      </c>
      <c r="AL25" s="15">
        <f t="shared" si="11"/>
        <v>8820</v>
      </c>
      <c r="AM25" s="15">
        <f t="shared" si="12"/>
        <v>26</v>
      </c>
      <c r="AN25" s="15">
        <f t="shared" si="13"/>
        <v>3550</v>
      </c>
      <c r="AO25" s="15">
        <f t="shared" si="14"/>
        <v>1320</v>
      </c>
      <c r="AP25" s="15">
        <v>2100</v>
      </c>
      <c r="AQ25" s="18">
        <f t="shared" si="15"/>
        <v>52</v>
      </c>
      <c r="AR25" s="18">
        <f t="shared" si="16"/>
        <v>0.15</v>
      </c>
      <c r="AS25" s="19">
        <f t="shared" si="17"/>
        <v>20.9</v>
      </c>
      <c r="AT25" s="18">
        <f t="shared" si="18"/>
        <v>7.78</v>
      </c>
    </row>
    <row r="26" spans="1:46">
      <c r="A26" s="6">
        <f t="shared" si="19"/>
        <v>43854</v>
      </c>
      <c r="B26" s="5" t="s">
        <v>54</v>
      </c>
      <c r="C26" s="4">
        <v>13529963</v>
      </c>
      <c r="D26" s="4">
        <v>16212272</v>
      </c>
      <c r="E26" s="4">
        <v>15019000</v>
      </c>
      <c r="F26" s="4">
        <v>14997000</v>
      </c>
      <c r="G26" s="4">
        <v>208842307</v>
      </c>
      <c r="H26" s="4">
        <v>96428</v>
      </c>
      <c r="I26" s="4">
        <v>208843207</v>
      </c>
      <c r="J26" s="4">
        <v>96428</v>
      </c>
      <c r="K26" s="4"/>
      <c r="L26" s="5">
        <v>4246.2</v>
      </c>
      <c r="M26" s="5">
        <v>3372.75</v>
      </c>
      <c r="N26" s="5">
        <v>71830</v>
      </c>
      <c r="O26" s="5"/>
      <c r="P26" s="5"/>
      <c r="Q26" s="9">
        <v>17</v>
      </c>
      <c r="R26" s="4" t="s">
        <v>55</v>
      </c>
      <c r="S26" s="4">
        <v>560</v>
      </c>
      <c r="T26" s="4">
        <v>600</v>
      </c>
      <c r="U26" s="4">
        <v>7956</v>
      </c>
      <c r="V26" s="4">
        <v>6845</v>
      </c>
      <c r="W26" s="5">
        <v>7.01</v>
      </c>
      <c r="X26" s="5">
        <v>6.39</v>
      </c>
      <c r="Y26" s="4">
        <v>1399</v>
      </c>
      <c r="Z26" s="4"/>
      <c r="AA26" s="11">
        <f t="shared" si="1"/>
        <v>39937</v>
      </c>
      <c r="AB26" s="11">
        <f t="shared" si="2"/>
        <v>44413</v>
      </c>
      <c r="AC26" s="11">
        <f t="shared" si="3"/>
        <v>45000</v>
      </c>
      <c r="AD26" s="11">
        <f t="shared" si="4"/>
        <v>44000</v>
      </c>
      <c r="AE26" s="11">
        <f t="shared" si="5"/>
        <v>174279</v>
      </c>
      <c r="AF26" s="11">
        <f t="shared" si="6"/>
        <v>5358</v>
      </c>
      <c r="AG26" s="11">
        <f t="shared" si="7"/>
        <v>-929</v>
      </c>
      <c r="AH26" s="11">
        <f t="shared" si="8"/>
        <v>173379</v>
      </c>
      <c r="AI26" s="15">
        <f t="shared" si="9"/>
        <v>5358</v>
      </c>
      <c r="AJ26" s="15">
        <f t="shared" si="10"/>
        <v>168021</v>
      </c>
      <c r="AK26" s="15">
        <v>3300</v>
      </c>
      <c r="AL26" s="15">
        <f t="shared" si="11"/>
        <v>5844</v>
      </c>
      <c r="AM26" s="15">
        <f t="shared" si="12"/>
        <v>81</v>
      </c>
      <c r="AN26" s="15">
        <f t="shared" si="13"/>
        <v>3976</v>
      </c>
      <c r="AO26" s="15">
        <f t="shared" si="14"/>
        <v>1440</v>
      </c>
      <c r="AP26" s="15">
        <v>2500</v>
      </c>
      <c r="AQ26" s="18">
        <f t="shared" si="15"/>
        <v>34.799999999999997</v>
      </c>
      <c r="AR26" s="18">
        <f t="shared" si="16"/>
        <v>0.48</v>
      </c>
      <c r="AS26" s="19">
        <f t="shared" si="17"/>
        <v>23.7</v>
      </c>
      <c r="AT26" s="18">
        <f t="shared" si="18"/>
        <v>8.57</v>
      </c>
    </row>
    <row r="27" spans="1:46">
      <c r="A27" s="6">
        <f t="shared" si="19"/>
        <v>43855</v>
      </c>
      <c r="B27" s="5" t="s">
        <v>48</v>
      </c>
      <c r="C27" s="4">
        <v>13569900</v>
      </c>
      <c r="D27" s="4">
        <v>16256685</v>
      </c>
      <c r="E27" s="4">
        <v>15064000</v>
      </c>
      <c r="F27" s="4">
        <v>15041000</v>
      </c>
      <c r="G27" s="4">
        <v>209016586</v>
      </c>
      <c r="H27" s="4">
        <v>101786</v>
      </c>
      <c r="I27" s="4">
        <v>209016586</v>
      </c>
      <c r="J27" s="4">
        <v>101786</v>
      </c>
      <c r="K27" s="4"/>
      <c r="L27" s="5">
        <v>4246.2</v>
      </c>
      <c r="M27" s="5">
        <v>3377.62</v>
      </c>
      <c r="N27" s="5">
        <v>71870.58</v>
      </c>
      <c r="O27" s="5"/>
      <c r="P27" s="5"/>
      <c r="Q27" s="9">
        <v>18.100000000000001</v>
      </c>
      <c r="R27" s="4" t="s">
        <v>44</v>
      </c>
      <c r="S27" s="4">
        <v>650</v>
      </c>
      <c r="T27" s="4">
        <v>670</v>
      </c>
      <c r="U27" s="4">
        <v>7489</v>
      </c>
      <c r="V27" s="4">
        <v>6450</v>
      </c>
      <c r="W27" s="5">
        <v>7.27</v>
      </c>
      <c r="X27" s="5">
        <v>5.75</v>
      </c>
      <c r="Y27" s="4">
        <v>1424</v>
      </c>
      <c r="Z27" s="4"/>
      <c r="AA27" s="11">
        <f t="shared" si="1"/>
        <v>41452</v>
      </c>
      <c r="AB27" s="11">
        <f t="shared" si="2"/>
        <v>46264</v>
      </c>
      <c r="AC27" s="11">
        <f t="shared" si="3"/>
        <v>44000</v>
      </c>
      <c r="AD27" s="11">
        <f t="shared" si="4"/>
        <v>43000</v>
      </c>
      <c r="AE27" s="11">
        <f t="shared" si="5"/>
        <v>167310</v>
      </c>
      <c r="AF27" s="11">
        <f t="shared" si="6"/>
        <v>5469</v>
      </c>
      <c r="AG27" s="11">
        <f t="shared" si="7"/>
        <v>7406</v>
      </c>
      <c r="AH27" s="11">
        <f t="shared" si="8"/>
        <v>167310</v>
      </c>
      <c r="AI27" s="15">
        <f t="shared" si="9"/>
        <v>5469</v>
      </c>
      <c r="AJ27" s="15">
        <f t="shared" si="10"/>
        <v>161841</v>
      </c>
      <c r="AK27" s="15">
        <v>2970</v>
      </c>
      <c r="AL27" s="15">
        <f t="shared" si="11"/>
        <v>9696</v>
      </c>
      <c r="AM27" s="15">
        <f t="shared" si="12"/>
        <v>49</v>
      </c>
      <c r="AN27" s="15">
        <f t="shared" si="13"/>
        <v>4615</v>
      </c>
      <c r="AO27" s="15">
        <f t="shared" si="14"/>
        <v>1608</v>
      </c>
      <c r="AP27" s="15">
        <v>2100</v>
      </c>
      <c r="AQ27" s="18">
        <f t="shared" si="15"/>
        <v>59.9</v>
      </c>
      <c r="AR27" s="18">
        <f t="shared" si="16"/>
        <v>0.3</v>
      </c>
      <c r="AS27" s="19">
        <f t="shared" si="17"/>
        <v>28.5</v>
      </c>
      <c r="AT27" s="18">
        <f t="shared" si="18"/>
        <v>9.94</v>
      </c>
    </row>
    <row r="28" spans="1:46">
      <c r="A28" s="6">
        <f t="shared" si="19"/>
        <v>43856</v>
      </c>
      <c r="B28" s="5" t="s">
        <v>48</v>
      </c>
      <c r="C28" s="4">
        <v>13611352</v>
      </c>
      <c r="D28" s="4">
        <v>16302949</v>
      </c>
      <c r="E28" s="4">
        <v>15108000</v>
      </c>
      <c r="F28" s="4">
        <v>15084000</v>
      </c>
      <c r="G28" s="4">
        <v>209183896</v>
      </c>
      <c r="H28" s="4">
        <v>107255</v>
      </c>
      <c r="I28" s="4">
        <v>209183896</v>
      </c>
      <c r="J28" s="4">
        <v>107255</v>
      </c>
      <c r="K28" s="4"/>
      <c r="L28" s="5">
        <v>4246.2</v>
      </c>
      <c r="M28" s="5">
        <v>3385.7</v>
      </c>
      <c r="N28" s="5">
        <v>71895.100000000006</v>
      </c>
      <c r="O28" s="5"/>
      <c r="P28" s="5"/>
      <c r="Q28" s="9">
        <v>17.2</v>
      </c>
      <c r="R28" s="4" t="s">
        <v>53</v>
      </c>
      <c r="S28" s="4">
        <v>660</v>
      </c>
      <c r="T28" s="4">
        <v>700</v>
      </c>
      <c r="U28" s="4">
        <v>6895</v>
      </c>
      <c r="V28" s="4">
        <v>5812</v>
      </c>
      <c r="W28" s="5">
        <v>7.46</v>
      </c>
      <c r="X28" s="5">
        <v>6.74</v>
      </c>
      <c r="Y28" s="4">
        <v>1435</v>
      </c>
      <c r="Z28" s="4"/>
      <c r="AA28" s="11">
        <f t="shared" si="1"/>
        <v>37027</v>
      </c>
      <c r="AB28" s="11">
        <f t="shared" si="2"/>
        <v>39876</v>
      </c>
      <c r="AC28" s="11">
        <f t="shared" si="3"/>
        <v>39000</v>
      </c>
      <c r="AD28" s="11">
        <f t="shared" si="4"/>
        <v>39000</v>
      </c>
      <c r="AE28" s="11">
        <f t="shared" si="5"/>
        <v>154303</v>
      </c>
      <c r="AF28" s="11">
        <f t="shared" si="6"/>
        <v>5414</v>
      </c>
      <c r="AG28" s="11">
        <f t="shared" si="7"/>
        <v>600</v>
      </c>
      <c r="AH28" s="11">
        <f t="shared" si="8"/>
        <v>154488</v>
      </c>
      <c r="AI28" s="15">
        <f t="shared" si="9"/>
        <v>5414</v>
      </c>
      <c r="AJ28" s="15">
        <f t="shared" si="10"/>
        <v>149074</v>
      </c>
      <c r="AK28" s="15">
        <v>2970</v>
      </c>
      <c r="AL28" s="15">
        <f t="shared" si="11"/>
        <v>6204</v>
      </c>
      <c r="AM28" s="15">
        <f t="shared" si="12"/>
        <v>7</v>
      </c>
      <c r="AN28" s="15">
        <f t="shared" si="13"/>
        <v>4686</v>
      </c>
      <c r="AO28" s="15">
        <f t="shared" si="14"/>
        <v>1680</v>
      </c>
      <c r="AP28" s="15">
        <v>2500</v>
      </c>
      <c r="AQ28" s="18">
        <f t="shared" si="15"/>
        <v>41.6</v>
      </c>
      <c r="AR28" s="18">
        <f t="shared" si="16"/>
        <v>0.05</v>
      </c>
      <c r="AS28" s="19">
        <f t="shared" si="17"/>
        <v>31.4</v>
      </c>
      <c r="AT28" s="18">
        <f t="shared" si="18"/>
        <v>11.27</v>
      </c>
    </row>
    <row r="29" spans="1:46">
      <c r="A29" s="6">
        <f t="shared" si="19"/>
        <v>43857</v>
      </c>
      <c r="B29" s="5" t="s">
        <v>48</v>
      </c>
      <c r="C29" s="4">
        <v>13648379</v>
      </c>
      <c r="D29" s="4">
        <v>16342825</v>
      </c>
      <c r="E29" s="4">
        <v>15147000</v>
      </c>
      <c r="F29" s="4">
        <v>15123000</v>
      </c>
      <c r="G29" s="4">
        <v>209338199</v>
      </c>
      <c r="H29" s="4">
        <v>112669</v>
      </c>
      <c r="I29" s="4">
        <v>209338384</v>
      </c>
      <c r="J29" s="4">
        <v>112669</v>
      </c>
      <c r="K29" s="4"/>
      <c r="L29" s="5">
        <v>4246.2</v>
      </c>
      <c r="M29" s="5">
        <v>3390.87</v>
      </c>
      <c r="N29" s="5">
        <v>71898.77</v>
      </c>
      <c r="O29" s="5"/>
      <c r="P29" s="5"/>
      <c r="Q29" s="9">
        <v>16.8</v>
      </c>
      <c r="R29" s="4" t="s">
        <v>56</v>
      </c>
      <c r="S29" s="4">
        <v>400</v>
      </c>
      <c r="T29" s="4">
        <v>450</v>
      </c>
      <c r="U29" s="4">
        <v>7065</v>
      </c>
      <c r="V29" s="4">
        <v>6412</v>
      </c>
      <c r="W29" s="5">
        <v>7.21</v>
      </c>
      <c r="X29" s="5">
        <v>5.77</v>
      </c>
      <c r="Y29" s="4">
        <v>1436</v>
      </c>
      <c r="Z29" s="4"/>
      <c r="AA29" s="11">
        <f t="shared" si="1"/>
        <v>40479</v>
      </c>
      <c r="AB29" s="11">
        <f t="shared" si="2"/>
        <v>44420</v>
      </c>
      <c r="AC29" s="11">
        <f t="shared" si="3"/>
        <v>42000</v>
      </c>
      <c r="AD29" s="11">
        <f t="shared" si="4"/>
        <v>41000</v>
      </c>
      <c r="AE29" s="11">
        <f t="shared" si="5"/>
        <v>161483</v>
      </c>
      <c r="AF29" s="11">
        <f t="shared" si="6"/>
        <v>5257</v>
      </c>
      <c r="AG29" s="11">
        <f t="shared" si="7"/>
        <v>6416</v>
      </c>
      <c r="AH29" s="11">
        <f t="shared" si="8"/>
        <v>160863</v>
      </c>
      <c r="AI29" s="15">
        <f t="shared" si="9"/>
        <v>5257</v>
      </c>
      <c r="AJ29" s="15">
        <f t="shared" si="10"/>
        <v>155606</v>
      </c>
      <c r="AK29" s="15">
        <v>3300</v>
      </c>
      <c r="AL29" s="15">
        <f t="shared" si="11"/>
        <v>11592</v>
      </c>
      <c r="AM29" s="15">
        <f t="shared" si="12"/>
        <v>30</v>
      </c>
      <c r="AN29" s="15">
        <f t="shared" si="13"/>
        <v>2840</v>
      </c>
      <c r="AO29" s="15">
        <f t="shared" si="14"/>
        <v>1080</v>
      </c>
      <c r="AP29" s="15">
        <v>2400</v>
      </c>
      <c r="AQ29" s="18">
        <f t="shared" si="15"/>
        <v>74.5</v>
      </c>
      <c r="AR29" s="18">
        <f t="shared" si="16"/>
        <v>0.19</v>
      </c>
      <c r="AS29" s="19">
        <f t="shared" si="17"/>
        <v>18.3</v>
      </c>
      <c r="AT29" s="18">
        <f t="shared" si="18"/>
        <v>6.94</v>
      </c>
    </row>
    <row r="30" spans="1:46">
      <c r="A30" s="6">
        <f t="shared" si="19"/>
        <v>43858</v>
      </c>
      <c r="B30" s="5" t="s">
        <v>48</v>
      </c>
      <c r="C30" s="4">
        <v>13688858</v>
      </c>
      <c r="D30" s="4">
        <v>16387245</v>
      </c>
      <c r="E30" s="4">
        <v>15189000</v>
      </c>
      <c r="F30" s="4">
        <v>15164000</v>
      </c>
      <c r="G30" s="4">
        <v>209499682</v>
      </c>
      <c r="H30" s="4">
        <v>117926</v>
      </c>
      <c r="I30" s="4">
        <v>209499247</v>
      </c>
      <c r="J30" s="4">
        <v>117926</v>
      </c>
      <c r="K30" s="4"/>
      <c r="L30" s="5">
        <v>4246.2</v>
      </c>
      <c r="M30" s="5">
        <v>3400.53</v>
      </c>
      <c r="N30" s="5">
        <v>71913.61</v>
      </c>
      <c r="O30" s="5"/>
      <c r="P30" s="5"/>
      <c r="Q30" s="9">
        <v>17</v>
      </c>
      <c r="R30" s="4" t="s">
        <v>49</v>
      </c>
      <c r="S30" s="4">
        <v>560</v>
      </c>
      <c r="T30" s="4">
        <v>600</v>
      </c>
      <c r="U30" s="4">
        <v>6945</v>
      </c>
      <c r="V30" s="4">
        <v>6701</v>
      </c>
      <c r="W30" s="5">
        <v>6.87</v>
      </c>
      <c r="X30" s="5">
        <v>5.62</v>
      </c>
      <c r="Y30" s="4">
        <v>1440</v>
      </c>
      <c r="Z30" s="4"/>
      <c r="AA30" s="11">
        <f t="shared" si="1"/>
        <v>39688</v>
      </c>
      <c r="AB30" s="11">
        <f t="shared" si="2"/>
        <v>43233</v>
      </c>
      <c r="AC30" s="11">
        <f t="shared" si="3"/>
        <v>40000</v>
      </c>
      <c r="AD30" s="11">
        <f t="shared" si="4"/>
        <v>40000</v>
      </c>
      <c r="AE30" s="11">
        <f t="shared" si="5"/>
        <v>160499</v>
      </c>
      <c r="AF30" s="11">
        <f t="shared" si="6"/>
        <v>5430</v>
      </c>
      <c r="AG30" s="11">
        <f t="shared" si="7"/>
        <v>2422</v>
      </c>
      <c r="AH30" s="11">
        <f t="shared" si="8"/>
        <v>160934</v>
      </c>
      <c r="AI30" s="15">
        <f t="shared" si="9"/>
        <v>5430</v>
      </c>
      <c r="AJ30" s="15">
        <f t="shared" si="10"/>
        <v>155504</v>
      </c>
      <c r="AK30" s="15">
        <v>3630</v>
      </c>
      <c r="AL30" s="15">
        <f t="shared" si="11"/>
        <v>11148</v>
      </c>
      <c r="AM30" s="15">
        <f t="shared" si="12"/>
        <v>31</v>
      </c>
      <c r="AN30" s="15">
        <f t="shared" si="13"/>
        <v>3976</v>
      </c>
      <c r="AO30" s="15">
        <f t="shared" si="14"/>
        <v>1440</v>
      </c>
      <c r="AP30" s="15">
        <v>2100</v>
      </c>
      <c r="AQ30" s="18">
        <f t="shared" si="15"/>
        <v>71.7</v>
      </c>
      <c r="AR30" s="18">
        <f t="shared" si="16"/>
        <v>0.2</v>
      </c>
      <c r="AS30" s="19">
        <f t="shared" si="17"/>
        <v>25.6</v>
      </c>
      <c r="AT30" s="18">
        <f t="shared" si="18"/>
        <v>9.26</v>
      </c>
    </row>
    <row r="31" spans="1:46">
      <c r="A31" s="6">
        <f t="shared" si="19"/>
        <v>43859</v>
      </c>
      <c r="B31" s="5" t="s">
        <v>48</v>
      </c>
      <c r="C31" s="4">
        <v>13728546</v>
      </c>
      <c r="D31" s="4">
        <v>16430478</v>
      </c>
      <c r="E31" s="4">
        <v>15229000</v>
      </c>
      <c r="F31" s="4">
        <v>15204000</v>
      </c>
      <c r="G31" s="4">
        <v>209660181</v>
      </c>
      <c r="H31" s="4">
        <v>123356</v>
      </c>
      <c r="I31" s="4">
        <v>209660181</v>
      </c>
      <c r="J31" s="4">
        <v>123356</v>
      </c>
      <c r="K31" s="4"/>
      <c r="L31" s="5">
        <v>4246.2</v>
      </c>
      <c r="M31" s="5">
        <v>3409.82</v>
      </c>
      <c r="N31" s="5">
        <v>71929.119999999995</v>
      </c>
      <c r="O31" s="5"/>
      <c r="P31" s="5"/>
      <c r="Q31" s="9">
        <v>17.8</v>
      </c>
      <c r="R31" s="4" t="s">
        <v>44</v>
      </c>
      <c r="S31" s="4">
        <v>600</v>
      </c>
      <c r="T31" s="4">
        <v>580</v>
      </c>
      <c r="U31" s="4">
        <v>7025</v>
      </c>
      <c r="V31" s="4">
        <v>6489</v>
      </c>
      <c r="W31" s="5">
        <v>5.47</v>
      </c>
      <c r="X31" s="5">
        <v>5.0999999999999996</v>
      </c>
      <c r="Y31" s="4">
        <v>1440</v>
      </c>
      <c r="Z31" s="4"/>
      <c r="AA31" s="11">
        <f t="shared" si="1"/>
        <v>39684</v>
      </c>
      <c r="AB31" s="11">
        <f t="shared" si="2"/>
        <v>42639</v>
      </c>
      <c r="AC31" s="11">
        <f t="shared" si="3"/>
        <v>41000</v>
      </c>
      <c r="AD31" s="11">
        <f t="shared" si="4"/>
        <v>40000</v>
      </c>
      <c r="AE31" s="11">
        <f t="shared" si="5"/>
        <v>158775</v>
      </c>
      <c r="AF31" s="11">
        <f t="shared" si="6"/>
        <v>5457</v>
      </c>
      <c r="AG31" s="11">
        <f t="shared" si="7"/>
        <v>4548</v>
      </c>
      <c r="AH31" s="11">
        <f t="shared" si="8"/>
        <v>158775</v>
      </c>
      <c r="AI31" s="15">
        <f t="shared" si="9"/>
        <v>5457</v>
      </c>
      <c r="AJ31" s="15">
        <f t="shared" si="10"/>
        <v>153318</v>
      </c>
      <c r="AK31" s="15">
        <v>3560</v>
      </c>
      <c r="AL31" s="15">
        <f t="shared" si="11"/>
        <v>10188</v>
      </c>
      <c r="AM31" s="15">
        <f t="shared" si="12"/>
        <v>18</v>
      </c>
      <c r="AN31" s="15">
        <f t="shared" si="13"/>
        <v>4260</v>
      </c>
      <c r="AO31" s="15">
        <f t="shared" si="14"/>
        <v>1392</v>
      </c>
      <c r="AP31" s="15">
        <v>2300</v>
      </c>
      <c r="AQ31" s="18">
        <f t="shared" si="15"/>
        <v>66.5</v>
      </c>
      <c r="AR31" s="18">
        <f t="shared" si="16"/>
        <v>0.12</v>
      </c>
      <c r="AS31" s="19">
        <f t="shared" si="17"/>
        <v>27.8</v>
      </c>
      <c r="AT31" s="18">
        <f t="shared" si="18"/>
        <v>9.08</v>
      </c>
    </row>
    <row r="32" spans="1:46">
      <c r="A32" s="6">
        <f t="shared" si="19"/>
        <v>43860</v>
      </c>
      <c r="B32" s="5" t="s">
        <v>47</v>
      </c>
      <c r="C32" s="4">
        <v>13768230</v>
      </c>
      <c r="D32" s="4">
        <v>16473117</v>
      </c>
      <c r="E32" s="4">
        <v>15270000</v>
      </c>
      <c r="F32" s="4">
        <v>15244000</v>
      </c>
      <c r="G32" s="4">
        <v>209818956</v>
      </c>
      <c r="H32" s="4">
        <v>128813</v>
      </c>
      <c r="I32" s="4">
        <v>209818956</v>
      </c>
      <c r="J32" s="4">
        <v>128813</v>
      </c>
      <c r="K32" s="4"/>
      <c r="L32" s="5">
        <v>4246.2</v>
      </c>
      <c r="M32" s="5">
        <v>3418.31</v>
      </c>
      <c r="N32" s="5">
        <v>71938.3</v>
      </c>
      <c r="O32" s="5"/>
      <c r="P32" s="5"/>
      <c r="Q32" s="9">
        <v>18</v>
      </c>
      <c r="R32" s="4" t="s">
        <v>44</v>
      </c>
      <c r="S32" s="4">
        <v>450</v>
      </c>
      <c r="T32" s="4">
        <v>440</v>
      </c>
      <c r="U32" s="4">
        <v>6462</v>
      </c>
      <c r="V32" s="4">
        <v>6234</v>
      </c>
      <c r="W32" s="5">
        <v>5.27</v>
      </c>
      <c r="X32" s="5">
        <v>3.8</v>
      </c>
      <c r="Y32" s="4">
        <v>1440</v>
      </c>
      <c r="Z32" s="4"/>
      <c r="AA32" s="11">
        <f t="shared" si="1"/>
        <v>35058</v>
      </c>
      <c r="AB32" s="11">
        <f t="shared" si="2"/>
        <v>37837</v>
      </c>
      <c r="AC32" s="11">
        <f t="shared" si="3"/>
        <v>35000</v>
      </c>
      <c r="AD32" s="11">
        <f t="shared" si="4"/>
        <v>35000</v>
      </c>
      <c r="AE32" s="11">
        <f t="shared" si="5"/>
        <v>142883</v>
      </c>
      <c r="AF32" s="11">
        <f t="shared" si="6"/>
        <v>5492</v>
      </c>
      <c r="AG32" s="11">
        <f t="shared" si="7"/>
        <v>12</v>
      </c>
      <c r="AH32" s="11">
        <f t="shared" si="8"/>
        <v>142883</v>
      </c>
      <c r="AI32" s="15">
        <f t="shared" si="9"/>
        <v>5492</v>
      </c>
      <c r="AJ32" s="15">
        <f t="shared" si="10"/>
        <v>137391</v>
      </c>
      <c r="AK32" s="15">
        <v>3500</v>
      </c>
      <c r="AL32" s="15">
        <f t="shared" si="11"/>
        <v>12036</v>
      </c>
      <c r="AM32" s="15">
        <f t="shared" si="12"/>
        <v>0</v>
      </c>
      <c r="AN32" s="15">
        <f t="shared" si="13"/>
        <v>3195</v>
      </c>
      <c r="AO32" s="15">
        <f t="shared" si="14"/>
        <v>1056</v>
      </c>
      <c r="AP32" s="15">
        <v>2100</v>
      </c>
      <c r="AQ32" s="18">
        <f t="shared" si="15"/>
        <v>87.6</v>
      </c>
      <c r="AR32" s="18">
        <f t="shared" si="16"/>
        <v>0</v>
      </c>
      <c r="AS32" s="19">
        <f t="shared" si="17"/>
        <v>23.3</v>
      </c>
      <c r="AT32" s="18">
        <f t="shared" si="18"/>
        <v>7.69</v>
      </c>
    </row>
    <row r="33" spans="1:46">
      <c r="A33" s="6">
        <f t="shared" si="19"/>
        <v>43861</v>
      </c>
      <c r="B33" s="5" t="s">
        <v>46</v>
      </c>
      <c r="C33" s="4">
        <v>13803288</v>
      </c>
      <c r="D33" s="4">
        <v>16510954</v>
      </c>
      <c r="E33" s="4">
        <v>15305000</v>
      </c>
      <c r="F33" s="4">
        <v>15279000</v>
      </c>
      <c r="G33" s="4">
        <v>209961839</v>
      </c>
      <c r="H33" s="4">
        <v>134305</v>
      </c>
      <c r="I33" s="4">
        <v>209961839</v>
      </c>
      <c r="J33" s="4">
        <v>134305</v>
      </c>
      <c r="K33" s="4"/>
      <c r="L33" s="5">
        <v>4246.2</v>
      </c>
      <c r="M33" s="5">
        <v>3428.34</v>
      </c>
      <c r="N33" s="5">
        <v>71938.33</v>
      </c>
      <c r="O33" s="5"/>
      <c r="P33" s="5"/>
      <c r="Q33" s="9">
        <v>16</v>
      </c>
      <c r="R33" s="4" t="s">
        <v>57</v>
      </c>
      <c r="S33" s="4">
        <v>520</v>
      </c>
      <c r="T33" s="4">
        <v>500</v>
      </c>
      <c r="U33" s="4">
        <v>7375</v>
      </c>
      <c r="V33" s="4">
        <v>4230</v>
      </c>
      <c r="W33" s="5">
        <v>4.9000000000000004</v>
      </c>
      <c r="X33" s="5">
        <v>2.74</v>
      </c>
      <c r="Y33" s="4">
        <v>780</v>
      </c>
      <c r="Z33" s="4"/>
      <c r="AA33" s="11">
        <f t="shared" si="1"/>
        <v>36028</v>
      </c>
      <c r="AB33" s="11">
        <f t="shared" si="2"/>
        <v>39098</v>
      </c>
      <c r="AC33" s="11">
        <f t="shared" si="3"/>
        <v>39000</v>
      </c>
      <c r="AD33" s="11">
        <f t="shared" si="4"/>
        <v>39000</v>
      </c>
      <c r="AE33" s="11">
        <f t="shared" si="5"/>
        <v>143636</v>
      </c>
      <c r="AF33" s="11">
        <f t="shared" si="6"/>
        <v>5405</v>
      </c>
      <c r="AG33" s="11">
        <f t="shared" si="7"/>
        <v>9490</v>
      </c>
      <c r="AH33" s="11">
        <f t="shared" si="8"/>
        <v>143636</v>
      </c>
      <c r="AI33" s="15">
        <f t="shared" si="9"/>
        <v>5405</v>
      </c>
      <c r="AJ33" s="15">
        <f t="shared" si="10"/>
        <v>138231</v>
      </c>
      <c r="AK33" s="15">
        <v>2970</v>
      </c>
      <c r="AL33" s="15">
        <f t="shared" si="11"/>
        <v>14124</v>
      </c>
      <c r="AM33" s="15">
        <f t="shared" si="12"/>
        <v>22</v>
      </c>
      <c r="AN33" s="15">
        <f t="shared" si="13"/>
        <v>3692</v>
      </c>
      <c r="AO33" s="15">
        <f t="shared" si="14"/>
        <v>1200</v>
      </c>
      <c r="AP33" s="15">
        <v>1700</v>
      </c>
      <c r="AQ33" s="18">
        <f t="shared" si="15"/>
        <v>102.2</v>
      </c>
      <c r="AR33" s="18">
        <f t="shared" si="16"/>
        <v>0.16</v>
      </c>
      <c r="AS33" s="19">
        <f t="shared" si="17"/>
        <v>26.7</v>
      </c>
      <c r="AT33" s="18">
        <f t="shared" si="18"/>
        <v>8.68</v>
      </c>
    </row>
    <row r="34" spans="1:46">
      <c r="A34" s="6">
        <f t="shared" si="19"/>
        <v>43862</v>
      </c>
      <c r="B34" s="5" t="s">
        <v>48</v>
      </c>
      <c r="C34" s="4">
        <v>13839316</v>
      </c>
      <c r="D34" s="4">
        <v>16550052</v>
      </c>
      <c r="E34" s="4">
        <v>15344000</v>
      </c>
      <c r="F34" s="4">
        <v>15318000</v>
      </c>
      <c r="G34" s="4">
        <v>210105475</v>
      </c>
      <c r="H34" s="4">
        <v>139710</v>
      </c>
      <c r="I34" s="4">
        <v>210105475</v>
      </c>
      <c r="J34" s="4">
        <v>139710</v>
      </c>
      <c r="K34" s="4"/>
      <c r="L34" s="5">
        <v>4246.2</v>
      </c>
      <c r="M34" s="5">
        <v>3440.11</v>
      </c>
      <c r="N34" s="5">
        <v>71949.47</v>
      </c>
      <c r="O34" s="5"/>
      <c r="P34" s="5"/>
      <c r="Q34" s="9"/>
      <c r="R34" s="4"/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20">IF(OR(C37=""),"",C37-C36)</f>
        <v/>
      </c>
      <c r="AB36" s="13" t="str">
        <f t="shared" si="20"/>
        <v/>
      </c>
      <c r="AC36" s="13" t="str">
        <f t="shared" si="20"/>
        <v/>
      </c>
      <c r="AD36" s="13" t="str">
        <f t="shared" si="20"/>
        <v/>
      </c>
      <c r="AE36" s="13" t="str">
        <f t="shared" si="20"/>
        <v/>
      </c>
      <c r="AF36" s="13" t="str">
        <f t="shared" si="20"/>
        <v/>
      </c>
      <c r="AG36" s="13" t="str">
        <f>IF(OR(AA36="",AB36="",AC36=""),"",AA36+AB36+AC36+AD36-AE36)</f>
        <v/>
      </c>
      <c r="AH36" s="17">
        <f t="shared" ref="AH36:AO36" si="21">SUM(AH3:AH34)</f>
        <v>4641777</v>
      </c>
      <c r="AI36" s="17">
        <f t="shared" si="21"/>
        <v>165576</v>
      </c>
      <c r="AJ36" s="17">
        <f t="shared" si="21"/>
        <v>4476201</v>
      </c>
      <c r="AK36" s="17">
        <f t="shared" si="21"/>
        <v>51755</v>
      </c>
      <c r="AL36" s="17">
        <f t="shared" si="21"/>
        <v>196152</v>
      </c>
      <c r="AM36" s="17">
        <f t="shared" si="21"/>
        <v>664</v>
      </c>
      <c r="AN36" s="17">
        <f t="shared" si="21"/>
        <v>116085</v>
      </c>
      <c r="AO36" s="17">
        <f t="shared" si="21"/>
        <v>40968</v>
      </c>
      <c r="AP36" s="17"/>
      <c r="AQ36" s="22">
        <f>IF(OR($AJ36=0),"",ROUND(AL36/$AJ36*1000,1))</f>
        <v>43.8</v>
      </c>
      <c r="AR36" s="22">
        <f>IF(OR($AJ36=0),"",ROUND(AM36/$AJ36*1000,2))</f>
        <v>0.15</v>
      </c>
      <c r="AS36" s="23">
        <f>IF(OR($AJ36=0),"",ROUND(AN36/$AJ36*1000,1))</f>
        <v>25.9</v>
      </c>
      <c r="AT36" s="22">
        <f>IF(OR($AJ36=0),"",ROUND(AO36/$AJ36*1000,2))</f>
        <v>9.15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ignoredErrors>
    <ignoredError sqref="AR36:AT36 AR3:AS3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T42"/>
  <sheetViews>
    <sheetView showGridLines="0" zoomScale="110" zoomScaleNormal="110" workbookViewId="0">
      <pane xSplit="2" ySplit="2" topLeftCell="C3" activePane="bottomRight" state="frozen"/>
      <selection pane="topRight"/>
      <selection pane="bottomLeft"/>
      <selection pane="bottomRight" activeCell="AI8" sqref="AI8"/>
    </sheetView>
  </sheetViews>
  <sheetFormatPr defaultColWidth="10.6640625" defaultRowHeight="13.2"/>
  <cols>
    <col min="1" max="1" width="7.109375" style="1" customWidth="1"/>
    <col min="2" max="2" width="8.6640625" style="2" customWidth="1"/>
    <col min="3" max="3" width="10.6640625" style="1" customWidth="1"/>
    <col min="4" max="4" width="10.77734375" style="1" customWidth="1"/>
    <col min="5" max="5" width="11.6640625" style="1" customWidth="1"/>
    <col min="6" max="6" width="11.21875" style="1" customWidth="1"/>
    <col min="7" max="7" width="11.88671875" style="1" customWidth="1"/>
    <col min="8" max="8" width="9.6640625" style="1" customWidth="1"/>
    <col min="9" max="9" width="11.88671875" style="1" customWidth="1"/>
    <col min="10" max="10" width="8.8867187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75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43862</v>
      </c>
      <c r="B3" s="7" t="str">
        <f>'1'!B34</f>
        <v>陈智娇</v>
      </c>
      <c r="C3" s="7">
        <f>'1'!C34</f>
        <v>13839316</v>
      </c>
      <c r="D3" s="7">
        <f>'1'!D34</f>
        <v>16550052</v>
      </c>
      <c r="E3" s="7">
        <f>'1'!E34</f>
        <v>15344000</v>
      </c>
      <c r="F3" s="7">
        <f>'1'!F34</f>
        <v>15318000</v>
      </c>
      <c r="G3" s="7">
        <f>'1'!G34</f>
        <v>210105475</v>
      </c>
      <c r="H3" s="7">
        <f>'1'!H34</f>
        <v>139710</v>
      </c>
      <c r="I3" s="7">
        <f>'1'!I34</f>
        <v>210105475</v>
      </c>
      <c r="J3" s="7">
        <f>'1'!J34</f>
        <v>139710</v>
      </c>
      <c r="K3" s="7">
        <f>'1'!K34</f>
        <v>0</v>
      </c>
      <c r="L3" s="7">
        <f>'1'!L34</f>
        <v>4246.2</v>
      </c>
      <c r="M3" s="7">
        <f>'1'!M34</f>
        <v>3440.11</v>
      </c>
      <c r="N3" s="7">
        <f>'1'!N34</f>
        <v>71949.47</v>
      </c>
      <c r="O3" s="7">
        <f>'1'!O34</f>
        <v>0</v>
      </c>
      <c r="P3" s="7">
        <f>'1'!P34</f>
        <v>0</v>
      </c>
      <c r="Q3" s="7">
        <v>17</v>
      </c>
      <c r="R3" s="7" t="s">
        <v>59</v>
      </c>
      <c r="S3" s="4">
        <v>640</v>
      </c>
      <c r="T3" s="4">
        <v>620</v>
      </c>
      <c r="U3" s="4">
        <v>7012</v>
      </c>
      <c r="V3" s="4">
        <v>5741</v>
      </c>
      <c r="W3" s="5">
        <v>6.15</v>
      </c>
      <c r="X3" s="5">
        <v>4.5599999999999996</v>
      </c>
      <c r="Y3" s="4">
        <v>1440</v>
      </c>
      <c r="Z3" s="4"/>
      <c r="AA3" s="11">
        <f t="shared" ref="AA3:AF3" si="0">IF(OR(C4=""),"",C4-C3)</f>
        <v>37428</v>
      </c>
      <c r="AB3" s="11">
        <f t="shared" si="0"/>
        <v>40200</v>
      </c>
      <c r="AC3" s="11">
        <f t="shared" si="0"/>
        <v>42000</v>
      </c>
      <c r="AD3" s="11">
        <f t="shared" si="0"/>
        <v>41000</v>
      </c>
      <c r="AE3" s="11">
        <f t="shared" si="0"/>
        <v>160492</v>
      </c>
      <c r="AF3" s="11">
        <f t="shared" si="0"/>
        <v>5524</v>
      </c>
      <c r="AG3" s="11">
        <f t="shared" ref="AG3:AG32" si="1">IF(OR(AA3="",AB3="",AC3=""),"",AA3+AB3+AC3+AD3-AE3)</f>
        <v>136</v>
      </c>
      <c r="AH3" s="11">
        <f t="shared" ref="AH3:AH32" si="2">IF(OR(I4=""),"",I4-I3)</f>
        <v>160492</v>
      </c>
      <c r="AI3" s="15">
        <f t="shared" ref="AI3:AI32" si="3">IF(OR(J4=""),"",J4-J3)</f>
        <v>5524</v>
      </c>
      <c r="AJ3" s="15">
        <f t="shared" ref="AJ3:AJ32" si="4">IF(OR(AH3="",AI3=""),"",AH3-AI3)</f>
        <v>154968</v>
      </c>
      <c r="AK3" s="15">
        <v>2875</v>
      </c>
      <c r="AL3" s="15">
        <f t="shared" ref="AL3:AL32" si="5">IF(OR(L4="",M4=""),"",ROUND((L4-L3+M4-M3)*1200,0))</f>
        <v>11868</v>
      </c>
      <c r="AM3" s="15">
        <f t="shared" ref="AM3:AM32" si="6">IF(OR(N4=""),"",(ROUND((N4-N3)*2,0)))</f>
        <v>37</v>
      </c>
      <c r="AN3" s="15">
        <f t="shared" ref="AN3:AN32" si="7">IF(OR(S3=""),"",ROUND(S3*7.1,0))</f>
        <v>4544</v>
      </c>
      <c r="AO3" s="15">
        <f t="shared" ref="AO3:AO32" si="8">IF(OR(T3=""),"",ROUND(T3*2.4,0))</f>
        <v>1488</v>
      </c>
      <c r="AP3" s="15">
        <v>3250</v>
      </c>
      <c r="AQ3" s="18">
        <f t="shared" ref="AQ3:AQ32" si="9">IF(OR($AJ3=""),"",ROUND(AL3/$AJ3*1000,1))</f>
        <v>76.599999999999994</v>
      </c>
      <c r="AR3" s="18">
        <f t="shared" ref="AR3:AR32" si="10">IF(OR($AJ3=""),"",ROUND(AM3/$AJ3*1000,2))</f>
        <v>0.24</v>
      </c>
      <c r="AS3" s="19">
        <f t="shared" ref="AS3:AS32" si="11">IF(OR($AJ3=""),"",ROUND(AN3/$AJ3*1000,1))</f>
        <v>29.3</v>
      </c>
      <c r="AT3" s="18">
        <f t="shared" ref="AT3:AT32" si="12">IF(OR($AJ3=""),"",ROUND(AO3/$AJ3*1000,2))</f>
        <v>9.6</v>
      </c>
    </row>
    <row r="4" spans="1:46">
      <c r="A4" s="6">
        <f>A3+1</f>
        <v>43863</v>
      </c>
      <c r="B4" s="5" t="s">
        <v>58</v>
      </c>
      <c r="C4" s="4">
        <v>13876744</v>
      </c>
      <c r="D4" s="4">
        <v>16590252</v>
      </c>
      <c r="E4" s="4">
        <v>15386000</v>
      </c>
      <c r="F4" s="4">
        <v>15359000</v>
      </c>
      <c r="G4" s="4">
        <v>210265967</v>
      </c>
      <c r="H4" s="4">
        <v>145234</v>
      </c>
      <c r="I4" s="4">
        <v>210265967</v>
      </c>
      <c r="J4" s="4">
        <v>145234</v>
      </c>
      <c r="K4" s="4"/>
      <c r="L4" s="5">
        <v>4246.2</v>
      </c>
      <c r="M4" s="5">
        <v>3450</v>
      </c>
      <c r="N4" s="5">
        <v>71967.81</v>
      </c>
      <c r="O4" s="5"/>
      <c r="P4" s="5"/>
      <c r="Q4" s="9">
        <v>17.100000000000001</v>
      </c>
      <c r="R4" s="4" t="s">
        <v>60</v>
      </c>
      <c r="S4" s="4">
        <v>660</v>
      </c>
      <c r="T4" s="4">
        <v>650</v>
      </c>
      <c r="U4" s="4">
        <v>6834</v>
      </c>
      <c r="V4" s="4">
        <v>5412</v>
      </c>
      <c r="W4" s="5">
        <v>4.5999999999999996</v>
      </c>
      <c r="X4" s="5">
        <v>3.56</v>
      </c>
      <c r="Y4" s="4">
        <v>1440</v>
      </c>
      <c r="Z4" s="4"/>
      <c r="AA4" s="11">
        <f t="shared" ref="AA4:AF4" si="13">IF(OR(C5=""),"",C5-C4)</f>
        <v>36733</v>
      </c>
      <c r="AB4" s="11">
        <f t="shared" si="13"/>
        <v>39255</v>
      </c>
      <c r="AC4" s="11">
        <f t="shared" si="13"/>
        <v>42000</v>
      </c>
      <c r="AD4" s="11">
        <f t="shared" si="13"/>
        <v>41000</v>
      </c>
      <c r="AE4" s="11">
        <f t="shared" si="13"/>
        <v>151879</v>
      </c>
      <c r="AF4" s="11">
        <f t="shared" si="13"/>
        <v>5408</v>
      </c>
      <c r="AG4" s="11">
        <f t="shared" si="1"/>
        <v>7109</v>
      </c>
      <c r="AH4" s="11">
        <f t="shared" si="2"/>
        <v>151879</v>
      </c>
      <c r="AI4" s="15">
        <f t="shared" si="3"/>
        <v>5408</v>
      </c>
      <c r="AJ4" s="15">
        <f t="shared" si="4"/>
        <v>146471</v>
      </c>
      <c r="AK4" s="15">
        <v>3110</v>
      </c>
      <c r="AL4" s="15">
        <f t="shared" si="5"/>
        <v>12228</v>
      </c>
      <c r="AM4" s="15">
        <f t="shared" si="6"/>
        <v>36</v>
      </c>
      <c r="AN4" s="15">
        <f t="shared" si="7"/>
        <v>4686</v>
      </c>
      <c r="AO4" s="15">
        <f t="shared" si="8"/>
        <v>1560</v>
      </c>
      <c r="AP4" s="15">
        <v>2980</v>
      </c>
      <c r="AQ4" s="18">
        <f t="shared" si="9"/>
        <v>83.5</v>
      </c>
      <c r="AR4" s="18">
        <f t="shared" si="10"/>
        <v>0.25</v>
      </c>
      <c r="AS4" s="19">
        <f t="shared" si="11"/>
        <v>32</v>
      </c>
      <c r="AT4" s="18">
        <f t="shared" si="12"/>
        <v>10.65</v>
      </c>
    </row>
    <row r="5" spans="1:46">
      <c r="A5" s="6">
        <f t="shared" ref="A5:A30" si="14">A4+1</f>
        <v>43864</v>
      </c>
      <c r="B5" s="5" t="s">
        <v>48</v>
      </c>
      <c r="C5" s="4">
        <v>13913477</v>
      </c>
      <c r="D5" s="4">
        <v>16629507</v>
      </c>
      <c r="E5" s="4">
        <v>15428000</v>
      </c>
      <c r="F5" s="4">
        <v>15400000</v>
      </c>
      <c r="G5" s="4">
        <v>210417846</v>
      </c>
      <c r="H5" s="4">
        <v>150642</v>
      </c>
      <c r="I5" s="4">
        <v>210417846</v>
      </c>
      <c r="J5" s="4">
        <v>150642</v>
      </c>
      <c r="K5" s="4"/>
      <c r="L5" s="5">
        <v>4246.2</v>
      </c>
      <c r="M5" s="5">
        <v>3460.19</v>
      </c>
      <c r="N5" s="5">
        <v>71985.73</v>
      </c>
      <c r="O5" s="5"/>
      <c r="P5" s="5"/>
      <c r="Q5" s="9">
        <v>16.5</v>
      </c>
      <c r="R5" s="4" t="s">
        <v>44</v>
      </c>
      <c r="S5" s="4">
        <v>590</v>
      </c>
      <c r="T5" s="4">
        <v>570</v>
      </c>
      <c r="U5" s="4">
        <v>6678</v>
      </c>
      <c r="V5" s="4">
        <v>5514</v>
      </c>
      <c r="W5" s="5">
        <v>4.8</v>
      </c>
      <c r="X5" s="5">
        <v>3.31</v>
      </c>
      <c r="Y5" s="4">
        <v>1440</v>
      </c>
      <c r="Z5" s="4"/>
      <c r="AA5" s="11">
        <f t="shared" ref="AA5:AF5" si="15">IF(OR(C6=""),"",C6-C5)</f>
        <v>33634</v>
      </c>
      <c r="AB5" s="11">
        <f t="shared" si="15"/>
        <v>36139</v>
      </c>
      <c r="AC5" s="11">
        <f t="shared" si="15"/>
        <v>38000</v>
      </c>
      <c r="AD5" s="11">
        <f t="shared" si="15"/>
        <v>38000</v>
      </c>
      <c r="AE5" s="11">
        <f t="shared" si="15"/>
        <v>143023</v>
      </c>
      <c r="AF5" s="11">
        <f t="shared" si="15"/>
        <v>5477</v>
      </c>
      <c r="AG5" s="11">
        <f t="shared" si="1"/>
        <v>2750</v>
      </c>
      <c r="AH5" s="11">
        <f t="shared" si="2"/>
        <v>143023</v>
      </c>
      <c r="AI5" s="15">
        <f t="shared" si="3"/>
        <v>5477</v>
      </c>
      <c r="AJ5" s="15">
        <f t="shared" si="4"/>
        <v>137546</v>
      </c>
      <c r="AK5" s="15">
        <v>2805</v>
      </c>
      <c r="AL5" s="15">
        <f t="shared" si="5"/>
        <v>12504</v>
      </c>
      <c r="AM5" s="15">
        <f t="shared" si="6"/>
        <v>49</v>
      </c>
      <c r="AN5" s="15">
        <f t="shared" si="7"/>
        <v>4189</v>
      </c>
      <c r="AO5" s="15">
        <f t="shared" si="8"/>
        <v>1368</v>
      </c>
      <c r="AP5" s="15">
        <v>3030</v>
      </c>
      <c r="AQ5" s="18">
        <f t="shared" si="9"/>
        <v>90.9</v>
      </c>
      <c r="AR5" s="18">
        <f t="shared" si="10"/>
        <v>0.36</v>
      </c>
      <c r="AS5" s="19">
        <f t="shared" si="11"/>
        <v>30.5</v>
      </c>
      <c r="AT5" s="18">
        <f t="shared" si="12"/>
        <v>9.9499999999999993</v>
      </c>
    </row>
    <row r="6" spans="1:46">
      <c r="A6" s="6">
        <f t="shared" si="14"/>
        <v>43865</v>
      </c>
      <c r="B6" s="5" t="s">
        <v>48</v>
      </c>
      <c r="C6" s="4">
        <v>13947111</v>
      </c>
      <c r="D6" s="4">
        <v>16665646</v>
      </c>
      <c r="E6" s="4">
        <v>15466000</v>
      </c>
      <c r="F6" s="4">
        <v>15438000</v>
      </c>
      <c r="G6" s="4">
        <v>210560869</v>
      </c>
      <c r="H6" s="4">
        <v>156119</v>
      </c>
      <c r="I6" s="4">
        <v>210560869</v>
      </c>
      <c r="J6" s="4">
        <v>156119</v>
      </c>
      <c r="K6" s="4"/>
      <c r="L6" s="5">
        <v>4246.2</v>
      </c>
      <c r="M6" s="5">
        <v>3470.61</v>
      </c>
      <c r="N6" s="5">
        <v>72010.09</v>
      </c>
      <c r="O6" s="5"/>
      <c r="P6" s="5"/>
      <c r="Q6" s="9">
        <v>18.600000000000001</v>
      </c>
      <c r="R6" s="4" t="s">
        <v>44</v>
      </c>
      <c r="S6" s="4">
        <v>470</v>
      </c>
      <c r="T6" s="4">
        <v>460</v>
      </c>
      <c r="U6" s="4">
        <v>6801</v>
      </c>
      <c r="V6" s="4">
        <v>3456</v>
      </c>
      <c r="W6" s="5">
        <v>4.5</v>
      </c>
      <c r="X6" s="5">
        <v>2.96</v>
      </c>
      <c r="Y6" s="4">
        <v>1320</v>
      </c>
      <c r="Z6" s="4"/>
      <c r="AA6" s="11">
        <f t="shared" ref="AA6:AF6" si="16">IF(OR(C7=""),"",C7-C6)</f>
        <v>31673</v>
      </c>
      <c r="AB6" s="11">
        <f t="shared" si="16"/>
        <v>33883</v>
      </c>
      <c r="AC6" s="11">
        <f t="shared" si="16"/>
        <v>40000</v>
      </c>
      <c r="AD6" s="11">
        <f t="shared" si="16"/>
        <v>40000</v>
      </c>
      <c r="AE6" s="11">
        <f t="shared" si="16"/>
        <v>143235</v>
      </c>
      <c r="AF6" s="11">
        <f t="shared" si="16"/>
        <v>5377</v>
      </c>
      <c r="AG6" s="11">
        <f t="shared" si="1"/>
        <v>2321</v>
      </c>
      <c r="AH6" s="11">
        <f t="shared" si="2"/>
        <v>143235</v>
      </c>
      <c r="AI6" s="15">
        <f t="shared" si="3"/>
        <v>5377</v>
      </c>
      <c r="AJ6" s="15">
        <f t="shared" si="4"/>
        <v>137858</v>
      </c>
      <c r="AK6" s="15">
        <v>3300</v>
      </c>
      <c r="AL6" s="15">
        <f t="shared" si="5"/>
        <v>12900</v>
      </c>
      <c r="AM6" s="15">
        <f t="shared" si="6"/>
        <v>48</v>
      </c>
      <c r="AN6" s="15">
        <f t="shared" si="7"/>
        <v>3337</v>
      </c>
      <c r="AO6" s="15">
        <f t="shared" si="8"/>
        <v>1104</v>
      </c>
      <c r="AP6" s="15">
        <v>2560</v>
      </c>
      <c r="AQ6" s="18">
        <f t="shared" si="9"/>
        <v>93.6</v>
      </c>
      <c r="AR6" s="18">
        <f t="shared" si="10"/>
        <v>0.35</v>
      </c>
      <c r="AS6" s="19">
        <f t="shared" si="11"/>
        <v>24.2</v>
      </c>
      <c r="AT6" s="18">
        <f t="shared" si="12"/>
        <v>8.01</v>
      </c>
    </row>
    <row r="7" spans="1:46">
      <c r="A7" s="6">
        <f t="shared" si="14"/>
        <v>43866</v>
      </c>
      <c r="B7" s="5" t="s">
        <v>48</v>
      </c>
      <c r="C7" s="4">
        <v>13978784</v>
      </c>
      <c r="D7" s="4">
        <v>16699529</v>
      </c>
      <c r="E7" s="4">
        <v>15506000</v>
      </c>
      <c r="F7" s="4">
        <v>15478000</v>
      </c>
      <c r="G7" s="4">
        <v>210704104</v>
      </c>
      <c r="H7" s="4">
        <v>161496</v>
      </c>
      <c r="I7" s="4">
        <v>210704104</v>
      </c>
      <c r="J7" s="4">
        <v>161496</v>
      </c>
      <c r="K7" s="4"/>
      <c r="L7" s="5">
        <v>4246.2</v>
      </c>
      <c r="M7" s="5">
        <v>3481.36</v>
      </c>
      <c r="N7" s="5">
        <v>72034.19</v>
      </c>
      <c r="O7" s="5"/>
      <c r="P7" s="5"/>
      <c r="Q7" s="9">
        <v>16</v>
      </c>
      <c r="R7" s="4" t="s">
        <v>61</v>
      </c>
      <c r="S7" s="4">
        <v>340</v>
      </c>
      <c r="T7" s="4">
        <v>320</v>
      </c>
      <c r="U7" s="4">
        <v>6506</v>
      </c>
      <c r="V7" s="4">
        <v>3435</v>
      </c>
      <c r="W7" s="5">
        <v>4.12</v>
      </c>
      <c r="X7" s="5">
        <v>2.69</v>
      </c>
      <c r="Y7" s="4">
        <v>1320</v>
      </c>
      <c r="Z7" s="4"/>
      <c r="AA7" s="11">
        <f t="shared" ref="AA7:AF7" si="17">IF(OR(C8=""),"",C8-C7)</f>
        <v>27921</v>
      </c>
      <c r="AB7" s="11">
        <f t="shared" si="17"/>
        <v>30199</v>
      </c>
      <c r="AC7" s="11">
        <f t="shared" si="17"/>
        <v>36000</v>
      </c>
      <c r="AD7" s="11">
        <f t="shared" si="17"/>
        <v>37000</v>
      </c>
      <c r="AE7" s="11">
        <f t="shared" si="17"/>
        <v>128783</v>
      </c>
      <c r="AF7" s="11">
        <f t="shared" si="17"/>
        <v>5455</v>
      </c>
      <c r="AG7" s="11">
        <f t="shared" si="1"/>
        <v>2337</v>
      </c>
      <c r="AH7" s="11">
        <f t="shared" si="2"/>
        <v>128783</v>
      </c>
      <c r="AI7" s="15">
        <f t="shared" si="3"/>
        <v>5455</v>
      </c>
      <c r="AJ7" s="15">
        <f t="shared" si="4"/>
        <v>123328</v>
      </c>
      <c r="AK7" s="15">
        <v>3820</v>
      </c>
      <c r="AL7" s="15">
        <f t="shared" si="5"/>
        <v>13104</v>
      </c>
      <c r="AM7" s="15">
        <f t="shared" si="6"/>
        <v>50</v>
      </c>
      <c r="AN7" s="15">
        <f t="shared" si="7"/>
        <v>2414</v>
      </c>
      <c r="AO7" s="15">
        <f t="shared" si="8"/>
        <v>768</v>
      </c>
      <c r="AP7" s="15">
        <v>2980</v>
      </c>
      <c r="AQ7" s="18">
        <f t="shared" si="9"/>
        <v>106.3</v>
      </c>
      <c r="AR7" s="18">
        <f t="shared" si="10"/>
        <v>0.41</v>
      </c>
      <c r="AS7" s="19">
        <f t="shared" si="11"/>
        <v>19.600000000000001</v>
      </c>
      <c r="AT7" s="18">
        <f t="shared" si="12"/>
        <v>6.23</v>
      </c>
    </row>
    <row r="8" spans="1:46">
      <c r="A8" s="6">
        <f t="shared" si="14"/>
        <v>43867</v>
      </c>
      <c r="B8" s="5" t="s">
        <v>62</v>
      </c>
      <c r="C8" s="4">
        <v>14006705</v>
      </c>
      <c r="D8" s="4">
        <v>16729728</v>
      </c>
      <c r="E8" s="4">
        <v>15542000</v>
      </c>
      <c r="F8" s="4">
        <v>15515000</v>
      </c>
      <c r="G8" s="4">
        <v>210832887</v>
      </c>
      <c r="H8" s="4">
        <v>166951</v>
      </c>
      <c r="I8" s="4">
        <v>210832887</v>
      </c>
      <c r="J8" s="4">
        <v>166951</v>
      </c>
      <c r="K8" s="4"/>
      <c r="L8" s="5">
        <v>4246.2</v>
      </c>
      <c r="M8" s="5">
        <v>3492.28</v>
      </c>
      <c r="N8" s="5">
        <v>72059.13</v>
      </c>
      <c r="O8" s="5"/>
      <c r="P8" s="5"/>
      <c r="Q8" s="9">
        <v>16.7</v>
      </c>
      <c r="R8" s="4" t="s">
        <v>44</v>
      </c>
      <c r="S8" s="4">
        <v>480</v>
      </c>
      <c r="T8" s="4">
        <v>460</v>
      </c>
      <c r="U8" s="4">
        <v>6342</v>
      </c>
      <c r="V8" s="4">
        <v>271</v>
      </c>
      <c r="W8" s="5">
        <v>4.58</v>
      </c>
      <c r="X8" s="5">
        <v>2.23</v>
      </c>
      <c r="Y8" s="4">
        <v>1320</v>
      </c>
      <c r="Z8" s="4"/>
      <c r="AA8" s="11">
        <f t="shared" ref="AA8:AF8" si="18">IF(OR(C9=""),"",C9-C8)</f>
        <v>27276</v>
      </c>
      <c r="AB8" s="11">
        <f t="shared" si="18"/>
        <v>29658</v>
      </c>
      <c r="AC8" s="11">
        <f t="shared" si="18"/>
        <v>34000</v>
      </c>
      <c r="AD8" s="11">
        <f t="shared" si="18"/>
        <v>33000</v>
      </c>
      <c r="AE8" s="11">
        <f t="shared" si="18"/>
        <v>95690</v>
      </c>
      <c r="AF8" s="11">
        <f t="shared" si="18"/>
        <v>3934</v>
      </c>
      <c r="AG8" s="11">
        <f t="shared" si="1"/>
        <v>28244</v>
      </c>
      <c r="AH8" s="11">
        <f t="shared" si="2"/>
        <v>95690</v>
      </c>
      <c r="AI8" s="15">
        <f t="shared" si="3"/>
        <v>3934</v>
      </c>
      <c r="AJ8" s="15">
        <f t="shared" si="4"/>
        <v>91756</v>
      </c>
      <c r="AK8" s="15">
        <v>3960</v>
      </c>
      <c r="AL8" s="15">
        <f t="shared" si="5"/>
        <v>11196</v>
      </c>
      <c r="AM8" s="15">
        <f t="shared" si="6"/>
        <v>40</v>
      </c>
      <c r="AN8" s="15">
        <f t="shared" si="7"/>
        <v>3408</v>
      </c>
      <c r="AO8" s="15">
        <f t="shared" si="8"/>
        <v>1104</v>
      </c>
      <c r="AP8" s="15">
        <v>2520</v>
      </c>
      <c r="AQ8" s="18">
        <f t="shared" si="9"/>
        <v>122</v>
      </c>
      <c r="AR8" s="18">
        <f t="shared" si="10"/>
        <v>0.44</v>
      </c>
      <c r="AS8" s="19">
        <f t="shared" si="11"/>
        <v>37.1</v>
      </c>
      <c r="AT8" s="18">
        <f t="shared" si="12"/>
        <v>12.03</v>
      </c>
    </row>
    <row r="9" spans="1:46">
      <c r="A9" s="6">
        <f t="shared" si="14"/>
        <v>43868</v>
      </c>
      <c r="B9" s="5" t="s">
        <v>48</v>
      </c>
      <c r="C9" s="4">
        <v>14033981</v>
      </c>
      <c r="D9" s="4">
        <v>16759386</v>
      </c>
      <c r="E9" s="4">
        <v>15576000</v>
      </c>
      <c r="F9" s="4">
        <v>15548000</v>
      </c>
      <c r="G9" s="4">
        <v>210928577</v>
      </c>
      <c r="H9" s="4">
        <v>170885</v>
      </c>
      <c r="I9" s="4">
        <v>210928577</v>
      </c>
      <c r="J9" s="4">
        <v>170885</v>
      </c>
      <c r="K9" s="4"/>
      <c r="L9" s="5">
        <v>4246.2</v>
      </c>
      <c r="M9" s="5">
        <v>3501.61</v>
      </c>
      <c r="N9" s="5">
        <v>72079.37</v>
      </c>
      <c r="O9" s="5"/>
      <c r="P9" s="5"/>
      <c r="Q9" s="9">
        <v>16.8</v>
      </c>
      <c r="R9" s="4" t="s">
        <v>44</v>
      </c>
      <c r="S9" s="4">
        <v>550</v>
      </c>
      <c r="T9" s="4">
        <v>560</v>
      </c>
      <c r="U9" s="4">
        <v>5689</v>
      </c>
      <c r="V9" s="4">
        <v>2860</v>
      </c>
      <c r="W9" s="5">
        <v>4.78</v>
      </c>
      <c r="X9" s="5">
        <v>2.4</v>
      </c>
      <c r="Y9" s="4">
        <v>954</v>
      </c>
      <c r="Z9" s="4"/>
      <c r="AA9" s="11">
        <f t="shared" ref="AA9:AF9" si="19">IF(OR(C10=""),"",C10-C9)</f>
        <v>27772</v>
      </c>
      <c r="AB9" s="11">
        <f t="shared" si="19"/>
        <v>31164</v>
      </c>
      <c r="AC9" s="11">
        <f t="shared" si="19"/>
        <v>29000</v>
      </c>
      <c r="AD9" s="11">
        <f t="shared" si="19"/>
        <v>30000</v>
      </c>
      <c r="AE9" s="11">
        <f t="shared" si="19"/>
        <v>116348</v>
      </c>
      <c r="AF9" s="11">
        <f t="shared" si="19"/>
        <v>5448</v>
      </c>
      <c r="AG9" s="11">
        <f t="shared" si="1"/>
        <v>1588</v>
      </c>
      <c r="AH9" s="11">
        <f t="shared" si="2"/>
        <v>116435</v>
      </c>
      <c r="AI9" s="15">
        <f t="shared" si="3"/>
        <v>5448</v>
      </c>
      <c r="AJ9" s="15">
        <f t="shared" si="4"/>
        <v>110987</v>
      </c>
      <c r="AK9" s="15">
        <v>2970</v>
      </c>
      <c r="AL9" s="15">
        <f t="shared" si="5"/>
        <v>15108</v>
      </c>
      <c r="AM9" s="15">
        <f t="shared" si="6"/>
        <v>50</v>
      </c>
      <c r="AN9" s="15">
        <f t="shared" si="7"/>
        <v>3905</v>
      </c>
      <c r="AO9" s="15">
        <f t="shared" si="8"/>
        <v>1344</v>
      </c>
      <c r="AP9" s="15">
        <v>2680</v>
      </c>
      <c r="AQ9" s="18">
        <f t="shared" si="9"/>
        <v>136.1</v>
      </c>
      <c r="AR9" s="18">
        <f t="shared" si="10"/>
        <v>0.45</v>
      </c>
      <c r="AS9" s="19">
        <f t="shared" si="11"/>
        <v>35.200000000000003</v>
      </c>
      <c r="AT9" s="18">
        <f t="shared" si="12"/>
        <v>12.11</v>
      </c>
    </row>
    <row r="10" spans="1:46">
      <c r="A10" s="6">
        <f t="shared" si="14"/>
        <v>43869</v>
      </c>
      <c r="B10" s="5" t="s">
        <v>48</v>
      </c>
      <c r="C10" s="4">
        <v>14061753</v>
      </c>
      <c r="D10" s="4">
        <v>16790550</v>
      </c>
      <c r="E10" s="4">
        <v>15605000</v>
      </c>
      <c r="F10" s="4">
        <v>15578000</v>
      </c>
      <c r="G10" s="4">
        <v>211044925</v>
      </c>
      <c r="H10" s="4">
        <v>176333</v>
      </c>
      <c r="I10" s="4">
        <v>211045012</v>
      </c>
      <c r="J10" s="4">
        <v>176333</v>
      </c>
      <c r="K10" s="4"/>
      <c r="L10" s="5">
        <v>4246.2</v>
      </c>
      <c r="M10" s="5">
        <v>3514.2</v>
      </c>
      <c r="N10" s="5">
        <v>72104.399999999994</v>
      </c>
      <c r="O10" s="5"/>
      <c r="P10" s="5"/>
      <c r="Q10" s="9">
        <v>17.7</v>
      </c>
      <c r="R10" s="4" t="s">
        <v>63</v>
      </c>
      <c r="S10" s="4">
        <v>480</v>
      </c>
      <c r="T10" s="4">
        <v>500</v>
      </c>
      <c r="U10" s="4">
        <v>5615</v>
      </c>
      <c r="V10" s="4">
        <v>1845</v>
      </c>
      <c r="W10" s="5">
        <v>3.4</v>
      </c>
      <c r="X10" s="5">
        <v>2.12</v>
      </c>
      <c r="Y10" s="4">
        <v>101</v>
      </c>
      <c r="Z10" s="4"/>
      <c r="AA10" s="11">
        <f t="shared" ref="AA10:AF10" si="20">IF(OR(C11=""),"",C11-C10)</f>
        <v>24808</v>
      </c>
      <c r="AB10" s="11">
        <f t="shared" si="20"/>
        <v>28213</v>
      </c>
      <c r="AC10" s="11">
        <f t="shared" si="20"/>
        <v>27000</v>
      </c>
      <c r="AD10" s="11">
        <f t="shared" si="20"/>
        <v>26000</v>
      </c>
      <c r="AE10" s="11">
        <f t="shared" si="20"/>
        <v>102418</v>
      </c>
      <c r="AF10" s="11">
        <f t="shared" si="20"/>
        <v>5413</v>
      </c>
      <c r="AG10" s="11">
        <f t="shared" si="1"/>
        <v>3603</v>
      </c>
      <c r="AH10" s="11">
        <f t="shared" si="2"/>
        <v>102616</v>
      </c>
      <c r="AI10" s="15">
        <f t="shared" si="3"/>
        <v>5413</v>
      </c>
      <c r="AJ10" s="15">
        <f t="shared" si="4"/>
        <v>97203</v>
      </c>
      <c r="AK10" s="15">
        <v>2640</v>
      </c>
      <c r="AL10" s="15">
        <f t="shared" si="5"/>
        <v>15024</v>
      </c>
      <c r="AM10" s="15">
        <f t="shared" si="6"/>
        <v>50</v>
      </c>
      <c r="AN10" s="15">
        <f t="shared" si="7"/>
        <v>3408</v>
      </c>
      <c r="AO10" s="15">
        <f t="shared" si="8"/>
        <v>1200</v>
      </c>
      <c r="AP10" s="15">
        <v>2120</v>
      </c>
      <c r="AQ10" s="18">
        <f t="shared" si="9"/>
        <v>154.6</v>
      </c>
      <c r="AR10" s="18">
        <f t="shared" si="10"/>
        <v>0.51</v>
      </c>
      <c r="AS10" s="19">
        <f t="shared" si="11"/>
        <v>35.1</v>
      </c>
      <c r="AT10" s="18">
        <f t="shared" si="12"/>
        <v>12.35</v>
      </c>
    </row>
    <row r="11" spans="1:46">
      <c r="A11" s="6">
        <f t="shared" si="14"/>
        <v>43870</v>
      </c>
      <c r="B11" s="5" t="s">
        <v>48</v>
      </c>
      <c r="C11" s="4">
        <v>14086561</v>
      </c>
      <c r="D11" s="4">
        <v>16818763</v>
      </c>
      <c r="E11" s="4">
        <v>15632000</v>
      </c>
      <c r="F11" s="4">
        <v>15604000</v>
      </c>
      <c r="G11" s="4">
        <v>211147343</v>
      </c>
      <c r="H11" s="4">
        <v>181746</v>
      </c>
      <c r="I11" s="4">
        <v>211147628</v>
      </c>
      <c r="J11" s="4">
        <v>181746</v>
      </c>
      <c r="K11" s="4"/>
      <c r="L11" s="5">
        <v>4246.2</v>
      </c>
      <c r="M11" s="5">
        <v>3526.72</v>
      </c>
      <c r="N11" s="5">
        <v>72129.429999999993</v>
      </c>
      <c r="O11" s="5"/>
      <c r="P11" s="5"/>
      <c r="Q11" s="9">
        <v>16.3</v>
      </c>
      <c r="R11" s="4" t="s">
        <v>44</v>
      </c>
      <c r="S11" s="4">
        <v>230</v>
      </c>
      <c r="T11" s="4">
        <v>250</v>
      </c>
      <c r="U11" s="4">
        <v>5789</v>
      </c>
      <c r="V11" s="4">
        <v>612</v>
      </c>
      <c r="W11" s="5">
        <v>3.6</v>
      </c>
      <c r="X11" s="5">
        <v>2.1</v>
      </c>
      <c r="Y11" s="4">
        <v>356</v>
      </c>
      <c r="Z11" s="4"/>
      <c r="AA11" s="11">
        <f t="shared" ref="AA11:AF11" si="21">IF(OR(C12=""),"",C12-C11)</f>
        <v>23451</v>
      </c>
      <c r="AB11" s="11">
        <f t="shared" si="21"/>
        <v>26347</v>
      </c>
      <c r="AC11" s="11">
        <f t="shared" si="21"/>
        <v>24000</v>
      </c>
      <c r="AD11" s="11">
        <f t="shared" si="21"/>
        <v>24000</v>
      </c>
      <c r="AE11" s="11">
        <f t="shared" si="21"/>
        <v>96713</v>
      </c>
      <c r="AF11" s="11">
        <f t="shared" si="21"/>
        <v>5496</v>
      </c>
      <c r="AG11" s="11">
        <f t="shared" si="1"/>
        <v>1085</v>
      </c>
      <c r="AH11" s="11">
        <f t="shared" si="2"/>
        <v>96415</v>
      </c>
      <c r="AI11" s="15">
        <f t="shared" si="3"/>
        <v>5496</v>
      </c>
      <c r="AJ11" s="15">
        <f t="shared" si="4"/>
        <v>90919</v>
      </c>
      <c r="AK11" s="15">
        <v>2400</v>
      </c>
      <c r="AL11" s="15">
        <f t="shared" si="5"/>
        <v>816</v>
      </c>
      <c r="AM11" s="15">
        <f t="shared" si="6"/>
        <v>3</v>
      </c>
      <c r="AN11" s="15">
        <f t="shared" si="7"/>
        <v>1633</v>
      </c>
      <c r="AO11" s="15">
        <f t="shared" si="8"/>
        <v>600</v>
      </c>
      <c r="AP11" s="15">
        <v>2010</v>
      </c>
      <c r="AQ11" s="18">
        <f t="shared" si="9"/>
        <v>9</v>
      </c>
      <c r="AR11" s="18">
        <f t="shared" si="10"/>
        <v>0.03</v>
      </c>
      <c r="AS11" s="19">
        <f t="shared" si="11"/>
        <v>18</v>
      </c>
      <c r="AT11" s="18">
        <f t="shared" si="12"/>
        <v>6.6</v>
      </c>
    </row>
    <row r="12" spans="1:46">
      <c r="A12" s="6">
        <f t="shared" si="14"/>
        <v>43871</v>
      </c>
      <c r="B12" s="5" t="s">
        <v>48</v>
      </c>
      <c r="C12" s="4">
        <v>14110012</v>
      </c>
      <c r="D12" s="4">
        <v>16845110</v>
      </c>
      <c r="E12" s="4">
        <v>15656000</v>
      </c>
      <c r="F12" s="4">
        <v>15628000</v>
      </c>
      <c r="G12" s="4">
        <v>211244056</v>
      </c>
      <c r="H12" s="4">
        <v>187242</v>
      </c>
      <c r="I12" s="4">
        <v>211244043</v>
      </c>
      <c r="J12" s="4">
        <v>187242</v>
      </c>
      <c r="K12" s="4"/>
      <c r="L12" s="5">
        <v>4246.2</v>
      </c>
      <c r="M12" s="5">
        <v>3527.4</v>
      </c>
      <c r="N12" s="5">
        <v>72130.8</v>
      </c>
      <c r="O12" s="5"/>
      <c r="P12" s="5"/>
      <c r="Q12" s="9">
        <v>18.399999999999999</v>
      </c>
      <c r="R12" s="4" t="s">
        <v>44</v>
      </c>
      <c r="S12" s="4">
        <v>230</v>
      </c>
      <c r="T12" s="4">
        <v>250</v>
      </c>
      <c r="U12" s="4">
        <v>5524</v>
      </c>
      <c r="V12" s="4">
        <v>4368</v>
      </c>
      <c r="W12" s="5">
        <v>4.68</v>
      </c>
      <c r="X12" s="5">
        <v>2.63</v>
      </c>
      <c r="Y12" s="4">
        <v>1119</v>
      </c>
      <c r="Z12" s="4"/>
      <c r="AA12" s="11">
        <f t="shared" ref="AA12:AF12" si="22">IF(OR(C13=""),"",C13-C12)</f>
        <v>24818</v>
      </c>
      <c r="AB12" s="11">
        <f t="shared" si="22"/>
        <v>27827</v>
      </c>
      <c r="AC12" s="11">
        <f t="shared" si="22"/>
        <v>27000</v>
      </c>
      <c r="AD12" s="11">
        <f t="shared" si="22"/>
        <v>26000</v>
      </c>
      <c r="AE12" s="11">
        <f t="shared" si="22"/>
        <v>97827</v>
      </c>
      <c r="AF12" s="11">
        <f t="shared" si="22"/>
        <v>5290</v>
      </c>
      <c r="AG12" s="11">
        <f t="shared" si="1"/>
        <v>7818</v>
      </c>
      <c r="AH12" s="11">
        <f t="shared" si="2"/>
        <v>101470</v>
      </c>
      <c r="AI12" s="15">
        <f t="shared" si="3"/>
        <v>5290</v>
      </c>
      <c r="AJ12" s="15">
        <f t="shared" si="4"/>
        <v>96180</v>
      </c>
      <c r="AK12" s="15">
        <v>2500</v>
      </c>
      <c r="AL12" s="15">
        <f t="shared" si="5"/>
        <v>0</v>
      </c>
      <c r="AM12" s="15">
        <f t="shared" si="6"/>
        <v>0</v>
      </c>
      <c r="AN12" s="15">
        <f t="shared" si="7"/>
        <v>1633</v>
      </c>
      <c r="AO12" s="15">
        <f t="shared" si="8"/>
        <v>600</v>
      </c>
      <c r="AP12" s="15">
        <v>1970</v>
      </c>
      <c r="AQ12" s="18">
        <f t="shared" si="9"/>
        <v>0</v>
      </c>
      <c r="AR12" s="18">
        <f t="shared" si="10"/>
        <v>0</v>
      </c>
      <c r="AS12" s="19">
        <f t="shared" si="11"/>
        <v>17</v>
      </c>
      <c r="AT12" s="18">
        <f t="shared" si="12"/>
        <v>6.24</v>
      </c>
    </row>
    <row r="13" spans="1:46">
      <c r="A13" s="6">
        <f t="shared" si="14"/>
        <v>43872</v>
      </c>
      <c r="B13" s="5" t="s">
        <v>65</v>
      </c>
      <c r="C13" s="4">
        <v>14134830</v>
      </c>
      <c r="D13" s="4">
        <v>16872937</v>
      </c>
      <c r="E13" s="4">
        <v>15683000</v>
      </c>
      <c r="F13" s="4">
        <v>15654000</v>
      </c>
      <c r="G13" s="4">
        <v>211341883</v>
      </c>
      <c r="H13" s="4">
        <v>192532</v>
      </c>
      <c r="I13" s="4">
        <v>211345513</v>
      </c>
      <c r="J13" s="4">
        <v>192532</v>
      </c>
      <c r="K13" s="4"/>
      <c r="L13" s="5">
        <v>4246.2</v>
      </c>
      <c r="M13" s="5">
        <v>3527.4</v>
      </c>
      <c r="N13" s="5">
        <v>72130.8</v>
      </c>
      <c r="O13" s="5"/>
      <c r="P13" s="5"/>
      <c r="Q13" s="9">
        <v>16.8</v>
      </c>
      <c r="R13" s="4" t="s">
        <v>64</v>
      </c>
      <c r="S13" s="4">
        <v>160</v>
      </c>
      <c r="T13" s="4">
        <v>180</v>
      </c>
      <c r="U13" s="4">
        <v>5301</v>
      </c>
      <c r="V13" s="4">
        <v>2567</v>
      </c>
      <c r="W13" s="5">
        <v>4.25</v>
      </c>
      <c r="X13" s="5">
        <v>2.4700000000000002</v>
      </c>
      <c r="Y13" s="4">
        <v>804</v>
      </c>
      <c r="Z13" s="4"/>
      <c r="AA13" s="11">
        <f t="shared" ref="AA13:AF13" si="23">IF(OR(C14=""),"",C14-C13)</f>
        <v>25656</v>
      </c>
      <c r="AB13" s="11">
        <f t="shared" si="23"/>
        <v>28796</v>
      </c>
      <c r="AC13" s="11">
        <f t="shared" si="23"/>
        <v>27000</v>
      </c>
      <c r="AD13" s="11">
        <f t="shared" si="23"/>
        <v>28000</v>
      </c>
      <c r="AE13" s="11">
        <f t="shared" si="23"/>
        <v>110314</v>
      </c>
      <c r="AF13" s="11">
        <f t="shared" si="23"/>
        <v>5631</v>
      </c>
      <c r="AG13" s="11">
        <f t="shared" si="1"/>
        <v>-862</v>
      </c>
      <c r="AH13" s="11">
        <f t="shared" si="2"/>
        <v>106605</v>
      </c>
      <c r="AI13" s="15">
        <f t="shared" si="3"/>
        <v>5631</v>
      </c>
      <c r="AJ13" s="15">
        <f t="shared" si="4"/>
        <v>100974</v>
      </c>
      <c r="AK13" s="15">
        <v>2500</v>
      </c>
      <c r="AL13" s="15">
        <f t="shared" si="5"/>
        <v>0</v>
      </c>
      <c r="AM13" s="15">
        <f t="shared" si="6"/>
        <v>0</v>
      </c>
      <c r="AN13" s="15">
        <f t="shared" si="7"/>
        <v>1136</v>
      </c>
      <c r="AO13" s="15">
        <f t="shared" si="8"/>
        <v>432</v>
      </c>
      <c r="AP13" s="15">
        <v>2070</v>
      </c>
      <c r="AQ13" s="18">
        <f t="shared" si="9"/>
        <v>0</v>
      </c>
      <c r="AR13" s="18">
        <f t="shared" si="10"/>
        <v>0</v>
      </c>
      <c r="AS13" s="19">
        <f t="shared" si="11"/>
        <v>11.3</v>
      </c>
      <c r="AT13" s="18">
        <f t="shared" si="12"/>
        <v>4.28</v>
      </c>
    </row>
    <row r="14" spans="1:46">
      <c r="A14" s="6">
        <f t="shared" si="14"/>
        <v>43873</v>
      </c>
      <c r="B14" s="5" t="s">
        <v>66</v>
      </c>
      <c r="C14" s="4">
        <v>14160486</v>
      </c>
      <c r="D14" s="4">
        <v>16901733</v>
      </c>
      <c r="E14" s="4">
        <v>15710000</v>
      </c>
      <c r="F14" s="4">
        <v>15682000</v>
      </c>
      <c r="G14" s="4">
        <v>211452197</v>
      </c>
      <c r="H14" s="4">
        <v>198163</v>
      </c>
      <c r="I14" s="4">
        <v>211452118</v>
      </c>
      <c r="J14" s="4">
        <v>198163</v>
      </c>
      <c r="K14" s="4"/>
      <c r="L14" s="5">
        <v>4246.2</v>
      </c>
      <c r="M14" s="5">
        <v>3527.4</v>
      </c>
      <c r="N14" s="5">
        <v>72130.8</v>
      </c>
      <c r="O14" s="5"/>
      <c r="P14" s="5"/>
      <c r="Q14" s="9">
        <v>16.5</v>
      </c>
      <c r="R14" s="4" t="s">
        <v>67</v>
      </c>
      <c r="S14" s="4">
        <v>200</v>
      </c>
      <c r="T14" s="4">
        <v>210</v>
      </c>
      <c r="U14" s="4">
        <v>3255</v>
      </c>
      <c r="V14" s="4">
        <v>2226</v>
      </c>
      <c r="W14" s="5">
        <v>2.44</v>
      </c>
      <c r="X14" s="5">
        <v>2.39</v>
      </c>
      <c r="Y14" s="4">
        <v>182</v>
      </c>
      <c r="Z14" s="4"/>
      <c r="AA14" s="11">
        <f t="shared" ref="AA14:AF14" si="24">IF(OR(C15=""),"",C15-C14)</f>
        <v>15050</v>
      </c>
      <c r="AB14" s="11">
        <f t="shared" si="24"/>
        <v>16710</v>
      </c>
      <c r="AC14" s="11">
        <f t="shared" si="24"/>
        <v>14000</v>
      </c>
      <c r="AD14" s="11">
        <f t="shared" si="24"/>
        <v>13000</v>
      </c>
      <c r="AE14" s="11">
        <f t="shared" si="24"/>
        <v>56256</v>
      </c>
      <c r="AF14" s="11">
        <f t="shared" si="24"/>
        <v>5440</v>
      </c>
      <c r="AG14" s="11">
        <f t="shared" si="1"/>
        <v>2504</v>
      </c>
      <c r="AH14" s="11">
        <f t="shared" si="2"/>
        <v>56330</v>
      </c>
      <c r="AI14" s="15">
        <f t="shared" si="3"/>
        <v>5440</v>
      </c>
      <c r="AJ14" s="15">
        <f t="shared" si="4"/>
        <v>50890</v>
      </c>
      <c r="AK14" s="15">
        <v>4200</v>
      </c>
      <c r="AL14" s="15">
        <f t="shared" si="5"/>
        <v>0</v>
      </c>
      <c r="AM14" s="15">
        <f t="shared" si="6"/>
        <v>0</v>
      </c>
      <c r="AN14" s="15">
        <f t="shared" si="7"/>
        <v>1420</v>
      </c>
      <c r="AO14" s="15">
        <f t="shared" si="8"/>
        <v>504</v>
      </c>
      <c r="AP14" s="15">
        <v>2290</v>
      </c>
      <c r="AQ14" s="18">
        <f t="shared" si="9"/>
        <v>0</v>
      </c>
      <c r="AR14" s="18">
        <f t="shared" si="10"/>
        <v>0</v>
      </c>
      <c r="AS14" s="19">
        <f t="shared" si="11"/>
        <v>27.9</v>
      </c>
      <c r="AT14" s="18">
        <f t="shared" si="12"/>
        <v>9.9</v>
      </c>
    </row>
    <row r="15" spans="1:46">
      <c r="A15" s="6">
        <f t="shared" si="14"/>
        <v>43874</v>
      </c>
      <c r="B15" s="5" t="s">
        <v>68</v>
      </c>
      <c r="C15" s="4">
        <v>14175536</v>
      </c>
      <c r="D15" s="4">
        <v>16918443</v>
      </c>
      <c r="E15" s="4">
        <v>15724000</v>
      </c>
      <c r="F15" s="4">
        <v>15695000</v>
      </c>
      <c r="G15" s="4">
        <v>211508453</v>
      </c>
      <c r="H15" s="4">
        <v>203603</v>
      </c>
      <c r="I15" s="4">
        <v>211508448</v>
      </c>
      <c r="J15" s="4">
        <v>203603</v>
      </c>
      <c r="K15" s="4"/>
      <c r="L15" s="5">
        <v>4246.2</v>
      </c>
      <c r="M15" s="5">
        <v>3527.4</v>
      </c>
      <c r="N15" s="5">
        <v>72130.8</v>
      </c>
      <c r="O15" s="5"/>
      <c r="P15" s="5"/>
      <c r="Q15" s="9">
        <v>16.899999999999999</v>
      </c>
      <c r="R15" s="4" t="s">
        <v>69</v>
      </c>
      <c r="S15" s="4">
        <v>150</v>
      </c>
      <c r="T15" s="4">
        <v>170</v>
      </c>
      <c r="U15" s="4">
        <v>3458</v>
      </c>
      <c r="V15" s="4">
        <v>517</v>
      </c>
      <c r="W15" s="5">
        <v>4.21</v>
      </c>
      <c r="X15" s="5">
        <v>2.2000000000000002</v>
      </c>
      <c r="Y15" s="4">
        <v>1156</v>
      </c>
      <c r="Z15" s="4"/>
      <c r="AA15" s="11">
        <f t="shared" ref="AA15:AF15" si="25">IF(OR(C16=""),"",C16-C15)</f>
        <v>18893</v>
      </c>
      <c r="AB15" s="11">
        <f t="shared" si="25"/>
        <v>20908</v>
      </c>
      <c r="AC15" s="11">
        <f t="shared" si="25"/>
        <v>19000</v>
      </c>
      <c r="AD15" s="11">
        <f t="shared" si="25"/>
        <v>19000</v>
      </c>
      <c r="AE15" s="11">
        <f t="shared" si="25"/>
        <v>74095</v>
      </c>
      <c r="AF15" s="11">
        <f t="shared" si="25"/>
        <v>5389</v>
      </c>
      <c r="AG15" s="11">
        <f t="shared" si="1"/>
        <v>3706</v>
      </c>
      <c r="AH15" s="11">
        <f t="shared" si="2"/>
        <v>75145</v>
      </c>
      <c r="AI15" s="15">
        <f t="shared" si="3"/>
        <v>5389</v>
      </c>
      <c r="AJ15" s="15">
        <f t="shared" si="4"/>
        <v>69756</v>
      </c>
      <c r="AK15" s="15">
        <v>3500</v>
      </c>
      <c r="AL15" s="15">
        <f t="shared" si="5"/>
        <v>0</v>
      </c>
      <c r="AM15" s="15">
        <f t="shared" si="6"/>
        <v>0</v>
      </c>
      <c r="AN15" s="15">
        <f t="shared" si="7"/>
        <v>1065</v>
      </c>
      <c r="AO15" s="15">
        <f t="shared" si="8"/>
        <v>408</v>
      </c>
      <c r="AP15" s="15">
        <v>3250</v>
      </c>
      <c r="AQ15" s="18">
        <f t="shared" si="9"/>
        <v>0</v>
      </c>
      <c r="AR15" s="18">
        <f t="shared" si="10"/>
        <v>0</v>
      </c>
      <c r="AS15" s="19">
        <f t="shared" si="11"/>
        <v>15.3</v>
      </c>
      <c r="AT15" s="18">
        <f t="shared" si="12"/>
        <v>5.85</v>
      </c>
    </row>
    <row r="16" spans="1:46">
      <c r="A16" s="6">
        <f t="shared" si="14"/>
        <v>43875</v>
      </c>
      <c r="B16" s="5" t="s">
        <v>47</v>
      </c>
      <c r="C16" s="4">
        <v>14194429</v>
      </c>
      <c r="D16" s="4">
        <v>16939351</v>
      </c>
      <c r="E16" s="4">
        <v>15743000</v>
      </c>
      <c r="F16" s="4">
        <v>15714000</v>
      </c>
      <c r="G16" s="4">
        <v>211582548</v>
      </c>
      <c r="H16" s="4">
        <v>208992</v>
      </c>
      <c r="I16" s="4">
        <v>211583593</v>
      </c>
      <c r="J16" s="4">
        <v>208992</v>
      </c>
      <c r="K16" s="4"/>
      <c r="L16" s="5">
        <v>4246.2</v>
      </c>
      <c r="M16" s="5">
        <v>3527.4</v>
      </c>
      <c r="N16" s="5">
        <v>72130.8</v>
      </c>
      <c r="O16" s="5"/>
      <c r="P16" s="5"/>
      <c r="Q16" s="9">
        <v>16.2</v>
      </c>
      <c r="R16" s="4" t="s">
        <v>44</v>
      </c>
      <c r="S16" s="4">
        <v>150</v>
      </c>
      <c r="T16" s="4">
        <v>170</v>
      </c>
      <c r="U16" s="4">
        <v>10082</v>
      </c>
      <c r="V16" s="4">
        <v>2967</v>
      </c>
      <c r="W16" s="5">
        <v>5.89</v>
      </c>
      <c r="X16" s="5">
        <v>2.91</v>
      </c>
      <c r="Y16" s="4">
        <v>1278</v>
      </c>
      <c r="Z16" s="4"/>
      <c r="AA16" s="11">
        <f t="shared" ref="AA16:AF16" si="26">IF(OR(C17=""),"",C17-C16)</f>
        <v>42563</v>
      </c>
      <c r="AB16" s="11">
        <f t="shared" si="26"/>
        <v>47907</v>
      </c>
      <c r="AC16" s="11">
        <f t="shared" si="26"/>
        <v>30000</v>
      </c>
      <c r="AD16" s="11">
        <f t="shared" si="26"/>
        <v>30000</v>
      </c>
      <c r="AE16" s="11">
        <f t="shared" si="26"/>
        <v>58454</v>
      </c>
      <c r="AF16" s="11">
        <f t="shared" si="26"/>
        <v>5532</v>
      </c>
      <c r="AG16" s="11">
        <f t="shared" si="1"/>
        <v>92016</v>
      </c>
      <c r="AH16" s="11">
        <f t="shared" si="2"/>
        <v>57130</v>
      </c>
      <c r="AI16" s="15">
        <f t="shared" si="3"/>
        <v>5532</v>
      </c>
      <c r="AJ16" s="15">
        <f t="shared" si="4"/>
        <v>51598</v>
      </c>
      <c r="AK16" s="15">
        <v>2500</v>
      </c>
      <c r="AL16" s="15">
        <f t="shared" si="5"/>
        <v>0</v>
      </c>
      <c r="AM16" s="15">
        <f t="shared" si="6"/>
        <v>0</v>
      </c>
      <c r="AN16" s="15">
        <f t="shared" si="7"/>
        <v>1065</v>
      </c>
      <c r="AO16" s="15">
        <f t="shared" si="8"/>
        <v>408</v>
      </c>
      <c r="AP16" s="15">
        <v>2510</v>
      </c>
      <c r="AQ16" s="18">
        <f t="shared" si="9"/>
        <v>0</v>
      </c>
      <c r="AR16" s="18">
        <f t="shared" si="10"/>
        <v>0</v>
      </c>
      <c r="AS16" s="19">
        <f t="shared" si="11"/>
        <v>20.6</v>
      </c>
      <c r="AT16" s="18">
        <f t="shared" si="12"/>
        <v>7.91</v>
      </c>
    </row>
    <row r="17" spans="1:46">
      <c r="A17" s="6">
        <f t="shared" si="14"/>
        <v>43876</v>
      </c>
      <c r="B17" s="5" t="s">
        <v>47</v>
      </c>
      <c r="C17" s="4">
        <v>14236992</v>
      </c>
      <c r="D17" s="4">
        <v>16987258</v>
      </c>
      <c r="E17" s="4">
        <v>15773000</v>
      </c>
      <c r="F17" s="4">
        <v>15744000</v>
      </c>
      <c r="G17" s="4">
        <v>211641002</v>
      </c>
      <c r="H17" s="4">
        <v>214524</v>
      </c>
      <c r="I17" s="28">
        <v>211640723</v>
      </c>
      <c r="J17" s="4">
        <v>214524</v>
      </c>
      <c r="K17" s="4"/>
      <c r="L17" s="5">
        <v>4246.2</v>
      </c>
      <c r="M17" s="5">
        <v>3527.4</v>
      </c>
      <c r="N17" s="5">
        <v>72130.8</v>
      </c>
      <c r="O17" s="5"/>
      <c r="P17" s="5"/>
      <c r="Q17" s="9">
        <v>15.8</v>
      </c>
      <c r="R17" s="4" t="s">
        <v>49</v>
      </c>
      <c r="S17" s="4">
        <v>280</v>
      </c>
      <c r="T17" s="4">
        <v>300</v>
      </c>
      <c r="U17" s="4">
        <v>5168</v>
      </c>
      <c r="V17" s="4">
        <v>3003</v>
      </c>
      <c r="W17" s="5">
        <v>4.51</v>
      </c>
      <c r="X17" s="5">
        <v>3.07</v>
      </c>
      <c r="Y17" s="4">
        <v>1356</v>
      </c>
      <c r="Z17" s="4"/>
      <c r="AA17" s="11">
        <f t="shared" ref="AA17:AF17" si="27">IF(OR(C18=""),"",C18-C17)</f>
        <v>25825</v>
      </c>
      <c r="AB17" s="11">
        <f t="shared" si="27"/>
        <v>29472</v>
      </c>
      <c r="AC17" s="11">
        <f t="shared" si="27"/>
        <v>27000</v>
      </c>
      <c r="AD17" s="11">
        <f t="shared" si="27"/>
        <v>27000</v>
      </c>
      <c r="AE17" s="11">
        <f t="shared" si="27"/>
        <v>107534</v>
      </c>
      <c r="AF17" s="11">
        <f t="shared" si="27"/>
        <v>5436</v>
      </c>
      <c r="AG17" s="11">
        <f t="shared" si="1"/>
        <v>1763</v>
      </c>
      <c r="AH17" s="11">
        <f t="shared" si="2"/>
        <v>107966</v>
      </c>
      <c r="AI17" s="15">
        <f t="shared" si="3"/>
        <v>5436</v>
      </c>
      <c r="AJ17" s="15">
        <f t="shared" si="4"/>
        <v>102530</v>
      </c>
      <c r="AK17" s="15">
        <v>500</v>
      </c>
      <c r="AL17" s="15">
        <f t="shared" si="5"/>
        <v>0</v>
      </c>
      <c r="AM17" s="15">
        <f t="shared" si="6"/>
        <v>0</v>
      </c>
      <c r="AN17" s="15">
        <f t="shared" si="7"/>
        <v>1988</v>
      </c>
      <c r="AO17" s="15">
        <f t="shared" si="8"/>
        <v>720</v>
      </c>
      <c r="AP17" s="15">
        <v>11560</v>
      </c>
      <c r="AQ17" s="18">
        <f t="shared" si="9"/>
        <v>0</v>
      </c>
      <c r="AR17" s="18">
        <f t="shared" si="10"/>
        <v>0</v>
      </c>
      <c r="AS17" s="19">
        <f t="shared" si="11"/>
        <v>19.399999999999999</v>
      </c>
      <c r="AT17" s="18">
        <f t="shared" si="12"/>
        <v>7.02</v>
      </c>
    </row>
    <row r="18" spans="1:46">
      <c r="A18" s="6">
        <f t="shared" si="14"/>
        <v>43877</v>
      </c>
      <c r="B18" s="5" t="s">
        <v>70</v>
      </c>
      <c r="C18" s="4">
        <v>14262817</v>
      </c>
      <c r="D18" s="4">
        <v>17016730</v>
      </c>
      <c r="E18" s="4">
        <v>15800000</v>
      </c>
      <c r="F18" s="4">
        <v>15771000</v>
      </c>
      <c r="G18" s="4">
        <v>211748536</v>
      </c>
      <c r="H18" s="4">
        <v>219960</v>
      </c>
      <c r="I18" s="4">
        <v>211748689</v>
      </c>
      <c r="J18" s="4">
        <v>219960</v>
      </c>
      <c r="K18" s="4"/>
      <c r="L18" s="5">
        <v>4246.2</v>
      </c>
      <c r="M18" s="5">
        <v>3527.4</v>
      </c>
      <c r="N18" s="5">
        <v>72130.8</v>
      </c>
      <c r="O18" s="5"/>
      <c r="P18" s="5"/>
      <c r="Q18" s="9">
        <v>18.7</v>
      </c>
      <c r="R18" s="4" t="s">
        <v>44</v>
      </c>
      <c r="S18" s="4">
        <v>270</v>
      </c>
      <c r="T18" s="4">
        <v>290</v>
      </c>
      <c r="U18" s="4">
        <v>5400</v>
      </c>
      <c r="V18" s="4">
        <v>1700</v>
      </c>
      <c r="W18" s="5">
        <v>3.7</v>
      </c>
      <c r="X18" s="5">
        <v>2.1</v>
      </c>
      <c r="Y18" s="4">
        <v>302</v>
      </c>
      <c r="Z18" s="4"/>
      <c r="AA18" s="11">
        <f t="shared" ref="AA18:AF18" si="28">IF(OR(C19=""),"",C19-C18)</f>
        <v>25330</v>
      </c>
      <c r="AB18" s="11">
        <f t="shared" si="28"/>
        <v>28685</v>
      </c>
      <c r="AC18" s="11">
        <f t="shared" si="28"/>
        <v>26000</v>
      </c>
      <c r="AD18" s="11">
        <f t="shared" si="28"/>
        <v>26000</v>
      </c>
      <c r="AE18" s="11">
        <f t="shared" si="28"/>
        <v>109395</v>
      </c>
      <c r="AF18" s="11">
        <f t="shared" si="28"/>
        <v>5460</v>
      </c>
      <c r="AG18" s="11">
        <f t="shared" si="1"/>
        <v>-3380</v>
      </c>
      <c r="AH18" s="11">
        <f t="shared" si="2"/>
        <v>109592</v>
      </c>
      <c r="AI18" s="15">
        <f t="shared" si="3"/>
        <v>5460</v>
      </c>
      <c r="AJ18" s="15">
        <f t="shared" si="4"/>
        <v>104132</v>
      </c>
      <c r="AK18" s="15">
        <v>0</v>
      </c>
      <c r="AL18" s="15">
        <f t="shared" si="5"/>
        <v>7560</v>
      </c>
      <c r="AM18" s="15">
        <f t="shared" si="6"/>
        <v>25</v>
      </c>
      <c r="AN18" s="15">
        <f t="shared" si="7"/>
        <v>1917</v>
      </c>
      <c r="AO18" s="15">
        <f t="shared" si="8"/>
        <v>696</v>
      </c>
      <c r="AP18" s="15">
        <v>2620</v>
      </c>
      <c r="AQ18" s="18">
        <f t="shared" si="9"/>
        <v>72.599999999999994</v>
      </c>
      <c r="AR18" s="18">
        <f t="shared" si="10"/>
        <v>0.24</v>
      </c>
      <c r="AS18" s="19">
        <f t="shared" si="11"/>
        <v>18.399999999999999</v>
      </c>
      <c r="AT18" s="18">
        <f t="shared" si="12"/>
        <v>6.68</v>
      </c>
    </row>
    <row r="19" spans="1:46">
      <c r="A19" s="6">
        <f t="shared" si="14"/>
        <v>43878</v>
      </c>
      <c r="B19" s="5" t="s">
        <v>71</v>
      </c>
      <c r="C19" s="4">
        <v>14288147</v>
      </c>
      <c r="D19" s="4">
        <v>17045415</v>
      </c>
      <c r="E19" s="4">
        <v>15826000</v>
      </c>
      <c r="F19" s="4">
        <v>15797000</v>
      </c>
      <c r="G19" s="4">
        <v>211857931</v>
      </c>
      <c r="H19" s="4">
        <v>225420</v>
      </c>
      <c r="I19" s="4">
        <v>211858281</v>
      </c>
      <c r="J19" s="4">
        <v>225420</v>
      </c>
      <c r="K19" s="4"/>
      <c r="L19" s="5">
        <v>4246.2</v>
      </c>
      <c r="M19" s="5">
        <v>3533.7</v>
      </c>
      <c r="N19" s="5">
        <v>72143.12</v>
      </c>
      <c r="O19" s="5"/>
      <c r="P19" s="5"/>
      <c r="Q19" s="9">
        <v>16.5</v>
      </c>
      <c r="R19" s="4" t="s">
        <v>72</v>
      </c>
      <c r="S19" s="4">
        <v>350</v>
      </c>
      <c r="T19" s="4">
        <v>370</v>
      </c>
      <c r="U19" s="4">
        <v>4358</v>
      </c>
      <c r="V19" s="4">
        <v>1690</v>
      </c>
      <c r="W19" s="5">
        <v>5.13</v>
      </c>
      <c r="X19" s="5">
        <v>2.21</v>
      </c>
      <c r="Y19" s="4">
        <v>1050</v>
      </c>
      <c r="Z19" s="4"/>
      <c r="AA19" s="11">
        <f t="shared" ref="AA19:AF19" si="29">IF(OR(C20=""),"",C20-C19)</f>
        <v>21771</v>
      </c>
      <c r="AB19" s="11">
        <f t="shared" si="29"/>
        <v>23843</v>
      </c>
      <c r="AC19" s="11">
        <f t="shared" si="29"/>
        <v>21000</v>
      </c>
      <c r="AD19" s="11">
        <f t="shared" si="29"/>
        <v>21000</v>
      </c>
      <c r="AE19" s="11">
        <f t="shared" si="29"/>
        <v>81096</v>
      </c>
      <c r="AF19" s="11">
        <f t="shared" si="29"/>
        <v>5469</v>
      </c>
      <c r="AG19" s="11">
        <f t="shared" si="1"/>
        <v>6518</v>
      </c>
      <c r="AH19" s="11">
        <f t="shared" si="2"/>
        <v>80762</v>
      </c>
      <c r="AI19" s="15">
        <f t="shared" si="3"/>
        <v>5469</v>
      </c>
      <c r="AJ19" s="15">
        <f t="shared" si="4"/>
        <v>75293</v>
      </c>
      <c r="AK19" s="15">
        <v>0</v>
      </c>
      <c r="AL19" s="15">
        <f t="shared" si="5"/>
        <v>6492</v>
      </c>
      <c r="AM19" s="15">
        <f t="shared" si="6"/>
        <v>20</v>
      </c>
      <c r="AN19" s="15">
        <f t="shared" si="7"/>
        <v>2485</v>
      </c>
      <c r="AO19" s="15">
        <f t="shared" si="8"/>
        <v>888</v>
      </c>
      <c r="AP19" s="15">
        <v>2360</v>
      </c>
      <c r="AQ19" s="18">
        <f t="shared" si="9"/>
        <v>86.2</v>
      </c>
      <c r="AR19" s="18">
        <f t="shared" si="10"/>
        <v>0.27</v>
      </c>
      <c r="AS19" s="19">
        <f t="shared" si="11"/>
        <v>33</v>
      </c>
      <c r="AT19" s="18">
        <f t="shared" si="12"/>
        <v>11.79</v>
      </c>
    </row>
    <row r="20" spans="1:46">
      <c r="A20" s="6">
        <f t="shared" si="14"/>
        <v>43879</v>
      </c>
      <c r="B20" s="5" t="s">
        <v>48</v>
      </c>
      <c r="C20" s="4">
        <v>14309918</v>
      </c>
      <c r="D20" s="4">
        <v>17069258</v>
      </c>
      <c r="E20" s="4">
        <v>15847000</v>
      </c>
      <c r="F20" s="4">
        <v>15818000</v>
      </c>
      <c r="G20" s="4">
        <v>211939027</v>
      </c>
      <c r="H20" s="4">
        <v>230889</v>
      </c>
      <c r="I20" s="4">
        <v>211939043</v>
      </c>
      <c r="J20" s="4">
        <v>230889</v>
      </c>
      <c r="K20" s="4"/>
      <c r="L20" s="5">
        <v>4246.2</v>
      </c>
      <c r="M20" s="5">
        <v>3539.11</v>
      </c>
      <c r="N20" s="5">
        <v>72153.02</v>
      </c>
      <c r="O20" s="5"/>
      <c r="P20" s="5"/>
      <c r="Q20" s="9">
        <v>18.100000000000001</v>
      </c>
      <c r="R20" s="4" t="s">
        <v>44</v>
      </c>
      <c r="S20" s="4">
        <v>350</v>
      </c>
      <c r="T20" s="4">
        <v>360</v>
      </c>
      <c r="U20" s="4">
        <v>4812</v>
      </c>
      <c r="V20" s="4">
        <v>3521</v>
      </c>
      <c r="W20" s="5">
        <v>4.9400000000000004</v>
      </c>
      <c r="X20" s="5">
        <v>2.75</v>
      </c>
      <c r="Y20" s="4">
        <v>991</v>
      </c>
      <c r="Z20" s="4"/>
      <c r="AA20" s="11">
        <f t="shared" ref="AA20:AF20" si="30">IF(OR(C21=""),"",C21-C20)</f>
        <v>24324</v>
      </c>
      <c r="AB20" s="11">
        <f t="shared" si="30"/>
        <v>27203</v>
      </c>
      <c r="AC20" s="11">
        <f t="shared" si="30"/>
        <v>25000</v>
      </c>
      <c r="AD20" s="11">
        <f t="shared" si="30"/>
        <v>25000</v>
      </c>
      <c r="AE20" s="11">
        <f t="shared" si="30"/>
        <v>100483</v>
      </c>
      <c r="AF20" s="11">
        <f t="shared" si="30"/>
        <v>5455</v>
      </c>
      <c r="AG20" s="11">
        <f t="shared" si="1"/>
        <v>1044</v>
      </c>
      <c r="AH20" s="11">
        <f t="shared" si="2"/>
        <v>100645</v>
      </c>
      <c r="AI20" s="15">
        <f t="shared" si="3"/>
        <v>5455</v>
      </c>
      <c r="AJ20" s="15">
        <f t="shared" si="4"/>
        <v>95190</v>
      </c>
      <c r="AK20" s="15">
        <v>1500</v>
      </c>
      <c r="AL20" s="15">
        <f t="shared" si="5"/>
        <v>6300</v>
      </c>
      <c r="AM20" s="15">
        <f t="shared" si="6"/>
        <v>38</v>
      </c>
      <c r="AN20" s="15">
        <f t="shared" si="7"/>
        <v>2485</v>
      </c>
      <c r="AO20" s="15">
        <f t="shared" si="8"/>
        <v>864</v>
      </c>
      <c r="AP20" s="15">
        <v>2230</v>
      </c>
      <c r="AQ20" s="18">
        <f t="shared" si="9"/>
        <v>66.2</v>
      </c>
      <c r="AR20" s="18">
        <f t="shared" si="10"/>
        <v>0.4</v>
      </c>
      <c r="AS20" s="19">
        <f t="shared" si="11"/>
        <v>26.1</v>
      </c>
      <c r="AT20" s="18">
        <f t="shared" si="12"/>
        <v>9.08</v>
      </c>
    </row>
    <row r="21" spans="1:46">
      <c r="A21" s="6">
        <f t="shared" si="14"/>
        <v>43880</v>
      </c>
      <c r="B21" s="5" t="s">
        <v>48</v>
      </c>
      <c r="C21" s="4">
        <v>14334242</v>
      </c>
      <c r="D21" s="4">
        <v>17096461</v>
      </c>
      <c r="E21" s="4">
        <v>15872000</v>
      </c>
      <c r="F21" s="4">
        <v>15843000</v>
      </c>
      <c r="G21" s="4">
        <v>212039510</v>
      </c>
      <c r="H21" s="4">
        <v>236344</v>
      </c>
      <c r="I21" s="4">
        <v>212039688</v>
      </c>
      <c r="J21" s="4">
        <v>236344</v>
      </c>
      <c r="K21" s="4"/>
      <c r="L21" s="5">
        <v>4246.2</v>
      </c>
      <c r="M21" s="5">
        <v>3544.36</v>
      </c>
      <c r="N21" s="5">
        <v>72172</v>
      </c>
      <c r="O21" s="5"/>
      <c r="P21" s="5"/>
      <c r="Q21" s="9">
        <v>16.100000000000001</v>
      </c>
      <c r="R21" s="4" t="s">
        <v>44</v>
      </c>
      <c r="S21" s="4">
        <v>200</v>
      </c>
      <c r="T21" s="4">
        <v>220</v>
      </c>
      <c r="U21" s="4">
        <v>5044</v>
      </c>
      <c r="V21" s="4">
        <v>3501</v>
      </c>
      <c r="W21" s="5">
        <v>6.1</v>
      </c>
      <c r="X21" s="5">
        <v>2.65</v>
      </c>
      <c r="Y21" s="4">
        <v>1219</v>
      </c>
      <c r="Z21" s="4"/>
      <c r="AA21" s="11">
        <f t="shared" ref="AA21:AF21" si="31">IF(OR(C22=""),"",C22-C21)</f>
        <v>22410</v>
      </c>
      <c r="AB21" s="11">
        <f t="shared" si="31"/>
        <v>24835</v>
      </c>
      <c r="AC21" s="11">
        <f t="shared" si="31"/>
        <v>22000</v>
      </c>
      <c r="AD21" s="11">
        <f t="shared" si="31"/>
        <v>22000</v>
      </c>
      <c r="AE21" s="11">
        <f t="shared" si="31"/>
        <v>86931</v>
      </c>
      <c r="AF21" s="11">
        <f t="shared" si="31"/>
        <v>5448</v>
      </c>
      <c r="AG21" s="11">
        <f t="shared" si="1"/>
        <v>4314</v>
      </c>
      <c r="AH21" s="11">
        <f t="shared" si="2"/>
        <v>87104</v>
      </c>
      <c r="AI21" s="15">
        <f t="shared" si="3"/>
        <v>5448</v>
      </c>
      <c r="AJ21" s="15">
        <f t="shared" si="4"/>
        <v>81656</v>
      </c>
      <c r="AK21" s="15">
        <v>1440</v>
      </c>
      <c r="AL21" s="15">
        <f t="shared" si="5"/>
        <v>6420</v>
      </c>
      <c r="AM21" s="15">
        <f t="shared" si="6"/>
        <v>33</v>
      </c>
      <c r="AN21" s="15">
        <f t="shared" si="7"/>
        <v>1420</v>
      </c>
      <c r="AO21" s="15">
        <f t="shared" si="8"/>
        <v>528</v>
      </c>
      <c r="AP21" s="15">
        <v>2310</v>
      </c>
      <c r="AQ21" s="18">
        <f t="shared" si="9"/>
        <v>78.599999999999994</v>
      </c>
      <c r="AR21" s="18">
        <f t="shared" si="10"/>
        <v>0.4</v>
      </c>
      <c r="AS21" s="19">
        <f t="shared" si="11"/>
        <v>17.399999999999999</v>
      </c>
      <c r="AT21" s="18">
        <f t="shared" si="12"/>
        <v>6.47</v>
      </c>
    </row>
    <row r="22" spans="1:46">
      <c r="A22" s="6">
        <f t="shared" si="14"/>
        <v>43881</v>
      </c>
      <c r="B22" s="5" t="s">
        <v>48</v>
      </c>
      <c r="C22" s="4">
        <v>14356652</v>
      </c>
      <c r="D22" s="4">
        <v>17121296</v>
      </c>
      <c r="E22" s="4">
        <v>15894000</v>
      </c>
      <c r="F22" s="4">
        <v>15865000</v>
      </c>
      <c r="G22" s="4">
        <v>212126441</v>
      </c>
      <c r="H22" s="4">
        <v>241792</v>
      </c>
      <c r="I22" s="4">
        <v>212126792</v>
      </c>
      <c r="J22" s="4">
        <v>241792</v>
      </c>
      <c r="K22" s="4"/>
      <c r="L22" s="5">
        <v>4246.2</v>
      </c>
      <c r="M22" s="5">
        <v>3549.71</v>
      </c>
      <c r="N22" s="5">
        <v>72188.72</v>
      </c>
      <c r="O22" s="5"/>
      <c r="P22" s="5"/>
      <c r="Q22" s="9">
        <v>16.8</v>
      </c>
      <c r="R22" s="4" t="s">
        <v>44</v>
      </c>
      <c r="S22" s="4">
        <v>250</v>
      </c>
      <c r="T22" s="4">
        <v>260</v>
      </c>
      <c r="U22" s="4">
        <v>6457</v>
      </c>
      <c r="V22" s="4">
        <v>3329</v>
      </c>
      <c r="W22" s="5">
        <v>6.64</v>
      </c>
      <c r="X22" s="5">
        <v>3.74</v>
      </c>
      <c r="Y22" s="4">
        <v>1436</v>
      </c>
      <c r="Z22" s="4"/>
      <c r="AA22" s="11">
        <f t="shared" ref="AA22:AF22" si="32">IF(OR(C23=""),"",C23-C22)</f>
        <v>27010</v>
      </c>
      <c r="AB22" s="11">
        <f t="shared" si="32"/>
        <v>29986</v>
      </c>
      <c r="AC22" s="11">
        <f t="shared" si="32"/>
        <v>28000</v>
      </c>
      <c r="AD22" s="11">
        <f t="shared" si="32"/>
        <v>29000</v>
      </c>
      <c r="AE22" s="11">
        <f t="shared" si="32"/>
        <v>91682</v>
      </c>
      <c r="AF22" s="11">
        <f t="shared" si="32"/>
        <v>5421</v>
      </c>
      <c r="AG22" s="11">
        <f t="shared" si="1"/>
        <v>22314</v>
      </c>
      <c r="AH22" s="11">
        <f t="shared" si="2"/>
        <v>90308</v>
      </c>
      <c r="AI22" s="15">
        <f t="shared" si="3"/>
        <v>5421</v>
      </c>
      <c r="AJ22" s="15">
        <f t="shared" si="4"/>
        <v>84887</v>
      </c>
      <c r="AK22" s="15">
        <v>2300</v>
      </c>
      <c r="AL22" s="15">
        <f t="shared" si="5"/>
        <v>6228</v>
      </c>
      <c r="AM22" s="15">
        <f t="shared" si="6"/>
        <v>29</v>
      </c>
      <c r="AN22" s="15">
        <f t="shared" si="7"/>
        <v>1775</v>
      </c>
      <c r="AO22" s="15">
        <f t="shared" si="8"/>
        <v>624</v>
      </c>
      <c r="AP22" s="15">
        <v>3006</v>
      </c>
      <c r="AQ22" s="18">
        <f t="shared" si="9"/>
        <v>73.400000000000006</v>
      </c>
      <c r="AR22" s="18">
        <f t="shared" si="10"/>
        <v>0.34</v>
      </c>
      <c r="AS22" s="19">
        <f t="shared" si="11"/>
        <v>20.9</v>
      </c>
      <c r="AT22" s="18">
        <f t="shared" si="12"/>
        <v>7.35</v>
      </c>
    </row>
    <row r="23" spans="1:46">
      <c r="A23" s="6">
        <f t="shared" si="14"/>
        <v>43882</v>
      </c>
      <c r="B23" s="5" t="s">
        <v>73</v>
      </c>
      <c r="C23" s="4">
        <v>14383662</v>
      </c>
      <c r="D23" s="4">
        <v>17151282</v>
      </c>
      <c r="E23" s="4">
        <v>15922000</v>
      </c>
      <c r="F23" s="4">
        <v>15894000</v>
      </c>
      <c r="G23" s="4">
        <v>212218123</v>
      </c>
      <c r="H23" s="4">
        <v>247213</v>
      </c>
      <c r="I23" s="4">
        <v>212217100</v>
      </c>
      <c r="J23" s="4">
        <v>247213</v>
      </c>
      <c r="K23" s="4"/>
      <c r="L23" s="5">
        <v>4246.2</v>
      </c>
      <c r="M23" s="5">
        <v>3554.9</v>
      </c>
      <c r="N23" s="5">
        <v>72203.12</v>
      </c>
      <c r="O23" s="5"/>
      <c r="P23" s="5"/>
      <c r="Q23" s="9">
        <v>17</v>
      </c>
      <c r="R23" s="4" t="s">
        <v>74</v>
      </c>
      <c r="S23" s="4">
        <v>210</v>
      </c>
      <c r="T23" s="4">
        <v>230</v>
      </c>
      <c r="U23" s="4">
        <v>5589</v>
      </c>
      <c r="V23" s="4">
        <v>4125</v>
      </c>
      <c r="W23" s="5">
        <v>6.12</v>
      </c>
      <c r="X23" s="5">
        <v>2.85</v>
      </c>
      <c r="Y23" s="4">
        <v>1328</v>
      </c>
      <c r="Z23" s="4"/>
      <c r="AA23" s="11">
        <f t="shared" ref="AA23:AF23" si="33">IF(OR(C24=""),"",C24-C23)</f>
        <v>29202</v>
      </c>
      <c r="AB23" s="11">
        <f t="shared" si="33"/>
        <v>33555</v>
      </c>
      <c r="AC23" s="11">
        <f t="shared" si="33"/>
        <v>32000</v>
      </c>
      <c r="AD23" s="11">
        <f t="shared" si="33"/>
        <v>33000</v>
      </c>
      <c r="AE23" s="11">
        <f t="shared" si="33"/>
        <v>92997</v>
      </c>
      <c r="AF23" s="11">
        <f t="shared" si="33"/>
        <v>5509</v>
      </c>
      <c r="AG23" s="11">
        <f t="shared" si="1"/>
        <v>34760</v>
      </c>
      <c r="AH23" s="11">
        <f t="shared" si="2"/>
        <v>94068</v>
      </c>
      <c r="AI23" s="15">
        <f t="shared" si="3"/>
        <v>5509</v>
      </c>
      <c r="AJ23" s="15">
        <f t="shared" si="4"/>
        <v>88559</v>
      </c>
      <c r="AK23" s="15">
        <v>2160</v>
      </c>
      <c r="AL23" s="15">
        <f t="shared" si="5"/>
        <v>5424</v>
      </c>
      <c r="AM23" s="15">
        <f t="shared" si="6"/>
        <v>29</v>
      </c>
      <c r="AN23" s="15">
        <f t="shared" si="7"/>
        <v>1491</v>
      </c>
      <c r="AO23" s="15">
        <f t="shared" si="8"/>
        <v>552</v>
      </c>
      <c r="AP23" s="15">
        <v>2870</v>
      </c>
      <c r="AQ23" s="18">
        <f t="shared" si="9"/>
        <v>61.2</v>
      </c>
      <c r="AR23" s="18">
        <f t="shared" si="10"/>
        <v>0.33</v>
      </c>
      <c r="AS23" s="19">
        <f t="shared" si="11"/>
        <v>16.8</v>
      </c>
      <c r="AT23" s="18">
        <f t="shared" si="12"/>
        <v>6.23</v>
      </c>
    </row>
    <row r="24" spans="1:46">
      <c r="A24" s="6">
        <f t="shared" si="14"/>
        <v>43883</v>
      </c>
      <c r="B24" s="5" t="s">
        <v>48</v>
      </c>
      <c r="C24" s="4">
        <v>14412864</v>
      </c>
      <c r="D24" s="4">
        <v>17184837</v>
      </c>
      <c r="E24" s="4">
        <v>15954000</v>
      </c>
      <c r="F24" s="4">
        <v>15927000</v>
      </c>
      <c r="G24" s="4">
        <v>212311120</v>
      </c>
      <c r="H24" s="4">
        <v>252722</v>
      </c>
      <c r="I24" s="4">
        <v>212311168</v>
      </c>
      <c r="J24" s="4">
        <v>252722</v>
      </c>
      <c r="K24" s="4"/>
      <c r="L24" s="5">
        <v>4246.2</v>
      </c>
      <c r="M24" s="5">
        <v>3559.42</v>
      </c>
      <c r="N24" s="5">
        <v>72217.789999999994</v>
      </c>
      <c r="O24" s="5"/>
      <c r="P24" s="5"/>
      <c r="Q24" s="9">
        <v>17.2</v>
      </c>
      <c r="R24" s="4" t="s">
        <v>44</v>
      </c>
      <c r="S24" s="4">
        <v>310</v>
      </c>
      <c r="T24" s="4">
        <v>320</v>
      </c>
      <c r="U24" s="4">
        <v>5414</v>
      </c>
      <c r="V24" s="4">
        <v>4101</v>
      </c>
      <c r="W24" s="5">
        <v>6.56</v>
      </c>
      <c r="X24" s="5">
        <v>4.2300000000000004</v>
      </c>
      <c r="Y24" s="4">
        <v>1430</v>
      </c>
      <c r="Z24" s="4"/>
      <c r="AA24" s="11">
        <f t="shared" ref="AA24:AF24" si="34">IF(OR(C25=""),"",C25-C24)</f>
        <v>25889</v>
      </c>
      <c r="AB24" s="11">
        <f t="shared" si="34"/>
        <v>29610</v>
      </c>
      <c r="AC24" s="11">
        <f t="shared" si="34"/>
        <v>28000</v>
      </c>
      <c r="AD24" s="11">
        <f t="shared" si="34"/>
        <v>28000</v>
      </c>
      <c r="AE24" s="11">
        <f t="shared" si="34"/>
        <v>98955</v>
      </c>
      <c r="AF24" s="11">
        <f t="shared" si="34"/>
        <v>5485</v>
      </c>
      <c r="AG24" s="11">
        <f t="shared" si="1"/>
        <v>12544</v>
      </c>
      <c r="AH24" s="11">
        <f t="shared" si="2"/>
        <v>98322</v>
      </c>
      <c r="AI24" s="15">
        <f t="shared" si="3"/>
        <v>5485</v>
      </c>
      <c r="AJ24" s="15">
        <f t="shared" si="4"/>
        <v>92837</v>
      </c>
      <c r="AK24" s="15">
        <v>3100</v>
      </c>
      <c r="AL24" s="15">
        <f t="shared" si="5"/>
        <v>5028</v>
      </c>
      <c r="AM24" s="15">
        <f t="shared" si="6"/>
        <v>28</v>
      </c>
      <c r="AN24" s="15">
        <f t="shared" si="7"/>
        <v>2201</v>
      </c>
      <c r="AO24" s="15">
        <f t="shared" si="8"/>
        <v>768</v>
      </c>
      <c r="AP24" s="15">
        <v>2770</v>
      </c>
      <c r="AQ24" s="18">
        <f t="shared" si="9"/>
        <v>54.2</v>
      </c>
      <c r="AR24" s="18">
        <f t="shared" si="10"/>
        <v>0.3</v>
      </c>
      <c r="AS24" s="19">
        <f t="shared" si="11"/>
        <v>23.7</v>
      </c>
      <c r="AT24" s="18">
        <f t="shared" si="12"/>
        <v>8.27</v>
      </c>
    </row>
    <row r="25" spans="1:46">
      <c r="A25" s="6">
        <f t="shared" si="14"/>
        <v>43884</v>
      </c>
      <c r="B25" s="5" t="s">
        <v>48</v>
      </c>
      <c r="C25" s="4">
        <v>14438753</v>
      </c>
      <c r="D25" s="4">
        <v>17214447</v>
      </c>
      <c r="E25" s="4">
        <v>15982000</v>
      </c>
      <c r="F25" s="4">
        <v>15955000</v>
      </c>
      <c r="G25" s="4">
        <v>212410075</v>
      </c>
      <c r="H25" s="4">
        <v>258207</v>
      </c>
      <c r="I25" s="4">
        <v>212409490</v>
      </c>
      <c r="J25" s="4">
        <v>258207</v>
      </c>
      <c r="K25" s="4"/>
      <c r="L25" s="5">
        <v>4246.2</v>
      </c>
      <c r="M25" s="5">
        <v>3563.61</v>
      </c>
      <c r="N25" s="5">
        <v>72231.89</v>
      </c>
      <c r="O25" s="5"/>
      <c r="P25" s="5"/>
      <c r="Q25" s="9">
        <v>17.100000000000001</v>
      </c>
      <c r="R25" s="4" t="s">
        <v>44</v>
      </c>
      <c r="S25" s="4">
        <v>260</v>
      </c>
      <c r="T25" s="4">
        <v>300</v>
      </c>
      <c r="U25" s="4">
        <v>4752</v>
      </c>
      <c r="V25" s="4">
        <v>4012</v>
      </c>
      <c r="W25" s="5">
        <v>6.5</v>
      </c>
      <c r="X25" s="5">
        <v>5.14</v>
      </c>
      <c r="Y25" s="4">
        <v>1433</v>
      </c>
      <c r="Z25" s="4"/>
      <c r="AA25" s="11">
        <f t="shared" ref="AA25:AF25" si="35">IF(OR(C26=""),"",C26-C25)</f>
        <v>25218</v>
      </c>
      <c r="AB25" s="11">
        <f t="shared" si="35"/>
        <v>28482</v>
      </c>
      <c r="AC25" s="11">
        <f t="shared" si="35"/>
        <v>26000</v>
      </c>
      <c r="AD25" s="11">
        <f t="shared" si="35"/>
        <v>26000</v>
      </c>
      <c r="AE25" s="11">
        <f t="shared" si="35"/>
        <v>100475</v>
      </c>
      <c r="AF25" s="11">
        <f t="shared" si="35"/>
        <v>5406</v>
      </c>
      <c r="AG25" s="11">
        <f t="shared" si="1"/>
        <v>5225</v>
      </c>
      <c r="AH25" s="11">
        <f t="shared" si="2"/>
        <v>101406</v>
      </c>
      <c r="AI25" s="15">
        <f t="shared" si="3"/>
        <v>5406</v>
      </c>
      <c r="AJ25" s="15">
        <f t="shared" si="4"/>
        <v>96000</v>
      </c>
      <c r="AK25" s="15">
        <v>2800</v>
      </c>
      <c r="AL25" s="15">
        <f t="shared" si="5"/>
        <v>5016</v>
      </c>
      <c r="AM25" s="15">
        <f t="shared" si="6"/>
        <v>28</v>
      </c>
      <c r="AN25" s="15">
        <f t="shared" si="7"/>
        <v>1846</v>
      </c>
      <c r="AO25" s="15">
        <f t="shared" si="8"/>
        <v>720</v>
      </c>
      <c r="AP25" s="15">
        <v>2920</v>
      </c>
      <c r="AQ25" s="18">
        <f t="shared" si="9"/>
        <v>52.3</v>
      </c>
      <c r="AR25" s="18">
        <f t="shared" si="10"/>
        <v>0.28999999999999998</v>
      </c>
      <c r="AS25" s="19">
        <f t="shared" si="11"/>
        <v>19.2</v>
      </c>
      <c r="AT25" s="18">
        <f t="shared" si="12"/>
        <v>7.5</v>
      </c>
    </row>
    <row r="26" spans="1:46">
      <c r="A26" s="6">
        <f t="shared" si="14"/>
        <v>43885</v>
      </c>
      <c r="B26" s="5" t="s">
        <v>48</v>
      </c>
      <c r="C26" s="4">
        <v>14463971</v>
      </c>
      <c r="D26" s="4">
        <v>17242929</v>
      </c>
      <c r="E26" s="4">
        <v>16008000</v>
      </c>
      <c r="F26" s="4">
        <v>15981000</v>
      </c>
      <c r="G26" s="4">
        <v>212510550</v>
      </c>
      <c r="H26" s="4">
        <v>263613</v>
      </c>
      <c r="I26" s="4">
        <v>212510896</v>
      </c>
      <c r="J26" s="4">
        <v>263613</v>
      </c>
      <c r="K26" s="4"/>
      <c r="L26" s="5">
        <v>4246.2</v>
      </c>
      <c r="M26" s="5">
        <v>3567.79</v>
      </c>
      <c r="N26" s="5">
        <v>72245.87</v>
      </c>
      <c r="O26" s="5"/>
      <c r="P26" s="5"/>
      <c r="Q26" s="9">
        <v>16.5</v>
      </c>
      <c r="R26" s="4" t="s">
        <v>44</v>
      </c>
      <c r="S26" s="4">
        <v>240</v>
      </c>
      <c r="T26" s="4">
        <v>270</v>
      </c>
      <c r="U26" s="4">
        <v>6003</v>
      </c>
      <c r="V26" s="4">
        <v>4020</v>
      </c>
      <c r="W26" s="5">
        <v>6.89</v>
      </c>
      <c r="X26" s="5">
        <v>5.54</v>
      </c>
      <c r="Y26" s="4">
        <v>1436</v>
      </c>
      <c r="Z26" s="4"/>
      <c r="AA26" s="11">
        <f t="shared" ref="AA26:AF26" si="36">IF(OR(C27=""),"",C27-C26)</f>
        <v>31129</v>
      </c>
      <c r="AB26" s="11">
        <f t="shared" si="36"/>
        <v>35409</v>
      </c>
      <c r="AC26" s="11">
        <f t="shared" si="36"/>
        <v>34000</v>
      </c>
      <c r="AD26" s="11">
        <f t="shared" si="36"/>
        <v>34000</v>
      </c>
      <c r="AE26" s="11">
        <f t="shared" si="36"/>
        <v>122348</v>
      </c>
      <c r="AF26" s="11">
        <f t="shared" si="36"/>
        <v>5475</v>
      </c>
      <c r="AG26" s="11">
        <f t="shared" si="1"/>
        <v>12190</v>
      </c>
      <c r="AH26" s="11">
        <f t="shared" si="2"/>
        <v>122055</v>
      </c>
      <c r="AI26" s="15">
        <f t="shared" si="3"/>
        <v>5475</v>
      </c>
      <c r="AJ26" s="15">
        <f t="shared" si="4"/>
        <v>116580</v>
      </c>
      <c r="AK26" s="15">
        <v>3500</v>
      </c>
      <c r="AL26" s="15">
        <f t="shared" si="5"/>
        <v>5004</v>
      </c>
      <c r="AM26" s="15">
        <f t="shared" si="6"/>
        <v>29</v>
      </c>
      <c r="AN26" s="15">
        <f t="shared" si="7"/>
        <v>1704</v>
      </c>
      <c r="AO26" s="15">
        <f t="shared" si="8"/>
        <v>648</v>
      </c>
      <c r="AP26" s="15">
        <v>2800</v>
      </c>
      <c r="AQ26" s="18">
        <f t="shared" si="9"/>
        <v>42.9</v>
      </c>
      <c r="AR26" s="18">
        <f t="shared" si="10"/>
        <v>0.25</v>
      </c>
      <c r="AS26" s="19">
        <f t="shared" si="11"/>
        <v>14.6</v>
      </c>
      <c r="AT26" s="18">
        <f t="shared" si="12"/>
        <v>5.56</v>
      </c>
    </row>
    <row r="27" spans="1:46">
      <c r="A27" s="6">
        <f t="shared" si="14"/>
        <v>43886</v>
      </c>
      <c r="B27" s="5" t="s">
        <v>48</v>
      </c>
      <c r="C27" s="4">
        <v>14495100</v>
      </c>
      <c r="D27" s="4">
        <v>17278338</v>
      </c>
      <c r="E27" s="4">
        <v>16042000</v>
      </c>
      <c r="F27" s="4">
        <v>16015000</v>
      </c>
      <c r="G27" s="4">
        <v>212632898</v>
      </c>
      <c r="H27" s="4">
        <v>269088</v>
      </c>
      <c r="I27" s="4">
        <v>212632951</v>
      </c>
      <c r="J27" s="4">
        <v>269088</v>
      </c>
      <c r="K27" s="4"/>
      <c r="L27" s="5">
        <v>4246.2</v>
      </c>
      <c r="M27" s="5">
        <v>3571.96</v>
      </c>
      <c r="N27" s="5">
        <v>72260.23</v>
      </c>
      <c r="O27" s="5"/>
      <c r="P27" s="5"/>
      <c r="Q27" s="9">
        <v>16.399999999999999</v>
      </c>
      <c r="R27" s="4" t="s">
        <v>76</v>
      </c>
      <c r="S27" s="4">
        <v>230</v>
      </c>
      <c r="T27" s="4">
        <v>250</v>
      </c>
      <c r="U27" s="4">
        <v>7145</v>
      </c>
      <c r="V27" s="4">
        <v>5200</v>
      </c>
      <c r="W27" s="5">
        <v>7.68</v>
      </c>
      <c r="X27" s="5">
        <v>5.84</v>
      </c>
      <c r="Y27" s="4">
        <v>1431</v>
      </c>
      <c r="Z27" s="4"/>
      <c r="AA27" s="11">
        <f t="shared" ref="AA27:AF27" si="37">IF(OR(C28=""),"",C28-C27)</f>
        <v>38407</v>
      </c>
      <c r="AB27" s="11">
        <f t="shared" si="37"/>
        <v>43564</v>
      </c>
      <c r="AC27" s="11">
        <f t="shared" si="37"/>
        <v>42000</v>
      </c>
      <c r="AD27" s="11">
        <f t="shared" si="37"/>
        <v>36000</v>
      </c>
      <c r="AE27" s="11">
        <f t="shared" si="37"/>
        <v>158407</v>
      </c>
      <c r="AF27" s="11">
        <f t="shared" si="37"/>
        <v>5482</v>
      </c>
      <c r="AG27" s="11">
        <f t="shared" si="1"/>
        <v>1564</v>
      </c>
      <c r="AH27" s="11">
        <f t="shared" si="2"/>
        <v>157529</v>
      </c>
      <c r="AI27" s="15">
        <f t="shared" si="3"/>
        <v>5482</v>
      </c>
      <c r="AJ27" s="15">
        <f t="shared" si="4"/>
        <v>152047</v>
      </c>
      <c r="AK27" s="15">
        <v>4000</v>
      </c>
      <c r="AL27" s="15">
        <f t="shared" si="5"/>
        <v>4968</v>
      </c>
      <c r="AM27" s="15">
        <f t="shared" si="6"/>
        <v>28</v>
      </c>
      <c r="AN27" s="15">
        <f t="shared" si="7"/>
        <v>1633</v>
      </c>
      <c r="AO27" s="15">
        <f t="shared" si="8"/>
        <v>600</v>
      </c>
      <c r="AP27" s="15">
        <v>2780</v>
      </c>
      <c r="AQ27" s="18">
        <f t="shared" si="9"/>
        <v>32.700000000000003</v>
      </c>
      <c r="AR27" s="18">
        <f t="shared" si="10"/>
        <v>0.18</v>
      </c>
      <c r="AS27" s="19">
        <f t="shared" si="11"/>
        <v>10.7</v>
      </c>
      <c r="AT27" s="18">
        <f t="shared" si="12"/>
        <v>3.95</v>
      </c>
    </row>
    <row r="28" spans="1:46">
      <c r="A28" s="6">
        <f t="shared" si="14"/>
        <v>43887</v>
      </c>
      <c r="B28" s="5" t="s">
        <v>48</v>
      </c>
      <c r="C28" s="4">
        <v>14533507</v>
      </c>
      <c r="D28" s="4">
        <v>17321902</v>
      </c>
      <c r="E28" s="4">
        <v>16084000</v>
      </c>
      <c r="F28" s="4">
        <v>16051000</v>
      </c>
      <c r="G28" s="4">
        <v>212791305</v>
      </c>
      <c r="H28" s="4">
        <v>274570</v>
      </c>
      <c r="I28" s="4">
        <v>212790480</v>
      </c>
      <c r="J28" s="4">
        <v>274570</v>
      </c>
      <c r="K28" s="4"/>
      <c r="L28" s="5">
        <v>4246.2</v>
      </c>
      <c r="M28" s="5">
        <v>3576.1</v>
      </c>
      <c r="N28" s="5">
        <v>72274.14</v>
      </c>
      <c r="O28" s="5"/>
      <c r="P28" s="5"/>
      <c r="Q28" s="9">
        <v>17.100000000000001</v>
      </c>
      <c r="R28" s="4" t="s">
        <v>53</v>
      </c>
      <c r="S28" s="4">
        <v>240</v>
      </c>
      <c r="T28" s="4">
        <v>260</v>
      </c>
      <c r="U28" s="4">
        <v>9352</v>
      </c>
      <c r="V28" s="4">
        <v>9028</v>
      </c>
      <c r="W28" s="5">
        <v>7.73</v>
      </c>
      <c r="X28" s="5">
        <v>6.63</v>
      </c>
      <c r="Y28" s="4">
        <v>1440</v>
      </c>
      <c r="Z28" s="4"/>
      <c r="AA28" s="11">
        <f t="shared" ref="AA28:AF28" si="38">IF(OR(C29=""),"",C29-C28)</f>
        <v>48618</v>
      </c>
      <c r="AB28" s="11">
        <f t="shared" si="38"/>
        <v>58513</v>
      </c>
      <c r="AC28" s="11">
        <f t="shared" si="38"/>
        <v>54000</v>
      </c>
      <c r="AD28" s="11">
        <f t="shared" si="38"/>
        <v>59000</v>
      </c>
      <c r="AE28" s="11">
        <f t="shared" si="38"/>
        <v>205462</v>
      </c>
      <c r="AF28" s="11">
        <f t="shared" si="38"/>
        <v>5466</v>
      </c>
      <c r="AG28" s="11">
        <f t="shared" si="1"/>
        <v>14669</v>
      </c>
      <c r="AH28" s="11">
        <f t="shared" si="2"/>
        <v>206481</v>
      </c>
      <c r="AI28" s="15">
        <f t="shared" si="3"/>
        <v>5466</v>
      </c>
      <c r="AJ28" s="15">
        <f t="shared" si="4"/>
        <v>201015</v>
      </c>
      <c r="AK28" s="15">
        <v>3500</v>
      </c>
      <c r="AL28" s="15">
        <f t="shared" si="5"/>
        <v>4848</v>
      </c>
      <c r="AM28" s="15">
        <f t="shared" si="6"/>
        <v>29</v>
      </c>
      <c r="AN28" s="15">
        <f t="shared" si="7"/>
        <v>1704</v>
      </c>
      <c r="AO28" s="15">
        <f t="shared" si="8"/>
        <v>624</v>
      </c>
      <c r="AP28" s="15">
        <v>2550</v>
      </c>
      <c r="AQ28" s="18">
        <f t="shared" si="9"/>
        <v>24.1</v>
      </c>
      <c r="AR28" s="18">
        <f t="shared" si="10"/>
        <v>0.14000000000000001</v>
      </c>
      <c r="AS28" s="19">
        <f t="shared" si="11"/>
        <v>8.5</v>
      </c>
      <c r="AT28" s="18">
        <f t="shared" si="12"/>
        <v>3.1</v>
      </c>
    </row>
    <row r="29" spans="1:46">
      <c r="A29" s="6">
        <f t="shared" si="14"/>
        <v>43888</v>
      </c>
      <c r="B29" s="5" t="s">
        <v>47</v>
      </c>
      <c r="C29" s="4">
        <v>14582125</v>
      </c>
      <c r="D29" s="4">
        <v>17380415</v>
      </c>
      <c r="E29" s="4">
        <v>16138000</v>
      </c>
      <c r="F29" s="4">
        <v>16110000</v>
      </c>
      <c r="G29" s="4">
        <v>212996767</v>
      </c>
      <c r="H29" s="4">
        <v>280036</v>
      </c>
      <c r="I29" s="4">
        <v>212996961</v>
      </c>
      <c r="J29" s="4">
        <v>280036</v>
      </c>
      <c r="K29" s="4"/>
      <c r="L29" s="5">
        <v>4246.2</v>
      </c>
      <c r="M29" s="5">
        <v>3580.14</v>
      </c>
      <c r="N29" s="5">
        <v>72288.67</v>
      </c>
      <c r="O29" s="5"/>
      <c r="P29" s="5"/>
      <c r="Q29" s="9">
        <v>16.2</v>
      </c>
      <c r="R29" s="4" t="s">
        <v>53</v>
      </c>
      <c r="S29" s="4">
        <v>400</v>
      </c>
      <c r="T29" s="4">
        <v>420</v>
      </c>
      <c r="U29" s="4">
        <v>9089</v>
      </c>
      <c r="V29" s="4">
        <v>8859</v>
      </c>
      <c r="W29" s="5">
        <v>6.53</v>
      </c>
      <c r="X29" s="5">
        <v>6.07</v>
      </c>
      <c r="Y29" s="4">
        <v>1440</v>
      </c>
      <c r="Z29" s="4"/>
      <c r="AA29" s="11">
        <f t="shared" ref="AA29:AF30" si="39">IF(OR(C30=""),"",C30-C29)</f>
        <v>47705</v>
      </c>
      <c r="AB29" s="11">
        <f t="shared" si="39"/>
        <v>56338</v>
      </c>
      <c r="AC29" s="11">
        <f t="shared" si="39"/>
        <v>52000</v>
      </c>
      <c r="AD29" s="11">
        <f t="shared" si="39"/>
        <v>53000</v>
      </c>
      <c r="AE29" s="11">
        <f t="shared" si="39"/>
        <v>207465</v>
      </c>
      <c r="AF29" s="11">
        <f t="shared" si="39"/>
        <v>5440</v>
      </c>
      <c r="AG29" s="11">
        <f t="shared" si="1"/>
        <v>1578</v>
      </c>
      <c r="AH29" s="11">
        <f t="shared" si="2"/>
        <v>206980</v>
      </c>
      <c r="AI29" s="15">
        <f t="shared" si="3"/>
        <v>5440</v>
      </c>
      <c r="AJ29" s="15">
        <f t="shared" si="4"/>
        <v>201540</v>
      </c>
      <c r="AK29" s="15">
        <v>3960</v>
      </c>
      <c r="AL29" s="15">
        <f t="shared" si="5"/>
        <v>4896</v>
      </c>
      <c r="AM29" s="15">
        <f t="shared" si="6"/>
        <v>30</v>
      </c>
      <c r="AN29" s="15">
        <f t="shared" si="7"/>
        <v>2840</v>
      </c>
      <c r="AO29" s="15">
        <f t="shared" si="8"/>
        <v>1008</v>
      </c>
      <c r="AP29" s="15">
        <v>1690</v>
      </c>
      <c r="AQ29" s="18">
        <f t="shared" si="9"/>
        <v>24.3</v>
      </c>
      <c r="AR29" s="18">
        <f t="shared" si="10"/>
        <v>0.15</v>
      </c>
      <c r="AS29" s="19">
        <f t="shared" si="11"/>
        <v>14.1</v>
      </c>
      <c r="AT29" s="18">
        <f t="shared" si="12"/>
        <v>5</v>
      </c>
    </row>
    <row r="30" spans="1:46">
      <c r="A30" s="6">
        <f t="shared" si="14"/>
        <v>43889</v>
      </c>
      <c r="B30" s="5" t="s">
        <v>77</v>
      </c>
      <c r="C30" s="4">
        <v>14629830</v>
      </c>
      <c r="D30" s="4">
        <v>17436753</v>
      </c>
      <c r="E30" s="4">
        <v>16190000</v>
      </c>
      <c r="F30" s="4">
        <v>16163000</v>
      </c>
      <c r="G30" s="4">
        <v>213204232</v>
      </c>
      <c r="H30" s="4">
        <v>285476</v>
      </c>
      <c r="I30" s="4">
        <v>213203941</v>
      </c>
      <c r="J30" s="4">
        <v>285476</v>
      </c>
      <c r="K30" s="4"/>
      <c r="L30" s="5">
        <v>4246.2</v>
      </c>
      <c r="M30" s="5">
        <v>3584.22</v>
      </c>
      <c r="N30" s="5">
        <v>72303.7</v>
      </c>
      <c r="O30" s="5"/>
      <c r="P30" s="5"/>
      <c r="Q30" s="9">
        <v>18.2</v>
      </c>
      <c r="R30" s="4" t="s">
        <v>49</v>
      </c>
      <c r="S30" s="4">
        <v>410</v>
      </c>
      <c r="T30" s="4">
        <v>430</v>
      </c>
      <c r="U30" s="4">
        <v>9102</v>
      </c>
      <c r="V30" s="4">
        <v>7012</v>
      </c>
      <c r="W30" s="5">
        <v>5.77</v>
      </c>
      <c r="X30" s="5">
        <v>4.75</v>
      </c>
      <c r="Y30" s="4">
        <v>1437</v>
      </c>
      <c r="Z30" s="4"/>
      <c r="AA30" s="11">
        <f t="shared" si="39"/>
        <v>49376</v>
      </c>
      <c r="AB30" s="11">
        <f t="shared" si="39"/>
        <v>58035</v>
      </c>
      <c r="AC30" s="11">
        <f t="shared" si="39"/>
        <v>54000</v>
      </c>
      <c r="AD30" s="11">
        <f t="shared" si="39"/>
        <v>54000</v>
      </c>
      <c r="AE30" s="11">
        <f t="shared" si="39"/>
        <v>209964</v>
      </c>
      <c r="AF30" s="11">
        <f t="shared" si="39"/>
        <v>5429</v>
      </c>
      <c r="AG30" s="11">
        <f t="shared" si="1"/>
        <v>5447</v>
      </c>
      <c r="AH30" s="11">
        <f t="shared" si="2"/>
        <v>211120</v>
      </c>
      <c r="AI30" s="15">
        <f t="shared" si="3"/>
        <v>5429</v>
      </c>
      <c r="AJ30" s="15">
        <f t="shared" si="4"/>
        <v>205691</v>
      </c>
      <c r="AK30" s="15">
        <v>4400</v>
      </c>
      <c r="AL30" s="15">
        <f t="shared" si="5"/>
        <v>2856</v>
      </c>
      <c r="AM30" s="15">
        <f t="shared" si="6"/>
        <v>15</v>
      </c>
      <c r="AN30" s="15">
        <f t="shared" si="7"/>
        <v>2911</v>
      </c>
      <c r="AO30" s="15">
        <f t="shared" si="8"/>
        <v>1032</v>
      </c>
      <c r="AP30" s="15">
        <v>2600</v>
      </c>
      <c r="AQ30" s="18">
        <f t="shared" si="9"/>
        <v>13.9</v>
      </c>
      <c r="AR30" s="18">
        <f t="shared" si="10"/>
        <v>7.0000000000000007E-2</v>
      </c>
      <c r="AS30" s="19">
        <f t="shared" si="11"/>
        <v>14.2</v>
      </c>
      <c r="AT30" s="18">
        <f t="shared" si="12"/>
        <v>5.0199999999999996</v>
      </c>
    </row>
    <row r="31" spans="1:46">
      <c r="A31" s="6">
        <v>44256</v>
      </c>
      <c r="B31" s="5" t="s">
        <v>48</v>
      </c>
      <c r="C31" s="4">
        <v>14679206</v>
      </c>
      <c r="D31" s="4">
        <v>17494788</v>
      </c>
      <c r="E31" s="4">
        <v>16244000</v>
      </c>
      <c r="F31" s="4">
        <v>16217000</v>
      </c>
      <c r="G31" s="4">
        <v>213414196</v>
      </c>
      <c r="H31" s="4">
        <v>290905</v>
      </c>
      <c r="I31" s="4">
        <v>213415061</v>
      </c>
      <c r="J31" s="4">
        <v>290905</v>
      </c>
      <c r="K31" s="4"/>
      <c r="L31" s="5">
        <v>4246.2</v>
      </c>
      <c r="M31" s="5">
        <v>3586.6</v>
      </c>
      <c r="N31" s="5">
        <v>72311.360000000001</v>
      </c>
      <c r="O31" s="5"/>
      <c r="P31" s="5"/>
      <c r="Q31" s="9">
        <v>17.3</v>
      </c>
      <c r="R31" s="4" t="s">
        <v>53</v>
      </c>
      <c r="S31" s="4"/>
      <c r="T31" s="4"/>
      <c r="U31" s="4"/>
      <c r="V31" s="4"/>
      <c r="W31" s="5"/>
      <c r="X31" s="5"/>
      <c r="Y31" s="4"/>
      <c r="Z31" s="4"/>
      <c r="AA31" s="11" t="str">
        <f t="shared" ref="AA31:AF31" si="40">IF(OR(C32=""),"",C32-C31)</f>
        <v/>
      </c>
      <c r="AB31" s="11" t="str">
        <f t="shared" si="40"/>
        <v/>
      </c>
      <c r="AC31" s="11" t="str">
        <f t="shared" si="40"/>
        <v/>
      </c>
      <c r="AD31" s="11" t="str">
        <f t="shared" si="40"/>
        <v/>
      </c>
      <c r="AE31" s="11" t="str">
        <f t="shared" si="40"/>
        <v/>
      </c>
      <c r="AF31" s="11" t="str">
        <f t="shared" si="40"/>
        <v/>
      </c>
      <c r="AG31" s="11" t="str">
        <f t="shared" si="1"/>
        <v/>
      </c>
      <c r="AH31" s="11" t="str">
        <f t="shared" si="2"/>
        <v/>
      </c>
      <c r="AI31" s="15" t="str">
        <f t="shared" si="3"/>
        <v/>
      </c>
      <c r="AJ31" s="15" t="str">
        <f t="shared" si="4"/>
        <v/>
      </c>
      <c r="AK31" s="15" t="str">
        <f t="shared" ref="AK31:AK32" si="41">IF(K31="","",K32-K31)</f>
        <v/>
      </c>
      <c r="AL31" s="15" t="str">
        <f t="shared" si="5"/>
        <v/>
      </c>
      <c r="AM31" s="15" t="str">
        <f t="shared" si="6"/>
        <v/>
      </c>
      <c r="AN31" s="15" t="str">
        <f t="shared" si="7"/>
        <v/>
      </c>
      <c r="AO31" s="15" t="str">
        <f t="shared" si="8"/>
        <v/>
      </c>
      <c r="AP31" s="15"/>
      <c r="AQ31" s="18" t="str">
        <f t="shared" si="9"/>
        <v/>
      </c>
      <c r="AR31" s="18" t="str">
        <f t="shared" si="10"/>
        <v/>
      </c>
      <c r="AS31" s="19" t="str">
        <f t="shared" si="11"/>
        <v/>
      </c>
      <c r="AT31" s="18" t="str">
        <f t="shared" si="12"/>
        <v/>
      </c>
    </row>
    <row r="32" spans="1:46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5"/>
      <c r="O32" s="5"/>
      <c r="P32" s="5"/>
      <c r="Q32" s="9"/>
      <c r="R32" s="4"/>
      <c r="S32" s="4"/>
      <c r="T32" s="4"/>
      <c r="U32" s="4"/>
      <c r="V32" s="4"/>
      <c r="W32" s="5"/>
      <c r="X32" s="5"/>
      <c r="Y32" s="4"/>
      <c r="Z32" s="4"/>
      <c r="AA32" s="11" t="str">
        <f t="shared" ref="AA32:AF32" si="42">IF(OR(C33=""),"",C33-C32)</f>
        <v/>
      </c>
      <c r="AB32" s="11" t="str">
        <f t="shared" si="42"/>
        <v/>
      </c>
      <c r="AC32" s="11" t="str">
        <f t="shared" si="42"/>
        <v/>
      </c>
      <c r="AD32" s="11" t="str">
        <f t="shared" si="42"/>
        <v/>
      </c>
      <c r="AE32" s="11" t="str">
        <f t="shared" si="42"/>
        <v/>
      </c>
      <c r="AF32" s="11" t="str">
        <f t="shared" si="42"/>
        <v/>
      </c>
      <c r="AG32" s="11" t="str">
        <f t="shared" si="1"/>
        <v/>
      </c>
      <c r="AH32" s="11" t="str">
        <f t="shared" si="2"/>
        <v/>
      </c>
      <c r="AI32" s="15" t="str">
        <f t="shared" si="3"/>
        <v/>
      </c>
      <c r="AJ32" s="15" t="str">
        <f t="shared" si="4"/>
        <v/>
      </c>
      <c r="AK32" s="15" t="str">
        <f t="shared" si="41"/>
        <v/>
      </c>
      <c r="AL32" s="15" t="str">
        <f t="shared" si="5"/>
        <v/>
      </c>
      <c r="AM32" s="15" t="str">
        <f t="shared" si="6"/>
        <v/>
      </c>
      <c r="AN32" s="15" t="str">
        <f t="shared" si="7"/>
        <v/>
      </c>
      <c r="AO32" s="15" t="str">
        <f t="shared" si="8"/>
        <v/>
      </c>
      <c r="AP32" s="15"/>
      <c r="AQ32" s="18" t="str">
        <f t="shared" si="9"/>
        <v/>
      </c>
      <c r="AR32" s="18" t="str">
        <f t="shared" si="10"/>
        <v/>
      </c>
      <c r="AS32" s="19" t="str">
        <f t="shared" si="11"/>
        <v/>
      </c>
      <c r="AT32" s="18" t="str">
        <f t="shared" si="12"/>
        <v/>
      </c>
    </row>
    <row r="33" spans="1:46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5"/>
      <c r="O33" s="5"/>
      <c r="P33" s="5"/>
      <c r="Q33" s="9"/>
      <c r="R33" s="4"/>
      <c r="Z33" s="12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6"/>
      <c r="AL33" s="13"/>
      <c r="AM33" s="13"/>
      <c r="AN33" s="13"/>
      <c r="AO33" s="13"/>
      <c r="AP33" s="13"/>
      <c r="AQ33" s="20"/>
      <c r="AR33" s="21"/>
      <c r="AS33" s="20"/>
      <c r="AT33" s="21"/>
    </row>
    <row r="34" spans="1:46">
      <c r="P34" s="2"/>
      <c r="Q34" s="10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 t="str">
        <f t="shared" ref="AA35:AF35" si="43">IF(OR(C36=""),"",C36-C35)</f>
        <v/>
      </c>
      <c r="AB35" s="13" t="str">
        <f t="shared" si="43"/>
        <v/>
      </c>
      <c r="AC35" s="13" t="str">
        <f t="shared" si="43"/>
        <v/>
      </c>
      <c r="AD35" s="13" t="str">
        <f t="shared" si="43"/>
        <v/>
      </c>
      <c r="AE35" s="13" t="str">
        <f t="shared" si="43"/>
        <v/>
      </c>
      <c r="AF35" s="13" t="str">
        <f t="shared" si="43"/>
        <v/>
      </c>
      <c r="AG35" s="13" t="str">
        <f>IF(OR(AA35="",AB35="",AC35=""),"",AA35+AB35+AC35+AD35-AE35)</f>
        <v/>
      </c>
      <c r="AH35" s="17">
        <f t="shared" ref="AH35:AO35" si="44">SUM(AH3:AH33)</f>
        <v>3309586</v>
      </c>
      <c r="AI35" s="17">
        <f t="shared" si="44"/>
        <v>151195</v>
      </c>
      <c r="AJ35" s="17">
        <f t="shared" si="44"/>
        <v>3158391</v>
      </c>
      <c r="AK35" s="17">
        <f t="shared" si="44"/>
        <v>76240</v>
      </c>
      <c r="AL35" s="17">
        <f t="shared" si="44"/>
        <v>175788</v>
      </c>
      <c r="AM35" s="17">
        <f t="shared" si="44"/>
        <v>724</v>
      </c>
      <c r="AN35" s="17">
        <f t="shared" si="44"/>
        <v>66243</v>
      </c>
      <c r="AO35" s="17">
        <f t="shared" si="44"/>
        <v>23160</v>
      </c>
      <c r="AP35" s="17"/>
      <c r="AQ35" s="22">
        <f>IF(OR($AJ35=0),"",ROUND(AL35/$AJ35*1000,1))</f>
        <v>55.7</v>
      </c>
      <c r="AR35" s="22">
        <f>IF(OR($AJ35=0),"",ROUND(AM35/$AJ35*1000,2))</f>
        <v>0.23</v>
      </c>
      <c r="AS35" s="23">
        <f>IF(OR($AJ35=0),"",ROUND(AN35/$AJ35*1000,1))</f>
        <v>21</v>
      </c>
      <c r="AT35" s="22">
        <f>IF(OR($AJ35=0),"",ROUND(AO35/$AJ35*1000,2))</f>
        <v>7.33</v>
      </c>
    </row>
    <row r="36" spans="1:46">
      <c r="C36" s="8"/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AU43"/>
  <sheetViews>
    <sheetView showGridLines="0" zoomScale="110" zoomScaleNormal="110" workbookViewId="0">
      <pane xSplit="2" ySplit="2" topLeftCell="X9" activePane="bottomRight" state="frozen"/>
      <selection pane="topRight"/>
      <selection pane="bottomLeft"/>
      <selection pane="bottomRight" activeCell="AL19" sqref="AL19"/>
    </sheetView>
  </sheetViews>
  <sheetFormatPr defaultColWidth="10.6640625" defaultRowHeight="13.2"/>
  <cols>
    <col min="1" max="1" width="6.21875" style="1" customWidth="1"/>
    <col min="2" max="2" width="8.6640625" style="2" customWidth="1"/>
    <col min="3" max="3" width="12.44140625" style="1" customWidth="1"/>
    <col min="4" max="4" width="11.88671875" style="1" customWidth="1"/>
    <col min="5" max="5" width="12.33203125" style="1" customWidth="1"/>
    <col min="6" max="7" width="11.33203125" style="1" customWidth="1"/>
    <col min="8" max="8" width="9.6640625" style="1" customWidth="1"/>
    <col min="9" max="9" width="11.44140625" style="1" customWidth="1"/>
    <col min="10" max="10" width="9.664062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1" width="8.109375" style="2" customWidth="1"/>
    <col min="42" max="42" width="8.109375" style="27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7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29" t="s">
        <v>83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7">
      <c r="A3" s="6">
        <v>43891</v>
      </c>
      <c r="B3" s="7" t="str">
        <f>'2'!B31</f>
        <v>陈智娇</v>
      </c>
      <c r="C3" s="7">
        <f>'2'!C31</f>
        <v>14679206</v>
      </c>
      <c r="D3" s="7">
        <f>'2'!D31</f>
        <v>17494788</v>
      </c>
      <c r="E3" s="7">
        <f>'2'!E31</f>
        <v>16244000</v>
      </c>
      <c r="F3" s="7">
        <f>'2'!F31</f>
        <v>16217000</v>
      </c>
      <c r="G3" s="7">
        <f>'2'!G31</f>
        <v>213414196</v>
      </c>
      <c r="H3" s="7">
        <f>'2'!H31</f>
        <v>290905</v>
      </c>
      <c r="I3" s="7">
        <f>'2'!I31</f>
        <v>213415061</v>
      </c>
      <c r="J3" s="7">
        <f>'2'!J31</f>
        <v>290905</v>
      </c>
      <c r="K3" s="7">
        <f>'2'!K31</f>
        <v>0</v>
      </c>
      <c r="L3" s="7">
        <f>'2'!L31</f>
        <v>4246.2</v>
      </c>
      <c r="M3" s="7">
        <f>'2'!M31</f>
        <v>3586.6</v>
      </c>
      <c r="N3" s="7">
        <f>'2'!N31</f>
        <v>72311.360000000001</v>
      </c>
      <c r="O3" s="7">
        <f>'2'!O31</f>
        <v>0</v>
      </c>
      <c r="P3" s="7">
        <f>'2'!P31</f>
        <v>0</v>
      </c>
      <c r="Q3" s="7">
        <f>'2'!Q31</f>
        <v>17.3</v>
      </c>
      <c r="R3" s="7" t="str">
        <f>'2'!R31</f>
        <v>雨</v>
      </c>
      <c r="S3" s="4">
        <v>570</v>
      </c>
      <c r="T3" s="4">
        <v>600</v>
      </c>
      <c r="U3" s="4">
        <v>9256</v>
      </c>
      <c r="V3" s="4">
        <v>7120</v>
      </c>
      <c r="W3" s="5">
        <v>6.55</v>
      </c>
      <c r="X3" s="5">
        <v>5.25</v>
      </c>
      <c r="Y3" s="4">
        <v>1435</v>
      </c>
      <c r="Z3" s="4"/>
      <c r="AA3" s="11">
        <f t="shared" ref="AA3:AF3" si="0">IF(OR(C4=""),"",C4-C3)</f>
        <v>48024</v>
      </c>
      <c r="AB3" s="11">
        <f t="shared" si="0"/>
        <v>57062</v>
      </c>
      <c r="AC3" s="11">
        <f t="shared" si="0"/>
        <v>52000</v>
      </c>
      <c r="AD3" s="11">
        <f t="shared" si="0"/>
        <v>52000</v>
      </c>
      <c r="AE3" s="11">
        <f t="shared" si="0"/>
        <v>211585</v>
      </c>
      <c r="AF3" s="11">
        <f t="shared" si="0"/>
        <v>5573</v>
      </c>
      <c r="AG3" s="11">
        <f t="shared" ref="AG3:AG33" si="1">IF(OR(AA3="",AB3="",AC3=""),"",AA3+AB3+AC3+AD3-AE3)</f>
        <v>-2499</v>
      </c>
      <c r="AH3" s="11">
        <f t="shared" ref="AH3:AH33" si="2">IF(OR(I4=""),"",I4-I3)</f>
        <v>207629</v>
      </c>
      <c r="AI3" s="15">
        <f t="shared" ref="AI3:AI33" si="3">IF(OR(J4=""),"",J4-J3)</f>
        <v>5573</v>
      </c>
      <c r="AJ3" s="15">
        <f t="shared" ref="AJ3:AJ33" si="4">IF(OR(AH3="",AI3=""),"",AH3-AI3)</f>
        <v>202056</v>
      </c>
      <c r="AK3" s="15">
        <v>3440</v>
      </c>
      <c r="AL3" s="15">
        <f t="shared" ref="AL3:AL33" si="5">IF(OR(L4="",M4=""),"",ROUND((L4-L3+M4-M3)*1200,0))</f>
        <v>4740</v>
      </c>
      <c r="AM3" s="15">
        <f t="shared" ref="AM3:AM33" si="6">IF(OR(N4=""),"",(ROUND((N4-N3)*2,0)))</f>
        <v>22</v>
      </c>
      <c r="AN3" s="15">
        <f t="shared" ref="AN3:AN33" si="7">IF(OR(S3=""),"",ROUND(S3*7.1,0))</f>
        <v>4047</v>
      </c>
      <c r="AO3" s="15">
        <f t="shared" ref="AO3:AO33" si="8">IF(OR(T3=""),"",ROUND(T3*2.4,0))</f>
        <v>1440</v>
      </c>
      <c r="AP3" s="30" t="s">
        <v>105</v>
      </c>
      <c r="AQ3" s="18">
        <f t="shared" ref="AQ3:AQ33" si="9">IF(OR($AJ3=""),"",ROUND(AL3/$AJ3*1000,1))</f>
        <v>23.5</v>
      </c>
      <c r="AR3" s="18">
        <f t="shared" ref="AR3:AR33" si="10">IF(OR($AJ3=""),"",ROUND(AM3/$AJ3*1000,2))</f>
        <v>0.11</v>
      </c>
      <c r="AS3" s="19">
        <f t="shared" ref="AS3:AS33" si="11">IF(OR($AJ3=""),"",ROUND(AN3/$AJ3*1000,1))</f>
        <v>20</v>
      </c>
      <c r="AT3" s="18">
        <f t="shared" ref="AT3:AT33" si="12">IF(OR($AJ3=""),"",ROUND(AO3/$AJ3*1000,2))</f>
        <v>7.13</v>
      </c>
      <c r="AU3" s="27"/>
    </row>
    <row r="4" spans="1:47">
      <c r="A4" s="6">
        <v>43526</v>
      </c>
      <c r="B4" s="5" t="s">
        <v>78</v>
      </c>
      <c r="C4" s="4">
        <v>14727230</v>
      </c>
      <c r="D4" s="4">
        <v>17551850</v>
      </c>
      <c r="E4" s="4">
        <v>16296000</v>
      </c>
      <c r="F4" s="4">
        <v>16269000</v>
      </c>
      <c r="G4" s="4">
        <v>213625781</v>
      </c>
      <c r="H4" s="4">
        <v>296478</v>
      </c>
      <c r="I4" s="4">
        <v>213622690</v>
      </c>
      <c r="J4" s="4">
        <v>296478</v>
      </c>
      <c r="K4" s="4"/>
      <c r="L4" s="5">
        <v>4246.2</v>
      </c>
      <c r="M4" s="5">
        <v>3590.55</v>
      </c>
      <c r="N4" s="5">
        <v>72322.460000000006</v>
      </c>
      <c r="O4" s="5"/>
      <c r="P4" s="5"/>
      <c r="Q4" s="9">
        <v>16.899999999999999</v>
      </c>
      <c r="R4" s="4" t="s">
        <v>79</v>
      </c>
      <c r="S4" s="4">
        <v>560</v>
      </c>
      <c r="T4" s="4">
        <v>580</v>
      </c>
      <c r="U4" s="4">
        <v>9310</v>
      </c>
      <c r="V4" s="4">
        <v>7354</v>
      </c>
      <c r="W4" s="5">
        <v>6.58</v>
      </c>
      <c r="X4" s="5">
        <v>6.01</v>
      </c>
      <c r="Y4" s="4">
        <v>1432</v>
      </c>
      <c r="Z4" s="4"/>
      <c r="AA4" s="11">
        <f t="shared" ref="AA4:AF4" si="13">IF(OR(C5=""),"",C5-C4)</f>
        <v>48801</v>
      </c>
      <c r="AB4" s="11">
        <f t="shared" si="13"/>
        <v>58335</v>
      </c>
      <c r="AC4" s="11">
        <f t="shared" si="13"/>
        <v>53000</v>
      </c>
      <c r="AD4" s="11">
        <f t="shared" si="13"/>
        <v>53000</v>
      </c>
      <c r="AE4" s="11">
        <f t="shared" si="13"/>
        <v>204784</v>
      </c>
      <c r="AF4" s="11">
        <f t="shared" si="13"/>
        <v>5367</v>
      </c>
      <c r="AG4" s="11">
        <f t="shared" si="1"/>
        <v>8352</v>
      </c>
      <c r="AH4" s="11">
        <f t="shared" si="2"/>
        <v>207632</v>
      </c>
      <c r="AI4" s="15">
        <f t="shared" si="3"/>
        <v>5367</v>
      </c>
      <c r="AJ4" s="15">
        <f t="shared" si="4"/>
        <v>202265</v>
      </c>
      <c r="AK4" s="15">
        <v>2800</v>
      </c>
      <c r="AL4" s="15">
        <f t="shared" si="5"/>
        <v>10020</v>
      </c>
      <c r="AM4" s="15">
        <f t="shared" si="6"/>
        <v>32</v>
      </c>
      <c r="AN4" s="15">
        <f t="shared" si="7"/>
        <v>3976</v>
      </c>
      <c r="AO4" s="15">
        <f t="shared" si="8"/>
        <v>1392</v>
      </c>
      <c r="AP4" s="30" t="s">
        <v>105</v>
      </c>
      <c r="AQ4" s="18">
        <f t="shared" si="9"/>
        <v>49.5</v>
      </c>
      <c r="AR4" s="18">
        <f t="shared" si="10"/>
        <v>0.16</v>
      </c>
      <c r="AS4" s="19">
        <f t="shared" si="11"/>
        <v>19.7</v>
      </c>
      <c r="AT4" s="18">
        <f t="shared" si="12"/>
        <v>6.88</v>
      </c>
      <c r="AU4" s="27"/>
    </row>
    <row r="5" spans="1:47">
      <c r="A5" s="6">
        <v>43527</v>
      </c>
      <c r="B5" s="5" t="s">
        <v>48</v>
      </c>
      <c r="C5" s="4">
        <v>14776031</v>
      </c>
      <c r="D5" s="4">
        <v>17610185</v>
      </c>
      <c r="E5" s="4">
        <v>16349000</v>
      </c>
      <c r="F5" s="4">
        <v>16322000</v>
      </c>
      <c r="G5" s="4">
        <v>213830565</v>
      </c>
      <c r="H5" s="4">
        <v>301845</v>
      </c>
      <c r="I5" s="4">
        <v>213830322</v>
      </c>
      <c r="J5" s="4">
        <v>301845</v>
      </c>
      <c r="K5" s="4"/>
      <c r="L5" s="5">
        <v>4246.2</v>
      </c>
      <c r="M5" s="5">
        <v>3598.9</v>
      </c>
      <c r="N5" s="5">
        <v>72338.3</v>
      </c>
      <c r="O5" s="5"/>
      <c r="P5" s="5"/>
      <c r="Q5" s="9">
        <v>17</v>
      </c>
      <c r="R5" s="4" t="s">
        <v>44</v>
      </c>
      <c r="S5" s="4">
        <v>540</v>
      </c>
      <c r="T5" s="4">
        <v>570</v>
      </c>
      <c r="U5" s="4">
        <v>9456</v>
      </c>
      <c r="V5" s="4">
        <v>6512</v>
      </c>
      <c r="W5" s="5">
        <v>6.66</v>
      </c>
      <c r="X5" s="5">
        <v>4.8499999999999996</v>
      </c>
      <c r="Y5" s="4">
        <v>1435</v>
      </c>
      <c r="Z5" s="4"/>
      <c r="AA5" s="11">
        <f t="shared" ref="AA5:AF5" si="14">IF(OR(C6=""),"",C6-C5)</f>
        <v>47779</v>
      </c>
      <c r="AB5" s="11">
        <f t="shared" si="14"/>
        <v>56922</v>
      </c>
      <c r="AC5" s="11">
        <f t="shared" si="14"/>
        <v>53000</v>
      </c>
      <c r="AD5" s="11">
        <f t="shared" si="14"/>
        <v>53000</v>
      </c>
      <c r="AE5" s="11">
        <f t="shared" si="14"/>
        <v>205744</v>
      </c>
      <c r="AF5" s="11">
        <f t="shared" si="14"/>
        <v>5452</v>
      </c>
      <c r="AG5" s="11">
        <f t="shared" si="1"/>
        <v>4957</v>
      </c>
      <c r="AH5" s="11">
        <f t="shared" si="2"/>
        <v>205717</v>
      </c>
      <c r="AI5" s="15">
        <f t="shared" si="3"/>
        <v>5452</v>
      </c>
      <c r="AJ5" s="15">
        <f t="shared" si="4"/>
        <v>200265</v>
      </c>
      <c r="AK5" s="15">
        <v>2640</v>
      </c>
      <c r="AL5" s="15">
        <f t="shared" si="5"/>
        <v>9864</v>
      </c>
      <c r="AM5" s="15">
        <f t="shared" si="6"/>
        <v>34</v>
      </c>
      <c r="AN5" s="15">
        <f t="shared" si="7"/>
        <v>3834</v>
      </c>
      <c r="AO5" s="15">
        <f t="shared" si="8"/>
        <v>1368</v>
      </c>
      <c r="AP5" s="30" t="s">
        <v>106</v>
      </c>
      <c r="AQ5" s="18">
        <f t="shared" si="9"/>
        <v>49.3</v>
      </c>
      <c r="AR5" s="18">
        <f t="shared" si="10"/>
        <v>0.17</v>
      </c>
      <c r="AS5" s="19">
        <f t="shared" si="11"/>
        <v>19.100000000000001</v>
      </c>
      <c r="AT5" s="18">
        <f t="shared" si="12"/>
        <v>6.83</v>
      </c>
      <c r="AU5" s="27"/>
    </row>
    <row r="6" spans="1:47">
      <c r="A6" s="6">
        <v>43528</v>
      </c>
      <c r="B6" s="5" t="s">
        <v>48</v>
      </c>
      <c r="C6" s="4">
        <v>14823810</v>
      </c>
      <c r="D6" s="4">
        <v>17667107</v>
      </c>
      <c r="E6" s="4">
        <v>16402000</v>
      </c>
      <c r="F6" s="4">
        <v>16375000</v>
      </c>
      <c r="G6" s="4">
        <v>214036309</v>
      </c>
      <c r="H6" s="4">
        <v>307297</v>
      </c>
      <c r="I6" s="4">
        <v>214036039</v>
      </c>
      <c r="J6" s="4">
        <v>307297</v>
      </c>
      <c r="K6" s="4"/>
      <c r="L6" s="5">
        <v>4246.2</v>
      </c>
      <c r="M6" s="5">
        <v>3607.12</v>
      </c>
      <c r="N6" s="5">
        <v>72355.19</v>
      </c>
      <c r="O6" s="5"/>
      <c r="P6" s="5"/>
      <c r="Q6" s="9">
        <v>18.7</v>
      </c>
      <c r="R6" s="4" t="s">
        <v>44</v>
      </c>
      <c r="S6" s="4">
        <v>410</v>
      </c>
      <c r="T6" s="4">
        <v>440</v>
      </c>
      <c r="U6" s="4">
        <v>9255</v>
      </c>
      <c r="V6" s="4">
        <v>7210</v>
      </c>
      <c r="W6" s="5">
        <v>6.26</v>
      </c>
      <c r="X6" s="5">
        <v>3.76</v>
      </c>
      <c r="Y6" s="4">
        <v>1436</v>
      </c>
      <c r="Z6" s="4"/>
      <c r="AA6" s="11">
        <f t="shared" ref="AA6:AF6" si="15">IF(OR(C7=""),"",C7-C6)</f>
        <v>49429</v>
      </c>
      <c r="AB6" s="11">
        <f t="shared" si="15"/>
        <v>58046</v>
      </c>
      <c r="AC6" s="11">
        <f t="shared" si="15"/>
        <v>54000</v>
      </c>
      <c r="AD6" s="11">
        <f t="shared" si="15"/>
        <v>54000</v>
      </c>
      <c r="AE6" s="11">
        <f t="shared" si="15"/>
        <v>206347</v>
      </c>
      <c r="AF6" s="11">
        <f t="shared" si="15"/>
        <v>5441</v>
      </c>
      <c r="AG6" s="11">
        <f t="shared" si="1"/>
        <v>9128</v>
      </c>
      <c r="AH6" s="11">
        <f t="shared" si="2"/>
        <v>206136</v>
      </c>
      <c r="AI6" s="15">
        <f t="shared" si="3"/>
        <v>5441</v>
      </c>
      <c r="AJ6" s="15">
        <f t="shared" si="4"/>
        <v>200695</v>
      </c>
      <c r="AK6" s="15">
        <v>2220</v>
      </c>
      <c r="AL6" s="15">
        <f t="shared" si="5"/>
        <v>9768</v>
      </c>
      <c r="AM6" s="15">
        <f t="shared" si="6"/>
        <v>33</v>
      </c>
      <c r="AN6" s="15">
        <f t="shared" si="7"/>
        <v>2911</v>
      </c>
      <c r="AO6" s="15">
        <f t="shared" si="8"/>
        <v>1056</v>
      </c>
      <c r="AP6" s="30" t="s">
        <v>107</v>
      </c>
      <c r="AQ6" s="18">
        <f t="shared" si="9"/>
        <v>48.7</v>
      </c>
      <c r="AR6" s="18">
        <f t="shared" si="10"/>
        <v>0.16</v>
      </c>
      <c r="AS6" s="19">
        <f t="shared" si="11"/>
        <v>14.5</v>
      </c>
      <c r="AT6" s="18">
        <f t="shared" si="12"/>
        <v>5.26</v>
      </c>
      <c r="AU6" s="27"/>
    </row>
    <row r="7" spans="1:47">
      <c r="A7" s="6">
        <v>43529</v>
      </c>
      <c r="B7" s="5" t="s">
        <v>48</v>
      </c>
      <c r="C7" s="4">
        <v>14873239</v>
      </c>
      <c r="D7" s="4">
        <v>17725153</v>
      </c>
      <c r="E7" s="4">
        <v>16456000</v>
      </c>
      <c r="F7" s="4">
        <v>16429000</v>
      </c>
      <c r="G7" s="4">
        <v>214242656</v>
      </c>
      <c r="H7" s="4">
        <v>312738</v>
      </c>
      <c r="I7" s="4">
        <v>214242175</v>
      </c>
      <c r="J7" s="4">
        <v>312738</v>
      </c>
      <c r="K7" s="4"/>
      <c r="L7" s="5">
        <v>4246.2</v>
      </c>
      <c r="M7" s="5">
        <v>3615.26</v>
      </c>
      <c r="N7" s="5">
        <v>72371.7</v>
      </c>
      <c r="O7" s="5"/>
      <c r="P7" s="5"/>
      <c r="Q7" s="9">
        <v>17.8</v>
      </c>
      <c r="R7" s="4" t="s">
        <v>80</v>
      </c>
      <c r="S7" s="4">
        <v>230</v>
      </c>
      <c r="T7" s="4">
        <v>250</v>
      </c>
      <c r="U7" s="4">
        <v>9268</v>
      </c>
      <c r="V7" s="4">
        <v>5319</v>
      </c>
      <c r="W7" s="5">
        <v>4.67</v>
      </c>
      <c r="X7" s="5">
        <v>3.05</v>
      </c>
      <c r="Y7" s="4">
        <v>1082</v>
      </c>
      <c r="Z7" s="4"/>
      <c r="AA7" s="11">
        <f t="shared" ref="AA7:AF7" si="16">IF(OR(C8=""),"",C8-C7)</f>
        <v>39126</v>
      </c>
      <c r="AB7" s="11">
        <f t="shared" si="16"/>
        <v>43438</v>
      </c>
      <c r="AC7" s="11">
        <f t="shared" si="16"/>
        <v>42000</v>
      </c>
      <c r="AD7" s="11">
        <f t="shared" si="16"/>
        <v>42000</v>
      </c>
      <c r="AE7" s="11">
        <f t="shared" si="16"/>
        <v>120100</v>
      </c>
      <c r="AF7" s="11">
        <f t="shared" si="16"/>
        <v>3050</v>
      </c>
      <c r="AG7" s="11">
        <f t="shared" si="1"/>
        <v>46464</v>
      </c>
      <c r="AH7" s="11">
        <f t="shared" si="2"/>
        <v>120591</v>
      </c>
      <c r="AI7" s="15">
        <f t="shared" si="3"/>
        <v>3050</v>
      </c>
      <c r="AJ7" s="15">
        <f t="shared" si="4"/>
        <v>117541</v>
      </c>
      <c r="AK7" s="15">
        <v>3450</v>
      </c>
      <c r="AL7" s="15">
        <f t="shared" si="5"/>
        <v>7248</v>
      </c>
      <c r="AM7" s="15">
        <f t="shared" si="6"/>
        <v>23</v>
      </c>
      <c r="AN7" s="15">
        <f t="shared" si="7"/>
        <v>1633</v>
      </c>
      <c r="AO7" s="15">
        <f t="shared" si="8"/>
        <v>600</v>
      </c>
      <c r="AP7" s="30" t="s">
        <v>108</v>
      </c>
      <c r="AQ7" s="18">
        <f t="shared" si="9"/>
        <v>61.7</v>
      </c>
      <c r="AR7" s="18">
        <f t="shared" si="10"/>
        <v>0.2</v>
      </c>
      <c r="AS7" s="19">
        <f t="shared" si="11"/>
        <v>13.9</v>
      </c>
      <c r="AT7" s="18">
        <f t="shared" si="12"/>
        <v>5.0999999999999996</v>
      </c>
      <c r="AU7" s="27"/>
    </row>
    <row r="8" spans="1:47">
      <c r="A8" s="6">
        <v>43530</v>
      </c>
      <c r="B8" s="5" t="s">
        <v>81</v>
      </c>
      <c r="C8" s="4">
        <v>14912365</v>
      </c>
      <c r="D8" s="4">
        <v>17768591</v>
      </c>
      <c r="E8" s="4">
        <v>16498000</v>
      </c>
      <c r="F8" s="4">
        <v>16471000</v>
      </c>
      <c r="G8" s="4">
        <v>214362756</v>
      </c>
      <c r="H8" s="4">
        <v>315788</v>
      </c>
      <c r="I8" s="4">
        <v>214362766</v>
      </c>
      <c r="J8" s="4">
        <v>315788</v>
      </c>
      <c r="K8" s="4"/>
      <c r="L8" s="5">
        <v>4246.2</v>
      </c>
      <c r="M8" s="5">
        <v>3621.3</v>
      </c>
      <c r="N8" s="5">
        <v>72383.22</v>
      </c>
      <c r="O8" s="5"/>
      <c r="P8" s="5"/>
      <c r="Q8" s="9">
        <v>16.899999999999999</v>
      </c>
      <c r="R8" s="4" t="s">
        <v>82</v>
      </c>
      <c r="S8" s="4">
        <v>240</v>
      </c>
      <c r="T8" s="4">
        <v>260</v>
      </c>
      <c r="U8" s="4">
        <v>9028</v>
      </c>
      <c r="V8" s="4">
        <v>3752</v>
      </c>
      <c r="W8" s="5">
        <v>7</v>
      </c>
      <c r="X8" s="5">
        <v>3.29</v>
      </c>
      <c r="Y8" s="4">
        <v>1433</v>
      </c>
      <c r="Z8" s="4"/>
      <c r="AA8" s="11">
        <f t="shared" ref="AA8:AF8" si="17">IF(OR(C9=""),"",C9-C8)</f>
        <v>42454</v>
      </c>
      <c r="AB8" s="11">
        <f t="shared" si="17"/>
        <v>49839</v>
      </c>
      <c r="AC8" s="11">
        <f t="shared" si="17"/>
        <v>46000</v>
      </c>
      <c r="AD8" s="11">
        <f t="shared" si="17"/>
        <v>47000</v>
      </c>
      <c r="AE8" s="11">
        <f t="shared" si="17"/>
        <v>180237</v>
      </c>
      <c r="AF8" s="11">
        <f t="shared" si="17"/>
        <v>5277</v>
      </c>
      <c r="AG8" s="11">
        <f t="shared" si="1"/>
        <v>5056</v>
      </c>
      <c r="AH8" s="11">
        <f t="shared" si="2"/>
        <v>180960</v>
      </c>
      <c r="AI8" s="15">
        <f t="shared" si="3"/>
        <v>5277</v>
      </c>
      <c r="AJ8" s="15">
        <f t="shared" si="4"/>
        <v>175683</v>
      </c>
      <c r="AK8" s="15">
        <v>3000</v>
      </c>
      <c r="AL8" s="15">
        <f t="shared" si="5"/>
        <v>9468</v>
      </c>
      <c r="AM8" s="15">
        <f t="shared" si="6"/>
        <v>33</v>
      </c>
      <c r="AN8" s="15">
        <f t="shared" si="7"/>
        <v>1704</v>
      </c>
      <c r="AO8" s="15">
        <f t="shared" si="8"/>
        <v>624</v>
      </c>
      <c r="AP8" s="30" t="s">
        <v>109</v>
      </c>
      <c r="AQ8" s="18">
        <f t="shared" si="9"/>
        <v>53.9</v>
      </c>
      <c r="AR8" s="18">
        <f t="shared" si="10"/>
        <v>0.19</v>
      </c>
      <c r="AS8" s="19">
        <f t="shared" si="11"/>
        <v>9.6999999999999993</v>
      </c>
      <c r="AT8" s="18">
        <f t="shared" si="12"/>
        <v>3.55</v>
      </c>
      <c r="AU8" s="27"/>
    </row>
    <row r="9" spans="1:47">
      <c r="A9" s="6">
        <v>43531</v>
      </c>
      <c r="B9" s="5" t="s">
        <v>84</v>
      </c>
      <c r="C9" s="4">
        <v>14954819</v>
      </c>
      <c r="D9" s="4">
        <v>17818430</v>
      </c>
      <c r="E9" s="4">
        <v>16544000</v>
      </c>
      <c r="F9" s="4">
        <v>16518000</v>
      </c>
      <c r="G9" s="4">
        <v>214542993</v>
      </c>
      <c r="H9" s="4">
        <v>321065</v>
      </c>
      <c r="I9" s="4">
        <v>214543726</v>
      </c>
      <c r="J9" s="4">
        <v>321065</v>
      </c>
      <c r="K9" s="4"/>
      <c r="L9" s="5">
        <v>4246.2</v>
      </c>
      <c r="M9" s="5">
        <v>3629.19</v>
      </c>
      <c r="N9" s="5">
        <v>72399.899999999994</v>
      </c>
      <c r="O9" s="5"/>
      <c r="P9" s="5"/>
      <c r="Q9" s="9">
        <v>15.8</v>
      </c>
      <c r="R9" s="4" t="s">
        <v>53</v>
      </c>
      <c r="S9" s="4">
        <v>400</v>
      </c>
      <c r="T9" s="4">
        <v>430</v>
      </c>
      <c r="U9" s="4">
        <v>8230</v>
      </c>
      <c r="V9" s="4">
        <v>4152</v>
      </c>
      <c r="W9" s="5">
        <v>3.98</v>
      </c>
      <c r="X9" s="5">
        <v>2.56</v>
      </c>
      <c r="Y9" s="4">
        <v>1148</v>
      </c>
      <c r="Z9" s="4"/>
      <c r="AA9" s="11">
        <f t="shared" ref="AA9:AF10" si="18">IF(OR(C10=""),"",C10-C9)</f>
        <v>40076</v>
      </c>
      <c r="AB9" s="11">
        <f t="shared" si="18"/>
        <v>47280</v>
      </c>
      <c r="AC9" s="11">
        <f t="shared" si="18"/>
        <v>44000</v>
      </c>
      <c r="AD9" s="11">
        <f t="shared" si="18"/>
        <v>42000</v>
      </c>
      <c r="AE9" s="11">
        <f t="shared" si="18"/>
        <v>173280</v>
      </c>
      <c r="AF9" s="11">
        <f t="shared" si="18"/>
        <v>5523</v>
      </c>
      <c r="AG9" s="11">
        <f t="shared" si="1"/>
        <v>76</v>
      </c>
      <c r="AH9" s="11">
        <f t="shared" si="2"/>
        <v>172168</v>
      </c>
      <c r="AI9" s="15">
        <f t="shared" si="3"/>
        <v>5523</v>
      </c>
      <c r="AJ9" s="15">
        <f t="shared" si="4"/>
        <v>166645</v>
      </c>
      <c r="AK9" s="15">
        <v>2400</v>
      </c>
      <c r="AL9" s="15">
        <f t="shared" si="5"/>
        <v>9516</v>
      </c>
      <c r="AM9" s="15">
        <f t="shared" si="6"/>
        <v>35</v>
      </c>
      <c r="AN9" s="15">
        <f t="shared" si="7"/>
        <v>2840</v>
      </c>
      <c r="AO9" s="15">
        <f t="shared" si="8"/>
        <v>1032</v>
      </c>
      <c r="AP9" s="30" t="s">
        <v>110</v>
      </c>
      <c r="AQ9" s="18">
        <f t="shared" si="9"/>
        <v>57.1</v>
      </c>
      <c r="AR9" s="18">
        <f t="shared" si="10"/>
        <v>0.21</v>
      </c>
      <c r="AS9" s="19">
        <f t="shared" si="11"/>
        <v>17</v>
      </c>
      <c r="AT9" s="18">
        <f t="shared" si="12"/>
        <v>6.19</v>
      </c>
      <c r="AU9" s="27"/>
    </row>
    <row r="10" spans="1:47">
      <c r="A10" s="6">
        <v>43532</v>
      </c>
      <c r="B10" s="5" t="s">
        <v>48</v>
      </c>
      <c r="C10" s="4">
        <v>14994895</v>
      </c>
      <c r="D10" s="4">
        <v>17865710</v>
      </c>
      <c r="E10" s="4">
        <v>16588000</v>
      </c>
      <c r="F10" s="4">
        <v>16560000</v>
      </c>
      <c r="G10" s="4">
        <v>214716273</v>
      </c>
      <c r="H10" s="4">
        <v>326588</v>
      </c>
      <c r="I10" s="4">
        <v>214715894</v>
      </c>
      <c r="J10" s="4">
        <v>326588</v>
      </c>
      <c r="K10" s="4"/>
      <c r="L10" s="5">
        <v>4246.2</v>
      </c>
      <c r="M10" s="5">
        <v>3637.12</v>
      </c>
      <c r="N10" s="5">
        <v>72417.33</v>
      </c>
      <c r="O10" s="5"/>
      <c r="P10" s="5"/>
      <c r="Q10" s="9">
        <v>17.7</v>
      </c>
      <c r="R10" s="4" t="s">
        <v>49</v>
      </c>
      <c r="S10" s="4">
        <v>430</v>
      </c>
      <c r="T10" s="4">
        <v>450</v>
      </c>
      <c r="U10" s="4">
        <v>7780</v>
      </c>
      <c r="V10" s="4">
        <v>3125</v>
      </c>
      <c r="W10" s="5">
        <v>5.2</v>
      </c>
      <c r="X10" s="5">
        <v>2.27</v>
      </c>
      <c r="Y10" s="4">
        <v>974</v>
      </c>
      <c r="Z10" s="4"/>
      <c r="AA10" s="11">
        <f t="shared" ref="AA10:AF10" si="19">IF(OR(C11=""),"",C11-C10)</f>
        <v>35551</v>
      </c>
      <c r="AB10" s="11">
        <f t="shared" si="19"/>
        <v>41246</v>
      </c>
      <c r="AC10" s="11">
        <f t="shared" si="19"/>
        <v>41000</v>
      </c>
      <c r="AD10" s="11">
        <f t="shared" si="18"/>
        <v>41350</v>
      </c>
      <c r="AE10" s="11">
        <f t="shared" si="19"/>
        <v>147175</v>
      </c>
      <c r="AF10" s="11">
        <f t="shared" si="19"/>
        <v>5420</v>
      </c>
      <c r="AG10" s="11">
        <f t="shared" si="1"/>
        <v>11972</v>
      </c>
      <c r="AH10" s="11">
        <f t="shared" si="2"/>
        <v>147787</v>
      </c>
      <c r="AI10" s="15">
        <f t="shared" si="3"/>
        <v>5420</v>
      </c>
      <c r="AJ10" s="15">
        <f t="shared" si="4"/>
        <v>142367</v>
      </c>
      <c r="AK10" s="15">
        <v>2760</v>
      </c>
      <c r="AL10" s="15">
        <f t="shared" si="5"/>
        <v>11316</v>
      </c>
      <c r="AM10" s="15">
        <f t="shared" si="6"/>
        <v>33</v>
      </c>
      <c r="AN10" s="15">
        <f t="shared" si="7"/>
        <v>3053</v>
      </c>
      <c r="AO10" s="15">
        <f t="shared" si="8"/>
        <v>1080</v>
      </c>
      <c r="AP10" s="30" t="s">
        <v>111</v>
      </c>
      <c r="AQ10" s="18">
        <f t="shared" si="9"/>
        <v>79.5</v>
      </c>
      <c r="AR10" s="18">
        <f t="shared" si="10"/>
        <v>0.23</v>
      </c>
      <c r="AS10" s="19">
        <f t="shared" si="11"/>
        <v>21.4</v>
      </c>
      <c r="AT10" s="18">
        <f t="shared" si="12"/>
        <v>7.59</v>
      </c>
      <c r="AU10" s="27"/>
    </row>
    <row r="11" spans="1:47">
      <c r="A11" s="6">
        <v>43533</v>
      </c>
      <c r="B11" s="5" t="s">
        <v>48</v>
      </c>
      <c r="C11" s="4">
        <v>15030446</v>
      </c>
      <c r="D11" s="4">
        <v>17906956</v>
      </c>
      <c r="E11" s="4">
        <v>16629000</v>
      </c>
      <c r="F11" s="4">
        <v>16601350</v>
      </c>
      <c r="G11" s="4">
        <v>214863448</v>
      </c>
      <c r="H11" s="4">
        <v>332008</v>
      </c>
      <c r="I11" s="4">
        <v>214863681</v>
      </c>
      <c r="J11" s="4">
        <v>332008</v>
      </c>
      <c r="K11" s="4"/>
      <c r="L11" s="5">
        <v>4246.2</v>
      </c>
      <c r="M11" s="5">
        <v>3646.55</v>
      </c>
      <c r="N11" s="5">
        <v>72433.59</v>
      </c>
      <c r="O11" s="5"/>
      <c r="P11" s="5"/>
      <c r="Q11" s="9">
        <v>17.3</v>
      </c>
      <c r="R11" s="4" t="s">
        <v>53</v>
      </c>
      <c r="S11" s="4">
        <v>450</v>
      </c>
      <c r="T11" s="4">
        <v>460</v>
      </c>
      <c r="U11" s="4">
        <v>9215</v>
      </c>
      <c r="V11" s="4">
        <v>3214</v>
      </c>
      <c r="W11" s="5">
        <v>6.45</v>
      </c>
      <c r="X11" s="5">
        <v>2.12</v>
      </c>
      <c r="Y11" s="4">
        <v>1271</v>
      </c>
      <c r="Z11" s="4"/>
      <c r="AA11" s="11">
        <f t="shared" ref="AA11:AF11" si="20">IF(OR(C12=""),"",C12-C11)</f>
        <v>44536</v>
      </c>
      <c r="AB11" s="11">
        <f t="shared" si="20"/>
        <v>54086</v>
      </c>
      <c r="AC11" s="11">
        <f t="shared" si="20"/>
        <v>52000</v>
      </c>
      <c r="AD11" s="11">
        <f t="shared" si="20"/>
        <v>51650</v>
      </c>
      <c r="AE11" s="11">
        <f t="shared" si="20"/>
        <v>202228</v>
      </c>
      <c r="AF11" s="11">
        <f t="shared" si="20"/>
        <v>5448</v>
      </c>
      <c r="AG11" s="11">
        <f t="shared" si="1"/>
        <v>44</v>
      </c>
      <c r="AH11" s="11">
        <f t="shared" si="2"/>
        <v>202083</v>
      </c>
      <c r="AI11" s="15">
        <f t="shared" si="3"/>
        <v>5448</v>
      </c>
      <c r="AJ11" s="15">
        <f t="shared" si="4"/>
        <v>196635</v>
      </c>
      <c r="AK11" s="15">
        <v>3150</v>
      </c>
      <c r="AL11" s="15">
        <f t="shared" si="5"/>
        <v>12384</v>
      </c>
      <c r="AM11" s="15">
        <f t="shared" si="6"/>
        <v>31</v>
      </c>
      <c r="AN11" s="15">
        <f t="shared" si="7"/>
        <v>3195</v>
      </c>
      <c r="AO11" s="15">
        <f t="shared" si="8"/>
        <v>1104</v>
      </c>
      <c r="AP11" s="30" t="s">
        <v>112</v>
      </c>
      <c r="AQ11" s="18">
        <f t="shared" si="9"/>
        <v>63</v>
      </c>
      <c r="AR11" s="18">
        <f t="shared" si="10"/>
        <v>0.16</v>
      </c>
      <c r="AS11" s="19">
        <f t="shared" si="11"/>
        <v>16.2</v>
      </c>
      <c r="AT11" s="18">
        <f t="shared" si="12"/>
        <v>5.61</v>
      </c>
      <c r="AU11" s="27"/>
    </row>
    <row r="12" spans="1:47">
      <c r="A12" s="6">
        <v>43534</v>
      </c>
      <c r="B12" s="5" t="s">
        <v>48</v>
      </c>
      <c r="C12" s="4">
        <v>15074982</v>
      </c>
      <c r="D12" s="4">
        <v>17961042</v>
      </c>
      <c r="E12" s="4">
        <v>16681000</v>
      </c>
      <c r="F12" s="4">
        <v>16653000</v>
      </c>
      <c r="G12" s="4">
        <v>215065676</v>
      </c>
      <c r="H12" s="4">
        <v>337456</v>
      </c>
      <c r="I12" s="4">
        <v>215065764</v>
      </c>
      <c r="J12" s="4">
        <v>337456</v>
      </c>
      <c r="K12" s="4"/>
      <c r="L12" s="5">
        <v>4246.2</v>
      </c>
      <c r="M12" s="5">
        <v>3656.87</v>
      </c>
      <c r="N12" s="5">
        <v>72449.240000000005</v>
      </c>
      <c r="O12" s="5"/>
      <c r="P12" s="5"/>
      <c r="Q12" s="9">
        <v>18.3</v>
      </c>
      <c r="R12" s="4" t="s">
        <v>44</v>
      </c>
      <c r="S12" s="4">
        <v>420</v>
      </c>
      <c r="T12" s="4">
        <v>440</v>
      </c>
      <c r="U12" s="4">
        <v>8052</v>
      </c>
      <c r="V12" s="4">
        <v>2257</v>
      </c>
      <c r="W12" s="5">
        <v>6.12</v>
      </c>
      <c r="X12" s="5">
        <v>2.2000000000000002</v>
      </c>
      <c r="Y12" s="4">
        <v>989</v>
      </c>
      <c r="Z12" s="4"/>
      <c r="AA12" s="11">
        <f t="shared" ref="AA12:AF12" si="21">IF(OR(C13=""),"",C13-C12)</f>
        <v>37381</v>
      </c>
      <c r="AB12" s="11">
        <f t="shared" si="21"/>
        <v>44938</v>
      </c>
      <c r="AC12" s="11">
        <f t="shared" si="21"/>
        <v>45000</v>
      </c>
      <c r="AD12" s="11">
        <f t="shared" si="21"/>
        <v>43000</v>
      </c>
      <c r="AE12" s="11">
        <f t="shared" si="21"/>
        <v>160003</v>
      </c>
      <c r="AF12" s="11">
        <f t="shared" si="21"/>
        <v>5412</v>
      </c>
      <c r="AG12" s="11">
        <f t="shared" si="1"/>
        <v>10316</v>
      </c>
      <c r="AH12" s="11">
        <f t="shared" si="2"/>
        <v>161004</v>
      </c>
      <c r="AI12" s="15">
        <f t="shared" si="3"/>
        <v>5412</v>
      </c>
      <c r="AJ12" s="15">
        <f t="shared" si="4"/>
        <v>155592</v>
      </c>
      <c r="AK12" s="15">
        <v>3465</v>
      </c>
      <c r="AL12" s="15">
        <f t="shared" si="5"/>
        <v>12444</v>
      </c>
      <c r="AM12" s="15">
        <f t="shared" si="6"/>
        <v>31</v>
      </c>
      <c r="AN12" s="15">
        <f t="shared" si="7"/>
        <v>2982</v>
      </c>
      <c r="AO12" s="15">
        <f t="shared" si="8"/>
        <v>1056</v>
      </c>
      <c r="AP12" s="30" t="s">
        <v>113</v>
      </c>
      <c r="AQ12" s="18">
        <f t="shared" si="9"/>
        <v>80</v>
      </c>
      <c r="AR12" s="18">
        <f t="shared" si="10"/>
        <v>0.2</v>
      </c>
      <c r="AS12" s="19">
        <f t="shared" si="11"/>
        <v>19.2</v>
      </c>
      <c r="AT12" s="18">
        <f t="shared" si="12"/>
        <v>6.79</v>
      </c>
      <c r="AU12" s="27"/>
    </row>
    <row r="13" spans="1:47">
      <c r="A13" s="6">
        <v>43535</v>
      </c>
      <c r="B13" s="5" t="s">
        <v>48</v>
      </c>
      <c r="C13" s="4">
        <v>15112363</v>
      </c>
      <c r="D13" s="4">
        <v>18005980</v>
      </c>
      <c r="E13" s="4">
        <v>16726000</v>
      </c>
      <c r="F13" s="4">
        <v>16696000</v>
      </c>
      <c r="G13" s="4">
        <v>215225679</v>
      </c>
      <c r="H13" s="4">
        <v>342868</v>
      </c>
      <c r="I13" s="4">
        <v>215226768</v>
      </c>
      <c r="J13" s="4">
        <v>342868</v>
      </c>
      <c r="K13" s="4"/>
      <c r="L13" s="5">
        <v>4246.2</v>
      </c>
      <c r="M13" s="5">
        <v>3667.24</v>
      </c>
      <c r="N13" s="5">
        <v>72464.509999999995</v>
      </c>
      <c r="O13" s="5"/>
      <c r="P13" s="5"/>
      <c r="Q13" s="9">
        <v>17.600000000000001</v>
      </c>
      <c r="R13" s="4" t="s">
        <v>53</v>
      </c>
      <c r="S13" s="4">
        <v>460</v>
      </c>
      <c r="T13" s="4">
        <v>490</v>
      </c>
      <c r="U13" s="4">
        <v>8485</v>
      </c>
      <c r="V13" s="4">
        <v>4680</v>
      </c>
      <c r="W13" s="5">
        <v>5.31</v>
      </c>
      <c r="X13" s="5">
        <v>2.36</v>
      </c>
      <c r="Y13" s="4">
        <v>1298</v>
      </c>
      <c r="Z13" s="4"/>
      <c r="AA13" s="11">
        <f t="shared" ref="AA13:AF13" si="22">IF(OR(C14=""),"",C14-C13)</f>
        <v>41040</v>
      </c>
      <c r="AB13" s="11">
        <f t="shared" si="22"/>
        <v>49956</v>
      </c>
      <c r="AC13" s="11">
        <f t="shared" si="22"/>
        <v>47000</v>
      </c>
      <c r="AD13" s="11">
        <f t="shared" si="22"/>
        <v>46000</v>
      </c>
      <c r="AE13" s="11">
        <f t="shared" si="22"/>
        <v>180059</v>
      </c>
      <c r="AF13" s="11">
        <f t="shared" si="22"/>
        <v>5500</v>
      </c>
      <c r="AG13" s="11">
        <f t="shared" si="1"/>
        <v>3937</v>
      </c>
      <c r="AH13" s="11">
        <f t="shared" si="2"/>
        <v>178511</v>
      </c>
      <c r="AI13" s="15">
        <f t="shared" si="3"/>
        <v>5500</v>
      </c>
      <c r="AJ13" s="15">
        <f t="shared" si="4"/>
        <v>173011</v>
      </c>
      <c r="AK13" s="15">
        <v>2560</v>
      </c>
      <c r="AL13" s="15">
        <f t="shared" si="5"/>
        <v>12456</v>
      </c>
      <c r="AM13" s="15">
        <f t="shared" si="6"/>
        <v>29</v>
      </c>
      <c r="AN13" s="15">
        <f t="shared" si="7"/>
        <v>3266</v>
      </c>
      <c r="AO13" s="15">
        <f t="shared" si="8"/>
        <v>1176</v>
      </c>
      <c r="AP13" s="30" t="s">
        <v>114</v>
      </c>
      <c r="AQ13" s="18">
        <f t="shared" si="9"/>
        <v>72</v>
      </c>
      <c r="AR13" s="18">
        <f t="shared" si="10"/>
        <v>0.17</v>
      </c>
      <c r="AS13" s="19">
        <f t="shared" si="11"/>
        <v>18.899999999999999</v>
      </c>
      <c r="AT13" s="18">
        <f t="shared" si="12"/>
        <v>6.8</v>
      </c>
      <c r="AU13" s="27"/>
    </row>
    <row r="14" spans="1:47">
      <c r="A14" s="6">
        <v>43536</v>
      </c>
      <c r="B14" s="5" t="s">
        <v>48</v>
      </c>
      <c r="C14" s="4">
        <v>15153403</v>
      </c>
      <c r="D14" s="4">
        <v>18055936</v>
      </c>
      <c r="E14" s="4">
        <v>16773000</v>
      </c>
      <c r="F14" s="4">
        <v>16742000</v>
      </c>
      <c r="G14" s="4">
        <v>215405738</v>
      </c>
      <c r="H14" s="4">
        <v>348368</v>
      </c>
      <c r="I14" s="4">
        <v>215405279</v>
      </c>
      <c r="J14" s="4">
        <v>348368</v>
      </c>
      <c r="K14" s="4"/>
      <c r="L14" s="5">
        <v>4246.2</v>
      </c>
      <c r="M14" s="5">
        <v>3677.62</v>
      </c>
      <c r="N14" s="5">
        <v>72479.179999999993</v>
      </c>
      <c r="O14" s="5"/>
      <c r="P14" s="5"/>
      <c r="Q14" s="9">
        <v>17.5</v>
      </c>
      <c r="R14" s="4" t="s">
        <v>49</v>
      </c>
      <c r="S14" s="4">
        <v>250</v>
      </c>
      <c r="T14" s="4">
        <v>230</v>
      </c>
      <c r="U14" s="4">
        <v>8796</v>
      </c>
      <c r="V14" s="4">
        <v>7040</v>
      </c>
      <c r="W14" s="5">
        <v>4.99</v>
      </c>
      <c r="X14" s="5">
        <v>3.24</v>
      </c>
      <c r="Y14" s="4">
        <v>1433</v>
      </c>
      <c r="Z14" s="4"/>
      <c r="AA14" s="11">
        <f t="shared" ref="AA14:AF14" si="23">IF(OR(C15=""),"",C15-C14)</f>
        <v>41520</v>
      </c>
      <c r="AB14" s="11">
        <f t="shared" si="23"/>
        <v>50057</v>
      </c>
      <c r="AC14" s="11">
        <f t="shared" si="23"/>
        <v>47000</v>
      </c>
      <c r="AD14" s="11">
        <f t="shared" si="23"/>
        <v>47000</v>
      </c>
      <c r="AE14" s="11">
        <f t="shared" si="23"/>
        <v>180144</v>
      </c>
      <c r="AF14" s="11">
        <f t="shared" si="23"/>
        <v>5398</v>
      </c>
      <c r="AG14" s="11">
        <f t="shared" si="1"/>
        <v>5433</v>
      </c>
      <c r="AH14" s="11">
        <f t="shared" si="2"/>
        <v>176143</v>
      </c>
      <c r="AI14" s="15">
        <f t="shared" si="3"/>
        <v>5398</v>
      </c>
      <c r="AJ14" s="15">
        <f t="shared" si="4"/>
        <v>170745</v>
      </c>
      <c r="AK14" s="15">
        <v>3650</v>
      </c>
      <c r="AL14" s="15">
        <f t="shared" si="5"/>
        <v>9936</v>
      </c>
      <c r="AM14" s="15">
        <f t="shared" si="6"/>
        <v>29</v>
      </c>
      <c r="AN14" s="15">
        <f t="shared" si="7"/>
        <v>1775</v>
      </c>
      <c r="AO14" s="15">
        <f t="shared" si="8"/>
        <v>552</v>
      </c>
      <c r="AP14" s="30" t="s">
        <v>115</v>
      </c>
      <c r="AQ14" s="18">
        <f t="shared" si="9"/>
        <v>58.2</v>
      </c>
      <c r="AR14" s="18">
        <f t="shared" si="10"/>
        <v>0.17</v>
      </c>
      <c r="AS14" s="19">
        <f t="shared" si="11"/>
        <v>10.4</v>
      </c>
      <c r="AT14" s="18">
        <f t="shared" si="12"/>
        <v>3.23</v>
      </c>
      <c r="AU14" s="27"/>
    </row>
    <row r="15" spans="1:47">
      <c r="A15" s="6">
        <v>43537</v>
      </c>
      <c r="B15" s="5" t="s">
        <v>45</v>
      </c>
      <c r="C15" s="4">
        <v>15194923</v>
      </c>
      <c r="D15" s="4">
        <v>18105993</v>
      </c>
      <c r="E15" s="4">
        <v>16820000</v>
      </c>
      <c r="F15" s="4">
        <v>16789000</v>
      </c>
      <c r="G15" s="4">
        <v>215585882</v>
      </c>
      <c r="H15" s="4">
        <v>353766</v>
      </c>
      <c r="I15" s="4">
        <v>215581422</v>
      </c>
      <c r="J15" s="4">
        <v>353766</v>
      </c>
      <c r="K15" s="4"/>
      <c r="L15" s="5">
        <v>4246.2</v>
      </c>
      <c r="M15" s="5">
        <v>3685.9</v>
      </c>
      <c r="N15" s="5">
        <v>72493.919999999998</v>
      </c>
      <c r="O15" s="5"/>
      <c r="P15" s="5"/>
      <c r="Q15" s="9">
        <v>18.100000000000001</v>
      </c>
      <c r="R15" s="4" t="s">
        <v>44</v>
      </c>
      <c r="S15" s="4">
        <v>250</v>
      </c>
      <c r="T15" s="4">
        <v>240</v>
      </c>
      <c r="U15" s="4">
        <v>7784</v>
      </c>
      <c r="V15" s="4">
        <v>5710</v>
      </c>
      <c r="W15" s="5">
        <v>4.07</v>
      </c>
      <c r="X15" s="5">
        <v>3.12</v>
      </c>
      <c r="Y15" s="4">
        <v>980</v>
      </c>
      <c r="Z15" s="4"/>
      <c r="AA15" s="11">
        <f t="shared" ref="AA15:AF15" si="24">IF(OR(C16=""),"",C16-C15)</f>
        <v>39029</v>
      </c>
      <c r="AB15" s="11">
        <f t="shared" si="24"/>
        <v>47278</v>
      </c>
      <c r="AC15" s="11">
        <f t="shared" si="24"/>
        <v>46000</v>
      </c>
      <c r="AD15" s="11">
        <f t="shared" si="24"/>
        <v>45000</v>
      </c>
      <c r="AE15" s="11">
        <f t="shared" si="24"/>
        <v>170217</v>
      </c>
      <c r="AF15" s="11">
        <f t="shared" si="24"/>
        <v>5421.929999999993</v>
      </c>
      <c r="AG15" s="11">
        <f t="shared" si="1"/>
        <v>7090</v>
      </c>
      <c r="AH15" s="11">
        <f t="shared" si="2"/>
        <v>176755</v>
      </c>
      <c r="AI15" s="15">
        <f t="shared" si="3"/>
        <v>5421.929999999993</v>
      </c>
      <c r="AJ15" s="15">
        <f t="shared" si="4"/>
        <v>171333.07</v>
      </c>
      <c r="AK15" s="15">
        <v>3600</v>
      </c>
      <c r="AL15" s="15">
        <f t="shared" si="5"/>
        <v>9720</v>
      </c>
      <c r="AM15" s="15">
        <f t="shared" si="6"/>
        <v>29</v>
      </c>
      <c r="AN15" s="15">
        <f t="shared" si="7"/>
        <v>1775</v>
      </c>
      <c r="AO15" s="15">
        <f t="shared" si="8"/>
        <v>576</v>
      </c>
      <c r="AP15" s="30" t="s">
        <v>116</v>
      </c>
      <c r="AQ15" s="18">
        <f t="shared" si="9"/>
        <v>56.7</v>
      </c>
      <c r="AR15" s="18">
        <f t="shared" si="10"/>
        <v>0.17</v>
      </c>
      <c r="AS15" s="19">
        <f t="shared" si="11"/>
        <v>10.4</v>
      </c>
      <c r="AT15" s="18">
        <f t="shared" si="12"/>
        <v>3.36</v>
      </c>
      <c r="AU15" s="27"/>
    </row>
    <row r="16" spans="1:47">
      <c r="A16" s="6">
        <v>43538</v>
      </c>
      <c r="B16" s="5" t="s">
        <v>85</v>
      </c>
      <c r="C16" s="4">
        <v>15233952</v>
      </c>
      <c r="D16" s="4">
        <v>18153271</v>
      </c>
      <c r="E16" s="4">
        <v>16866000</v>
      </c>
      <c r="F16" s="4">
        <v>16834000</v>
      </c>
      <c r="G16" s="4">
        <v>215756099</v>
      </c>
      <c r="H16" s="4">
        <v>359187.93</v>
      </c>
      <c r="I16" s="4">
        <v>215758177</v>
      </c>
      <c r="J16" s="4">
        <v>359187.93</v>
      </c>
      <c r="K16" s="4"/>
      <c r="L16" s="5">
        <v>4246.2</v>
      </c>
      <c r="M16" s="5">
        <v>3694</v>
      </c>
      <c r="N16" s="5">
        <v>72508.210000000006</v>
      </c>
      <c r="O16" s="5"/>
      <c r="P16" s="5"/>
      <c r="Q16" s="9">
        <v>18.5</v>
      </c>
      <c r="R16" s="4" t="s">
        <v>44</v>
      </c>
      <c r="S16" s="4">
        <v>400</v>
      </c>
      <c r="T16" s="4">
        <v>420</v>
      </c>
      <c r="U16" s="4">
        <v>8712</v>
      </c>
      <c r="V16" s="4">
        <v>4100</v>
      </c>
      <c r="W16" s="5">
        <v>4.62</v>
      </c>
      <c r="X16" s="5">
        <v>2.35</v>
      </c>
      <c r="Y16" s="4">
        <v>1164</v>
      </c>
      <c r="Z16" s="4"/>
      <c r="AA16" s="11">
        <f t="shared" ref="AA16:AF16" si="25">IF(OR(C17=""),"",C17-C16)</f>
        <v>35578</v>
      </c>
      <c r="AB16" s="11">
        <f t="shared" si="25"/>
        <v>42229</v>
      </c>
      <c r="AC16" s="11">
        <f t="shared" si="25"/>
        <v>42000</v>
      </c>
      <c r="AD16" s="11">
        <f t="shared" si="25"/>
        <v>41000</v>
      </c>
      <c r="AE16" s="11">
        <f t="shared" si="25"/>
        <v>155991</v>
      </c>
      <c r="AF16" s="11">
        <f t="shared" si="25"/>
        <v>5498.070000000007</v>
      </c>
      <c r="AG16" s="11">
        <f t="shared" si="1"/>
        <v>4816</v>
      </c>
      <c r="AH16" s="11">
        <f t="shared" si="2"/>
        <v>153905</v>
      </c>
      <c r="AI16" s="15">
        <f t="shared" si="3"/>
        <v>5498.070000000007</v>
      </c>
      <c r="AJ16" s="15">
        <f t="shared" si="4"/>
        <v>148406.93</v>
      </c>
      <c r="AK16" s="15">
        <v>4500</v>
      </c>
      <c r="AL16" s="15">
        <f t="shared" si="5"/>
        <v>8820</v>
      </c>
      <c r="AM16" s="15">
        <f t="shared" si="6"/>
        <v>29</v>
      </c>
      <c r="AN16" s="15">
        <f t="shared" si="7"/>
        <v>2840</v>
      </c>
      <c r="AO16" s="15">
        <f t="shared" si="8"/>
        <v>1008</v>
      </c>
      <c r="AP16" s="30" t="s">
        <v>117</v>
      </c>
      <c r="AQ16" s="18">
        <f t="shared" si="9"/>
        <v>59.4</v>
      </c>
      <c r="AR16" s="18">
        <f t="shared" si="10"/>
        <v>0.2</v>
      </c>
      <c r="AS16" s="19">
        <f t="shared" si="11"/>
        <v>19.100000000000001</v>
      </c>
      <c r="AT16" s="18">
        <f t="shared" si="12"/>
        <v>6.79</v>
      </c>
      <c r="AU16" s="27"/>
    </row>
    <row r="17" spans="1:47">
      <c r="A17" s="6">
        <v>43539</v>
      </c>
      <c r="B17" s="5" t="s">
        <v>48</v>
      </c>
      <c r="C17" s="4">
        <v>15269530</v>
      </c>
      <c r="D17" s="4">
        <v>18195500</v>
      </c>
      <c r="E17" s="4">
        <v>16908000</v>
      </c>
      <c r="F17" s="4">
        <v>16875000</v>
      </c>
      <c r="G17" s="4">
        <v>215912090</v>
      </c>
      <c r="H17" s="4">
        <v>364686</v>
      </c>
      <c r="I17" s="4">
        <v>215912082</v>
      </c>
      <c r="J17" s="4">
        <v>364686</v>
      </c>
      <c r="K17" s="4"/>
      <c r="L17" s="5">
        <v>4246.2</v>
      </c>
      <c r="M17" s="5">
        <v>3701.35</v>
      </c>
      <c r="N17" s="5">
        <v>72522.63</v>
      </c>
      <c r="O17" s="5"/>
      <c r="P17" s="5"/>
      <c r="Q17" s="9">
        <v>19.2</v>
      </c>
      <c r="R17" s="4" t="s">
        <v>44</v>
      </c>
      <c r="S17" s="4">
        <v>490</v>
      </c>
      <c r="T17" s="4">
        <v>500</v>
      </c>
      <c r="U17" s="4">
        <v>8352</v>
      </c>
      <c r="V17" s="4">
        <v>4001</v>
      </c>
      <c r="W17" s="5">
        <v>6.04</v>
      </c>
      <c r="X17" s="5">
        <v>2.5499999999999998</v>
      </c>
      <c r="Y17" s="4">
        <v>1151</v>
      </c>
      <c r="Z17" s="4"/>
      <c r="AA17" s="11">
        <f t="shared" ref="AA17:AF17" si="26">IF(OR(C18=""),"",C18-C17)</f>
        <v>38522</v>
      </c>
      <c r="AB17" s="11">
        <f t="shared" si="26"/>
        <v>46498</v>
      </c>
      <c r="AC17" s="11">
        <f t="shared" si="26"/>
        <v>44000</v>
      </c>
      <c r="AD17" s="11">
        <f t="shared" si="26"/>
        <v>44000</v>
      </c>
      <c r="AE17" s="11">
        <f t="shared" si="26"/>
        <v>164039</v>
      </c>
      <c r="AF17" s="11">
        <f t="shared" si="26"/>
        <v>5451</v>
      </c>
      <c r="AG17" s="11">
        <f t="shared" si="1"/>
        <v>8981</v>
      </c>
      <c r="AH17" s="11">
        <f t="shared" si="2"/>
        <v>163744</v>
      </c>
      <c r="AI17" s="15">
        <f t="shared" si="3"/>
        <v>5451</v>
      </c>
      <c r="AJ17" s="15">
        <f t="shared" si="4"/>
        <v>158293</v>
      </c>
      <c r="AK17" s="15">
        <v>4750</v>
      </c>
      <c r="AL17" s="15">
        <f t="shared" si="5"/>
        <v>8724</v>
      </c>
      <c r="AM17" s="15">
        <f t="shared" si="6"/>
        <v>28</v>
      </c>
      <c r="AN17" s="15">
        <f t="shared" si="7"/>
        <v>3479</v>
      </c>
      <c r="AO17" s="15">
        <f t="shared" si="8"/>
        <v>1200</v>
      </c>
      <c r="AP17" s="30" t="s">
        <v>118</v>
      </c>
      <c r="AQ17" s="18">
        <f t="shared" si="9"/>
        <v>55.1</v>
      </c>
      <c r="AR17" s="18">
        <f t="shared" si="10"/>
        <v>0.18</v>
      </c>
      <c r="AS17" s="19">
        <f t="shared" si="11"/>
        <v>22</v>
      </c>
      <c r="AT17" s="18">
        <f t="shared" si="12"/>
        <v>7.58</v>
      </c>
      <c r="AU17" s="27"/>
    </row>
    <row r="18" spans="1:47">
      <c r="A18" s="6">
        <v>43540</v>
      </c>
      <c r="B18" s="5" t="s">
        <v>48</v>
      </c>
      <c r="C18" s="4">
        <v>15308052</v>
      </c>
      <c r="D18" s="4">
        <v>18241998</v>
      </c>
      <c r="E18" s="4">
        <v>16952000</v>
      </c>
      <c r="F18" s="4">
        <v>16919000</v>
      </c>
      <c r="G18" s="4">
        <v>216076129</v>
      </c>
      <c r="H18" s="4">
        <v>370137</v>
      </c>
      <c r="I18" s="4">
        <v>216075826</v>
      </c>
      <c r="J18" s="4">
        <v>370137</v>
      </c>
      <c r="K18" s="4"/>
      <c r="L18" s="5">
        <v>4246.2</v>
      </c>
      <c r="M18" s="5">
        <v>3708.62</v>
      </c>
      <c r="N18" s="5">
        <v>72536.56</v>
      </c>
      <c r="O18" s="5"/>
      <c r="P18" s="5"/>
      <c r="Q18" s="9">
        <v>18.2</v>
      </c>
      <c r="R18" s="4" t="s">
        <v>49</v>
      </c>
      <c r="S18" s="4">
        <v>500</v>
      </c>
      <c r="T18" s="4">
        <v>530</v>
      </c>
      <c r="U18" s="4">
        <v>9215</v>
      </c>
      <c r="V18" s="4">
        <v>6541</v>
      </c>
      <c r="W18" s="5">
        <v>4.0999999999999996</v>
      </c>
      <c r="X18" s="5">
        <v>2.4700000000000002</v>
      </c>
      <c r="Y18" s="4">
        <v>1131</v>
      </c>
      <c r="Z18" s="4"/>
      <c r="AA18" s="11">
        <f t="shared" ref="AA18:AF18" si="27">IF(OR(C19=""),"",C19-C18)</f>
        <v>45638</v>
      </c>
      <c r="AB18" s="11">
        <f t="shared" si="27"/>
        <v>55478</v>
      </c>
      <c r="AC18" s="11">
        <f t="shared" si="27"/>
        <v>52000</v>
      </c>
      <c r="AD18" s="11">
        <f t="shared" si="27"/>
        <v>52000</v>
      </c>
      <c r="AE18" s="11">
        <f t="shared" si="27"/>
        <v>195228</v>
      </c>
      <c r="AF18" s="11">
        <f t="shared" si="27"/>
        <v>5437</v>
      </c>
      <c r="AG18" s="11">
        <f t="shared" si="1"/>
        <v>9888</v>
      </c>
      <c r="AH18" s="11">
        <f t="shared" si="2"/>
        <v>195385</v>
      </c>
      <c r="AI18" s="15">
        <f t="shared" si="3"/>
        <v>5437</v>
      </c>
      <c r="AJ18" s="15">
        <f t="shared" si="4"/>
        <v>189948</v>
      </c>
      <c r="AK18" s="15">
        <v>4000</v>
      </c>
      <c r="AL18" s="15">
        <f t="shared" si="5"/>
        <v>7464</v>
      </c>
      <c r="AM18" s="15">
        <f t="shared" si="6"/>
        <v>20</v>
      </c>
      <c r="AN18" s="15">
        <f t="shared" si="7"/>
        <v>3550</v>
      </c>
      <c r="AO18" s="15">
        <f t="shared" si="8"/>
        <v>1272</v>
      </c>
      <c r="AP18" s="30" t="s">
        <v>119</v>
      </c>
      <c r="AQ18" s="18">
        <f t="shared" si="9"/>
        <v>39.299999999999997</v>
      </c>
      <c r="AR18" s="18">
        <f t="shared" si="10"/>
        <v>0.11</v>
      </c>
      <c r="AS18" s="19">
        <f t="shared" si="11"/>
        <v>18.7</v>
      </c>
      <c r="AT18" s="18">
        <f t="shared" si="12"/>
        <v>6.7</v>
      </c>
      <c r="AU18" s="27"/>
    </row>
    <row r="19" spans="1:47">
      <c r="A19" s="6">
        <v>43541</v>
      </c>
      <c r="B19" s="5" t="s">
        <v>48</v>
      </c>
      <c r="C19" s="4">
        <v>15353690</v>
      </c>
      <c r="D19" s="4">
        <v>18297476</v>
      </c>
      <c r="E19" s="4">
        <v>17004000</v>
      </c>
      <c r="F19" s="4">
        <v>16971000</v>
      </c>
      <c r="G19" s="4">
        <v>216271357</v>
      </c>
      <c r="H19" s="4">
        <v>375574</v>
      </c>
      <c r="I19" s="4">
        <v>216271211</v>
      </c>
      <c r="J19" s="4">
        <v>375574</v>
      </c>
      <c r="K19" s="4"/>
      <c r="L19" s="5">
        <v>4246.2</v>
      </c>
      <c r="M19" s="5">
        <v>3714.84</v>
      </c>
      <c r="N19" s="5">
        <v>72546.42</v>
      </c>
      <c r="O19" s="5"/>
      <c r="P19" s="5"/>
      <c r="Q19" s="9">
        <v>17.8</v>
      </c>
      <c r="R19" s="4" t="s">
        <v>49</v>
      </c>
      <c r="S19" s="4">
        <v>430</v>
      </c>
      <c r="T19" s="4">
        <v>450</v>
      </c>
      <c r="U19" s="4">
        <v>8374</v>
      </c>
      <c r="V19" s="4">
        <v>4078</v>
      </c>
      <c r="W19" s="5">
        <v>3.74</v>
      </c>
      <c r="X19" s="5">
        <v>2.42</v>
      </c>
      <c r="Y19" s="4">
        <v>549</v>
      </c>
      <c r="Z19" s="4"/>
      <c r="AA19" s="11">
        <f t="shared" ref="AA19:AF19" si="28">IF(OR(C20=""),"",C20-C19)</f>
        <v>38354</v>
      </c>
      <c r="AB19" s="11">
        <f t="shared" si="28"/>
        <v>46127</v>
      </c>
      <c r="AC19" s="11">
        <f t="shared" si="28"/>
        <v>44000</v>
      </c>
      <c r="AD19" s="11">
        <f t="shared" si="28"/>
        <v>44000</v>
      </c>
      <c r="AE19" s="11">
        <f t="shared" si="28"/>
        <v>167839</v>
      </c>
      <c r="AF19" s="11">
        <f t="shared" si="28"/>
        <v>5433</v>
      </c>
      <c r="AG19" s="11">
        <f t="shared" si="1"/>
        <v>4642</v>
      </c>
      <c r="AH19" s="11">
        <f t="shared" si="2"/>
        <v>167940</v>
      </c>
      <c r="AI19" s="15">
        <f t="shared" si="3"/>
        <v>5433</v>
      </c>
      <c r="AJ19" s="15">
        <f t="shared" si="4"/>
        <v>162507</v>
      </c>
      <c r="AK19" s="15">
        <v>4340</v>
      </c>
      <c r="AL19" s="15">
        <f t="shared" si="5"/>
        <v>10392</v>
      </c>
      <c r="AM19" s="15">
        <f t="shared" si="6"/>
        <v>36</v>
      </c>
      <c r="AN19" s="15">
        <f t="shared" si="7"/>
        <v>3053</v>
      </c>
      <c r="AO19" s="15">
        <f t="shared" si="8"/>
        <v>1080</v>
      </c>
      <c r="AP19" s="30" t="s">
        <v>110</v>
      </c>
      <c r="AQ19" s="18">
        <f t="shared" si="9"/>
        <v>63.9</v>
      </c>
      <c r="AR19" s="18">
        <f t="shared" si="10"/>
        <v>0.22</v>
      </c>
      <c r="AS19" s="19">
        <f t="shared" si="11"/>
        <v>18.8</v>
      </c>
      <c r="AT19" s="18">
        <f t="shared" si="12"/>
        <v>6.65</v>
      </c>
      <c r="AU19" s="27"/>
    </row>
    <row r="20" spans="1:47">
      <c r="A20" s="6">
        <v>43542</v>
      </c>
      <c r="B20" s="5" t="s">
        <v>48</v>
      </c>
      <c r="C20" s="4">
        <v>15392044</v>
      </c>
      <c r="D20" s="4">
        <v>18343603</v>
      </c>
      <c r="E20" s="4">
        <v>17048000</v>
      </c>
      <c r="F20" s="4">
        <v>17015000</v>
      </c>
      <c r="G20" s="4">
        <v>216439196</v>
      </c>
      <c r="H20" s="4">
        <v>381007</v>
      </c>
      <c r="I20" s="4">
        <v>216439151</v>
      </c>
      <c r="J20" s="4">
        <v>381007</v>
      </c>
      <c r="K20" s="4"/>
      <c r="L20" s="5">
        <v>4246.2</v>
      </c>
      <c r="M20" s="5">
        <v>3723.5</v>
      </c>
      <c r="N20" s="5">
        <v>72564.31</v>
      </c>
      <c r="O20" s="5"/>
      <c r="P20" s="5"/>
      <c r="Q20" s="9">
        <v>19.5</v>
      </c>
      <c r="R20" s="4" t="s">
        <v>49</v>
      </c>
      <c r="S20" s="4">
        <v>400</v>
      </c>
      <c r="T20" s="4">
        <v>430</v>
      </c>
      <c r="U20" s="4">
        <v>8613</v>
      </c>
      <c r="V20" s="4">
        <v>4084</v>
      </c>
      <c r="W20" s="5">
        <v>3.96</v>
      </c>
      <c r="X20" s="5">
        <v>2.42</v>
      </c>
      <c r="Y20" s="4">
        <v>988</v>
      </c>
      <c r="Z20" s="4"/>
      <c r="AA20" s="11">
        <f t="shared" ref="AA20:AF20" si="29">IF(OR(C21=""),"",C21-C20)</f>
        <v>41969</v>
      </c>
      <c r="AB20" s="11">
        <f t="shared" si="29"/>
        <v>51108</v>
      </c>
      <c r="AC20" s="11">
        <f t="shared" si="29"/>
        <v>48000</v>
      </c>
      <c r="AD20" s="11">
        <f t="shared" si="29"/>
        <v>48000</v>
      </c>
      <c r="AE20" s="11">
        <f t="shared" si="29"/>
        <v>174356</v>
      </c>
      <c r="AF20" s="11">
        <f t="shared" si="29"/>
        <v>5443</v>
      </c>
      <c r="AG20" s="11">
        <f t="shared" si="1"/>
        <v>14721</v>
      </c>
      <c r="AH20" s="11">
        <f t="shared" si="2"/>
        <v>174164</v>
      </c>
      <c r="AI20" s="15">
        <f t="shared" si="3"/>
        <v>5443</v>
      </c>
      <c r="AJ20" s="15">
        <f t="shared" si="4"/>
        <v>168721</v>
      </c>
      <c r="AK20" s="15">
        <v>5200</v>
      </c>
      <c r="AL20" s="15">
        <f t="shared" si="5"/>
        <v>7596</v>
      </c>
      <c r="AM20" s="15">
        <f t="shared" si="6"/>
        <v>40</v>
      </c>
      <c r="AN20" s="15">
        <f t="shared" si="7"/>
        <v>2840</v>
      </c>
      <c r="AO20" s="15">
        <f t="shared" si="8"/>
        <v>1032</v>
      </c>
      <c r="AP20" s="30" t="s">
        <v>120</v>
      </c>
      <c r="AQ20" s="18">
        <f t="shared" si="9"/>
        <v>45</v>
      </c>
      <c r="AR20" s="18">
        <f t="shared" si="10"/>
        <v>0.24</v>
      </c>
      <c r="AS20" s="19">
        <f t="shared" si="11"/>
        <v>16.8</v>
      </c>
      <c r="AT20" s="18">
        <f t="shared" si="12"/>
        <v>6.12</v>
      </c>
      <c r="AU20" s="27"/>
    </row>
    <row r="21" spans="1:47">
      <c r="A21" s="6">
        <v>43543</v>
      </c>
      <c r="B21" s="5" t="s">
        <v>48</v>
      </c>
      <c r="C21" s="4">
        <v>15434013</v>
      </c>
      <c r="D21" s="4">
        <v>18394711</v>
      </c>
      <c r="E21" s="4">
        <v>17096000</v>
      </c>
      <c r="F21" s="4">
        <v>17063000</v>
      </c>
      <c r="G21" s="4">
        <v>216613552</v>
      </c>
      <c r="H21" s="4">
        <v>386450</v>
      </c>
      <c r="I21" s="4">
        <v>216613315</v>
      </c>
      <c r="J21" s="4">
        <v>386450</v>
      </c>
      <c r="K21" s="4"/>
      <c r="L21" s="5">
        <v>4246.2</v>
      </c>
      <c r="M21" s="5">
        <v>3729.83</v>
      </c>
      <c r="N21" s="5">
        <v>72584.14</v>
      </c>
      <c r="O21" s="5"/>
      <c r="P21" s="5"/>
      <c r="Q21" s="9">
        <v>19.8</v>
      </c>
      <c r="R21" s="4" t="s">
        <v>86</v>
      </c>
      <c r="S21" s="4">
        <v>300</v>
      </c>
      <c r="T21" s="4">
        <v>320</v>
      </c>
      <c r="U21" s="4">
        <v>9312</v>
      </c>
      <c r="V21" s="4">
        <v>7094</v>
      </c>
      <c r="W21" s="5">
        <v>5.34</v>
      </c>
      <c r="X21" s="5">
        <v>4.1100000000000003</v>
      </c>
      <c r="Y21" s="4">
        <v>1440</v>
      </c>
      <c r="Z21" s="4"/>
      <c r="AA21" s="11">
        <f t="shared" ref="AA21:AF21" si="30">IF(OR(C22=""),"",C22-C21)</f>
        <v>47581</v>
      </c>
      <c r="AB21" s="11">
        <f t="shared" si="30"/>
        <v>59458</v>
      </c>
      <c r="AC21" s="11">
        <f t="shared" si="30"/>
        <v>54000</v>
      </c>
      <c r="AD21" s="11">
        <f t="shared" si="30"/>
        <v>56000</v>
      </c>
      <c r="AE21" s="11">
        <f t="shared" si="30"/>
        <v>212331</v>
      </c>
      <c r="AF21" s="11">
        <f t="shared" si="30"/>
        <v>5440</v>
      </c>
      <c r="AG21" s="11">
        <f t="shared" si="1"/>
        <v>4708</v>
      </c>
      <c r="AH21" s="11">
        <f t="shared" si="2"/>
        <v>212669</v>
      </c>
      <c r="AI21" s="15">
        <f t="shared" si="3"/>
        <v>5440</v>
      </c>
      <c r="AJ21" s="15">
        <f t="shared" si="4"/>
        <v>207229</v>
      </c>
      <c r="AK21" s="15">
        <v>4640</v>
      </c>
      <c r="AL21" s="15">
        <f t="shared" si="5"/>
        <v>408</v>
      </c>
      <c r="AM21" s="15">
        <f t="shared" si="6"/>
        <v>3</v>
      </c>
      <c r="AN21" s="15">
        <f t="shared" si="7"/>
        <v>2130</v>
      </c>
      <c r="AO21" s="15">
        <f t="shared" si="8"/>
        <v>768</v>
      </c>
      <c r="AP21" s="30" t="s">
        <v>121</v>
      </c>
      <c r="AQ21" s="18">
        <f t="shared" si="9"/>
        <v>2</v>
      </c>
      <c r="AR21" s="18">
        <f t="shared" si="10"/>
        <v>0.01</v>
      </c>
      <c r="AS21" s="19">
        <f t="shared" si="11"/>
        <v>10.3</v>
      </c>
      <c r="AT21" s="18">
        <f t="shared" si="12"/>
        <v>3.71</v>
      </c>
      <c r="AU21" s="27"/>
    </row>
    <row r="22" spans="1:47">
      <c r="A22" s="6">
        <v>43544</v>
      </c>
      <c r="B22" s="5" t="s">
        <v>87</v>
      </c>
      <c r="C22" s="4">
        <v>15481594</v>
      </c>
      <c r="D22" s="4">
        <v>18454169</v>
      </c>
      <c r="E22" s="4">
        <v>17150000</v>
      </c>
      <c r="F22" s="4">
        <v>17119000</v>
      </c>
      <c r="G22" s="4">
        <v>216825883</v>
      </c>
      <c r="H22" s="4">
        <v>391890</v>
      </c>
      <c r="I22" s="4">
        <v>216825984</v>
      </c>
      <c r="J22" s="4">
        <v>391890</v>
      </c>
      <c r="K22" s="4"/>
      <c r="L22" s="5">
        <v>4246.2</v>
      </c>
      <c r="M22" s="5">
        <v>3730.17</v>
      </c>
      <c r="N22" s="5">
        <v>72585.509999999995</v>
      </c>
      <c r="O22" s="5"/>
      <c r="P22" s="5"/>
      <c r="Q22" s="9">
        <v>18.5</v>
      </c>
      <c r="R22" s="4" t="s">
        <v>88</v>
      </c>
      <c r="S22" s="4">
        <v>320</v>
      </c>
      <c r="T22" s="4">
        <v>350</v>
      </c>
      <c r="U22" s="4">
        <v>9260</v>
      </c>
      <c r="V22" s="4">
        <v>8745</v>
      </c>
      <c r="W22" s="5">
        <v>7.07</v>
      </c>
      <c r="X22" s="5">
        <v>6.07</v>
      </c>
      <c r="Y22" s="4">
        <v>1440</v>
      </c>
      <c r="Z22" s="4"/>
      <c r="AA22" s="11">
        <f t="shared" ref="AA22:AF22" si="31">IF(OR(C23=""),"",C23-C22)</f>
        <v>47872</v>
      </c>
      <c r="AB22" s="11">
        <f t="shared" si="31"/>
        <v>58389</v>
      </c>
      <c r="AC22" s="11">
        <f t="shared" si="31"/>
        <v>54000</v>
      </c>
      <c r="AD22" s="11">
        <f t="shared" si="31"/>
        <v>54000</v>
      </c>
      <c r="AE22" s="11">
        <f t="shared" si="31"/>
        <v>210503</v>
      </c>
      <c r="AF22" s="11">
        <f t="shared" si="31"/>
        <v>5424</v>
      </c>
      <c r="AG22" s="11">
        <f t="shared" si="1"/>
        <v>3758</v>
      </c>
      <c r="AH22" s="11">
        <f t="shared" si="2"/>
        <v>211683</v>
      </c>
      <c r="AI22" s="15">
        <f t="shared" si="3"/>
        <v>5424</v>
      </c>
      <c r="AJ22" s="15">
        <f t="shared" si="4"/>
        <v>206259</v>
      </c>
      <c r="AK22" s="15">
        <v>4560</v>
      </c>
      <c r="AL22" s="15">
        <f t="shared" si="5"/>
        <v>312</v>
      </c>
      <c r="AM22" s="15">
        <f t="shared" si="6"/>
        <v>2</v>
      </c>
      <c r="AN22" s="15">
        <f t="shared" si="7"/>
        <v>2272</v>
      </c>
      <c r="AO22" s="15">
        <f t="shared" si="8"/>
        <v>840</v>
      </c>
      <c r="AP22" s="30" t="s">
        <v>122</v>
      </c>
      <c r="AQ22" s="18">
        <f t="shared" si="9"/>
        <v>1.5</v>
      </c>
      <c r="AR22" s="18">
        <f t="shared" si="10"/>
        <v>0.01</v>
      </c>
      <c r="AS22" s="19">
        <f t="shared" si="11"/>
        <v>11</v>
      </c>
      <c r="AT22" s="18">
        <f t="shared" si="12"/>
        <v>4.07</v>
      </c>
      <c r="AU22" s="27"/>
    </row>
    <row r="23" spans="1:47">
      <c r="A23" s="6">
        <v>43545</v>
      </c>
      <c r="B23" s="5" t="s">
        <v>85</v>
      </c>
      <c r="C23" s="4">
        <v>15529466</v>
      </c>
      <c r="D23" s="4">
        <v>18512558</v>
      </c>
      <c r="E23" s="4">
        <v>17204000</v>
      </c>
      <c r="F23" s="4">
        <v>17173000</v>
      </c>
      <c r="G23" s="4">
        <v>217036386</v>
      </c>
      <c r="H23" s="4">
        <v>397314</v>
      </c>
      <c r="I23" s="4">
        <v>217037667</v>
      </c>
      <c r="J23" s="4">
        <v>397314</v>
      </c>
      <c r="K23" s="4"/>
      <c r="L23" s="5">
        <v>4246.2</v>
      </c>
      <c r="M23" s="5">
        <v>3730.43</v>
      </c>
      <c r="N23" s="5">
        <v>72586.399999999994</v>
      </c>
      <c r="O23" s="5"/>
      <c r="P23" s="5"/>
      <c r="Q23" s="9">
        <v>18.7</v>
      </c>
      <c r="R23" s="4" t="s">
        <v>49</v>
      </c>
      <c r="S23" s="4">
        <v>400</v>
      </c>
      <c r="T23" s="4">
        <v>450</v>
      </c>
      <c r="U23" s="4">
        <v>9210</v>
      </c>
      <c r="V23" s="4">
        <v>9025</v>
      </c>
      <c r="W23" s="5">
        <v>6.09</v>
      </c>
      <c r="X23" s="5">
        <v>5.62</v>
      </c>
      <c r="Y23" s="4">
        <v>1440</v>
      </c>
      <c r="Z23" s="4"/>
      <c r="AA23" s="11">
        <f t="shared" ref="AA23:AF23" si="32">IF(OR(C24=""),"",C24-C23)</f>
        <v>48832</v>
      </c>
      <c r="AB23" s="11">
        <f t="shared" si="32"/>
        <v>59759</v>
      </c>
      <c r="AC23" s="11">
        <f t="shared" si="32"/>
        <v>56000</v>
      </c>
      <c r="AD23" s="11">
        <f t="shared" si="32"/>
        <v>58000</v>
      </c>
      <c r="AE23" s="11">
        <f t="shared" si="32"/>
        <v>207576</v>
      </c>
      <c r="AF23" s="11">
        <f t="shared" si="32"/>
        <v>5488</v>
      </c>
      <c r="AG23" s="11">
        <f t="shared" si="1"/>
        <v>15015</v>
      </c>
      <c r="AH23" s="11">
        <f t="shared" si="2"/>
        <v>206551</v>
      </c>
      <c r="AI23" s="15">
        <f t="shared" si="3"/>
        <v>5488</v>
      </c>
      <c r="AJ23" s="15">
        <f t="shared" si="4"/>
        <v>201063</v>
      </c>
      <c r="AK23" s="15">
        <v>5060</v>
      </c>
      <c r="AL23" s="15">
        <f t="shared" si="5"/>
        <v>7056</v>
      </c>
      <c r="AM23" s="15">
        <f t="shared" si="6"/>
        <v>39</v>
      </c>
      <c r="AN23" s="15">
        <f t="shared" si="7"/>
        <v>2840</v>
      </c>
      <c r="AO23" s="15">
        <f t="shared" si="8"/>
        <v>1080</v>
      </c>
      <c r="AP23" s="30" t="s">
        <v>123</v>
      </c>
      <c r="AQ23" s="18">
        <f t="shared" si="9"/>
        <v>35.1</v>
      </c>
      <c r="AR23" s="18">
        <f t="shared" si="10"/>
        <v>0.19</v>
      </c>
      <c r="AS23" s="19">
        <f t="shared" si="11"/>
        <v>14.1</v>
      </c>
      <c r="AT23" s="18">
        <f t="shared" si="12"/>
        <v>5.37</v>
      </c>
      <c r="AU23" s="27"/>
    </row>
    <row r="24" spans="1:47">
      <c r="A24" s="6">
        <v>43546</v>
      </c>
      <c r="B24" s="5" t="s">
        <v>89</v>
      </c>
      <c r="C24" s="4">
        <v>15578298</v>
      </c>
      <c r="D24" s="4">
        <v>18572317</v>
      </c>
      <c r="E24" s="4">
        <v>17260000</v>
      </c>
      <c r="F24" s="4">
        <v>17231000</v>
      </c>
      <c r="G24" s="4">
        <v>217243962</v>
      </c>
      <c r="H24" s="4">
        <v>402802</v>
      </c>
      <c r="I24" s="4">
        <v>217244218</v>
      </c>
      <c r="J24" s="4">
        <v>402802</v>
      </c>
      <c r="K24" s="4"/>
      <c r="L24" s="5">
        <v>4246.2</v>
      </c>
      <c r="M24" s="5">
        <v>3736.31</v>
      </c>
      <c r="N24" s="5">
        <v>72605.67</v>
      </c>
      <c r="O24" s="5"/>
      <c r="P24" s="5"/>
      <c r="Q24" s="9">
        <v>18.600000000000001</v>
      </c>
      <c r="R24" s="4" t="s">
        <v>90</v>
      </c>
      <c r="S24" s="4">
        <v>530</v>
      </c>
      <c r="T24" s="4">
        <v>550</v>
      </c>
      <c r="U24" s="4">
        <v>9541</v>
      </c>
      <c r="V24" s="4">
        <v>4012</v>
      </c>
      <c r="W24" s="5">
        <v>6.13</v>
      </c>
      <c r="X24" s="5">
        <v>2.0499999999999998</v>
      </c>
      <c r="Y24" s="4">
        <v>1297</v>
      </c>
      <c r="Z24" s="4"/>
      <c r="AA24" s="11">
        <f t="shared" ref="AA24:AF24" si="33">IF(OR(C25=""),"",C25-C24)</f>
        <v>47316</v>
      </c>
      <c r="AB24" s="11">
        <f t="shared" si="33"/>
        <v>60198</v>
      </c>
      <c r="AC24" s="11">
        <f t="shared" si="33"/>
        <v>55000</v>
      </c>
      <c r="AD24" s="11">
        <f t="shared" si="33"/>
        <v>56000</v>
      </c>
      <c r="AE24" s="11">
        <f t="shared" si="33"/>
        <v>206234</v>
      </c>
      <c r="AF24" s="11">
        <f t="shared" si="33"/>
        <v>5462</v>
      </c>
      <c r="AG24" s="11">
        <f t="shared" si="1"/>
        <v>12280</v>
      </c>
      <c r="AH24" s="11">
        <f t="shared" si="2"/>
        <v>206092</v>
      </c>
      <c r="AI24" s="15">
        <f t="shared" si="3"/>
        <v>5462</v>
      </c>
      <c r="AJ24" s="15">
        <f t="shared" si="4"/>
        <v>200630</v>
      </c>
      <c r="AK24" s="15">
        <v>5500</v>
      </c>
      <c r="AL24" s="15">
        <f t="shared" si="5"/>
        <v>6372</v>
      </c>
      <c r="AM24" s="15">
        <f t="shared" si="6"/>
        <v>37</v>
      </c>
      <c r="AN24" s="15">
        <f t="shared" si="7"/>
        <v>3763</v>
      </c>
      <c r="AO24" s="15">
        <f t="shared" si="8"/>
        <v>1320</v>
      </c>
      <c r="AP24" s="30" t="s">
        <v>124</v>
      </c>
      <c r="AQ24" s="18">
        <f t="shared" si="9"/>
        <v>31.8</v>
      </c>
      <c r="AR24" s="18">
        <f t="shared" si="10"/>
        <v>0.18</v>
      </c>
      <c r="AS24" s="19">
        <f t="shared" si="11"/>
        <v>18.8</v>
      </c>
      <c r="AT24" s="18">
        <f t="shared" si="12"/>
        <v>6.58</v>
      </c>
      <c r="AU24" s="27"/>
    </row>
    <row r="25" spans="1:47">
      <c r="A25" s="6">
        <v>43547</v>
      </c>
      <c r="B25" s="5" t="s">
        <v>48</v>
      </c>
      <c r="C25" s="4">
        <v>15625614</v>
      </c>
      <c r="D25" s="4">
        <v>18632515</v>
      </c>
      <c r="E25" s="4">
        <v>17315000</v>
      </c>
      <c r="F25" s="4">
        <v>17287000</v>
      </c>
      <c r="G25" s="4">
        <v>217450196</v>
      </c>
      <c r="H25" s="4">
        <v>408264</v>
      </c>
      <c r="I25" s="4">
        <v>217450310</v>
      </c>
      <c r="J25" s="4">
        <v>408264</v>
      </c>
      <c r="K25" s="4"/>
      <c r="L25" s="5">
        <v>4246.2</v>
      </c>
      <c r="M25" s="5">
        <v>3741.62</v>
      </c>
      <c r="N25" s="5">
        <v>72624.19</v>
      </c>
      <c r="O25" s="5"/>
      <c r="P25" s="5"/>
      <c r="Q25" s="9">
        <v>18.899999999999999</v>
      </c>
      <c r="R25" s="4" t="s">
        <v>44</v>
      </c>
      <c r="S25" s="4">
        <v>540</v>
      </c>
      <c r="T25" s="4">
        <v>560</v>
      </c>
      <c r="U25" s="4">
        <v>9412</v>
      </c>
      <c r="V25" s="4">
        <v>4089</v>
      </c>
      <c r="W25" s="5">
        <v>3.69</v>
      </c>
      <c r="X25" s="5">
        <v>2.21</v>
      </c>
      <c r="Y25" s="4">
        <v>151</v>
      </c>
      <c r="Z25" s="4"/>
      <c r="AA25" s="11">
        <f t="shared" ref="AA25:AE25" si="34">IF(OR(C26=""),"",C26-C25)</f>
        <v>38317</v>
      </c>
      <c r="AB25" s="11">
        <f t="shared" si="34"/>
        <v>46599</v>
      </c>
      <c r="AC25" s="11">
        <f t="shared" si="34"/>
        <v>45000</v>
      </c>
      <c r="AD25" s="11">
        <f t="shared" si="34"/>
        <v>45000</v>
      </c>
      <c r="AE25" s="11">
        <f t="shared" si="34"/>
        <v>168768</v>
      </c>
      <c r="AF25" s="11">
        <v>5362</v>
      </c>
      <c r="AG25" s="11">
        <f t="shared" si="1"/>
        <v>6148</v>
      </c>
      <c r="AH25" s="11">
        <f t="shared" si="2"/>
        <v>168192</v>
      </c>
      <c r="AI25" s="15">
        <v>5362</v>
      </c>
      <c r="AJ25" s="15">
        <f t="shared" si="4"/>
        <v>162830</v>
      </c>
      <c r="AK25" s="15">
        <v>4000</v>
      </c>
      <c r="AL25" s="15">
        <f t="shared" si="5"/>
        <v>5964</v>
      </c>
      <c r="AM25" s="15">
        <f t="shared" si="6"/>
        <v>37</v>
      </c>
      <c r="AN25" s="15">
        <f t="shared" si="7"/>
        <v>3834</v>
      </c>
      <c r="AO25" s="15">
        <f t="shared" si="8"/>
        <v>1344</v>
      </c>
      <c r="AP25" s="30" t="s">
        <v>125</v>
      </c>
      <c r="AQ25" s="18">
        <f t="shared" si="9"/>
        <v>36.6</v>
      </c>
      <c r="AR25" s="18">
        <f t="shared" si="10"/>
        <v>0.23</v>
      </c>
      <c r="AS25" s="19">
        <f t="shared" si="11"/>
        <v>23.5</v>
      </c>
      <c r="AT25" s="18">
        <f t="shared" si="12"/>
        <v>8.25</v>
      </c>
      <c r="AU25" s="27"/>
    </row>
    <row r="26" spans="1:47">
      <c r="A26" s="6">
        <v>43548</v>
      </c>
      <c r="B26" s="5" t="s">
        <v>48</v>
      </c>
      <c r="C26" s="4">
        <v>15663931</v>
      </c>
      <c r="D26" s="4">
        <v>18679114</v>
      </c>
      <c r="E26" s="4">
        <v>17360000</v>
      </c>
      <c r="F26" s="4">
        <v>17332000</v>
      </c>
      <c r="G26" s="4">
        <v>217618964</v>
      </c>
      <c r="H26" s="4">
        <v>104310329</v>
      </c>
      <c r="I26" s="4">
        <v>217618502</v>
      </c>
      <c r="J26" s="4">
        <v>104310329</v>
      </c>
      <c r="K26" s="4"/>
      <c r="L26" s="5">
        <v>4246.2</v>
      </c>
      <c r="M26" s="5">
        <v>3746.59</v>
      </c>
      <c r="N26" s="5">
        <v>72642.789999999994</v>
      </c>
      <c r="O26" s="5"/>
      <c r="P26" s="5"/>
      <c r="Q26" s="9">
        <v>18.8</v>
      </c>
      <c r="R26" s="4" t="s">
        <v>44</v>
      </c>
      <c r="S26" s="4">
        <v>420</v>
      </c>
      <c r="T26" s="4">
        <v>450</v>
      </c>
      <c r="U26" s="4">
        <v>9215</v>
      </c>
      <c r="V26" s="4">
        <v>4156</v>
      </c>
      <c r="W26" s="5">
        <v>3.12</v>
      </c>
      <c r="X26" s="5">
        <v>2.31</v>
      </c>
      <c r="Y26" s="4">
        <v>14</v>
      </c>
      <c r="Z26" s="4"/>
      <c r="AA26" s="11">
        <f t="shared" ref="AA26:AF26" si="35">IF(OR(C27=""),"",C27-C26)</f>
        <v>40844</v>
      </c>
      <c r="AB26" s="11">
        <f t="shared" si="35"/>
        <v>49739</v>
      </c>
      <c r="AC26" s="11">
        <f t="shared" si="35"/>
        <v>46000</v>
      </c>
      <c r="AD26" s="11">
        <f t="shared" si="35"/>
        <v>46000</v>
      </c>
      <c r="AE26" s="11">
        <f t="shared" si="35"/>
        <v>174584</v>
      </c>
      <c r="AF26" s="11">
        <f t="shared" si="35"/>
        <v>5425</v>
      </c>
      <c r="AG26" s="11">
        <f t="shared" si="1"/>
        <v>7999</v>
      </c>
      <c r="AH26" s="11">
        <f t="shared" si="2"/>
        <v>176211</v>
      </c>
      <c r="AI26" s="15">
        <f t="shared" si="3"/>
        <v>5425</v>
      </c>
      <c r="AJ26" s="15">
        <f t="shared" si="4"/>
        <v>170786</v>
      </c>
      <c r="AK26" s="15">
        <v>3500</v>
      </c>
      <c r="AL26" s="15">
        <f t="shared" si="5"/>
        <v>2268</v>
      </c>
      <c r="AM26" s="15">
        <f t="shared" si="6"/>
        <v>14</v>
      </c>
      <c r="AN26" s="15">
        <f t="shared" si="7"/>
        <v>2982</v>
      </c>
      <c r="AO26" s="15">
        <f t="shared" si="8"/>
        <v>1080</v>
      </c>
      <c r="AP26" s="30" t="s">
        <v>126</v>
      </c>
      <c r="AQ26" s="18">
        <f t="shared" si="9"/>
        <v>13.3</v>
      </c>
      <c r="AR26" s="18">
        <f t="shared" si="10"/>
        <v>0.08</v>
      </c>
      <c r="AS26" s="19">
        <f t="shared" si="11"/>
        <v>17.5</v>
      </c>
      <c r="AT26" s="18">
        <f t="shared" si="12"/>
        <v>6.32</v>
      </c>
      <c r="AU26" s="27"/>
    </row>
    <row r="27" spans="1:47">
      <c r="A27" s="6">
        <v>43549</v>
      </c>
      <c r="B27" s="5" t="s">
        <v>48</v>
      </c>
      <c r="C27" s="4">
        <v>15704775</v>
      </c>
      <c r="D27" s="4">
        <v>18728853</v>
      </c>
      <c r="E27" s="4">
        <v>17406000</v>
      </c>
      <c r="F27" s="4">
        <v>17378000</v>
      </c>
      <c r="G27" s="4">
        <v>217793548</v>
      </c>
      <c r="H27" s="4">
        <v>104315754</v>
      </c>
      <c r="I27" s="4">
        <v>217794713</v>
      </c>
      <c r="J27" s="4">
        <v>104315754</v>
      </c>
      <c r="K27" s="4"/>
      <c r="L27" s="5">
        <v>4246.2</v>
      </c>
      <c r="M27" s="5">
        <v>3748.48</v>
      </c>
      <c r="N27" s="5">
        <v>72649.72</v>
      </c>
      <c r="O27" s="5"/>
      <c r="P27" s="5"/>
      <c r="Q27" s="9">
        <v>21.6</v>
      </c>
      <c r="R27" s="4" t="s">
        <v>44</v>
      </c>
      <c r="S27" s="4">
        <v>380</v>
      </c>
      <c r="T27" s="4">
        <v>400</v>
      </c>
      <c r="U27" s="4">
        <v>8114</v>
      </c>
      <c r="V27" s="4">
        <v>3647</v>
      </c>
      <c r="W27" s="5">
        <v>3.4</v>
      </c>
      <c r="X27" s="5">
        <v>2.23</v>
      </c>
      <c r="Y27" s="4">
        <v>305</v>
      </c>
      <c r="Z27" s="4"/>
      <c r="AA27" s="11">
        <f t="shared" ref="AA27:AF27" si="36">IF(OR(C28=""),"",C28-C27)</f>
        <v>37647</v>
      </c>
      <c r="AB27" s="11">
        <f t="shared" si="36"/>
        <v>44861</v>
      </c>
      <c r="AC27" s="11">
        <f t="shared" si="36"/>
        <v>43000</v>
      </c>
      <c r="AD27" s="11">
        <f t="shared" si="36"/>
        <v>42000</v>
      </c>
      <c r="AE27" s="11">
        <f t="shared" si="36"/>
        <v>162696</v>
      </c>
      <c r="AF27" s="11">
        <f t="shared" si="36"/>
        <v>5541</v>
      </c>
      <c r="AG27" s="11">
        <f t="shared" si="1"/>
        <v>4812</v>
      </c>
      <c r="AH27" s="11">
        <f t="shared" si="2"/>
        <v>161566</v>
      </c>
      <c r="AI27" s="15">
        <f t="shared" si="3"/>
        <v>5541</v>
      </c>
      <c r="AJ27" s="15">
        <f t="shared" si="4"/>
        <v>156025</v>
      </c>
      <c r="AK27" s="15">
        <v>5500</v>
      </c>
      <c r="AL27" s="15">
        <f t="shared" si="5"/>
        <v>0</v>
      </c>
      <c r="AM27" s="15">
        <f t="shared" si="6"/>
        <v>0</v>
      </c>
      <c r="AN27" s="15">
        <f t="shared" si="7"/>
        <v>2698</v>
      </c>
      <c r="AO27" s="15">
        <f t="shared" si="8"/>
        <v>960</v>
      </c>
      <c r="AP27" s="30" t="s">
        <v>127</v>
      </c>
      <c r="AQ27" s="18">
        <f t="shared" si="9"/>
        <v>0</v>
      </c>
      <c r="AR27" s="18">
        <f t="shared" si="10"/>
        <v>0</v>
      </c>
      <c r="AS27" s="19">
        <f t="shared" si="11"/>
        <v>17.3</v>
      </c>
      <c r="AT27" s="18">
        <f t="shared" si="12"/>
        <v>6.15</v>
      </c>
      <c r="AU27" s="27"/>
    </row>
    <row r="28" spans="1:47">
      <c r="A28" s="6">
        <v>43550</v>
      </c>
      <c r="B28" s="5" t="s">
        <v>48</v>
      </c>
      <c r="C28" s="4">
        <v>15742422</v>
      </c>
      <c r="D28" s="4">
        <v>18773714</v>
      </c>
      <c r="E28" s="4">
        <v>17449000</v>
      </c>
      <c r="F28" s="4">
        <v>17420000</v>
      </c>
      <c r="G28" s="4">
        <v>217956244</v>
      </c>
      <c r="H28" s="4">
        <v>104321295</v>
      </c>
      <c r="I28" s="4">
        <v>217956279</v>
      </c>
      <c r="J28" s="4">
        <v>104321295</v>
      </c>
      <c r="K28" s="4"/>
      <c r="L28" s="5">
        <v>4246.2</v>
      </c>
      <c r="M28" s="5">
        <v>3748.48</v>
      </c>
      <c r="N28" s="5">
        <v>72649.72</v>
      </c>
      <c r="O28" s="5"/>
      <c r="P28" s="5"/>
      <c r="Q28" s="9">
        <v>20.6</v>
      </c>
      <c r="R28" s="4" t="s">
        <v>44</v>
      </c>
      <c r="S28" s="4">
        <v>300</v>
      </c>
      <c r="T28" s="4">
        <v>320</v>
      </c>
      <c r="U28" s="4">
        <v>8614</v>
      </c>
      <c r="V28" s="4">
        <v>3215</v>
      </c>
      <c r="W28" s="5">
        <v>3.58</v>
      </c>
      <c r="X28" s="5">
        <v>2.0099999999999998</v>
      </c>
      <c r="Y28" s="4">
        <v>7</v>
      </c>
      <c r="Z28" s="4"/>
      <c r="AA28" s="11">
        <f t="shared" ref="AA28:AF28" si="37">IF(OR(C29=""),"",C29-C28)</f>
        <v>36650</v>
      </c>
      <c r="AB28" s="11">
        <f t="shared" si="37"/>
        <v>43650</v>
      </c>
      <c r="AC28" s="11">
        <f t="shared" si="37"/>
        <v>45000</v>
      </c>
      <c r="AD28" s="11">
        <f t="shared" si="37"/>
        <v>44000</v>
      </c>
      <c r="AE28" s="11">
        <f t="shared" si="37"/>
        <v>163967</v>
      </c>
      <c r="AF28" s="11">
        <f t="shared" si="37"/>
        <v>5389</v>
      </c>
      <c r="AG28" s="11">
        <f t="shared" si="1"/>
        <v>5333</v>
      </c>
      <c r="AH28" s="11">
        <f t="shared" si="2"/>
        <v>166478</v>
      </c>
      <c r="AI28" s="15">
        <f t="shared" si="3"/>
        <v>5389</v>
      </c>
      <c r="AJ28" s="15">
        <f t="shared" si="4"/>
        <v>161089</v>
      </c>
      <c r="AK28" s="15">
        <v>4500</v>
      </c>
      <c r="AL28" s="15">
        <f t="shared" si="5"/>
        <v>0</v>
      </c>
      <c r="AM28" s="15">
        <f t="shared" si="6"/>
        <v>0</v>
      </c>
      <c r="AN28" s="15">
        <f t="shared" si="7"/>
        <v>2130</v>
      </c>
      <c r="AO28" s="15">
        <f t="shared" si="8"/>
        <v>768</v>
      </c>
      <c r="AP28" s="30" t="s">
        <v>128</v>
      </c>
      <c r="AQ28" s="18">
        <f t="shared" si="9"/>
        <v>0</v>
      </c>
      <c r="AR28" s="18">
        <f t="shared" si="10"/>
        <v>0</v>
      </c>
      <c r="AS28" s="19">
        <f t="shared" si="11"/>
        <v>13.2</v>
      </c>
      <c r="AT28" s="18">
        <f t="shared" si="12"/>
        <v>4.7699999999999996</v>
      </c>
      <c r="AU28" s="27"/>
    </row>
    <row r="29" spans="1:47">
      <c r="A29" s="6">
        <v>43551</v>
      </c>
      <c r="B29" s="5" t="s">
        <v>66</v>
      </c>
      <c r="C29" s="4">
        <v>15779072</v>
      </c>
      <c r="D29" s="4">
        <v>18817364</v>
      </c>
      <c r="E29" s="4">
        <v>17494000</v>
      </c>
      <c r="F29" s="4">
        <v>17464000</v>
      </c>
      <c r="G29" s="4">
        <v>218120211</v>
      </c>
      <c r="H29" s="4">
        <v>104326684</v>
      </c>
      <c r="I29" s="4">
        <v>218122757</v>
      </c>
      <c r="J29" s="4">
        <v>104326684</v>
      </c>
      <c r="K29" s="4"/>
      <c r="L29" s="5">
        <v>4246.2</v>
      </c>
      <c r="M29" s="5">
        <v>3748.48</v>
      </c>
      <c r="N29" s="5">
        <v>72649.72</v>
      </c>
      <c r="O29" s="5"/>
      <c r="P29" s="5"/>
      <c r="Q29" s="9">
        <v>19.7</v>
      </c>
      <c r="R29" s="4" t="s">
        <v>53</v>
      </c>
      <c r="S29" s="4">
        <v>260</v>
      </c>
      <c r="T29" s="4">
        <v>280</v>
      </c>
      <c r="U29" s="4">
        <v>8452</v>
      </c>
      <c r="V29" s="4">
        <v>3915</v>
      </c>
      <c r="W29" s="5">
        <v>3.28</v>
      </c>
      <c r="X29" s="5">
        <v>2.39</v>
      </c>
      <c r="Y29" s="4">
        <v>130</v>
      </c>
      <c r="Z29" s="4"/>
      <c r="AA29" s="11">
        <f t="shared" ref="AA29:AF29" si="38">IF(OR(C30=""),"",C30-C29)</f>
        <v>37982</v>
      </c>
      <c r="AB29" s="11">
        <f t="shared" si="38"/>
        <v>45515</v>
      </c>
      <c r="AC29" s="11">
        <f t="shared" si="38"/>
        <v>44000</v>
      </c>
      <c r="AD29" s="11">
        <f t="shared" si="38"/>
        <v>43000</v>
      </c>
      <c r="AE29" s="11">
        <f t="shared" si="38"/>
        <v>167205</v>
      </c>
      <c r="AF29" s="11">
        <f t="shared" si="38"/>
        <v>5619</v>
      </c>
      <c r="AG29" s="11">
        <f t="shared" si="1"/>
        <v>3292</v>
      </c>
      <c r="AH29" s="11">
        <f t="shared" si="2"/>
        <v>164693</v>
      </c>
      <c r="AI29" s="15">
        <f t="shared" si="3"/>
        <v>5619</v>
      </c>
      <c r="AJ29" s="15">
        <f t="shared" si="4"/>
        <v>159074</v>
      </c>
      <c r="AK29" s="15">
        <v>4200</v>
      </c>
      <c r="AL29" s="15">
        <f t="shared" si="5"/>
        <v>0</v>
      </c>
      <c r="AM29" s="15">
        <f t="shared" si="6"/>
        <v>0</v>
      </c>
      <c r="AN29" s="15">
        <f t="shared" si="7"/>
        <v>1846</v>
      </c>
      <c r="AO29" s="15">
        <f t="shared" si="8"/>
        <v>672</v>
      </c>
      <c r="AP29" s="30" t="s">
        <v>129</v>
      </c>
      <c r="AQ29" s="18">
        <f t="shared" si="9"/>
        <v>0</v>
      </c>
      <c r="AR29" s="18">
        <f t="shared" si="10"/>
        <v>0</v>
      </c>
      <c r="AS29" s="19">
        <f t="shared" si="11"/>
        <v>11.6</v>
      </c>
      <c r="AT29" s="18">
        <f t="shared" si="12"/>
        <v>4.22</v>
      </c>
      <c r="AU29" s="27"/>
    </row>
    <row r="30" spans="1:47">
      <c r="A30" s="6">
        <v>43552</v>
      </c>
      <c r="B30" s="5" t="s">
        <v>91</v>
      </c>
      <c r="C30" s="4">
        <v>15817054</v>
      </c>
      <c r="D30" s="4">
        <v>18862879</v>
      </c>
      <c r="E30" s="4">
        <v>17538000</v>
      </c>
      <c r="F30" s="4">
        <v>17507000</v>
      </c>
      <c r="G30" s="4">
        <v>218287416</v>
      </c>
      <c r="H30" s="4">
        <v>104332303</v>
      </c>
      <c r="I30" s="4">
        <v>218287450</v>
      </c>
      <c r="J30" s="4">
        <v>104332303</v>
      </c>
      <c r="K30" s="4"/>
      <c r="L30" s="5">
        <v>4246.2</v>
      </c>
      <c r="M30" s="5">
        <v>3748.48</v>
      </c>
      <c r="N30" s="5">
        <v>72649.72</v>
      </c>
      <c r="O30" s="5"/>
      <c r="P30" s="5"/>
      <c r="Q30" s="9">
        <v>20.6</v>
      </c>
      <c r="R30" s="4" t="s">
        <v>44</v>
      </c>
      <c r="S30" s="4">
        <v>450</v>
      </c>
      <c r="T30" s="4">
        <v>470</v>
      </c>
      <c r="U30" s="4">
        <v>8944</v>
      </c>
      <c r="V30" s="4">
        <v>2744</v>
      </c>
      <c r="W30" s="5">
        <v>3.6</v>
      </c>
      <c r="X30" s="5">
        <v>2.25</v>
      </c>
      <c r="Y30" s="4">
        <v>668</v>
      </c>
      <c r="Z30" s="4"/>
      <c r="AA30" s="11">
        <f t="shared" ref="AA30:AF30" si="39">IF(OR(C31=""),"",C31-C30)</f>
        <v>39780</v>
      </c>
      <c r="AB30" s="11">
        <f t="shared" si="39"/>
        <v>47933</v>
      </c>
      <c r="AC30" s="11">
        <f t="shared" si="39"/>
        <v>45000</v>
      </c>
      <c r="AD30" s="11">
        <f t="shared" si="39"/>
        <v>45000</v>
      </c>
      <c r="AE30" s="11">
        <f t="shared" si="39"/>
        <v>169761</v>
      </c>
      <c r="AF30" s="11">
        <f t="shared" si="39"/>
        <v>5507</v>
      </c>
      <c r="AG30" s="11">
        <f t="shared" si="1"/>
        <v>7952</v>
      </c>
      <c r="AH30" s="11">
        <f t="shared" si="2"/>
        <v>169776</v>
      </c>
      <c r="AI30" s="15">
        <f t="shared" si="3"/>
        <v>5507</v>
      </c>
      <c r="AJ30" s="15">
        <f t="shared" si="4"/>
        <v>164269</v>
      </c>
      <c r="AK30" s="15">
        <v>4500</v>
      </c>
      <c r="AL30" s="15">
        <f t="shared" si="5"/>
        <v>5364</v>
      </c>
      <c r="AM30" s="15">
        <f t="shared" si="6"/>
        <v>26</v>
      </c>
      <c r="AN30" s="15">
        <f t="shared" si="7"/>
        <v>3195</v>
      </c>
      <c r="AO30" s="15">
        <f t="shared" si="8"/>
        <v>1128</v>
      </c>
      <c r="AP30" s="30" t="s">
        <v>130</v>
      </c>
      <c r="AQ30" s="18">
        <f t="shared" si="9"/>
        <v>32.700000000000003</v>
      </c>
      <c r="AR30" s="18">
        <f t="shared" si="10"/>
        <v>0.16</v>
      </c>
      <c r="AS30" s="19">
        <f t="shared" si="11"/>
        <v>19.399999999999999</v>
      </c>
      <c r="AT30" s="18">
        <f t="shared" si="12"/>
        <v>6.87</v>
      </c>
      <c r="AU30" s="27"/>
    </row>
    <row r="31" spans="1:47">
      <c r="A31" s="6">
        <v>43553</v>
      </c>
      <c r="B31" s="5" t="s">
        <v>48</v>
      </c>
      <c r="C31" s="4">
        <v>15856834</v>
      </c>
      <c r="D31" s="4">
        <v>18910812</v>
      </c>
      <c r="E31" s="4">
        <v>17583000</v>
      </c>
      <c r="F31" s="4">
        <v>17552000</v>
      </c>
      <c r="G31" s="4">
        <v>218457177</v>
      </c>
      <c r="H31" s="4">
        <v>104337810</v>
      </c>
      <c r="I31" s="4">
        <v>218457226</v>
      </c>
      <c r="J31" s="4">
        <v>104337810</v>
      </c>
      <c r="K31" s="4"/>
      <c r="L31" s="5">
        <v>4246.2</v>
      </c>
      <c r="M31" s="5">
        <v>3752.95</v>
      </c>
      <c r="N31" s="5">
        <v>72662.52</v>
      </c>
      <c r="O31" s="5"/>
      <c r="P31" s="5"/>
      <c r="Q31" s="9">
        <v>20.9</v>
      </c>
      <c r="R31" s="4" t="s">
        <v>44</v>
      </c>
      <c r="S31" s="4">
        <v>430</v>
      </c>
      <c r="T31" s="4">
        <v>460</v>
      </c>
      <c r="U31" s="4">
        <v>8349</v>
      </c>
      <c r="V31" s="4">
        <v>4090</v>
      </c>
      <c r="W31" s="5">
        <v>3.4</v>
      </c>
      <c r="X31" s="5">
        <v>2.31</v>
      </c>
      <c r="Y31" s="4">
        <v>254</v>
      </c>
      <c r="Z31" s="4"/>
      <c r="AA31" s="11">
        <f t="shared" ref="AA31:AF31" si="40">IF(OR(C32=""),"",C32-C31)</f>
        <v>40369</v>
      </c>
      <c r="AB31" s="11">
        <f t="shared" si="40"/>
        <v>48353</v>
      </c>
      <c r="AC31" s="11">
        <f t="shared" si="40"/>
        <v>46000</v>
      </c>
      <c r="AD31" s="11">
        <f t="shared" si="40"/>
        <v>46000</v>
      </c>
      <c r="AE31" s="11">
        <f t="shared" si="40"/>
        <v>171180</v>
      </c>
      <c r="AF31" s="11">
        <f t="shared" si="40"/>
        <v>5515</v>
      </c>
      <c r="AG31" s="11">
        <f t="shared" si="1"/>
        <v>9542</v>
      </c>
      <c r="AH31" s="11">
        <f t="shared" si="2"/>
        <v>170885</v>
      </c>
      <c r="AI31" s="15">
        <f t="shared" si="3"/>
        <v>5515</v>
      </c>
      <c r="AJ31" s="15">
        <f t="shared" si="4"/>
        <v>165370</v>
      </c>
      <c r="AK31" s="15">
        <v>4900</v>
      </c>
      <c r="AL31" s="15">
        <f t="shared" si="5"/>
        <v>7392</v>
      </c>
      <c r="AM31" s="15">
        <f t="shared" si="6"/>
        <v>35</v>
      </c>
      <c r="AN31" s="15">
        <f t="shared" si="7"/>
        <v>3053</v>
      </c>
      <c r="AO31" s="15">
        <f t="shared" si="8"/>
        <v>1104</v>
      </c>
      <c r="AP31" s="30" t="s">
        <v>131</v>
      </c>
      <c r="AQ31" s="18">
        <f t="shared" si="9"/>
        <v>44.7</v>
      </c>
      <c r="AR31" s="18">
        <f t="shared" si="10"/>
        <v>0.21</v>
      </c>
      <c r="AS31" s="19">
        <f t="shared" si="11"/>
        <v>18.5</v>
      </c>
      <c r="AT31" s="18">
        <f t="shared" si="12"/>
        <v>6.68</v>
      </c>
      <c r="AU31" s="27"/>
    </row>
    <row r="32" spans="1:47">
      <c r="A32" s="6">
        <v>43554</v>
      </c>
      <c r="B32" s="5" t="s">
        <v>48</v>
      </c>
      <c r="C32" s="4">
        <v>15897203</v>
      </c>
      <c r="D32" s="4">
        <v>18959165</v>
      </c>
      <c r="E32" s="4">
        <v>17629000</v>
      </c>
      <c r="F32" s="4">
        <v>17598000</v>
      </c>
      <c r="G32" s="4">
        <v>218628357</v>
      </c>
      <c r="H32" s="4">
        <v>104343325</v>
      </c>
      <c r="I32" s="4">
        <v>218628111</v>
      </c>
      <c r="J32" s="4">
        <v>104343325</v>
      </c>
      <c r="K32" s="4"/>
      <c r="L32" s="5">
        <v>4246.2</v>
      </c>
      <c r="M32" s="5">
        <v>3759.11</v>
      </c>
      <c r="N32" s="5">
        <v>72680.19</v>
      </c>
      <c r="O32" s="5"/>
      <c r="P32" s="5"/>
      <c r="Q32" s="9">
        <v>21.6</v>
      </c>
      <c r="R32" s="4" t="s">
        <v>44</v>
      </c>
      <c r="S32" s="4">
        <v>570</v>
      </c>
      <c r="T32" s="4">
        <v>590</v>
      </c>
      <c r="U32" s="4">
        <v>9012</v>
      </c>
      <c r="V32" s="4">
        <v>3604</v>
      </c>
      <c r="W32" s="5">
        <v>3.21</v>
      </c>
      <c r="X32" s="5">
        <v>2.2599999999999998</v>
      </c>
      <c r="Y32" s="4">
        <v>11</v>
      </c>
      <c r="Z32" s="4"/>
      <c r="AA32" s="11">
        <f t="shared" ref="AA32:AF32" si="41">IF(OR(C33=""),"",C33-C32)</f>
        <v>40808</v>
      </c>
      <c r="AB32" s="11">
        <f t="shared" si="41"/>
        <v>49149</v>
      </c>
      <c r="AC32" s="11">
        <f t="shared" si="41"/>
        <v>47000</v>
      </c>
      <c r="AD32" s="11">
        <f t="shared" si="41"/>
        <v>47000</v>
      </c>
      <c r="AE32" s="11">
        <f t="shared" si="41"/>
        <v>172111</v>
      </c>
      <c r="AF32" s="11">
        <f t="shared" si="41"/>
        <v>5495</v>
      </c>
      <c r="AG32" s="11">
        <f t="shared" si="1"/>
        <v>11846</v>
      </c>
      <c r="AH32" s="11">
        <f t="shared" si="2"/>
        <v>172293</v>
      </c>
      <c r="AI32" s="15">
        <f t="shared" si="3"/>
        <v>5495</v>
      </c>
      <c r="AJ32" s="15">
        <f t="shared" si="4"/>
        <v>166798</v>
      </c>
      <c r="AK32" s="15">
        <v>4900</v>
      </c>
      <c r="AL32" s="15">
        <f t="shared" si="5"/>
        <v>8640</v>
      </c>
      <c r="AM32" s="15">
        <f t="shared" si="6"/>
        <v>36</v>
      </c>
      <c r="AN32" s="15">
        <f t="shared" si="7"/>
        <v>4047</v>
      </c>
      <c r="AO32" s="15">
        <f t="shared" si="8"/>
        <v>1416</v>
      </c>
      <c r="AP32" s="30" t="s">
        <v>132</v>
      </c>
      <c r="AQ32" s="18">
        <f t="shared" si="9"/>
        <v>51.8</v>
      </c>
      <c r="AR32" s="18">
        <f t="shared" si="10"/>
        <v>0.22</v>
      </c>
      <c r="AS32" s="19">
        <f t="shared" si="11"/>
        <v>24.3</v>
      </c>
      <c r="AT32" s="18">
        <f t="shared" si="12"/>
        <v>8.49</v>
      </c>
      <c r="AU32" s="27"/>
    </row>
    <row r="33" spans="1:47">
      <c r="A33" s="6">
        <v>43555</v>
      </c>
      <c r="B33" s="5" t="s">
        <v>48</v>
      </c>
      <c r="C33" s="4">
        <v>15938011</v>
      </c>
      <c r="D33" s="4">
        <v>19008314</v>
      </c>
      <c r="E33" s="4">
        <v>17676000</v>
      </c>
      <c r="F33" s="4">
        <v>17645000</v>
      </c>
      <c r="G33" s="4">
        <v>218800468</v>
      </c>
      <c r="H33" s="4">
        <v>104348820</v>
      </c>
      <c r="I33" s="4">
        <v>218800404</v>
      </c>
      <c r="J33" s="4">
        <v>104348820</v>
      </c>
      <c r="K33" s="4"/>
      <c r="L33" s="5">
        <v>4246.2</v>
      </c>
      <c r="M33" s="5">
        <v>3766.31</v>
      </c>
      <c r="N33" s="5">
        <v>72697.95</v>
      </c>
      <c r="O33" s="5"/>
      <c r="P33" s="5"/>
      <c r="Q33" s="9">
        <v>19.600000000000001</v>
      </c>
      <c r="R33" s="4" t="s">
        <v>92</v>
      </c>
      <c r="S33" s="4">
        <v>300</v>
      </c>
      <c r="T33" s="4">
        <v>330</v>
      </c>
      <c r="U33" s="4">
        <v>10256</v>
      </c>
      <c r="V33" s="4">
        <v>4125</v>
      </c>
      <c r="W33" s="5">
        <v>5.63</v>
      </c>
      <c r="X33" s="5">
        <v>2.5099999999999998</v>
      </c>
      <c r="Y33" s="4">
        <v>604</v>
      </c>
      <c r="Z33" s="4"/>
      <c r="AA33" s="11">
        <f t="shared" ref="AA33:AF33" si="42">IF(OR(C34=""),"",C34-C33)</f>
        <v>43854</v>
      </c>
      <c r="AB33" s="11">
        <f t="shared" si="42"/>
        <v>53525</v>
      </c>
      <c r="AC33" s="11">
        <f t="shared" si="42"/>
        <v>50000</v>
      </c>
      <c r="AD33" s="11">
        <f t="shared" si="42"/>
        <v>51000</v>
      </c>
      <c r="AE33" s="11">
        <f t="shared" si="42"/>
        <v>181725</v>
      </c>
      <c r="AF33" s="11">
        <f t="shared" si="42"/>
        <v>5500</v>
      </c>
      <c r="AG33" s="11">
        <f t="shared" si="1"/>
        <v>16654</v>
      </c>
      <c r="AH33" s="11">
        <f t="shared" si="2"/>
        <v>181679</v>
      </c>
      <c r="AI33" s="15">
        <f t="shared" si="3"/>
        <v>5500</v>
      </c>
      <c r="AJ33" s="15">
        <f t="shared" si="4"/>
        <v>176179</v>
      </c>
      <c r="AK33" s="15">
        <v>5500</v>
      </c>
      <c r="AL33" s="15">
        <f t="shared" si="5"/>
        <v>8424</v>
      </c>
      <c r="AM33" s="15">
        <f t="shared" si="6"/>
        <v>36</v>
      </c>
      <c r="AN33" s="15">
        <f t="shared" si="7"/>
        <v>2130</v>
      </c>
      <c r="AO33" s="15">
        <f t="shared" si="8"/>
        <v>792</v>
      </c>
      <c r="AP33" s="30" t="s">
        <v>133</v>
      </c>
      <c r="AQ33" s="18">
        <f t="shared" si="9"/>
        <v>47.8</v>
      </c>
      <c r="AR33" s="18">
        <f t="shared" si="10"/>
        <v>0.2</v>
      </c>
      <c r="AS33" s="19">
        <f t="shared" si="11"/>
        <v>12.1</v>
      </c>
      <c r="AT33" s="18">
        <f t="shared" si="12"/>
        <v>4.5</v>
      </c>
      <c r="AU33" s="27"/>
    </row>
    <row r="34" spans="1:47">
      <c r="A34" s="6">
        <v>43556</v>
      </c>
      <c r="B34" s="5" t="s">
        <v>48</v>
      </c>
      <c r="C34" s="4">
        <v>15981865</v>
      </c>
      <c r="D34" s="4">
        <v>19061839</v>
      </c>
      <c r="E34" s="4">
        <v>17726000</v>
      </c>
      <c r="F34" s="4">
        <v>17696000</v>
      </c>
      <c r="G34" s="4">
        <v>218982193</v>
      </c>
      <c r="H34" s="4">
        <v>104354320</v>
      </c>
      <c r="I34" s="4">
        <v>218982083</v>
      </c>
      <c r="J34" s="4">
        <v>104354320</v>
      </c>
      <c r="K34" s="4"/>
      <c r="L34" s="5">
        <v>4246.2</v>
      </c>
      <c r="M34" s="5">
        <v>3773.33</v>
      </c>
      <c r="N34" s="5">
        <v>72716</v>
      </c>
      <c r="O34" s="5"/>
      <c r="P34" s="5"/>
      <c r="Q34" s="9"/>
      <c r="R34" s="4" t="s">
        <v>53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31"/>
      <c r="AQ34" s="20"/>
      <c r="AR34" s="21"/>
      <c r="AS34" s="20"/>
      <c r="AT34" s="21"/>
    </row>
    <row r="35" spans="1:47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31"/>
      <c r="AQ35" s="20"/>
      <c r="AR35" s="21"/>
      <c r="AS35" s="20"/>
      <c r="AT35" s="21"/>
    </row>
    <row r="36" spans="1:47">
      <c r="P36" s="2"/>
      <c r="Q36" s="10"/>
      <c r="AA36" s="13" t="str">
        <f t="shared" ref="AA36:AF36" si="43">IF(OR(C37=""),"",C37-C36)</f>
        <v/>
      </c>
      <c r="AB36" s="13" t="str">
        <f t="shared" si="43"/>
        <v/>
      </c>
      <c r="AC36" s="13" t="str">
        <f t="shared" si="43"/>
        <v/>
      </c>
      <c r="AD36" s="13" t="str">
        <f t="shared" si="43"/>
        <v/>
      </c>
      <c r="AE36" s="13" t="str">
        <f t="shared" si="43"/>
        <v/>
      </c>
      <c r="AF36" s="13" t="str">
        <f t="shared" si="43"/>
        <v/>
      </c>
      <c r="AG36" s="13" t="str">
        <f>IF(OR(AA36="",AB36="",AC36=""),"",AA36+AB36+AC36+AD36-AE36)</f>
        <v/>
      </c>
      <c r="AH36" s="17">
        <f t="shared" ref="AH36:AO36" si="44">SUM(AH3:AH34)</f>
        <v>5567022</v>
      </c>
      <c r="AI36" s="17">
        <f t="shared" si="44"/>
        <v>166712</v>
      </c>
      <c r="AJ36" s="17">
        <f t="shared" si="44"/>
        <v>5400310</v>
      </c>
      <c r="AK36" s="17">
        <f t="shared" si="44"/>
        <v>123185</v>
      </c>
      <c r="AL36" s="17">
        <f t="shared" si="44"/>
        <v>224076</v>
      </c>
      <c r="AM36" s="17">
        <f t="shared" si="44"/>
        <v>812</v>
      </c>
      <c r="AN36" s="17">
        <f t="shared" si="44"/>
        <v>89673</v>
      </c>
      <c r="AO36" s="17">
        <f t="shared" si="44"/>
        <v>31920</v>
      </c>
      <c r="AP36" s="32"/>
      <c r="AQ36" s="22">
        <f>IF(OR($AJ36=0),"",ROUND(AL36/$AJ36*1000,1))</f>
        <v>41.5</v>
      </c>
      <c r="AR36" s="22">
        <f>IF(OR($AJ36=0),"",ROUND(AM36/$AJ36*1000,2))</f>
        <v>0.15</v>
      </c>
      <c r="AS36" s="23">
        <f>IF(OR($AJ36=0),"",ROUND(AN36/$AJ36*1000,1))</f>
        <v>16.600000000000001</v>
      </c>
      <c r="AT36" s="22">
        <f>IF(OR($AJ36=0),"",ROUND(AO36/$AJ36*1000,2))</f>
        <v>5.91</v>
      </c>
    </row>
    <row r="37" spans="1:47">
      <c r="C37" s="8"/>
    </row>
    <row r="38" spans="1:47">
      <c r="C38" s="8"/>
    </row>
    <row r="39" spans="1:47">
      <c r="C39" s="8"/>
    </row>
    <row r="40" spans="1:47">
      <c r="C40" s="8"/>
    </row>
    <row r="41" spans="1:47">
      <c r="C41" s="8"/>
    </row>
    <row r="42" spans="1:47">
      <c r="C42" s="8"/>
    </row>
    <row r="43" spans="1:47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10" zoomScaleNormal="110" workbookViewId="0">
      <pane xSplit="2" ySplit="2" topLeftCell="C18" activePane="bottomRight" state="frozen"/>
      <selection pane="topRight"/>
      <selection pane="bottomLeft"/>
      <selection pane="bottomRight" activeCell="AP29" sqref="AP29:AP32"/>
    </sheetView>
  </sheetViews>
  <sheetFormatPr defaultColWidth="10.6640625" defaultRowHeight="13.2"/>
  <cols>
    <col min="1" max="1" width="6.21875" style="1" customWidth="1"/>
    <col min="2" max="2" width="8.6640625" style="2" customWidth="1"/>
    <col min="3" max="3" width="10.6640625" style="1" customWidth="1"/>
    <col min="4" max="4" width="11" style="1" customWidth="1"/>
    <col min="5" max="5" width="11.109375" style="1" customWidth="1"/>
    <col min="6" max="6" width="10.88671875" style="1" customWidth="1"/>
    <col min="7" max="7" width="11.6640625" style="1" customWidth="1"/>
    <col min="8" max="8" width="11.33203125" style="1" customWidth="1"/>
    <col min="9" max="9" width="11.109375" style="1" customWidth="1"/>
    <col min="10" max="10" width="11.4414062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27" width="8.109375" style="1" customWidth="1"/>
    <col min="28" max="28" width="9.44140625" style="1" bestFit="1" customWidth="1"/>
    <col min="29" max="32" width="8.109375" style="1" customWidth="1"/>
    <col min="33" max="33" width="8.886718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29" t="s">
        <v>83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43556</v>
      </c>
      <c r="B3" s="7" t="str">
        <f>'3'!B34</f>
        <v>陈智娇</v>
      </c>
      <c r="C3" s="7">
        <f>'3'!C34</f>
        <v>15981865</v>
      </c>
      <c r="D3" s="7">
        <f>'3'!D34</f>
        <v>19061839</v>
      </c>
      <c r="E3" s="7">
        <f>'3'!E34</f>
        <v>17726000</v>
      </c>
      <c r="F3" s="7">
        <f>'3'!F34</f>
        <v>17696000</v>
      </c>
      <c r="G3" s="7">
        <f>'3'!G34</f>
        <v>218982193</v>
      </c>
      <c r="H3" s="7">
        <f>'3'!H34</f>
        <v>104354320</v>
      </c>
      <c r="I3" s="7">
        <f>'3'!I34</f>
        <v>218982083</v>
      </c>
      <c r="J3" s="7">
        <f>'3'!J34</f>
        <v>104354320</v>
      </c>
      <c r="K3" s="7">
        <f>'3'!K34</f>
        <v>0</v>
      </c>
      <c r="L3" s="7">
        <f>'3'!L34</f>
        <v>4246.2</v>
      </c>
      <c r="M3" s="7">
        <f>'3'!M34</f>
        <v>3773.33</v>
      </c>
      <c r="N3" s="7">
        <f>'3'!N34</f>
        <v>72716</v>
      </c>
      <c r="O3" s="7">
        <f>'3'!O34</f>
        <v>0</v>
      </c>
      <c r="P3" s="7">
        <f>'3'!P34</f>
        <v>0</v>
      </c>
      <c r="Q3" s="7">
        <f>'3'!Q34</f>
        <v>0</v>
      </c>
      <c r="R3" s="7" t="str">
        <f>'3'!R34</f>
        <v>雨</v>
      </c>
      <c r="S3" s="4">
        <v>380</v>
      </c>
      <c r="T3" s="4">
        <v>400</v>
      </c>
      <c r="U3" s="4">
        <v>10256</v>
      </c>
      <c r="V3" s="4">
        <v>9012</v>
      </c>
      <c r="W3" s="5">
        <v>6.78</v>
      </c>
      <c r="X3" s="5">
        <v>5.3</v>
      </c>
      <c r="Y3" s="4">
        <v>1430</v>
      </c>
      <c r="Z3" s="4"/>
      <c r="AA3" s="11">
        <f t="shared" ref="AA3:AF3" si="0">IF(OR(C4=""),"",C4-C3)</f>
        <v>49349</v>
      </c>
      <c r="AB3" s="11">
        <f t="shared" si="0"/>
        <v>61343</v>
      </c>
      <c r="AC3" s="11">
        <f t="shared" si="0"/>
        <v>28000</v>
      </c>
      <c r="AD3" s="11">
        <f t="shared" si="0"/>
        <v>87000</v>
      </c>
      <c r="AE3" s="11">
        <f t="shared" si="0"/>
        <v>204896</v>
      </c>
      <c r="AF3" s="11">
        <f t="shared" si="0"/>
        <v>5226</v>
      </c>
      <c r="AG3" s="11">
        <f t="shared" ref="AG3:AG33" si="1">IF(OR(AA3="",AB3="",AC3=""),"",AA3+AB3+AC3+AD3-AE3)</f>
        <v>20796</v>
      </c>
      <c r="AH3" s="11">
        <f t="shared" ref="AH3:AH33" si="2">IF(OR(I4=""),"",I4-I3)</f>
        <v>206129</v>
      </c>
      <c r="AI3" s="15">
        <f t="shared" ref="AI3:AI33" si="3">IF(OR(J4=""),"",J4-J3)</f>
        <v>5226</v>
      </c>
      <c r="AJ3" s="15">
        <f t="shared" ref="AJ3:AJ33" si="4">IF(OR(AH3="",AI3=""),"",AH3-AI3)</f>
        <v>200903</v>
      </c>
      <c r="AK3" s="15">
        <v>5500</v>
      </c>
      <c r="AL3" s="15">
        <f t="shared" ref="AL3:AL33" si="5">IF(OR(L4="",M4=""),"",ROUND((L4-L3+M4-M3)*1200,0))</f>
        <v>7980</v>
      </c>
      <c r="AM3" s="15">
        <f t="shared" ref="AM3:AM33" si="6">IF(OR(N4=""),"",(ROUND((N4-N3)*2,0)))</f>
        <v>42</v>
      </c>
      <c r="AN3" s="15">
        <f t="shared" ref="AN3:AN33" si="7">IF(OR(S3=""),"",ROUND(S3*7.1,0))</f>
        <v>2698</v>
      </c>
      <c r="AO3" s="15">
        <f t="shared" ref="AO3:AO33" si="8">IF(OR(T3=""),"",ROUND(T3*2.4,0))</f>
        <v>960</v>
      </c>
      <c r="AP3" s="15">
        <v>1820</v>
      </c>
      <c r="AQ3" s="18">
        <f t="shared" ref="AQ3:AQ33" si="9">IF(OR($AJ3=""),"",ROUND(AL3/$AJ3*1000,1))</f>
        <v>39.700000000000003</v>
      </c>
      <c r="AR3" s="18">
        <f t="shared" ref="AR3:AR33" si="10">IF(OR($AJ3=""),"",ROUND(AM3/$AJ3*1000,2))</f>
        <v>0.21</v>
      </c>
      <c r="AS3" s="19">
        <f t="shared" ref="AS3:AS33" si="11">IF(OR($AJ3=""),"",ROUND(AN3/$AJ3*1000,1))</f>
        <v>13.4</v>
      </c>
      <c r="AT3" s="18">
        <f t="shared" ref="AT3:AT33" si="12">IF(OR($AJ3=""),"",ROUND(AO3/$AJ3*1000,2))</f>
        <v>4.78</v>
      </c>
    </row>
    <row r="4" spans="1:46">
      <c r="A4" s="6">
        <v>43557</v>
      </c>
      <c r="B4" s="5" t="s">
        <v>93</v>
      </c>
      <c r="C4" s="4">
        <v>16031214</v>
      </c>
      <c r="D4" s="4">
        <v>19123182</v>
      </c>
      <c r="E4" s="4">
        <v>17754000</v>
      </c>
      <c r="F4" s="4">
        <v>17783000</v>
      </c>
      <c r="G4" s="4">
        <v>219187089</v>
      </c>
      <c r="H4" s="4">
        <v>104359546</v>
      </c>
      <c r="I4" s="4">
        <v>219188212</v>
      </c>
      <c r="J4" s="4">
        <v>104359546</v>
      </c>
      <c r="K4" s="4"/>
      <c r="L4" s="5">
        <v>4246.2</v>
      </c>
      <c r="M4" s="5">
        <v>3779.98</v>
      </c>
      <c r="N4" s="5">
        <v>72736.820000000007</v>
      </c>
      <c r="O4" s="5"/>
      <c r="P4" s="5"/>
      <c r="Q4" s="9">
        <v>20.7</v>
      </c>
      <c r="R4" s="4" t="s">
        <v>94</v>
      </c>
      <c r="S4" s="4">
        <v>370</v>
      </c>
      <c r="T4" s="4">
        <v>390</v>
      </c>
      <c r="U4" s="4">
        <v>9287</v>
      </c>
      <c r="V4" s="4">
        <v>8268</v>
      </c>
      <c r="W4" s="5">
        <v>5.98</v>
      </c>
      <c r="X4" s="5">
        <v>4.8600000000000003</v>
      </c>
      <c r="Y4" s="4">
        <v>1436</v>
      </c>
      <c r="Z4" s="4"/>
      <c r="AA4" s="11">
        <f t="shared" ref="AA4:AF4" si="13">IF(OR(C5=""),"",C5-C4)</f>
        <v>48091</v>
      </c>
      <c r="AB4" s="11">
        <f t="shared" si="13"/>
        <v>58239</v>
      </c>
      <c r="AC4" s="11">
        <f t="shared" si="13"/>
        <v>56000</v>
      </c>
      <c r="AD4" s="11">
        <f t="shared" si="13"/>
        <v>54000</v>
      </c>
      <c r="AE4" s="11">
        <f t="shared" si="13"/>
        <v>206202</v>
      </c>
      <c r="AF4" s="11">
        <f t="shared" si="13"/>
        <v>5468</v>
      </c>
      <c r="AG4" s="11">
        <f t="shared" si="1"/>
        <v>10128</v>
      </c>
      <c r="AH4" s="11">
        <f t="shared" si="2"/>
        <v>207202</v>
      </c>
      <c r="AI4" s="15">
        <f t="shared" si="3"/>
        <v>5468</v>
      </c>
      <c r="AJ4" s="15">
        <f t="shared" si="4"/>
        <v>201734</v>
      </c>
      <c r="AK4" s="15">
        <v>5300</v>
      </c>
      <c r="AL4" s="15">
        <f t="shared" si="5"/>
        <v>8352</v>
      </c>
      <c r="AM4" s="15">
        <f t="shared" si="6"/>
        <v>43</v>
      </c>
      <c r="AN4" s="15">
        <f t="shared" si="7"/>
        <v>2627</v>
      </c>
      <c r="AO4" s="15">
        <f t="shared" si="8"/>
        <v>936</v>
      </c>
      <c r="AP4" s="15">
        <v>1850</v>
      </c>
      <c r="AQ4" s="18">
        <f t="shared" si="9"/>
        <v>41.4</v>
      </c>
      <c r="AR4" s="18">
        <f t="shared" si="10"/>
        <v>0.21</v>
      </c>
      <c r="AS4" s="19">
        <f t="shared" si="11"/>
        <v>13</v>
      </c>
      <c r="AT4" s="18">
        <f t="shared" si="12"/>
        <v>4.6399999999999997</v>
      </c>
    </row>
    <row r="5" spans="1:46">
      <c r="A5" s="6">
        <v>43558</v>
      </c>
      <c r="B5" s="5" t="s">
        <v>95</v>
      </c>
      <c r="C5" s="4">
        <v>16079305</v>
      </c>
      <c r="D5" s="4">
        <v>19181421</v>
      </c>
      <c r="E5" s="4">
        <v>17810000</v>
      </c>
      <c r="F5" s="4">
        <v>17837000</v>
      </c>
      <c r="G5" s="4">
        <v>219393291</v>
      </c>
      <c r="H5" s="4">
        <v>104365014</v>
      </c>
      <c r="I5" s="4">
        <v>219395414</v>
      </c>
      <c r="J5" s="4">
        <v>104365014</v>
      </c>
      <c r="K5" s="4"/>
      <c r="L5" s="5">
        <v>4246.2</v>
      </c>
      <c r="M5" s="5">
        <v>3786.94</v>
      </c>
      <c r="N5" s="5">
        <v>72758.22</v>
      </c>
      <c r="O5" s="5"/>
      <c r="P5" s="5"/>
      <c r="Q5" s="9">
        <v>18.600000000000001</v>
      </c>
      <c r="R5" s="4" t="s">
        <v>49</v>
      </c>
      <c r="S5" s="4">
        <v>200</v>
      </c>
      <c r="T5" s="4">
        <v>220</v>
      </c>
      <c r="U5" s="4">
        <v>9586</v>
      </c>
      <c r="V5" s="4">
        <v>2258</v>
      </c>
      <c r="W5" s="5">
        <v>5.32</v>
      </c>
      <c r="X5" s="5">
        <v>2.1800000000000002</v>
      </c>
      <c r="Y5" s="4">
        <v>1063</v>
      </c>
      <c r="Z5" s="4"/>
      <c r="AA5" s="11">
        <f t="shared" ref="AA5:AF5" si="14">IF(OR(C6=""),"",C6-C5)</f>
        <v>44647</v>
      </c>
      <c r="AB5" s="11">
        <f t="shared" si="14"/>
        <v>54300</v>
      </c>
      <c r="AC5" s="11">
        <f t="shared" si="14"/>
        <v>78000</v>
      </c>
      <c r="AD5" s="11">
        <f t="shared" si="14"/>
        <v>25000</v>
      </c>
      <c r="AE5" s="11">
        <f t="shared" si="14"/>
        <v>201749</v>
      </c>
      <c r="AF5" s="11">
        <f t="shared" si="14"/>
        <v>5549</v>
      </c>
      <c r="AG5" s="11">
        <f t="shared" si="1"/>
        <v>198</v>
      </c>
      <c r="AH5" s="11">
        <f t="shared" si="2"/>
        <v>199609</v>
      </c>
      <c r="AI5" s="15">
        <f t="shared" si="3"/>
        <v>5549</v>
      </c>
      <c r="AJ5" s="15">
        <f t="shared" si="4"/>
        <v>194060</v>
      </c>
      <c r="AK5" s="15">
        <v>5000</v>
      </c>
      <c r="AL5" s="15">
        <f t="shared" si="5"/>
        <v>3204</v>
      </c>
      <c r="AM5" s="15">
        <f t="shared" si="6"/>
        <v>17</v>
      </c>
      <c r="AN5" s="15">
        <f t="shared" si="7"/>
        <v>1420</v>
      </c>
      <c r="AO5" s="15">
        <f t="shared" si="8"/>
        <v>528</v>
      </c>
      <c r="AP5" s="15">
        <v>2760</v>
      </c>
      <c r="AQ5" s="18">
        <f t="shared" si="9"/>
        <v>16.5</v>
      </c>
      <c r="AR5" s="18">
        <f t="shared" si="10"/>
        <v>0.09</v>
      </c>
      <c r="AS5" s="19">
        <f t="shared" si="11"/>
        <v>7.3</v>
      </c>
      <c r="AT5" s="18">
        <f t="shared" si="12"/>
        <v>2.72</v>
      </c>
    </row>
    <row r="6" spans="1:46">
      <c r="A6" s="6">
        <v>43559</v>
      </c>
      <c r="B6" s="5" t="s">
        <v>97</v>
      </c>
      <c r="C6" s="4">
        <v>16123952</v>
      </c>
      <c r="D6" s="4">
        <v>19235721</v>
      </c>
      <c r="E6" s="4">
        <v>17888000</v>
      </c>
      <c r="F6" s="4">
        <v>17862000</v>
      </c>
      <c r="G6" s="4">
        <v>219595040</v>
      </c>
      <c r="H6" s="4">
        <v>104370563</v>
      </c>
      <c r="I6" s="4">
        <v>219595023</v>
      </c>
      <c r="J6" s="4">
        <v>104370563</v>
      </c>
      <c r="K6" s="4"/>
      <c r="L6" s="5">
        <v>4246.2</v>
      </c>
      <c r="M6" s="5">
        <v>3789.61</v>
      </c>
      <c r="N6" s="5">
        <v>72766.81</v>
      </c>
      <c r="O6" s="5"/>
      <c r="P6" s="5"/>
      <c r="Q6" s="9">
        <v>18.8</v>
      </c>
      <c r="R6" s="4" t="s">
        <v>96</v>
      </c>
      <c r="S6" s="4">
        <v>170</v>
      </c>
      <c r="T6" s="4">
        <v>180</v>
      </c>
      <c r="U6" s="4">
        <v>10227</v>
      </c>
      <c r="V6" s="4">
        <v>2753</v>
      </c>
      <c r="W6" s="5">
        <v>3.07</v>
      </c>
      <c r="X6" s="5">
        <v>2.4500000000000002</v>
      </c>
      <c r="Y6" s="4">
        <v>1040</v>
      </c>
      <c r="Z6" s="4"/>
      <c r="AA6" s="11">
        <f t="shared" ref="AA6:AF6" si="15">IF(OR(C7=""),"",C7-C6)</f>
        <v>36194</v>
      </c>
      <c r="AB6" s="11">
        <f t="shared" si="15"/>
        <v>44021</v>
      </c>
      <c r="AC6" s="11">
        <f t="shared" si="15"/>
        <v>43000</v>
      </c>
      <c r="AD6" s="11">
        <f t="shared" si="15"/>
        <v>43000</v>
      </c>
      <c r="AE6" s="11">
        <f t="shared" si="15"/>
        <v>157592</v>
      </c>
      <c r="AF6" s="11">
        <f t="shared" si="15"/>
        <v>5508</v>
      </c>
      <c r="AG6" s="11">
        <f t="shared" si="1"/>
        <v>8623</v>
      </c>
      <c r="AH6" s="11">
        <f t="shared" si="2"/>
        <v>157304</v>
      </c>
      <c r="AI6" s="15">
        <f t="shared" si="3"/>
        <v>5508</v>
      </c>
      <c r="AJ6" s="15">
        <f t="shared" si="4"/>
        <v>151796</v>
      </c>
      <c r="AK6" s="15">
        <v>5000</v>
      </c>
      <c r="AL6" s="15">
        <f t="shared" si="5"/>
        <v>6468</v>
      </c>
      <c r="AM6" s="15">
        <f t="shared" si="6"/>
        <v>42</v>
      </c>
      <c r="AN6" s="15">
        <f t="shared" si="7"/>
        <v>1207</v>
      </c>
      <c r="AO6" s="15">
        <f t="shared" si="8"/>
        <v>432</v>
      </c>
      <c r="AP6" s="15">
        <v>1310</v>
      </c>
      <c r="AQ6" s="18">
        <f t="shared" si="9"/>
        <v>42.6</v>
      </c>
      <c r="AR6" s="18">
        <f t="shared" si="10"/>
        <v>0.28000000000000003</v>
      </c>
      <c r="AS6" s="19">
        <f t="shared" si="11"/>
        <v>8</v>
      </c>
      <c r="AT6" s="18">
        <f t="shared" si="12"/>
        <v>2.85</v>
      </c>
    </row>
    <row r="7" spans="1:46">
      <c r="A7" s="6">
        <v>43560</v>
      </c>
      <c r="B7" s="5" t="s">
        <v>98</v>
      </c>
      <c r="C7" s="4">
        <v>16160146</v>
      </c>
      <c r="D7" s="4">
        <v>19279742</v>
      </c>
      <c r="E7" s="4">
        <v>17931000</v>
      </c>
      <c r="F7" s="4">
        <v>17905000</v>
      </c>
      <c r="G7" s="4">
        <v>219752632</v>
      </c>
      <c r="H7" s="4">
        <v>104376071</v>
      </c>
      <c r="I7" s="4">
        <v>219752327</v>
      </c>
      <c r="J7" s="4">
        <v>104376071</v>
      </c>
      <c r="K7" s="4"/>
      <c r="L7" s="5">
        <v>4246.2</v>
      </c>
      <c r="M7" s="5">
        <v>3795</v>
      </c>
      <c r="N7" s="5">
        <v>72787.97</v>
      </c>
      <c r="O7" s="5"/>
      <c r="P7" s="5"/>
      <c r="Q7" s="9">
        <v>18.7</v>
      </c>
      <c r="R7" s="4" t="s">
        <v>52</v>
      </c>
      <c r="S7" s="4">
        <v>350</v>
      </c>
      <c r="T7" s="4">
        <v>370</v>
      </c>
      <c r="U7" s="4">
        <v>6152</v>
      </c>
      <c r="V7" s="4">
        <v>2985</v>
      </c>
      <c r="W7" s="5">
        <v>4.32</v>
      </c>
      <c r="X7" s="5">
        <v>2.41</v>
      </c>
      <c r="Y7" s="4">
        <v>1195</v>
      </c>
      <c r="Z7" s="4"/>
      <c r="AA7" s="11">
        <f t="shared" ref="AA7:AF7" si="16">IF(OR(C8=""),"",C8-C7)</f>
        <v>30276</v>
      </c>
      <c r="AB7" s="11">
        <f t="shared" si="16"/>
        <v>35368</v>
      </c>
      <c r="AC7" s="11">
        <f t="shared" si="16"/>
        <v>34000</v>
      </c>
      <c r="AD7" s="11">
        <f t="shared" si="16"/>
        <v>34000</v>
      </c>
      <c r="AE7" s="11">
        <f t="shared" si="16"/>
        <v>122963</v>
      </c>
      <c r="AF7" s="11">
        <f t="shared" si="16"/>
        <v>5472</v>
      </c>
      <c r="AG7" s="11">
        <f t="shared" si="1"/>
        <v>10681</v>
      </c>
      <c r="AH7" s="11">
        <f t="shared" si="2"/>
        <v>123116</v>
      </c>
      <c r="AI7" s="15">
        <f t="shared" si="3"/>
        <v>5472</v>
      </c>
      <c r="AJ7" s="15">
        <f t="shared" si="4"/>
        <v>117644</v>
      </c>
      <c r="AK7" s="15">
        <v>5200</v>
      </c>
      <c r="AL7" s="15">
        <f t="shared" si="5"/>
        <v>8544</v>
      </c>
      <c r="AM7" s="15">
        <f t="shared" si="6"/>
        <v>43</v>
      </c>
      <c r="AN7" s="15">
        <f t="shared" si="7"/>
        <v>2485</v>
      </c>
      <c r="AO7" s="15">
        <f t="shared" si="8"/>
        <v>888</v>
      </c>
      <c r="AP7" s="15">
        <v>1830</v>
      </c>
      <c r="AQ7" s="18">
        <f t="shared" si="9"/>
        <v>72.599999999999994</v>
      </c>
      <c r="AR7" s="18">
        <f t="shared" si="10"/>
        <v>0.37</v>
      </c>
      <c r="AS7" s="19">
        <f t="shared" si="11"/>
        <v>21.1</v>
      </c>
      <c r="AT7" s="18">
        <f t="shared" si="12"/>
        <v>7.55</v>
      </c>
    </row>
    <row r="8" spans="1:46">
      <c r="A8" s="6">
        <v>43561</v>
      </c>
      <c r="B8" s="5" t="s">
        <v>99</v>
      </c>
      <c r="C8" s="4">
        <v>16190422</v>
      </c>
      <c r="D8" s="4">
        <v>19315110</v>
      </c>
      <c r="E8" s="4">
        <v>17965000</v>
      </c>
      <c r="F8" s="4">
        <v>17939000</v>
      </c>
      <c r="G8" s="4">
        <v>219875595</v>
      </c>
      <c r="H8" s="4">
        <v>104381543</v>
      </c>
      <c r="I8" s="4">
        <v>219875443</v>
      </c>
      <c r="J8" s="4">
        <v>104381543</v>
      </c>
      <c r="K8" s="4"/>
      <c r="L8" s="5">
        <v>4246.2</v>
      </c>
      <c r="M8" s="5">
        <v>3802.12</v>
      </c>
      <c r="N8" s="5">
        <v>72809.7</v>
      </c>
      <c r="O8" s="5"/>
      <c r="P8" s="5"/>
      <c r="Q8" s="9">
        <v>19.2</v>
      </c>
      <c r="R8" s="4" t="s">
        <v>100</v>
      </c>
      <c r="S8" s="4">
        <v>450</v>
      </c>
      <c r="T8" s="4">
        <v>460</v>
      </c>
      <c r="U8" s="4">
        <v>7947</v>
      </c>
      <c r="V8" s="4">
        <v>6011</v>
      </c>
      <c r="W8" s="5">
        <v>6.63</v>
      </c>
      <c r="X8" s="5">
        <v>4.5999999999999996</v>
      </c>
      <c r="Y8" s="4">
        <v>1434</v>
      </c>
      <c r="Z8" s="4"/>
      <c r="AA8" s="11">
        <f t="shared" ref="AA8:AF8" si="17">IF(OR(C9=""),"",C9-C8)</f>
        <v>36346</v>
      </c>
      <c r="AB8" s="11">
        <f t="shared" si="17"/>
        <v>41997</v>
      </c>
      <c r="AC8" s="11">
        <f t="shared" si="17"/>
        <v>42000</v>
      </c>
      <c r="AD8" s="11">
        <f t="shared" si="17"/>
        <v>42000</v>
      </c>
      <c r="AE8" s="11">
        <f t="shared" si="17"/>
        <v>156547</v>
      </c>
      <c r="AF8" s="11">
        <f t="shared" si="17"/>
        <v>5493</v>
      </c>
      <c r="AG8" s="11">
        <f t="shared" si="1"/>
        <v>5796</v>
      </c>
      <c r="AH8" s="11">
        <f t="shared" si="2"/>
        <v>156528</v>
      </c>
      <c r="AI8" s="15">
        <f t="shared" si="3"/>
        <v>5493</v>
      </c>
      <c r="AJ8" s="15">
        <f t="shared" si="4"/>
        <v>151035</v>
      </c>
      <c r="AK8" s="15">
        <v>4200</v>
      </c>
      <c r="AL8" s="15">
        <f t="shared" si="5"/>
        <v>7008</v>
      </c>
      <c r="AM8" s="15">
        <f t="shared" si="6"/>
        <v>42</v>
      </c>
      <c r="AN8" s="15">
        <f t="shared" si="7"/>
        <v>3195</v>
      </c>
      <c r="AO8" s="15">
        <f t="shared" si="8"/>
        <v>1104</v>
      </c>
      <c r="AP8" s="15">
        <v>1850</v>
      </c>
      <c r="AQ8" s="18">
        <f t="shared" si="9"/>
        <v>46.4</v>
      </c>
      <c r="AR8" s="18">
        <f t="shared" si="10"/>
        <v>0.28000000000000003</v>
      </c>
      <c r="AS8" s="19">
        <f t="shared" si="11"/>
        <v>21.2</v>
      </c>
      <c r="AT8" s="18">
        <f t="shared" si="12"/>
        <v>7.31</v>
      </c>
    </row>
    <row r="9" spans="1:46">
      <c r="A9" s="6">
        <v>43562</v>
      </c>
      <c r="B9" s="5" t="s">
        <v>101</v>
      </c>
      <c r="C9" s="4">
        <v>16226768</v>
      </c>
      <c r="D9" s="4">
        <v>19357107</v>
      </c>
      <c r="E9" s="4">
        <v>18007000</v>
      </c>
      <c r="F9" s="4">
        <v>17981000</v>
      </c>
      <c r="G9" s="4">
        <v>220032142</v>
      </c>
      <c r="H9" s="4">
        <v>104387036</v>
      </c>
      <c r="I9" s="4">
        <v>220031971</v>
      </c>
      <c r="J9" s="4">
        <v>104387036</v>
      </c>
      <c r="K9" s="4"/>
      <c r="L9" s="5">
        <v>4246.2</v>
      </c>
      <c r="M9" s="5">
        <v>3807.96</v>
      </c>
      <c r="N9" s="5">
        <v>72830.86</v>
      </c>
      <c r="O9" s="5"/>
      <c r="P9" s="5"/>
      <c r="Q9" s="9">
        <v>20.9</v>
      </c>
      <c r="R9" s="4" t="s">
        <v>102</v>
      </c>
      <c r="S9" s="4">
        <v>680</v>
      </c>
      <c r="T9" s="4">
        <v>700</v>
      </c>
      <c r="U9" s="4">
        <v>9341</v>
      </c>
      <c r="V9" s="4">
        <v>7521</v>
      </c>
      <c r="W9" s="5">
        <v>7.78</v>
      </c>
      <c r="X9" s="5">
        <v>5.23</v>
      </c>
      <c r="Y9" s="4">
        <v>1435</v>
      </c>
      <c r="Z9" s="4"/>
      <c r="AA9" s="11">
        <f t="shared" ref="AA9:AF9" si="18">IF(OR(C10=""),"",C10-C9)</f>
        <v>42270</v>
      </c>
      <c r="AB9" s="11">
        <f t="shared" si="18"/>
        <v>48318</v>
      </c>
      <c r="AC9" s="11">
        <f t="shared" si="18"/>
        <v>50000</v>
      </c>
      <c r="AD9" s="11">
        <f t="shared" si="18"/>
        <v>50000</v>
      </c>
      <c r="AE9" s="11">
        <f t="shared" si="18"/>
        <v>151245</v>
      </c>
      <c r="AF9" s="11">
        <f t="shared" si="18"/>
        <v>5602</v>
      </c>
      <c r="AG9" s="11">
        <f t="shared" si="1"/>
        <v>39343</v>
      </c>
      <c r="AH9" s="11">
        <f t="shared" si="2"/>
        <v>148601</v>
      </c>
      <c r="AI9" s="15">
        <f t="shared" si="3"/>
        <v>5602</v>
      </c>
      <c r="AJ9" s="15">
        <f t="shared" si="4"/>
        <v>142999</v>
      </c>
      <c r="AK9" s="15">
        <v>4000</v>
      </c>
      <c r="AL9" s="15">
        <f t="shared" si="5"/>
        <v>7116</v>
      </c>
      <c r="AM9" s="15">
        <f t="shared" si="6"/>
        <v>43</v>
      </c>
      <c r="AN9" s="15">
        <f t="shared" si="7"/>
        <v>4828</v>
      </c>
      <c r="AO9" s="15">
        <f t="shared" si="8"/>
        <v>1680</v>
      </c>
      <c r="AP9" s="15">
        <v>2330</v>
      </c>
      <c r="AQ9" s="18">
        <f t="shared" si="9"/>
        <v>49.8</v>
      </c>
      <c r="AR9" s="18">
        <f t="shared" si="10"/>
        <v>0.3</v>
      </c>
      <c r="AS9" s="19">
        <f t="shared" si="11"/>
        <v>33.799999999999997</v>
      </c>
      <c r="AT9" s="18">
        <f t="shared" si="12"/>
        <v>11.75</v>
      </c>
    </row>
    <row r="10" spans="1:46">
      <c r="A10" s="6">
        <v>43563</v>
      </c>
      <c r="B10" s="5" t="s">
        <v>103</v>
      </c>
      <c r="C10" s="4">
        <v>16269038</v>
      </c>
      <c r="D10" s="4">
        <v>19405425</v>
      </c>
      <c r="E10" s="4">
        <v>18057000</v>
      </c>
      <c r="F10" s="4">
        <v>18031000</v>
      </c>
      <c r="G10" s="4">
        <v>220183387</v>
      </c>
      <c r="H10" s="4">
        <v>104392638</v>
      </c>
      <c r="I10" s="4">
        <v>220180572</v>
      </c>
      <c r="J10" s="4">
        <v>104392638</v>
      </c>
      <c r="K10" s="4"/>
      <c r="L10" s="5">
        <v>4246.2</v>
      </c>
      <c r="M10" s="5">
        <v>3813.89</v>
      </c>
      <c r="N10" s="5">
        <v>72852.38</v>
      </c>
      <c r="O10" s="5"/>
      <c r="P10" s="5"/>
      <c r="Q10" s="9">
        <v>21</v>
      </c>
      <c r="R10" s="4" t="s">
        <v>104</v>
      </c>
      <c r="S10" s="4">
        <v>300</v>
      </c>
      <c r="T10" s="4">
        <v>330</v>
      </c>
      <c r="U10" s="4">
        <v>10201</v>
      </c>
      <c r="V10" s="4">
        <v>7647</v>
      </c>
      <c r="W10" s="5">
        <v>7.37</v>
      </c>
      <c r="X10" s="5">
        <v>5.98</v>
      </c>
      <c r="Y10" s="4">
        <v>1437</v>
      </c>
      <c r="Z10" s="4"/>
      <c r="AA10" s="11">
        <f t="shared" ref="AA10:AF10" si="19">IF(OR(C11=""),"",C11-C10)</f>
        <v>49179</v>
      </c>
      <c r="AB10" s="11">
        <f t="shared" si="19"/>
        <v>62072</v>
      </c>
      <c r="AC10" s="11">
        <f t="shared" si="19"/>
        <v>64000</v>
      </c>
      <c r="AD10" s="11">
        <f t="shared" si="19"/>
        <v>64000</v>
      </c>
      <c r="AE10" s="11">
        <f t="shared" si="19"/>
        <v>189565</v>
      </c>
      <c r="AF10" s="11">
        <f t="shared" si="19"/>
        <v>5446</v>
      </c>
      <c r="AG10" s="11">
        <f t="shared" si="1"/>
        <v>49686</v>
      </c>
      <c r="AH10" s="11">
        <f t="shared" si="2"/>
        <v>191421</v>
      </c>
      <c r="AI10" s="15">
        <f t="shared" si="3"/>
        <v>5446</v>
      </c>
      <c r="AJ10" s="15">
        <f t="shared" si="4"/>
        <v>185975</v>
      </c>
      <c r="AK10" s="15">
        <v>3800</v>
      </c>
      <c r="AL10" s="15">
        <f t="shared" si="5"/>
        <v>6816</v>
      </c>
      <c r="AM10" s="15">
        <f t="shared" si="6"/>
        <v>42</v>
      </c>
      <c r="AN10" s="15">
        <f t="shared" si="7"/>
        <v>2130</v>
      </c>
      <c r="AO10" s="15">
        <f t="shared" si="8"/>
        <v>792</v>
      </c>
      <c r="AP10" s="15">
        <v>1650</v>
      </c>
      <c r="AQ10" s="18">
        <f t="shared" si="9"/>
        <v>36.700000000000003</v>
      </c>
      <c r="AR10" s="18">
        <f t="shared" si="10"/>
        <v>0.23</v>
      </c>
      <c r="AS10" s="19">
        <f t="shared" si="11"/>
        <v>11.5</v>
      </c>
      <c r="AT10" s="18">
        <f t="shared" si="12"/>
        <v>4.26</v>
      </c>
    </row>
    <row r="11" spans="1:46">
      <c r="A11" s="6">
        <v>43564</v>
      </c>
      <c r="B11" s="5" t="s">
        <v>134</v>
      </c>
      <c r="C11" s="4">
        <v>16318217</v>
      </c>
      <c r="D11" s="4">
        <v>19467497</v>
      </c>
      <c r="E11" s="4">
        <v>18121000</v>
      </c>
      <c r="F11" s="4">
        <v>18095000</v>
      </c>
      <c r="G11" s="4">
        <v>220372952</v>
      </c>
      <c r="H11" s="4">
        <v>104398084</v>
      </c>
      <c r="I11" s="4">
        <v>220371993</v>
      </c>
      <c r="J11" s="4">
        <v>104398084</v>
      </c>
      <c r="K11" s="4"/>
      <c r="L11" s="5">
        <v>4246.2</v>
      </c>
      <c r="M11" s="5">
        <v>3819.57</v>
      </c>
      <c r="N11" s="5">
        <v>72873.59</v>
      </c>
      <c r="O11" s="5"/>
      <c r="P11" s="5"/>
      <c r="Q11" s="9">
        <v>21</v>
      </c>
      <c r="R11" s="4" t="s">
        <v>44</v>
      </c>
      <c r="S11" s="4">
        <v>200</v>
      </c>
      <c r="T11" s="4">
        <v>210</v>
      </c>
      <c r="U11" s="4">
        <v>10425</v>
      </c>
      <c r="V11" s="4">
        <v>9745</v>
      </c>
      <c r="W11" s="5">
        <v>5.96</v>
      </c>
      <c r="X11" s="5">
        <v>4.46</v>
      </c>
      <c r="Y11" s="4">
        <v>1430</v>
      </c>
      <c r="Z11" s="4"/>
      <c r="AA11" s="11">
        <f t="shared" ref="AA11:AF11" si="20">IF(OR(C12=""),"",C12-C11)</f>
        <v>49168</v>
      </c>
      <c r="AB11" s="11">
        <f t="shared" si="20"/>
        <v>63273</v>
      </c>
      <c r="AC11" s="11">
        <f t="shared" si="20"/>
        <v>65000</v>
      </c>
      <c r="AD11" s="11">
        <f t="shared" si="20"/>
        <v>66000</v>
      </c>
      <c r="AE11" s="11">
        <f t="shared" si="20"/>
        <v>208583</v>
      </c>
      <c r="AF11" s="11">
        <f t="shared" si="20"/>
        <v>5502</v>
      </c>
      <c r="AG11" s="11">
        <f t="shared" si="1"/>
        <v>34858</v>
      </c>
      <c r="AH11" s="11">
        <f t="shared" si="2"/>
        <v>209098</v>
      </c>
      <c r="AI11" s="15">
        <f t="shared" si="3"/>
        <v>5502</v>
      </c>
      <c r="AJ11" s="15">
        <f t="shared" si="4"/>
        <v>203596</v>
      </c>
      <c r="AK11" s="15">
        <v>4200</v>
      </c>
      <c r="AL11" s="15">
        <f t="shared" si="5"/>
        <v>1428</v>
      </c>
      <c r="AM11" s="15">
        <f t="shared" si="6"/>
        <v>0</v>
      </c>
      <c r="AN11" s="15">
        <f t="shared" si="7"/>
        <v>1420</v>
      </c>
      <c r="AO11" s="15">
        <f t="shared" si="8"/>
        <v>504</v>
      </c>
      <c r="AP11" s="15">
        <v>1610</v>
      </c>
      <c r="AQ11" s="18">
        <f t="shared" si="9"/>
        <v>7</v>
      </c>
      <c r="AR11" s="18">
        <f t="shared" si="10"/>
        <v>0</v>
      </c>
      <c r="AS11" s="19">
        <f t="shared" si="11"/>
        <v>7</v>
      </c>
      <c r="AT11" s="18">
        <f t="shared" si="12"/>
        <v>2.48</v>
      </c>
    </row>
    <row r="12" spans="1:46" ht="14.4">
      <c r="A12" s="6">
        <v>43565</v>
      </c>
      <c r="B12" s="5" t="s">
        <v>48</v>
      </c>
      <c r="C12" s="4">
        <v>16367385</v>
      </c>
      <c r="D12" s="4">
        <v>19530770</v>
      </c>
      <c r="E12" s="4">
        <v>18186000</v>
      </c>
      <c r="F12" s="4">
        <v>18161000</v>
      </c>
      <c r="G12" s="4">
        <v>220581535</v>
      </c>
      <c r="H12" s="4">
        <v>104403586</v>
      </c>
      <c r="I12" s="4">
        <v>220581091</v>
      </c>
      <c r="J12" s="4">
        <v>104403586</v>
      </c>
      <c r="K12" s="4"/>
      <c r="L12" s="5">
        <v>4246.2</v>
      </c>
      <c r="M12" s="5">
        <v>3820.76</v>
      </c>
      <c r="N12" s="5">
        <v>72873.460000000006</v>
      </c>
      <c r="O12" s="5"/>
      <c r="P12" s="5"/>
      <c r="Q12" s="9">
        <v>21.6</v>
      </c>
      <c r="R12" s="4" t="s">
        <v>44</v>
      </c>
      <c r="S12" s="4">
        <v>210</v>
      </c>
      <c r="T12" s="4">
        <v>230</v>
      </c>
      <c r="U12" s="4">
        <v>10733</v>
      </c>
      <c r="V12" s="4">
        <v>9880</v>
      </c>
      <c r="W12" s="5">
        <v>2.61</v>
      </c>
      <c r="X12" s="5">
        <v>4.29</v>
      </c>
      <c r="Y12" s="4">
        <v>707</v>
      </c>
      <c r="Z12" s="4"/>
      <c r="AA12" s="11">
        <f t="shared" ref="AA12:AF12" si="21">IF(OR(C13=""),"",C13-C12)</f>
        <v>48765</v>
      </c>
      <c r="AB12" s="33">
        <v>63813</v>
      </c>
      <c r="AC12" s="11">
        <f t="shared" si="21"/>
        <v>66000</v>
      </c>
      <c r="AD12" s="11">
        <f t="shared" si="21"/>
        <v>68000</v>
      </c>
      <c r="AE12" s="11">
        <f t="shared" si="21"/>
        <v>211104</v>
      </c>
      <c r="AF12" s="11">
        <f t="shared" si="21"/>
        <v>4575</v>
      </c>
      <c r="AG12" s="11">
        <f t="shared" si="1"/>
        <v>35474</v>
      </c>
      <c r="AH12" s="11">
        <f t="shared" si="2"/>
        <v>213608</v>
      </c>
      <c r="AI12" s="15">
        <f t="shared" si="3"/>
        <v>4575</v>
      </c>
      <c r="AJ12" s="15">
        <f t="shared" si="4"/>
        <v>209033</v>
      </c>
      <c r="AK12" s="15">
        <v>4000</v>
      </c>
      <c r="AL12" s="15">
        <f t="shared" si="5"/>
        <v>0</v>
      </c>
      <c r="AM12" s="15">
        <f t="shared" si="6"/>
        <v>0</v>
      </c>
      <c r="AN12" s="15">
        <f t="shared" si="7"/>
        <v>1491</v>
      </c>
      <c r="AO12" s="15">
        <f t="shared" si="8"/>
        <v>552</v>
      </c>
      <c r="AP12" s="15">
        <v>1790</v>
      </c>
      <c r="AQ12" s="18">
        <f t="shared" si="9"/>
        <v>0</v>
      </c>
      <c r="AR12" s="18">
        <f t="shared" si="10"/>
        <v>0</v>
      </c>
      <c r="AS12" s="19">
        <f t="shared" si="11"/>
        <v>7.1</v>
      </c>
      <c r="AT12" s="18">
        <f t="shared" si="12"/>
        <v>2.64</v>
      </c>
    </row>
    <row r="13" spans="1:46">
      <c r="A13" s="6">
        <v>43566</v>
      </c>
      <c r="B13" s="5" t="s">
        <v>45</v>
      </c>
      <c r="C13" s="4">
        <v>16416150</v>
      </c>
      <c r="D13" s="4">
        <v>58591</v>
      </c>
      <c r="E13" s="4">
        <v>18252000</v>
      </c>
      <c r="F13" s="4">
        <v>18229000</v>
      </c>
      <c r="G13" s="4">
        <v>220792639</v>
      </c>
      <c r="H13" s="4">
        <v>104408161</v>
      </c>
      <c r="I13" s="4">
        <v>220794699</v>
      </c>
      <c r="J13" s="4">
        <v>104408161</v>
      </c>
      <c r="K13" s="4"/>
      <c r="L13" s="5">
        <v>4246.2</v>
      </c>
      <c r="M13" s="5">
        <v>3820.76</v>
      </c>
      <c r="N13" s="5">
        <v>72873.460000000006</v>
      </c>
      <c r="O13" s="5"/>
      <c r="P13" s="5"/>
      <c r="Q13" s="9">
        <v>20.8</v>
      </c>
      <c r="R13" s="4" t="s">
        <v>135</v>
      </c>
      <c r="S13" s="4">
        <v>430</v>
      </c>
      <c r="T13" s="4">
        <v>450</v>
      </c>
      <c r="U13" s="4">
        <v>10325</v>
      </c>
      <c r="V13" s="4">
        <v>7251</v>
      </c>
      <c r="W13" s="5">
        <v>6.93</v>
      </c>
      <c r="X13" s="5">
        <v>2.73</v>
      </c>
      <c r="Y13" s="4">
        <v>969</v>
      </c>
      <c r="Z13" s="4"/>
      <c r="AA13" s="11">
        <f t="shared" ref="AA13:AF15" si="22">IF(OR(C14=""),"",C14-C13)</f>
        <v>47727</v>
      </c>
      <c r="AB13" s="11">
        <f t="shared" si="22"/>
        <v>61105</v>
      </c>
      <c r="AC13" s="11">
        <f t="shared" si="22"/>
        <v>60000</v>
      </c>
      <c r="AD13" s="11">
        <f t="shared" si="22"/>
        <v>62000</v>
      </c>
      <c r="AE13" s="11">
        <f t="shared" si="22"/>
        <v>211004</v>
      </c>
      <c r="AF13" s="11">
        <f t="shared" si="22"/>
        <v>5966</v>
      </c>
      <c r="AG13" s="11">
        <f t="shared" si="1"/>
        <v>19828</v>
      </c>
      <c r="AH13" s="11">
        <f t="shared" si="2"/>
        <v>209225</v>
      </c>
      <c r="AI13" s="15">
        <f t="shared" si="3"/>
        <v>5966</v>
      </c>
      <c r="AJ13" s="15">
        <f t="shared" si="4"/>
        <v>203259</v>
      </c>
      <c r="AK13" s="15">
        <v>4180</v>
      </c>
      <c r="AL13" s="15">
        <f t="shared" si="5"/>
        <v>2544</v>
      </c>
      <c r="AM13" s="15">
        <f t="shared" si="6"/>
        <v>12</v>
      </c>
      <c r="AN13" s="15">
        <f t="shared" si="7"/>
        <v>3053</v>
      </c>
      <c r="AO13" s="15">
        <f t="shared" si="8"/>
        <v>1080</v>
      </c>
      <c r="AP13" s="15">
        <v>3580</v>
      </c>
      <c r="AQ13" s="18">
        <f t="shared" si="9"/>
        <v>12.5</v>
      </c>
      <c r="AR13" s="18">
        <f t="shared" si="10"/>
        <v>0.06</v>
      </c>
      <c r="AS13" s="19">
        <f t="shared" si="11"/>
        <v>15</v>
      </c>
      <c r="AT13" s="18">
        <f t="shared" si="12"/>
        <v>5.31</v>
      </c>
    </row>
    <row r="14" spans="1:46">
      <c r="A14" s="6">
        <v>43567</v>
      </c>
      <c r="B14" s="5" t="s">
        <v>136</v>
      </c>
      <c r="C14" s="4">
        <v>16463877</v>
      </c>
      <c r="D14" s="4">
        <v>119696</v>
      </c>
      <c r="E14" s="4">
        <v>18312000</v>
      </c>
      <c r="F14" s="4">
        <v>18291000</v>
      </c>
      <c r="G14" s="4">
        <v>221003643</v>
      </c>
      <c r="H14" s="4">
        <v>104414127</v>
      </c>
      <c r="I14" s="4">
        <v>221003924</v>
      </c>
      <c r="J14" s="4">
        <v>104414127</v>
      </c>
      <c r="K14" s="4"/>
      <c r="L14" s="5">
        <v>4246.2</v>
      </c>
      <c r="M14" s="5">
        <v>3822.88</v>
      </c>
      <c r="N14" s="5">
        <v>72879.48</v>
      </c>
      <c r="O14" s="5"/>
      <c r="P14" s="5"/>
      <c r="Q14" s="9">
        <v>21.2</v>
      </c>
      <c r="R14" s="4" t="s">
        <v>137</v>
      </c>
      <c r="S14" s="4">
        <v>520</v>
      </c>
      <c r="T14" s="4">
        <v>500</v>
      </c>
      <c r="U14" s="4">
        <v>9315</v>
      </c>
      <c r="V14" s="4">
        <v>8524</v>
      </c>
      <c r="W14" s="5">
        <v>7.57</v>
      </c>
      <c r="X14" s="5">
        <v>6.88</v>
      </c>
      <c r="Y14" s="4">
        <v>1433</v>
      </c>
      <c r="Z14" s="4"/>
      <c r="AA14" s="11">
        <f t="shared" ref="AA14:AF14" si="23">IF(OR(C15=""),"",C15-C14)</f>
        <v>47594</v>
      </c>
      <c r="AB14" s="11">
        <f t="shared" si="23"/>
        <v>58179</v>
      </c>
      <c r="AC14" s="11">
        <f t="shared" si="23"/>
        <v>54000</v>
      </c>
      <c r="AD14" s="11">
        <f t="shared" si="23"/>
        <v>54000</v>
      </c>
      <c r="AE14" s="11">
        <f t="shared" si="22"/>
        <v>205335</v>
      </c>
      <c r="AF14" s="11">
        <f t="shared" si="23"/>
        <v>4993</v>
      </c>
      <c r="AG14" s="11">
        <f t="shared" si="1"/>
        <v>8438</v>
      </c>
      <c r="AH14" s="11">
        <f>IF(OR(G15=""),"",G15-I14)</f>
        <v>205054</v>
      </c>
      <c r="AI14" s="15">
        <f t="shared" si="3"/>
        <v>4993</v>
      </c>
      <c r="AJ14" s="15">
        <f t="shared" si="4"/>
        <v>200061</v>
      </c>
      <c r="AK14" s="15">
        <v>3780</v>
      </c>
      <c r="AL14" s="15">
        <f t="shared" si="5"/>
        <v>7188</v>
      </c>
      <c r="AM14" s="15">
        <f t="shared" si="6"/>
        <v>39</v>
      </c>
      <c r="AN14" s="15">
        <f t="shared" si="7"/>
        <v>3692</v>
      </c>
      <c r="AO14" s="15">
        <f t="shared" si="8"/>
        <v>1200</v>
      </c>
      <c r="AP14" s="15">
        <v>1860</v>
      </c>
      <c r="AQ14" s="18">
        <f t="shared" si="9"/>
        <v>35.9</v>
      </c>
      <c r="AR14" s="18">
        <f t="shared" si="10"/>
        <v>0.19</v>
      </c>
      <c r="AS14" s="19">
        <f t="shared" si="11"/>
        <v>18.5</v>
      </c>
      <c r="AT14" s="18">
        <f t="shared" si="12"/>
        <v>6</v>
      </c>
    </row>
    <row r="15" spans="1:46">
      <c r="A15" s="6">
        <v>43568</v>
      </c>
      <c r="B15" s="5" t="s">
        <v>98</v>
      </c>
      <c r="C15" s="4">
        <v>16511471</v>
      </c>
      <c r="D15" s="4">
        <v>177875</v>
      </c>
      <c r="E15" s="4">
        <v>18366000</v>
      </c>
      <c r="F15" s="4">
        <v>18345000</v>
      </c>
      <c r="G15" s="4">
        <v>221208978</v>
      </c>
      <c r="H15" s="4">
        <v>104419120</v>
      </c>
      <c r="I15" s="1">
        <v>221208950</v>
      </c>
      <c r="J15" s="4">
        <v>104419120</v>
      </c>
      <c r="K15" s="4"/>
      <c r="L15" s="5">
        <v>4246.2</v>
      </c>
      <c r="M15" s="5">
        <v>3828.87</v>
      </c>
      <c r="N15" s="5">
        <v>72898.759999999995</v>
      </c>
      <c r="O15" s="5"/>
      <c r="P15" s="5"/>
      <c r="Q15" s="9">
        <v>19.7</v>
      </c>
      <c r="R15" s="4" t="s">
        <v>59</v>
      </c>
      <c r="S15" s="4">
        <v>600</v>
      </c>
      <c r="T15" s="4">
        <v>610</v>
      </c>
      <c r="U15" s="4">
        <v>9567</v>
      </c>
      <c r="V15" s="4">
        <v>7847</v>
      </c>
      <c r="W15" s="5">
        <v>7.14</v>
      </c>
      <c r="X15" s="5">
        <v>6.74</v>
      </c>
      <c r="Y15" s="4">
        <v>1433</v>
      </c>
      <c r="Z15" s="4"/>
      <c r="AA15" s="11">
        <f t="shared" ref="AA15:AF15" si="24">IF(OR(C16=""),"",C16-C15)</f>
        <v>48553</v>
      </c>
      <c r="AB15" s="11">
        <f t="shared" si="24"/>
        <v>60491</v>
      </c>
      <c r="AC15" s="11">
        <f t="shared" si="24"/>
        <v>56000</v>
      </c>
      <c r="AD15" s="11">
        <f t="shared" si="24"/>
        <v>58000</v>
      </c>
      <c r="AE15" s="11">
        <f t="shared" si="22"/>
        <v>209015</v>
      </c>
      <c r="AF15" s="11">
        <f t="shared" si="24"/>
        <v>6078</v>
      </c>
      <c r="AG15" s="11">
        <f t="shared" si="1"/>
        <v>14029</v>
      </c>
      <c r="AH15" s="11">
        <f>IF(OR(I16=""),"",I16-G15)</f>
        <v>209528</v>
      </c>
      <c r="AI15" s="15">
        <f t="shared" si="3"/>
        <v>6078</v>
      </c>
      <c r="AJ15" s="15">
        <f t="shared" si="4"/>
        <v>203450</v>
      </c>
      <c r="AK15" s="15">
        <v>3640</v>
      </c>
      <c r="AL15" s="15">
        <f t="shared" si="5"/>
        <v>2724</v>
      </c>
      <c r="AM15" s="15">
        <f t="shared" si="6"/>
        <v>16</v>
      </c>
      <c r="AN15" s="15">
        <f t="shared" si="7"/>
        <v>4260</v>
      </c>
      <c r="AO15" s="15">
        <f t="shared" si="8"/>
        <v>1464</v>
      </c>
      <c r="AP15" s="15">
        <v>1830</v>
      </c>
      <c r="AQ15" s="18">
        <f t="shared" si="9"/>
        <v>13.4</v>
      </c>
      <c r="AR15" s="18">
        <f t="shared" si="10"/>
        <v>0.08</v>
      </c>
      <c r="AS15" s="19">
        <f t="shared" si="11"/>
        <v>20.9</v>
      </c>
      <c r="AT15" s="18">
        <f t="shared" si="12"/>
        <v>7.2</v>
      </c>
    </row>
    <row r="16" spans="1:46">
      <c r="A16" s="6">
        <v>43569</v>
      </c>
      <c r="B16" s="5" t="s">
        <v>138</v>
      </c>
      <c r="C16" s="4">
        <v>16560024</v>
      </c>
      <c r="D16" s="4">
        <v>238366</v>
      </c>
      <c r="E16" s="4">
        <v>18422000</v>
      </c>
      <c r="F16" s="4">
        <v>18403000</v>
      </c>
      <c r="G16" s="4">
        <v>221417993</v>
      </c>
      <c r="H16" s="4">
        <v>104425198</v>
      </c>
      <c r="I16" s="4">
        <v>221418506</v>
      </c>
      <c r="J16" s="4">
        <v>104425198</v>
      </c>
      <c r="K16" s="4"/>
      <c r="L16" s="5">
        <v>4246.2</v>
      </c>
      <c r="M16" s="5">
        <v>3831.14</v>
      </c>
      <c r="N16" s="5">
        <v>72906.59</v>
      </c>
      <c r="O16" s="5"/>
      <c r="P16" s="5"/>
      <c r="Q16" s="9">
        <v>20</v>
      </c>
      <c r="R16" s="4" t="s">
        <v>49</v>
      </c>
      <c r="S16" s="4">
        <v>460</v>
      </c>
      <c r="T16" s="4">
        <v>480</v>
      </c>
      <c r="U16" s="4">
        <v>10354</v>
      </c>
      <c r="V16" s="4">
        <v>7685</v>
      </c>
      <c r="W16" s="5">
        <v>6.8</v>
      </c>
      <c r="X16" s="5">
        <v>5.55</v>
      </c>
      <c r="Y16" s="4">
        <v>1431</v>
      </c>
      <c r="Z16" s="4"/>
      <c r="AA16" s="11">
        <f t="shared" ref="AA16:AF16" si="25">IF(OR(C17=""),"",C17-C16)</f>
        <v>55033</v>
      </c>
      <c r="AB16" s="11">
        <f t="shared" si="25"/>
        <v>67040</v>
      </c>
      <c r="AC16" s="11">
        <f t="shared" si="25"/>
        <v>59000</v>
      </c>
      <c r="AD16" s="11">
        <f t="shared" si="25"/>
        <v>60000</v>
      </c>
      <c r="AE16" s="11">
        <f t="shared" si="25"/>
        <v>210324</v>
      </c>
      <c r="AF16" s="11">
        <f t="shared" si="25"/>
        <v>5517</v>
      </c>
      <c r="AG16" s="11">
        <f t="shared" si="1"/>
        <v>30749</v>
      </c>
      <c r="AH16" s="11">
        <f t="shared" si="2"/>
        <v>209784</v>
      </c>
      <c r="AI16" s="15">
        <f t="shared" si="3"/>
        <v>5517</v>
      </c>
      <c r="AJ16" s="15">
        <f t="shared" si="4"/>
        <v>204267</v>
      </c>
      <c r="AK16" s="15">
        <v>4440</v>
      </c>
      <c r="AL16" s="15">
        <f t="shared" si="5"/>
        <v>3192</v>
      </c>
      <c r="AM16" s="15">
        <f t="shared" si="6"/>
        <v>12</v>
      </c>
      <c r="AN16" s="15">
        <f t="shared" si="7"/>
        <v>3266</v>
      </c>
      <c r="AO16" s="15">
        <f t="shared" si="8"/>
        <v>1152</v>
      </c>
      <c r="AP16" s="15">
        <v>1490</v>
      </c>
      <c r="AQ16" s="18">
        <f t="shared" si="9"/>
        <v>15.6</v>
      </c>
      <c r="AR16" s="18">
        <f t="shared" si="10"/>
        <v>0.06</v>
      </c>
      <c r="AS16" s="19">
        <f t="shared" si="11"/>
        <v>16</v>
      </c>
      <c r="AT16" s="18">
        <f t="shared" si="12"/>
        <v>5.64</v>
      </c>
    </row>
    <row r="17" spans="1:46">
      <c r="A17" s="6">
        <v>43570</v>
      </c>
      <c r="B17" s="5" t="s">
        <v>139</v>
      </c>
      <c r="C17" s="4">
        <v>16615057</v>
      </c>
      <c r="D17" s="4">
        <v>305406</v>
      </c>
      <c r="E17" s="4">
        <v>18481000</v>
      </c>
      <c r="F17" s="4">
        <v>18463000</v>
      </c>
      <c r="G17" s="4">
        <v>221628317</v>
      </c>
      <c r="H17" s="4">
        <v>104430715</v>
      </c>
      <c r="I17" s="4">
        <v>221628290</v>
      </c>
      <c r="J17" s="4">
        <v>104430715</v>
      </c>
      <c r="K17" s="4"/>
      <c r="L17" s="5">
        <v>4246.2</v>
      </c>
      <c r="M17" s="5">
        <v>3833.8</v>
      </c>
      <c r="N17" s="5">
        <v>72912.7</v>
      </c>
      <c r="O17" s="5"/>
      <c r="P17" s="5"/>
      <c r="Q17" s="9">
        <v>21</v>
      </c>
      <c r="R17" s="4" t="s">
        <v>140</v>
      </c>
      <c r="S17" s="4">
        <v>450</v>
      </c>
      <c r="T17" s="4">
        <v>460</v>
      </c>
      <c r="U17" s="4">
        <v>10312</v>
      </c>
      <c r="V17" s="4">
        <v>8012</v>
      </c>
      <c r="W17" s="5">
        <v>6.61</v>
      </c>
      <c r="X17" s="5">
        <v>5.31</v>
      </c>
      <c r="Y17" s="4">
        <v>1434</v>
      </c>
      <c r="Z17" s="4"/>
      <c r="AA17" s="11">
        <f t="shared" ref="AA17:AF17" si="26">IF(OR(C18=""),"",C18-C17)</f>
        <v>48251</v>
      </c>
      <c r="AB17" s="11">
        <f t="shared" si="26"/>
        <v>62114</v>
      </c>
      <c r="AC17" s="11">
        <f t="shared" si="26"/>
        <v>61000</v>
      </c>
      <c r="AD17" s="11">
        <f t="shared" si="26"/>
        <v>62000</v>
      </c>
      <c r="AE17" s="11">
        <f t="shared" si="26"/>
        <v>213220</v>
      </c>
      <c r="AF17" s="11">
        <f t="shared" si="26"/>
        <v>5500</v>
      </c>
      <c r="AG17" s="11">
        <f t="shared" si="1"/>
        <v>20145</v>
      </c>
      <c r="AH17" s="11">
        <f t="shared" si="2"/>
        <v>213256</v>
      </c>
      <c r="AI17" s="15">
        <f t="shared" si="3"/>
        <v>5500</v>
      </c>
      <c r="AJ17" s="15">
        <f t="shared" si="4"/>
        <v>207756</v>
      </c>
      <c r="AK17" s="15">
        <v>4240</v>
      </c>
      <c r="AL17" s="15">
        <f t="shared" si="5"/>
        <v>0</v>
      </c>
      <c r="AM17" s="15">
        <f t="shared" si="6"/>
        <v>0</v>
      </c>
      <c r="AN17" s="15">
        <f t="shared" si="7"/>
        <v>3195</v>
      </c>
      <c r="AO17" s="15">
        <f t="shared" si="8"/>
        <v>1104</v>
      </c>
      <c r="AP17" s="15">
        <v>2020</v>
      </c>
      <c r="AQ17" s="18">
        <f t="shared" si="9"/>
        <v>0</v>
      </c>
      <c r="AR17" s="18">
        <f t="shared" si="10"/>
        <v>0</v>
      </c>
      <c r="AS17" s="19">
        <f t="shared" si="11"/>
        <v>15.4</v>
      </c>
      <c r="AT17" s="18">
        <f t="shared" si="12"/>
        <v>5.31</v>
      </c>
    </row>
    <row r="18" spans="1:46">
      <c r="A18" s="6">
        <v>43571</v>
      </c>
      <c r="B18" s="5" t="s">
        <v>141</v>
      </c>
      <c r="C18" s="4">
        <v>16663308</v>
      </c>
      <c r="D18" s="4">
        <v>367520</v>
      </c>
      <c r="E18" s="4">
        <v>18542000</v>
      </c>
      <c r="F18" s="4">
        <v>18525000</v>
      </c>
      <c r="G18" s="4">
        <v>221841537</v>
      </c>
      <c r="H18" s="4">
        <v>104436215</v>
      </c>
      <c r="I18" s="4">
        <v>221841546</v>
      </c>
      <c r="J18" s="4">
        <v>104436215</v>
      </c>
      <c r="K18" s="4"/>
      <c r="L18" s="5">
        <v>4246.2</v>
      </c>
      <c r="M18" s="5">
        <v>3833.8</v>
      </c>
      <c r="N18" s="5">
        <v>72912.7</v>
      </c>
      <c r="O18" s="5"/>
      <c r="P18" s="5"/>
      <c r="Q18" s="9">
        <v>20.8</v>
      </c>
      <c r="R18" s="4" t="s">
        <v>142</v>
      </c>
      <c r="S18" s="4">
        <v>280</v>
      </c>
      <c r="T18" s="4">
        <v>300</v>
      </c>
      <c r="U18" s="4">
        <v>9263</v>
      </c>
      <c r="V18" s="4">
        <v>8547</v>
      </c>
      <c r="W18" s="5">
        <v>6.25</v>
      </c>
      <c r="X18" s="5">
        <v>5.47</v>
      </c>
      <c r="Y18" s="4">
        <v>1440</v>
      </c>
      <c r="Z18" s="4"/>
      <c r="AA18" s="11">
        <f t="shared" ref="AA18:AF18" si="27">IF(OR(C19=""),"",C19-C18)</f>
        <v>47317</v>
      </c>
      <c r="AB18" s="11">
        <f t="shared" si="27"/>
        <v>57908</v>
      </c>
      <c r="AC18" s="11">
        <f t="shared" si="27"/>
        <v>53000</v>
      </c>
      <c r="AD18" s="11">
        <f t="shared" si="27"/>
        <v>60000</v>
      </c>
      <c r="AE18" s="11">
        <f t="shared" si="27"/>
        <v>209654</v>
      </c>
      <c r="AF18" s="11">
        <f t="shared" si="27"/>
        <v>5488</v>
      </c>
      <c r="AG18" s="11">
        <f t="shared" si="1"/>
        <v>8571</v>
      </c>
      <c r="AH18" s="11">
        <f t="shared" si="2"/>
        <v>209726</v>
      </c>
      <c r="AI18" s="15">
        <f t="shared" si="3"/>
        <v>5489</v>
      </c>
      <c r="AJ18" s="15">
        <f t="shared" si="4"/>
        <v>204237</v>
      </c>
      <c r="AK18" s="15">
        <v>3720</v>
      </c>
      <c r="AL18" s="15">
        <f t="shared" si="5"/>
        <v>0</v>
      </c>
      <c r="AM18" s="15">
        <f t="shared" si="6"/>
        <v>0</v>
      </c>
      <c r="AN18" s="15">
        <f t="shared" si="7"/>
        <v>1988</v>
      </c>
      <c r="AO18" s="15">
        <f t="shared" si="8"/>
        <v>720</v>
      </c>
      <c r="AP18" s="15">
        <v>1860</v>
      </c>
      <c r="AQ18" s="18">
        <f t="shared" si="9"/>
        <v>0</v>
      </c>
      <c r="AR18" s="18">
        <f t="shared" si="10"/>
        <v>0</v>
      </c>
      <c r="AS18" s="19">
        <f t="shared" si="11"/>
        <v>9.6999999999999993</v>
      </c>
      <c r="AT18" s="18">
        <f t="shared" si="12"/>
        <v>3.53</v>
      </c>
    </row>
    <row r="19" spans="1:46">
      <c r="A19" s="6">
        <v>43572</v>
      </c>
      <c r="B19" s="5" t="s">
        <v>46</v>
      </c>
      <c r="C19" s="4">
        <v>16710625</v>
      </c>
      <c r="D19" s="4">
        <v>425428</v>
      </c>
      <c r="E19" s="4">
        <v>18595000</v>
      </c>
      <c r="F19" s="4">
        <v>18585000</v>
      </c>
      <c r="G19" s="4">
        <v>222051191</v>
      </c>
      <c r="H19" s="4">
        <v>104441703</v>
      </c>
      <c r="I19" s="4">
        <v>222051272</v>
      </c>
      <c r="J19" s="4">
        <v>104441704</v>
      </c>
      <c r="K19" s="4"/>
      <c r="L19" s="5">
        <v>4246.2</v>
      </c>
      <c r="M19" s="5">
        <v>3833.8</v>
      </c>
      <c r="N19" s="5">
        <v>72912.7</v>
      </c>
      <c r="O19" s="5"/>
      <c r="P19" s="5"/>
      <c r="Q19" s="9">
        <v>19.8</v>
      </c>
      <c r="R19" s="4" t="s">
        <v>143</v>
      </c>
      <c r="S19" s="4">
        <v>220</v>
      </c>
      <c r="T19" s="4">
        <v>230</v>
      </c>
      <c r="U19" s="4">
        <v>10425</v>
      </c>
      <c r="V19" s="4">
        <v>9152</v>
      </c>
      <c r="W19" s="5">
        <v>6.13</v>
      </c>
      <c r="X19" s="5">
        <v>4.53</v>
      </c>
      <c r="Y19" s="4">
        <v>1433</v>
      </c>
      <c r="Z19" s="4"/>
      <c r="AA19" s="11">
        <f t="shared" ref="AA19:AF19" si="28">IF(OR(C20=""),"",C20-C19)</f>
        <v>49668</v>
      </c>
      <c r="AB19" s="11">
        <f t="shared" si="28"/>
        <v>63102</v>
      </c>
      <c r="AC19" s="11">
        <f t="shared" si="28"/>
        <v>62000</v>
      </c>
      <c r="AD19" s="11">
        <f t="shared" si="28"/>
        <v>58000</v>
      </c>
      <c r="AE19" s="11">
        <f t="shared" si="28"/>
        <v>214513</v>
      </c>
      <c r="AF19" s="11">
        <f t="shared" si="28"/>
        <v>5533</v>
      </c>
      <c r="AG19" s="11">
        <f t="shared" si="1"/>
        <v>18257</v>
      </c>
      <c r="AH19" s="11">
        <f t="shared" si="2"/>
        <v>213119</v>
      </c>
      <c r="AI19" s="15">
        <f t="shared" si="3"/>
        <v>5532</v>
      </c>
      <c r="AJ19" s="15">
        <f t="shared" si="4"/>
        <v>207587</v>
      </c>
      <c r="AK19" s="15">
        <v>4200</v>
      </c>
      <c r="AL19" s="15">
        <f t="shared" si="5"/>
        <v>492</v>
      </c>
      <c r="AM19" s="15">
        <f t="shared" si="6"/>
        <v>0</v>
      </c>
      <c r="AN19" s="15">
        <f t="shared" si="7"/>
        <v>1562</v>
      </c>
      <c r="AO19" s="15">
        <f t="shared" si="8"/>
        <v>552</v>
      </c>
      <c r="AP19" s="15">
        <v>1850</v>
      </c>
      <c r="AQ19" s="18">
        <f t="shared" si="9"/>
        <v>2.4</v>
      </c>
      <c r="AR19" s="18">
        <f t="shared" si="10"/>
        <v>0</v>
      </c>
      <c r="AS19" s="19">
        <f t="shared" si="11"/>
        <v>7.5</v>
      </c>
      <c r="AT19" s="18">
        <f t="shared" si="12"/>
        <v>2.66</v>
      </c>
    </row>
    <row r="20" spans="1:46">
      <c r="A20" s="6">
        <v>43573</v>
      </c>
      <c r="B20" s="5" t="s">
        <v>48</v>
      </c>
      <c r="C20" s="4">
        <v>16760293</v>
      </c>
      <c r="D20" s="4">
        <v>488530</v>
      </c>
      <c r="E20" s="4">
        <v>18657000</v>
      </c>
      <c r="F20" s="4">
        <v>18643000</v>
      </c>
      <c r="G20" s="4">
        <v>222265704</v>
      </c>
      <c r="H20" s="4">
        <v>104447236</v>
      </c>
      <c r="I20" s="4">
        <v>222264391</v>
      </c>
      <c r="J20" s="4">
        <v>104447236</v>
      </c>
      <c r="K20" s="4"/>
      <c r="L20" s="5">
        <v>4246.2</v>
      </c>
      <c r="M20" s="5">
        <v>3834.21</v>
      </c>
      <c r="N20" s="5">
        <v>72912.800000000003</v>
      </c>
      <c r="O20" s="5"/>
      <c r="P20" s="5"/>
      <c r="Q20" s="9">
        <v>21.6</v>
      </c>
      <c r="R20" s="4" t="s">
        <v>44</v>
      </c>
      <c r="S20" s="4">
        <v>420</v>
      </c>
      <c r="T20" s="4">
        <v>430</v>
      </c>
      <c r="U20" s="4">
        <v>10349</v>
      </c>
      <c r="V20" s="4">
        <v>7512</v>
      </c>
      <c r="W20" s="5">
        <v>8.36</v>
      </c>
      <c r="X20" s="5">
        <v>2.76</v>
      </c>
      <c r="Y20" s="4">
        <v>1251</v>
      </c>
      <c r="Z20" s="4"/>
      <c r="AA20" s="11">
        <f t="shared" ref="AA20:AF20" si="29">IF(OR(C21=""),"",C21-C20)</f>
        <v>48504</v>
      </c>
      <c r="AB20" s="11">
        <f t="shared" si="29"/>
        <v>62787</v>
      </c>
      <c r="AC20" s="11">
        <f t="shared" si="29"/>
        <v>63000</v>
      </c>
      <c r="AD20" s="11">
        <f t="shared" si="29"/>
        <v>66000</v>
      </c>
      <c r="AE20" s="11">
        <f t="shared" si="29"/>
        <v>213390</v>
      </c>
      <c r="AF20" s="11">
        <f t="shared" si="29"/>
        <v>5495</v>
      </c>
      <c r="AG20" s="11">
        <f t="shared" si="1"/>
        <v>26901</v>
      </c>
      <c r="AH20" s="11">
        <f t="shared" si="2"/>
        <v>213626</v>
      </c>
      <c r="AI20" s="15">
        <f t="shared" si="3"/>
        <v>5460</v>
      </c>
      <c r="AJ20" s="15">
        <f t="shared" si="4"/>
        <v>208166</v>
      </c>
      <c r="AK20" s="15">
        <v>4600</v>
      </c>
      <c r="AL20" s="15">
        <f t="shared" si="5"/>
        <v>468</v>
      </c>
      <c r="AM20" s="15">
        <f t="shared" si="6"/>
        <v>2</v>
      </c>
      <c r="AN20" s="15">
        <f t="shared" si="7"/>
        <v>2982</v>
      </c>
      <c r="AO20" s="15">
        <f t="shared" si="8"/>
        <v>1032</v>
      </c>
      <c r="AP20" s="15">
        <v>1770</v>
      </c>
      <c r="AQ20" s="18">
        <f t="shared" si="9"/>
        <v>2.2000000000000002</v>
      </c>
      <c r="AR20" s="18">
        <f t="shared" si="10"/>
        <v>0.01</v>
      </c>
      <c r="AS20" s="19">
        <f t="shared" si="11"/>
        <v>14.3</v>
      </c>
      <c r="AT20" s="18">
        <f t="shared" si="12"/>
        <v>4.96</v>
      </c>
    </row>
    <row r="21" spans="1:46">
      <c r="A21" s="6">
        <v>43574</v>
      </c>
      <c r="B21" s="5" t="s">
        <v>144</v>
      </c>
      <c r="C21" s="4">
        <v>16808797</v>
      </c>
      <c r="D21" s="4">
        <v>551317</v>
      </c>
      <c r="E21" s="4">
        <v>18720000</v>
      </c>
      <c r="F21" s="4">
        <v>18709000</v>
      </c>
      <c r="G21" s="4">
        <v>222479094</v>
      </c>
      <c r="H21" s="4">
        <v>104452731</v>
      </c>
      <c r="I21" s="4">
        <v>222478017</v>
      </c>
      <c r="J21" s="4">
        <v>104452696</v>
      </c>
      <c r="K21" s="4"/>
      <c r="L21" s="5">
        <v>4246.2</v>
      </c>
      <c r="M21" s="5">
        <v>3834.6</v>
      </c>
      <c r="N21" s="5">
        <v>72913.8</v>
      </c>
      <c r="O21" s="5"/>
      <c r="P21" s="5"/>
      <c r="Q21" s="9">
        <v>21.8</v>
      </c>
      <c r="R21" s="4" t="s">
        <v>145</v>
      </c>
      <c r="S21" s="4">
        <v>600</v>
      </c>
      <c r="T21" s="4">
        <v>620</v>
      </c>
      <c r="U21" s="4">
        <v>10391</v>
      </c>
      <c r="V21" s="4">
        <v>3999</v>
      </c>
      <c r="W21" s="5">
        <v>6.92</v>
      </c>
      <c r="X21" s="5">
        <v>2.11</v>
      </c>
      <c r="Y21" s="4">
        <v>826</v>
      </c>
      <c r="Z21" s="4"/>
      <c r="AA21" s="11">
        <f t="shared" ref="AA21:AF21" si="30">IF(OR(C22=""),"",C22-C21)</f>
        <v>49707</v>
      </c>
      <c r="AB21" s="11">
        <f t="shared" si="30"/>
        <v>60849</v>
      </c>
      <c r="AC21" s="11">
        <f t="shared" si="30"/>
        <v>58000</v>
      </c>
      <c r="AD21" s="11">
        <f t="shared" si="30"/>
        <v>58000</v>
      </c>
      <c r="AE21" s="11">
        <f t="shared" si="30"/>
        <v>201558</v>
      </c>
      <c r="AF21" s="11">
        <f t="shared" si="30"/>
        <v>5518</v>
      </c>
      <c r="AG21" s="11">
        <f t="shared" si="1"/>
        <v>24998</v>
      </c>
      <c r="AH21" s="11">
        <f t="shared" si="2"/>
        <v>201487</v>
      </c>
      <c r="AI21" s="15">
        <f t="shared" si="3"/>
        <v>5504</v>
      </c>
      <c r="AJ21" s="15">
        <f t="shared" si="4"/>
        <v>195983</v>
      </c>
      <c r="AK21" s="15">
        <v>3600</v>
      </c>
      <c r="AL21" s="15">
        <f t="shared" si="5"/>
        <v>4440</v>
      </c>
      <c r="AM21" s="15">
        <f t="shared" si="6"/>
        <v>16</v>
      </c>
      <c r="AN21" s="15">
        <f t="shared" si="7"/>
        <v>4260</v>
      </c>
      <c r="AO21" s="15">
        <f t="shared" si="8"/>
        <v>1488</v>
      </c>
      <c r="AP21" s="15">
        <v>2480</v>
      </c>
      <c r="AQ21" s="18">
        <f t="shared" si="9"/>
        <v>22.7</v>
      </c>
      <c r="AR21" s="18">
        <f t="shared" si="10"/>
        <v>0.08</v>
      </c>
      <c r="AS21" s="19">
        <f t="shared" si="11"/>
        <v>21.7</v>
      </c>
      <c r="AT21" s="18">
        <f t="shared" si="12"/>
        <v>7.59</v>
      </c>
    </row>
    <row r="22" spans="1:46">
      <c r="A22" s="6">
        <v>43575</v>
      </c>
      <c r="B22" s="5" t="s">
        <v>146</v>
      </c>
      <c r="C22" s="4">
        <v>16858504</v>
      </c>
      <c r="D22" s="4">
        <v>612166</v>
      </c>
      <c r="E22" s="4">
        <v>18778000</v>
      </c>
      <c r="F22" s="4">
        <v>18767000</v>
      </c>
      <c r="G22" s="4">
        <v>222680652</v>
      </c>
      <c r="H22" s="4">
        <v>104458249</v>
      </c>
      <c r="I22" s="4">
        <v>222679504</v>
      </c>
      <c r="J22" s="4">
        <v>104458200</v>
      </c>
      <c r="K22" s="4"/>
      <c r="L22" s="5">
        <v>4246.2</v>
      </c>
      <c r="M22" s="5">
        <v>3838.3</v>
      </c>
      <c r="N22" s="5">
        <v>72921.8</v>
      </c>
      <c r="O22" s="5"/>
      <c r="P22" s="5"/>
      <c r="Q22" s="9">
        <v>21.5</v>
      </c>
      <c r="R22" s="4" t="s">
        <v>147</v>
      </c>
      <c r="S22" s="4">
        <v>560</v>
      </c>
      <c r="T22" s="4">
        <v>590</v>
      </c>
      <c r="U22" s="4">
        <v>10265</v>
      </c>
      <c r="V22" s="4">
        <v>5123</v>
      </c>
      <c r="W22" s="5">
        <v>6.07</v>
      </c>
      <c r="X22" s="5">
        <v>2.19</v>
      </c>
      <c r="Y22" s="4">
        <v>291</v>
      </c>
      <c r="Z22" s="4"/>
      <c r="AA22" s="11">
        <f t="shared" ref="AA22:AF22" si="31">IF(OR(C23=""),"",C23-C22)</f>
        <v>47862</v>
      </c>
      <c r="AB22" s="11">
        <f t="shared" si="31"/>
        <v>58787</v>
      </c>
      <c r="AC22" s="11">
        <f t="shared" si="31"/>
        <v>50000</v>
      </c>
      <c r="AD22" s="11">
        <f t="shared" si="31"/>
        <v>50000</v>
      </c>
      <c r="AE22" s="11">
        <f t="shared" si="31"/>
        <v>178986</v>
      </c>
      <c r="AF22" s="11">
        <f t="shared" si="31"/>
        <v>5501</v>
      </c>
      <c r="AG22" s="11">
        <f t="shared" si="1"/>
        <v>27663</v>
      </c>
      <c r="AH22" s="11">
        <f t="shared" si="2"/>
        <v>179223</v>
      </c>
      <c r="AI22" s="15">
        <f t="shared" si="3"/>
        <v>5496</v>
      </c>
      <c r="AJ22" s="15">
        <f t="shared" si="4"/>
        <v>173727</v>
      </c>
      <c r="AK22" s="15">
        <v>4200</v>
      </c>
      <c r="AL22" s="15">
        <f t="shared" si="5"/>
        <v>5040</v>
      </c>
      <c r="AM22" s="15">
        <f t="shared" si="6"/>
        <v>15</v>
      </c>
      <c r="AN22" s="15">
        <f t="shared" si="7"/>
        <v>3976</v>
      </c>
      <c r="AO22" s="15">
        <f t="shared" si="8"/>
        <v>1416</v>
      </c>
      <c r="AP22" s="15">
        <v>1870</v>
      </c>
      <c r="AQ22" s="18">
        <f t="shared" si="9"/>
        <v>29</v>
      </c>
      <c r="AR22" s="18">
        <f t="shared" si="10"/>
        <v>0.09</v>
      </c>
      <c r="AS22" s="19">
        <f t="shared" si="11"/>
        <v>22.9</v>
      </c>
      <c r="AT22" s="18">
        <f t="shared" si="12"/>
        <v>8.15</v>
      </c>
    </row>
    <row r="23" spans="1:46">
      <c r="A23" s="6">
        <v>43576</v>
      </c>
      <c r="B23" s="5" t="s">
        <v>148</v>
      </c>
      <c r="C23" s="4">
        <v>16906366</v>
      </c>
      <c r="D23" s="4">
        <v>670953</v>
      </c>
      <c r="E23" s="4">
        <v>18828000</v>
      </c>
      <c r="F23" s="4">
        <v>18817000</v>
      </c>
      <c r="G23" s="4">
        <v>222859638</v>
      </c>
      <c r="H23" s="4">
        <v>104463750</v>
      </c>
      <c r="I23" s="4">
        <v>222858727</v>
      </c>
      <c r="J23" s="4">
        <v>104463696</v>
      </c>
      <c r="K23" s="4"/>
      <c r="L23" s="5">
        <v>4246.2</v>
      </c>
      <c r="M23" s="5">
        <v>3842.5</v>
      </c>
      <c r="N23" s="5">
        <v>72929.3</v>
      </c>
      <c r="O23" s="5"/>
      <c r="P23" s="5"/>
      <c r="Q23" s="9">
        <v>21.6</v>
      </c>
      <c r="R23" s="4" t="s">
        <v>149</v>
      </c>
      <c r="S23" s="4">
        <v>460</v>
      </c>
      <c r="T23" s="4">
        <v>480</v>
      </c>
      <c r="U23" s="4">
        <v>10211</v>
      </c>
      <c r="V23" s="4">
        <v>4652</v>
      </c>
      <c r="W23" s="5">
        <v>4.9400000000000004</v>
      </c>
      <c r="X23" s="5">
        <v>2.1800000000000002</v>
      </c>
      <c r="Y23" s="4">
        <v>85</v>
      </c>
      <c r="Z23" s="4"/>
      <c r="AA23" s="11">
        <f t="shared" ref="AA23:AF23" si="32">IF(OR(C24=""),"",C24-C23)</f>
        <v>53584</v>
      </c>
      <c r="AB23" s="11">
        <f t="shared" si="32"/>
        <v>64812</v>
      </c>
      <c r="AC23" s="11">
        <f t="shared" si="32"/>
        <v>40000</v>
      </c>
      <c r="AD23" s="11">
        <f t="shared" si="32"/>
        <v>40000</v>
      </c>
      <c r="AE23" s="11">
        <f t="shared" si="32"/>
        <v>183173</v>
      </c>
      <c r="AF23" s="11">
        <f t="shared" si="32"/>
        <v>5435</v>
      </c>
      <c r="AG23" s="11">
        <f t="shared" si="1"/>
        <v>15223</v>
      </c>
      <c r="AH23" s="11">
        <f t="shared" si="2"/>
        <v>184240</v>
      </c>
      <c r="AI23" s="15">
        <f t="shared" si="3"/>
        <v>5496</v>
      </c>
      <c r="AJ23" s="15">
        <f t="shared" si="4"/>
        <v>178744</v>
      </c>
      <c r="AK23" s="15">
        <v>3520</v>
      </c>
      <c r="AL23" s="15">
        <f t="shared" si="5"/>
        <v>3720</v>
      </c>
      <c r="AM23" s="15">
        <f t="shared" si="6"/>
        <v>10</v>
      </c>
      <c r="AN23" s="15">
        <f t="shared" si="7"/>
        <v>3266</v>
      </c>
      <c r="AO23" s="15">
        <f t="shared" si="8"/>
        <v>1152</v>
      </c>
      <c r="AP23" s="15">
        <v>2010</v>
      </c>
      <c r="AQ23" s="18">
        <f t="shared" si="9"/>
        <v>20.8</v>
      </c>
      <c r="AR23" s="18">
        <f t="shared" si="10"/>
        <v>0.06</v>
      </c>
      <c r="AS23" s="19">
        <f t="shared" si="11"/>
        <v>18.3</v>
      </c>
      <c r="AT23" s="18">
        <f t="shared" si="12"/>
        <v>6.44</v>
      </c>
    </row>
    <row r="24" spans="1:46">
      <c r="A24" s="6">
        <v>43577</v>
      </c>
      <c r="B24" s="5" t="s">
        <v>151</v>
      </c>
      <c r="C24" s="4">
        <v>16959950</v>
      </c>
      <c r="D24" s="4">
        <v>735765</v>
      </c>
      <c r="E24" s="4">
        <v>18868000</v>
      </c>
      <c r="F24" s="4">
        <v>18857000</v>
      </c>
      <c r="G24" s="4">
        <v>223042811</v>
      </c>
      <c r="H24" s="4">
        <v>104469185</v>
      </c>
      <c r="I24" s="4">
        <v>223042967</v>
      </c>
      <c r="J24" s="4">
        <v>104469192</v>
      </c>
      <c r="K24" s="4"/>
      <c r="L24" s="5">
        <v>4246.2</v>
      </c>
      <c r="M24" s="5">
        <v>3845.6</v>
      </c>
      <c r="N24" s="5">
        <v>72934.100000000006</v>
      </c>
      <c r="O24" s="5"/>
      <c r="P24" s="5"/>
      <c r="Q24" s="9">
        <v>21</v>
      </c>
      <c r="R24" s="4" t="s">
        <v>150</v>
      </c>
      <c r="S24" s="4">
        <v>400</v>
      </c>
      <c r="T24" s="4">
        <v>420</v>
      </c>
      <c r="U24" s="4">
        <v>10302</v>
      </c>
      <c r="V24" s="4">
        <v>4878</v>
      </c>
      <c r="W24" s="5">
        <v>6.87</v>
      </c>
      <c r="X24" s="5">
        <v>2.2999999999999998</v>
      </c>
      <c r="Y24" s="4">
        <v>1278</v>
      </c>
      <c r="Z24" s="4"/>
      <c r="AA24" s="11">
        <f t="shared" ref="AA24:AF24" si="33">IF(OR(C25=""),"",C25-C24)</f>
        <v>54259</v>
      </c>
      <c r="AB24" s="11">
        <f t="shared" si="33"/>
        <v>67398</v>
      </c>
      <c r="AC24" s="11">
        <f t="shared" si="33"/>
        <v>56000</v>
      </c>
      <c r="AD24" s="11">
        <f t="shared" si="33"/>
        <v>57000</v>
      </c>
      <c r="AE24" s="11">
        <f t="shared" si="33"/>
        <v>208471</v>
      </c>
      <c r="AF24" s="11">
        <f t="shared" si="33"/>
        <v>5508</v>
      </c>
      <c r="AG24" s="11">
        <f t="shared" si="1"/>
        <v>26186</v>
      </c>
      <c r="AH24" s="11">
        <f t="shared" si="2"/>
        <v>208294</v>
      </c>
      <c r="AI24" s="15">
        <f t="shared" si="3"/>
        <v>5501</v>
      </c>
      <c r="AJ24" s="15">
        <f t="shared" si="4"/>
        <v>202793</v>
      </c>
      <c r="AK24" s="15">
        <v>3840</v>
      </c>
      <c r="AL24" s="15">
        <f t="shared" si="5"/>
        <v>0</v>
      </c>
      <c r="AM24" s="15">
        <f t="shared" si="6"/>
        <v>0</v>
      </c>
      <c r="AN24" s="15">
        <f t="shared" si="7"/>
        <v>2840</v>
      </c>
      <c r="AO24" s="15">
        <f t="shared" si="8"/>
        <v>1008</v>
      </c>
      <c r="AP24" s="15">
        <v>1910</v>
      </c>
      <c r="AQ24" s="18">
        <f t="shared" si="9"/>
        <v>0</v>
      </c>
      <c r="AR24" s="18">
        <f t="shared" si="10"/>
        <v>0</v>
      </c>
      <c r="AS24" s="19">
        <f t="shared" si="11"/>
        <v>14</v>
      </c>
      <c r="AT24" s="18">
        <f t="shared" si="12"/>
        <v>4.97</v>
      </c>
    </row>
    <row r="25" spans="1:46">
      <c r="A25" s="6">
        <v>43578</v>
      </c>
      <c r="B25" s="5" t="s">
        <v>51</v>
      </c>
      <c r="C25" s="4">
        <v>17014209</v>
      </c>
      <c r="D25" s="4">
        <v>803163</v>
      </c>
      <c r="E25" s="4">
        <v>18924000</v>
      </c>
      <c r="F25" s="4">
        <v>18914000</v>
      </c>
      <c r="G25" s="4">
        <v>223251282</v>
      </c>
      <c r="H25" s="4">
        <v>104474693</v>
      </c>
      <c r="I25" s="4">
        <v>223251261</v>
      </c>
      <c r="J25" s="4">
        <v>104474693</v>
      </c>
      <c r="K25" s="4"/>
      <c r="L25" s="5">
        <v>4246.2</v>
      </c>
      <c r="M25" s="5">
        <v>3845.6</v>
      </c>
      <c r="N25" s="5">
        <v>72934.100000000006</v>
      </c>
      <c r="O25" s="5"/>
      <c r="P25" s="5"/>
      <c r="Q25" s="9">
        <v>22</v>
      </c>
      <c r="R25" s="4" t="s">
        <v>152</v>
      </c>
      <c r="S25" s="4">
        <v>360</v>
      </c>
      <c r="T25" s="4">
        <v>380</v>
      </c>
      <c r="U25" s="4">
        <v>10356</v>
      </c>
      <c r="V25" s="4">
        <v>8856</v>
      </c>
      <c r="W25" s="5">
        <v>5.95</v>
      </c>
      <c r="X25" s="5">
        <v>2.98</v>
      </c>
      <c r="Y25" s="4">
        <v>1404</v>
      </c>
      <c r="Z25" s="4"/>
      <c r="AA25" s="11">
        <f t="shared" ref="AA25:AF25" si="34">IF(OR(C26=""),"",C26-C25)</f>
        <v>58237</v>
      </c>
      <c r="AB25" s="11">
        <f t="shared" si="34"/>
        <v>69406</v>
      </c>
      <c r="AC25" s="11">
        <f t="shared" si="34"/>
        <v>58000</v>
      </c>
      <c r="AD25" s="11">
        <f t="shared" si="34"/>
        <v>60000</v>
      </c>
      <c r="AE25" s="11">
        <f t="shared" si="34"/>
        <v>206632</v>
      </c>
      <c r="AF25" s="11">
        <f t="shared" si="34"/>
        <v>5383</v>
      </c>
      <c r="AG25" s="11">
        <f t="shared" si="1"/>
        <v>39011</v>
      </c>
      <c r="AH25" s="11">
        <f t="shared" si="2"/>
        <v>210970</v>
      </c>
      <c r="AI25" s="15">
        <f t="shared" si="3"/>
        <v>5383</v>
      </c>
      <c r="AJ25" s="15">
        <f t="shared" si="4"/>
        <v>205587</v>
      </c>
      <c r="AK25" s="15">
        <v>3500</v>
      </c>
      <c r="AL25" s="15">
        <f t="shared" si="5"/>
        <v>0</v>
      </c>
      <c r="AM25" s="15">
        <f t="shared" si="6"/>
        <v>0</v>
      </c>
      <c r="AN25" s="15">
        <f t="shared" si="7"/>
        <v>2556</v>
      </c>
      <c r="AO25" s="15">
        <f t="shared" si="8"/>
        <v>912</v>
      </c>
      <c r="AP25" s="15">
        <v>1480</v>
      </c>
      <c r="AQ25" s="18">
        <f t="shared" si="9"/>
        <v>0</v>
      </c>
      <c r="AR25" s="18">
        <f t="shared" si="10"/>
        <v>0</v>
      </c>
      <c r="AS25" s="19">
        <f t="shared" si="11"/>
        <v>12.4</v>
      </c>
      <c r="AT25" s="18">
        <f t="shared" si="12"/>
        <v>4.4400000000000004</v>
      </c>
    </row>
    <row r="26" spans="1:46">
      <c r="A26" s="6">
        <v>43579</v>
      </c>
      <c r="B26" s="5" t="s">
        <v>47</v>
      </c>
      <c r="C26" s="4">
        <v>17072446</v>
      </c>
      <c r="D26" s="4">
        <v>872569</v>
      </c>
      <c r="E26" s="4">
        <v>18982000</v>
      </c>
      <c r="F26" s="4">
        <v>18974000</v>
      </c>
      <c r="G26" s="4">
        <v>223457914</v>
      </c>
      <c r="H26" s="4">
        <v>104480076</v>
      </c>
      <c r="I26" s="4">
        <v>223462231</v>
      </c>
      <c r="J26" s="4">
        <v>104480076</v>
      </c>
      <c r="K26" s="4"/>
      <c r="L26" s="5">
        <v>4246.2</v>
      </c>
      <c r="M26" s="5">
        <v>3845.6</v>
      </c>
      <c r="N26" s="5">
        <v>72934.100000000006</v>
      </c>
      <c r="O26" s="5"/>
      <c r="P26" s="5"/>
      <c r="Q26" s="9">
        <v>21</v>
      </c>
      <c r="R26" s="4" t="s">
        <v>44</v>
      </c>
      <c r="S26" s="4">
        <v>600</v>
      </c>
      <c r="T26" s="4">
        <v>630</v>
      </c>
      <c r="U26" s="4">
        <v>10291</v>
      </c>
      <c r="V26" s="4">
        <v>5726</v>
      </c>
      <c r="W26" s="5">
        <v>7.2</v>
      </c>
      <c r="X26" s="5">
        <v>2.34</v>
      </c>
      <c r="Y26" s="4">
        <v>1092</v>
      </c>
      <c r="Z26" s="4"/>
      <c r="AA26" s="11">
        <f t="shared" ref="AA26:AF26" si="35">IF(OR(C27=""),"",C27-C26)</f>
        <v>55549</v>
      </c>
      <c r="AB26" s="11">
        <f t="shared" si="35"/>
        <v>66220</v>
      </c>
      <c r="AC26" s="11">
        <f t="shared" si="35"/>
        <v>57000</v>
      </c>
      <c r="AD26" s="11">
        <f t="shared" si="35"/>
        <v>58000</v>
      </c>
      <c r="AE26" s="11">
        <f t="shared" si="35"/>
        <v>214570</v>
      </c>
      <c r="AF26" s="11">
        <f t="shared" si="35"/>
        <v>5634</v>
      </c>
      <c r="AG26" s="11">
        <f t="shared" si="1"/>
        <v>22199</v>
      </c>
      <c r="AH26" s="11">
        <f t="shared" si="2"/>
        <v>209923</v>
      </c>
      <c r="AI26" s="15">
        <f t="shared" si="3"/>
        <v>5634</v>
      </c>
      <c r="AJ26" s="15">
        <f t="shared" si="4"/>
        <v>204289</v>
      </c>
      <c r="AK26" s="15">
        <v>2880</v>
      </c>
      <c r="AL26" s="15">
        <f t="shared" si="5"/>
        <v>720</v>
      </c>
      <c r="AM26" s="15">
        <f t="shared" si="6"/>
        <v>2</v>
      </c>
      <c r="AN26" s="15">
        <f t="shared" si="7"/>
        <v>4260</v>
      </c>
      <c r="AO26" s="15">
        <f t="shared" si="8"/>
        <v>1512</v>
      </c>
      <c r="AP26" s="15">
        <v>1840</v>
      </c>
      <c r="AQ26" s="18">
        <f t="shared" si="9"/>
        <v>3.5</v>
      </c>
      <c r="AR26" s="18">
        <f t="shared" si="10"/>
        <v>0.01</v>
      </c>
      <c r="AS26" s="19">
        <f t="shared" si="11"/>
        <v>20.9</v>
      </c>
      <c r="AT26" s="18">
        <f t="shared" si="12"/>
        <v>7.4</v>
      </c>
    </row>
    <row r="27" spans="1:46">
      <c r="A27" s="6">
        <v>43580</v>
      </c>
      <c r="B27" s="5" t="s">
        <v>153</v>
      </c>
      <c r="C27" s="4">
        <v>17127995</v>
      </c>
      <c r="D27" s="4">
        <v>938789</v>
      </c>
      <c r="E27" s="4">
        <v>19039000</v>
      </c>
      <c r="F27" s="4">
        <v>19032000</v>
      </c>
      <c r="G27" s="4">
        <v>223672484</v>
      </c>
      <c r="H27" s="4">
        <v>104485710</v>
      </c>
      <c r="I27" s="4">
        <v>223672154</v>
      </c>
      <c r="J27" s="4">
        <v>104485710</v>
      </c>
      <c r="K27" s="4"/>
      <c r="L27" s="5">
        <v>4246.2</v>
      </c>
      <c r="M27" s="5">
        <v>3846.2</v>
      </c>
      <c r="N27" s="5">
        <v>72935.3</v>
      </c>
      <c r="O27" s="5"/>
      <c r="P27" s="5"/>
      <c r="Q27" s="9">
        <v>20.8</v>
      </c>
      <c r="R27" s="4" t="s">
        <v>154</v>
      </c>
      <c r="S27" s="4">
        <v>540</v>
      </c>
      <c r="T27" s="4">
        <v>560</v>
      </c>
      <c r="U27" s="4">
        <v>10312</v>
      </c>
      <c r="V27" s="4">
        <v>5496</v>
      </c>
      <c r="W27" s="5">
        <v>5.6</v>
      </c>
      <c r="X27" s="5">
        <v>2.56</v>
      </c>
      <c r="Y27" s="4">
        <v>1027</v>
      </c>
      <c r="Z27" s="4"/>
      <c r="AA27" s="11">
        <f t="shared" ref="AA27:AF27" si="36">IF(OR(C28=""),"",C28-C27)</f>
        <v>48518</v>
      </c>
      <c r="AB27" s="11">
        <f t="shared" si="36"/>
        <v>61753</v>
      </c>
      <c r="AC27" s="11">
        <f t="shared" si="36"/>
        <v>63000</v>
      </c>
      <c r="AD27" s="11">
        <f t="shared" si="36"/>
        <v>64000</v>
      </c>
      <c r="AE27" s="11">
        <f t="shared" si="36"/>
        <v>193229</v>
      </c>
      <c r="AF27" s="11">
        <f t="shared" si="36"/>
        <v>5481</v>
      </c>
      <c r="AG27" s="11">
        <f t="shared" si="1"/>
        <v>44042</v>
      </c>
      <c r="AH27" s="11">
        <f t="shared" si="2"/>
        <v>193924</v>
      </c>
      <c r="AI27" s="15">
        <f t="shared" si="3"/>
        <v>5481</v>
      </c>
      <c r="AJ27" s="15">
        <f t="shared" si="4"/>
        <v>188443</v>
      </c>
      <c r="AK27" s="15">
        <v>3520</v>
      </c>
      <c r="AL27" s="15">
        <f t="shared" si="5"/>
        <v>10080</v>
      </c>
      <c r="AM27" s="15">
        <f t="shared" si="6"/>
        <v>36</v>
      </c>
      <c r="AN27" s="15">
        <f t="shared" si="7"/>
        <v>3834</v>
      </c>
      <c r="AO27" s="15">
        <f t="shared" si="8"/>
        <v>1344</v>
      </c>
      <c r="AP27" s="15">
        <v>1350</v>
      </c>
      <c r="AQ27" s="18">
        <f t="shared" si="9"/>
        <v>53.5</v>
      </c>
      <c r="AR27" s="18">
        <f t="shared" si="10"/>
        <v>0.19</v>
      </c>
      <c r="AS27" s="19">
        <f t="shared" si="11"/>
        <v>20.3</v>
      </c>
      <c r="AT27" s="18">
        <f t="shared" si="12"/>
        <v>7.13</v>
      </c>
    </row>
    <row r="28" spans="1:46">
      <c r="A28" s="6">
        <v>43581</v>
      </c>
      <c r="B28" s="5" t="s">
        <v>155</v>
      </c>
      <c r="C28" s="4">
        <v>17176513</v>
      </c>
      <c r="D28" s="4">
        <v>1000542</v>
      </c>
      <c r="E28" s="4">
        <v>19102000</v>
      </c>
      <c r="F28" s="4">
        <v>19096000</v>
      </c>
      <c r="G28" s="4">
        <v>223865713</v>
      </c>
      <c r="H28" s="4">
        <v>104491191</v>
      </c>
      <c r="I28" s="4">
        <v>223866078</v>
      </c>
      <c r="J28" s="4">
        <v>104491191</v>
      </c>
      <c r="K28" s="4"/>
      <c r="L28" s="5">
        <v>4246.2</v>
      </c>
      <c r="M28" s="5">
        <v>3854.6</v>
      </c>
      <c r="N28" s="5">
        <v>72953.5</v>
      </c>
      <c r="O28" s="5"/>
      <c r="P28" s="5"/>
      <c r="Q28" s="9">
        <v>21</v>
      </c>
      <c r="R28" s="4" t="s">
        <v>156</v>
      </c>
      <c r="S28" s="4">
        <v>600</v>
      </c>
      <c r="T28" s="4">
        <v>630</v>
      </c>
      <c r="U28" s="4">
        <v>10294</v>
      </c>
      <c r="V28" s="4">
        <v>9764</v>
      </c>
      <c r="W28" s="5">
        <v>6.23</v>
      </c>
      <c r="X28" s="5">
        <v>4.8899999999999997</v>
      </c>
      <c r="Y28" s="4">
        <v>1438</v>
      </c>
      <c r="Z28" s="4"/>
      <c r="AA28" s="11">
        <f t="shared" ref="AA28:AF28" si="37">IF(OR(C29=""),"",C29-C28)</f>
        <v>53692</v>
      </c>
      <c r="AB28" s="11">
        <f t="shared" si="37"/>
        <v>68378</v>
      </c>
      <c r="AC28" s="11">
        <f t="shared" si="37"/>
        <v>62000</v>
      </c>
      <c r="AD28" s="11">
        <f t="shared" si="37"/>
        <v>63000</v>
      </c>
      <c r="AE28" s="11">
        <f t="shared" si="37"/>
        <v>210378</v>
      </c>
      <c r="AF28" s="11">
        <f t="shared" si="37"/>
        <v>5522</v>
      </c>
      <c r="AG28" s="11">
        <f t="shared" si="1"/>
        <v>36692</v>
      </c>
      <c r="AH28" s="11">
        <f t="shared" si="2"/>
        <v>209776</v>
      </c>
      <c r="AI28" s="15">
        <f t="shared" si="3"/>
        <v>5522</v>
      </c>
      <c r="AJ28" s="15">
        <f t="shared" si="4"/>
        <v>204254</v>
      </c>
      <c r="AK28" s="15">
        <v>3580</v>
      </c>
      <c r="AL28" s="15">
        <f t="shared" si="5"/>
        <v>4680</v>
      </c>
      <c r="AM28" s="15">
        <f t="shared" si="6"/>
        <v>17</v>
      </c>
      <c r="AN28" s="15">
        <f t="shared" si="7"/>
        <v>4260</v>
      </c>
      <c r="AO28" s="15">
        <f t="shared" si="8"/>
        <v>1512</v>
      </c>
      <c r="AP28" s="15">
        <v>1299</v>
      </c>
      <c r="AQ28" s="18">
        <f t="shared" si="9"/>
        <v>22.9</v>
      </c>
      <c r="AR28" s="18">
        <f t="shared" si="10"/>
        <v>0.08</v>
      </c>
      <c r="AS28" s="19">
        <f t="shared" si="11"/>
        <v>20.9</v>
      </c>
      <c r="AT28" s="18">
        <f t="shared" si="12"/>
        <v>7.4</v>
      </c>
    </row>
    <row r="29" spans="1:46">
      <c r="A29" s="6">
        <v>43582</v>
      </c>
      <c r="B29" s="5" t="s">
        <v>157</v>
      </c>
      <c r="C29" s="4">
        <v>17230205</v>
      </c>
      <c r="D29" s="4">
        <v>1068920</v>
      </c>
      <c r="E29" s="4">
        <v>19164000</v>
      </c>
      <c r="F29" s="4">
        <v>19159000</v>
      </c>
      <c r="G29" s="4">
        <v>224076091</v>
      </c>
      <c r="H29" s="4">
        <v>104496713</v>
      </c>
      <c r="I29" s="4">
        <v>224075854</v>
      </c>
      <c r="J29" s="4">
        <v>104496713</v>
      </c>
      <c r="K29" s="4"/>
      <c r="L29" s="5">
        <v>4246.2</v>
      </c>
      <c r="M29" s="5">
        <v>3858.5</v>
      </c>
      <c r="N29" s="5">
        <v>72961.8</v>
      </c>
      <c r="O29" s="5"/>
      <c r="P29" s="5"/>
      <c r="Q29" s="9">
        <v>22</v>
      </c>
      <c r="R29" s="4" t="s">
        <v>158</v>
      </c>
      <c r="S29" s="4">
        <v>630</v>
      </c>
      <c r="T29" s="4">
        <v>650</v>
      </c>
      <c r="U29" s="4">
        <v>10312</v>
      </c>
      <c r="V29" s="4">
        <v>7954</v>
      </c>
      <c r="W29" s="5">
        <v>7.05</v>
      </c>
      <c r="X29" s="5">
        <v>4.78</v>
      </c>
      <c r="Y29" s="4">
        <v>1435</v>
      </c>
      <c r="Z29" s="4"/>
      <c r="AA29" s="11">
        <f t="shared" ref="AA29:AF29" si="38">IF(OR(C30=""),"",C30-C29)</f>
        <v>47069</v>
      </c>
      <c r="AB29" s="11">
        <f t="shared" si="38"/>
        <v>62002</v>
      </c>
      <c r="AC29" s="11">
        <f t="shared" si="38"/>
        <v>58000</v>
      </c>
      <c r="AD29" s="11">
        <f t="shared" si="38"/>
        <v>60000</v>
      </c>
      <c r="AE29" s="11">
        <f t="shared" si="38"/>
        <v>208550</v>
      </c>
      <c r="AF29" s="11">
        <f t="shared" si="38"/>
        <v>5502</v>
      </c>
      <c r="AG29" s="11">
        <f t="shared" si="1"/>
        <v>18521</v>
      </c>
      <c r="AH29" s="11">
        <f t="shared" si="2"/>
        <v>208637</v>
      </c>
      <c r="AI29" s="15">
        <f t="shared" si="3"/>
        <v>5502</v>
      </c>
      <c r="AJ29" s="15">
        <f t="shared" si="4"/>
        <v>203135</v>
      </c>
      <c r="AK29" s="15">
        <v>3200</v>
      </c>
      <c r="AL29" s="15">
        <f t="shared" si="5"/>
        <v>7320</v>
      </c>
      <c r="AM29" s="15">
        <f t="shared" si="6"/>
        <v>23</v>
      </c>
      <c r="AN29" s="15">
        <f t="shared" si="7"/>
        <v>4473</v>
      </c>
      <c r="AO29" s="15">
        <f t="shared" si="8"/>
        <v>1560</v>
      </c>
      <c r="AP29" s="15">
        <v>1420</v>
      </c>
      <c r="AQ29" s="18">
        <f t="shared" si="9"/>
        <v>36</v>
      </c>
      <c r="AR29" s="18">
        <f t="shared" si="10"/>
        <v>0.11</v>
      </c>
      <c r="AS29" s="19">
        <f t="shared" si="11"/>
        <v>22</v>
      </c>
      <c r="AT29" s="18">
        <f t="shared" si="12"/>
        <v>7.68</v>
      </c>
    </row>
    <row r="30" spans="1:46">
      <c r="A30" s="6">
        <v>43583</v>
      </c>
      <c r="B30" s="5" t="s">
        <v>159</v>
      </c>
      <c r="C30" s="4">
        <v>17277274</v>
      </c>
      <c r="D30" s="4">
        <v>1130922</v>
      </c>
      <c r="E30" s="4">
        <v>19222000</v>
      </c>
      <c r="F30" s="4">
        <v>19219000</v>
      </c>
      <c r="G30" s="4">
        <v>224284641</v>
      </c>
      <c r="H30" s="4">
        <v>104502215</v>
      </c>
      <c r="I30" s="4">
        <v>224284491</v>
      </c>
      <c r="J30" s="4">
        <v>104502215</v>
      </c>
      <c r="K30" s="4"/>
      <c r="L30" s="5">
        <v>4246.2</v>
      </c>
      <c r="M30" s="5">
        <v>3864.6</v>
      </c>
      <c r="N30" s="5">
        <v>72973.2</v>
      </c>
      <c r="O30" s="5"/>
      <c r="P30" s="5"/>
      <c r="Q30" s="9">
        <v>22</v>
      </c>
      <c r="R30" s="4" t="s">
        <v>160</v>
      </c>
      <c r="S30" s="4">
        <v>470</v>
      </c>
      <c r="T30" s="4">
        <v>500</v>
      </c>
      <c r="U30" s="4">
        <v>9562</v>
      </c>
      <c r="V30" s="4">
        <v>7407</v>
      </c>
      <c r="W30" s="5">
        <v>6.92</v>
      </c>
      <c r="X30" s="5">
        <v>5.76</v>
      </c>
      <c r="Y30" s="4">
        <v>1436</v>
      </c>
      <c r="Z30" s="4"/>
      <c r="AA30" s="11">
        <f t="shared" ref="AA30:AF30" si="39">IF(OR(C31=""),"",C31-C30)</f>
        <v>46314</v>
      </c>
      <c r="AB30" s="11">
        <f t="shared" si="39"/>
        <v>59043</v>
      </c>
      <c r="AC30" s="11">
        <f t="shared" si="39"/>
        <v>54000</v>
      </c>
      <c r="AD30" s="11">
        <f t="shared" si="39"/>
        <v>55000</v>
      </c>
      <c r="AE30" s="11">
        <f t="shared" si="39"/>
        <v>208966</v>
      </c>
      <c r="AF30" s="11">
        <f t="shared" si="39"/>
        <v>5523</v>
      </c>
      <c r="AG30" s="11">
        <f t="shared" si="1"/>
        <v>5391</v>
      </c>
      <c r="AH30" s="11">
        <f t="shared" si="2"/>
        <v>208254</v>
      </c>
      <c r="AI30" s="15">
        <f t="shared" si="3"/>
        <v>5523</v>
      </c>
      <c r="AJ30" s="15">
        <f t="shared" si="4"/>
        <v>202731</v>
      </c>
      <c r="AK30" s="15">
        <v>4400</v>
      </c>
      <c r="AL30" s="15">
        <f t="shared" si="5"/>
        <v>2760</v>
      </c>
      <c r="AM30" s="15">
        <f t="shared" si="6"/>
        <v>9</v>
      </c>
      <c r="AN30" s="15">
        <f t="shared" si="7"/>
        <v>3337</v>
      </c>
      <c r="AO30" s="15">
        <f t="shared" si="8"/>
        <v>1200</v>
      </c>
      <c r="AP30" s="15">
        <v>2592</v>
      </c>
      <c r="AQ30" s="18">
        <f t="shared" si="9"/>
        <v>13.6</v>
      </c>
      <c r="AR30" s="18">
        <f t="shared" si="10"/>
        <v>0.04</v>
      </c>
      <c r="AS30" s="19">
        <f t="shared" si="11"/>
        <v>16.5</v>
      </c>
      <c r="AT30" s="18">
        <f t="shared" si="12"/>
        <v>5.92</v>
      </c>
    </row>
    <row r="31" spans="1:46">
      <c r="A31" s="6">
        <v>43584</v>
      </c>
      <c r="B31" s="5" t="s">
        <v>162</v>
      </c>
      <c r="C31" s="4">
        <v>17323588</v>
      </c>
      <c r="D31" s="4">
        <v>1189965</v>
      </c>
      <c r="E31" s="4">
        <v>19276000</v>
      </c>
      <c r="F31" s="4">
        <v>19274000</v>
      </c>
      <c r="G31" s="4">
        <v>224493607</v>
      </c>
      <c r="H31" s="4">
        <v>104507738</v>
      </c>
      <c r="I31" s="4">
        <v>224492745</v>
      </c>
      <c r="J31" s="4">
        <v>104507738</v>
      </c>
      <c r="K31" s="4"/>
      <c r="L31" s="5">
        <v>4246.2</v>
      </c>
      <c r="M31" s="5">
        <v>3866.9</v>
      </c>
      <c r="N31" s="5">
        <v>72977.8</v>
      </c>
      <c r="O31" s="5"/>
      <c r="P31" s="5"/>
      <c r="Q31" s="9">
        <v>22.6</v>
      </c>
      <c r="R31" s="4" t="s">
        <v>161</v>
      </c>
      <c r="S31" s="4">
        <v>400</v>
      </c>
      <c r="T31" s="4">
        <v>430</v>
      </c>
      <c r="U31" s="4">
        <v>10329</v>
      </c>
      <c r="V31" s="4">
        <v>7868</v>
      </c>
      <c r="W31" s="5">
        <v>6.34</v>
      </c>
      <c r="X31" s="5">
        <v>4.91</v>
      </c>
      <c r="Y31" s="4">
        <v>1436</v>
      </c>
      <c r="Z31" s="4"/>
      <c r="AA31" s="11">
        <f t="shared" ref="AA31:AF31" si="40">IF(OR(C32=""),"",C32-C31)</f>
        <v>49381</v>
      </c>
      <c r="AB31" s="11">
        <f t="shared" si="40"/>
        <v>64026</v>
      </c>
      <c r="AC31" s="11">
        <f t="shared" si="40"/>
        <v>61000</v>
      </c>
      <c r="AD31" s="11">
        <f t="shared" si="40"/>
        <v>63000</v>
      </c>
      <c r="AE31" s="11">
        <f t="shared" si="40"/>
        <v>209153</v>
      </c>
      <c r="AF31" s="11">
        <f t="shared" si="40"/>
        <v>5502</v>
      </c>
      <c r="AG31" s="11">
        <f t="shared" si="1"/>
        <v>28254</v>
      </c>
      <c r="AH31" s="11">
        <f t="shared" si="2"/>
        <v>209342</v>
      </c>
      <c r="AI31" s="15">
        <f t="shared" si="3"/>
        <v>5502</v>
      </c>
      <c r="AJ31" s="15">
        <f t="shared" si="4"/>
        <v>203840</v>
      </c>
      <c r="AK31" s="15">
        <v>4200</v>
      </c>
      <c r="AL31" s="15">
        <f t="shared" si="5"/>
        <v>3480</v>
      </c>
      <c r="AM31" s="15">
        <f t="shared" si="6"/>
        <v>8</v>
      </c>
      <c r="AN31" s="15">
        <f t="shared" si="7"/>
        <v>2840</v>
      </c>
      <c r="AO31" s="15">
        <f t="shared" si="8"/>
        <v>1032</v>
      </c>
      <c r="AP31" s="15">
        <v>2268</v>
      </c>
      <c r="AQ31" s="18">
        <f t="shared" si="9"/>
        <v>17.100000000000001</v>
      </c>
      <c r="AR31" s="18">
        <f t="shared" si="10"/>
        <v>0.04</v>
      </c>
      <c r="AS31" s="19">
        <f t="shared" si="11"/>
        <v>13.9</v>
      </c>
      <c r="AT31" s="18">
        <f t="shared" si="12"/>
        <v>5.0599999999999996</v>
      </c>
    </row>
    <row r="32" spans="1:46">
      <c r="A32" s="6">
        <v>43585</v>
      </c>
      <c r="B32" s="5" t="s">
        <v>163</v>
      </c>
      <c r="C32" s="4">
        <v>17372969</v>
      </c>
      <c r="D32" s="4">
        <v>1253991</v>
      </c>
      <c r="E32" s="4">
        <v>19337000</v>
      </c>
      <c r="F32" s="4">
        <v>19337000</v>
      </c>
      <c r="G32" s="4">
        <v>224702760</v>
      </c>
      <c r="H32" s="4">
        <v>104513240</v>
      </c>
      <c r="I32" s="4">
        <v>224702087</v>
      </c>
      <c r="J32" s="4">
        <v>104513240</v>
      </c>
      <c r="K32" s="4"/>
      <c r="L32" s="5">
        <v>4246.2</v>
      </c>
      <c r="M32" s="5">
        <v>3869.8</v>
      </c>
      <c r="N32" s="5">
        <v>72981.600000000006</v>
      </c>
      <c r="O32" s="5"/>
      <c r="P32" s="5"/>
      <c r="Q32" s="9">
        <v>22.7</v>
      </c>
      <c r="R32" s="4" t="s">
        <v>164</v>
      </c>
      <c r="S32" s="4">
        <v>340</v>
      </c>
      <c r="T32" s="4">
        <v>370</v>
      </c>
      <c r="U32" s="4">
        <v>10916</v>
      </c>
      <c r="V32" s="4">
        <v>4360</v>
      </c>
      <c r="W32" s="5">
        <v>5.58</v>
      </c>
      <c r="X32" s="5">
        <v>3.34</v>
      </c>
      <c r="Y32" s="4">
        <v>1432</v>
      </c>
      <c r="Z32" s="4"/>
      <c r="AA32" s="11">
        <f t="shared" ref="AA32:AF32" si="41">IF(OR(C33=""),"",C33-C32)</f>
        <v>44779</v>
      </c>
      <c r="AB32" s="11">
        <f t="shared" si="41"/>
        <v>54468</v>
      </c>
      <c r="AC32" s="11">
        <f t="shared" si="41"/>
        <v>52000</v>
      </c>
      <c r="AD32" s="11">
        <f t="shared" si="41"/>
        <v>53000</v>
      </c>
      <c r="AE32" s="11">
        <f t="shared" si="41"/>
        <v>205631</v>
      </c>
      <c r="AF32" s="11">
        <f t="shared" si="41"/>
        <v>5461</v>
      </c>
      <c r="AG32" s="11">
        <f t="shared" si="1"/>
        <v>-1384</v>
      </c>
      <c r="AH32" s="11">
        <f t="shared" si="2"/>
        <v>207326</v>
      </c>
      <c r="AI32" s="15">
        <f t="shared" si="3"/>
        <v>5461</v>
      </c>
      <c r="AJ32" s="15">
        <f t="shared" si="4"/>
        <v>201865</v>
      </c>
      <c r="AK32" s="15">
        <v>4800</v>
      </c>
      <c r="AL32" s="15">
        <f t="shared" si="5"/>
        <v>0</v>
      </c>
      <c r="AM32" s="15">
        <f t="shared" si="6"/>
        <v>0</v>
      </c>
      <c r="AN32" s="15">
        <f t="shared" si="7"/>
        <v>2414</v>
      </c>
      <c r="AO32" s="15">
        <f t="shared" si="8"/>
        <v>888</v>
      </c>
      <c r="AP32" s="15">
        <v>1930</v>
      </c>
      <c r="AQ32" s="18">
        <f t="shared" si="9"/>
        <v>0</v>
      </c>
      <c r="AR32" s="18">
        <f t="shared" si="10"/>
        <v>0</v>
      </c>
      <c r="AS32" s="19">
        <f t="shared" si="11"/>
        <v>12</v>
      </c>
      <c r="AT32" s="18">
        <f t="shared" si="12"/>
        <v>4.4000000000000004</v>
      </c>
    </row>
    <row r="33" spans="1:46">
      <c r="A33" s="6">
        <v>43586</v>
      </c>
      <c r="B33" s="5" t="s">
        <v>45</v>
      </c>
      <c r="C33" s="4">
        <v>17417748</v>
      </c>
      <c r="D33" s="4">
        <v>1308459</v>
      </c>
      <c r="E33" s="4">
        <v>19389000</v>
      </c>
      <c r="F33" s="4">
        <v>19390000</v>
      </c>
      <c r="G33" s="4">
        <v>224908391</v>
      </c>
      <c r="H33" s="4">
        <v>104518701</v>
      </c>
      <c r="I33" s="4">
        <v>224909413</v>
      </c>
      <c r="J33" s="4">
        <v>104518701</v>
      </c>
      <c r="K33" s="4"/>
      <c r="L33" s="5">
        <v>4246.2</v>
      </c>
      <c r="M33" s="5">
        <v>3869.8</v>
      </c>
      <c r="N33" s="5">
        <v>72981.600000000006</v>
      </c>
      <c r="O33" s="5"/>
      <c r="P33" s="5"/>
      <c r="Q33" s="9">
        <v>23.5</v>
      </c>
      <c r="R33" s="4" t="s">
        <v>44</v>
      </c>
      <c r="S33" s="4"/>
      <c r="T33" s="4"/>
      <c r="U33" s="4"/>
      <c r="V33" s="4"/>
      <c r="W33" s="5"/>
      <c r="X33" s="5"/>
      <c r="Y33" s="4"/>
      <c r="Z33" s="4"/>
      <c r="AA33" s="11" t="str">
        <f t="shared" ref="AA33:AF33" si="42">IF(OR(C34=""),"",C34-C33)</f>
        <v/>
      </c>
      <c r="AB33" s="11" t="str">
        <f t="shared" si="42"/>
        <v/>
      </c>
      <c r="AC33" s="11" t="str">
        <f t="shared" si="42"/>
        <v/>
      </c>
      <c r="AD33" s="11" t="str">
        <f t="shared" si="42"/>
        <v/>
      </c>
      <c r="AE33" s="11" t="str">
        <f t="shared" si="42"/>
        <v/>
      </c>
      <c r="AF33" s="11" t="str">
        <f t="shared" si="42"/>
        <v/>
      </c>
      <c r="AG33" s="11" t="str">
        <f t="shared" si="1"/>
        <v/>
      </c>
      <c r="AH33" s="11" t="str">
        <f t="shared" si="2"/>
        <v/>
      </c>
      <c r="AI33" s="15" t="str">
        <f t="shared" si="3"/>
        <v/>
      </c>
      <c r="AJ33" s="15" t="str">
        <f t="shared" si="4"/>
        <v/>
      </c>
      <c r="AK33" s="15" t="str">
        <f t="shared" ref="AK33" si="43">IF(K33="","",K34-K33)</f>
        <v/>
      </c>
      <c r="AL33" s="15" t="str">
        <f t="shared" si="5"/>
        <v/>
      </c>
      <c r="AM33" s="15" t="str">
        <f t="shared" si="6"/>
        <v/>
      </c>
      <c r="AN33" s="15" t="str">
        <f t="shared" si="7"/>
        <v/>
      </c>
      <c r="AO33" s="15" t="str">
        <f t="shared" si="8"/>
        <v/>
      </c>
      <c r="AP33" s="15"/>
      <c r="AQ33" s="18" t="str">
        <f t="shared" si="9"/>
        <v/>
      </c>
      <c r="AR33" s="18" t="str">
        <f t="shared" si="10"/>
        <v/>
      </c>
      <c r="AS33" s="19" t="str">
        <f t="shared" si="11"/>
        <v/>
      </c>
      <c r="AT33" s="18" t="str">
        <f t="shared" si="12"/>
        <v/>
      </c>
    </row>
    <row r="34" spans="1:46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9"/>
      <c r="R34" s="4"/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4">IF(OR(C37=""),"",C37-C36)</f>
        <v/>
      </c>
      <c r="AB36" s="13" t="str">
        <f t="shared" si="44"/>
        <v/>
      </c>
      <c r="AC36" s="13" t="str">
        <f t="shared" si="44"/>
        <v/>
      </c>
      <c r="AD36" s="13" t="str">
        <f t="shared" si="44"/>
        <v/>
      </c>
      <c r="AE36" s="13" t="str">
        <f t="shared" si="44"/>
        <v/>
      </c>
      <c r="AF36" s="13" t="str">
        <f t="shared" si="44"/>
        <v/>
      </c>
      <c r="AG36" s="13" t="str">
        <f>IF(OR(AA36="",AB36="",AC36=""),"",AA36+AB36+AC36+AD36-AE36)</f>
        <v/>
      </c>
      <c r="AH36" s="17">
        <f t="shared" ref="AH36:AO36" si="45">SUM(AH3:AH34)</f>
        <v>5927330</v>
      </c>
      <c r="AI36" s="17">
        <f t="shared" si="45"/>
        <v>164381</v>
      </c>
      <c r="AJ36" s="17">
        <f t="shared" si="45"/>
        <v>5762949</v>
      </c>
      <c r="AK36" s="17">
        <f t="shared" si="45"/>
        <v>124240</v>
      </c>
      <c r="AL36" s="17">
        <f t="shared" si="45"/>
        <v>115764</v>
      </c>
      <c r="AM36" s="17">
        <f t="shared" si="45"/>
        <v>531</v>
      </c>
      <c r="AN36" s="17">
        <f t="shared" si="45"/>
        <v>89815</v>
      </c>
      <c r="AO36" s="17">
        <f t="shared" si="45"/>
        <v>31704</v>
      </c>
      <c r="AP36" s="17"/>
      <c r="AQ36" s="22">
        <f>IF(OR($AJ36=0),"",ROUND(AL36/$AJ36*1000,1))</f>
        <v>20.100000000000001</v>
      </c>
      <c r="AR36" s="22">
        <f>IF(OR($AJ36=0),"",ROUND(AM36/$AJ36*1000,2))</f>
        <v>0.09</v>
      </c>
      <c r="AS36" s="23">
        <f>IF(OR($AJ36=0),"",ROUND(AN36/$AJ36*1000,1))</f>
        <v>15.6</v>
      </c>
      <c r="AT36" s="22">
        <f>IF(OR($AJ36=0),"",ROUND(AO36/$AJ36*1000,2))</f>
        <v>5.5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20" zoomScaleNormal="120" workbookViewId="0">
      <pane xSplit="2" ySplit="2" topLeftCell="O12" activePane="bottomRight" state="frozen"/>
      <selection pane="topRight"/>
      <selection pane="bottomLeft"/>
      <selection pane="bottomRight" activeCell="I3" sqref="I3"/>
    </sheetView>
  </sheetViews>
  <sheetFormatPr defaultColWidth="10.6640625" defaultRowHeight="13.2"/>
  <cols>
    <col min="1" max="1" width="6.21875" style="1" customWidth="1"/>
    <col min="2" max="2" width="8.6640625" style="2" customWidth="1"/>
    <col min="3" max="3" width="11.77734375" style="1" customWidth="1"/>
    <col min="4" max="4" width="11.109375" style="1" customWidth="1"/>
    <col min="5" max="5" width="12.109375" style="1" customWidth="1"/>
    <col min="6" max="6" width="11.88671875" style="1" customWidth="1"/>
    <col min="7" max="7" width="12" style="1" customWidth="1"/>
    <col min="8" max="8" width="12.21875" style="1" customWidth="1"/>
    <col min="9" max="10" width="11.664062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8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7.2187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29" t="s">
        <v>83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43586</v>
      </c>
      <c r="B3" s="7" t="str">
        <f>'4'!B33</f>
        <v>仇昊</v>
      </c>
      <c r="C3" s="7">
        <f>'4'!C33</f>
        <v>17417748</v>
      </c>
      <c r="D3" s="7">
        <f>'4'!D33</f>
        <v>1308459</v>
      </c>
      <c r="E3" s="7">
        <f>'4'!E33</f>
        <v>19389000</v>
      </c>
      <c r="F3" s="7">
        <f>'4'!F33</f>
        <v>19390000</v>
      </c>
      <c r="G3" s="7">
        <f>'4'!G33</f>
        <v>224908391</v>
      </c>
      <c r="H3" s="7">
        <f>'4'!H33</f>
        <v>104518701</v>
      </c>
      <c r="I3" s="7">
        <f>'4'!I33</f>
        <v>224909413</v>
      </c>
      <c r="J3" s="7">
        <f>'4'!J33</f>
        <v>104518701</v>
      </c>
      <c r="K3" s="7">
        <f>'4'!K33</f>
        <v>0</v>
      </c>
      <c r="L3" s="7">
        <f>'4'!L33</f>
        <v>4246.2</v>
      </c>
      <c r="M3" s="7">
        <f>'4'!M33</f>
        <v>3869.8</v>
      </c>
      <c r="N3" s="7">
        <f>'4'!N33</f>
        <v>72981.600000000006</v>
      </c>
      <c r="O3" s="7">
        <v>0</v>
      </c>
      <c r="P3" s="7">
        <v>0</v>
      </c>
      <c r="Q3" s="7">
        <f>'4'!Q33</f>
        <v>23.5</v>
      </c>
      <c r="R3" s="7" t="str">
        <f>'4'!R33</f>
        <v>晴</v>
      </c>
      <c r="S3" s="4">
        <v>300</v>
      </c>
      <c r="T3" s="4">
        <v>330</v>
      </c>
      <c r="U3" s="4">
        <v>7851</v>
      </c>
      <c r="V3" s="4">
        <v>8423</v>
      </c>
      <c r="W3" s="5">
        <v>6.6</v>
      </c>
      <c r="X3" s="5">
        <v>3.7</v>
      </c>
      <c r="Y3" s="4">
        <v>1433</v>
      </c>
      <c r="Z3" s="4"/>
      <c r="AA3" s="11">
        <f t="shared" ref="AA3:AF3" si="0">IF(OR(C4=""),"",C4-C3)</f>
        <v>24637</v>
      </c>
      <c r="AB3" s="11">
        <f t="shared" si="0"/>
        <v>25793</v>
      </c>
      <c r="AC3" s="11">
        <f t="shared" si="0"/>
        <v>38000</v>
      </c>
      <c r="AD3" s="11">
        <f t="shared" si="0"/>
        <v>38000</v>
      </c>
      <c r="AE3" s="11">
        <f t="shared" si="0"/>
        <v>67389</v>
      </c>
      <c r="AF3" s="11">
        <f t="shared" si="0"/>
        <v>5540</v>
      </c>
      <c r="AG3" s="11">
        <f t="shared" ref="AG3:AG33" si="1">IF(OR(AA3="",AB3="",AC3=""),"",AA3+AB3+AC3+AD3-AE3)</f>
        <v>59041</v>
      </c>
      <c r="AH3" s="11">
        <f t="shared" ref="AH3:AH33" si="2">IF(OR(I4=""),"",I4-I3)</f>
        <v>66397</v>
      </c>
      <c r="AI3" s="15">
        <f t="shared" ref="AI3:AI33" si="3">IF(OR(J4=""),"",J4-J3)</f>
        <v>5540</v>
      </c>
      <c r="AJ3" s="15">
        <f t="shared" ref="AJ3:AJ33" si="4">IF(OR(AH3="",AI3=""),"",AH3-AI3)</f>
        <v>60857</v>
      </c>
      <c r="AK3" s="15">
        <f t="shared" ref="AK3" si="5">IF(K3="","",K4-K3)</f>
        <v>0</v>
      </c>
      <c r="AL3" s="15">
        <f t="shared" ref="AL3:AL33" si="6">IF(OR(L4="",M4=""),"",ROUND((L4-L3+M4-M3)*1200,0))</f>
        <v>2760</v>
      </c>
      <c r="AM3" s="15">
        <f t="shared" ref="AM3:AM33" si="7">IF(OR(N4=""),"",(ROUND((N4-N3)*2,0)))</f>
        <v>7</v>
      </c>
      <c r="AN3" s="15">
        <f t="shared" ref="AN3:AN33" si="8">IF(OR(S3=""),"",ROUND(S3*7.1,0))</f>
        <v>2130</v>
      </c>
      <c r="AO3" s="15">
        <f t="shared" ref="AO3:AO33" si="9">IF(OR(T3=""),"",ROUND(T3*2.4,0))</f>
        <v>792</v>
      </c>
      <c r="AP3" s="15">
        <v>1420</v>
      </c>
      <c r="AQ3" s="18">
        <f t="shared" ref="AQ3:AQ33" si="10">IF(OR($AJ3=""),"",ROUND(AL3/$AJ3*1000,1))</f>
        <v>45.4</v>
      </c>
      <c r="AR3" s="18">
        <f t="shared" ref="AR3:AR33" si="11">IF(OR($AJ3=""),"",ROUND(AM3/$AJ3*1000,2))</f>
        <v>0.12</v>
      </c>
      <c r="AS3" s="19">
        <f t="shared" ref="AS3:AS33" si="12">IF(OR($AJ3=""),"",ROUND(AN3/$AJ3*1000,1))</f>
        <v>35</v>
      </c>
      <c r="AT3" s="18">
        <f t="shared" ref="AT3:AT33" si="13">IF(OR($AJ3=""),"",ROUND(AO3/$AJ3*1000,2))</f>
        <v>13.01</v>
      </c>
    </row>
    <row r="4" spans="1:46">
      <c r="A4" s="6">
        <v>43587</v>
      </c>
      <c r="B4" s="5" t="s">
        <v>165</v>
      </c>
      <c r="C4" s="4">
        <v>17442385</v>
      </c>
      <c r="D4" s="4">
        <v>1334252</v>
      </c>
      <c r="E4" s="4">
        <v>19427000</v>
      </c>
      <c r="F4" s="4">
        <v>19428000</v>
      </c>
      <c r="G4" s="4">
        <v>224975780</v>
      </c>
      <c r="H4" s="4">
        <v>104524241</v>
      </c>
      <c r="I4" s="4">
        <v>224975810</v>
      </c>
      <c r="J4" s="4">
        <v>104524241</v>
      </c>
      <c r="K4" s="4"/>
      <c r="L4" s="5">
        <v>4246.2</v>
      </c>
      <c r="M4" s="5">
        <v>3872.1</v>
      </c>
      <c r="N4" s="5">
        <v>72985</v>
      </c>
      <c r="O4" s="5"/>
      <c r="P4" s="5"/>
      <c r="Q4" s="9">
        <v>24.6</v>
      </c>
      <c r="R4" s="4" t="s">
        <v>166</v>
      </c>
      <c r="S4" s="4">
        <v>180</v>
      </c>
      <c r="T4" s="4">
        <v>200</v>
      </c>
      <c r="U4" s="4">
        <v>7912</v>
      </c>
      <c r="V4" s="4">
        <v>1516</v>
      </c>
      <c r="W4" s="5">
        <v>5.56</v>
      </c>
      <c r="X4" s="5">
        <v>2.02</v>
      </c>
      <c r="Y4" s="4">
        <v>948</v>
      </c>
      <c r="Z4" s="4"/>
      <c r="AA4" s="11">
        <f t="shared" ref="AA4:AF4" si="14">IF(OR(C5=""),"",C5-C4)</f>
        <v>39781</v>
      </c>
      <c r="AB4" s="11">
        <f t="shared" si="14"/>
        <v>48054</v>
      </c>
      <c r="AC4" s="11">
        <f t="shared" si="14"/>
        <v>30000</v>
      </c>
      <c r="AD4" s="11">
        <f t="shared" si="14"/>
        <v>30000</v>
      </c>
      <c r="AE4" s="11">
        <f t="shared" si="14"/>
        <v>143370</v>
      </c>
      <c r="AF4" s="11">
        <f t="shared" si="14"/>
        <v>5529</v>
      </c>
      <c r="AG4" s="11">
        <f t="shared" si="1"/>
        <v>4465</v>
      </c>
      <c r="AH4" s="11">
        <f t="shared" si="2"/>
        <v>143192</v>
      </c>
      <c r="AI4" s="15">
        <f t="shared" si="3"/>
        <v>5529</v>
      </c>
      <c r="AJ4" s="15">
        <f t="shared" si="4"/>
        <v>137663</v>
      </c>
      <c r="AK4" s="15">
        <v>0</v>
      </c>
      <c r="AL4" s="15">
        <f t="shared" si="6"/>
        <v>20520</v>
      </c>
      <c r="AM4" s="15">
        <f t="shared" si="7"/>
        <v>34</v>
      </c>
      <c r="AN4" s="15">
        <f t="shared" si="8"/>
        <v>1278</v>
      </c>
      <c r="AO4" s="15">
        <f t="shared" si="9"/>
        <v>480</v>
      </c>
      <c r="AP4" s="15">
        <v>2592</v>
      </c>
      <c r="AQ4" s="18">
        <f t="shared" si="10"/>
        <v>149.1</v>
      </c>
      <c r="AR4" s="18">
        <f t="shared" si="11"/>
        <v>0.25</v>
      </c>
      <c r="AS4" s="19">
        <f t="shared" si="12"/>
        <v>9.3000000000000007</v>
      </c>
      <c r="AT4" s="18">
        <f t="shared" si="13"/>
        <v>3.49</v>
      </c>
    </row>
    <row r="5" spans="1:46">
      <c r="A5" s="6">
        <v>43588</v>
      </c>
      <c r="B5" s="5" t="s">
        <v>167</v>
      </c>
      <c r="C5" s="4">
        <v>17482166</v>
      </c>
      <c r="D5" s="4">
        <v>1382306</v>
      </c>
      <c r="E5" s="4">
        <v>19457000</v>
      </c>
      <c r="F5" s="4">
        <v>19458000</v>
      </c>
      <c r="G5" s="4">
        <v>225119150</v>
      </c>
      <c r="H5" s="4">
        <v>104529770</v>
      </c>
      <c r="I5" s="4">
        <v>225119002</v>
      </c>
      <c r="J5" s="4">
        <v>104529770</v>
      </c>
      <c r="K5" s="4"/>
      <c r="L5" s="5">
        <v>4246.2</v>
      </c>
      <c r="M5" s="5">
        <v>3889.2</v>
      </c>
      <c r="N5" s="5">
        <v>73001.8</v>
      </c>
      <c r="O5" s="5"/>
      <c r="P5" s="5"/>
      <c r="Q5" s="9">
        <v>23.7</v>
      </c>
      <c r="R5" s="4" t="s">
        <v>44</v>
      </c>
      <c r="S5" s="4">
        <v>160</v>
      </c>
      <c r="T5" s="4">
        <v>180</v>
      </c>
      <c r="U5" s="4">
        <v>8763</v>
      </c>
      <c r="V5" s="4">
        <v>1612</v>
      </c>
      <c r="W5" s="5">
        <v>6.22</v>
      </c>
      <c r="X5" s="5">
        <v>2.5</v>
      </c>
      <c r="Y5" s="4">
        <v>1176</v>
      </c>
      <c r="Z5" s="4"/>
      <c r="AA5" s="11">
        <f t="shared" ref="AA5:AF5" si="15">IF(OR(C6=""),"",C6-C5)</f>
        <v>40101</v>
      </c>
      <c r="AB5" s="11">
        <f t="shared" si="15"/>
        <v>47206</v>
      </c>
      <c r="AC5" s="11">
        <f t="shared" si="15"/>
        <v>43000</v>
      </c>
      <c r="AD5" s="11">
        <f t="shared" si="15"/>
        <v>43000</v>
      </c>
      <c r="AE5" s="11">
        <f t="shared" si="15"/>
        <v>160150</v>
      </c>
      <c r="AF5" s="11">
        <f t="shared" si="15"/>
        <v>5437</v>
      </c>
      <c r="AG5" s="11">
        <f t="shared" si="1"/>
        <v>13157</v>
      </c>
      <c r="AH5" s="11">
        <f t="shared" si="2"/>
        <v>162537</v>
      </c>
      <c r="AI5" s="15">
        <f t="shared" si="3"/>
        <v>5437</v>
      </c>
      <c r="AJ5" s="15">
        <f t="shared" si="4"/>
        <v>157100</v>
      </c>
      <c r="AK5" s="15">
        <v>4000</v>
      </c>
      <c r="AL5" s="15">
        <f t="shared" si="6"/>
        <v>4680</v>
      </c>
      <c r="AM5" s="15">
        <f t="shared" si="7"/>
        <v>10</v>
      </c>
      <c r="AN5" s="15">
        <f t="shared" si="8"/>
        <v>1136</v>
      </c>
      <c r="AO5" s="15">
        <f t="shared" si="9"/>
        <v>432</v>
      </c>
      <c r="AP5" s="15">
        <v>2268</v>
      </c>
      <c r="AQ5" s="18">
        <f t="shared" si="10"/>
        <v>29.8</v>
      </c>
      <c r="AR5" s="18">
        <f t="shared" si="11"/>
        <v>0.06</v>
      </c>
      <c r="AS5" s="19">
        <f t="shared" si="12"/>
        <v>7.2</v>
      </c>
      <c r="AT5" s="18">
        <f t="shared" si="13"/>
        <v>2.75</v>
      </c>
    </row>
    <row r="6" spans="1:46">
      <c r="A6" s="6">
        <v>43589</v>
      </c>
      <c r="B6" s="5" t="s">
        <v>48</v>
      </c>
      <c r="C6" s="4">
        <v>17522267</v>
      </c>
      <c r="D6" s="4">
        <v>1429512</v>
      </c>
      <c r="E6" s="4">
        <v>19500000</v>
      </c>
      <c r="F6" s="4">
        <v>19501000</v>
      </c>
      <c r="G6" s="4">
        <v>225279300</v>
      </c>
      <c r="H6" s="4">
        <v>104535207</v>
      </c>
      <c r="I6" s="4">
        <v>225281539</v>
      </c>
      <c r="J6" s="4">
        <v>104535207</v>
      </c>
      <c r="K6" s="4"/>
      <c r="L6" s="5">
        <v>4246.2</v>
      </c>
      <c r="M6" s="5">
        <v>3893.1</v>
      </c>
      <c r="N6" s="5">
        <v>73006.899999999994</v>
      </c>
      <c r="O6" s="5"/>
      <c r="P6" s="5"/>
      <c r="Q6" s="9">
        <v>23.1</v>
      </c>
      <c r="R6" s="4" t="s">
        <v>168</v>
      </c>
      <c r="S6" s="4">
        <v>170</v>
      </c>
      <c r="T6" s="4">
        <v>190</v>
      </c>
      <c r="U6" s="4">
        <v>9380</v>
      </c>
      <c r="V6" s="4">
        <v>7884</v>
      </c>
      <c r="W6" s="5">
        <v>4.7699999999999996</v>
      </c>
      <c r="X6" s="5">
        <v>3.39</v>
      </c>
      <c r="Y6" s="4">
        <v>1429</v>
      </c>
      <c r="Z6" s="4"/>
      <c r="AA6" s="11">
        <f t="shared" ref="AA6:AF6" si="16">IF(OR(C7=""),"",C7-C6)</f>
        <v>47269</v>
      </c>
      <c r="AB6" s="11">
        <f t="shared" si="16"/>
        <v>62463</v>
      </c>
      <c r="AC6" s="11">
        <f t="shared" si="16"/>
        <v>53000</v>
      </c>
      <c r="AD6" s="11">
        <f t="shared" si="16"/>
        <v>54000</v>
      </c>
      <c r="AE6" s="11">
        <f>IF(OR(I7=""),"",I7-G6)</f>
        <v>216026</v>
      </c>
      <c r="AF6" s="11">
        <f t="shared" si="16"/>
        <v>5595</v>
      </c>
      <c r="AG6" s="11">
        <f t="shared" si="1"/>
        <v>706</v>
      </c>
      <c r="AH6" s="11">
        <f t="shared" si="2"/>
        <v>213787</v>
      </c>
      <c r="AI6" s="15">
        <f t="shared" si="3"/>
        <v>5595</v>
      </c>
      <c r="AJ6" s="15">
        <f t="shared" si="4"/>
        <v>208192</v>
      </c>
      <c r="AK6" s="15">
        <v>4500</v>
      </c>
      <c r="AL6" s="15">
        <f t="shared" si="6"/>
        <v>0</v>
      </c>
      <c r="AM6" s="15">
        <f t="shared" si="7"/>
        <v>0</v>
      </c>
      <c r="AN6" s="15">
        <f t="shared" si="8"/>
        <v>1207</v>
      </c>
      <c r="AO6" s="15">
        <f t="shared" si="9"/>
        <v>456</v>
      </c>
      <c r="AP6" s="15">
        <v>2190</v>
      </c>
      <c r="AQ6" s="18">
        <f t="shared" si="10"/>
        <v>0</v>
      </c>
      <c r="AR6" s="18">
        <f t="shared" si="11"/>
        <v>0</v>
      </c>
      <c r="AS6" s="19">
        <f t="shared" si="12"/>
        <v>5.8</v>
      </c>
      <c r="AT6" s="18">
        <f t="shared" si="13"/>
        <v>2.19</v>
      </c>
    </row>
    <row r="7" spans="1:46">
      <c r="A7" s="6">
        <v>43590</v>
      </c>
      <c r="B7" s="5" t="s">
        <v>45</v>
      </c>
      <c r="C7" s="4">
        <v>17569536</v>
      </c>
      <c r="D7" s="4">
        <v>1491975</v>
      </c>
      <c r="E7" s="4">
        <v>19553000</v>
      </c>
      <c r="F7" s="4">
        <v>19555000</v>
      </c>
      <c r="G7" s="1">
        <v>225495258</v>
      </c>
      <c r="H7" s="4">
        <v>104540802</v>
      </c>
      <c r="I7" s="4">
        <v>225495326</v>
      </c>
      <c r="J7" s="4">
        <v>104540802</v>
      </c>
      <c r="K7" s="4"/>
      <c r="L7" s="5">
        <v>4246.2</v>
      </c>
      <c r="M7" s="5">
        <v>3893.1</v>
      </c>
      <c r="N7" s="5">
        <v>73006.899999999994</v>
      </c>
      <c r="O7" s="5"/>
      <c r="P7" s="5"/>
      <c r="Q7" s="9">
        <v>23</v>
      </c>
      <c r="R7" s="4" t="s">
        <v>44</v>
      </c>
      <c r="S7" s="4">
        <v>430</v>
      </c>
      <c r="T7" s="4">
        <v>450</v>
      </c>
      <c r="U7" s="4">
        <v>10213</v>
      </c>
      <c r="V7" s="4">
        <v>4506</v>
      </c>
      <c r="W7" s="5">
        <v>5.96</v>
      </c>
      <c r="X7" s="5">
        <v>2.29</v>
      </c>
      <c r="Y7" s="4">
        <v>1066</v>
      </c>
      <c r="Z7" s="4"/>
      <c r="AA7" s="11">
        <f t="shared" ref="AA7:AF7" si="17">IF(OR(C8=""),"",C8-C7)</f>
        <v>57987</v>
      </c>
      <c r="AB7" s="11">
        <f t="shared" si="17"/>
        <v>69410</v>
      </c>
      <c r="AC7" s="11">
        <f t="shared" si="17"/>
        <v>56000</v>
      </c>
      <c r="AD7" s="11">
        <f t="shared" si="17"/>
        <v>57000</v>
      </c>
      <c r="AE7" s="11">
        <f>IF(OR(G8=""),"",G8-I7)</f>
        <v>208261</v>
      </c>
      <c r="AF7" s="11">
        <f t="shared" si="17"/>
        <v>5542</v>
      </c>
      <c r="AG7" s="11">
        <f t="shared" si="1"/>
        <v>32136</v>
      </c>
      <c r="AH7" s="11">
        <f t="shared" si="2"/>
        <v>207994</v>
      </c>
      <c r="AI7" s="15">
        <f t="shared" si="3"/>
        <v>5542</v>
      </c>
      <c r="AJ7" s="15">
        <f t="shared" si="4"/>
        <v>202452</v>
      </c>
      <c r="AK7" s="15">
        <v>4200</v>
      </c>
      <c r="AL7" s="15">
        <f t="shared" si="6"/>
        <v>600</v>
      </c>
      <c r="AM7" s="15">
        <f t="shared" si="7"/>
        <v>3</v>
      </c>
      <c r="AN7" s="15">
        <f t="shared" si="8"/>
        <v>3053</v>
      </c>
      <c r="AO7" s="15">
        <f t="shared" si="9"/>
        <v>1080</v>
      </c>
      <c r="AP7" s="15">
        <v>1856</v>
      </c>
      <c r="AQ7" s="18">
        <f t="shared" si="10"/>
        <v>3</v>
      </c>
      <c r="AR7" s="18">
        <f t="shared" si="11"/>
        <v>0.01</v>
      </c>
      <c r="AS7" s="19">
        <f t="shared" si="12"/>
        <v>15.1</v>
      </c>
      <c r="AT7" s="18">
        <f t="shared" si="13"/>
        <v>5.33</v>
      </c>
    </row>
    <row r="8" spans="1:46">
      <c r="A8" s="6">
        <v>43591</v>
      </c>
      <c r="B8" s="5" t="s">
        <v>169</v>
      </c>
      <c r="C8" s="4">
        <v>17627523</v>
      </c>
      <c r="D8" s="4">
        <v>1561385</v>
      </c>
      <c r="E8" s="4">
        <v>19609000</v>
      </c>
      <c r="F8" s="4">
        <v>19612000</v>
      </c>
      <c r="G8" s="4">
        <v>225703587</v>
      </c>
      <c r="H8" s="4">
        <v>104546344</v>
      </c>
      <c r="I8" s="4">
        <v>225703320</v>
      </c>
      <c r="J8" s="4">
        <v>104546344</v>
      </c>
      <c r="K8" s="4"/>
      <c r="L8" s="5">
        <v>4246.2</v>
      </c>
      <c r="M8" s="5">
        <v>3893.6</v>
      </c>
      <c r="N8" s="5">
        <v>73008.3</v>
      </c>
      <c r="O8" s="5"/>
      <c r="P8" s="5"/>
      <c r="Q8" s="9">
        <v>22.8</v>
      </c>
      <c r="R8" s="4" t="s">
        <v>170</v>
      </c>
      <c r="S8" s="4">
        <v>600</v>
      </c>
      <c r="T8" s="4">
        <v>620</v>
      </c>
      <c r="U8" s="4">
        <v>10301</v>
      </c>
      <c r="V8" s="4">
        <v>5021</v>
      </c>
      <c r="W8" s="5">
        <v>6.18</v>
      </c>
      <c r="X8" s="5">
        <v>2.23</v>
      </c>
      <c r="Y8" s="4">
        <v>82</v>
      </c>
      <c r="Z8" s="4"/>
      <c r="AA8" s="11">
        <f t="shared" ref="AA8:AF8" si="18">IF(OR(C9=""),"",C9-C8)</f>
        <v>44041</v>
      </c>
      <c r="AB8" s="11">
        <f t="shared" si="18"/>
        <v>53366</v>
      </c>
      <c r="AC8" s="11">
        <f t="shared" si="18"/>
        <v>52000</v>
      </c>
      <c r="AD8" s="11">
        <f t="shared" si="18"/>
        <v>53000</v>
      </c>
      <c r="AE8" s="11">
        <f t="shared" si="18"/>
        <v>185702</v>
      </c>
      <c r="AF8" s="11">
        <f t="shared" si="18"/>
        <v>5514</v>
      </c>
      <c r="AG8" s="11">
        <f t="shared" si="1"/>
        <v>16705</v>
      </c>
      <c r="AH8" s="11">
        <f t="shared" si="2"/>
        <v>185971</v>
      </c>
      <c r="AI8" s="15">
        <f t="shared" si="3"/>
        <v>5514</v>
      </c>
      <c r="AJ8" s="15">
        <f t="shared" si="4"/>
        <v>180457</v>
      </c>
      <c r="AK8" s="15">
        <v>4000</v>
      </c>
      <c r="AL8" s="15">
        <f t="shared" si="6"/>
        <v>3120</v>
      </c>
      <c r="AM8" s="15">
        <f t="shared" si="7"/>
        <v>8</v>
      </c>
      <c r="AN8" s="15">
        <f t="shared" si="8"/>
        <v>4260</v>
      </c>
      <c r="AO8" s="15">
        <f t="shared" si="9"/>
        <v>1488</v>
      </c>
      <c r="AP8" s="15">
        <v>1993</v>
      </c>
      <c r="AQ8" s="18">
        <f t="shared" si="10"/>
        <v>17.3</v>
      </c>
      <c r="AR8" s="18">
        <f t="shared" si="11"/>
        <v>0.04</v>
      </c>
      <c r="AS8" s="19">
        <f t="shared" si="12"/>
        <v>23.6</v>
      </c>
      <c r="AT8" s="18">
        <f t="shared" si="13"/>
        <v>8.25</v>
      </c>
    </row>
    <row r="9" spans="1:46">
      <c r="A9" s="6">
        <v>43592</v>
      </c>
      <c r="B9" s="5" t="s">
        <v>171</v>
      </c>
      <c r="C9" s="4">
        <v>17671564</v>
      </c>
      <c r="D9" s="4">
        <v>1614751</v>
      </c>
      <c r="E9" s="4">
        <v>19661000</v>
      </c>
      <c r="F9" s="4">
        <v>19665000</v>
      </c>
      <c r="G9" s="4">
        <v>225889289</v>
      </c>
      <c r="H9" s="4">
        <v>104551858</v>
      </c>
      <c r="I9" s="4">
        <v>225889291</v>
      </c>
      <c r="J9" s="4">
        <v>104551858</v>
      </c>
      <c r="K9" s="4"/>
      <c r="L9" s="5">
        <v>4246.2</v>
      </c>
      <c r="M9" s="5">
        <v>3896.2</v>
      </c>
      <c r="N9" s="5">
        <v>73012.2</v>
      </c>
      <c r="O9" s="5"/>
      <c r="P9" s="5"/>
      <c r="Q9" s="9">
        <v>22.5</v>
      </c>
      <c r="R9" s="4" t="s">
        <v>172</v>
      </c>
      <c r="S9" s="4">
        <v>400</v>
      </c>
      <c r="T9" s="4">
        <v>450</v>
      </c>
      <c r="U9" s="4">
        <v>10427</v>
      </c>
      <c r="V9" s="4">
        <v>6300</v>
      </c>
      <c r="W9" s="5">
        <v>3.41</v>
      </c>
      <c r="X9" s="5">
        <v>2.52</v>
      </c>
      <c r="Y9" s="4">
        <v>480</v>
      </c>
      <c r="Z9" s="4"/>
      <c r="AA9" s="11">
        <f t="shared" ref="AA9:AF9" si="19">IF(OR(C10=""),"",C10-C9)</f>
        <v>43564</v>
      </c>
      <c r="AB9" s="11">
        <f t="shared" si="19"/>
        <v>53657</v>
      </c>
      <c r="AC9" s="11">
        <f t="shared" si="19"/>
        <v>54000</v>
      </c>
      <c r="AD9" s="11">
        <f t="shared" si="19"/>
        <v>54000</v>
      </c>
      <c r="AE9" s="11">
        <f t="shared" si="19"/>
        <v>183991</v>
      </c>
      <c r="AF9" s="11">
        <f t="shared" si="19"/>
        <v>5501</v>
      </c>
      <c r="AG9" s="11">
        <f t="shared" si="1"/>
        <v>21230</v>
      </c>
      <c r="AH9" s="11">
        <f t="shared" si="2"/>
        <v>184629</v>
      </c>
      <c r="AI9" s="15">
        <f t="shared" si="3"/>
        <v>5501</v>
      </c>
      <c r="AJ9" s="15">
        <f t="shared" si="4"/>
        <v>179128</v>
      </c>
      <c r="AK9" s="15">
        <v>4400</v>
      </c>
      <c r="AL9" s="15">
        <f t="shared" si="6"/>
        <v>1800</v>
      </c>
      <c r="AM9" s="15">
        <f t="shared" si="7"/>
        <v>2</v>
      </c>
      <c r="AN9" s="15">
        <f t="shared" si="8"/>
        <v>2840</v>
      </c>
      <c r="AO9" s="15">
        <f t="shared" si="9"/>
        <v>1080</v>
      </c>
      <c r="AP9" s="15">
        <v>1930</v>
      </c>
      <c r="AQ9" s="18">
        <f t="shared" si="10"/>
        <v>10</v>
      </c>
      <c r="AR9" s="18">
        <f t="shared" si="11"/>
        <v>0.01</v>
      </c>
      <c r="AS9" s="19">
        <f t="shared" si="12"/>
        <v>15.9</v>
      </c>
      <c r="AT9" s="18">
        <f t="shared" si="13"/>
        <v>6.03</v>
      </c>
    </row>
    <row r="10" spans="1:46">
      <c r="A10" s="6">
        <v>43593</v>
      </c>
      <c r="B10" s="5" t="s">
        <v>173</v>
      </c>
      <c r="C10" s="4">
        <v>17715128</v>
      </c>
      <c r="D10" s="4">
        <v>1668408</v>
      </c>
      <c r="E10" s="4">
        <v>19715000</v>
      </c>
      <c r="F10" s="4">
        <v>19719000</v>
      </c>
      <c r="G10" s="4">
        <v>226073280</v>
      </c>
      <c r="H10" s="4">
        <v>104557359</v>
      </c>
      <c r="I10" s="4">
        <v>226073920</v>
      </c>
      <c r="J10" s="4">
        <v>104557359</v>
      </c>
      <c r="K10" s="4"/>
      <c r="L10" s="5">
        <v>4246.2</v>
      </c>
      <c r="M10" s="5">
        <v>3897.7</v>
      </c>
      <c r="N10" s="5">
        <v>73013.399999999994</v>
      </c>
      <c r="O10" s="5"/>
      <c r="P10" s="5"/>
      <c r="Q10" s="9">
        <v>22.6</v>
      </c>
      <c r="R10" s="4" t="s">
        <v>44</v>
      </c>
      <c r="S10" s="4">
        <v>220</v>
      </c>
      <c r="T10" s="4">
        <v>250</v>
      </c>
      <c r="U10" s="4">
        <v>10552</v>
      </c>
      <c r="V10" s="4">
        <v>3061</v>
      </c>
      <c r="W10" s="5">
        <v>3.77</v>
      </c>
      <c r="X10" s="5">
        <v>2.2400000000000002</v>
      </c>
      <c r="Y10" s="4">
        <v>329</v>
      </c>
      <c r="Z10" s="4"/>
      <c r="AA10" s="11">
        <f t="shared" ref="AA10:AF10" si="20">IF(OR(C11=""),"",C11-C10)</f>
        <v>43837</v>
      </c>
      <c r="AB10" s="11">
        <f t="shared" si="20"/>
        <v>54017</v>
      </c>
      <c r="AC10" s="11">
        <f t="shared" si="20"/>
        <v>54000</v>
      </c>
      <c r="AD10" s="11">
        <f t="shared" si="20"/>
        <v>55000</v>
      </c>
      <c r="AE10" s="11">
        <f>IF(OR(I11=""),"",I11-G10)</f>
        <v>196164</v>
      </c>
      <c r="AF10" s="11">
        <f t="shared" si="20"/>
        <v>5508</v>
      </c>
      <c r="AG10" s="11">
        <f t="shared" si="1"/>
        <v>10690</v>
      </c>
      <c r="AH10" s="11">
        <f t="shared" si="2"/>
        <v>195524</v>
      </c>
      <c r="AI10" s="15">
        <f t="shared" si="3"/>
        <v>5508</v>
      </c>
      <c r="AJ10" s="15">
        <f t="shared" si="4"/>
        <v>190016</v>
      </c>
      <c r="AK10" s="15">
        <v>4500</v>
      </c>
      <c r="AL10" s="15">
        <f t="shared" si="6"/>
        <v>0</v>
      </c>
      <c r="AM10" s="15">
        <f t="shared" si="7"/>
        <v>0</v>
      </c>
      <c r="AN10" s="15">
        <f t="shared" si="8"/>
        <v>1562</v>
      </c>
      <c r="AO10" s="15">
        <f t="shared" si="9"/>
        <v>600</v>
      </c>
      <c r="AP10" s="15">
        <v>2000</v>
      </c>
      <c r="AQ10" s="18">
        <f t="shared" si="10"/>
        <v>0</v>
      </c>
      <c r="AR10" s="18">
        <f t="shared" si="11"/>
        <v>0</v>
      </c>
      <c r="AS10" s="19">
        <f t="shared" si="12"/>
        <v>8.1999999999999993</v>
      </c>
      <c r="AT10" s="18">
        <f t="shared" si="13"/>
        <v>3.16</v>
      </c>
    </row>
    <row r="11" spans="1:46">
      <c r="A11" s="6">
        <v>43594</v>
      </c>
      <c r="B11" s="5" t="s">
        <v>45</v>
      </c>
      <c r="C11" s="4">
        <v>17758965</v>
      </c>
      <c r="D11" s="4">
        <v>1722425</v>
      </c>
      <c r="E11" s="4">
        <v>19769000</v>
      </c>
      <c r="F11" s="4">
        <v>19774000</v>
      </c>
      <c r="G11" s="1">
        <v>226268158</v>
      </c>
      <c r="H11" s="4">
        <v>104562867</v>
      </c>
      <c r="I11" s="4">
        <v>226269444</v>
      </c>
      <c r="J11" s="4">
        <v>104562867</v>
      </c>
      <c r="K11" s="4"/>
      <c r="L11" s="5">
        <v>4246.2</v>
      </c>
      <c r="M11" s="5">
        <v>3897.7</v>
      </c>
      <c r="N11" s="5">
        <v>73013.399999999994</v>
      </c>
      <c r="O11" s="5"/>
      <c r="P11" s="5"/>
      <c r="Q11" s="9">
        <v>25.1</v>
      </c>
      <c r="R11" s="4" t="s">
        <v>44</v>
      </c>
      <c r="S11" s="4">
        <v>430</v>
      </c>
      <c r="T11" s="4">
        <v>450</v>
      </c>
      <c r="U11" s="4">
        <v>10312</v>
      </c>
      <c r="V11" s="4">
        <v>6199</v>
      </c>
      <c r="W11" s="5">
        <v>7.61</v>
      </c>
      <c r="X11" s="5">
        <v>2.4700000000000002</v>
      </c>
      <c r="Y11" s="4">
        <v>439</v>
      </c>
      <c r="Z11" s="4"/>
      <c r="AA11" s="11">
        <f t="shared" ref="AA11:AF11" si="21">IF(OR(C12=""),"",C12-C11)</f>
        <v>45028</v>
      </c>
      <c r="AB11" s="11">
        <f t="shared" si="21"/>
        <v>53601</v>
      </c>
      <c r="AC11" s="11">
        <f t="shared" si="21"/>
        <v>59000</v>
      </c>
      <c r="AD11" s="11">
        <f t="shared" si="21"/>
        <v>60000</v>
      </c>
      <c r="AE11" s="11">
        <f>IF(OR(G12=""),"",G12-I11)</f>
        <v>192708</v>
      </c>
      <c r="AF11" s="11">
        <f t="shared" si="21"/>
        <v>5564</v>
      </c>
      <c r="AG11" s="11">
        <f t="shared" si="1"/>
        <v>24921</v>
      </c>
      <c r="AH11" s="11">
        <f t="shared" si="2"/>
        <v>192671</v>
      </c>
      <c r="AI11" s="15">
        <f t="shared" si="3"/>
        <v>5564</v>
      </c>
      <c r="AJ11" s="15">
        <f t="shared" si="4"/>
        <v>187107</v>
      </c>
      <c r="AK11" s="15">
        <v>4600</v>
      </c>
      <c r="AL11" s="15">
        <f t="shared" si="6"/>
        <v>3240</v>
      </c>
      <c r="AM11" s="15">
        <f t="shared" si="7"/>
        <v>2</v>
      </c>
      <c r="AN11" s="15">
        <f t="shared" si="8"/>
        <v>3053</v>
      </c>
      <c r="AO11" s="15">
        <f t="shared" si="9"/>
        <v>1080</v>
      </c>
      <c r="AP11" s="15">
        <v>1751</v>
      </c>
      <c r="AQ11" s="18">
        <f t="shared" si="10"/>
        <v>17.3</v>
      </c>
      <c r="AR11" s="18">
        <f t="shared" si="11"/>
        <v>0.01</v>
      </c>
      <c r="AS11" s="19">
        <f t="shared" si="12"/>
        <v>16.3</v>
      </c>
      <c r="AT11" s="18">
        <f t="shared" si="13"/>
        <v>5.77</v>
      </c>
    </row>
    <row r="12" spans="1:46">
      <c r="A12" s="6">
        <v>43595</v>
      </c>
      <c r="B12" s="5" t="s">
        <v>174</v>
      </c>
      <c r="C12" s="4">
        <v>17803993</v>
      </c>
      <c r="D12" s="4">
        <v>1776026</v>
      </c>
      <c r="E12" s="4">
        <v>19828000</v>
      </c>
      <c r="F12" s="4">
        <v>19834000</v>
      </c>
      <c r="G12" s="4">
        <v>226462152</v>
      </c>
      <c r="H12" s="4">
        <v>104568431</v>
      </c>
      <c r="I12" s="4">
        <v>226462115</v>
      </c>
      <c r="J12" s="4">
        <v>104568431</v>
      </c>
      <c r="K12" s="4"/>
      <c r="L12" s="5">
        <v>4246.2</v>
      </c>
      <c r="M12" s="5">
        <v>3900.4</v>
      </c>
      <c r="N12" s="5">
        <v>73014.399999999994</v>
      </c>
      <c r="O12" s="5"/>
      <c r="P12" s="5"/>
      <c r="Q12" s="9">
        <v>25.5</v>
      </c>
      <c r="R12" s="4" t="s">
        <v>175</v>
      </c>
      <c r="S12" s="4">
        <v>600</v>
      </c>
      <c r="T12" s="4">
        <v>620</v>
      </c>
      <c r="U12" s="4">
        <v>10395</v>
      </c>
      <c r="V12" s="4">
        <v>7124</v>
      </c>
      <c r="W12" s="5">
        <v>4.87</v>
      </c>
      <c r="X12" s="5">
        <v>2.82</v>
      </c>
      <c r="Y12" s="4">
        <v>1340</v>
      </c>
      <c r="Z12" s="4"/>
      <c r="AA12" s="11">
        <f t="shared" ref="AA12:AF12" si="22">IF(OR(C13=""),"",C13-C12)</f>
        <v>48637</v>
      </c>
      <c r="AB12" s="11">
        <f t="shared" si="22"/>
        <v>58773</v>
      </c>
      <c r="AC12" s="11">
        <f t="shared" si="22"/>
        <v>68000</v>
      </c>
      <c r="AD12" s="11">
        <f t="shared" si="22"/>
        <v>70000</v>
      </c>
      <c r="AE12" s="11">
        <f t="shared" si="22"/>
        <v>202887</v>
      </c>
      <c r="AF12" s="11">
        <f t="shared" si="22"/>
        <v>5531</v>
      </c>
      <c r="AG12" s="11">
        <f t="shared" si="1"/>
        <v>42523</v>
      </c>
      <c r="AH12" s="11">
        <f t="shared" si="2"/>
        <v>202452</v>
      </c>
      <c r="AI12" s="15">
        <f t="shared" si="3"/>
        <v>5531</v>
      </c>
      <c r="AJ12" s="15">
        <f t="shared" si="4"/>
        <v>196921</v>
      </c>
      <c r="AK12" s="15">
        <v>4500</v>
      </c>
      <c r="AL12" s="15">
        <f t="shared" si="6"/>
        <v>2040</v>
      </c>
      <c r="AM12" s="15">
        <f t="shared" si="7"/>
        <v>3</v>
      </c>
      <c r="AN12" s="15">
        <f t="shared" si="8"/>
        <v>4260</v>
      </c>
      <c r="AO12" s="15">
        <f t="shared" si="9"/>
        <v>1488</v>
      </c>
      <c r="AP12" s="15">
        <v>1322</v>
      </c>
      <c r="AQ12" s="18">
        <f t="shared" si="10"/>
        <v>10.4</v>
      </c>
      <c r="AR12" s="18">
        <f t="shared" si="11"/>
        <v>0.02</v>
      </c>
      <c r="AS12" s="19">
        <f t="shared" si="12"/>
        <v>21.6</v>
      </c>
      <c r="AT12" s="18">
        <f t="shared" si="13"/>
        <v>7.56</v>
      </c>
    </row>
    <row r="13" spans="1:46">
      <c r="A13" s="6">
        <v>43596</v>
      </c>
      <c r="B13" s="5" t="s">
        <v>176</v>
      </c>
      <c r="C13" s="4">
        <v>17852630</v>
      </c>
      <c r="D13" s="4">
        <v>1834799</v>
      </c>
      <c r="E13" s="4">
        <v>19896000</v>
      </c>
      <c r="F13" s="4">
        <v>19904000</v>
      </c>
      <c r="G13" s="4">
        <v>226665039</v>
      </c>
      <c r="H13" s="4">
        <v>104573962</v>
      </c>
      <c r="I13" s="4">
        <v>226664567</v>
      </c>
      <c r="J13" s="4">
        <v>104573962</v>
      </c>
      <c r="K13" s="4"/>
      <c r="L13" s="5">
        <v>4246.2</v>
      </c>
      <c r="M13" s="5">
        <v>3902.1</v>
      </c>
      <c r="N13" s="5">
        <v>73015.8</v>
      </c>
      <c r="O13" s="5"/>
      <c r="P13" s="5"/>
      <c r="Q13" s="9">
        <v>23</v>
      </c>
      <c r="R13" s="4" t="s">
        <v>177</v>
      </c>
      <c r="S13" s="4">
        <v>630</v>
      </c>
      <c r="T13" s="4">
        <v>650</v>
      </c>
      <c r="U13" s="4">
        <v>10299</v>
      </c>
      <c r="V13" s="4">
        <v>5624</v>
      </c>
      <c r="W13" s="5">
        <v>6.53</v>
      </c>
      <c r="X13" s="5">
        <v>2.37</v>
      </c>
      <c r="Y13" s="4">
        <v>730</v>
      </c>
      <c r="Z13" s="4"/>
      <c r="AA13" s="11">
        <f t="shared" ref="AA13:AF13" si="23">IF(OR(C14=""),"",C14-C13)</f>
        <v>46120</v>
      </c>
      <c r="AB13" s="11">
        <f t="shared" si="23"/>
        <v>55442</v>
      </c>
      <c r="AC13" s="11">
        <f t="shared" si="23"/>
        <v>64000</v>
      </c>
      <c r="AD13" s="11">
        <f t="shared" si="23"/>
        <v>66000</v>
      </c>
      <c r="AE13" s="11">
        <f t="shared" si="23"/>
        <v>195313</v>
      </c>
      <c r="AF13" s="11">
        <f t="shared" si="23"/>
        <v>5473</v>
      </c>
      <c r="AG13" s="11">
        <f t="shared" si="1"/>
        <v>36249</v>
      </c>
      <c r="AH13" s="11">
        <f t="shared" si="2"/>
        <v>196494</v>
      </c>
      <c r="AI13" s="15">
        <f t="shared" si="3"/>
        <v>5473</v>
      </c>
      <c r="AJ13" s="15">
        <f t="shared" si="4"/>
        <v>191021</v>
      </c>
      <c r="AK13" s="15">
        <v>4800</v>
      </c>
      <c r="AL13" s="15">
        <f t="shared" si="6"/>
        <v>2280</v>
      </c>
      <c r="AM13" s="15">
        <f t="shared" si="7"/>
        <v>9</v>
      </c>
      <c r="AN13" s="15">
        <f t="shared" si="8"/>
        <v>4473</v>
      </c>
      <c r="AO13" s="15">
        <f t="shared" si="9"/>
        <v>1560</v>
      </c>
      <c r="AP13" s="15">
        <v>2049</v>
      </c>
      <c r="AQ13" s="18">
        <f t="shared" si="10"/>
        <v>11.9</v>
      </c>
      <c r="AR13" s="18">
        <f t="shared" si="11"/>
        <v>0.05</v>
      </c>
      <c r="AS13" s="19">
        <f t="shared" si="12"/>
        <v>23.4</v>
      </c>
      <c r="AT13" s="18">
        <f t="shared" si="13"/>
        <v>8.17</v>
      </c>
    </row>
    <row r="14" spans="1:46">
      <c r="A14" s="6">
        <v>43597</v>
      </c>
      <c r="B14" s="5" t="s">
        <v>178</v>
      </c>
      <c r="C14" s="4">
        <v>17898750</v>
      </c>
      <c r="D14" s="4">
        <v>1890241</v>
      </c>
      <c r="E14" s="4">
        <v>19960000</v>
      </c>
      <c r="F14" s="4">
        <v>19970000</v>
      </c>
      <c r="G14" s="4">
        <v>226860352</v>
      </c>
      <c r="H14" s="4">
        <v>104579435</v>
      </c>
      <c r="I14" s="4">
        <v>226861061</v>
      </c>
      <c r="J14" s="4">
        <v>104579435</v>
      </c>
      <c r="K14" s="4"/>
      <c r="L14" s="5">
        <v>4246.2</v>
      </c>
      <c r="M14" s="5">
        <v>3904</v>
      </c>
      <c r="N14" s="5">
        <v>73020.100000000006</v>
      </c>
      <c r="O14" s="5"/>
      <c r="P14" s="5"/>
      <c r="Q14" s="9">
        <v>22.5</v>
      </c>
      <c r="R14" s="4" t="s">
        <v>179</v>
      </c>
      <c r="S14" s="4">
        <v>400</v>
      </c>
      <c r="T14" s="4">
        <v>430</v>
      </c>
      <c r="U14" s="4">
        <v>10312</v>
      </c>
      <c r="V14" s="4">
        <v>7195</v>
      </c>
      <c r="W14" s="5">
        <v>5.58</v>
      </c>
      <c r="X14" s="5">
        <v>2.4300000000000002</v>
      </c>
      <c r="Y14" s="4">
        <v>821</v>
      </c>
      <c r="Z14" s="4"/>
      <c r="AA14" s="11">
        <f t="shared" ref="AA14:AF14" si="24">IF(OR(C15=""),"",C15-C14)</f>
        <v>47188</v>
      </c>
      <c r="AB14" s="11">
        <f t="shared" si="24"/>
        <v>58464</v>
      </c>
      <c r="AC14" s="11">
        <f t="shared" si="24"/>
        <v>62000</v>
      </c>
      <c r="AD14" s="11">
        <f t="shared" si="24"/>
        <v>64000</v>
      </c>
      <c r="AE14" s="11">
        <f t="shared" si="24"/>
        <v>206129</v>
      </c>
      <c r="AF14" s="11">
        <f t="shared" si="24"/>
        <v>5562</v>
      </c>
      <c r="AG14" s="11">
        <f t="shared" si="1"/>
        <v>25523</v>
      </c>
      <c r="AH14" s="11">
        <f t="shared" si="2"/>
        <v>206094</v>
      </c>
      <c r="AI14" s="15">
        <f t="shared" si="3"/>
        <v>5562</v>
      </c>
      <c r="AJ14" s="15">
        <f t="shared" si="4"/>
        <v>200532</v>
      </c>
      <c r="AK14" s="15">
        <v>4800</v>
      </c>
      <c r="AL14" s="15">
        <f t="shared" si="6"/>
        <v>1200</v>
      </c>
      <c r="AM14" s="15">
        <f t="shared" si="7"/>
        <v>5</v>
      </c>
      <c r="AN14" s="15">
        <f t="shared" si="8"/>
        <v>2840</v>
      </c>
      <c r="AO14" s="15">
        <f t="shared" si="9"/>
        <v>1032</v>
      </c>
      <c r="AP14" s="15">
        <v>2088</v>
      </c>
      <c r="AQ14" s="18">
        <f t="shared" si="10"/>
        <v>6</v>
      </c>
      <c r="AR14" s="18">
        <f t="shared" si="11"/>
        <v>0.02</v>
      </c>
      <c r="AS14" s="19">
        <f t="shared" si="12"/>
        <v>14.2</v>
      </c>
      <c r="AT14" s="18">
        <f t="shared" si="13"/>
        <v>5.15</v>
      </c>
    </row>
    <row r="15" spans="1:46">
      <c r="A15" s="6">
        <v>43598</v>
      </c>
      <c r="B15" s="5" t="s">
        <v>180</v>
      </c>
      <c r="C15" s="4">
        <v>17945938</v>
      </c>
      <c r="D15" s="4">
        <v>1948705</v>
      </c>
      <c r="E15" s="4">
        <v>20022000</v>
      </c>
      <c r="F15" s="4">
        <v>20034000</v>
      </c>
      <c r="G15" s="4">
        <v>227066481</v>
      </c>
      <c r="H15" s="4">
        <v>104584997</v>
      </c>
      <c r="I15" s="4">
        <v>227067155</v>
      </c>
      <c r="J15" s="4">
        <v>104584997</v>
      </c>
      <c r="K15" s="4"/>
      <c r="L15" s="5">
        <v>4246.2</v>
      </c>
      <c r="M15" s="5">
        <v>3905</v>
      </c>
      <c r="N15" s="5">
        <v>73022.5</v>
      </c>
      <c r="O15" s="5"/>
      <c r="P15" s="5"/>
      <c r="Q15" s="9">
        <v>22.3</v>
      </c>
      <c r="R15" s="4" t="s">
        <v>181</v>
      </c>
      <c r="S15" s="4">
        <v>370</v>
      </c>
      <c r="T15" s="4">
        <v>400</v>
      </c>
      <c r="U15" s="4">
        <v>10298</v>
      </c>
      <c r="V15" s="4">
        <v>8264</v>
      </c>
      <c r="W15" s="5">
        <v>5.79</v>
      </c>
      <c r="X15" s="5">
        <v>2.88</v>
      </c>
      <c r="Y15" s="4">
        <v>1350</v>
      </c>
      <c r="Z15" s="4"/>
      <c r="AA15" s="11">
        <f t="shared" ref="AA15:AF15" si="25">IF(OR(C16=""),"",C16-C15)</f>
        <v>49799</v>
      </c>
      <c r="AB15" s="11">
        <f t="shared" si="25"/>
        <v>59578</v>
      </c>
      <c r="AC15" s="11">
        <f t="shared" si="25"/>
        <v>68000</v>
      </c>
      <c r="AD15" s="11">
        <f t="shared" si="25"/>
        <v>70000</v>
      </c>
      <c r="AE15" s="11">
        <f t="shared" si="25"/>
        <v>210572</v>
      </c>
      <c r="AF15" s="11">
        <f t="shared" si="25"/>
        <v>5563</v>
      </c>
      <c r="AG15" s="11">
        <f t="shared" si="1"/>
        <v>36805</v>
      </c>
      <c r="AH15" s="11">
        <f t="shared" si="2"/>
        <v>209679</v>
      </c>
      <c r="AI15" s="15">
        <f t="shared" si="3"/>
        <v>5563</v>
      </c>
      <c r="AJ15" s="15">
        <f t="shared" si="4"/>
        <v>204116</v>
      </c>
      <c r="AK15" s="15">
        <v>4600</v>
      </c>
      <c r="AL15" s="15">
        <f t="shared" si="6"/>
        <v>0</v>
      </c>
      <c r="AM15" s="15">
        <f t="shared" si="7"/>
        <v>0</v>
      </c>
      <c r="AN15" s="15">
        <f t="shared" si="8"/>
        <v>2627</v>
      </c>
      <c r="AO15" s="15">
        <f t="shared" si="9"/>
        <v>960</v>
      </c>
      <c r="AP15" s="15">
        <v>1755</v>
      </c>
      <c r="AQ15" s="18">
        <f t="shared" si="10"/>
        <v>0</v>
      </c>
      <c r="AR15" s="18">
        <f t="shared" si="11"/>
        <v>0</v>
      </c>
      <c r="AS15" s="19">
        <f t="shared" si="12"/>
        <v>12.9</v>
      </c>
      <c r="AT15" s="18">
        <f t="shared" si="13"/>
        <v>4.7</v>
      </c>
    </row>
    <row r="16" spans="1:46">
      <c r="A16" s="6">
        <v>43599</v>
      </c>
      <c r="B16" s="5" t="s">
        <v>182</v>
      </c>
      <c r="C16" s="4">
        <v>17995737</v>
      </c>
      <c r="D16" s="4">
        <v>2008283</v>
      </c>
      <c r="E16" s="4">
        <v>20090000</v>
      </c>
      <c r="F16" s="4">
        <v>20104000</v>
      </c>
      <c r="G16" s="4">
        <v>227277053</v>
      </c>
      <c r="H16" s="4">
        <v>104590560</v>
      </c>
      <c r="I16" s="4">
        <v>227276834</v>
      </c>
      <c r="J16" s="4">
        <v>104590560</v>
      </c>
      <c r="K16" s="4"/>
      <c r="L16" s="5">
        <v>4246.2</v>
      </c>
      <c r="M16" s="5">
        <v>3905</v>
      </c>
      <c r="N16" s="5">
        <v>73022.600000000006</v>
      </c>
      <c r="O16" s="5"/>
      <c r="P16" s="5"/>
      <c r="Q16" s="9">
        <v>22.5</v>
      </c>
      <c r="R16" s="4" t="s">
        <v>183</v>
      </c>
      <c r="S16" s="4">
        <v>300</v>
      </c>
      <c r="T16" s="4">
        <v>320</v>
      </c>
      <c r="U16" s="4">
        <v>10415</v>
      </c>
      <c r="V16" s="4">
        <v>9214</v>
      </c>
      <c r="W16" s="5">
        <v>4.8099999999999996</v>
      </c>
      <c r="X16" s="5">
        <v>2.99</v>
      </c>
      <c r="Y16" s="4">
        <v>720</v>
      </c>
      <c r="Z16" s="4"/>
      <c r="AA16" s="11">
        <f t="shared" ref="AA16:AF16" si="26">IF(OR(C17=""),"",C17-C16)</f>
        <v>48800</v>
      </c>
      <c r="AB16" s="11">
        <f t="shared" si="26"/>
        <v>60948</v>
      </c>
      <c r="AC16" s="11">
        <f t="shared" si="26"/>
        <v>65000</v>
      </c>
      <c r="AD16" s="11">
        <f t="shared" si="26"/>
        <v>67000</v>
      </c>
      <c r="AE16" s="11">
        <f t="shared" si="26"/>
        <v>213721</v>
      </c>
      <c r="AF16" s="11">
        <f t="shared" si="26"/>
        <v>5467</v>
      </c>
      <c r="AG16" s="11">
        <f t="shared" si="1"/>
        <v>28027</v>
      </c>
      <c r="AH16" s="11">
        <f t="shared" si="2"/>
        <v>213685</v>
      </c>
      <c r="AI16" s="15">
        <f t="shared" si="3"/>
        <v>5467</v>
      </c>
      <c r="AJ16" s="15">
        <f t="shared" si="4"/>
        <v>208218</v>
      </c>
      <c r="AK16" s="15">
        <v>4840</v>
      </c>
      <c r="AL16" s="15">
        <f t="shared" si="6"/>
        <v>0</v>
      </c>
      <c r="AM16" s="15">
        <f t="shared" si="7"/>
        <v>0</v>
      </c>
      <c r="AN16" s="15">
        <f t="shared" si="8"/>
        <v>2130</v>
      </c>
      <c r="AO16" s="15">
        <f t="shared" si="9"/>
        <v>768</v>
      </c>
      <c r="AP16" s="15">
        <v>1354</v>
      </c>
      <c r="AQ16" s="18">
        <f t="shared" si="10"/>
        <v>0</v>
      </c>
      <c r="AR16" s="18">
        <f t="shared" si="11"/>
        <v>0</v>
      </c>
      <c r="AS16" s="19">
        <f t="shared" si="12"/>
        <v>10.199999999999999</v>
      </c>
      <c r="AT16" s="18">
        <f t="shared" si="13"/>
        <v>3.69</v>
      </c>
    </row>
    <row r="17" spans="1:46">
      <c r="A17" s="6">
        <v>43600</v>
      </c>
      <c r="B17" s="5" t="s">
        <v>184</v>
      </c>
      <c r="C17" s="4">
        <v>18044537</v>
      </c>
      <c r="D17" s="4">
        <v>2069231</v>
      </c>
      <c r="E17" s="4">
        <v>20155000</v>
      </c>
      <c r="F17" s="4">
        <v>20171000</v>
      </c>
      <c r="G17" s="4">
        <v>227490774</v>
      </c>
      <c r="H17" s="4">
        <v>104596027</v>
      </c>
      <c r="I17" s="4">
        <v>227490519</v>
      </c>
      <c r="J17" s="4">
        <v>104596027</v>
      </c>
      <c r="K17" s="4"/>
      <c r="L17" s="5">
        <v>4246.2</v>
      </c>
      <c r="M17" s="5">
        <v>3905</v>
      </c>
      <c r="N17" s="5">
        <v>73022.600000000006</v>
      </c>
      <c r="O17" s="5"/>
      <c r="P17" s="5"/>
      <c r="Q17" s="9">
        <v>23.3</v>
      </c>
      <c r="R17" s="4" t="s">
        <v>44</v>
      </c>
      <c r="S17" s="4">
        <v>230</v>
      </c>
      <c r="T17" s="4">
        <v>250</v>
      </c>
      <c r="U17" s="4">
        <v>10541</v>
      </c>
      <c r="V17" s="4">
        <v>10236</v>
      </c>
      <c r="W17" s="5">
        <v>7.02</v>
      </c>
      <c r="X17" s="5">
        <v>3.39</v>
      </c>
      <c r="Y17" s="4">
        <v>1435</v>
      </c>
      <c r="Z17" s="4"/>
      <c r="AA17" s="11">
        <f t="shared" ref="AA17:AF17" si="27">IF(OR(C18=""),"",C18-C17)</f>
        <v>51052</v>
      </c>
      <c r="AB17" s="11">
        <f t="shared" si="27"/>
        <v>61613</v>
      </c>
      <c r="AC17" s="11">
        <f t="shared" si="27"/>
        <v>70000</v>
      </c>
      <c r="AD17" s="11">
        <f t="shared" si="27"/>
        <v>74000</v>
      </c>
      <c r="AE17" s="11">
        <f t="shared" si="27"/>
        <v>213116</v>
      </c>
      <c r="AF17" s="11">
        <f t="shared" si="27"/>
        <v>5536</v>
      </c>
      <c r="AG17" s="11">
        <f t="shared" si="1"/>
        <v>43549</v>
      </c>
      <c r="AH17" s="11">
        <f t="shared" si="2"/>
        <v>212734</v>
      </c>
      <c r="AI17" s="15">
        <f t="shared" si="3"/>
        <v>5536</v>
      </c>
      <c r="AJ17" s="15">
        <f t="shared" si="4"/>
        <v>207198</v>
      </c>
      <c r="AK17" s="15">
        <v>5000</v>
      </c>
      <c r="AL17" s="15">
        <f t="shared" si="6"/>
        <v>0</v>
      </c>
      <c r="AM17" s="15">
        <f t="shared" si="7"/>
        <v>0</v>
      </c>
      <c r="AN17" s="15">
        <f t="shared" si="8"/>
        <v>1633</v>
      </c>
      <c r="AO17" s="15">
        <f t="shared" si="9"/>
        <v>600</v>
      </c>
      <c r="AP17" s="15">
        <v>1539</v>
      </c>
      <c r="AQ17" s="18">
        <f t="shared" si="10"/>
        <v>0</v>
      </c>
      <c r="AR17" s="18">
        <f t="shared" si="11"/>
        <v>0</v>
      </c>
      <c r="AS17" s="19">
        <f t="shared" si="12"/>
        <v>7.9</v>
      </c>
      <c r="AT17" s="18">
        <f t="shared" si="13"/>
        <v>2.9</v>
      </c>
    </row>
    <row r="18" spans="1:46">
      <c r="A18" s="6">
        <v>43601</v>
      </c>
      <c r="B18" s="5" t="s">
        <v>185</v>
      </c>
      <c r="C18" s="4">
        <v>18095589</v>
      </c>
      <c r="D18" s="4">
        <v>2130844</v>
      </c>
      <c r="E18" s="4">
        <v>20225000</v>
      </c>
      <c r="F18" s="4">
        <v>20245000</v>
      </c>
      <c r="G18" s="4">
        <v>227703890</v>
      </c>
      <c r="H18" s="4">
        <v>104601563</v>
      </c>
      <c r="I18" s="4">
        <v>227703253</v>
      </c>
      <c r="J18" s="4">
        <v>104601563</v>
      </c>
      <c r="K18" s="4"/>
      <c r="L18" s="5">
        <v>4246.2</v>
      </c>
      <c r="M18" s="5">
        <v>3905</v>
      </c>
      <c r="N18" s="5">
        <v>73022.600000000006</v>
      </c>
      <c r="O18" s="5"/>
      <c r="P18" s="5"/>
      <c r="Q18" s="9">
        <v>22.1</v>
      </c>
      <c r="R18" s="4" t="s">
        <v>44</v>
      </c>
      <c r="S18" s="4">
        <v>500</v>
      </c>
      <c r="T18" s="4">
        <v>520</v>
      </c>
      <c r="U18" s="4">
        <v>9705</v>
      </c>
      <c r="V18" s="4">
        <v>7510</v>
      </c>
      <c r="W18" s="5">
        <v>6.96</v>
      </c>
      <c r="X18" s="5">
        <v>6.38</v>
      </c>
      <c r="Y18" s="4">
        <v>1430</v>
      </c>
      <c r="Z18" s="4"/>
      <c r="AA18" s="11">
        <f t="shared" ref="AA18:AF18" si="28">IF(OR(C19=""),"",C19-C18)</f>
        <v>46190</v>
      </c>
      <c r="AB18" s="11">
        <f t="shared" si="28"/>
        <v>53675</v>
      </c>
      <c r="AC18" s="11">
        <f t="shared" si="28"/>
        <v>57000</v>
      </c>
      <c r="AD18" s="11">
        <f t="shared" si="28"/>
        <v>58000</v>
      </c>
      <c r="AE18" s="11">
        <f t="shared" si="28"/>
        <v>213676</v>
      </c>
      <c r="AF18" s="11">
        <f t="shared" si="28"/>
        <v>5515</v>
      </c>
      <c r="AG18" s="11">
        <f t="shared" si="1"/>
        <v>1189</v>
      </c>
      <c r="AH18" s="11">
        <f t="shared" si="2"/>
        <v>214205</v>
      </c>
      <c r="AI18" s="15">
        <f t="shared" si="3"/>
        <v>5515</v>
      </c>
      <c r="AJ18" s="15">
        <f t="shared" si="4"/>
        <v>208690</v>
      </c>
      <c r="AK18" s="15">
        <v>4800</v>
      </c>
      <c r="AL18" s="15">
        <f t="shared" si="6"/>
        <v>600</v>
      </c>
      <c r="AM18" s="15">
        <f t="shared" si="7"/>
        <v>3</v>
      </c>
      <c r="AN18" s="15">
        <f t="shared" si="8"/>
        <v>3550</v>
      </c>
      <c r="AO18" s="15">
        <f t="shared" si="9"/>
        <v>1248</v>
      </c>
      <c r="AP18" s="15">
        <v>1710</v>
      </c>
      <c r="AQ18" s="18">
        <f t="shared" si="10"/>
        <v>2.9</v>
      </c>
      <c r="AR18" s="18">
        <f t="shared" si="11"/>
        <v>0.01</v>
      </c>
      <c r="AS18" s="19">
        <f t="shared" si="12"/>
        <v>17</v>
      </c>
      <c r="AT18" s="18">
        <f t="shared" si="13"/>
        <v>5.98</v>
      </c>
    </row>
    <row r="19" spans="1:46">
      <c r="A19" s="6">
        <v>43602</v>
      </c>
      <c r="B19" s="5" t="s">
        <v>186</v>
      </c>
      <c r="C19" s="4">
        <v>18141779</v>
      </c>
      <c r="D19" s="4">
        <v>2184519</v>
      </c>
      <c r="E19" s="4">
        <v>20282000</v>
      </c>
      <c r="F19" s="4">
        <v>20303000</v>
      </c>
      <c r="G19" s="4">
        <v>227917566</v>
      </c>
      <c r="H19" s="4">
        <v>104607078</v>
      </c>
      <c r="I19" s="4">
        <v>227917458</v>
      </c>
      <c r="J19" s="4">
        <v>104607078</v>
      </c>
      <c r="K19" s="4"/>
      <c r="L19" s="5">
        <v>4246.2</v>
      </c>
      <c r="M19" s="5">
        <v>3905.5</v>
      </c>
      <c r="N19" s="5">
        <v>73023.899999999994</v>
      </c>
      <c r="O19" s="5"/>
      <c r="P19" s="5"/>
      <c r="Q19" s="9">
        <v>23.5</v>
      </c>
      <c r="R19" s="4" t="s">
        <v>187</v>
      </c>
      <c r="S19" s="4">
        <v>580</v>
      </c>
      <c r="T19" s="4">
        <v>600</v>
      </c>
      <c r="U19" s="4">
        <v>9512</v>
      </c>
      <c r="V19" s="4">
        <v>8082</v>
      </c>
      <c r="W19" s="5">
        <v>6.62</v>
      </c>
      <c r="X19" s="5">
        <v>5.68</v>
      </c>
      <c r="Y19" s="4">
        <v>1431</v>
      </c>
      <c r="Z19" s="4"/>
      <c r="AA19" s="11">
        <f t="shared" ref="AA19:AF19" si="29">IF(OR(C20=""),"",C20-C19)</f>
        <v>48521</v>
      </c>
      <c r="AB19" s="11">
        <f t="shared" si="29"/>
        <v>57269</v>
      </c>
      <c r="AC19" s="11">
        <f t="shared" si="29"/>
        <v>57000</v>
      </c>
      <c r="AD19" s="11">
        <f t="shared" si="29"/>
        <v>59000</v>
      </c>
      <c r="AE19" s="11">
        <f t="shared" si="29"/>
        <v>209112</v>
      </c>
      <c r="AF19" s="11">
        <f t="shared" si="29"/>
        <v>5538</v>
      </c>
      <c r="AG19" s="11">
        <f t="shared" si="1"/>
        <v>12678</v>
      </c>
      <c r="AH19" s="11">
        <f t="shared" si="2"/>
        <v>208911</v>
      </c>
      <c r="AI19" s="15">
        <f t="shared" si="3"/>
        <v>5538</v>
      </c>
      <c r="AJ19" s="15">
        <f t="shared" si="4"/>
        <v>203373</v>
      </c>
      <c r="AK19" s="15">
        <v>4700</v>
      </c>
      <c r="AL19" s="15">
        <f t="shared" si="6"/>
        <v>5640</v>
      </c>
      <c r="AM19" s="15">
        <f t="shared" si="7"/>
        <v>23</v>
      </c>
      <c r="AN19" s="15">
        <f t="shared" si="8"/>
        <v>4118</v>
      </c>
      <c r="AO19" s="15">
        <f t="shared" si="9"/>
        <v>1440</v>
      </c>
      <c r="AP19" s="15">
        <v>1559</v>
      </c>
      <c r="AQ19" s="18">
        <f t="shared" si="10"/>
        <v>27.7</v>
      </c>
      <c r="AR19" s="18">
        <f t="shared" si="11"/>
        <v>0.11</v>
      </c>
      <c r="AS19" s="19">
        <f t="shared" si="12"/>
        <v>20.2</v>
      </c>
      <c r="AT19" s="18">
        <f t="shared" si="13"/>
        <v>7.08</v>
      </c>
    </row>
    <row r="20" spans="1:46">
      <c r="A20" s="6">
        <v>43603</v>
      </c>
      <c r="B20" s="5" t="s">
        <v>188</v>
      </c>
      <c r="C20" s="4">
        <v>18190300</v>
      </c>
      <c r="D20" s="4">
        <v>2241788</v>
      </c>
      <c r="E20" s="4">
        <v>20339000</v>
      </c>
      <c r="F20" s="4">
        <v>20362000</v>
      </c>
      <c r="G20" s="4">
        <v>228126678</v>
      </c>
      <c r="H20" s="4">
        <v>104612616</v>
      </c>
      <c r="I20" s="4">
        <v>228126369</v>
      </c>
      <c r="J20" s="4">
        <v>104612616</v>
      </c>
      <c r="K20" s="4"/>
      <c r="L20" s="5">
        <v>4246.2</v>
      </c>
      <c r="M20" s="5">
        <v>3910.2</v>
      </c>
      <c r="N20" s="5">
        <v>73035.199999999997</v>
      </c>
      <c r="O20" s="5"/>
      <c r="P20" s="5"/>
      <c r="Q20" s="9">
        <v>23</v>
      </c>
      <c r="R20" s="4" t="s">
        <v>189</v>
      </c>
      <c r="S20" s="4">
        <v>590</v>
      </c>
      <c r="T20" s="4">
        <v>620</v>
      </c>
      <c r="U20" s="4">
        <v>9641</v>
      </c>
      <c r="V20" s="4">
        <v>7254</v>
      </c>
      <c r="W20" s="5">
        <v>5.98</v>
      </c>
      <c r="X20" s="5">
        <v>4.37</v>
      </c>
      <c r="Y20" s="4">
        <v>1435</v>
      </c>
      <c r="Z20" s="4"/>
      <c r="AA20" s="11">
        <f t="shared" ref="AA20:AF20" si="30">IF(OR(C21=""),"",C21-C20)</f>
        <v>46896</v>
      </c>
      <c r="AB20" s="11">
        <f t="shared" si="30"/>
        <v>55359</v>
      </c>
      <c r="AC20" s="11">
        <f t="shared" si="30"/>
        <v>57000</v>
      </c>
      <c r="AD20" s="11">
        <f t="shared" si="30"/>
        <v>59000</v>
      </c>
      <c r="AE20" s="11">
        <f t="shared" si="30"/>
        <v>207457</v>
      </c>
      <c r="AF20" s="11">
        <f t="shared" si="30"/>
        <v>5470</v>
      </c>
      <c r="AG20" s="11">
        <f t="shared" si="1"/>
        <v>10798</v>
      </c>
      <c r="AH20" s="11">
        <f t="shared" si="2"/>
        <v>209058</v>
      </c>
      <c r="AI20" s="15">
        <f t="shared" si="3"/>
        <v>5512</v>
      </c>
      <c r="AJ20" s="15">
        <f t="shared" si="4"/>
        <v>203546</v>
      </c>
      <c r="AK20" s="15">
        <v>4700</v>
      </c>
      <c r="AL20" s="15">
        <f t="shared" si="6"/>
        <v>3240</v>
      </c>
      <c r="AM20" s="15">
        <f t="shared" si="7"/>
        <v>11</v>
      </c>
      <c r="AN20" s="15">
        <f t="shared" si="8"/>
        <v>4189</v>
      </c>
      <c r="AO20" s="15">
        <f t="shared" si="9"/>
        <v>1488</v>
      </c>
      <c r="AP20" s="15">
        <v>1555</v>
      </c>
      <c r="AQ20" s="18">
        <f t="shared" si="10"/>
        <v>15.9</v>
      </c>
      <c r="AR20" s="18">
        <f t="shared" si="11"/>
        <v>0.05</v>
      </c>
      <c r="AS20" s="19">
        <f t="shared" si="12"/>
        <v>20.6</v>
      </c>
      <c r="AT20" s="18">
        <f t="shared" si="13"/>
        <v>7.31</v>
      </c>
    </row>
    <row r="21" spans="1:46">
      <c r="A21" s="6">
        <v>43604</v>
      </c>
      <c r="B21" s="5" t="s">
        <v>190</v>
      </c>
      <c r="C21" s="4">
        <v>18237196</v>
      </c>
      <c r="D21" s="4">
        <v>2297147</v>
      </c>
      <c r="E21" s="4">
        <v>20396000</v>
      </c>
      <c r="F21" s="4">
        <v>20421000</v>
      </c>
      <c r="G21" s="4">
        <v>228334135</v>
      </c>
      <c r="H21" s="4">
        <v>104618086</v>
      </c>
      <c r="I21" s="4">
        <v>228335427</v>
      </c>
      <c r="J21" s="4">
        <v>104618128</v>
      </c>
      <c r="K21" s="4"/>
      <c r="L21" s="5">
        <v>4246.2</v>
      </c>
      <c r="M21" s="5">
        <v>3912.9</v>
      </c>
      <c r="N21" s="5">
        <v>73040.5</v>
      </c>
      <c r="O21" s="5"/>
      <c r="P21" s="5"/>
      <c r="Q21" s="9">
        <v>22.8</v>
      </c>
      <c r="R21" s="4" t="s">
        <v>191</v>
      </c>
      <c r="S21" s="4">
        <v>550</v>
      </c>
      <c r="T21" s="4">
        <v>560</v>
      </c>
      <c r="U21" s="4">
        <v>10264</v>
      </c>
      <c r="V21" s="4">
        <v>9241</v>
      </c>
      <c r="W21" s="5">
        <v>7.13</v>
      </c>
      <c r="X21" s="5">
        <v>3.98</v>
      </c>
      <c r="Y21" s="4">
        <v>1434</v>
      </c>
      <c r="Z21" s="4"/>
      <c r="AA21" s="11">
        <f t="shared" ref="AA21:AF21" si="31">IF(OR(C22=""),"",C22-C21)</f>
        <v>55870</v>
      </c>
      <c r="AB21" s="11">
        <f t="shared" si="31"/>
        <v>66428</v>
      </c>
      <c r="AC21" s="11">
        <f t="shared" si="31"/>
        <v>64000</v>
      </c>
      <c r="AD21" s="11">
        <f t="shared" si="31"/>
        <v>65000</v>
      </c>
      <c r="AE21" s="11">
        <f t="shared" si="31"/>
        <v>213978</v>
      </c>
      <c r="AF21" s="11">
        <f t="shared" si="31"/>
        <v>5570</v>
      </c>
      <c r="AG21" s="11">
        <f t="shared" si="1"/>
        <v>37320</v>
      </c>
      <c r="AH21" s="11">
        <f t="shared" si="2"/>
        <v>212964</v>
      </c>
      <c r="AI21" s="15">
        <f t="shared" si="3"/>
        <v>5528</v>
      </c>
      <c r="AJ21" s="15">
        <f t="shared" si="4"/>
        <v>207436</v>
      </c>
      <c r="AK21" s="15">
        <v>4800</v>
      </c>
      <c r="AL21" s="15">
        <f t="shared" si="6"/>
        <v>2280</v>
      </c>
      <c r="AM21" s="15">
        <f t="shared" si="7"/>
        <v>5</v>
      </c>
      <c r="AN21" s="15">
        <f t="shared" si="8"/>
        <v>3905</v>
      </c>
      <c r="AO21" s="15">
        <f t="shared" si="9"/>
        <v>1344</v>
      </c>
      <c r="AP21" s="15">
        <v>1541</v>
      </c>
      <c r="AQ21" s="18">
        <f t="shared" si="10"/>
        <v>11</v>
      </c>
      <c r="AR21" s="18">
        <f t="shared" si="11"/>
        <v>0.02</v>
      </c>
      <c r="AS21" s="19">
        <f t="shared" si="12"/>
        <v>18.8</v>
      </c>
      <c r="AT21" s="18">
        <f t="shared" si="13"/>
        <v>6.48</v>
      </c>
    </row>
    <row r="22" spans="1:46">
      <c r="A22" s="6">
        <v>43605</v>
      </c>
      <c r="B22" s="5" t="s">
        <v>192</v>
      </c>
      <c r="C22" s="4">
        <v>18293066</v>
      </c>
      <c r="D22" s="4">
        <v>2363575</v>
      </c>
      <c r="E22" s="4">
        <v>20460000</v>
      </c>
      <c r="F22" s="4">
        <v>20486000</v>
      </c>
      <c r="G22" s="4">
        <v>228548113</v>
      </c>
      <c r="H22" s="4">
        <v>104623656</v>
      </c>
      <c r="I22" s="4">
        <v>228548391</v>
      </c>
      <c r="J22" s="4">
        <v>104623656</v>
      </c>
      <c r="K22" s="4"/>
      <c r="L22" s="5">
        <v>4246.2</v>
      </c>
      <c r="M22" s="5">
        <v>3914.8</v>
      </c>
      <c r="N22" s="5">
        <v>73043</v>
      </c>
      <c r="O22" s="5"/>
      <c r="P22" s="5"/>
      <c r="Q22" s="9">
        <v>22.5</v>
      </c>
      <c r="R22" s="4" t="s">
        <v>193</v>
      </c>
      <c r="S22" s="4">
        <v>400</v>
      </c>
      <c r="T22" s="4">
        <v>420</v>
      </c>
      <c r="U22" s="4">
        <v>9526</v>
      </c>
      <c r="V22" s="4">
        <v>8201</v>
      </c>
      <c r="W22" s="5">
        <v>7.2</v>
      </c>
      <c r="X22" s="5">
        <v>6.27</v>
      </c>
      <c r="Y22" s="4">
        <v>1434</v>
      </c>
      <c r="Z22" s="4"/>
      <c r="AA22" s="11">
        <f t="shared" ref="AA22:AF22" si="32">IF(OR(C23=""),"",C23-C22)</f>
        <v>47108</v>
      </c>
      <c r="AB22" s="11">
        <f t="shared" si="32"/>
        <v>55841</v>
      </c>
      <c r="AC22" s="11">
        <f t="shared" si="32"/>
        <v>57000</v>
      </c>
      <c r="AD22" s="11">
        <f t="shared" si="32"/>
        <v>59000</v>
      </c>
      <c r="AE22" s="11">
        <f t="shared" si="32"/>
        <v>216055</v>
      </c>
      <c r="AF22" s="11">
        <f t="shared" si="32"/>
        <v>5560</v>
      </c>
      <c r="AG22" s="11">
        <f t="shared" si="1"/>
        <v>2894</v>
      </c>
      <c r="AH22" s="11">
        <f t="shared" si="2"/>
        <v>214953</v>
      </c>
      <c r="AI22" s="15">
        <f t="shared" si="3"/>
        <v>5528</v>
      </c>
      <c r="AJ22" s="15">
        <f t="shared" si="4"/>
        <v>209425</v>
      </c>
      <c r="AK22" s="15">
        <v>4200</v>
      </c>
      <c r="AL22" s="15">
        <f t="shared" si="6"/>
        <v>1080</v>
      </c>
      <c r="AM22" s="15">
        <f t="shared" si="7"/>
        <v>3</v>
      </c>
      <c r="AN22" s="15">
        <f t="shared" si="8"/>
        <v>2840</v>
      </c>
      <c r="AO22" s="15">
        <f t="shared" si="9"/>
        <v>1008</v>
      </c>
      <c r="AP22" s="15">
        <v>1553</v>
      </c>
      <c r="AQ22" s="18">
        <f t="shared" si="10"/>
        <v>5.2</v>
      </c>
      <c r="AR22" s="18">
        <f t="shared" si="11"/>
        <v>0.01</v>
      </c>
      <c r="AS22" s="19">
        <f t="shared" si="12"/>
        <v>13.6</v>
      </c>
      <c r="AT22" s="18">
        <f t="shared" si="13"/>
        <v>4.8099999999999996</v>
      </c>
    </row>
    <row r="23" spans="1:46">
      <c r="A23" s="6">
        <v>43606</v>
      </c>
      <c r="B23" s="5" t="s">
        <v>194</v>
      </c>
      <c r="C23" s="4">
        <v>18340174</v>
      </c>
      <c r="D23" s="4">
        <v>2419416</v>
      </c>
      <c r="E23" s="4">
        <v>20517000</v>
      </c>
      <c r="F23" s="4">
        <v>20545000</v>
      </c>
      <c r="G23" s="4">
        <v>228764168</v>
      </c>
      <c r="H23" s="4">
        <v>104629216</v>
      </c>
      <c r="I23" s="4">
        <v>228763344</v>
      </c>
      <c r="J23" s="4">
        <v>104629184</v>
      </c>
      <c r="K23" s="4"/>
      <c r="L23" s="5">
        <v>4246.2</v>
      </c>
      <c r="M23" s="5">
        <v>3915.7</v>
      </c>
      <c r="N23" s="5">
        <v>73044.600000000006</v>
      </c>
      <c r="O23" s="5"/>
      <c r="P23" s="5"/>
      <c r="Q23" s="9">
        <v>23</v>
      </c>
      <c r="R23" s="4" t="s">
        <v>195</v>
      </c>
      <c r="S23" s="4">
        <v>320</v>
      </c>
      <c r="T23" s="4">
        <v>340</v>
      </c>
      <c r="U23" s="4">
        <v>10542</v>
      </c>
      <c r="V23" s="4">
        <v>9964</v>
      </c>
      <c r="W23" s="5">
        <v>6.53</v>
      </c>
      <c r="X23" s="5">
        <v>5.45</v>
      </c>
      <c r="Y23" s="4">
        <v>1440</v>
      </c>
      <c r="Z23" s="4"/>
      <c r="AA23" s="11">
        <f t="shared" ref="AA23:AF23" si="33">IF(OR(C24=""),"",C24-C23)</f>
        <v>47952</v>
      </c>
      <c r="AB23" s="11">
        <f t="shared" si="33"/>
        <v>60580</v>
      </c>
      <c r="AC23" s="11">
        <f t="shared" si="33"/>
        <v>64000</v>
      </c>
      <c r="AD23" s="11">
        <f t="shared" si="33"/>
        <v>66000</v>
      </c>
      <c r="AE23" s="11">
        <f t="shared" si="33"/>
        <v>213215</v>
      </c>
      <c r="AF23" s="11">
        <f t="shared" si="33"/>
        <v>5373</v>
      </c>
      <c r="AG23" s="11">
        <f t="shared" si="1"/>
        <v>25317</v>
      </c>
      <c r="AH23" s="11">
        <f t="shared" si="2"/>
        <v>215073</v>
      </c>
      <c r="AI23" s="15">
        <f t="shared" si="3"/>
        <v>5536</v>
      </c>
      <c r="AJ23" s="15">
        <f t="shared" si="4"/>
        <v>209537</v>
      </c>
      <c r="AK23" s="15">
        <v>3800</v>
      </c>
      <c r="AL23" s="15">
        <f t="shared" si="6"/>
        <v>0</v>
      </c>
      <c r="AM23" s="15">
        <f t="shared" si="7"/>
        <v>0</v>
      </c>
      <c r="AN23" s="15">
        <f t="shared" si="8"/>
        <v>2272</v>
      </c>
      <c r="AO23" s="15">
        <f t="shared" si="9"/>
        <v>816</v>
      </c>
      <c r="AP23" s="15">
        <v>1540</v>
      </c>
      <c r="AQ23" s="18">
        <f t="shared" si="10"/>
        <v>0</v>
      </c>
      <c r="AR23" s="18">
        <f t="shared" si="11"/>
        <v>0</v>
      </c>
      <c r="AS23" s="19">
        <f t="shared" si="12"/>
        <v>10.8</v>
      </c>
      <c r="AT23" s="18">
        <f t="shared" si="13"/>
        <v>3.89</v>
      </c>
    </row>
    <row r="24" spans="1:46">
      <c r="A24" s="6">
        <v>43607</v>
      </c>
      <c r="B24" s="5" t="s">
        <v>196</v>
      </c>
      <c r="C24" s="4">
        <v>18388126</v>
      </c>
      <c r="D24" s="4">
        <v>2479996</v>
      </c>
      <c r="E24" s="4">
        <v>20581000</v>
      </c>
      <c r="F24" s="4">
        <v>20611000</v>
      </c>
      <c r="G24" s="4">
        <v>228977383</v>
      </c>
      <c r="H24" s="4">
        <v>104634589</v>
      </c>
      <c r="I24" s="4">
        <v>228978417</v>
      </c>
      <c r="J24" s="4">
        <v>104634720</v>
      </c>
      <c r="K24" s="4"/>
      <c r="L24" s="5">
        <v>4246.2</v>
      </c>
      <c r="M24" s="5">
        <v>3915.7</v>
      </c>
      <c r="N24" s="5">
        <v>73044.600000000006</v>
      </c>
      <c r="O24" s="5"/>
      <c r="P24" s="5"/>
      <c r="Q24" s="9">
        <v>25.3</v>
      </c>
      <c r="R24" s="4" t="s">
        <v>195</v>
      </c>
      <c r="S24" s="4">
        <v>230</v>
      </c>
      <c r="T24" s="4">
        <v>250</v>
      </c>
      <c r="U24" s="4">
        <v>10335</v>
      </c>
      <c r="V24" s="4">
        <v>10127</v>
      </c>
      <c r="W24" s="5">
        <v>6.01</v>
      </c>
      <c r="X24" s="5">
        <v>4.42</v>
      </c>
      <c r="Y24" s="4">
        <v>1440</v>
      </c>
      <c r="Z24" s="4"/>
      <c r="AA24" s="11">
        <f t="shared" ref="AA24:AF24" si="34">IF(OR(C25=""),"",C25-C24)</f>
        <v>50015</v>
      </c>
      <c r="AB24" s="11">
        <f t="shared" si="34"/>
        <v>60727</v>
      </c>
      <c r="AC24" s="11">
        <f t="shared" si="34"/>
        <v>67000</v>
      </c>
      <c r="AD24" s="11">
        <f t="shared" si="34"/>
        <v>69000</v>
      </c>
      <c r="AE24" s="11">
        <f t="shared" si="34"/>
        <v>217295</v>
      </c>
      <c r="AF24" s="11">
        <f t="shared" si="34"/>
        <v>5662</v>
      </c>
      <c r="AG24" s="11">
        <f t="shared" si="1"/>
        <v>29447</v>
      </c>
      <c r="AH24" s="11">
        <f t="shared" si="2"/>
        <v>216119</v>
      </c>
      <c r="AI24" s="15">
        <f t="shared" si="3"/>
        <v>5531</v>
      </c>
      <c r="AJ24" s="15">
        <f t="shared" si="4"/>
        <v>210588</v>
      </c>
      <c r="AK24" s="15">
        <v>3600</v>
      </c>
      <c r="AL24" s="15">
        <f t="shared" si="6"/>
        <v>0</v>
      </c>
      <c r="AM24" s="15">
        <f t="shared" si="7"/>
        <v>0</v>
      </c>
      <c r="AN24" s="15">
        <f t="shared" si="8"/>
        <v>1633</v>
      </c>
      <c r="AO24" s="15">
        <f t="shared" si="9"/>
        <v>600</v>
      </c>
      <c r="AP24" s="15">
        <v>1550</v>
      </c>
      <c r="AQ24" s="18">
        <f t="shared" si="10"/>
        <v>0</v>
      </c>
      <c r="AR24" s="18">
        <f t="shared" si="11"/>
        <v>0</v>
      </c>
      <c r="AS24" s="19">
        <f t="shared" si="12"/>
        <v>7.8</v>
      </c>
      <c r="AT24" s="18">
        <f t="shared" si="13"/>
        <v>2.85</v>
      </c>
    </row>
    <row r="25" spans="1:46">
      <c r="A25" s="6">
        <v>43608</v>
      </c>
      <c r="B25" s="5" t="s">
        <v>46</v>
      </c>
      <c r="C25" s="4">
        <v>18438141</v>
      </c>
      <c r="D25" s="4">
        <v>2540723</v>
      </c>
      <c r="E25" s="4">
        <v>20648000</v>
      </c>
      <c r="F25" s="4">
        <v>20680000</v>
      </c>
      <c r="G25" s="4">
        <v>229194678</v>
      </c>
      <c r="H25" s="4">
        <v>104640251</v>
      </c>
      <c r="I25" s="4">
        <v>229194536</v>
      </c>
      <c r="J25" s="4">
        <v>104640251</v>
      </c>
      <c r="K25" s="4"/>
      <c r="L25" s="5">
        <v>4246.2</v>
      </c>
      <c r="M25" s="5">
        <v>3915.7</v>
      </c>
      <c r="N25" s="5">
        <v>73044.600000000006</v>
      </c>
      <c r="O25" s="5"/>
      <c r="P25" s="5"/>
      <c r="Q25" s="9">
        <v>21.8</v>
      </c>
      <c r="R25" s="4" t="s">
        <v>197</v>
      </c>
      <c r="S25" s="4">
        <v>420</v>
      </c>
      <c r="T25" s="4">
        <v>450</v>
      </c>
      <c r="U25" s="4">
        <v>10621</v>
      </c>
      <c r="V25" s="4">
        <v>10121</v>
      </c>
      <c r="W25" s="5">
        <v>7.61</v>
      </c>
      <c r="X25" s="5">
        <v>5.05</v>
      </c>
      <c r="Y25" s="4">
        <v>1433</v>
      </c>
      <c r="Z25" s="4"/>
      <c r="AA25" s="11">
        <f t="shared" ref="AA25:AF25" si="35">IF(OR(C26=""),"",C26-C25)</f>
        <v>51003</v>
      </c>
      <c r="AB25" s="11">
        <f t="shared" si="35"/>
        <v>61766</v>
      </c>
      <c r="AC25" s="11">
        <f t="shared" si="35"/>
        <v>69000</v>
      </c>
      <c r="AD25" s="11">
        <f t="shared" si="35"/>
        <v>71000</v>
      </c>
      <c r="AE25" s="11">
        <f t="shared" si="35"/>
        <v>210632</v>
      </c>
      <c r="AF25" s="11">
        <f t="shared" si="35"/>
        <v>5503</v>
      </c>
      <c r="AG25" s="11">
        <f t="shared" si="1"/>
        <v>42137</v>
      </c>
      <c r="AH25" s="11">
        <f t="shared" si="2"/>
        <v>211660</v>
      </c>
      <c r="AI25" s="15">
        <f t="shared" si="3"/>
        <v>5525</v>
      </c>
      <c r="AJ25" s="15">
        <f t="shared" si="4"/>
        <v>206135</v>
      </c>
      <c r="AK25" s="15">
        <v>3800</v>
      </c>
      <c r="AL25" s="15">
        <f t="shared" si="6"/>
        <v>480</v>
      </c>
      <c r="AM25" s="15">
        <f t="shared" si="7"/>
        <v>2</v>
      </c>
      <c r="AN25" s="15">
        <f t="shared" si="8"/>
        <v>2982</v>
      </c>
      <c r="AO25" s="15">
        <f t="shared" si="9"/>
        <v>1080</v>
      </c>
      <c r="AP25" s="15">
        <v>1613</v>
      </c>
      <c r="AQ25" s="18">
        <f t="shared" si="10"/>
        <v>2.2999999999999998</v>
      </c>
      <c r="AR25" s="18">
        <f t="shared" si="11"/>
        <v>0.01</v>
      </c>
      <c r="AS25" s="19">
        <f t="shared" si="12"/>
        <v>14.5</v>
      </c>
      <c r="AT25" s="18">
        <f t="shared" si="13"/>
        <v>5.24</v>
      </c>
    </row>
    <row r="26" spans="1:46">
      <c r="A26" s="6">
        <v>43609</v>
      </c>
      <c r="B26" s="5" t="s">
        <v>198</v>
      </c>
      <c r="C26" s="4">
        <v>18489144</v>
      </c>
      <c r="D26" s="4">
        <v>2602489</v>
      </c>
      <c r="E26" s="4">
        <v>20717000</v>
      </c>
      <c r="F26" s="4">
        <v>20751000</v>
      </c>
      <c r="G26" s="4">
        <v>229405310</v>
      </c>
      <c r="H26" s="4">
        <v>104645754</v>
      </c>
      <c r="I26" s="4">
        <v>229406196</v>
      </c>
      <c r="J26" s="4">
        <v>104645776</v>
      </c>
      <c r="K26" s="4"/>
      <c r="L26" s="5">
        <v>4246.2</v>
      </c>
      <c r="M26" s="5">
        <v>3916.1</v>
      </c>
      <c r="N26" s="5">
        <v>73045.600000000006</v>
      </c>
      <c r="O26" s="5"/>
      <c r="P26" s="5"/>
      <c r="Q26" s="9">
        <v>23</v>
      </c>
      <c r="R26" s="4" t="s">
        <v>199</v>
      </c>
      <c r="S26" s="4">
        <v>500</v>
      </c>
      <c r="T26" s="4">
        <v>550</v>
      </c>
      <c r="U26" s="4">
        <v>10312</v>
      </c>
      <c r="V26" s="4">
        <v>7985</v>
      </c>
      <c r="W26" s="5">
        <v>7.8</v>
      </c>
      <c r="X26" s="5">
        <v>6.26</v>
      </c>
      <c r="Y26" s="4">
        <v>1430</v>
      </c>
      <c r="Z26" s="4"/>
      <c r="AA26" s="11">
        <f t="shared" ref="AA26:AF26" si="36">IF(OR(C27=""),"",C27-C26)</f>
        <v>48020</v>
      </c>
      <c r="AB26" s="11">
        <f t="shared" si="36"/>
        <v>57655</v>
      </c>
      <c r="AC26" s="11">
        <f t="shared" si="36"/>
        <v>59000</v>
      </c>
      <c r="AD26" s="11">
        <f t="shared" si="36"/>
        <v>61000</v>
      </c>
      <c r="AE26" s="11">
        <f t="shared" si="36"/>
        <v>212931</v>
      </c>
      <c r="AF26" s="11">
        <f t="shared" si="36"/>
        <v>5551</v>
      </c>
      <c r="AG26" s="11">
        <f t="shared" si="1"/>
        <v>12744</v>
      </c>
      <c r="AH26" s="11">
        <f t="shared" si="2"/>
        <v>211857</v>
      </c>
      <c r="AI26" s="15">
        <f t="shared" si="3"/>
        <v>5528</v>
      </c>
      <c r="AJ26" s="15">
        <f t="shared" si="4"/>
        <v>206329</v>
      </c>
      <c r="AK26" s="15">
        <v>4200</v>
      </c>
      <c r="AL26" s="15">
        <f t="shared" si="6"/>
        <v>3120</v>
      </c>
      <c r="AM26" s="15">
        <f t="shared" si="7"/>
        <v>8</v>
      </c>
      <c r="AN26" s="15">
        <f t="shared" si="8"/>
        <v>3550</v>
      </c>
      <c r="AO26" s="15">
        <f t="shared" si="9"/>
        <v>1320</v>
      </c>
      <c r="AP26" s="15">
        <v>1806</v>
      </c>
      <c r="AQ26" s="18">
        <f t="shared" si="10"/>
        <v>15.1</v>
      </c>
      <c r="AR26" s="18">
        <f t="shared" si="11"/>
        <v>0.04</v>
      </c>
      <c r="AS26" s="19">
        <f t="shared" si="12"/>
        <v>17.2</v>
      </c>
      <c r="AT26" s="18">
        <f t="shared" si="13"/>
        <v>6.4</v>
      </c>
    </row>
    <row r="27" spans="1:46">
      <c r="A27" s="6">
        <v>43610</v>
      </c>
      <c r="B27" s="5" t="s">
        <v>200</v>
      </c>
      <c r="C27" s="4">
        <v>18537164</v>
      </c>
      <c r="D27" s="4">
        <v>2660144</v>
      </c>
      <c r="E27" s="4">
        <v>20776000</v>
      </c>
      <c r="F27" s="4">
        <v>20812000</v>
      </c>
      <c r="G27" s="4">
        <v>229618241</v>
      </c>
      <c r="H27" s="4">
        <v>104651305</v>
      </c>
      <c r="I27" s="4">
        <v>229618053</v>
      </c>
      <c r="J27" s="4">
        <v>104651304</v>
      </c>
      <c r="K27" s="4"/>
      <c r="L27" s="5">
        <v>4246.2</v>
      </c>
      <c r="M27" s="5">
        <v>3918.7</v>
      </c>
      <c r="N27" s="5">
        <v>73049.8</v>
      </c>
      <c r="O27" s="5"/>
      <c r="P27" s="5"/>
      <c r="Q27" s="9">
        <v>25.2</v>
      </c>
      <c r="R27" s="4" t="s">
        <v>201</v>
      </c>
      <c r="S27" s="4">
        <v>560</v>
      </c>
      <c r="T27" s="4">
        <v>600</v>
      </c>
      <c r="U27" s="4">
        <v>9546</v>
      </c>
      <c r="V27" s="4">
        <v>7265</v>
      </c>
      <c r="W27" s="5">
        <v>7.24</v>
      </c>
      <c r="X27" s="5">
        <v>6.36</v>
      </c>
      <c r="Y27" s="4">
        <v>1431</v>
      </c>
      <c r="Z27" s="4"/>
      <c r="AA27" s="11">
        <f t="shared" ref="AA27:AF27" si="37">IF(OR(C28=""),"",C28-C27)</f>
        <v>47631</v>
      </c>
      <c r="AB27" s="11">
        <f t="shared" si="37"/>
        <v>56539</v>
      </c>
      <c r="AC27" s="11">
        <f t="shared" si="37"/>
        <v>58000</v>
      </c>
      <c r="AD27" s="11">
        <f t="shared" si="37"/>
        <v>59000</v>
      </c>
      <c r="AE27" s="11">
        <f t="shared" si="37"/>
        <v>214960</v>
      </c>
      <c r="AF27" s="11">
        <f t="shared" si="37"/>
        <v>5610</v>
      </c>
      <c r="AG27" s="11">
        <f t="shared" si="1"/>
        <v>6210</v>
      </c>
      <c r="AH27" s="11">
        <f t="shared" si="2"/>
        <v>213010</v>
      </c>
      <c r="AI27" s="15">
        <f t="shared" si="3"/>
        <v>5544</v>
      </c>
      <c r="AJ27" s="15">
        <f t="shared" si="4"/>
        <v>207466</v>
      </c>
      <c r="AK27" s="15">
        <v>4000</v>
      </c>
      <c r="AL27" s="15">
        <f t="shared" si="6"/>
        <v>3240</v>
      </c>
      <c r="AM27" s="15">
        <f t="shared" si="7"/>
        <v>19</v>
      </c>
      <c r="AN27" s="15">
        <f t="shared" si="8"/>
        <v>3976</v>
      </c>
      <c r="AO27" s="15">
        <f t="shared" si="9"/>
        <v>1440</v>
      </c>
      <c r="AP27" s="15">
        <v>1859</v>
      </c>
      <c r="AQ27" s="18">
        <f t="shared" si="10"/>
        <v>15.6</v>
      </c>
      <c r="AR27" s="18">
        <f t="shared" si="11"/>
        <v>0.09</v>
      </c>
      <c r="AS27" s="19">
        <f t="shared" si="12"/>
        <v>19.2</v>
      </c>
      <c r="AT27" s="18">
        <f t="shared" si="13"/>
        <v>6.94</v>
      </c>
    </row>
    <row r="28" spans="1:46">
      <c r="A28" s="6">
        <v>43611</v>
      </c>
      <c r="B28" s="5" t="s">
        <v>202</v>
      </c>
      <c r="C28" s="4">
        <v>18584795</v>
      </c>
      <c r="D28" s="4">
        <v>2716683</v>
      </c>
      <c r="E28" s="4">
        <v>20834000</v>
      </c>
      <c r="F28" s="4">
        <v>20871000</v>
      </c>
      <c r="G28" s="4">
        <v>229833201</v>
      </c>
      <c r="H28" s="4">
        <v>104656915</v>
      </c>
      <c r="I28" s="4">
        <v>229831063</v>
      </c>
      <c r="J28" s="4">
        <v>104656848</v>
      </c>
      <c r="K28" s="4"/>
      <c r="L28" s="5">
        <v>4246.2</v>
      </c>
      <c r="M28" s="5">
        <v>3921.4</v>
      </c>
      <c r="N28" s="5">
        <v>73059.100000000006</v>
      </c>
      <c r="O28" s="5"/>
      <c r="P28" s="5"/>
      <c r="Q28" s="9">
        <v>24</v>
      </c>
      <c r="R28" s="4" t="s">
        <v>203</v>
      </c>
      <c r="S28" s="4">
        <v>420</v>
      </c>
      <c r="T28" s="4">
        <v>450</v>
      </c>
      <c r="U28" s="4">
        <v>9563</v>
      </c>
      <c r="V28" s="4">
        <v>7726</v>
      </c>
      <c r="W28" s="5">
        <v>8.02</v>
      </c>
      <c r="X28" s="5">
        <v>6.99</v>
      </c>
      <c r="Y28" s="4">
        <v>1438</v>
      </c>
      <c r="Z28" s="4"/>
      <c r="AA28" s="11">
        <f t="shared" ref="AA28:AF28" si="38">IF(OR(C29=""),"",C29-C28)</f>
        <v>45934</v>
      </c>
      <c r="AB28" s="11">
        <f t="shared" si="38"/>
        <v>55696</v>
      </c>
      <c r="AC28" s="11">
        <f t="shared" si="38"/>
        <v>54000</v>
      </c>
      <c r="AD28" s="11">
        <f t="shared" si="38"/>
        <v>57000</v>
      </c>
      <c r="AE28" s="11">
        <f t="shared" si="38"/>
        <v>209513</v>
      </c>
      <c r="AF28" s="11">
        <f t="shared" si="38"/>
        <v>5425</v>
      </c>
      <c r="AG28" s="11">
        <f t="shared" si="1"/>
        <v>3117</v>
      </c>
      <c r="AH28" s="11">
        <f t="shared" si="2"/>
        <v>213758</v>
      </c>
      <c r="AI28" s="15">
        <f t="shared" si="3"/>
        <v>5552</v>
      </c>
      <c r="AJ28" s="15">
        <f t="shared" si="4"/>
        <v>208206</v>
      </c>
      <c r="AK28" s="15">
        <v>4400</v>
      </c>
      <c r="AL28" s="15">
        <f t="shared" si="6"/>
        <v>2280</v>
      </c>
      <c r="AM28" s="15">
        <f t="shared" si="7"/>
        <v>12</v>
      </c>
      <c r="AN28" s="15">
        <f t="shared" si="8"/>
        <v>2982</v>
      </c>
      <c r="AO28" s="15">
        <f t="shared" si="9"/>
        <v>1080</v>
      </c>
      <c r="AP28" s="15">
        <v>2131</v>
      </c>
      <c r="AQ28" s="18">
        <f t="shared" si="10"/>
        <v>11</v>
      </c>
      <c r="AR28" s="18">
        <f t="shared" si="11"/>
        <v>0.06</v>
      </c>
      <c r="AS28" s="19">
        <f t="shared" si="12"/>
        <v>14.3</v>
      </c>
      <c r="AT28" s="18">
        <f t="shared" si="13"/>
        <v>5.19</v>
      </c>
    </row>
    <row r="29" spans="1:46">
      <c r="A29" s="6">
        <v>43612</v>
      </c>
      <c r="B29" s="5" t="s">
        <v>204</v>
      </c>
      <c r="C29" s="4">
        <v>18630729</v>
      </c>
      <c r="D29" s="4">
        <v>2772379</v>
      </c>
      <c r="E29" s="4">
        <v>20888000</v>
      </c>
      <c r="F29" s="4">
        <v>20928000</v>
      </c>
      <c r="G29" s="4">
        <v>230042714</v>
      </c>
      <c r="H29" s="4">
        <v>104662340</v>
      </c>
      <c r="I29" s="4">
        <v>230044821</v>
      </c>
      <c r="J29" s="4">
        <v>104662400</v>
      </c>
      <c r="K29" s="4"/>
      <c r="L29" s="5">
        <v>4246.2</v>
      </c>
      <c r="M29" s="5">
        <v>3923.3</v>
      </c>
      <c r="N29" s="5">
        <v>73065.2</v>
      </c>
      <c r="O29" s="5"/>
      <c r="P29" s="5"/>
      <c r="Q29" s="9">
        <v>25</v>
      </c>
      <c r="R29" s="4" t="s">
        <v>205</v>
      </c>
      <c r="S29" s="4">
        <v>370</v>
      </c>
      <c r="T29" s="4">
        <v>400</v>
      </c>
      <c r="U29" s="4">
        <v>9521</v>
      </c>
      <c r="V29" s="4">
        <v>8241</v>
      </c>
      <c r="W29" s="5">
        <v>7.91</v>
      </c>
      <c r="X29" s="5">
        <v>6.96</v>
      </c>
      <c r="Y29" s="4">
        <v>1432</v>
      </c>
      <c r="Z29" s="4"/>
      <c r="AA29" s="11">
        <f t="shared" ref="AA29:AF29" si="39">IF(OR(C30=""),"",C30-C29)</f>
        <v>47406</v>
      </c>
      <c r="AB29" s="11">
        <f t="shared" si="39"/>
        <v>56454</v>
      </c>
      <c r="AC29" s="11">
        <f t="shared" si="39"/>
        <v>57000</v>
      </c>
      <c r="AD29" s="11">
        <f t="shared" si="39"/>
        <v>59000</v>
      </c>
      <c r="AE29" s="11">
        <f t="shared" si="39"/>
        <v>212736</v>
      </c>
      <c r="AF29" s="11">
        <f t="shared" si="39"/>
        <v>5586</v>
      </c>
      <c r="AG29" s="11">
        <f t="shared" si="1"/>
        <v>7124</v>
      </c>
      <c r="AH29" s="11">
        <f t="shared" si="2"/>
        <v>211196</v>
      </c>
      <c r="AI29" s="15">
        <f t="shared" si="3"/>
        <v>5536</v>
      </c>
      <c r="AJ29" s="15">
        <f t="shared" si="4"/>
        <v>205660</v>
      </c>
      <c r="AK29" s="15">
        <v>4200</v>
      </c>
      <c r="AL29" s="15">
        <f t="shared" si="6"/>
        <v>1320</v>
      </c>
      <c r="AM29" s="15">
        <f t="shared" si="7"/>
        <v>10</v>
      </c>
      <c r="AN29" s="15">
        <f t="shared" si="8"/>
        <v>2627</v>
      </c>
      <c r="AO29" s="15">
        <f t="shared" si="9"/>
        <v>960</v>
      </c>
      <c r="AP29" s="15">
        <v>1781</v>
      </c>
      <c r="AQ29" s="18">
        <f t="shared" si="10"/>
        <v>6.4</v>
      </c>
      <c r="AR29" s="18">
        <f t="shared" si="11"/>
        <v>0.05</v>
      </c>
      <c r="AS29" s="19">
        <f t="shared" si="12"/>
        <v>12.8</v>
      </c>
      <c r="AT29" s="18">
        <f t="shared" si="13"/>
        <v>4.67</v>
      </c>
    </row>
    <row r="30" spans="1:46">
      <c r="A30" s="6">
        <v>43613</v>
      </c>
      <c r="B30" s="5" t="s">
        <v>51</v>
      </c>
      <c r="C30" s="4">
        <v>18678135</v>
      </c>
      <c r="D30" s="4">
        <v>2828833</v>
      </c>
      <c r="E30" s="4">
        <v>20945000</v>
      </c>
      <c r="F30" s="4">
        <v>20987000</v>
      </c>
      <c r="G30" s="4">
        <v>230255450</v>
      </c>
      <c r="H30" s="4">
        <v>104667926</v>
      </c>
      <c r="I30" s="4">
        <v>230256017</v>
      </c>
      <c r="J30" s="4">
        <v>104667936</v>
      </c>
      <c r="K30" s="4"/>
      <c r="L30" s="5">
        <v>4246.2</v>
      </c>
      <c r="M30" s="5">
        <v>3924.4</v>
      </c>
      <c r="N30" s="5">
        <v>73070.3</v>
      </c>
      <c r="O30" s="5"/>
      <c r="P30" s="5"/>
      <c r="Q30" s="9">
        <v>25</v>
      </c>
      <c r="R30" s="4" t="s">
        <v>206</v>
      </c>
      <c r="S30" s="4">
        <v>340</v>
      </c>
      <c r="T30" s="4">
        <v>370</v>
      </c>
      <c r="U30" s="4">
        <v>9508</v>
      </c>
      <c r="V30" s="4">
        <v>8905</v>
      </c>
      <c r="W30" s="5">
        <v>7.54</v>
      </c>
      <c r="X30" s="5">
        <v>6.63</v>
      </c>
      <c r="Y30" s="4">
        <v>1427</v>
      </c>
      <c r="Z30" s="4"/>
      <c r="AA30" s="11">
        <f t="shared" ref="AA30:AF30" si="40">IF(OR(C31=""),"",C31-C30)</f>
        <v>47060</v>
      </c>
      <c r="AB30" s="11">
        <f t="shared" si="40"/>
        <v>55412</v>
      </c>
      <c r="AC30" s="11">
        <f t="shared" si="40"/>
        <v>57000</v>
      </c>
      <c r="AD30" s="11">
        <f t="shared" si="40"/>
        <v>59000</v>
      </c>
      <c r="AE30" s="11">
        <f t="shared" si="40"/>
        <v>216239</v>
      </c>
      <c r="AF30" s="11">
        <f t="shared" si="40"/>
        <v>5459</v>
      </c>
      <c r="AG30" s="11">
        <f t="shared" si="1"/>
        <v>2233</v>
      </c>
      <c r="AH30" s="11">
        <f t="shared" si="2"/>
        <v>216440</v>
      </c>
      <c r="AI30" s="15">
        <f t="shared" si="3"/>
        <v>5449</v>
      </c>
      <c r="AJ30" s="15">
        <f t="shared" si="4"/>
        <v>210991</v>
      </c>
      <c r="AK30" s="15">
        <v>4000</v>
      </c>
      <c r="AL30" s="15">
        <f t="shared" si="6"/>
        <v>0</v>
      </c>
      <c r="AM30" s="15">
        <f t="shared" si="7"/>
        <v>0</v>
      </c>
      <c r="AN30" s="15">
        <f t="shared" si="8"/>
        <v>2414</v>
      </c>
      <c r="AO30" s="15">
        <f t="shared" si="9"/>
        <v>888</v>
      </c>
      <c r="AP30" s="15">
        <v>1893</v>
      </c>
      <c r="AQ30" s="18">
        <f t="shared" si="10"/>
        <v>0</v>
      </c>
      <c r="AR30" s="18">
        <f t="shared" si="11"/>
        <v>0</v>
      </c>
      <c r="AS30" s="19">
        <f t="shared" si="12"/>
        <v>11.4</v>
      </c>
      <c r="AT30" s="18">
        <f t="shared" si="13"/>
        <v>4.21</v>
      </c>
    </row>
    <row r="31" spans="1:46">
      <c r="A31" s="6">
        <v>43614</v>
      </c>
      <c r="B31" s="5" t="s">
        <v>45</v>
      </c>
      <c r="C31" s="4">
        <v>18725195</v>
      </c>
      <c r="D31" s="4">
        <v>2884245</v>
      </c>
      <c r="E31" s="4">
        <v>21002000</v>
      </c>
      <c r="F31" s="4">
        <v>21046000</v>
      </c>
      <c r="G31" s="4">
        <v>230471689</v>
      </c>
      <c r="H31" s="4">
        <v>104673385</v>
      </c>
      <c r="I31" s="4">
        <v>230472457</v>
      </c>
      <c r="J31" s="4">
        <v>104673385</v>
      </c>
      <c r="K31" s="4"/>
      <c r="L31" s="5">
        <v>4246.2</v>
      </c>
      <c r="M31" s="5">
        <v>3924.4</v>
      </c>
      <c r="N31" s="5">
        <v>73070.3</v>
      </c>
      <c r="O31" s="5"/>
      <c r="P31" s="5"/>
      <c r="Q31" s="9">
        <v>25.6</v>
      </c>
      <c r="R31" s="4" t="s">
        <v>55</v>
      </c>
      <c r="S31" s="4">
        <v>230</v>
      </c>
      <c r="T31" s="4">
        <v>250</v>
      </c>
      <c r="U31" s="4">
        <v>9458</v>
      </c>
      <c r="V31" s="4">
        <v>9056</v>
      </c>
      <c r="W31" s="5">
        <v>7.43</v>
      </c>
      <c r="X31" s="5">
        <v>6.15</v>
      </c>
      <c r="Y31" s="4">
        <v>1433</v>
      </c>
      <c r="Z31" s="4"/>
      <c r="AA31" s="11">
        <f t="shared" ref="AA31:AF31" si="41">IF(OR(C32=""),"",C32-C31)</f>
        <v>48479</v>
      </c>
      <c r="AB31" s="11">
        <f t="shared" si="41"/>
        <v>57611</v>
      </c>
      <c r="AC31" s="11">
        <f t="shared" si="41"/>
        <v>58000</v>
      </c>
      <c r="AD31" s="11">
        <f t="shared" si="41"/>
        <v>60000</v>
      </c>
      <c r="AE31" s="11">
        <f t="shared" si="41"/>
        <v>218006</v>
      </c>
      <c r="AF31" s="11">
        <f t="shared" si="41"/>
        <v>5479</v>
      </c>
      <c r="AG31" s="11">
        <f t="shared" si="1"/>
        <v>6084</v>
      </c>
      <c r="AH31" s="11">
        <f t="shared" si="2"/>
        <v>217760</v>
      </c>
      <c r="AI31" s="15">
        <f t="shared" si="3"/>
        <v>5559</v>
      </c>
      <c r="AJ31" s="15">
        <f t="shared" si="4"/>
        <v>212201</v>
      </c>
      <c r="AK31" s="15">
        <v>4200</v>
      </c>
      <c r="AL31" s="15">
        <f t="shared" si="6"/>
        <v>720</v>
      </c>
      <c r="AM31" s="15">
        <f t="shared" si="7"/>
        <v>7</v>
      </c>
      <c r="AN31" s="15">
        <f t="shared" si="8"/>
        <v>1633</v>
      </c>
      <c r="AO31" s="15">
        <f t="shared" si="9"/>
        <v>600</v>
      </c>
      <c r="AP31" s="15">
        <v>1769</v>
      </c>
      <c r="AQ31" s="18">
        <f t="shared" si="10"/>
        <v>3.4</v>
      </c>
      <c r="AR31" s="18">
        <f t="shared" si="11"/>
        <v>0.03</v>
      </c>
      <c r="AS31" s="19">
        <f t="shared" si="12"/>
        <v>7.7</v>
      </c>
      <c r="AT31" s="18">
        <f t="shared" si="13"/>
        <v>2.83</v>
      </c>
    </row>
    <row r="32" spans="1:46">
      <c r="A32" s="6">
        <v>43615</v>
      </c>
      <c r="B32" s="5" t="s">
        <v>47</v>
      </c>
      <c r="C32" s="4">
        <v>18773674</v>
      </c>
      <c r="D32" s="4">
        <v>2941856</v>
      </c>
      <c r="E32" s="4">
        <v>21060000</v>
      </c>
      <c r="F32" s="4">
        <v>21106000</v>
      </c>
      <c r="G32" s="4">
        <v>230689695</v>
      </c>
      <c r="H32" s="4">
        <v>104678864</v>
      </c>
      <c r="I32" s="4">
        <v>230690217</v>
      </c>
      <c r="J32" s="4">
        <v>104678944</v>
      </c>
      <c r="K32" s="4"/>
      <c r="L32" s="5">
        <v>4246.2</v>
      </c>
      <c r="M32" s="5">
        <v>3925</v>
      </c>
      <c r="N32" s="5">
        <v>73073.600000000006</v>
      </c>
      <c r="O32" s="5"/>
      <c r="P32" s="5"/>
      <c r="Q32" s="9">
        <v>26.1</v>
      </c>
      <c r="R32" s="4" t="s">
        <v>44</v>
      </c>
      <c r="S32" s="4">
        <v>430</v>
      </c>
      <c r="T32" s="4">
        <v>450</v>
      </c>
      <c r="U32" s="4">
        <v>9323</v>
      </c>
      <c r="V32" s="4">
        <v>7012</v>
      </c>
      <c r="W32" s="5">
        <v>7.28</v>
      </c>
      <c r="X32" s="5">
        <v>6.33</v>
      </c>
      <c r="Y32" s="4">
        <v>1430</v>
      </c>
      <c r="Z32" s="4"/>
      <c r="AA32" s="11">
        <f t="shared" ref="AA32:AF32" si="42">IF(OR(C33=""),"",C33-C32)</f>
        <v>51690</v>
      </c>
      <c r="AB32" s="11">
        <f t="shared" si="42"/>
        <v>55014</v>
      </c>
      <c r="AC32" s="11">
        <f t="shared" si="42"/>
        <v>56000</v>
      </c>
      <c r="AD32" s="11">
        <f t="shared" si="42"/>
        <v>58000</v>
      </c>
      <c r="AE32" s="11">
        <f t="shared" si="42"/>
        <v>218138</v>
      </c>
      <c r="AF32" s="11">
        <f t="shared" si="42"/>
        <v>5640</v>
      </c>
      <c r="AG32" s="11">
        <f t="shared" si="1"/>
        <v>2566</v>
      </c>
      <c r="AH32" s="11">
        <f t="shared" si="2"/>
        <v>217407</v>
      </c>
      <c r="AI32" s="15">
        <f t="shared" si="3"/>
        <v>5552</v>
      </c>
      <c r="AJ32" s="15">
        <f t="shared" si="4"/>
        <v>211855</v>
      </c>
      <c r="AK32" s="15">
        <v>4400</v>
      </c>
      <c r="AL32" s="15">
        <f t="shared" si="6"/>
        <v>0</v>
      </c>
      <c r="AM32" s="15">
        <f t="shared" si="7"/>
        <v>0</v>
      </c>
      <c r="AN32" s="15">
        <f t="shared" si="8"/>
        <v>3053</v>
      </c>
      <c r="AO32" s="15">
        <f t="shared" si="9"/>
        <v>1080</v>
      </c>
      <c r="AP32" s="15">
        <v>2178</v>
      </c>
      <c r="AQ32" s="18">
        <f t="shared" si="10"/>
        <v>0</v>
      </c>
      <c r="AR32" s="18">
        <f t="shared" si="11"/>
        <v>0</v>
      </c>
      <c r="AS32" s="19">
        <f t="shared" si="12"/>
        <v>14.4</v>
      </c>
      <c r="AT32" s="18">
        <f t="shared" si="13"/>
        <v>5.0999999999999996</v>
      </c>
    </row>
    <row r="33" spans="1:46">
      <c r="A33" s="6">
        <v>43616</v>
      </c>
      <c r="B33" s="5" t="s">
        <v>207</v>
      </c>
      <c r="C33" s="4">
        <v>18825364</v>
      </c>
      <c r="D33" s="4">
        <v>2996870</v>
      </c>
      <c r="E33" s="4">
        <v>21116000</v>
      </c>
      <c r="F33" s="4">
        <v>21164000</v>
      </c>
      <c r="G33" s="4">
        <v>230907833</v>
      </c>
      <c r="H33" s="4">
        <v>104684504</v>
      </c>
      <c r="I33" s="4">
        <v>230907624</v>
      </c>
      <c r="J33" s="4">
        <v>104684496</v>
      </c>
      <c r="K33" s="4"/>
      <c r="L33" s="5">
        <v>4246.2</v>
      </c>
      <c r="M33" s="5">
        <v>3925</v>
      </c>
      <c r="N33" s="5">
        <v>73073.7</v>
      </c>
      <c r="O33" s="5"/>
      <c r="P33" s="5"/>
      <c r="Q33" s="9">
        <v>26</v>
      </c>
      <c r="R33" s="4" t="s">
        <v>208</v>
      </c>
      <c r="S33" s="4">
        <v>650</v>
      </c>
      <c r="T33" s="4">
        <v>670</v>
      </c>
      <c r="U33" s="4">
        <v>9425</v>
      </c>
      <c r="V33" s="4">
        <v>8012</v>
      </c>
      <c r="W33" s="5">
        <v>6.96</v>
      </c>
      <c r="X33" s="5">
        <v>6.35</v>
      </c>
      <c r="Y33" s="4">
        <v>1430</v>
      </c>
      <c r="Z33" s="4"/>
      <c r="AA33" s="11">
        <f t="shared" ref="AA33:AF33" si="43">IF(OR(C34=""),"",C34-C33)</f>
        <v>42496</v>
      </c>
      <c r="AB33" s="11">
        <f t="shared" si="43"/>
        <v>57558</v>
      </c>
      <c r="AC33" s="11">
        <f t="shared" si="43"/>
        <v>57000</v>
      </c>
      <c r="AD33" s="11">
        <f t="shared" si="43"/>
        <v>58000</v>
      </c>
      <c r="AE33" s="11">
        <f t="shared" si="43"/>
        <v>213321</v>
      </c>
      <c r="AF33" s="11">
        <f t="shared" si="43"/>
        <v>5504</v>
      </c>
      <c r="AG33" s="11">
        <f t="shared" si="1"/>
        <v>1733</v>
      </c>
      <c r="AH33" s="11">
        <f t="shared" si="2"/>
        <v>214581</v>
      </c>
      <c r="AI33" s="15">
        <f t="shared" si="3"/>
        <v>5536</v>
      </c>
      <c r="AJ33" s="15">
        <f t="shared" si="4"/>
        <v>209045</v>
      </c>
      <c r="AK33" s="15">
        <v>4300</v>
      </c>
      <c r="AL33" s="15">
        <f t="shared" si="6"/>
        <v>360</v>
      </c>
      <c r="AM33" s="15">
        <f t="shared" si="7"/>
        <v>3</v>
      </c>
      <c r="AN33" s="15">
        <f t="shared" si="8"/>
        <v>4615</v>
      </c>
      <c r="AO33" s="15">
        <f t="shared" si="9"/>
        <v>1608</v>
      </c>
      <c r="AP33" s="15">
        <v>1715</v>
      </c>
      <c r="AQ33" s="18">
        <f t="shared" si="10"/>
        <v>1.7</v>
      </c>
      <c r="AR33" s="18">
        <f t="shared" si="11"/>
        <v>0.01</v>
      </c>
      <c r="AS33" s="19">
        <f t="shared" si="12"/>
        <v>22.1</v>
      </c>
      <c r="AT33" s="18">
        <f t="shared" si="13"/>
        <v>7.69</v>
      </c>
    </row>
    <row r="34" spans="1:46">
      <c r="A34" s="6">
        <v>43617</v>
      </c>
      <c r="B34" s="5" t="s">
        <v>209</v>
      </c>
      <c r="C34" s="4">
        <v>18867860</v>
      </c>
      <c r="D34" s="4">
        <v>3054428</v>
      </c>
      <c r="E34" s="4">
        <v>21173000</v>
      </c>
      <c r="F34" s="4">
        <v>21222000</v>
      </c>
      <c r="G34" s="4">
        <v>231121154</v>
      </c>
      <c r="H34" s="4">
        <v>104690008</v>
      </c>
      <c r="I34" s="4">
        <v>231122205</v>
      </c>
      <c r="J34" s="4">
        <v>104690032</v>
      </c>
      <c r="K34" s="4"/>
      <c r="L34" s="5">
        <v>4246.2</v>
      </c>
      <c r="M34" s="5">
        <v>3925.3</v>
      </c>
      <c r="N34" s="5">
        <v>73075</v>
      </c>
      <c r="O34" s="5"/>
      <c r="P34" s="5"/>
      <c r="Q34" s="9">
        <v>26</v>
      </c>
      <c r="R34" s="4" t="s">
        <v>210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4">IF(OR(C37=""),"",C37-C36)</f>
        <v/>
      </c>
      <c r="AB36" s="13" t="str">
        <f t="shared" si="44"/>
        <v/>
      </c>
      <c r="AC36" s="13" t="str">
        <f t="shared" si="44"/>
        <v/>
      </c>
      <c r="AD36" s="13" t="str">
        <f t="shared" si="44"/>
        <v/>
      </c>
      <c r="AE36" s="13" t="str">
        <f t="shared" si="44"/>
        <v/>
      </c>
      <c r="AF36" s="13" t="str">
        <f t="shared" si="44"/>
        <v/>
      </c>
      <c r="AG36" s="13" t="str">
        <f>IF(OR(AA36="",AB36="",AC36=""),"",AA36+AB36+AC36+AD36-AE36)</f>
        <v/>
      </c>
      <c r="AH36" s="17">
        <f t="shared" ref="AH36:AO36" si="45">SUM(AH3:AH34)</f>
        <v>6212792</v>
      </c>
      <c r="AI36" s="17">
        <f t="shared" si="45"/>
        <v>171331</v>
      </c>
      <c r="AJ36" s="17">
        <f t="shared" si="45"/>
        <v>6041461</v>
      </c>
      <c r="AK36" s="17">
        <f t="shared" si="45"/>
        <v>126840</v>
      </c>
      <c r="AL36" s="17">
        <f t="shared" si="45"/>
        <v>66600</v>
      </c>
      <c r="AM36" s="17">
        <f t="shared" si="45"/>
        <v>189</v>
      </c>
      <c r="AN36" s="17">
        <f t="shared" si="45"/>
        <v>88821</v>
      </c>
      <c r="AO36" s="17">
        <f t="shared" si="45"/>
        <v>31896</v>
      </c>
      <c r="AP36" s="17"/>
      <c r="AQ36" s="22">
        <f>IF(OR($AJ36=0),"",ROUND(AL36/$AJ36*1000,1))</f>
        <v>11</v>
      </c>
      <c r="AR36" s="22">
        <f>IF(OR($AJ36=0),"",ROUND(AM36/$AJ36*1000,2))</f>
        <v>0.03</v>
      </c>
      <c r="AS36" s="23">
        <f>IF(OR($AJ36=0),"",ROUND(AN36/$AJ36*1000,1))</f>
        <v>14.7</v>
      </c>
      <c r="AT36" s="22">
        <f>IF(OR($AJ36=0),"",ROUND(AO36/$AJ36*1000,2))</f>
        <v>5.28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10" zoomScaleNormal="110" workbookViewId="0">
      <pane xSplit="2" ySplit="2" topLeftCell="W3" activePane="bottomRight" state="frozen"/>
      <selection pane="topRight"/>
      <selection pane="bottomLeft"/>
      <selection pane="bottomRight" activeCell="AH45" sqref="AH45"/>
    </sheetView>
  </sheetViews>
  <sheetFormatPr defaultColWidth="10.6640625" defaultRowHeight="13.2"/>
  <cols>
    <col min="1" max="1" width="7.109375" style="1" customWidth="1"/>
    <col min="2" max="2" width="8.6640625" style="2" customWidth="1"/>
    <col min="3" max="3" width="10.77734375" style="1" customWidth="1"/>
    <col min="4" max="4" width="9.6640625" style="1" customWidth="1"/>
    <col min="5" max="5" width="10.77734375" style="1" customWidth="1"/>
    <col min="6" max="6" width="10.88671875" style="1" customWidth="1"/>
    <col min="7" max="7" width="11.6640625" style="1" customWidth="1"/>
    <col min="8" max="8" width="11.33203125" style="1" customWidth="1"/>
    <col min="9" max="9" width="12" style="1" customWidth="1"/>
    <col min="10" max="10" width="11.664062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213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43617</v>
      </c>
      <c r="B3" s="7" t="str">
        <f>'5'!B34</f>
        <v>易萍</v>
      </c>
      <c r="C3" s="7">
        <f>'5'!C34</f>
        <v>18867860</v>
      </c>
      <c r="D3" s="7">
        <f>'5'!D34</f>
        <v>3054428</v>
      </c>
      <c r="E3" s="7">
        <f>'5'!E34</f>
        <v>21173000</v>
      </c>
      <c r="F3" s="7">
        <f>'5'!F34</f>
        <v>21222000</v>
      </c>
      <c r="G3" s="7">
        <f>'5'!G34</f>
        <v>231121154</v>
      </c>
      <c r="H3" s="7">
        <f>'5'!H34</f>
        <v>104690008</v>
      </c>
      <c r="I3" s="7">
        <f>'5'!I34</f>
        <v>231122205</v>
      </c>
      <c r="J3" s="7">
        <f>'5'!J34</f>
        <v>104690032</v>
      </c>
      <c r="K3" s="7">
        <f>'5'!K34</f>
        <v>0</v>
      </c>
      <c r="L3" s="7">
        <f>'5'!L34</f>
        <v>4246.2</v>
      </c>
      <c r="M3" s="7">
        <f>'5'!M34</f>
        <v>3925.3</v>
      </c>
      <c r="N3" s="7">
        <f>'5'!N34</f>
        <v>73075</v>
      </c>
      <c r="O3" s="7">
        <f>'5'!O34</f>
        <v>0</v>
      </c>
      <c r="P3" s="7">
        <f>'5'!P34</f>
        <v>0</v>
      </c>
      <c r="Q3" s="7">
        <f>'5'!Q34</f>
        <v>26</v>
      </c>
      <c r="R3" s="7" t="str">
        <f>'5'!R34</f>
        <v>晴</v>
      </c>
      <c r="S3" s="4">
        <v>580</v>
      </c>
      <c r="T3" s="4">
        <v>600</v>
      </c>
      <c r="U3" s="4">
        <v>9354</v>
      </c>
      <c r="V3" s="4">
        <v>8041</v>
      </c>
      <c r="W3" s="5">
        <v>7.13</v>
      </c>
      <c r="X3" s="5">
        <v>6.5</v>
      </c>
      <c r="Y3" s="4">
        <v>1432</v>
      </c>
      <c r="Z3" s="4"/>
      <c r="AA3" s="11">
        <f t="shared" ref="AA3:AF3" si="0">IF(OR(C4=""),"",C4-C3)</f>
        <v>46138</v>
      </c>
      <c r="AB3" s="11">
        <f t="shared" si="0"/>
        <v>55068</v>
      </c>
      <c r="AC3" s="11">
        <f t="shared" si="0"/>
        <v>56000</v>
      </c>
      <c r="AD3" s="11">
        <f t="shared" si="0"/>
        <v>58000</v>
      </c>
      <c r="AE3" s="11">
        <f t="shared" si="0"/>
        <v>213673</v>
      </c>
      <c r="AF3" s="11">
        <f t="shared" si="0"/>
        <v>5568</v>
      </c>
      <c r="AG3" s="11">
        <f t="shared" ref="AG3:AG33" si="1">IF(OR(AA3="",AB3="",AC3=""),"",AA3+AB3+AC3+AD3-AE3)</f>
        <v>1533</v>
      </c>
      <c r="AH3" s="11">
        <f t="shared" ref="AH3:AH33" si="2">IF(OR(I4=""),"",I4-I3)</f>
        <v>212239</v>
      </c>
      <c r="AI3" s="15">
        <f t="shared" ref="AI3:AI33" si="3">IF(OR(J4=""),"",J4-J3)</f>
        <v>5528</v>
      </c>
      <c r="AJ3" s="15">
        <f t="shared" ref="AJ3:AJ33" si="4">IF(OR(AH3="",AI3=""),"",AH3-AI3)</f>
        <v>206711</v>
      </c>
      <c r="AK3" s="15">
        <v>4200</v>
      </c>
      <c r="AL3" s="15">
        <f t="shared" ref="AL3:AL33" si="5">IF(OR(L4="",M4=""),"",ROUND((L4-L3+M4-M3)*1200,0))</f>
        <v>2520</v>
      </c>
      <c r="AM3" s="15">
        <f t="shared" ref="AM3:AM33" si="6">IF(OR(N4=""),"",(ROUND((N4-N3)*2,0)))</f>
        <v>10</v>
      </c>
      <c r="AN3" s="15">
        <f t="shared" ref="AN3:AN33" si="7">IF(OR(S3=""),"",ROUND(S3*7.1,0))</f>
        <v>4118</v>
      </c>
      <c r="AO3" s="15">
        <f t="shared" ref="AO3:AO33" si="8">IF(OR(T3=""),"",ROUND(T3*2.4,0))</f>
        <v>1440</v>
      </c>
      <c r="AP3" s="15">
        <v>1704</v>
      </c>
      <c r="AQ3" s="18">
        <f t="shared" ref="AQ3:AQ33" si="9">IF(OR($AJ3=""),"",ROUND(AL3/$AJ3*1000,1))</f>
        <v>12.2</v>
      </c>
      <c r="AR3" s="18">
        <f t="shared" ref="AR3:AR33" si="10">IF(OR($AJ3=""),"",ROUND(AM3/$AJ3*1000,2))</f>
        <v>0.05</v>
      </c>
      <c r="AS3" s="19">
        <f t="shared" ref="AS3:AS33" si="11">IF(OR($AJ3=""),"",ROUND(AN3/$AJ3*1000,1))</f>
        <v>19.899999999999999</v>
      </c>
      <c r="AT3" s="18">
        <f t="shared" ref="AT3:AT33" si="12">IF(OR($AJ3=""),"",ROUND(AO3/$AJ3*1000,2))</f>
        <v>6.97</v>
      </c>
    </row>
    <row r="4" spans="1:46">
      <c r="A4" s="6">
        <v>43618</v>
      </c>
      <c r="B4" s="5" t="s">
        <v>211</v>
      </c>
      <c r="C4" s="4">
        <v>18913998</v>
      </c>
      <c r="D4" s="4">
        <v>3109496</v>
      </c>
      <c r="E4" s="4">
        <v>21229000</v>
      </c>
      <c r="F4" s="4">
        <v>21280000</v>
      </c>
      <c r="G4" s="4">
        <v>231334827</v>
      </c>
      <c r="H4" s="4">
        <v>104695576</v>
      </c>
      <c r="I4" s="4">
        <v>231334444</v>
      </c>
      <c r="J4" s="4">
        <v>104695560</v>
      </c>
      <c r="K4" s="4"/>
      <c r="L4" s="5">
        <v>4246.2</v>
      </c>
      <c r="M4" s="5">
        <v>3927.4</v>
      </c>
      <c r="N4" s="5">
        <v>73079.8</v>
      </c>
      <c r="O4" s="5"/>
      <c r="P4" s="5"/>
      <c r="Q4" s="9">
        <v>25</v>
      </c>
      <c r="R4" s="4" t="s">
        <v>212</v>
      </c>
      <c r="S4" s="4">
        <v>470</v>
      </c>
      <c r="T4" s="4">
        <v>500</v>
      </c>
      <c r="U4" s="4">
        <v>9485</v>
      </c>
      <c r="V4" s="4">
        <v>8264</v>
      </c>
      <c r="W4" s="5">
        <v>7.67</v>
      </c>
      <c r="X4" s="5">
        <v>6.68</v>
      </c>
      <c r="Y4" s="4">
        <v>1434</v>
      </c>
      <c r="Z4" s="4"/>
      <c r="AA4" s="11">
        <f t="shared" ref="AA4:AF4" si="13">IF(OR(C5=""),"",C5-C4)</f>
        <v>47414</v>
      </c>
      <c r="AB4" s="11">
        <f t="shared" si="13"/>
        <v>57495</v>
      </c>
      <c r="AC4" s="11">
        <f t="shared" si="13"/>
        <v>57000</v>
      </c>
      <c r="AD4" s="11">
        <f t="shared" si="13"/>
        <v>57000</v>
      </c>
      <c r="AE4" s="11">
        <f t="shared" si="13"/>
        <v>212534</v>
      </c>
      <c r="AF4" s="11">
        <f t="shared" si="13"/>
        <v>5524</v>
      </c>
      <c r="AG4" s="11">
        <f t="shared" si="1"/>
        <v>6375</v>
      </c>
      <c r="AH4" s="11">
        <f t="shared" si="2"/>
        <v>213048</v>
      </c>
      <c r="AI4" s="15">
        <f t="shared" si="3"/>
        <v>5544</v>
      </c>
      <c r="AJ4" s="15">
        <f t="shared" si="4"/>
        <v>207504</v>
      </c>
      <c r="AK4" s="15">
        <v>4100</v>
      </c>
      <c r="AL4" s="15">
        <f t="shared" si="5"/>
        <v>1560</v>
      </c>
      <c r="AM4" s="15">
        <f t="shared" si="6"/>
        <v>3</v>
      </c>
      <c r="AN4" s="15">
        <f t="shared" si="7"/>
        <v>3337</v>
      </c>
      <c r="AO4" s="15">
        <f t="shared" si="8"/>
        <v>1200</v>
      </c>
      <c r="AP4" s="15">
        <v>1834</v>
      </c>
      <c r="AQ4" s="18">
        <f t="shared" si="9"/>
        <v>7.5</v>
      </c>
      <c r="AR4" s="18">
        <f t="shared" si="10"/>
        <v>0.01</v>
      </c>
      <c r="AS4" s="19">
        <f t="shared" si="11"/>
        <v>16.100000000000001</v>
      </c>
      <c r="AT4" s="18">
        <f t="shared" si="12"/>
        <v>5.78</v>
      </c>
    </row>
    <row r="5" spans="1:46">
      <c r="A5" s="6">
        <v>43619</v>
      </c>
      <c r="B5" s="5" t="s">
        <v>214</v>
      </c>
      <c r="C5" s="4">
        <v>18961412</v>
      </c>
      <c r="D5" s="4">
        <v>3166991</v>
      </c>
      <c r="E5" s="4">
        <v>21286000</v>
      </c>
      <c r="F5" s="4">
        <v>21337000</v>
      </c>
      <c r="G5" s="4">
        <v>231547361</v>
      </c>
      <c r="H5" s="4">
        <v>104701100</v>
      </c>
      <c r="I5" s="4">
        <v>231547492</v>
      </c>
      <c r="J5" s="4">
        <v>104701104</v>
      </c>
      <c r="K5" s="4"/>
      <c r="L5" s="5">
        <v>4246.2</v>
      </c>
      <c r="M5" s="5">
        <v>3928.7</v>
      </c>
      <c r="N5" s="5">
        <v>73081.3</v>
      </c>
      <c r="O5" s="5"/>
      <c r="P5" s="5"/>
      <c r="Q5" s="9">
        <v>26</v>
      </c>
      <c r="R5" s="4" t="s">
        <v>215</v>
      </c>
      <c r="S5" s="4">
        <v>350</v>
      </c>
      <c r="T5" s="4">
        <v>400</v>
      </c>
      <c r="U5" s="4">
        <v>9385</v>
      </c>
      <c r="V5" s="4">
        <v>7998</v>
      </c>
      <c r="W5" s="5">
        <v>7.83</v>
      </c>
      <c r="X5" s="5">
        <v>7.35</v>
      </c>
      <c r="Y5" s="4">
        <v>1425</v>
      </c>
      <c r="Z5" s="4"/>
      <c r="AA5" s="11">
        <f t="shared" ref="AA5:AF5" si="14">IF(OR(C6=""),"",C6-C5)</f>
        <v>46727</v>
      </c>
      <c r="AB5" s="11">
        <f t="shared" si="14"/>
        <v>59055</v>
      </c>
      <c r="AC5" s="11">
        <f t="shared" si="14"/>
        <v>56000</v>
      </c>
      <c r="AD5" s="11">
        <f t="shared" si="14"/>
        <v>58000</v>
      </c>
      <c r="AE5" s="11">
        <f t="shared" si="14"/>
        <v>215648</v>
      </c>
      <c r="AF5" s="11">
        <f t="shared" si="14"/>
        <v>5552</v>
      </c>
      <c r="AG5" s="11">
        <f t="shared" si="1"/>
        <v>4134</v>
      </c>
      <c r="AH5" s="11">
        <f t="shared" si="2"/>
        <v>215201</v>
      </c>
      <c r="AI5" s="15">
        <f t="shared" si="3"/>
        <v>5536</v>
      </c>
      <c r="AJ5" s="15">
        <f t="shared" si="4"/>
        <v>209665</v>
      </c>
      <c r="AK5" s="15">
        <v>5200</v>
      </c>
      <c r="AL5" s="15">
        <f t="shared" si="5"/>
        <v>0</v>
      </c>
      <c r="AM5" s="15">
        <f t="shared" si="6"/>
        <v>0</v>
      </c>
      <c r="AN5" s="15">
        <f t="shared" si="7"/>
        <v>2485</v>
      </c>
      <c r="AO5" s="15">
        <f t="shared" si="8"/>
        <v>960</v>
      </c>
      <c r="AP5" s="15">
        <v>1642</v>
      </c>
      <c r="AQ5" s="18">
        <f t="shared" si="9"/>
        <v>0</v>
      </c>
      <c r="AR5" s="18">
        <f t="shared" si="10"/>
        <v>0</v>
      </c>
      <c r="AS5" s="19">
        <f t="shared" si="11"/>
        <v>11.9</v>
      </c>
      <c r="AT5" s="18">
        <f t="shared" si="12"/>
        <v>4.58</v>
      </c>
    </row>
    <row r="6" spans="1:46">
      <c r="A6" s="6">
        <v>43620</v>
      </c>
      <c r="B6" s="5" t="s">
        <v>216</v>
      </c>
      <c r="C6" s="4">
        <v>19008139</v>
      </c>
      <c r="D6" s="4">
        <v>3226046</v>
      </c>
      <c r="E6" s="4">
        <v>21342000</v>
      </c>
      <c r="F6" s="4">
        <v>21395000</v>
      </c>
      <c r="G6" s="4">
        <v>231763009</v>
      </c>
      <c r="H6" s="4">
        <v>104706652</v>
      </c>
      <c r="I6" s="4">
        <v>231762693</v>
      </c>
      <c r="J6" s="4">
        <v>104706640</v>
      </c>
      <c r="K6" s="4"/>
      <c r="L6" s="5">
        <v>4246.2</v>
      </c>
      <c r="M6" s="5">
        <v>3928.7</v>
      </c>
      <c r="N6" s="5">
        <v>73081.399999999994</v>
      </c>
      <c r="O6" s="5"/>
      <c r="P6" s="5"/>
      <c r="Q6" s="9">
        <v>24.7</v>
      </c>
      <c r="R6" s="4" t="s">
        <v>217</v>
      </c>
      <c r="S6" s="4">
        <v>270</v>
      </c>
      <c r="T6" s="4">
        <v>300</v>
      </c>
      <c r="U6" s="4">
        <v>9451</v>
      </c>
      <c r="V6" s="4">
        <v>9021</v>
      </c>
      <c r="W6" s="5">
        <v>7.61</v>
      </c>
      <c r="X6" s="5">
        <v>6.72</v>
      </c>
      <c r="Y6" s="4">
        <v>1367</v>
      </c>
      <c r="Z6" s="4"/>
      <c r="AA6" s="11">
        <f t="shared" ref="AA6:AF6" si="15">IF(OR(C7=""),"",C7-C6)</f>
        <v>48606</v>
      </c>
      <c r="AB6" s="11">
        <f t="shared" si="15"/>
        <v>56463</v>
      </c>
      <c r="AC6" s="11">
        <f t="shared" si="15"/>
        <v>58000</v>
      </c>
      <c r="AD6" s="11">
        <f t="shared" si="15"/>
        <v>60000</v>
      </c>
      <c r="AE6" s="11">
        <f t="shared" si="15"/>
        <v>214102</v>
      </c>
      <c r="AF6" s="11">
        <f t="shared" si="15"/>
        <v>5536</v>
      </c>
      <c r="AG6" s="11">
        <f t="shared" si="1"/>
        <v>8967</v>
      </c>
      <c r="AH6" s="11">
        <f t="shared" si="2"/>
        <v>214316</v>
      </c>
      <c r="AI6" s="15">
        <f t="shared" si="3"/>
        <v>5536</v>
      </c>
      <c r="AJ6" s="15">
        <f t="shared" si="4"/>
        <v>208780</v>
      </c>
      <c r="AK6" s="15">
        <v>5500</v>
      </c>
      <c r="AL6" s="15">
        <f t="shared" si="5"/>
        <v>0</v>
      </c>
      <c r="AM6" s="15">
        <f t="shared" si="6"/>
        <v>0</v>
      </c>
      <c r="AN6" s="15">
        <f t="shared" si="7"/>
        <v>1917</v>
      </c>
      <c r="AO6" s="15">
        <f t="shared" si="8"/>
        <v>720</v>
      </c>
      <c r="AP6" s="15">
        <v>1425</v>
      </c>
      <c r="AQ6" s="18">
        <f t="shared" si="9"/>
        <v>0</v>
      </c>
      <c r="AR6" s="18">
        <f t="shared" si="10"/>
        <v>0</v>
      </c>
      <c r="AS6" s="19">
        <f t="shared" si="11"/>
        <v>9.1999999999999993</v>
      </c>
      <c r="AT6" s="18">
        <f t="shared" si="12"/>
        <v>3.45</v>
      </c>
    </row>
    <row r="7" spans="1:46">
      <c r="A7" s="6">
        <v>43621</v>
      </c>
      <c r="B7" s="5" t="s">
        <v>218</v>
      </c>
      <c r="C7" s="4">
        <v>19056745</v>
      </c>
      <c r="D7" s="4">
        <v>3282509</v>
      </c>
      <c r="E7" s="4">
        <v>21400000</v>
      </c>
      <c r="F7" s="4">
        <v>21455000</v>
      </c>
      <c r="G7" s="4">
        <v>231977111</v>
      </c>
      <c r="H7" s="4">
        <v>104712188</v>
      </c>
      <c r="I7" s="4">
        <v>231977009</v>
      </c>
      <c r="J7" s="4">
        <v>104712176</v>
      </c>
      <c r="K7" s="4"/>
      <c r="L7" s="5">
        <v>4246.2</v>
      </c>
      <c r="M7" s="5">
        <v>3928.7</v>
      </c>
      <c r="N7" s="5">
        <v>73081.399999999994</v>
      </c>
      <c r="O7" s="5"/>
      <c r="P7" s="5"/>
      <c r="Q7" s="9">
        <v>24.9</v>
      </c>
      <c r="R7" s="4" t="s">
        <v>219</v>
      </c>
      <c r="S7" s="4">
        <v>280</v>
      </c>
      <c r="T7" s="4">
        <v>300</v>
      </c>
      <c r="U7" s="4">
        <v>9403</v>
      </c>
      <c r="V7" s="4">
        <v>7703</v>
      </c>
      <c r="W7" s="5">
        <v>6.72</v>
      </c>
      <c r="X7" s="5">
        <v>5.72</v>
      </c>
      <c r="Y7" s="4">
        <v>1435</v>
      </c>
      <c r="Z7" s="4"/>
      <c r="AA7" s="11">
        <f t="shared" ref="AA7:AF7" si="16">IF(OR(C8=""),"",C8-C7)</f>
        <v>46654</v>
      </c>
      <c r="AB7" s="11">
        <f t="shared" si="16"/>
        <v>55417</v>
      </c>
      <c r="AC7" s="11">
        <f t="shared" si="16"/>
        <v>56000</v>
      </c>
      <c r="AD7" s="11">
        <f t="shared" si="16"/>
        <v>58000</v>
      </c>
      <c r="AE7" s="11">
        <f t="shared" si="16"/>
        <v>213472</v>
      </c>
      <c r="AF7" s="11">
        <f t="shared" si="16"/>
        <v>5502</v>
      </c>
      <c r="AG7" s="11">
        <f t="shared" si="1"/>
        <v>2599</v>
      </c>
      <c r="AH7" s="11">
        <f t="shared" si="2"/>
        <v>214762</v>
      </c>
      <c r="AI7" s="15">
        <f t="shared" si="3"/>
        <v>5514</v>
      </c>
      <c r="AJ7" s="15">
        <f t="shared" si="4"/>
        <v>209248</v>
      </c>
      <c r="AK7" s="15">
        <v>5300</v>
      </c>
      <c r="AL7" s="15">
        <f t="shared" si="5"/>
        <v>0</v>
      </c>
      <c r="AM7" s="15">
        <f t="shared" si="6"/>
        <v>0</v>
      </c>
      <c r="AN7" s="15">
        <f t="shared" si="7"/>
        <v>1988</v>
      </c>
      <c r="AO7" s="15">
        <f t="shared" si="8"/>
        <v>720</v>
      </c>
      <c r="AP7" s="15">
        <v>1502</v>
      </c>
      <c r="AQ7" s="18">
        <f t="shared" si="9"/>
        <v>0</v>
      </c>
      <c r="AR7" s="18">
        <f t="shared" si="10"/>
        <v>0</v>
      </c>
      <c r="AS7" s="19">
        <f t="shared" si="11"/>
        <v>9.5</v>
      </c>
      <c r="AT7" s="18">
        <f t="shared" si="12"/>
        <v>3.44</v>
      </c>
    </row>
    <row r="8" spans="1:46">
      <c r="A8" s="6">
        <v>43622</v>
      </c>
      <c r="B8" s="5" t="s">
        <v>220</v>
      </c>
      <c r="C8" s="4">
        <v>19103399</v>
      </c>
      <c r="D8" s="4">
        <v>3337926</v>
      </c>
      <c r="E8" s="4">
        <v>21456000</v>
      </c>
      <c r="F8" s="4">
        <v>21513000</v>
      </c>
      <c r="G8" s="4">
        <v>232190583</v>
      </c>
      <c r="H8" s="4">
        <v>104717690</v>
      </c>
      <c r="I8" s="4">
        <v>232191771</v>
      </c>
      <c r="J8" s="4">
        <v>104717690</v>
      </c>
      <c r="K8" s="4"/>
      <c r="L8" s="5">
        <v>4246.2</v>
      </c>
      <c r="M8" s="5">
        <v>3928.7</v>
      </c>
      <c r="N8" s="5">
        <v>73081.399999999994</v>
      </c>
      <c r="O8" s="5"/>
      <c r="P8" s="5"/>
      <c r="Q8" s="9">
        <v>26.2</v>
      </c>
      <c r="R8" s="4" t="s">
        <v>219</v>
      </c>
      <c r="S8" s="4">
        <v>400</v>
      </c>
      <c r="T8" s="4">
        <v>430</v>
      </c>
      <c r="U8" s="4">
        <v>9397</v>
      </c>
      <c r="V8" s="4">
        <v>7825</v>
      </c>
      <c r="W8" s="5">
        <v>6.21</v>
      </c>
      <c r="X8" s="5">
        <v>5.78</v>
      </c>
      <c r="Y8" s="4">
        <v>1431</v>
      </c>
      <c r="Z8" s="4"/>
      <c r="AA8" s="11">
        <f t="shared" ref="AA8:AF8" si="17">IF(OR(C9=""),"",C9-C8)</f>
        <v>47271</v>
      </c>
      <c r="AB8" s="11">
        <f t="shared" si="17"/>
        <v>56091</v>
      </c>
      <c r="AC8" s="11">
        <f t="shared" si="17"/>
        <v>57000</v>
      </c>
      <c r="AD8" s="11">
        <f t="shared" si="17"/>
        <v>59000</v>
      </c>
      <c r="AE8" s="11">
        <f t="shared" si="17"/>
        <v>214492</v>
      </c>
      <c r="AF8" s="11">
        <f t="shared" si="17"/>
        <v>5592</v>
      </c>
      <c r="AG8" s="11">
        <f t="shared" si="1"/>
        <v>4870</v>
      </c>
      <c r="AH8" s="11">
        <f t="shared" si="2"/>
        <v>213289</v>
      </c>
      <c r="AI8" s="15">
        <f t="shared" si="3"/>
        <v>5590</v>
      </c>
      <c r="AJ8" s="15">
        <f t="shared" si="4"/>
        <v>207699</v>
      </c>
      <c r="AK8" s="15">
        <v>5200</v>
      </c>
      <c r="AL8" s="15">
        <f t="shared" si="5"/>
        <v>240</v>
      </c>
      <c r="AM8" s="15">
        <f t="shared" si="6"/>
        <v>2</v>
      </c>
      <c r="AN8" s="15">
        <f t="shared" si="7"/>
        <v>2840</v>
      </c>
      <c r="AO8" s="15">
        <f t="shared" si="8"/>
        <v>1032</v>
      </c>
      <c r="AP8" s="15">
        <v>1376</v>
      </c>
      <c r="AQ8" s="18">
        <f t="shared" si="9"/>
        <v>1.2</v>
      </c>
      <c r="AR8" s="18">
        <f t="shared" si="10"/>
        <v>0.01</v>
      </c>
      <c r="AS8" s="19">
        <f t="shared" si="11"/>
        <v>13.7</v>
      </c>
      <c r="AT8" s="18">
        <f t="shared" si="12"/>
        <v>4.97</v>
      </c>
    </row>
    <row r="9" spans="1:46">
      <c r="A9" s="6">
        <v>43623</v>
      </c>
      <c r="B9" s="5" t="s">
        <v>221</v>
      </c>
      <c r="C9" s="4">
        <v>19150670</v>
      </c>
      <c r="D9" s="4">
        <v>3394017</v>
      </c>
      <c r="E9" s="4">
        <v>21513000</v>
      </c>
      <c r="F9" s="4">
        <v>21572000</v>
      </c>
      <c r="G9" s="4">
        <v>232405075</v>
      </c>
      <c r="H9" s="4">
        <v>104723282</v>
      </c>
      <c r="I9" s="4">
        <v>232405060</v>
      </c>
      <c r="J9" s="4">
        <v>104723280</v>
      </c>
      <c r="K9" s="4"/>
      <c r="L9" s="5">
        <v>4246.2</v>
      </c>
      <c r="M9" s="5">
        <v>3928.9</v>
      </c>
      <c r="N9" s="5">
        <v>73082.399999999994</v>
      </c>
      <c r="O9" s="5"/>
      <c r="P9" s="5"/>
      <c r="Q9" s="9">
        <v>26</v>
      </c>
      <c r="R9" s="4" t="s">
        <v>222</v>
      </c>
      <c r="S9" s="4">
        <v>590</v>
      </c>
      <c r="T9" s="4">
        <v>600</v>
      </c>
      <c r="U9" s="4">
        <v>9263</v>
      </c>
      <c r="V9" s="4">
        <v>7785</v>
      </c>
      <c r="W9" s="5">
        <v>6.23</v>
      </c>
      <c r="X9" s="5">
        <v>5.65</v>
      </c>
      <c r="Y9" s="4">
        <v>1434</v>
      </c>
      <c r="Z9" s="4"/>
      <c r="AA9" s="11">
        <f t="shared" ref="AA9:AF9" si="18">IF(OR(C10=""),"",C10-C9)</f>
        <v>46449</v>
      </c>
      <c r="AB9" s="11">
        <f t="shared" si="18"/>
        <v>55380</v>
      </c>
      <c r="AC9" s="11">
        <f t="shared" si="18"/>
        <v>55000</v>
      </c>
      <c r="AD9" s="11">
        <f t="shared" si="18"/>
        <v>57000</v>
      </c>
      <c r="AE9" s="11">
        <f t="shared" si="18"/>
        <v>211910</v>
      </c>
      <c r="AF9" s="11">
        <f t="shared" si="18"/>
        <v>5578</v>
      </c>
      <c r="AG9" s="11">
        <f t="shared" si="1"/>
        <v>1919</v>
      </c>
      <c r="AH9" s="11">
        <f t="shared" si="2"/>
        <v>211667</v>
      </c>
      <c r="AI9" s="15">
        <f t="shared" si="3"/>
        <v>5568</v>
      </c>
      <c r="AJ9" s="15">
        <f t="shared" si="4"/>
        <v>206099</v>
      </c>
      <c r="AK9" s="15">
        <v>5000</v>
      </c>
      <c r="AL9" s="15">
        <f t="shared" si="5"/>
        <v>480</v>
      </c>
      <c r="AM9" s="15">
        <f t="shared" si="6"/>
        <v>4</v>
      </c>
      <c r="AN9" s="15">
        <f t="shared" si="7"/>
        <v>4189</v>
      </c>
      <c r="AO9" s="15">
        <f t="shared" si="8"/>
        <v>1440</v>
      </c>
      <c r="AP9" s="15">
        <v>1312</v>
      </c>
      <c r="AQ9" s="18">
        <f t="shared" si="9"/>
        <v>2.2999999999999998</v>
      </c>
      <c r="AR9" s="18">
        <f t="shared" si="10"/>
        <v>0.02</v>
      </c>
      <c r="AS9" s="19">
        <f t="shared" si="11"/>
        <v>20.3</v>
      </c>
      <c r="AT9" s="18">
        <f t="shared" si="12"/>
        <v>6.99</v>
      </c>
    </row>
    <row r="10" spans="1:46">
      <c r="A10" s="6">
        <v>43624</v>
      </c>
      <c r="B10" s="5" t="s">
        <v>223</v>
      </c>
      <c r="C10" s="4">
        <v>19197119</v>
      </c>
      <c r="D10" s="4">
        <v>3449397</v>
      </c>
      <c r="E10" s="4">
        <v>21568000</v>
      </c>
      <c r="F10" s="4">
        <v>21629000</v>
      </c>
      <c r="G10" s="4">
        <v>232616985</v>
      </c>
      <c r="H10" s="4">
        <v>104728860</v>
      </c>
      <c r="I10" s="4">
        <v>232616727</v>
      </c>
      <c r="J10" s="4">
        <v>104728848</v>
      </c>
      <c r="K10" s="4"/>
      <c r="L10" s="5">
        <v>4246.2</v>
      </c>
      <c r="M10" s="5">
        <v>3929.3</v>
      </c>
      <c r="N10" s="5">
        <v>73084.399999999994</v>
      </c>
      <c r="O10" s="5"/>
      <c r="P10" s="5"/>
      <c r="Q10" s="9">
        <v>25.2</v>
      </c>
      <c r="R10" s="4" t="s">
        <v>224</v>
      </c>
      <c r="S10" s="4">
        <v>610</v>
      </c>
      <c r="T10" s="4">
        <v>630</v>
      </c>
      <c r="U10" s="4">
        <v>9365</v>
      </c>
      <c r="V10" s="4">
        <v>7345</v>
      </c>
      <c r="W10" s="5">
        <v>6.08</v>
      </c>
      <c r="X10" s="5">
        <v>5.74</v>
      </c>
      <c r="Y10" s="4">
        <v>1427</v>
      </c>
      <c r="Z10" s="4"/>
      <c r="AA10" s="11">
        <f t="shared" ref="AA10:AF10" si="19">IF(OR(C11=""),"",C11-C10)</f>
        <v>47992</v>
      </c>
      <c r="AB10" s="11">
        <f t="shared" si="19"/>
        <v>56506</v>
      </c>
      <c r="AC10" s="11">
        <f t="shared" si="19"/>
        <v>58000</v>
      </c>
      <c r="AD10" s="11">
        <f t="shared" si="19"/>
        <v>59000</v>
      </c>
      <c r="AE10" s="11">
        <f t="shared" si="19"/>
        <v>211461</v>
      </c>
      <c r="AF10" s="11">
        <f t="shared" si="19"/>
        <v>5600</v>
      </c>
      <c r="AG10" s="11">
        <f t="shared" si="1"/>
        <v>10037</v>
      </c>
      <c r="AH10" s="11">
        <f t="shared" si="2"/>
        <v>210130</v>
      </c>
      <c r="AI10" s="15">
        <f t="shared" si="3"/>
        <v>5560</v>
      </c>
      <c r="AJ10" s="15">
        <f t="shared" si="4"/>
        <v>204570</v>
      </c>
      <c r="AK10" s="15">
        <v>4900</v>
      </c>
      <c r="AL10" s="15">
        <f t="shared" si="5"/>
        <v>840</v>
      </c>
      <c r="AM10" s="15">
        <f t="shared" si="6"/>
        <v>9</v>
      </c>
      <c r="AN10" s="15">
        <f t="shared" si="7"/>
        <v>4331</v>
      </c>
      <c r="AO10" s="15">
        <f t="shared" si="8"/>
        <v>1512</v>
      </c>
      <c r="AP10" s="15">
        <v>1794</v>
      </c>
      <c r="AQ10" s="18">
        <f t="shared" si="9"/>
        <v>4.0999999999999996</v>
      </c>
      <c r="AR10" s="18">
        <f t="shared" si="10"/>
        <v>0.04</v>
      </c>
      <c r="AS10" s="19">
        <f t="shared" si="11"/>
        <v>21.2</v>
      </c>
      <c r="AT10" s="18">
        <f t="shared" si="12"/>
        <v>7.39</v>
      </c>
    </row>
    <row r="11" spans="1:46">
      <c r="A11" s="6">
        <v>43625</v>
      </c>
      <c r="B11" s="5" t="s">
        <v>225</v>
      </c>
      <c r="C11" s="4">
        <v>19245111</v>
      </c>
      <c r="D11" s="4">
        <v>3505903</v>
      </c>
      <c r="E11" s="4">
        <v>21626000</v>
      </c>
      <c r="F11" s="4">
        <v>21688000</v>
      </c>
      <c r="G11" s="4">
        <v>232828446</v>
      </c>
      <c r="H11" s="4">
        <v>104734460</v>
      </c>
      <c r="I11" s="4">
        <v>232826857</v>
      </c>
      <c r="J11" s="4">
        <v>104734408</v>
      </c>
      <c r="K11" s="4"/>
      <c r="L11" s="5">
        <v>4246.2</v>
      </c>
      <c r="M11" s="5">
        <v>3930</v>
      </c>
      <c r="N11" s="5">
        <v>73089.100000000006</v>
      </c>
      <c r="O11" s="5"/>
      <c r="P11" s="5"/>
      <c r="Q11" s="9">
        <v>25.6</v>
      </c>
      <c r="R11" s="4" t="s">
        <v>226</v>
      </c>
      <c r="S11" s="4">
        <v>350</v>
      </c>
      <c r="T11" s="4">
        <v>400</v>
      </c>
      <c r="U11" s="4">
        <v>9311</v>
      </c>
      <c r="V11" s="4">
        <v>8642</v>
      </c>
      <c r="W11" s="5">
        <v>6.53</v>
      </c>
      <c r="X11" s="5">
        <v>5.5</v>
      </c>
      <c r="Y11" s="4">
        <v>1437</v>
      </c>
      <c r="Z11" s="4"/>
      <c r="AA11" s="11">
        <f t="shared" ref="AA11:AF11" si="20">IF(OR(C12=""),"",C12-C11)</f>
        <v>46047</v>
      </c>
      <c r="AB11" s="11">
        <f t="shared" si="20"/>
        <v>54561</v>
      </c>
      <c r="AC11" s="11">
        <f t="shared" si="20"/>
        <v>56000</v>
      </c>
      <c r="AD11" s="11">
        <f t="shared" si="20"/>
        <v>58000</v>
      </c>
      <c r="AE11" s="11">
        <f t="shared" si="20"/>
        <v>211216</v>
      </c>
      <c r="AF11" s="11">
        <f t="shared" si="20"/>
        <v>5514</v>
      </c>
      <c r="AG11" s="11">
        <f t="shared" si="1"/>
        <v>3392</v>
      </c>
      <c r="AH11" s="11">
        <f t="shared" si="2"/>
        <v>212970</v>
      </c>
      <c r="AI11" s="15">
        <f t="shared" si="3"/>
        <v>5568</v>
      </c>
      <c r="AJ11" s="15">
        <f t="shared" si="4"/>
        <v>207402</v>
      </c>
      <c r="AK11" s="15">
        <v>4700</v>
      </c>
      <c r="AL11" s="15">
        <f t="shared" si="5"/>
        <v>480</v>
      </c>
      <c r="AM11" s="15">
        <f t="shared" si="6"/>
        <v>1</v>
      </c>
      <c r="AN11" s="15">
        <f t="shared" si="7"/>
        <v>2485</v>
      </c>
      <c r="AO11" s="15">
        <f t="shared" si="8"/>
        <v>960</v>
      </c>
      <c r="AP11" s="15">
        <v>2078</v>
      </c>
      <c r="AQ11" s="18">
        <f t="shared" si="9"/>
        <v>2.2999999999999998</v>
      </c>
      <c r="AR11" s="18">
        <f t="shared" si="10"/>
        <v>0</v>
      </c>
      <c r="AS11" s="19">
        <f t="shared" si="11"/>
        <v>12</v>
      </c>
      <c r="AT11" s="18">
        <f t="shared" si="12"/>
        <v>4.63</v>
      </c>
    </row>
    <row r="12" spans="1:46">
      <c r="A12" s="6">
        <v>43626</v>
      </c>
      <c r="B12" s="5" t="s">
        <v>227</v>
      </c>
      <c r="C12" s="4">
        <v>19291158</v>
      </c>
      <c r="D12" s="4">
        <v>3560464</v>
      </c>
      <c r="E12" s="4">
        <v>21682000</v>
      </c>
      <c r="F12" s="4">
        <v>21746000</v>
      </c>
      <c r="G12" s="4">
        <v>233039662</v>
      </c>
      <c r="H12" s="4">
        <v>104739974</v>
      </c>
      <c r="I12" s="4">
        <v>233039827</v>
      </c>
      <c r="J12" s="4">
        <v>104739976</v>
      </c>
      <c r="K12" s="4"/>
      <c r="L12" s="5">
        <v>4246.2</v>
      </c>
      <c r="M12" s="5">
        <v>3930.4</v>
      </c>
      <c r="N12" s="5">
        <v>73089.8</v>
      </c>
      <c r="O12" s="5"/>
      <c r="P12" s="5"/>
      <c r="Q12" s="9">
        <v>25.4</v>
      </c>
      <c r="R12" s="4" t="s">
        <v>228</v>
      </c>
      <c r="S12" s="4">
        <v>300</v>
      </c>
      <c r="T12" s="4">
        <v>330</v>
      </c>
      <c r="U12" s="4">
        <v>9364</v>
      </c>
      <c r="V12" s="4">
        <v>8954</v>
      </c>
      <c r="W12" s="5">
        <v>6.15</v>
      </c>
      <c r="X12" s="5">
        <v>5.41</v>
      </c>
      <c r="Y12" s="4">
        <v>1432</v>
      </c>
      <c r="Z12" s="4"/>
      <c r="AA12" s="11">
        <f t="shared" ref="AA12:AF12" si="21">IF(OR(C13=""),"",C13-C12)</f>
        <v>48014</v>
      </c>
      <c r="AB12" s="11">
        <f t="shared" si="21"/>
        <v>56913</v>
      </c>
      <c r="AC12" s="11">
        <f t="shared" si="21"/>
        <v>58000</v>
      </c>
      <c r="AD12" s="11">
        <f t="shared" si="21"/>
        <v>60000</v>
      </c>
      <c r="AE12" s="11">
        <f t="shared" si="21"/>
        <v>210233</v>
      </c>
      <c r="AF12" s="11">
        <f t="shared" si="21"/>
        <v>5583</v>
      </c>
      <c r="AG12" s="11">
        <f t="shared" si="1"/>
        <v>12694</v>
      </c>
      <c r="AH12" s="11">
        <f t="shared" si="2"/>
        <v>209584</v>
      </c>
      <c r="AI12" s="15">
        <f t="shared" si="3"/>
        <v>5568</v>
      </c>
      <c r="AJ12" s="15">
        <f t="shared" si="4"/>
        <v>204016</v>
      </c>
      <c r="AK12" s="15">
        <v>4600</v>
      </c>
      <c r="AL12" s="15">
        <f t="shared" si="5"/>
        <v>0</v>
      </c>
      <c r="AM12" s="15">
        <f t="shared" si="6"/>
        <v>0</v>
      </c>
      <c r="AN12" s="15">
        <f t="shared" si="7"/>
        <v>2130</v>
      </c>
      <c r="AO12" s="15">
        <f t="shared" si="8"/>
        <v>792</v>
      </c>
      <c r="AP12" s="15">
        <v>1454</v>
      </c>
      <c r="AQ12" s="18">
        <f t="shared" si="9"/>
        <v>0</v>
      </c>
      <c r="AR12" s="18">
        <f t="shared" si="10"/>
        <v>0</v>
      </c>
      <c r="AS12" s="19">
        <f t="shared" si="11"/>
        <v>10.4</v>
      </c>
      <c r="AT12" s="18">
        <f t="shared" si="12"/>
        <v>3.88</v>
      </c>
    </row>
    <row r="13" spans="1:46">
      <c r="A13" s="6">
        <v>43627</v>
      </c>
      <c r="B13" s="5" t="s">
        <v>229</v>
      </c>
      <c r="C13" s="4">
        <v>19339172</v>
      </c>
      <c r="D13" s="4">
        <v>3617377</v>
      </c>
      <c r="E13" s="4">
        <v>21740000</v>
      </c>
      <c r="F13" s="4">
        <v>21806000</v>
      </c>
      <c r="G13" s="4">
        <v>233249895</v>
      </c>
      <c r="H13" s="4">
        <v>104745557</v>
      </c>
      <c r="I13" s="4">
        <v>233249411</v>
      </c>
      <c r="J13" s="4">
        <v>104745544</v>
      </c>
      <c r="K13" s="4"/>
      <c r="L13" s="5">
        <v>4246.2</v>
      </c>
      <c r="M13" s="5">
        <v>3930.4</v>
      </c>
      <c r="N13" s="5">
        <v>73089.899999999994</v>
      </c>
      <c r="O13" s="5"/>
      <c r="P13" s="5"/>
      <c r="Q13" s="9">
        <v>26.5</v>
      </c>
      <c r="R13" s="4" t="s">
        <v>231</v>
      </c>
      <c r="S13" s="4">
        <v>220</v>
      </c>
      <c r="T13" s="4">
        <v>250</v>
      </c>
      <c r="U13" s="4">
        <v>9943</v>
      </c>
      <c r="V13" s="4">
        <v>8324</v>
      </c>
      <c r="W13" s="5">
        <v>6.03</v>
      </c>
      <c r="X13" s="5">
        <v>5.29</v>
      </c>
      <c r="Y13" s="4">
        <v>1432</v>
      </c>
      <c r="Z13" s="4"/>
      <c r="AA13" s="11">
        <f t="shared" ref="AA13:AF13" si="22">IF(OR(C14=""),"",C14-C13)</f>
        <v>46552</v>
      </c>
      <c r="AB13" s="11">
        <f t="shared" si="22"/>
        <v>56340</v>
      </c>
      <c r="AC13" s="11">
        <f t="shared" si="22"/>
        <v>57000</v>
      </c>
      <c r="AD13" s="11">
        <f t="shared" si="22"/>
        <v>58000</v>
      </c>
      <c r="AE13" s="11">
        <f t="shared" si="22"/>
        <v>206784</v>
      </c>
      <c r="AF13" s="11">
        <f t="shared" si="22"/>
        <v>5562</v>
      </c>
      <c r="AG13" s="11">
        <f t="shared" si="1"/>
        <v>11108</v>
      </c>
      <c r="AH13" s="11">
        <f t="shared" si="2"/>
        <v>206999</v>
      </c>
      <c r="AI13" s="15">
        <f t="shared" si="3"/>
        <v>5560</v>
      </c>
      <c r="AJ13" s="15">
        <f t="shared" si="4"/>
        <v>201439</v>
      </c>
      <c r="AK13" s="15">
        <v>4500</v>
      </c>
      <c r="AL13" s="15">
        <v>0</v>
      </c>
      <c r="AM13" s="15">
        <v>0</v>
      </c>
      <c r="AN13" s="15">
        <f t="shared" si="7"/>
        <v>1562</v>
      </c>
      <c r="AO13" s="15">
        <f t="shared" si="8"/>
        <v>600</v>
      </c>
      <c r="AP13" s="15">
        <v>1496</v>
      </c>
      <c r="AQ13" s="18">
        <f t="shared" si="9"/>
        <v>0</v>
      </c>
      <c r="AR13" s="18">
        <f t="shared" si="10"/>
        <v>0</v>
      </c>
      <c r="AS13" s="19">
        <f t="shared" si="11"/>
        <v>7.8</v>
      </c>
      <c r="AT13" s="18">
        <f t="shared" si="12"/>
        <v>2.98</v>
      </c>
    </row>
    <row r="14" spans="1:46">
      <c r="A14" s="6">
        <v>43628</v>
      </c>
      <c r="B14" s="5" t="s">
        <v>230</v>
      </c>
      <c r="C14" s="4">
        <v>19385724</v>
      </c>
      <c r="D14" s="4">
        <v>3673717</v>
      </c>
      <c r="E14" s="4">
        <v>21797000</v>
      </c>
      <c r="F14" s="4">
        <v>21864000</v>
      </c>
      <c r="G14" s="4">
        <v>233456679</v>
      </c>
      <c r="H14" s="4">
        <v>104751119</v>
      </c>
      <c r="I14" s="4">
        <v>233456410</v>
      </c>
      <c r="J14" s="4">
        <v>104751104</v>
      </c>
      <c r="K14" s="4"/>
      <c r="L14" s="5">
        <v>4246.2</v>
      </c>
      <c r="M14" s="5">
        <v>3930.4</v>
      </c>
      <c r="N14" s="5">
        <v>73089.899999999994</v>
      </c>
      <c r="O14" s="5"/>
      <c r="P14" s="5"/>
      <c r="Q14" s="9">
        <v>26.2</v>
      </c>
      <c r="R14" s="4" t="s">
        <v>44</v>
      </c>
      <c r="S14" s="4">
        <v>260</v>
      </c>
      <c r="T14" s="4">
        <v>290</v>
      </c>
      <c r="U14" s="4">
        <v>9415</v>
      </c>
      <c r="V14" s="4">
        <v>8952</v>
      </c>
      <c r="W14" s="5">
        <v>5.86</v>
      </c>
      <c r="X14" s="5">
        <v>3.9</v>
      </c>
      <c r="Y14" s="4">
        <v>1430</v>
      </c>
      <c r="Z14" s="4"/>
      <c r="AA14" s="11">
        <f t="shared" ref="AA14:AF14" si="23">IF(OR(C15=""),"",C15-C14)</f>
        <v>47823</v>
      </c>
      <c r="AB14" s="11">
        <f t="shared" si="23"/>
        <v>56765</v>
      </c>
      <c r="AC14" s="11">
        <f t="shared" si="23"/>
        <v>59000</v>
      </c>
      <c r="AD14" s="11">
        <f t="shared" si="23"/>
        <v>60000</v>
      </c>
      <c r="AE14" s="11">
        <f t="shared" si="23"/>
        <v>215439</v>
      </c>
      <c r="AF14" s="11">
        <f t="shared" si="23"/>
        <v>5533</v>
      </c>
      <c r="AG14" s="11">
        <f t="shared" si="1"/>
        <v>8149</v>
      </c>
      <c r="AH14" s="11">
        <f t="shared" si="2"/>
        <v>216695</v>
      </c>
      <c r="AI14" s="15">
        <f t="shared" si="3"/>
        <v>5568</v>
      </c>
      <c r="AJ14" s="15">
        <f t="shared" si="4"/>
        <v>211127</v>
      </c>
      <c r="AK14" s="15">
        <v>5300</v>
      </c>
      <c r="AL14" s="15">
        <f t="shared" si="5"/>
        <v>0</v>
      </c>
      <c r="AM14" s="15">
        <f t="shared" si="6"/>
        <v>0</v>
      </c>
      <c r="AN14" s="15">
        <f t="shared" si="7"/>
        <v>1846</v>
      </c>
      <c r="AO14" s="15">
        <f t="shared" si="8"/>
        <v>696</v>
      </c>
      <c r="AP14" s="15">
        <v>1488</v>
      </c>
      <c r="AQ14" s="18">
        <f t="shared" si="9"/>
        <v>0</v>
      </c>
      <c r="AR14" s="18">
        <f t="shared" si="10"/>
        <v>0</v>
      </c>
      <c r="AS14" s="19">
        <f t="shared" si="11"/>
        <v>8.6999999999999993</v>
      </c>
      <c r="AT14" s="18">
        <f t="shared" si="12"/>
        <v>3.3</v>
      </c>
    </row>
    <row r="15" spans="1:46">
      <c r="A15" s="6">
        <v>43629</v>
      </c>
      <c r="B15" s="5" t="s">
        <v>48</v>
      </c>
      <c r="C15" s="4">
        <v>19433547</v>
      </c>
      <c r="D15" s="4">
        <v>3730482</v>
      </c>
      <c r="E15" s="4">
        <v>21856000</v>
      </c>
      <c r="F15" s="4">
        <v>21924000</v>
      </c>
      <c r="G15" s="4">
        <v>233672118</v>
      </c>
      <c r="H15" s="4">
        <v>104756652</v>
      </c>
      <c r="I15" s="4">
        <v>233673105</v>
      </c>
      <c r="J15" s="4">
        <v>104756672</v>
      </c>
      <c r="K15" s="4"/>
      <c r="L15" s="5">
        <v>4246.2</v>
      </c>
      <c r="M15" s="5">
        <v>3930.4</v>
      </c>
      <c r="N15" s="5">
        <v>73089.899999999994</v>
      </c>
      <c r="O15" s="5"/>
      <c r="P15" s="5"/>
      <c r="Q15" s="9">
        <v>25.9</v>
      </c>
      <c r="R15" s="4" t="s">
        <v>49</v>
      </c>
      <c r="S15" s="4">
        <v>240</v>
      </c>
      <c r="T15" s="4">
        <v>270</v>
      </c>
      <c r="U15" s="4">
        <v>10926</v>
      </c>
      <c r="V15" s="4">
        <v>8432</v>
      </c>
      <c r="W15" s="5">
        <v>4.1399999999999997</v>
      </c>
      <c r="X15" s="5">
        <v>2.4700000000000002</v>
      </c>
      <c r="Y15" s="4">
        <v>1038</v>
      </c>
      <c r="Z15" s="4"/>
      <c r="AA15" s="11">
        <f t="shared" ref="AA15:AF15" si="24">IF(OR(C16=""),"",C16-C15)</f>
        <v>48432</v>
      </c>
      <c r="AB15" s="11">
        <f t="shared" si="24"/>
        <v>60875</v>
      </c>
      <c r="AC15" s="11">
        <f t="shared" si="24"/>
        <v>68000</v>
      </c>
      <c r="AD15" s="11">
        <f t="shared" si="24"/>
        <v>70000</v>
      </c>
      <c r="AE15" s="11">
        <f t="shared" si="24"/>
        <v>217625</v>
      </c>
      <c r="AF15" s="11">
        <f t="shared" si="24"/>
        <v>5588</v>
      </c>
      <c r="AG15" s="11">
        <f t="shared" si="1"/>
        <v>29682</v>
      </c>
      <c r="AH15" s="11">
        <f t="shared" si="2"/>
        <v>217047</v>
      </c>
      <c r="AI15" s="15">
        <f t="shared" si="3"/>
        <v>5568</v>
      </c>
      <c r="AJ15" s="15">
        <f t="shared" si="4"/>
        <v>211479</v>
      </c>
      <c r="AK15" s="15">
        <v>4600</v>
      </c>
      <c r="AL15" s="15">
        <f t="shared" si="5"/>
        <v>0</v>
      </c>
      <c r="AM15" s="15">
        <f t="shared" si="6"/>
        <v>0</v>
      </c>
      <c r="AN15" s="15">
        <f t="shared" si="7"/>
        <v>1704</v>
      </c>
      <c r="AO15" s="15">
        <f t="shared" si="8"/>
        <v>648</v>
      </c>
      <c r="AP15" s="15">
        <v>1436</v>
      </c>
      <c r="AQ15" s="18">
        <f t="shared" si="9"/>
        <v>0</v>
      </c>
      <c r="AR15" s="18">
        <f t="shared" si="10"/>
        <v>0</v>
      </c>
      <c r="AS15" s="19">
        <f t="shared" si="11"/>
        <v>8.1</v>
      </c>
      <c r="AT15" s="18">
        <f t="shared" si="12"/>
        <v>3.06</v>
      </c>
    </row>
    <row r="16" spans="1:46">
      <c r="A16" s="6">
        <v>43630</v>
      </c>
      <c r="B16" s="5" t="s">
        <v>45</v>
      </c>
      <c r="C16" s="4">
        <v>19481979</v>
      </c>
      <c r="D16" s="4">
        <v>3791357</v>
      </c>
      <c r="E16" s="4">
        <v>21924000</v>
      </c>
      <c r="F16" s="4">
        <v>21994000</v>
      </c>
      <c r="G16" s="4">
        <v>233889743</v>
      </c>
      <c r="H16" s="4">
        <v>104762240</v>
      </c>
      <c r="I16" s="4">
        <v>233890152</v>
      </c>
      <c r="J16" s="4">
        <v>104762240</v>
      </c>
      <c r="K16" s="4"/>
      <c r="L16" s="5">
        <v>4246.2</v>
      </c>
      <c r="M16" s="5">
        <v>3930.4</v>
      </c>
      <c r="N16" s="5">
        <v>73089.899999999994</v>
      </c>
      <c r="O16" s="5"/>
      <c r="P16" s="5"/>
      <c r="Q16" s="9">
        <v>25.3</v>
      </c>
      <c r="R16" s="4" t="s">
        <v>232</v>
      </c>
      <c r="S16" s="4">
        <v>370</v>
      </c>
      <c r="T16" s="4">
        <v>400</v>
      </c>
      <c r="U16" s="4">
        <v>10279</v>
      </c>
      <c r="V16" s="4">
        <v>3764</v>
      </c>
      <c r="W16" s="5">
        <v>3.11</v>
      </c>
      <c r="X16" s="5">
        <v>2.31</v>
      </c>
      <c r="Y16" s="4">
        <v>0</v>
      </c>
      <c r="Z16" s="4"/>
      <c r="AA16" s="11">
        <f t="shared" ref="AA16:AF16" si="25">IF(OR(C17=""),"",C17-C16)</f>
        <v>41274</v>
      </c>
      <c r="AB16" s="11">
        <f t="shared" si="25"/>
        <v>46488</v>
      </c>
      <c r="AC16" s="11">
        <f t="shared" si="25"/>
        <v>53000</v>
      </c>
      <c r="AD16" s="11">
        <f t="shared" si="25"/>
        <v>52000</v>
      </c>
      <c r="AE16" s="11">
        <f t="shared" si="25"/>
        <v>187642</v>
      </c>
      <c r="AF16" s="11">
        <f t="shared" si="25"/>
        <v>5593</v>
      </c>
      <c r="AG16" s="11">
        <f t="shared" si="1"/>
        <v>5120</v>
      </c>
      <c r="AH16" s="11">
        <f t="shared" si="2"/>
        <v>186160</v>
      </c>
      <c r="AI16" s="15">
        <f t="shared" si="3"/>
        <v>5560</v>
      </c>
      <c r="AJ16" s="15">
        <f t="shared" si="4"/>
        <v>180600</v>
      </c>
      <c r="AK16" s="15">
        <v>4000</v>
      </c>
      <c r="AL16" s="15">
        <f t="shared" si="5"/>
        <v>960</v>
      </c>
      <c r="AM16" s="15">
        <f t="shared" si="6"/>
        <v>2</v>
      </c>
      <c r="AN16" s="15">
        <f t="shared" si="7"/>
        <v>2627</v>
      </c>
      <c r="AO16" s="15">
        <f t="shared" si="8"/>
        <v>960</v>
      </c>
      <c r="AP16" s="15">
        <v>1410</v>
      </c>
      <c r="AQ16" s="18">
        <f t="shared" si="9"/>
        <v>5.3</v>
      </c>
      <c r="AR16" s="18">
        <f t="shared" si="10"/>
        <v>0.01</v>
      </c>
      <c r="AS16" s="19">
        <f t="shared" si="11"/>
        <v>14.5</v>
      </c>
      <c r="AT16" s="18">
        <f t="shared" si="12"/>
        <v>5.32</v>
      </c>
    </row>
    <row r="17" spans="1:46">
      <c r="A17" s="6">
        <v>43631</v>
      </c>
      <c r="B17" s="5" t="s">
        <v>233</v>
      </c>
      <c r="C17" s="4">
        <v>19523253</v>
      </c>
      <c r="D17" s="4">
        <v>3837845</v>
      </c>
      <c r="E17" s="4">
        <v>21977000</v>
      </c>
      <c r="F17" s="4">
        <v>22046000</v>
      </c>
      <c r="G17" s="4">
        <v>234077385</v>
      </c>
      <c r="H17" s="4">
        <v>104767833</v>
      </c>
      <c r="I17" s="4">
        <v>234076312</v>
      </c>
      <c r="J17" s="4">
        <v>104767800</v>
      </c>
      <c r="K17" s="4"/>
      <c r="L17" s="5">
        <v>4246.2</v>
      </c>
      <c r="M17" s="5">
        <v>3931.2</v>
      </c>
      <c r="N17" s="5">
        <v>73091.100000000006</v>
      </c>
      <c r="O17" s="5"/>
      <c r="P17" s="5"/>
      <c r="Q17" s="9">
        <v>25.5</v>
      </c>
      <c r="R17" s="4" t="s">
        <v>234</v>
      </c>
      <c r="S17" s="4">
        <v>560</v>
      </c>
      <c r="T17" s="4">
        <v>580</v>
      </c>
      <c r="U17" s="4">
        <v>10345</v>
      </c>
      <c r="V17" s="4">
        <v>5911</v>
      </c>
      <c r="W17" s="5">
        <v>4.34</v>
      </c>
      <c r="X17" s="5">
        <v>2.4900000000000002</v>
      </c>
      <c r="Y17" s="4">
        <v>1152</v>
      </c>
      <c r="Z17" s="4"/>
      <c r="AA17" s="11">
        <f t="shared" ref="AA17:AF19" si="26">IF(OR(C18=""),"",C18-C17)</f>
        <v>45591</v>
      </c>
      <c r="AB17" s="11">
        <f t="shared" si="26"/>
        <v>57760</v>
      </c>
      <c r="AC17" s="11">
        <f t="shared" si="26"/>
        <v>65000</v>
      </c>
      <c r="AD17" s="11">
        <f t="shared" si="26"/>
        <v>67000</v>
      </c>
      <c r="AE17" s="11">
        <f t="shared" si="26"/>
        <v>204489</v>
      </c>
      <c r="AF17" s="11">
        <f t="shared" si="26"/>
        <v>5523</v>
      </c>
      <c r="AG17" s="11">
        <f t="shared" si="1"/>
        <v>30862</v>
      </c>
      <c r="AH17" s="11">
        <f t="shared" si="2"/>
        <v>205631</v>
      </c>
      <c r="AI17" s="15">
        <f t="shared" si="3"/>
        <v>5560</v>
      </c>
      <c r="AJ17" s="15">
        <f t="shared" si="4"/>
        <v>200071</v>
      </c>
      <c r="AK17" s="15">
        <v>3600</v>
      </c>
      <c r="AL17" s="15">
        <f t="shared" si="5"/>
        <v>3000</v>
      </c>
      <c r="AM17" s="15">
        <f t="shared" si="6"/>
        <v>3</v>
      </c>
      <c r="AN17" s="15">
        <f t="shared" si="7"/>
        <v>3976</v>
      </c>
      <c r="AO17" s="15">
        <f t="shared" si="8"/>
        <v>1392</v>
      </c>
      <c r="AP17" s="15">
        <v>1248</v>
      </c>
      <c r="AQ17" s="18">
        <f t="shared" si="9"/>
        <v>15</v>
      </c>
      <c r="AR17" s="18">
        <f t="shared" si="10"/>
        <v>0.01</v>
      </c>
      <c r="AS17" s="19">
        <f t="shared" si="11"/>
        <v>19.899999999999999</v>
      </c>
      <c r="AT17" s="18">
        <f t="shared" si="12"/>
        <v>6.96</v>
      </c>
    </row>
    <row r="18" spans="1:46">
      <c r="A18" s="6">
        <v>43632</v>
      </c>
      <c r="B18" s="5" t="s">
        <v>235</v>
      </c>
      <c r="C18" s="4">
        <v>19568844</v>
      </c>
      <c r="D18" s="4">
        <v>3895605</v>
      </c>
      <c r="E18" s="4">
        <v>22042000</v>
      </c>
      <c r="F18" s="4">
        <v>22113000</v>
      </c>
      <c r="G18" s="4">
        <v>234281874</v>
      </c>
      <c r="H18" s="4">
        <v>104773356</v>
      </c>
      <c r="I18" s="4">
        <v>234281943</v>
      </c>
      <c r="J18" s="4">
        <v>104773360</v>
      </c>
      <c r="K18" s="4"/>
      <c r="L18" s="5">
        <v>4246.2</v>
      </c>
      <c r="M18" s="5">
        <v>3933.7</v>
      </c>
      <c r="N18" s="5">
        <v>73092.600000000006</v>
      </c>
      <c r="O18" s="5"/>
      <c r="P18" s="5"/>
      <c r="Q18" s="9">
        <v>27.2</v>
      </c>
      <c r="R18" s="4" t="s">
        <v>49</v>
      </c>
      <c r="S18" s="4">
        <v>600</v>
      </c>
      <c r="T18" s="4">
        <v>670</v>
      </c>
      <c r="U18" s="4">
        <v>10294</v>
      </c>
      <c r="V18" s="4">
        <v>7319</v>
      </c>
      <c r="W18" s="5">
        <v>6.17</v>
      </c>
      <c r="X18" s="5">
        <v>5.22</v>
      </c>
      <c r="Y18" s="4">
        <v>1432</v>
      </c>
      <c r="Z18" s="4"/>
      <c r="AA18" s="11">
        <f t="shared" ref="AA18:AE18" si="27">IF(OR(C19=""),"",C19-C18)</f>
        <v>44057</v>
      </c>
      <c r="AB18" s="11">
        <f t="shared" si="27"/>
        <v>51572</v>
      </c>
      <c r="AC18" s="11">
        <f t="shared" si="27"/>
        <v>69000</v>
      </c>
      <c r="AD18" s="11">
        <f t="shared" si="27"/>
        <v>69000</v>
      </c>
      <c r="AE18" s="11">
        <f t="shared" si="27"/>
        <v>213899</v>
      </c>
      <c r="AF18" s="11">
        <f t="shared" si="26"/>
        <v>5580</v>
      </c>
      <c r="AG18" s="11">
        <f t="shared" si="1"/>
        <v>19730</v>
      </c>
      <c r="AH18" s="11">
        <f t="shared" si="2"/>
        <v>212660</v>
      </c>
      <c r="AI18" s="15">
        <f t="shared" si="3"/>
        <v>5536</v>
      </c>
      <c r="AJ18" s="15">
        <f t="shared" si="4"/>
        <v>207124</v>
      </c>
      <c r="AK18" s="15">
        <v>3600</v>
      </c>
      <c r="AL18" s="15">
        <f t="shared" si="5"/>
        <v>4320</v>
      </c>
      <c r="AM18" s="15">
        <f t="shared" si="6"/>
        <v>6</v>
      </c>
      <c r="AN18" s="15">
        <f t="shared" si="7"/>
        <v>4260</v>
      </c>
      <c r="AO18" s="15">
        <f t="shared" si="8"/>
        <v>1608</v>
      </c>
      <c r="AP18" s="15">
        <v>1869</v>
      </c>
      <c r="AQ18" s="18">
        <f t="shared" si="9"/>
        <v>20.9</v>
      </c>
      <c r="AR18" s="18">
        <f t="shared" si="10"/>
        <v>0.03</v>
      </c>
      <c r="AS18" s="19">
        <f t="shared" si="11"/>
        <v>20.6</v>
      </c>
      <c r="AT18" s="18">
        <f t="shared" si="12"/>
        <v>7.76</v>
      </c>
    </row>
    <row r="19" spans="1:46">
      <c r="A19" s="6">
        <v>43633</v>
      </c>
      <c r="B19" s="5" t="s">
        <v>236</v>
      </c>
      <c r="C19" s="4">
        <v>19612901</v>
      </c>
      <c r="D19" s="4">
        <v>3947177</v>
      </c>
      <c r="E19" s="4">
        <v>22111000</v>
      </c>
      <c r="F19" s="4">
        <v>22182000</v>
      </c>
      <c r="G19" s="4">
        <v>234495773</v>
      </c>
      <c r="H19" s="4">
        <v>104778936</v>
      </c>
      <c r="I19" s="4">
        <v>234494603</v>
      </c>
      <c r="J19" s="4">
        <v>104778896</v>
      </c>
      <c r="K19" s="4"/>
      <c r="L19" s="5">
        <v>4246.2</v>
      </c>
      <c r="M19" s="5">
        <v>3937.3</v>
      </c>
      <c r="N19" s="5">
        <v>73095.600000000006</v>
      </c>
      <c r="O19" s="5"/>
      <c r="P19" s="5"/>
      <c r="Q19" s="9">
        <v>26.5</v>
      </c>
      <c r="R19" s="4" t="s">
        <v>237</v>
      </c>
      <c r="S19" s="4">
        <v>390</v>
      </c>
      <c r="T19" s="4">
        <v>410</v>
      </c>
      <c r="U19" s="4">
        <v>9452</v>
      </c>
      <c r="V19" s="4">
        <v>7952</v>
      </c>
      <c r="W19" s="5">
        <v>6.93</v>
      </c>
      <c r="X19" s="5">
        <v>5.95</v>
      </c>
      <c r="Y19" s="4">
        <v>1436</v>
      </c>
      <c r="Z19" s="4"/>
      <c r="AA19" s="11">
        <f t="shared" ref="AA19:AE19" si="28">IF(OR(C20=""),"",C20-C19)</f>
        <v>40280</v>
      </c>
      <c r="AB19" s="11">
        <f t="shared" si="28"/>
        <v>44513</v>
      </c>
      <c r="AC19" s="11">
        <f t="shared" si="28"/>
        <v>65000</v>
      </c>
      <c r="AD19" s="11">
        <f t="shared" si="28"/>
        <v>66000</v>
      </c>
      <c r="AE19" s="11">
        <f t="shared" si="28"/>
        <v>211958</v>
      </c>
      <c r="AF19" s="11">
        <f t="shared" si="26"/>
        <v>5511</v>
      </c>
      <c r="AG19" s="11">
        <f t="shared" si="1"/>
        <v>3835</v>
      </c>
      <c r="AH19" s="11">
        <f t="shared" si="2"/>
        <v>213122</v>
      </c>
      <c r="AI19" s="15">
        <f t="shared" si="3"/>
        <v>5552</v>
      </c>
      <c r="AJ19" s="15">
        <f t="shared" si="4"/>
        <v>207570</v>
      </c>
      <c r="AK19" s="15">
        <v>3400</v>
      </c>
      <c r="AL19" s="15">
        <f t="shared" si="5"/>
        <v>1080</v>
      </c>
      <c r="AM19" s="15">
        <f t="shared" si="6"/>
        <v>2</v>
      </c>
      <c r="AN19" s="15">
        <f t="shared" si="7"/>
        <v>2769</v>
      </c>
      <c r="AO19" s="15">
        <f t="shared" si="8"/>
        <v>984</v>
      </c>
      <c r="AP19" s="15">
        <v>1700</v>
      </c>
      <c r="AQ19" s="18">
        <f t="shared" si="9"/>
        <v>5.2</v>
      </c>
      <c r="AR19" s="18">
        <f t="shared" si="10"/>
        <v>0.01</v>
      </c>
      <c r="AS19" s="19">
        <f t="shared" si="11"/>
        <v>13.3</v>
      </c>
      <c r="AT19" s="18">
        <f t="shared" si="12"/>
        <v>4.74</v>
      </c>
    </row>
    <row r="20" spans="1:46">
      <c r="A20" s="6">
        <v>43634</v>
      </c>
      <c r="B20" s="5" t="s">
        <v>239</v>
      </c>
      <c r="C20" s="4">
        <v>19653181</v>
      </c>
      <c r="D20" s="4">
        <v>3991690</v>
      </c>
      <c r="E20" s="4">
        <v>22176000</v>
      </c>
      <c r="F20" s="4">
        <v>22248000</v>
      </c>
      <c r="G20" s="4">
        <v>234707731</v>
      </c>
      <c r="H20" s="4">
        <v>104784447</v>
      </c>
      <c r="I20" s="4">
        <v>234707725</v>
      </c>
      <c r="J20" s="4">
        <v>104784448</v>
      </c>
      <c r="K20" s="4"/>
      <c r="L20" s="5">
        <v>4246.2</v>
      </c>
      <c r="M20" s="5">
        <v>3938.2</v>
      </c>
      <c r="N20" s="5">
        <v>73096.399999999994</v>
      </c>
      <c r="O20" s="5"/>
      <c r="P20" s="5"/>
      <c r="Q20" s="9">
        <v>26</v>
      </c>
      <c r="R20" s="4" t="s">
        <v>238</v>
      </c>
      <c r="S20" s="4">
        <v>370</v>
      </c>
      <c r="T20" s="4">
        <v>400</v>
      </c>
      <c r="U20" s="4">
        <v>9245</v>
      </c>
      <c r="V20" s="4">
        <v>8563</v>
      </c>
      <c r="W20" s="5">
        <v>6.54</v>
      </c>
      <c r="X20" s="5">
        <v>5.74</v>
      </c>
      <c r="Y20" s="4">
        <v>1433</v>
      </c>
      <c r="Z20" s="4"/>
      <c r="AA20" s="11">
        <f t="shared" ref="AA20:AF20" si="29">IF(OR(C21=""),"",C21-C20)</f>
        <v>42511</v>
      </c>
      <c r="AB20" s="11">
        <f t="shared" si="29"/>
        <v>50278</v>
      </c>
      <c r="AC20" s="11">
        <f t="shared" si="29"/>
        <v>65000</v>
      </c>
      <c r="AD20" s="11">
        <f t="shared" si="29"/>
        <v>66000</v>
      </c>
      <c r="AE20" s="11">
        <f t="shared" si="29"/>
        <v>213898</v>
      </c>
      <c r="AF20" s="11">
        <f t="shared" si="29"/>
        <v>5521</v>
      </c>
      <c r="AG20" s="11">
        <f t="shared" si="1"/>
        <v>9891</v>
      </c>
      <c r="AH20" s="11">
        <f t="shared" si="2"/>
        <v>215019</v>
      </c>
      <c r="AI20" s="15">
        <f t="shared" si="3"/>
        <v>5544</v>
      </c>
      <c r="AJ20" s="15">
        <f t="shared" si="4"/>
        <v>209475</v>
      </c>
      <c r="AK20" s="15">
        <v>3200</v>
      </c>
      <c r="AL20" s="15">
        <f t="shared" si="5"/>
        <v>0</v>
      </c>
      <c r="AM20" s="15">
        <f t="shared" si="6"/>
        <v>0</v>
      </c>
      <c r="AN20" s="15">
        <f t="shared" si="7"/>
        <v>2627</v>
      </c>
      <c r="AO20" s="15">
        <f t="shared" si="8"/>
        <v>960</v>
      </c>
      <c r="AP20" s="15">
        <v>1764</v>
      </c>
      <c r="AQ20" s="18">
        <f t="shared" si="9"/>
        <v>0</v>
      </c>
      <c r="AR20" s="18">
        <f t="shared" si="10"/>
        <v>0</v>
      </c>
      <c r="AS20" s="19">
        <f t="shared" si="11"/>
        <v>12.5</v>
      </c>
      <c r="AT20" s="18">
        <f t="shared" si="12"/>
        <v>4.58</v>
      </c>
    </row>
    <row r="21" spans="1:46">
      <c r="A21" s="6">
        <v>43635</v>
      </c>
      <c r="B21" s="5" t="s">
        <v>240</v>
      </c>
      <c r="C21" s="4">
        <v>19695692</v>
      </c>
      <c r="D21" s="4">
        <v>4041968</v>
      </c>
      <c r="E21" s="4">
        <v>22241000</v>
      </c>
      <c r="F21" s="4">
        <v>22314000</v>
      </c>
      <c r="G21" s="4">
        <v>234921629</v>
      </c>
      <c r="H21" s="4">
        <v>104789968</v>
      </c>
      <c r="I21" s="4">
        <v>234922744</v>
      </c>
      <c r="J21" s="4">
        <v>104789992</v>
      </c>
      <c r="K21" s="4"/>
      <c r="L21" s="5">
        <v>4246.2</v>
      </c>
      <c r="M21" s="5">
        <v>3938.2</v>
      </c>
      <c r="N21" s="5">
        <v>73096.399999999994</v>
      </c>
      <c r="O21" s="5"/>
      <c r="P21" s="5"/>
      <c r="Q21" s="9">
        <v>27.3</v>
      </c>
      <c r="R21" s="4" t="s">
        <v>49</v>
      </c>
      <c r="S21" s="4">
        <v>280</v>
      </c>
      <c r="T21" s="4">
        <v>300</v>
      </c>
      <c r="U21" s="4">
        <v>9234</v>
      </c>
      <c r="V21" s="4">
        <v>9034</v>
      </c>
      <c r="W21" s="5">
        <v>6.01</v>
      </c>
      <c r="X21" s="5">
        <v>5.68</v>
      </c>
      <c r="Y21" s="4">
        <v>1434</v>
      </c>
      <c r="Z21" s="4"/>
      <c r="AA21" s="11">
        <f t="shared" ref="AA21:AF21" si="30">IF(OR(C22=""),"",C22-C21)</f>
        <v>38900</v>
      </c>
      <c r="AB21" s="11">
        <f t="shared" si="30"/>
        <v>43497</v>
      </c>
      <c r="AC21" s="11">
        <f t="shared" si="30"/>
        <v>65000</v>
      </c>
      <c r="AD21" s="11">
        <f t="shared" si="30"/>
        <v>66000</v>
      </c>
      <c r="AE21" s="11">
        <f t="shared" si="30"/>
        <v>212827</v>
      </c>
      <c r="AF21" s="11">
        <f t="shared" si="30"/>
        <v>5570</v>
      </c>
      <c r="AG21" s="11">
        <f t="shared" si="1"/>
        <v>570</v>
      </c>
      <c r="AH21" s="11">
        <f t="shared" si="2"/>
        <v>211878</v>
      </c>
      <c r="AI21" s="15">
        <f t="shared" si="3"/>
        <v>5552</v>
      </c>
      <c r="AJ21" s="15">
        <f t="shared" si="4"/>
        <v>206326</v>
      </c>
      <c r="AK21" s="15">
        <v>3600</v>
      </c>
      <c r="AL21" s="15">
        <f t="shared" si="5"/>
        <v>0</v>
      </c>
      <c r="AM21" s="15">
        <f t="shared" si="6"/>
        <v>0</v>
      </c>
      <c r="AN21" s="15">
        <f t="shared" si="7"/>
        <v>1988</v>
      </c>
      <c r="AO21" s="15">
        <f t="shared" si="8"/>
        <v>720</v>
      </c>
      <c r="AP21" s="15">
        <v>1211</v>
      </c>
      <c r="AQ21" s="18">
        <f t="shared" si="9"/>
        <v>0</v>
      </c>
      <c r="AR21" s="18">
        <f t="shared" si="10"/>
        <v>0</v>
      </c>
      <c r="AS21" s="19">
        <f t="shared" si="11"/>
        <v>9.6</v>
      </c>
      <c r="AT21" s="18">
        <f t="shared" si="12"/>
        <v>3.49</v>
      </c>
    </row>
    <row r="22" spans="1:46">
      <c r="A22" s="6">
        <v>43636</v>
      </c>
      <c r="B22" s="5" t="s">
        <v>46</v>
      </c>
      <c r="C22" s="4">
        <v>19734592</v>
      </c>
      <c r="D22" s="4">
        <v>4085465</v>
      </c>
      <c r="E22" s="4">
        <v>22306000</v>
      </c>
      <c r="F22" s="4">
        <v>22380000</v>
      </c>
      <c r="G22" s="4">
        <v>235134456</v>
      </c>
      <c r="H22" s="4">
        <v>104795538</v>
      </c>
      <c r="I22" s="4">
        <v>235134622</v>
      </c>
      <c r="J22" s="4">
        <v>104795544</v>
      </c>
      <c r="K22" s="4"/>
      <c r="L22" s="5">
        <v>4246.2</v>
      </c>
      <c r="M22" s="5">
        <v>3938.2</v>
      </c>
      <c r="N22" s="5">
        <v>73096.399999999994</v>
      </c>
      <c r="O22" s="5"/>
      <c r="P22" s="5"/>
      <c r="Q22" s="9">
        <v>26.5</v>
      </c>
      <c r="R22" s="4" t="s">
        <v>241</v>
      </c>
      <c r="S22" s="4">
        <v>550</v>
      </c>
      <c r="T22" s="4">
        <v>560</v>
      </c>
      <c r="U22" s="4">
        <v>9397</v>
      </c>
      <c r="V22" s="4">
        <v>6978</v>
      </c>
      <c r="W22" s="5">
        <v>6.26</v>
      </c>
      <c r="X22" s="5">
        <v>4.97</v>
      </c>
      <c r="Y22" s="4">
        <v>1430</v>
      </c>
      <c r="Z22" s="4"/>
      <c r="AA22" s="11">
        <f t="shared" ref="AA22:AF22" si="31">IF(OR(C23=""),"",C23-C22)</f>
        <v>38396</v>
      </c>
      <c r="AB22" s="11">
        <f t="shared" si="31"/>
        <v>43835</v>
      </c>
      <c r="AC22" s="11">
        <f t="shared" si="31"/>
        <v>67000</v>
      </c>
      <c r="AD22" s="11">
        <f t="shared" si="31"/>
        <v>67000</v>
      </c>
      <c r="AE22" s="11">
        <f t="shared" si="31"/>
        <v>209277</v>
      </c>
      <c r="AF22" s="11">
        <f t="shared" si="31"/>
        <v>5537</v>
      </c>
      <c r="AG22" s="11">
        <f t="shared" si="1"/>
        <v>6954</v>
      </c>
      <c r="AH22" s="11">
        <f t="shared" si="2"/>
        <v>210051</v>
      </c>
      <c r="AI22" s="15">
        <f t="shared" si="3"/>
        <v>5552</v>
      </c>
      <c r="AJ22" s="15">
        <f t="shared" si="4"/>
        <v>204499</v>
      </c>
      <c r="AK22" s="15">
        <v>4500</v>
      </c>
      <c r="AL22" s="15">
        <f t="shared" si="5"/>
        <v>2760</v>
      </c>
      <c r="AM22" s="15">
        <f t="shared" si="6"/>
        <v>4</v>
      </c>
      <c r="AN22" s="15">
        <f t="shared" si="7"/>
        <v>3905</v>
      </c>
      <c r="AO22" s="15">
        <f t="shared" si="8"/>
        <v>1344</v>
      </c>
      <c r="AP22" s="15">
        <v>1468</v>
      </c>
      <c r="AQ22" s="18">
        <f t="shared" si="9"/>
        <v>13.5</v>
      </c>
      <c r="AR22" s="18">
        <f t="shared" si="10"/>
        <v>0.02</v>
      </c>
      <c r="AS22" s="19">
        <f t="shared" si="11"/>
        <v>19.100000000000001</v>
      </c>
      <c r="AT22" s="18">
        <f t="shared" si="12"/>
        <v>6.57</v>
      </c>
    </row>
    <row r="23" spans="1:46">
      <c r="A23" s="6">
        <v>43637</v>
      </c>
      <c r="B23" s="5" t="s">
        <v>242</v>
      </c>
      <c r="C23" s="4">
        <v>19772988</v>
      </c>
      <c r="D23" s="4">
        <v>4129300</v>
      </c>
      <c r="E23" s="4">
        <v>22373000</v>
      </c>
      <c r="F23" s="4">
        <v>22447000</v>
      </c>
      <c r="G23" s="4">
        <v>235343733</v>
      </c>
      <c r="H23" s="4">
        <v>104801075</v>
      </c>
      <c r="I23" s="4">
        <v>235344673</v>
      </c>
      <c r="J23" s="4">
        <v>104801096</v>
      </c>
      <c r="K23" s="4"/>
      <c r="L23" s="5">
        <v>4246.2</v>
      </c>
      <c r="M23" s="5">
        <v>3940.5</v>
      </c>
      <c r="N23" s="5">
        <v>73098.399999999994</v>
      </c>
      <c r="O23" s="5"/>
      <c r="P23" s="5"/>
      <c r="Q23" s="9">
        <v>26.8</v>
      </c>
      <c r="R23" s="4" t="s">
        <v>243</v>
      </c>
      <c r="S23" s="4">
        <v>580</v>
      </c>
      <c r="T23" s="4">
        <v>600</v>
      </c>
      <c r="U23" s="4">
        <v>10321</v>
      </c>
      <c r="V23" s="4">
        <v>7852</v>
      </c>
      <c r="W23" s="5">
        <v>6.48</v>
      </c>
      <c r="X23" s="5">
        <v>4.25</v>
      </c>
      <c r="Y23" s="4">
        <v>1433</v>
      </c>
      <c r="Z23" s="4"/>
      <c r="AA23" s="11">
        <f t="shared" ref="AA23:AF23" si="32">IF(OR(C24=""),"",C24-C23)</f>
        <v>40927</v>
      </c>
      <c r="AB23" s="11">
        <f t="shared" si="32"/>
        <v>46654</v>
      </c>
      <c r="AC23" s="11">
        <f t="shared" si="32"/>
        <v>75000</v>
      </c>
      <c r="AD23" s="11">
        <f t="shared" si="32"/>
        <v>76000</v>
      </c>
      <c r="AE23" s="11">
        <f t="shared" si="32"/>
        <v>213942</v>
      </c>
      <c r="AF23" s="11">
        <f t="shared" si="32"/>
        <v>5578</v>
      </c>
      <c r="AG23" s="11">
        <f t="shared" si="1"/>
        <v>24639</v>
      </c>
      <c r="AH23" s="11">
        <f t="shared" si="2"/>
        <v>212935</v>
      </c>
      <c r="AI23" s="15">
        <f t="shared" si="3"/>
        <v>5552</v>
      </c>
      <c r="AJ23" s="15">
        <f t="shared" si="4"/>
        <v>207383</v>
      </c>
      <c r="AK23" s="15">
        <v>4200</v>
      </c>
      <c r="AL23" s="15">
        <f t="shared" si="5"/>
        <v>1320</v>
      </c>
      <c r="AM23" s="15">
        <f t="shared" si="6"/>
        <v>2</v>
      </c>
      <c r="AN23" s="15">
        <f t="shared" si="7"/>
        <v>4118</v>
      </c>
      <c r="AO23" s="15">
        <f t="shared" si="8"/>
        <v>1440</v>
      </c>
      <c r="AP23" s="15">
        <v>1345</v>
      </c>
      <c r="AQ23" s="18">
        <f t="shared" si="9"/>
        <v>6.4</v>
      </c>
      <c r="AR23" s="18">
        <f t="shared" si="10"/>
        <v>0.01</v>
      </c>
      <c r="AS23" s="19">
        <f t="shared" si="11"/>
        <v>19.899999999999999</v>
      </c>
      <c r="AT23" s="18">
        <f t="shared" si="12"/>
        <v>6.94</v>
      </c>
    </row>
    <row r="24" spans="1:46">
      <c r="A24" s="6">
        <v>43638</v>
      </c>
      <c r="B24" s="5" t="s">
        <v>244</v>
      </c>
      <c r="C24" s="4">
        <v>19813915</v>
      </c>
      <c r="D24" s="4">
        <v>4175954</v>
      </c>
      <c r="E24" s="4">
        <v>22448000</v>
      </c>
      <c r="F24" s="4">
        <v>22523000</v>
      </c>
      <c r="G24" s="4">
        <v>235557675</v>
      </c>
      <c r="H24" s="4">
        <v>104806653</v>
      </c>
      <c r="I24" s="4">
        <v>235557608</v>
      </c>
      <c r="J24" s="4">
        <v>104806648</v>
      </c>
      <c r="K24" s="4"/>
      <c r="L24" s="5">
        <v>4246.2</v>
      </c>
      <c r="M24" s="5">
        <v>3941.6</v>
      </c>
      <c r="N24" s="5">
        <v>73099.199999999997</v>
      </c>
      <c r="O24" s="5"/>
      <c r="P24" s="5"/>
      <c r="Q24" s="9">
        <v>27</v>
      </c>
      <c r="R24" s="4" t="s">
        <v>245</v>
      </c>
      <c r="S24" s="4">
        <v>560</v>
      </c>
      <c r="T24" s="4">
        <v>590</v>
      </c>
      <c r="U24" s="4">
        <v>9312</v>
      </c>
      <c r="V24" s="4">
        <v>7762</v>
      </c>
      <c r="W24" s="5">
        <v>6.43</v>
      </c>
      <c r="X24" s="5">
        <v>5.41</v>
      </c>
      <c r="Y24" s="4">
        <v>1433</v>
      </c>
      <c r="Z24" s="4"/>
      <c r="AA24" s="11">
        <f t="shared" ref="AA24:AF24" si="33">IF(OR(C25=""),"",C25-C24)</f>
        <v>39517</v>
      </c>
      <c r="AB24" s="11">
        <f t="shared" si="33"/>
        <v>43182</v>
      </c>
      <c r="AC24" s="11">
        <f t="shared" si="33"/>
        <v>67000</v>
      </c>
      <c r="AD24" s="11">
        <f t="shared" si="33"/>
        <v>69000</v>
      </c>
      <c r="AE24" s="11">
        <f t="shared" si="33"/>
        <v>210967</v>
      </c>
      <c r="AF24" s="11">
        <f t="shared" si="33"/>
        <v>5558</v>
      </c>
      <c r="AG24" s="11">
        <f t="shared" si="1"/>
        <v>7732</v>
      </c>
      <c r="AH24" s="11">
        <f t="shared" si="2"/>
        <v>210654</v>
      </c>
      <c r="AI24" s="15">
        <f t="shared" si="3"/>
        <v>5552</v>
      </c>
      <c r="AJ24" s="15">
        <f t="shared" si="4"/>
        <v>205102</v>
      </c>
      <c r="AK24" s="15">
        <v>4600</v>
      </c>
      <c r="AL24" s="15">
        <f t="shared" si="5"/>
        <v>3360</v>
      </c>
      <c r="AM24" s="15">
        <f t="shared" si="6"/>
        <v>3</v>
      </c>
      <c r="AN24" s="15">
        <f t="shared" si="7"/>
        <v>3976</v>
      </c>
      <c r="AO24" s="15">
        <f t="shared" si="8"/>
        <v>1416</v>
      </c>
      <c r="AP24" s="15">
        <v>2063</v>
      </c>
      <c r="AQ24" s="18">
        <f t="shared" si="9"/>
        <v>16.399999999999999</v>
      </c>
      <c r="AR24" s="18">
        <f t="shared" si="10"/>
        <v>0.01</v>
      </c>
      <c r="AS24" s="19">
        <f t="shared" si="11"/>
        <v>19.399999999999999</v>
      </c>
      <c r="AT24" s="18">
        <f t="shared" si="12"/>
        <v>6.9</v>
      </c>
    </row>
    <row r="25" spans="1:46">
      <c r="A25" s="6">
        <v>43639</v>
      </c>
      <c r="B25" s="5" t="s">
        <v>246</v>
      </c>
      <c r="C25" s="4">
        <v>19853432</v>
      </c>
      <c r="D25" s="4">
        <v>4219136</v>
      </c>
      <c r="E25" s="4">
        <v>22515000</v>
      </c>
      <c r="F25" s="4">
        <v>22592000</v>
      </c>
      <c r="G25" s="4">
        <v>235768642</v>
      </c>
      <c r="H25" s="4">
        <v>104812211</v>
      </c>
      <c r="I25" s="4">
        <v>235768262</v>
      </c>
      <c r="J25" s="4">
        <v>104812200</v>
      </c>
      <c r="K25" s="4"/>
      <c r="L25" s="5">
        <v>4246.2</v>
      </c>
      <c r="M25" s="5">
        <v>3944.4</v>
      </c>
      <c r="N25" s="5">
        <v>73100.600000000006</v>
      </c>
      <c r="O25" s="5"/>
      <c r="P25" s="5"/>
      <c r="Q25" s="9">
        <v>27.2</v>
      </c>
      <c r="R25" s="4" t="s">
        <v>247</v>
      </c>
      <c r="S25" s="4">
        <v>320</v>
      </c>
      <c r="T25" s="4">
        <v>350</v>
      </c>
      <c r="U25" s="4">
        <v>9341</v>
      </c>
      <c r="V25" s="4">
        <v>7012</v>
      </c>
      <c r="W25" s="5">
        <v>5.93</v>
      </c>
      <c r="X25" s="5">
        <v>5.29</v>
      </c>
      <c r="Y25" s="4">
        <v>1435</v>
      </c>
      <c r="Z25" s="4"/>
      <c r="AA25" s="11">
        <f t="shared" ref="AA25:AF25" si="34">IF(OR(C26=""),"",C26-C25)</f>
        <v>38814</v>
      </c>
      <c r="AB25" s="11">
        <f t="shared" si="34"/>
        <v>41777</v>
      </c>
      <c r="AC25" s="11">
        <f t="shared" si="34"/>
        <v>66000</v>
      </c>
      <c r="AD25" s="11">
        <f t="shared" si="34"/>
        <v>67000</v>
      </c>
      <c r="AE25" s="11">
        <f t="shared" si="34"/>
        <v>211971</v>
      </c>
      <c r="AF25" s="11">
        <f t="shared" si="34"/>
        <v>5574</v>
      </c>
      <c r="AG25" s="11">
        <f t="shared" si="1"/>
        <v>1620</v>
      </c>
      <c r="AH25" s="11">
        <f t="shared" si="2"/>
        <v>211628</v>
      </c>
      <c r="AI25" s="15">
        <f t="shared" si="3"/>
        <v>5560</v>
      </c>
      <c r="AJ25" s="15">
        <f t="shared" si="4"/>
        <v>206068</v>
      </c>
      <c r="AK25" s="15">
        <v>4000</v>
      </c>
      <c r="AL25" s="15">
        <f t="shared" si="5"/>
        <v>1080</v>
      </c>
      <c r="AM25" s="15">
        <f t="shared" si="6"/>
        <v>1</v>
      </c>
      <c r="AN25" s="15">
        <f t="shared" si="7"/>
        <v>2272</v>
      </c>
      <c r="AO25" s="15">
        <f t="shared" si="8"/>
        <v>840</v>
      </c>
      <c r="AP25" s="15">
        <v>1667</v>
      </c>
      <c r="AQ25" s="18">
        <f t="shared" si="9"/>
        <v>5.2</v>
      </c>
      <c r="AR25" s="18">
        <f t="shared" si="10"/>
        <v>0</v>
      </c>
      <c r="AS25" s="19">
        <f t="shared" si="11"/>
        <v>11</v>
      </c>
      <c r="AT25" s="18">
        <f t="shared" si="12"/>
        <v>4.08</v>
      </c>
    </row>
    <row r="26" spans="1:46">
      <c r="A26" s="6">
        <v>43640</v>
      </c>
      <c r="B26" s="5" t="s">
        <v>248</v>
      </c>
      <c r="C26" s="4">
        <v>19892246</v>
      </c>
      <c r="D26" s="4">
        <v>4260913</v>
      </c>
      <c r="E26" s="4">
        <v>22581000</v>
      </c>
      <c r="F26" s="4">
        <v>22659000</v>
      </c>
      <c r="G26" s="4">
        <v>235980613</v>
      </c>
      <c r="H26" s="4">
        <v>104817785</v>
      </c>
      <c r="I26" s="4">
        <v>235979890</v>
      </c>
      <c r="J26" s="4">
        <v>104817760</v>
      </c>
      <c r="K26" s="4"/>
      <c r="L26" s="5">
        <v>4246.2</v>
      </c>
      <c r="M26" s="5">
        <v>3945.3</v>
      </c>
      <c r="N26" s="5">
        <v>73101.3</v>
      </c>
      <c r="O26" s="5"/>
      <c r="P26" s="5"/>
      <c r="Q26" s="9">
        <v>27.8</v>
      </c>
      <c r="R26" s="4" t="s">
        <v>249</v>
      </c>
      <c r="S26" s="4">
        <v>680</v>
      </c>
      <c r="T26" s="4">
        <v>700</v>
      </c>
      <c r="U26" s="4">
        <v>9254</v>
      </c>
      <c r="V26" s="4">
        <v>8745</v>
      </c>
      <c r="W26" s="5">
        <v>5.92</v>
      </c>
      <c r="X26" s="5">
        <v>4.6500000000000004</v>
      </c>
      <c r="Y26" s="4">
        <v>1435</v>
      </c>
      <c r="Z26" s="4"/>
      <c r="AA26" s="11">
        <f t="shared" ref="AA26:AF26" si="35">IF(OR(C27=""),"",C27-C26)</f>
        <v>43578</v>
      </c>
      <c r="AB26" s="11">
        <f t="shared" si="35"/>
        <v>51041</v>
      </c>
      <c r="AC26" s="11">
        <f t="shared" si="35"/>
        <v>62000</v>
      </c>
      <c r="AD26" s="11">
        <f t="shared" si="35"/>
        <v>62000</v>
      </c>
      <c r="AE26" s="11">
        <f t="shared" si="35"/>
        <v>206912</v>
      </c>
      <c r="AF26" s="11">
        <f t="shared" si="35"/>
        <v>5499</v>
      </c>
      <c r="AG26" s="11">
        <f t="shared" si="1"/>
        <v>11707</v>
      </c>
      <c r="AH26" s="11">
        <f t="shared" si="2"/>
        <v>208956</v>
      </c>
      <c r="AI26" s="15">
        <f t="shared" si="3"/>
        <v>5560</v>
      </c>
      <c r="AJ26" s="15">
        <f t="shared" si="4"/>
        <v>203396</v>
      </c>
      <c r="AK26" s="15">
        <v>4500</v>
      </c>
      <c r="AL26" s="15">
        <f t="shared" si="5"/>
        <v>0</v>
      </c>
      <c r="AM26" s="15">
        <f t="shared" si="6"/>
        <v>0</v>
      </c>
      <c r="AN26" s="15">
        <f t="shared" si="7"/>
        <v>4828</v>
      </c>
      <c r="AO26" s="15">
        <f t="shared" si="8"/>
        <v>1680</v>
      </c>
      <c r="AP26" s="15">
        <v>1585</v>
      </c>
      <c r="AQ26" s="18">
        <f t="shared" si="9"/>
        <v>0</v>
      </c>
      <c r="AR26" s="18">
        <f t="shared" si="10"/>
        <v>0</v>
      </c>
      <c r="AS26" s="19">
        <f t="shared" si="11"/>
        <v>23.7</v>
      </c>
      <c r="AT26" s="18">
        <f t="shared" si="12"/>
        <v>8.26</v>
      </c>
    </row>
    <row r="27" spans="1:46">
      <c r="A27" s="6">
        <v>43641</v>
      </c>
      <c r="B27" s="5" t="s">
        <v>48</v>
      </c>
      <c r="C27" s="4">
        <v>19935824</v>
      </c>
      <c r="D27" s="4">
        <v>4311954</v>
      </c>
      <c r="E27" s="4">
        <v>22643000</v>
      </c>
      <c r="F27" s="4">
        <v>22721000</v>
      </c>
      <c r="G27" s="4">
        <v>236187525</v>
      </c>
      <c r="H27" s="4">
        <v>104823284</v>
      </c>
      <c r="I27" s="4">
        <v>236188846</v>
      </c>
      <c r="J27" s="4">
        <v>104823320</v>
      </c>
      <c r="K27" s="4"/>
      <c r="L27" s="5">
        <v>4246.2</v>
      </c>
      <c r="M27" s="5">
        <v>3945.3</v>
      </c>
      <c r="N27" s="5">
        <v>73101.399999999994</v>
      </c>
      <c r="O27" s="5"/>
      <c r="P27" s="5"/>
      <c r="Q27" s="9">
        <v>27.6</v>
      </c>
      <c r="R27" s="4" t="s">
        <v>44</v>
      </c>
      <c r="S27" s="4">
        <v>570</v>
      </c>
      <c r="T27" s="4">
        <v>600</v>
      </c>
      <c r="U27" s="4">
        <v>10719</v>
      </c>
      <c r="V27" s="4">
        <v>7935</v>
      </c>
      <c r="W27" s="5">
        <v>4.5</v>
      </c>
      <c r="X27" s="5">
        <v>2.37</v>
      </c>
      <c r="Y27" s="4">
        <v>1343</v>
      </c>
      <c r="Z27" s="4"/>
      <c r="AA27" s="11">
        <f t="shared" ref="AA27:AF27" si="36">IF(OR(C28=""),"",C28-C27)</f>
        <v>50447</v>
      </c>
      <c r="AB27" s="11">
        <f t="shared" si="36"/>
        <v>54857</v>
      </c>
      <c r="AC27" s="11">
        <f t="shared" si="36"/>
        <v>71000</v>
      </c>
      <c r="AD27" s="11">
        <f t="shared" si="36"/>
        <v>72000</v>
      </c>
      <c r="AE27" s="11">
        <f t="shared" si="36"/>
        <v>215112</v>
      </c>
      <c r="AF27" s="11">
        <f t="shared" si="36"/>
        <v>5598</v>
      </c>
      <c r="AG27" s="11">
        <f t="shared" si="1"/>
        <v>33192</v>
      </c>
      <c r="AH27" s="11">
        <f t="shared" si="2"/>
        <v>213477</v>
      </c>
      <c r="AI27" s="15">
        <f t="shared" si="3"/>
        <v>5568</v>
      </c>
      <c r="AJ27" s="15">
        <f t="shared" si="4"/>
        <v>207909</v>
      </c>
      <c r="AK27" s="15">
        <v>4000</v>
      </c>
      <c r="AL27" s="15">
        <f t="shared" si="5"/>
        <v>0</v>
      </c>
      <c r="AM27" s="15">
        <f t="shared" si="6"/>
        <v>0</v>
      </c>
      <c r="AN27" s="15">
        <f t="shared" si="7"/>
        <v>4047</v>
      </c>
      <c r="AO27" s="15">
        <f t="shared" si="8"/>
        <v>1440</v>
      </c>
      <c r="AP27" s="15">
        <v>1603</v>
      </c>
      <c r="AQ27" s="18">
        <f t="shared" si="9"/>
        <v>0</v>
      </c>
      <c r="AR27" s="18">
        <f t="shared" si="10"/>
        <v>0</v>
      </c>
      <c r="AS27" s="19">
        <f t="shared" si="11"/>
        <v>19.5</v>
      </c>
      <c r="AT27" s="18">
        <f t="shared" si="12"/>
        <v>6.93</v>
      </c>
    </row>
    <row r="28" spans="1:46">
      <c r="A28" s="6">
        <v>43642</v>
      </c>
      <c r="B28" s="5" t="s">
        <v>45</v>
      </c>
      <c r="C28" s="4">
        <v>19986271</v>
      </c>
      <c r="D28" s="4">
        <v>4366811</v>
      </c>
      <c r="E28" s="4">
        <v>22714000</v>
      </c>
      <c r="F28" s="4">
        <v>22793000</v>
      </c>
      <c r="G28" s="4">
        <v>236402637</v>
      </c>
      <c r="H28" s="4">
        <v>104828882</v>
      </c>
      <c r="I28" s="4">
        <v>236402323</v>
      </c>
      <c r="J28" s="4">
        <v>104828888</v>
      </c>
      <c r="K28" s="4"/>
      <c r="L28" s="5">
        <v>4246.2</v>
      </c>
      <c r="M28" s="5">
        <v>3945.3</v>
      </c>
      <c r="N28" s="5">
        <v>73101.399999999994</v>
      </c>
      <c r="O28" s="5"/>
      <c r="P28" s="5"/>
      <c r="Q28" s="9">
        <v>27.5</v>
      </c>
      <c r="R28" s="4" t="s">
        <v>234</v>
      </c>
      <c r="S28" s="4">
        <v>560</v>
      </c>
      <c r="T28" s="4">
        <v>590</v>
      </c>
      <c r="U28" s="4">
        <v>10234</v>
      </c>
      <c r="V28" s="4">
        <v>2268</v>
      </c>
      <c r="W28" s="5">
        <v>6.17</v>
      </c>
      <c r="X28" s="5">
        <v>2.1</v>
      </c>
      <c r="Y28" s="4">
        <v>281</v>
      </c>
      <c r="Z28" s="4"/>
      <c r="AA28" s="11">
        <f t="shared" ref="AA28:AF28" si="37">IF(OR(C29=""),"",C29-C28)</f>
        <v>39644</v>
      </c>
      <c r="AB28" s="11">
        <f t="shared" si="37"/>
        <v>44714</v>
      </c>
      <c r="AC28" s="11">
        <f t="shared" si="37"/>
        <v>71000</v>
      </c>
      <c r="AD28" s="11">
        <f t="shared" si="37"/>
        <v>72000</v>
      </c>
      <c r="AE28" s="11">
        <f t="shared" si="37"/>
        <v>205990</v>
      </c>
      <c r="AF28" s="11">
        <f t="shared" si="37"/>
        <v>5519</v>
      </c>
      <c r="AG28" s="11">
        <f t="shared" si="1"/>
        <v>21368</v>
      </c>
      <c r="AH28" s="11">
        <f t="shared" si="2"/>
        <v>207651</v>
      </c>
      <c r="AI28" s="15">
        <f t="shared" si="3"/>
        <v>5544</v>
      </c>
      <c r="AJ28" s="15">
        <f t="shared" si="4"/>
        <v>202107</v>
      </c>
      <c r="AK28" s="15">
        <v>3600</v>
      </c>
      <c r="AL28" s="15">
        <f t="shared" si="5"/>
        <v>0</v>
      </c>
      <c r="AM28" s="15">
        <f t="shared" si="6"/>
        <v>0</v>
      </c>
      <c r="AN28" s="15">
        <f t="shared" si="7"/>
        <v>3976</v>
      </c>
      <c r="AO28" s="15">
        <f t="shared" si="8"/>
        <v>1416</v>
      </c>
      <c r="AP28" s="15">
        <v>1429</v>
      </c>
      <c r="AQ28" s="18">
        <f t="shared" si="9"/>
        <v>0</v>
      </c>
      <c r="AR28" s="18">
        <f t="shared" si="10"/>
        <v>0</v>
      </c>
      <c r="AS28" s="19">
        <f t="shared" si="11"/>
        <v>19.7</v>
      </c>
      <c r="AT28" s="18">
        <f t="shared" si="12"/>
        <v>7.01</v>
      </c>
    </row>
    <row r="29" spans="1:46">
      <c r="A29" s="6">
        <v>43643</v>
      </c>
      <c r="B29" s="5" t="s">
        <v>250</v>
      </c>
      <c r="C29" s="4">
        <v>20025915</v>
      </c>
      <c r="D29" s="4">
        <v>4411525</v>
      </c>
      <c r="E29" s="4">
        <v>22785000</v>
      </c>
      <c r="F29" s="4">
        <v>22865000</v>
      </c>
      <c r="G29" s="4">
        <v>236608627</v>
      </c>
      <c r="H29" s="4">
        <v>104834401</v>
      </c>
      <c r="I29" s="4">
        <v>236609974</v>
      </c>
      <c r="J29" s="4">
        <v>104834432</v>
      </c>
      <c r="K29" s="4"/>
      <c r="L29" s="5">
        <v>4246.2</v>
      </c>
      <c r="M29" s="5">
        <v>3945.3</v>
      </c>
      <c r="N29" s="5">
        <v>73101.600000000006</v>
      </c>
      <c r="O29" s="5"/>
      <c r="P29" s="5"/>
      <c r="Q29" s="9">
        <v>27</v>
      </c>
      <c r="R29" s="4" t="s">
        <v>251</v>
      </c>
      <c r="S29" s="4">
        <v>700</v>
      </c>
      <c r="T29" s="4">
        <v>710</v>
      </c>
      <c r="U29" s="4">
        <v>10352</v>
      </c>
      <c r="V29" s="4">
        <v>7356</v>
      </c>
      <c r="W29" s="5">
        <v>6.31</v>
      </c>
      <c r="X29" s="5">
        <v>2.31</v>
      </c>
      <c r="Y29" s="4">
        <v>1313</v>
      </c>
      <c r="Z29" s="4"/>
      <c r="AA29" s="11">
        <f t="shared" ref="AA29:AF29" si="38">IF(OR(C30=""),"",C30-C29)</f>
        <v>41527</v>
      </c>
      <c r="AB29" s="11">
        <f t="shared" si="38"/>
        <v>46902</v>
      </c>
      <c r="AC29" s="11">
        <f t="shared" si="38"/>
        <v>79000</v>
      </c>
      <c r="AD29" s="11">
        <f t="shared" si="38"/>
        <v>80000</v>
      </c>
      <c r="AE29" s="11">
        <f t="shared" si="38"/>
        <v>209812</v>
      </c>
      <c r="AF29" s="11">
        <f t="shared" si="38"/>
        <v>5606</v>
      </c>
      <c r="AG29" s="11">
        <f t="shared" si="1"/>
        <v>37617</v>
      </c>
      <c r="AH29" s="11">
        <f t="shared" si="2"/>
        <v>208201</v>
      </c>
      <c r="AI29" s="15">
        <f t="shared" si="3"/>
        <v>5560</v>
      </c>
      <c r="AJ29" s="15">
        <f t="shared" si="4"/>
        <v>202641</v>
      </c>
      <c r="AK29" s="15">
        <v>3800</v>
      </c>
      <c r="AL29" s="15">
        <f t="shared" si="5"/>
        <v>720</v>
      </c>
      <c r="AM29" s="15">
        <f t="shared" si="6"/>
        <v>1</v>
      </c>
      <c r="AN29" s="15">
        <f t="shared" si="7"/>
        <v>4970</v>
      </c>
      <c r="AO29" s="15">
        <f t="shared" si="8"/>
        <v>1704</v>
      </c>
      <c r="AP29" s="15">
        <v>1857</v>
      </c>
      <c r="AQ29" s="18">
        <f t="shared" si="9"/>
        <v>3.6</v>
      </c>
      <c r="AR29" s="18">
        <f t="shared" si="10"/>
        <v>0</v>
      </c>
      <c r="AS29" s="19">
        <f t="shared" si="11"/>
        <v>24.5</v>
      </c>
      <c r="AT29" s="18">
        <f t="shared" si="12"/>
        <v>8.41</v>
      </c>
    </row>
    <row r="30" spans="1:46">
      <c r="A30" s="6">
        <v>43644</v>
      </c>
      <c r="B30" s="5" t="s">
        <v>252</v>
      </c>
      <c r="C30" s="4">
        <v>20067442</v>
      </c>
      <c r="D30" s="4">
        <v>4458427</v>
      </c>
      <c r="E30" s="4">
        <v>22864000</v>
      </c>
      <c r="F30" s="4">
        <v>22945000</v>
      </c>
      <c r="G30" s="4">
        <v>236818439</v>
      </c>
      <c r="H30" s="4">
        <v>104840007</v>
      </c>
      <c r="I30" s="4">
        <v>236818175</v>
      </c>
      <c r="J30" s="4">
        <v>104839992</v>
      </c>
      <c r="K30" s="4"/>
      <c r="L30" s="5">
        <v>4246.2</v>
      </c>
      <c r="M30" s="5">
        <v>3945.9</v>
      </c>
      <c r="N30" s="5">
        <v>73102.100000000006</v>
      </c>
      <c r="O30" s="5"/>
      <c r="P30" s="5"/>
      <c r="Q30" s="9">
        <v>27.3</v>
      </c>
      <c r="R30" s="4" t="s">
        <v>253</v>
      </c>
      <c r="S30" s="4">
        <v>760</v>
      </c>
      <c r="T30" s="4">
        <v>780</v>
      </c>
      <c r="U30" s="4">
        <v>9452</v>
      </c>
      <c r="V30" s="4">
        <v>7982</v>
      </c>
      <c r="W30" s="5">
        <v>6.8</v>
      </c>
      <c r="X30" s="5">
        <v>6.05</v>
      </c>
      <c r="Y30" s="4">
        <v>1433</v>
      </c>
      <c r="Z30" s="4"/>
      <c r="AA30" s="11">
        <f t="shared" ref="AA30:AF30" si="39">IF(OR(C31=""),"",C31-C30)</f>
        <v>45472</v>
      </c>
      <c r="AB30" s="11">
        <f t="shared" si="39"/>
        <v>54060</v>
      </c>
      <c r="AC30" s="11">
        <f t="shared" si="39"/>
        <v>60000</v>
      </c>
      <c r="AD30" s="11">
        <f t="shared" si="39"/>
        <v>59000</v>
      </c>
      <c r="AE30" s="11">
        <f t="shared" si="39"/>
        <v>210316</v>
      </c>
      <c r="AF30" s="11">
        <f t="shared" si="39"/>
        <v>5557</v>
      </c>
      <c r="AG30" s="11">
        <f t="shared" si="1"/>
        <v>8216</v>
      </c>
      <c r="AH30" s="11">
        <f t="shared" si="2"/>
        <v>209933</v>
      </c>
      <c r="AI30" s="15">
        <f t="shared" si="3"/>
        <v>5552</v>
      </c>
      <c r="AJ30" s="15">
        <f t="shared" si="4"/>
        <v>204381</v>
      </c>
      <c r="AK30" s="15">
        <v>3200</v>
      </c>
      <c r="AL30" s="15">
        <f t="shared" si="5"/>
        <v>4440</v>
      </c>
      <c r="AM30" s="15">
        <f t="shared" si="6"/>
        <v>5</v>
      </c>
      <c r="AN30" s="15">
        <f t="shared" si="7"/>
        <v>5396</v>
      </c>
      <c r="AO30" s="15">
        <f t="shared" si="8"/>
        <v>1872</v>
      </c>
      <c r="AP30" s="15">
        <v>1785</v>
      </c>
      <c r="AQ30" s="18">
        <f t="shared" si="9"/>
        <v>21.7</v>
      </c>
      <c r="AR30" s="18">
        <f t="shared" si="10"/>
        <v>0.02</v>
      </c>
      <c r="AS30" s="19">
        <f t="shared" si="11"/>
        <v>26.4</v>
      </c>
      <c r="AT30" s="18">
        <f t="shared" si="12"/>
        <v>9.16</v>
      </c>
    </row>
    <row r="31" spans="1:46">
      <c r="A31" s="6">
        <v>43645</v>
      </c>
      <c r="B31" s="5" t="s">
        <v>254</v>
      </c>
      <c r="C31" s="4">
        <v>20112914</v>
      </c>
      <c r="D31" s="4">
        <v>4512487</v>
      </c>
      <c r="E31" s="4">
        <v>22924000</v>
      </c>
      <c r="F31" s="4">
        <v>23004000</v>
      </c>
      <c r="G31" s="4">
        <v>237028755</v>
      </c>
      <c r="H31" s="4">
        <v>104845564</v>
      </c>
      <c r="I31" s="4">
        <v>237028108</v>
      </c>
      <c r="J31" s="4">
        <v>104845544</v>
      </c>
      <c r="K31" s="4"/>
      <c r="L31" s="5">
        <v>4246.2</v>
      </c>
      <c r="M31" s="5">
        <v>3949.6</v>
      </c>
      <c r="N31" s="5">
        <v>73104.5</v>
      </c>
      <c r="O31" s="5"/>
      <c r="P31" s="5"/>
      <c r="Q31" s="9">
        <v>27.5</v>
      </c>
      <c r="R31" s="4" t="s">
        <v>255</v>
      </c>
      <c r="S31" s="4">
        <v>790</v>
      </c>
      <c r="T31" s="4">
        <v>800</v>
      </c>
      <c r="U31" s="4">
        <v>9312</v>
      </c>
      <c r="V31" s="4">
        <v>7325</v>
      </c>
      <c r="W31" s="5">
        <v>6.93</v>
      </c>
      <c r="X31" s="5">
        <v>5.69</v>
      </c>
      <c r="Y31" s="4">
        <v>1429</v>
      </c>
      <c r="Z31" s="4"/>
      <c r="AA31" s="11">
        <f t="shared" ref="AA31:AF31" si="40">IF(OR(C32=""),"",C32-C31)</f>
        <v>45508</v>
      </c>
      <c r="AB31" s="11">
        <f t="shared" si="40"/>
        <v>54592</v>
      </c>
      <c r="AC31" s="11">
        <f t="shared" si="40"/>
        <v>55000</v>
      </c>
      <c r="AD31" s="11">
        <f t="shared" si="40"/>
        <v>55000</v>
      </c>
      <c r="AE31" s="11">
        <f t="shared" si="40"/>
        <v>208253</v>
      </c>
      <c r="AF31" s="11">
        <f t="shared" si="40"/>
        <v>5511</v>
      </c>
      <c r="AG31" s="11">
        <f t="shared" si="1"/>
        <v>1847</v>
      </c>
      <c r="AH31" s="11">
        <f t="shared" si="2"/>
        <v>209161</v>
      </c>
      <c r="AI31" s="15">
        <f t="shared" si="3"/>
        <v>5536</v>
      </c>
      <c r="AJ31" s="15">
        <f t="shared" si="4"/>
        <v>203625</v>
      </c>
      <c r="AK31" s="15">
        <v>3600</v>
      </c>
      <c r="AL31" s="15">
        <f t="shared" si="5"/>
        <v>4800</v>
      </c>
      <c r="AM31" s="15">
        <f t="shared" si="6"/>
        <v>4</v>
      </c>
      <c r="AN31" s="15">
        <f t="shared" si="7"/>
        <v>5609</v>
      </c>
      <c r="AO31" s="15">
        <f t="shared" si="8"/>
        <v>1920</v>
      </c>
      <c r="AP31" s="15">
        <v>1643</v>
      </c>
      <c r="AQ31" s="18">
        <f t="shared" si="9"/>
        <v>23.6</v>
      </c>
      <c r="AR31" s="18">
        <f t="shared" si="10"/>
        <v>0.02</v>
      </c>
      <c r="AS31" s="19">
        <f t="shared" si="11"/>
        <v>27.5</v>
      </c>
      <c r="AT31" s="18">
        <f t="shared" si="12"/>
        <v>9.43</v>
      </c>
    </row>
    <row r="32" spans="1:46">
      <c r="A32" s="6">
        <v>43646</v>
      </c>
      <c r="B32" s="5" t="s">
        <v>256</v>
      </c>
      <c r="C32" s="4">
        <v>20158422</v>
      </c>
      <c r="D32" s="4">
        <v>4567079</v>
      </c>
      <c r="E32" s="4">
        <v>22979000</v>
      </c>
      <c r="F32" s="4">
        <v>23059000</v>
      </c>
      <c r="G32" s="4">
        <v>237237008</v>
      </c>
      <c r="H32" s="4">
        <v>104851075</v>
      </c>
      <c r="I32" s="4">
        <v>237237269</v>
      </c>
      <c r="J32" s="4">
        <v>104851080</v>
      </c>
      <c r="K32" s="4"/>
      <c r="L32" s="5">
        <v>4246.2</v>
      </c>
      <c r="M32" s="5">
        <v>3953.6</v>
      </c>
      <c r="N32" s="5">
        <v>73106.600000000006</v>
      </c>
      <c r="O32" s="5"/>
      <c r="P32" s="5"/>
      <c r="Q32" s="9">
        <v>27.4</v>
      </c>
      <c r="R32" s="4" t="s">
        <v>257</v>
      </c>
      <c r="S32" s="4">
        <v>600</v>
      </c>
      <c r="T32" s="4">
        <v>580</v>
      </c>
      <c r="U32" s="4">
        <v>9596</v>
      </c>
      <c r="V32" s="4">
        <v>7989</v>
      </c>
      <c r="W32" s="5">
        <v>6.22</v>
      </c>
      <c r="X32" s="5">
        <v>5.17</v>
      </c>
      <c r="Y32" s="4">
        <v>1433</v>
      </c>
      <c r="Z32" s="4"/>
      <c r="AA32" s="11">
        <f t="shared" ref="AA32:AF32" si="41">IF(OR(C33=""),"",C33-C32)</f>
        <v>34977</v>
      </c>
      <c r="AB32" s="11">
        <f t="shared" si="41"/>
        <v>41384</v>
      </c>
      <c r="AC32" s="4">
        <v>49349</v>
      </c>
      <c r="AD32" s="4">
        <v>48900</v>
      </c>
      <c r="AE32" s="11">
        <f t="shared" si="41"/>
        <v>210707</v>
      </c>
      <c r="AF32" s="11">
        <f t="shared" si="41"/>
        <v>5568</v>
      </c>
      <c r="AG32" s="11">
        <f t="shared" si="1"/>
        <v>-36097</v>
      </c>
      <c r="AH32" s="11">
        <f t="shared" si="2"/>
        <v>210158</v>
      </c>
      <c r="AI32" s="15">
        <f t="shared" si="3"/>
        <v>5563</v>
      </c>
      <c r="AJ32" s="15">
        <f t="shared" si="4"/>
        <v>204595</v>
      </c>
      <c r="AK32" s="15">
        <v>3600</v>
      </c>
      <c r="AL32" s="15">
        <f t="shared" si="5"/>
        <v>720</v>
      </c>
      <c r="AM32" s="15">
        <f t="shared" si="6"/>
        <v>0</v>
      </c>
      <c r="AN32" s="15">
        <f t="shared" si="7"/>
        <v>4260</v>
      </c>
      <c r="AO32" s="15">
        <f t="shared" si="8"/>
        <v>1392</v>
      </c>
      <c r="AP32" s="15">
        <v>1700</v>
      </c>
      <c r="AQ32" s="18">
        <f t="shared" si="9"/>
        <v>3.5</v>
      </c>
      <c r="AR32" s="18">
        <f t="shared" si="10"/>
        <v>0</v>
      </c>
      <c r="AS32" s="19">
        <f t="shared" si="11"/>
        <v>20.8</v>
      </c>
      <c r="AT32" s="18">
        <f t="shared" si="12"/>
        <v>6.8</v>
      </c>
    </row>
    <row r="33" spans="1:46" ht="26.4">
      <c r="A33" s="6">
        <v>43647</v>
      </c>
      <c r="B33" s="5" t="s">
        <v>258</v>
      </c>
      <c r="C33" s="4">
        <v>20193399</v>
      </c>
      <c r="D33" s="4">
        <v>4608463</v>
      </c>
      <c r="E33" s="4">
        <v>49349</v>
      </c>
      <c r="F33" s="4">
        <v>23064000</v>
      </c>
      <c r="G33" s="4">
        <v>237447715</v>
      </c>
      <c r="H33" s="4">
        <v>104856643</v>
      </c>
      <c r="I33" s="4">
        <v>237447427</v>
      </c>
      <c r="J33" s="4">
        <v>104856643</v>
      </c>
      <c r="K33" s="4"/>
      <c r="L33" s="5">
        <v>4246.2</v>
      </c>
      <c r="M33" s="5">
        <v>3954.2</v>
      </c>
      <c r="N33" s="5">
        <v>73106.8</v>
      </c>
      <c r="O33" s="5"/>
      <c r="P33" s="5"/>
      <c r="Q33" s="9">
        <v>27.6</v>
      </c>
      <c r="R33" s="4" t="s">
        <v>259</v>
      </c>
      <c r="S33" s="4"/>
      <c r="T33" s="4"/>
      <c r="U33" s="4"/>
      <c r="V33" s="4"/>
      <c r="W33" s="5"/>
      <c r="X33" s="5"/>
      <c r="Y33" s="4"/>
      <c r="Z33" s="4" t="s">
        <v>260</v>
      </c>
      <c r="AA33" s="11" t="str">
        <f t="shared" ref="AA33:AF33" si="42">IF(OR(C34=""),"",C34-C33)</f>
        <v/>
      </c>
      <c r="AB33" s="11" t="str">
        <f t="shared" si="42"/>
        <v/>
      </c>
      <c r="AC33" s="11" t="str">
        <f t="shared" si="42"/>
        <v/>
      </c>
      <c r="AD33" s="11" t="str">
        <f t="shared" si="42"/>
        <v/>
      </c>
      <c r="AE33" s="11" t="str">
        <f t="shared" si="42"/>
        <v/>
      </c>
      <c r="AF33" s="11" t="str">
        <f t="shared" si="42"/>
        <v/>
      </c>
      <c r="AG33" s="11" t="str">
        <f t="shared" si="1"/>
        <v/>
      </c>
      <c r="AH33" s="11" t="str">
        <f t="shared" si="2"/>
        <v/>
      </c>
      <c r="AI33" s="15" t="str">
        <f t="shared" si="3"/>
        <v/>
      </c>
      <c r="AJ33" s="15" t="str">
        <f t="shared" si="4"/>
        <v/>
      </c>
      <c r="AK33" s="15" t="str">
        <f t="shared" ref="AK33" si="43">IF(K33="","",K34-K33)</f>
        <v/>
      </c>
      <c r="AL33" s="15" t="str">
        <f t="shared" si="5"/>
        <v/>
      </c>
      <c r="AM33" s="15" t="str">
        <f t="shared" si="6"/>
        <v/>
      </c>
      <c r="AN33" s="15" t="str">
        <f t="shared" si="7"/>
        <v/>
      </c>
      <c r="AO33" s="15" t="str">
        <f t="shared" si="8"/>
        <v/>
      </c>
      <c r="AP33" s="15"/>
      <c r="AQ33" s="18" t="str">
        <f t="shared" si="9"/>
        <v/>
      </c>
      <c r="AR33" s="18" t="str">
        <f t="shared" si="10"/>
        <v/>
      </c>
      <c r="AS33" s="19" t="str">
        <f t="shared" si="11"/>
        <v/>
      </c>
      <c r="AT33" s="18" t="str">
        <f t="shared" si="12"/>
        <v/>
      </c>
    </row>
    <row r="34" spans="1:46">
      <c r="A34" s="6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9"/>
      <c r="R34" s="4"/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4">IF(OR(C37=""),"",C37-C36)</f>
        <v/>
      </c>
      <c r="AB36" s="13" t="str">
        <f t="shared" si="44"/>
        <v/>
      </c>
      <c r="AC36" s="13" t="str">
        <f t="shared" si="44"/>
        <v/>
      </c>
      <c r="AD36" s="13" t="str">
        <f t="shared" si="44"/>
        <v/>
      </c>
      <c r="AE36" s="13" t="str">
        <f t="shared" si="44"/>
        <v/>
      </c>
      <c r="AF36" s="13" t="str">
        <f t="shared" si="44"/>
        <v/>
      </c>
      <c r="AG36" s="13" t="str">
        <f>IF(OR(AA36="",AB36="",AC36=""),"",AA36+AB36+AC36+AD36-AE36)</f>
        <v/>
      </c>
      <c r="AH36" s="17">
        <f t="shared" ref="AH36:AO36" si="45">SUM(AH3:AH34)</f>
        <v>6325222</v>
      </c>
      <c r="AI36" s="17">
        <f t="shared" si="45"/>
        <v>166611</v>
      </c>
      <c r="AJ36" s="17">
        <f t="shared" si="45"/>
        <v>6158611</v>
      </c>
      <c r="AK36" s="17">
        <f t="shared" si="45"/>
        <v>128100</v>
      </c>
      <c r="AL36" s="17">
        <f t="shared" si="45"/>
        <v>34680</v>
      </c>
      <c r="AM36" s="17">
        <f t="shared" si="45"/>
        <v>62</v>
      </c>
      <c r="AN36" s="17">
        <f t="shared" si="45"/>
        <v>100536</v>
      </c>
      <c r="AO36" s="17">
        <f t="shared" si="45"/>
        <v>35808</v>
      </c>
      <c r="AP36" s="17"/>
      <c r="AQ36" s="22">
        <f>IF(OR($AJ36=0),"",ROUND(AL36/$AJ36*1000,1))</f>
        <v>5.6</v>
      </c>
      <c r="AR36" s="22">
        <f>IF(OR($AJ36=0),"",ROUND(AM36/$AJ36*1000,2))</f>
        <v>0.01</v>
      </c>
      <c r="AS36" s="23">
        <f>IF(OR($AJ36=0),"",ROUND(AN36/$AJ36*1000,1))</f>
        <v>16.3</v>
      </c>
      <c r="AT36" s="22">
        <f>IF(OR($AJ36=0),"",ROUND(AO36/$AJ36*1000,2))</f>
        <v>5.81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10" zoomScaleNormal="110" workbookViewId="0">
      <pane xSplit="2" ySplit="2" topLeftCell="C12" activePane="bottomRight" state="frozen"/>
      <selection pane="topRight"/>
      <selection pane="bottomLeft"/>
      <selection pane="bottomRight" activeCell="AN41" sqref="AN41"/>
    </sheetView>
  </sheetViews>
  <sheetFormatPr defaultColWidth="10.6640625" defaultRowHeight="13.2"/>
  <cols>
    <col min="1" max="1" width="7.77734375" style="1" customWidth="1"/>
    <col min="2" max="2" width="8.6640625" style="2" customWidth="1"/>
    <col min="3" max="3" width="12" style="1" customWidth="1"/>
    <col min="4" max="4" width="10.77734375" style="1" customWidth="1"/>
    <col min="5" max="5" width="9.88671875" style="1" customWidth="1"/>
    <col min="6" max="6" width="10.44140625" style="1" customWidth="1"/>
    <col min="7" max="8" width="12.6640625" style="1" customWidth="1"/>
    <col min="9" max="9" width="12.88671875" style="1" customWidth="1"/>
    <col min="10" max="10" width="13.10937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7" width="6.6640625" style="1" customWidth="1"/>
    <col min="38" max="38" width="6.88671875" style="1" customWidth="1"/>
    <col min="39" max="39" width="6.6640625" style="1" customWidth="1"/>
    <col min="40" max="40" width="6.6640625" style="2" customWidth="1"/>
    <col min="41" max="41" width="8.109375" style="2" customWidth="1"/>
    <col min="42" max="42" width="7.664062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313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43647</v>
      </c>
      <c r="B3" s="7" t="str">
        <f>'6'!B33</f>
        <v>易萍</v>
      </c>
      <c r="C3" s="7">
        <f>'6'!C33</f>
        <v>20193399</v>
      </c>
      <c r="D3" s="7">
        <f>'6'!D33</f>
        <v>4608463</v>
      </c>
      <c r="E3" s="7">
        <f>'6'!E33</f>
        <v>49349</v>
      </c>
      <c r="F3" s="7">
        <f>'6'!F33</f>
        <v>23064000</v>
      </c>
      <c r="G3" s="7">
        <f>'6'!G33</f>
        <v>237447715</v>
      </c>
      <c r="H3" s="7">
        <f>'6'!H33</f>
        <v>104856643</v>
      </c>
      <c r="I3" s="7">
        <f>'6'!I33</f>
        <v>237447427</v>
      </c>
      <c r="J3" s="7">
        <f>'6'!J33</f>
        <v>104856643</v>
      </c>
      <c r="K3" s="7">
        <f>'6'!K33</f>
        <v>0</v>
      </c>
      <c r="L3" s="7">
        <f>'6'!L33</f>
        <v>4246.2</v>
      </c>
      <c r="M3" s="7">
        <f>'6'!M33</f>
        <v>3954.2</v>
      </c>
      <c r="N3" s="7">
        <f>'6'!N33</f>
        <v>73106.8</v>
      </c>
      <c r="O3" s="7">
        <f>'6'!O33</f>
        <v>0</v>
      </c>
      <c r="P3" s="7">
        <f>'6'!P33</f>
        <v>0</v>
      </c>
      <c r="Q3" s="7">
        <f>'6'!Q33</f>
        <v>27.6</v>
      </c>
      <c r="R3" s="7" t="str">
        <f>'6'!R33</f>
        <v>阴</v>
      </c>
      <c r="S3" s="4">
        <v>510</v>
      </c>
      <c r="T3" s="4">
        <v>550</v>
      </c>
      <c r="U3" s="4">
        <v>9462</v>
      </c>
      <c r="V3" s="4">
        <v>7685</v>
      </c>
      <c r="W3" s="5">
        <v>6.27</v>
      </c>
      <c r="X3" s="5">
        <v>5.31</v>
      </c>
      <c r="Y3" s="4">
        <v>1436</v>
      </c>
      <c r="Z3" s="4"/>
      <c r="AA3" s="11">
        <f t="shared" ref="AA3:AF3" si="0">IF(OR(C4=""),"",C4-C3)</f>
        <v>36872</v>
      </c>
      <c r="AB3" s="11">
        <f t="shared" si="0"/>
        <v>42081</v>
      </c>
      <c r="AC3" s="11">
        <f t="shared" si="0"/>
        <v>58542</v>
      </c>
      <c r="AD3" s="11">
        <v>59554</v>
      </c>
      <c r="AE3" s="11">
        <f t="shared" si="0"/>
        <v>209935</v>
      </c>
      <c r="AF3" s="11">
        <f t="shared" si="0"/>
        <v>5542</v>
      </c>
      <c r="AG3" s="11">
        <f t="shared" ref="AG3:AG33" si="1">IF(OR(AA3="",AB3="",AC3=""),"",AA3+AB3+AC3+AD3-AE3)</f>
        <v>-12886</v>
      </c>
      <c r="AH3" s="11">
        <f t="shared" ref="AH3:AH33" si="2">IF(OR(I4=""),"",I4-I3)</f>
        <v>210173</v>
      </c>
      <c r="AI3" s="15">
        <f t="shared" ref="AI3:AI33" si="3">IF(OR(J4=""),"",J4-J3)</f>
        <v>5541</v>
      </c>
      <c r="AJ3" s="15">
        <f t="shared" ref="AJ3:AJ33" si="4">IF(OR(AH3="",AI3=""),"",AH3-AI3)</f>
        <v>204632</v>
      </c>
      <c r="AK3" s="15">
        <v>3800</v>
      </c>
      <c r="AL3" s="15">
        <f t="shared" ref="AL3:AL33" si="5">IF(OR(L4="",M4=""),"",ROUND((L4-L3+M4-M3)*1200,0))</f>
        <v>0</v>
      </c>
      <c r="AM3" s="15">
        <f t="shared" ref="AM3:AM33" si="6">IF(OR(N4=""),"",(ROUND((N4-N3)*2,0)))</f>
        <v>0</v>
      </c>
      <c r="AN3" s="15">
        <f t="shared" ref="AN3:AN33" si="7">IF(OR(S3=""),"",ROUND(S3*7.1,0))</f>
        <v>3621</v>
      </c>
      <c r="AO3" s="15">
        <f t="shared" ref="AO3:AO33" si="8">IF(OR(T3=""),"",ROUND(T3*2.4,0))</f>
        <v>1320</v>
      </c>
      <c r="AP3" s="15">
        <v>1523</v>
      </c>
      <c r="AQ3" s="18">
        <f t="shared" ref="AQ3:AQ33" si="9">IF(OR($AJ3=""),"",ROUND(AL3/$AJ3*1000,1))</f>
        <v>0</v>
      </c>
      <c r="AR3" s="18">
        <f t="shared" ref="AR3:AR33" si="10">IF(OR($AJ3=""),"",ROUND(AM3/$AJ3*1000,2))</f>
        <v>0</v>
      </c>
      <c r="AS3" s="19">
        <f t="shared" ref="AS3:AS33" si="11">IF(OR($AJ3=""),"",ROUND(AN3/$AJ3*1000,1))</f>
        <v>17.7</v>
      </c>
      <c r="AT3" s="18">
        <f t="shared" ref="AT3:AT33" si="12">IF(OR($AJ3=""),"",ROUND(AO3/$AJ3*1000,2))</f>
        <v>6.45</v>
      </c>
    </row>
    <row r="4" spans="1:46" ht="14.25" customHeight="1">
      <c r="A4" s="6">
        <v>43648</v>
      </c>
      <c r="B4" s="5" t="s">
        <v>51</v>
      </c>
      <c r="C4" s="4">
        <v>20230271</v>
      </c>
      <c r="D4" s="4">
        <v>4650544</v>
      </c>
      <c r="E4" s="4">
        <v>107891</v>
      </c>
      <c r="F4" s="4">
        <v>59554</v>
      </c>
      <c r="G4" s="4">
        <v>237657650</v>
      </c>
      <c r="H4" s="4">
        <v>104862185</v>
      </c>
      <c r="I4" s="4">
        <v>237657600</v>
      </c>
      <c r="J4" s="4">
        <v>104862184</v>
      </c>
      <c r="K4" s="4"/>
      <c r="L4" s="5">
        <v>4246.2</v>
      </c>
      <c r="M4" s="5">
        <v>3954.2</v>
      </c>
      <c r="N4" s="5">
        <v>73107</v>
      </c>
      <c r="O4" s="5"/>
      <c r="P4" s="5"/>
      <c r="Q4" s="9">
        <v>27</v>
      </c>
      <c r="R4" s="4" t="s">
        <v>53</v>
      </c>
      <c r="S4" s="4">
        <v>620</v>
      </c>
      <c r="T4" s="4">
        <v>650</v>
      </c>
      <c r="U4" s="4">
        <v>9205</v>
      </c>
      <c r="V4" s="4">
        <v>8415</v>
      </c>
      <c r="W4" s="5">
        <v>7.32</v>
      </c>
      <c r="X4" s="5">
        <v>6.09</v>
      </c>
      <c r="Y4" s="4">
        <v>1434</v>
      </c>
      <c r="Z4" s="4" t="s">
        <v>261</v>
      </c>
      <c r="AA4" s="11">
        <f t="shared" ref="AA4:AF4" si="13">IF(OR(C5=""),"",C5-C4)</f>
        <v>43656</v>
      </c>
      <c r="AB4" s="11">
        <f t="shared" si="13"/>
        <v>51636</v>
      </c>
      <c r="AC4" s="11">
        <f t="shared" si="13"/>
        <v>60971</v>
      </c>
      <c r="AD4" s="11">
        <f t="shared" si="13"/>
        <v>61816</v>
      </c>
      <c r="AE4" s="11">
        <f t="shared" si="13"/>
        <v>211178</v>
      </c>
      <c r="AF4" s="11">
        <f t="shared" si="13"/>
        <v>5550</v>
      </c>
      <c r="AG4" s="11">
        <f t="shared" si="1"/>
        <v>6901</v>
      </c>
      <c r="AH4" s="11">
        <f t="shared" si="2"/>
        <v>211491</v>
      </c>
      <c r="AI4" s="15">
        <f t="shared" si="3"/>
        <v>5552</v>
      </c>
      <c r="AJ4" s="15">
        <f t="shared" si="4"/>
        <v>205939</v>
      </c>
      <c r="AK4" s="15">
        <v>3500</v>
      </c>
      <c r="AL4" s="15">
        <f t="shared" si="5"/>
        <v>16920</v>
      </c>
      <c r="AM4" s="15">
        <f t="shared" si="6"/>
        <v>0</v>
      </c>
      <c r="AN4" s="15">
        <f t="shared" si="7"/>
        <v>4402</v>
      </c>
      <c r="AO4" s="15">
        <f t="shared" si="8"/>
        <v>1560</v>
      </c>
      <c r="AP4" s="15">
        <v>1210</v>
      </c>
      <c r="AQ4" s="18">
        <f t="shared" si="9"/>
        <v>82.2</v>
      </c>
      <c r="AR4" s="18">
        <f t="shared" si="10"/>
        <v>0</v>
      </c>
      <c r="AS4" s="19">
        <f t="shared" si="11"/>
        <v>21.4</v>
      </c>
      <c r="AT4" s="18">
        <f t="shared" si="12"/>
        <v>7.58</v>
      </c>
    </row>
    <row r="5" spans="1:46">
      <c r="A5" s="6">
        <v>43649</v>
      </c>
      <c r="B5" s="5" t="s">
        <v>262</v>
      </c>
      <c r="C5" s="4">
        <v>20273927</v>
      </c>
      <c r="D5" s="4">
        <v>4702180</v>
      </c>
      <c r="E5" s="4">
        <v>168862</v>
      </c>
      <c r="F5" s="4">
        <v>121370</v>
      </c>
      <c r="G5" s="4">
        <v>237868828</v>
      </c>
      <c r="H5" s="4">
        <v>104867735</v>
      </c>
      <c r="I5" s="4">
        <v>237869091</v>
      </c>
      <c r="J5" s="4">
        <v>104867736</v>
      </c>
      <c r="K5" s="4"/>
      <c r="L5" s="5">
        <v>4246.2</v>
      </c>
      <c r="M5" s="5">
        <v>3968.3</v>
      </c>
      <c r="N5" s="5">
        <v>73107.100000000006</v>
      </c>
      <c r="O5" s="5"/>
      <c r="P5" s="5"/>
      <c r="Q5" s="9">
        <v>26.5</v>
      </c>
      <c r="R5" s="4" t="s">
        <v>263</v>
      </c>
      <c r="S5" s="4">
        <v>430</v>
      </c>
      <c r="T5" s="4">
        <v>460</v>
      </c>
      <c r="U5" s="4">
        <v>10242</v>
      </c>
      <c r="V5" s="4">
        <v>9112</v>
      </c>
      <c r="W5" s="5">
        <v>7.86</v>
      </c>
      <c r="X5" s="5">
        <v>6.68</v>
      </c>
      <c r="Y5" s="4">
        <v>1436</v>
      </c>
      <c r="Z5" s="4"/>
      <c r="AA5" s="11">
        <f t="shared" ref="AA5:AF5" si="14">IF(OR(C6=""),"",C6-C5)</f>
        <v>45207</v>
      </c>
      <c r="AB5" s="11">
        <f t="shared" si="14"/>
        <v>53386</v>
      </c>
      <c r="AC5" s="11">
        <f t="shared" si="14"/>
        <v>59862</v>
      </c>
      <c r="AD5" s="11">
        <f t="shared" si="14"/>
        <v>60449</v>
      </c>
      <c r="AE5" s="11">
        <f t="shared" si="14"/>
        <v>214057</v>
      </c>
      <c r="AF5" s="11">
        <f t="shared" si="14"/>
        <v>5521</v>
      </c>
      <c r="AG5" s="11">
        <f t="shared" si="1"/>
        <v>4847</v>
      </c>
      <c r="AH5" s="11">
        <f t="shared" si="2"/>
        <v>215046</v>
      </c>
      <c r="AI5" s="15">
        <f t="shared" si="3"/>
        <v>5544</v>
      </c>
      <c r="AJ5" s="15">
        <f t="shared" si="4"/>
        <v>209502</v>
      </c>
      <c r="AK5" s="15">
        <v>3600</v>
      </c>
      <c r="AL5" s="15">
        <f t="shared" si="5"/>
        <v>15840</v>
      </c>
      <c r="AM5" s="15">
        <f t="shared" si="6"/>
        <v>0</v>
      </c>
      <c r="AN5" s="15">
        <f t="shared" si="7"/>
        <v>3053</v>
      </c>
      <c r="AO5" s="15">
        <f t="shared" si="8"/>
        <v>1104</v>
      </c>
      <c r="AP5" s="15">
        <v>1378</v>
      </c>
      <c r="AQ5" s="18">
        <f t="shared" si="9"/>
        <v>75.599999999999994</v>
      </c>
      <c r="AR5" s="18">
        <f t="shared" si="10"/>
        <v>0</v>
      </c>
      <c r="AS5" s="19">
        <f t="shared" si="11"/>
        <v>14.6</v>
      </c>
      <c r="AT5" s="18">
        <f t="shared" si="12"/>
        <v>5.27</v>
      </c>
    </row>
    <row r="6" spans="1:46">
      <c r="A6" s="6">
        <v>43650</v>
      </c>
      <c r="B6" s="5" t="s">
        <v>264</v>
      </c>
      <c r="C6" s="4">
        <v>20319134</v>
      </c>
      <c r="D6" s="4">
        <v>4755566</v>
      </c>
      <c r="E6" s="4">
        <v>228724</v>
      </c>
      <c r="F6" s="4">
        <v>181819</v>
      </c>
      <c r="G6" s="4">
        <v>238082885</v>
      </c>
      <c r="H6" s="4">
        <v>104873256</v>
      </c>
      <c r="I6" s="4">
        <v>238084137</v>
      </c>
      <c r="J6" s="4">
        <v>104873280</v>
      </c>
      <c r="K6" s="4"/>
      <c r="L6" s="5">
        <v>4246.2</v>
      </c>
      <c r="M6" s="5">
        <v>3981.5</v>
      </c>
      <c r="N6" s="5">
        <v>73107.199999999997</v>
      </c>
      <c r="O6" s="5"/>
      <c r="P6" s="5"/>
      <c r="Q6" s="9">
        <v>26.8</v>
      </c>
      <c r="R6" s="4" t="s">
        <v>53</v>
      </c>
      <c r="S6" s="4">
        <v>570</v>
      </c>
      <c r="T6" s="4">
        <v>600</v>
      </c>
      <c r="U6" s="4">
        <v>10211</v>
      </c>
      <c r="V6" s="4">
        <v>8025</v>
      </c>
      <c r="W6" s="5">
        <v>7.91</v>
      </c>
      <c r="X6" s="5">
        <v>7.11</v>
      </c>
      <c r="Y6" s="4">
        <v>1428</v>
      </c>
      <c r="Z6" s="4"/>
      <c r="AA6" s="11">
        <f t="shared" ref="AA6:AF6" si="15">IF(OR(C7=""),"",C7-C6)</f>
        <v>42277</v>
      </c>
      <c r="AB6" s="11">
        <f t="shared" si="15"/>
        <v>48451</v>
      </c>
      <c r="AC6" s="11">
        <f t="shared" si="15"/>
        <v>73676</v>
      </c>
      <c r="AD6" s="11">
        <f t="shared" si="15"/>
        <v>74806</v>
      </c>
      <c r="AE6" s="11">
        <f t="shared" si="15"/>
        <v>216100</v>
      </c>
      <c r="AF6" s="11">
        <f t="shared" si="15"/>
        <v>5573</v>
      </c>
      <c r="AG6" s="11">
        <f t="shared" si="1"/>
        <v>23110</v>
      </c>
      <c r="AH6" s="11">
        <f t="shared" si="2"/>
        <v>214851</v>
      </c>
      <c r="AI6" s="15">
        <f t="shared" si="3"/>
        <v>5552</v>
      </c>
      <c r="AJ6" s="15">
        <f t="shared" si="4"/>
        <v>209299</v>
      </c>
      <c r="AK6" s="15">
        <v>3700</v>
      </c>
      <c r="AL6" s="15">
        <f t="shared" si="5"/>
        <v>840</v>
      </c>
      <c r="AM6" s="15">
        <f t="shared" si="6"/>
        <v>3</v>
      </c>
      <c r="AN6" s="15">
        <f t="shared" si="7"/>
        <v>4047</v>
      </c>
      <c r="AO6" s="15">
        <f t="shared" si="8"/>
        <v>1440</v>
      </c>
      <c r="AP6" s="15">
        <v>1197</v>
      </c>
      <c r="AQ6" s="18">
        <f t="shared" si="9"/>
        <v>4</v>
      </c>
      <c r="AR6" s="18">
        <f t="shared" si="10"/>
        <v>0.01</v>
      </c>
      <c r="AS6" s="19">
        <f t="shared" si="11"/>
        <v>19.3</v>
      </c>
      <c r="AT6" s="18">
        <f t="shared" si="12"/>
        <v>6.88</v>
      </c>
    </row>
    <row r="7" spans="1:46">
      <c r="A7" s="6">
        <v>43651</v>
      </c>
      <c r="B7" s="5" t="s">
        <v>265</v>
      </c>
      <c r="C7" s="4">
        <v>20361411</v>
      </c>
      <c r="D7" s="4">
        <v>4804017</v>
      </c>
      <c r="E7" s="4">
        <v>302400</v>
      </c>
      <c r="F7" s="4">
        <v>256625</v>
      </c>
      <c r="G7" s="4">
        <v>238298985</v>
      </c>
      <c r="H7" s="4">
        <v>104878829</v>
      </c>
      <c r="I7" s="4">
        <v>238298988</v>
      </c>
      <c r="J7" s="4">
        <v>104878832</v>
      </c>
      <c r="K7" s="4"/>
      <c r="L7" s="5">
        <v>4246.2</v>
      </c>
      <c r="M7" s="5">
        <v>3982.2</v>
      </c>
      <c r="N7" s="5">
        <v>73108.600000000006</v>
      </c>
      <c r="O7" s="5"/>
      <c r="P7" s="5"/>
      <c r="Q7" s="9">
        <v>26.5</v>
      </c>
      <c r="R7" s="4" t="s">
        <v>266</v>
      </c>
      <c r="S7" s="4">
        <v>650</v>
      </c>
      <c r="T7" s="4">
        <v>680</v>
      </c>
      <c r="U7" s="4">
        <v>9263</v>
      </c>
      <c r="V7" s="4">
        <v>8065</v>
      </c>
      <c r="W7" s="5">
        <v>7.95</v>
      </c>
      <c r="X7" s="5">
        <v>7.42</v>
      </c>
      <c r="Y7" s="4">
        <v>1433</v>
      </c>
      <c r="Z7" s="4"/>
      <c r="AA7" s="11">
        <f t="shared" ref="AA7:AF7" si="16">IF(OR(C8=""),"",C8-C7)</f>
        <v>44334</v>
      </c>
      <c r="AB7" s="11">
        <f t="shared" si="16"/>
        <v>53134</v>
      </c>
      <c r="AC7" s="11">
        <f t="shared" si="16"/>
        <v>58187</v>
      </c>
      <c r="AD7" s="11">
        <f t="shared" si="16"/>
        <v>59161</v>
      </c>
      <c r="AE7" s="11">
        <f t="shared" si="16"/>
        <v>212442</v>
      </c>
      <c r="AF7" s="11">
        <f t="shared" si="16"/>
        <v>5562</v>
      </c>
      <c r="AG7" s="11">
        <f t="shared" si="1"/>
        <v>2374</v>
      </c>
      <c r="AH7" s="11">
        <f t="shared" si="2"/>
        <v>212154</v>
      </c>
      <c r="AI7" s="15">
        <f t="shared" si="3"/>
        <v>5544</v>
      </c>
      <c r="AJ7" s="15">
        <f t="shared" si="4"/>
        <v>206610</v>
      </c>
      <c r="AK7" s="15">
        <v>4300</v>
      </c>
      <c r="AL7" s="15">
        <f t="shared" si="5"/>
        <v>1200</v>
      </c>
      <c r="AM7" s="15">
        <f t="shared" si="6"/>
        <v>4</v>
      </c>
      <c r="AN7" s="15">
        <f t="shared" si="7"/>
        <v>4615</v>
      </c>
      <c r="AO7" s="15">
        <f t="shared" si="8"/>
        <v>1632</v>
      </c>
      <c r="AP7" s="15">
        <v>682</v>
      </c>
      <c r="AQ7" s="18">
        <f t="shared" si="9"/>
        <v>5.8</v>
      </c>
      <c r="AR7" s="18">
        <f t="shared" si="10"/>
        <v>0.02</v>
      </c>
      <c r="AS7" s="19">
        <f t="shared" si="11"/>
        <v>22.3</v>
      </c>
      <c r="AT7" s="18">
        <f t="shared" si="12"/>
        <v>7.9</v>
      </c>
    </row>
    <row r="8" spans="1:46">
      <c r="A8" s="6">
        <v>43652</v>
      </c>
      <c r="B8" s="5" t="s">
        <v>267</v>
      </c>
      <c r="C8" s="4">
        <v>20405745</v>
      </c>
      <c r="D8" s="4">
        <v>4857151</v>
      </c>
      <c r="E8" s="4">
        <v>360587</v>
      </c>
      <c r="F8" s="4">
        <v>315786</v>
      </c>
      <c r="G8" s="4">
        <v>238511427</v>
      </c>
      <c r="H8" s="4">
        <v>104884391</v>
      </c>
      <c r="I8" s="4">
        <v>238511142</v>
      </c>
      <c r="J8" s="4">
        <v>104884376</v>
      </c>
      <c r="K8" s="4"/>
      <c r="L8" s="5">
        <v>4246.2</v>
      </c>
      <c r="M8" s="5">
        <v>3983.2</v>
      </c>
      <c r="N8" s="5">
        <v>73110.399999999994</v>
      </c>
      <c r="O8" s="5"/>
      <c r="P8" s="5"/>
      <c r="Q8" s="9">
        <v>27.5</v>
      </c>
      <c r="R8" s="4" t="s">
        <v>268</v>
      </c>
      <c r="S8" s="4">
        <v>700</v>
      </c>
      <c r="T8" s="4">
        <v>720</v>
      </c>
      <c r="U8" s="4">
        <v>9352</v>
      </c>
      <c r="V8" s="4">
        <v>7525</v>
      </c>
      <c r="W8" s="5">
        <v>7.81</v>
      </c>
      <c r="X8" s="5">
        <v>7.18</v>
      </c>
      <c r="Y8" s="4">
        <v>1430</v>
      </c>
      <c r="Z8" s="4"/>
      <c r="AA8" s="11">
        <f t="shared" ref="AA8:AF8" si="17">IF(OR(C9=""),"",C9-C8)</f>
        <v>41705</v>
      </c>
      <c r="AB8" s="11">
        <f t="shared" si="17"/>
        <v>48955</v>
      </c>
      <c r="AC8" s="11">
        <f t="shared" si="17"/>
        <v>62228</v>
      </c>
      <c r="AD8" s="11">
        <f t="shared" si="17"/>
        <v>62580</v>
      </c>
      <c r="AE8" s="11">
        <f t="shared" si="17"/>
        <v>212011</v>
      </c>
      <c r="AF8" s="11">
        <f t="shared" si="17"/>
        <v>5511</v>
      </c>
      <c r="AG8" s="11">
        <f t="shared" si="1"/>
        <v>3457</v>
      </c>
      <c r="AH8" s="11">
        <f t="shared" si="2"/>
        <v>213318</v>
      </c>
      <c r="AI8" s="15">
        <f t="shared" si="3"/>
        <v>5552</v>
      </c>
      <c r="AJ8" s="15">
        <f t="shared" si="4"/>
        <v>207766</v>
      </c>
      <c r="AK8" s="15">
        <v>4200</v>
      </c>
      <c r="AL8" s="15">
        <f t="shared" si="5"/>
        <v>0</v>
      </c>
      <c r="AM8" s="15">
        <f t="shared" si="6"/>
        <v>0</v>
      </c>
      <c r="AN8" s="15">
        <f t="shared" si="7"/>
        <v>4970</v>
      </c>
      <c r="AO8" s="15">
        <f t="shared" si="8"/>
        <v>1728</v>
      </c>
      <c r="AP8" s="15">
        <v>472</v>
      </c>
      <c r="AQ8" s="18">
        <f t="shared" si="9"/>
        <v>0</v>
      </c>
      <c r="AR8" s="18">
        <f t="shared" si="10"/>
        <v>0</v>
      </c>
      <c r="AS8" s="19">
        <f t="shared" si="11"/>
        <v>23.9</v>
      </c>
      <c r="AT8" s="18">
        <f t="shared" si="12"/>
        <v>8.32</v>
      </c>
    </row>
    <row r="9" spans="1:46">
      <c r="A9" s="6">
        <v>43653</v>
      </c>
      <c r="B9" s="5" t="s">
        <v>269</v>
      </c>
      <c r="C9" s="4">
        <v>20447450</v>
      </c>
      <c r="D9" s="4">
        <v>4906106</v>
      </c>
      <c r="E9" s="4">
        <v>422815</v>
      </c>
      <c r="F9" s="4">
        <v>378366</v>
      </c>
      <c r="G9" s="4">
        <v>238723438</v>
      </c>
      <c r="H9" s="4">
        <v>104889902</v>
      </c>
      <c r="I9" s="4">
        <v>238724460</v>
      </c>
      <c r="J9" s="4">
        <v>104889928</v>
      </c>
      <c r="K9" s="4"/>
      <c r="L9" s="5">
        <v>4246.2</v>
      </c>
      <c r="M9" s="5">
        <v>3983.2</v>
      </c>
      <c r="N9" s="5">
        <v>73110.600000000006</v>
      </c>
      <c r="O9" s="5"/>
      <c r="P9" s="5"/>
      <c r="Q9" s="9">
        <v>27.8</v>
      </c>
      <c r="R9" s="4" t="s">
        <v>270</v>
      </c>
      <c r="S9" s="4">
        <v>530</v>
      </c>
      <c r="T9" s="4">
        <v>550</v>
      </c>
      <c r="U9" s="4">
        <v>9432</v>
      </c>
      <c r="V9" s="4">
        <v>8365</v>
      </c>
      <c r="W9" s="5">
        <v>7.86</v>
      </c>
      <c r="X9" s="5">
        <v>6.52</v>
      </c>
      <c r="Y9" s="4">
        <v>1431</v>
      </c>
      <c r="Z9" s="4"/>
      <c r="AA9" s="11">
        <f t="shared" ref="AA9:AF9" si="18">IF(OR(C10=""),"",C10-C9)</f>
        <v>47651</v>
      </c>
      <c r="AB9" s="11">
        <f t="shared" si="18"/>
        <v>56134</v>
      </c>
      <c r="AC9" s="11">
        <f t="shared" si="18"/>
        <v>57465</v>
      </c>
      <c r="AD9" s="11">
        <f t="shared" si="18"/>
        <v>57534</v>
      </c>
      <c r="AE9" s="11">
        <f t="shared" si="18"/>
        <v>215311</v>
      </c>
      <c r="AF9" s="11">
        <f t="shared" si="18"/>
        <v>5559</v>
      </c>
      <c r="AG9" s="11">
        <f t="shared" si="1"/>
        <v>3473</v>
      </c>
      <c r="AH9" s="11">
        <f t="shared" si="2"/>
        <v>214566</v>
      </c>
      <c r="AI9" s="15">
        <f t="shared" si="3"/>
        <v>5536</v>
      </c>
      <c r="AJ9" s="15">
        <f t="shared" si="4"/>
        <v>209030</v>
      </c>
      <c r="AK9" s="15">
        <v>3600</v>
      </c>
      <c r="AL9" s="15">
        <f t="shared" si="5"/>
        <v>0</v>
      </c>
      <c r="AM9" s="15">
        <f t="shared" si="6"/>
        <v>0</v>
      </c>
      <c r="AN9" s="15">
        <f t="shared" si="7"/>
        <v>3763</v>
      </c>
      <c r="AO9" s="15">
        <f t="shared" si="8"/>
        <v>1320</v>
      </c>
      <c r="AP9" s="15">
        <v>991</v>
      </c>
      <c r="AQ9" s="18">
        <f t="shared" si="9"/>
        <v>0</v>
      </c>
      <c r="AR9" s="18">
        <f t="shared" si="10"/>
        <v>0</v>
      </c>
      <c r="AS9" s="19">
        <f t="shared" si="11"/>
        <v>18</v>
      </c>
      <c r="AT9" s="18">
        <f t="shared" si="12"/>
        <v>6.31</v>
      </c>
    </row>
    <row r="10" spans="1:46">
      <c r="A10" s="6">
        <v>43654</v>
      </c>
      <c r="B10" s="5" t="s">
        <v>271</v>
      </c>
      <c r="C10" s="4">
        <v>20495101</v>
      </c>
      <c r="D10" s="4">
        <v>4962240</v>
      </c>
      <c r="E10" s="4">
        <v>480280</v>
      </c>
      <c r="F10" s="4">
        <v>435900</v>
      </c>
      <c r="G10" s="4">
        <v>238938749</v>
      </c>
      <c r="H10" s="4">
        <v>104895461</v>
      </c>
      <c r="I10" s="4">
        <v>238939026</v>
      </c>
      <c r="J10" s="4">
        <v>104895464</v>
      </c>
      <c r="K10" s="4"/>
      <c r="L10" s="5">
        <v>4246.2</v>
      </c>
      <c r="M10" s="5">
        <v>3983.2</v>
      </c>
      <c r="N10" s="5">
        <v>73110.7</v>
      </c>
      <c r="O10" s="5"/>
      <c r="P10" s="5"/>
      <c r="Q10" s="9">
        <v>27.5</v>
      </c>
      <c r="R10" s="4" t="s">
        <v>272</v>
      </c>
      <c r="S10" s="4">
        <v>510</v>
      </c>
      <c r="T10" s="4">
        <v>530</v>
      </c>
      <c r="U10" s="4">
        <v>9396</v>
      </c>
      <c r="V10" s="4">
        <v>8021</v>
      </c>
      <c r="W10" s="5">
        <v>8.15</v>
      </c>
      <c r="X10" s="5">
        <v>7.33</v>
      </c>
      <c r="Y10" s="4">
        <v>1436</v>
      </c>
      <c r="Z10" s="4"/>
      <c r="AA10" s="11">
        <f t="shared" ref="AA10:AF10" si="19">IF(OR(C11=""),"",C11-C10)</f>
        <v>41153</v>
      </c>
      <c r="AB10" s="11">
        <f t="shared" si="19"/>
        <v>44638</v>
      </c>
      <c r="AC10" s="11">
        <f t="shared" si="19"/>
        <v>63089</v>
      </c>
      <c r="AD10" s="11">
        <f t="shared" si="19"/>
        <v>64035</v>
      </c>
      <c r="AE10" s="11">
        <f t="shared" si="19"/>
        <v>215181</v>
      </c>
      <c r="AF10" s="11">
        <f t="shared" si="19"/>
        <v>5553</v>
      </c>
      <c r="AG10" s="11">
        <f t="shared" si="1"/>
        <v>-2266</v>
      </c>
      <c r="AH10" s="11">
        <f t="shared" si="2"/>
        <v>214944</v>
      </c>
      <c r="AI10" s="15">
        <f t="shared" si="3"/>
        <v>5552</v>
      </c>
      <c r="AJ10" s="15">
        <f t="shared" si="4"/>
        <v>209392</v>
      </c>
      <c r="AK10" s="15">
        <v>300</v>
      </c>
      <c r="AL10" s="15">
        <f t="shared" si="5"/>
        <v>0</v>
      </c>
      <c r="AM10" s="15">
        <f t="shared" si="6"/>
        <v>0</v>
      </c>
      <c r="AN10" s="15">
        <f t="shared" si="7"/>
        <v>3621</v>
      </c>
      <c r="AO10" s="15">
        <f t="shared" si="8"/>
        <v>1272</v>
      </c>
      <c r="AP10" s="15">
        <v>1314</v>
      </c>
      <c r="AQ10" s="18">
        <f t="shared" si="9"/>
        <v>0</v>
      </c>
      <c r="AR10" s="18">
        <f t="shared" si="10"/>
        <v>0</v>
      </c>
      <c r="AS10" s="19">
        <f t="shared" si="11"/>
        <v>17.3</v>
      </c>
      <c r="AT10" s="18">
        <f t="shared" si="12"/>
        <v>6.07</v>
      </c>
    </row>
    <row r="11" spans="1:46">
      <c r="A11" s="6">
        <v>43655</v>
      </c>
      <c r="B11" s="5" t="s">
        <v>273</v>
      </c>
      <c r="C11" s="4">
        <v>20536254</v>
      </c>
      <c r="D11" s="4">
        <v>5006878</v>
      </c>
      <c r="E11" s="4">
        <v>543369</v>
      </c>
      <c r="F11" s="4">
        <v>499935</v>
      </c>
      <c r="G11" s="4">
        <v>239153930</v>
      </c>
      <c r="H11" s="4">
        <v>104901014</v>
      </c>
      <c r="I11" s="4">
        <v>239153970</v>
      </c>
      <c r="J11" s="4">
        <v>104901016</v>
      </c>
      <c r="K11" s="4"/>
      <c r="L11" s="5">
        <v>4246.2</v>
      </c>
      <c r="M11" s="5">
        <v>3983.2</v>
      </c>
      <c r="N11" s="5">
        <v>73110.8</v>
      </c>
      <c r="O11" s="5"/>
      <c r="P11" s="5"/>
      <c r="Q11" s="9">
        <v>27.6</v>
      </c>
      <c r="R11" s="4" t="s">
        <v>274</v>
      </c>
      <c r="S11" s="4">
        <v>500</v>
      </c>
      <c r="T11" s="4">
        <v>510</v>
      </c>
      <c r="U11" s="4">
        <v>9267</v>
      </c>
      <c r="V11" s="4">
        <v>8949</v>
      </c>
      <c r="W11" s="5">
        <v>7.82</v>
      </c>
      <c r="X11" s="5">
        <v>7.35</v>
      </c>
      <c r="Y11" s="4">
        <v>1434</v>
      </c>
      <c r="Z11" s="4"/>
      <c r="AA11" s="11">
        <f t="shared" ref="AA11:AF11" si="20">IF(OR(C12=""),"",C12-C11)</f>
        <v>39704</v>
      </c>
      <c r="AB11" s="11">
        <f t="shared" si="20"/>
        <v>44161</v>
      </c>
      <c r="AC11" s="11">
        <f t="shared" si="20"/>
        <v>64220</v>
      </c>
      <c r="AD11" s="11">
        <f t="shared" si="20"/>
        <v>64844</v>
      </c>
      <c r="AE11" s="11">
        <f t="shared" si="20"/>
        <v>210389</v>
      </c>
      <c r="AF11" s="11">
        <f t="shared" si="20"/>
        <v>5535</v>
      </c>
      <c r="AG11" s="11">
        <f t="shared" si="1"/>
        <v>2540</v>
      </c>
      <c r="AH11" s="11">
        <f t="shared" si="2"/>
        <v>210800</v>
      </c>
      <c r="AI11" s="15">
        <f t="shared" si="3"/>
        <v>5536</v>
      </c>
      <c r="AJ11" s="15">
        <f t="shared" si="4"/>
        <v>205264</v>
      </c>
      <c r="AK11" s="15">
        <v>4500</v>
      </c>
      <c r="AL11" s="15">
        <f t="shared" si="5"/>
        <v>0</v>
      </c>
      <c r="AM11" s="15">
        <f t="shared" si="6"/>
        <v>0</v>
      </c>
      <c r="AN11" s="15">
        <f t="shared" si="7"/>
        <v>3550</v>
      </c>
      <c r="AO11" s="15">
        <f t="shared" si="8"/>
        <v>1224</v>
      </c>
      <c r="AP11" s="15">
        <v>822</v>
      </c>
      <c r="AQ11" s="18">
        <f t="shared" si="9"/>
        <v>0</v>
      </c>
      <c r="AR11" s="18">
        <f t="shared" si="10"/>
        <v>0</v>
      </c>
      <c r="AS11" s="19">
        <f t="shared" si="11"/>
        <v>17.3</v>
      </c>
      <c r="AT11" s="18">
        <f t="shared" si="12"/>
        <v>5.96</v>
      </c>
    </row>
    <row r="12" spans="1:46">
      <c r="A12" s="6">
        <v>43656</v>
      </c>
      <c r="B12" s="5" t="s">
        <v>275</v>
      </c>
      <c r="C12" s="4">
        <v>20575958</v>
      </c>
      <c r="D12" s="4">
        <v>5051039</v>
      </c>
      <c r="E12" s="4">
        <v>607589</v>
      </c>
      <c r="F12" s="4">
        <v>564779</v>
      </c>
      <c r="G12" s="4">
        <v>239364319</v>
      </c>
      <c r="H12" s="4">
        <v>104906549</v>
      </c>
      <c r="I12" s="35">
        <v>239364770</v>
      </c>
      <c r="J12" s="34">
        <v>104906552</v>
      </c>
      <c r="K12" s="4"/>
      <c r="L12" s="5">
        <v>4246.2</v>
      </c>
      <c r="M12" s="5">
        <v>3983.2</v>
      </c>
      <c r="N12" s="5">
        <v>73110.899999999994</v>
      </c>
      <c r="O12" s="5"/>
      <c r="P12" s="5"/>
      <c r="Q12" s="9">
        <v>28.9</v>
      </c>
      <c r="R12" s="4" t="s">
        <v>44</v>
      </c>
      <c r="S12" s="4">
        <v>450</v>
      </c>
      <c r="T12" s="4">
        <v>460</v>
      </c>
      <c r="U12" s="4">
        <v>9402</v>
      </c>
      <c r="V12" s="4">
        <v>9012</v>
      </c>
      <c r="W12" s="5">
        <v>7.59</v>
      </c>
      <c r="X12" s="5">
        <v>7.02</v>
      </c>
      <c r="Y12" s="4">
        <v>1434</v>
      </c>
      <c r="Z12" s="4"/>
      <c r="AA12" s="11">
        <f t="shared" ref="AA12:AF12" si="21">IF(OR(C13=""),"",C13-C12)</f>
        <v>42252</v>
      </c>
      <c r="AB12" s="11">
        <f t="shared" si="21"/>
        <v>46932</v>
      </c>
      <c r="AC12" s="11">
        <f t="shared" si="21"/>
        <v>68188</v>
      </c>
      <c r="AD12" s="11">
        <f t="shared" si="21"/>
        <v>69008</v>
      </c>
      <c r="AE12" s="11">
        <f t="shared" si="21"/>
        <v>219781</v>
      </c>
      <c r="AF12" s="11">
        <f t="shared" si="21"/>
        <v>5548</v>
      </c>
      <c r="AG12" s="11">
        <f t="shared" si="1"/>
        <v>6599</v>
      </c>
      <c r="AH12" s="11">
        <f t="shared" si="2"/>
        <v>219037</v>
      </c>
      <c r="AI12" s="15">
        <f t="shared" si="3"/>
        <v>5528</v>
      </c>
      <c r="AJ12" s="15">
        <f t="shared" si="4"/>
        <v>213509</v>
      </c>
      <c r="AK12" s="15">
        <v>5000</v>
      </c>
      <c r="AL12" s="15">
        <f t="shared" si="5"/>
        <v>0</v>
      </c>
      <c r="AM12" s="15">
        <f t="shared" si="6"/>
        <v>0</v>
      </c>
      <c r="AN12" s="15">
        <f t="shared" si="7"/>
        <v>3195</v>
      </c>
      <c r="AO12" s="15">
        <f t="shared" si="8"/>
        <v>1104</v>
      </c>
      <c r="AP12" s="15">
        <v>1039</v>
      </c>
      <c r="AQ12" s="18">
        <f t="shared" si="9"/>
        <v>0</v>
      </c>
      <c r="AR12" s="18">
        <f t="shared" si="10"/>
        <v>0</v>
      </c>
      <c r="AS12" s="19">
        <f t="shared" si="11"/>
        <v>15</v>
      </c>
      <c r="AT12" s="18">
        <f t="shared" si="12"/>
        <v>5.17</v>
      </c>
    </row>
    <row r="13" spans="1:46">
      <c r="A13" s="6">
        <v>43657</v>
      </c>
      <c r="B13" s="5" t="s">
        <v>276</v>
      </c>
      <c r="C13" s="4">
        <v>20618210</v>
      </c>
      <c r="D13" s="4">
        <v>5097971</v>
      </c>
      <c r="E13" s="4">
        <v>675777</v>
      </c>
      <c r="F13" s="4">
        <v>633787</v>
      </c>
      <c r="G13" s="4">
        <v>239584100</v>
      </c>
      <c r="H13" s="4">
        <v>104912097</v>
      </c>
      <c r="I13" s="4">
        <v>239583807</v>
      </c>
      <c r="J13" s="4">
        <v>104912080</v>
      </c>
      <c r="K13" s="4"/>
      <c r="L13" s="5">
        <v>4246.2</v>
      </c>
      <c r="M13" s="5">
        <v>3983.2</v>
      </c>
      <c r="N13" s="5">
        <v>73110.899999999994</v>
      </c>
      <c r="O13" s="5"/>
      <c r="P13" s="5"/>
      <c r="Q13" s="9">
        <v>28.1</v>
      </c>
      <c r="R13" s="4" t="s">
        <v>44</v>
      </c>
      <c r="S13" s="4">
        <v>530</v>
      </c>
      <c r="T13" s="4">
        <v>550</v>
      </c>
      <c r="U13" s="4">
        <v>9395</v>
      </c>
      <c r="V13" s="4">
        <v>7898</v>
      </c>
      <c r="W13" s="5">
        <v>7.79</v>
      </c>
      <c r="X13" s="5">
        <v>6.9</v>
      </c>
      <c r="Y13" s="4">
        <v>1434</v>
      </c>
      <c r="Z13" s="4"/>
      <c r="AA13" s="11">
        <f t="shared" ref="AA13:AF13" si="22">IF(OR(C14=""),"",C14-C13)</f>
        <v>45287</v>
      </c>
      <c r="AB13" s="11">
        <f t="shared" si="22"/>
        <v>54302</v>
      </c>
      <c r="AC13" s="11">
        <f t="shared" si="22"/>
        <v>59083</v>
      </c>
      <c r="AD13" s="11">
        <f t="shared" si="22"/>
        <v>59588</v>
      </c>
      <c r="AE13" s="11">
        <f t="shared" si="22"/>
        <v>215893</v>
      </c>
      <c r="AF13" s="11">
        <f t="shared" si="22"/>
        <v>5524</v>
      </c>
      <c r="AG13" s="11">
        <f t="shared" si="1"/>
        <v>2367</v>
      </c>
      <c r="AH13" s="11">
        <f t="shared" si="2"/>
        <v>216050</v>
      </c>
      <c r="AI13" s="15">
        <f t="shared" si="3"/>
        <v>5536</v>
      </c>
      <c r="AJ13" s="15">
        <f t="shared" si="4"/>
        <v>210514</v>
      </c>
      <c r="AK13" s="15">
        <v>4000</v>
      </c>
      <c r="AL13" s="15">
        <f t="shared" si="5"/>
        <v>0</v>
      </c>
      <c r="AM13" s="15">
        <f t="shared" si="6"/>
        <v>0</v>
      </c>
      <c r="AN13" s="15">
        <f t="shared" si="7"/>
        <v>3763</v>
      </c>
      <c r="AO13" s="15">
        <f t="shared" si="8"/>
        <v>1320</v>
      </c>
      <c r="AP13" s="15">
        <v>1550</v>
      </c>
      <c r="AQ13" s="18">
        <f t="shared" si="9"/>
        <v>0</v>
      </c>
      <c r="AR13" s="18">
        <f t="shared" si="10"/>
        <v>0</v>
      </c>
      <c r="AS13" s="19">
        <f t="shared" si="11"/>
        <v>17.899999999999999</v>
      </c>
      <c r="AT13" s="18">
        <f t="shared" si="12"/>
        <v>6.27</v>
      </c>
    </row>
    <row r="14" spans="1:46">
      <c r="A14" s="6">
        <v>43658</v>
      </c>
      <c r="B14" s="5" t="s">
        <v>277</v>
      </c>
      <c r="C14" s="4">
        <v>20663497</v>
      </c>
      <c r="D14" s="4">
        <v>5152273</v>
      </c>
      <c r="E14" s="4">
        <v>734860</v>
      </c>
      <c r="F14" s="4">
        <v>693375</v>
      </c>
      <c r="G14" s="4">
        <v>239799993</v>
      </c>
      <c r="H14" s="4">
        <v>104917621</v>
      </c>
      <c r="I14" s="4">
        <v>239799857</v>
      </c>
      <c r="J14" s="4">
        <v>104917616</v>
      </c>
      <c r="K14" s="4"/>
      <c r="L14" s="5">
        <v>4246.2</v>
      </c>
      <c r="M14" s="5">
        <v>3983.2</v>
      </c>
      <c r="N14" s="5">
        <v>73111.100000000006</v>
      </c>
      <c r="O14" s="5"/>
      <c r="P14" s="5"/>
      <c r="Q14" s="9">
        <v>28.1</v>
      </c>
      <c r="R14" s="4" t="s">
        <v>278</v>
      </c>
      <c r="S14" s="4">
        <v>600</v>
      </c>
      <c r="T14" s="4">
        <v>620</v>
      </c>
      <c r="U14" s="4">
        <v>9415</v>
      </c>
      <c r="V14" s="4">
        <v>7889</v>
      </c>
      <c r="W14" s="5">
        <v>7.86</v>
      </c>
      <c r="X14" s="5">
        <v>7.16</v>
      </c>
      <c r="Y14" s="4">
        <v>1432</v>
      </c>
      <c r="Z14" s="4"/>
      <c r="AA14" s="11">
        <f t="shared" ref="AA14:AF14" si="23">IF(OR(C15=""),"",C15-C14)</f>
        <v>44637</v>
      </c>
      <c r="AB14" s="11">
        <f t="shared" si="23"/>
        <v>52394</v>
      </c>
      <c r="AC14" s="11">
        <f t="shared" si="23"/>
        <v>60382</v>
      </c>
      <c r="AD14" s="11">
        <f t="shared" si="23"/>
        <v>61088</v>
      </c>
      <c r="AE14" s="11">
        <f t="shared" si="23"/>
        <v>216359</v>
      </c>
      <c r="AF14" s="11">
        <f t="shared" si="23"/>
        <v>5537</v>
      </c>
      <c r="AG14" s="11">
        <f t="shared" si="1"/>
        <v>2142</v>
      </c>
      <c r="AH14" s="11">
        <f t="shared" si="2"/>
        <v>216644</v>
      </c>
      <c r="AI14" s="15">
        <f t="shared" si="3"/>
        <v>5544</v>
      </c>
      <c r="AJ14" s="15">
        <f t="shared" si="4"/>
        <v>211100</v>
      </c>
      <c r="AK14" s="15">
        <v>3800</v>
      </c>
      <c r="AL14" s="15">
        <f t="shared" si="5"/>
        <v>120</v>
      </c>
      <c r="AM14" s="15">
        <f t="shared" si="6"/>
        <v>0</v>
      </c>
      <c r="AN14" s="15">
        <f t="shared" si="7"/>
        <v>4260</v>
      </c>
      <c r="AO14" s="15">
        <f t="shared" si="8"/>
        <v>1488</v>
      </c>
      <c r="AP14" s="15">
        <v>895</v>
      </c>
      <c r="AQ14" s="18">
        <f t="shared" si="9"/>
        <v>0.6</v>
      </c>
      <c r="AR14" s="18">
        <f t="shared" si="10"/>
        <v>0</v>
      </c>
      <c r="AS14" s="19">
        <f t="shared" si="11"/>
        <v>20.2</v>
      </c>
      <c r="AT14" s="18">
        <f t="shared" si="12"/>
        <v>7.05</v>
      </c>
    </row>
    <row r="15" spans="1:46">
      <c r="A15" s="6">
        <v>43659</v>
      </c>
      <c r="B15" s="5" t="s">
        <v>279</v>
      </c>
      <c r="C15" s="4">
        <v>20708134</v>
      </c>
      <c r="D15" s="4">
        <v>5204667</v>
      </c>
      <c r="E15" s="4">
        <v>795242</v>
      </c>
      <c r="F15" s="4">
        <v>754463</v>
      </c>
      <c r="G15" s="4">
        <v>240016352</v>
      </c>
      <c r="H15" s="4">
        <v>104923158</v>
      </c>
      <c r="I15" s="4">
        <v>240016501</v>
      </c>
      <c r="J15" s="4">
        <v>104923160</v>
      </c>
      <c r="K15" s="4"/>
      <c r="L15" s="5">
        <v>4246.2</v>
      </c>
      <c r="M15" s="5">
        <v>3983.3</v>
      </c>
      <c r="N15" s="5">
        <v>73111.3</v>
      </c>
      <c r="O15" s="5"/>
      <c r="P15" s="5"/>
      <c r="Q15" s="9">
        <v>28.5</v>
      </c>
      <c r="R15" s="4" t="s">
        <v>280</v>
      </c>
      <c r="S15" s="4">
        <v>610</v>
      </c>
      <c r="T15" s="4">
        <v>630</v>
      </c>
      <c r="U15" s="4">
        <v>9395</v>
      </c>
      <c r="V15" s="4">
        <v>8265</v>
      </c>
      <c r="W15" s="5">
        <v>7.52</v>
      </c>
      <c r="X15" s="5">
        <v>7.05</v>
      </c>
      <c r="Y15" s="4">
        <v>1432</v>
      </c>
      <c r="Z15" s="4"/>
      <c r="AA15" s="11">
        <f t="shared" ref="AA15:AF15" si="24">IF(OR(C16=""),"",C16-C15)</f>
        <v>40515</v>
      </c>
      <c r="AB15" s="11">
        <f t="shared" si="24"/>
        <v>47225</v>
      </c>
      <c r="AC15" s="11">
        <f t="shared" si="24"/>
        <v>63484</v>
      </c>
      <c r="AD15" s="11">
        <f t="shared" si="24"/>
        <v>64186</v>
      </c>
      <c r="AE15" s="11">
        <f t="shared" si="24"/>
        <v>214999</v>
      </c>
      <c r="AF15" s="11">
        <f t="shared" si="24"/>
        <v>5546</v>
      </c>
      <c r="AG15" s="11">
        <f t="shared" si="1"/>
        <v>411</v>
      </c>
      <c r="AH15" s="11">
        <f t="shared" si="2"/>
        <v>214850</v>
      </c>
      <c r="AI15" s="15">
        <f t="shared" si="3"/>
        <v>5544</v>
      </c>
      <c r="AJ15" s="15">
        <f t="shared" si="4"/>
        <v>209306</v>
      </c>
      <c r="AK15" s="15">
        <v>3900</v>
      </c>
      <c r="AL15" s="15">
        <f t="shared" si="5"/>
        <v>0</v>
      </c>
      <c r="AM15" s="15">
        <f t="shared" si="6"/>
        <v>0</v>
      </c>
      <c r="AN15" s="15">
        <f t="shared" si="7"/>
        <v>4331</v>
      </c>
      <c r="AO15" s="15">
        <f t="shared" si="8"/>
        <v>1512</v>
      </c>
      <c r="AP15" s="15">
        <v>1212</v>
      </c>
      <c r="AQ15" s="18">
        <f t="shared" si="9"/>
        <v>0</v>
      </c>
      <c r="AR15" s="18">
        <f t="shared" si="10"/>
        <v>0</v>
      </c>
      <c r="AS15" s="19">
        <f t="shared" si="11"/>
        <v>20.7</v>
      </c>
      <c r="AT15" s="18">
        <f t="shared" si="12"/>
        <v>7.22</v>
      </c>
    </row>
    <row r="16" spans="1:46">
      <c r="A16" s="6">
        <v>43660</v>
      </c>
      <c r="B16" s="5" t="s">
        <v>281</v>
      </c>
      <c r="C16" s="4">
        <v>20748649</v>
      </c>
      <c r="D16" s="4">
        <v>5251892</v>
      </c>
      <c r="E16" s="4">
        <v>858726</v>
      </c>
      <c r="F16" s="4">
        <v>818649</v>
      </c>
      <c r="G16" s="4">
        <v>240231351</v>
      </c>
      <c r="H16" s="4">
        <v>104928704</v>
      </c>
      <c r="I16" s="4">
        <v>240231351</v>
      </c>
      <c r="J16" s="4">
        <v>104928704</v>
      </c>
      <c r="K16" s="4"/>
      <c r="L16" s="5">
        <v>4246.2</v>
      </c>
      <c r="M16" s="5">
        <v>3983.3</v>
      </c>
      <c r="N16" s="5">
        <v>73111.3</v>
      </c>
      <c r="O16" s="5"/>
      <c r="P16" s="5"/>
      <c r="Q16" s="9">
        <v>29.1</v>
      </c>
      <c r="R16" s="4" t="s">
        <v>44</v>
      </c>
      <c r="S16" s="4">
        <v>510</v>
      </c>
      <c r="T16" s="4">
        <v>540</v>
      </c>
      <c r="U16" s="4">
        <v>9425</v>
      </c>
      <c r="V16" s="4">
        <v>8231</v>
      </c>
      <c r="W16" s="5">
        <v>7.53</v>
      </c>
      <c r="X16" s="5">
        <v>6.72</v>
      </c>
      <c r="Y16" s="4">
        <v>1145</v>
      </c>
      <c r="Z16" s="4"/>
      <c r="AA16" s="11">
        <f t="shared" ref="AA16:AF16" si="25">IF(OR(C17=""),"",C17-C16)</f>
        <v>40825</v>
      </c>
      <c r="AB16" s="11">
        <f t="shared" si="25"/>
        <v>44995</v>
      </c>
      <c r="AC16" s="11">
        <f t="shared" si="25"/>
        <v>66185</v>
      </c>
      <c r="AD16" s="11">
        <f t="shared" si="25"/>
        <v>67009</v>
      </c>
      <c r="AE16" s="11">
        <f t="shared" si="25"/>
        <v>211505</v>
      </c>
      <c r="AF16" s="11">
        <f t="shared" si="25"/>
        <v>5519</v>
      </c>
      <c r="AG16" s="11">
        <f t="shared" si="1"/>
        <v>7509</v>
      </c>
      <c r="AH16" s="11">
        <f t="shared" si="2"/>
        <v>212480</v>
      </c>
      <c r="AI16" s="15">
        <f t="shared" si="3"/>
        <v>5544</v>
      </c>
      <c r="AJ16" s="15">
        <f t="shared" si="4"/>
        <v>206936</v>
      </c>
      <c r="AK16" s="15">
        <v>3800</v>
      </c>
      <c r="AL16" s="15">
        <f t="shared" si="5"/>
        <v>20400</v>
      </c>
      <c r="AM16" s="15">
        <f t="shared" si="6"/>
        <v>6</v>
      </c>
      <c r="AN16" s="15">
        <f t="shared" si="7"/>
        <v>3621</v>
      </c>
      <c r="AO16" s="15">
        <f t="shared" si="8"/>
        <v>1296</v>
      </c>
      <c r="AP16" s="15">
        <v>766</v>
      </c>
      <c r="AQ16" s="18">
        <f t="shared" si="9"/>
        <v>98.6</v>
      </c>
      <c r="AR16" s="18">
        <f t="shared" si="10"/>
        <v>0.03</v>
      </c>
      <c r="AS16" s="19">
        <f t="shared" si="11"/>
        <v>17.5</v>
      </c>
      <c r="AT16" s="18">
        <f t="shared" si="12"/>
        <v>6.26</v>
      </c>
    </row>
    <row r="17" spans="1:46" ht="26.4">
      <c r="A17" s="6">
        <v>43661</v>
      </c>
      <c r="B17" s="5" t="s">
        <v>282</v>
      </c>
      <c r="C17" s="4">
        <v>20789474</v>
      </c>
      <c r="D17" s="4">
        <v>5296887</v>
      </c>
      <c r="E17" s="4">
        <v>924911</v>
      </c>
      <c r="F17" s="4">
        <v>885658</v>
      </c>
      <c r="G17" s="4">
        <v>240442856</v>
      </c>
      <c r="H17" s="4">
        <v>104934223</v>
      </c>
      <c r="I17" s="4">
        <v>240443831</v>
      </c>
      <c r="J17" s="4">
        <v>104934248</v>
      </c>
      <c r="K17" s="4"/>
      <c r="L17" s="5">
        <v>4261.6000000000004</v>
      </c>
      <c r="M17" s="5">
        <v>3984.9</v>
      </c>
      <c r="N17" s="5">
        <v>73114.100000000006</v>
      </c>
      <c r="O17" s="5"/>
      <c r="P17" s="5"/>
      <c r="Q17" s="9">
        <v>29.2</v>
      </c>
      <c r="R17" s="4" t="s">
        <v>283</v>
      </c>
      <c r="S17" s="4">
        <v>500</v>
      </c>
      <c r="T17" s="4">
        <v>520</v>
      </c>
      <c r="U17" s="4">
        <v>9385</v>
      </c>
      <c r="V17" s="4">
        <v>8562</v>
      </c>
      <c r="W17" s="5">
        <v>7.74</v>
      </c>
      <c r="X17" s="5">
        <v>6.34</v>
      </c>
      <c r="Y17" s="4">
        <v>1431</v>
      </c>
      <c r="Z17" s="4" t="s">
        <v>284</v>
      </c>
      <c r="AA17" s="11">
        <f t="shared" ref="AA17:AF17" si="26">IF(OR(C18=""),"",C18-C17)</f>
        <v>46138</v>
      </c>
      <c r="AB17" s="11">
        <f t="shared" si="26"/>
        <v>55550</v>
      </c>
      <c r="AC17" s="11">
        <f t="shared" si="26"/>
        <v>59714</v>
      </c>
      <c r="AD17" s="11">
        <f t="shared" si="26"/>
        <v>60035</v>
      </c>
      <c r="AE17" s="11">
        <f t="shared" si="26"/>
        <v>217593</v>
      </c>
      <c r="AF17" s="11">
        <f t="shared" si="26"/>
        <v>5569</v>
      </c>
      <c r="AG17" s="11">
        <f t="shared" si="1"/>
        <v>3844</v>
      </c>
      <c r="AH17" s="11">
        <f t="shared" si="2"/>
        <v>216746</v>
      </c>
      <c r="AI17" s="15">
        <f t="shared" si="3"/>
        <v>5544</v>
      </c>
      <c r="AJ17" s="15">
        <f t="shared" si="4"/>
        <v>211202</v>
      </c>
      <c r="AK17" s="15">
        <v>3400</v>
      </c>
      <c r="AL17" s="15">
        <f t="shared" si="5"/>
        <v>18480</v>
      </c>
      <c r="AM17" s="15">
        <f t="shared" si="6"/>
        <v>0</v>
      </c>
      <c r="AN17" s="15">
        <f t="shared" si="7"/>
        <v>3550</v>
      </c>
      <c r="AO17" s="15">
        <f t="shared" si="8"/>
        <v>1248</v>
      </c>
      <c r="AP17" s="15">
        <v>1546</v>
      </c>
      <c r="AQ17" s="18">
        <f t="shared" si="9"/>
        <v>87.5</v>
      </c>
      <c r="AR17" s="18">
        <f t="shared" si="10"/>
        <v>0</v>
      </c>
      <c r="AS17" s="19">
        <f t="shared" si="11"/>
        <v>16.8</v>
      </c>
      <c r="AT17" s="18">
        <f t="shared" si="12"/>
        <v>5.91</v>
      </c>
    </row>
    <row r="18" spans="1:46">
      <c r="A18" s="6">
        <v>43662</v>
      </c>
      <c r="B18" s="5" t="s">
        <v>285</v>
      </c>
      <c r="C18" s="4">
        <v>20835612</v>
      </c>
      <c r="D18" s="4">
        <v>5352437</v>
      </c>
      <c r="E18" s="4">
        <v>984625</v>
      </c>
      <c r="F18" s="4">
        <v>945693</v>
      </c>
      <c r="G18" s="4">
        <v>240660449</v>
      </c>
      <c r="H18" s="4">
        <v>104939792</v>
      </c>
      <c r="I18" s="4">
        <v>240660577</v>
      </c>
      <c r="J18" s="4">
        <v>104939792</v>
      </c>
      <c r="K18" s="4"/>
      <c r="L18" s="5">
        <v>4277</v>
      </c>
      <c r="M18" s="5">
        <v>3984.9</v>
      </c>
      <c r="N18" s="5">
        <v>73114.3</v>
      </c>
      <c r="O18" s="5"/>
      <c r="P18" s="5"/>
      <c r="Q18" s="9">
        <v>29</v>
      </c>
      <c r="R18" s="4" t="s">
        <v>286</v>
      </c>
      <c r="S18" s="4">
        <v>450</v>
      </c>
      <c r="T18" s="4">
        <v>470</v>
      </c>
      <c r="U18" s="4">
        <v>9310</v>
      </c>
      <c r="V18" s="4">
        <v>8654</v>
      </c>
      <c r="W18" s="5">
        <v>8.6</v>
      </c>
      <c r="X18" s="5">
        <v>7.27</v>
      </c>
      <c r="Y18" s="4">
        <v>1435</v>
      </c>
      <c r="Z18" s="4"/>
      <c r="AA18" s="11">
        <f t="shared" ref="AA18:AF18" si="27">IF(OR(C19=""),"",C19-C18)</f>
        <v>43753</v>
      </c>
      <c r="AB18" s="11">
        <f t="shared" si="27"/>
        <v>51604</v>
      </c>
      <c r="AC18" s="11">
        <f t="shared" si="27"/>
        <v>59619</v>
      </c>
      <c r="AD18" s="11">
        <f t="shared" si="27"/>
        <v>60378</v>
      </c>
      <c r="AE18" s="11">
        <f t="shared" si="27"/>
        <v>211937</v>
      </c>
      <c r="AF18" s="11">
        <f t="shared" si="27"/>
        <v>5410</v>
      </c>
      <c r="AG18" s="11">
        <f t="shared" si="1"/>
        <v>3417</v>
      </c>
      <c r="AH18" s="11">
        <f t="shared" si="2"/>
        <v>217497</v>
      </c>
      <c r="AI18" s="15">
        <f t="shared" si="3"/>
        <v>5552</v>
      </c>
      <c r="AJ18" s="15">
        <f t="shared" si="4"/>
        <v>211945</v>
      </c>
      <c r="AK18" s="15">
        <v>3800</v>
      </c>
      <c r="AL18" s="15">
        <f t="shared" si="5"/>
        <v>18600</v>
      </c>
      <c r="AM18" s="15">
        <f t="shared" si="6"/>
        <v>0</v>
      </c>
      <c r="AN18" s="15">
        <f t="shared" si="7"/>
        <v>3195</v>
      </c>
      <c r="AO18" s="15">
        <f t="shared" si="8"/>
        <v>1128</v>
      </c>
      <c r="AP18" s="15">
        <v>1246</v>
      </c>
      <c r="AQ18" s="18">
        <f t="shared" si="9"/>
        <v>87.8</v>
      </c>
      <c r="AR18" s="18">
        <f t="shared" si="10"/>
        <v>0</v>
      </c>
      <c r="AS18" s="19">
        <f t="shared" si="11"/>
        <v>15.1</v>
      </c>
      <c r="AT18" s="18">
        <f t="shared" si="12"/>
        <v>5.32</v>
      </c>
    </row>
    <row r="19" spans="1:46">
      <c r="A19" s="6">
        <v>43663</v>
      </c>
      <c r="B19" s="5" t="s">
        <v>287</v>
      </c>
      <c r="C19" s="4">
        <v>20879365</v>
      </c>
      <c r="D19" s="4">
        <v>5404041</v>
      </c>
      <c r="E19" s="4">
        <v>1044244</v>
      </c>
      <c r="F19" s="4">
        <v>1006071</v>
      </c>
      <c r="G19" s="4">
        <v>240872386</v>
      </c>
      <c r="H19" s="4">
        <v>104945202</v>
      </c>
      <c r="I19" s="4">
        <v>240878074</v>
      </c>
      <c r="J19" s="4">
        <v>104945344</v>
      </c>
      <c r="K19" s="4"/>
      <c r="L19" s="5">
        <v>4292.3999999999996</v>
      </c>
      <c r="M19" s="5">
        <v>3985</v>
      </c>
      <c r="N19" s="5">
        <v>73114.399999999994</v>
      </c>
      <c r="O19" s="5"/>
      <c r="P19" s="5"/>
      <c r="Q19" s="9">
        <v>28.9</v>
      </c>
      <c r="R19" s="4" t="s">
        <v>44</v>
      </c>
      <c r="S19" s="4">
        <v>470</v>
      </c>
      <c r="T19" s="4">
        <v>490</v>
      </c>
      <c r="U19" s="1">
        <v>9210</v>
      </c>
      <c r="V19" s="1">
        <v>9000</v>
      </c>
      <c r="W19" s="5">
        <v>8.3000000000000007</v>
      </c>
      <c r="X19" s="5">
        <v>7.47</v>
      </c>
      <c r="Y19" s="4">
        <v>1434</v>
      </c>
      <c r="Z19" s="4"/>
      <c r="AA19" s="11">
        <f t="shared" ref="AA19:AF19" si="28">IF(OR(C20=""),"",C20-C19)</f>
        <v>40538</v>
      </c>
      <c r="AB19" s="11">
        <f t="shared" si="28"/>
        <v>46176</v>
      </c>
      <c r="AC19" s="11">
        <f t="shared" si="28"/>
        <v>65501</v>
      </c>
      <c r="AD19" s="11">
        <f t="shared" si="28"/>
        <v>66184</v>
      </c>
      <c r="AE19" s="11">
        <f t="shared" si="28"/>
        <v>223251</v>
      </c>
      <c r="AF19" s="11">
        <f t="shared" si="28"/>
        <v>5684</v>
      </c>
      <c r="AG19" s="11">
        <f t="shared" si="1"/>
        <v>-4852</v>
      </c>
      <c r="AH19" s="11">
        <f t="shared" si="2"/>
        <v>218007</v>
      </c>
      <c r="AI19" s="15">
        <f t="shared" si="3"/>
        <v>5544</v>
      </c>
      <c r="AJ19" s="15">
        <f t="shared" si="4"/>
        <v>212463</v>
      </c>
      <c r="AK19" s="15">
        <v>1800</v>
      </c>
      <c r="AL19" s="15">
        <f t="shared" si="5"/>
        <v>360</v>
      </c>
      <c r="AM19" s="15">
        <f t="shared" si="6"/>
        <v>0</v>
      </c>
      <c r="AN19" s="15">
        <f t="shared" si="7"/>
        <v>3337</v>
      </c>
      <c r="AO19" s="15">
        <f t="shared" si="8"/>
        <v>1176</v>
      </c>
      <c r="AP19" s="15">
        <v>1208</v>
      </c>
      <c r="AQ19" s="18">
        <f t="shared" si="9"/>
        <v>1.7</v>
      </c>
      <c r="AR19" s="18">
        <f t="shared" si="10"/>
        <v>0</v>
      </c>
      <c r="AS19" s="19">
        <f t="shared" si="11"/>
        <v>15.7</v>
      </c>
      <c r="AT19" s="18">
        <f t="shared" si="12"/>
        <v>5.54</v>
      </c>
    </row>
    <row r="20" spans="1:46">
      <c r="A20" s="6">
        <v>43664</v>
      </c>
      <c r="B20" s="5" t="s">
        <v>48</v>
      </c>
      <c r="C20" s="4">
        <v>20919903</v>
      </c>
      <c r="D20" s="4">
        <v>5450217</v>
      </c>
      <c r="E20" s="4">
        <v>1109745</v>
      </c>
      <c r="F20" s="4">
        <v>1072255</v>
      </c>
      <c r="G20" s="4">
        <v>241095637</v>
      </c>
      <c r="H20" s="4">
        <v>104950886</v>
      </c>
      <c r="I20" s="4">
        <v>241096081</v>
      </c>
      <c r="J20" s="4">
        <v>104950888</v>
      </c>
      <c r="K20" s="4"/>
      <c r="L20" s="5">
        <v>4292.7</v>
      </c>
      <c r="M20" s="5">
        <v>3985</v>
      </c>
      <c r="N20" s="5">
        <v>73114.5</v>
      </c>
      <c r="O20" s="5"/>
      <c r="P20" s="5"/>
      <c r="Q20" s="9">
        <v>29</v>
      </c>
      <c r="R20" s="4" t="s">
        <v>289</v>
      </c>
      <c r="S20" s="4">
        <v>490</v>
      </c>
      <c r="T20" s="4">
        <v>510</v>
      </c>
      <c r="U20" s="4">
        <v>9351</v>
      </c>
      <c r="V20" s="4">
        <v>8415</v>
      </c>
      <c r="W20" s="5">
        <v>7.82</v>
      </c>
      <c r="X20" s="5">
        <v>6.9</v>
      </c>
      <c r="Y20" s="4">
        <v>1430</v>
      </c>
      <c r="Z20" s="4"/>
      <c r="AA20" s="11">
        <f t="shared" ref="AA20:AF20" si="29">IF(OR(C21=""),"",C21-C20)</f>
        <v>59448</v>
      </c>
      <c r="AB20" s="11">
        <f t="shared" si="29"/>
        <v>71027</v>
      </c>
      <c r="AC20" s="11">
        <f t="shared" si="29"/>
        <v>47611</v>
      </c>
      <c r="AD20" s="11">
        <f t="shared" si="29"/>
        <v>45658</v>
      </c>
      <c r="AE20" s="11">
        <f t="shared" si="29"/>
        <v>218008</v>
      </c>
      <c r="AF20" s="11">
        <f t="shared" si="29"/>
        <v>5534</v>
      </c>
      <c r="AG20" s="11">
        <f t="shared" si="1"/>
        <v>5736</v>
      </c>
      <c r="AH20" s="11">
        <f t="shared" si="2"/>
        <v>218465</v>
      </c>
      <c r="AI20" s="15">
        <f t="shared" si="3"/>
        <v>5552</v>
      </c>
      <c r="AJ20" s="15">
        <f t="shared" si="4"/>
        <v>212913</v>
      </c>
      <c r="AK20" s="15">
        <v>3200</v>
      </c>
      <c r="AL20" s="15">
        <f t="shared" si="5"/>
        <v>0</v>
      </c>
      <c r="AM20" s="15">
        <f t="shared" si="6"/>
        <v>0</v>
      </c>
      <c r="AN20" s="15">
        <f t="shared" si="7"/>
        <v>3479</v>
      </c>
      <c r="AO20" s="15">
        <f t="shared" si="8"/>
        <v>1224</v>
      </c>
      <c r="AP20" s="15">
        <v>1440</v>
      </c>
      <c r="AQ20" s="18">
        <f t="shared" si="9"/>
        <v>0</v>
      </c>
      <c r="AR20" s="18">
        <f t="shared" si="10"/>
        <v>0</v>
      </c>
      <c r="AS20" s="19">
        <f t="shared" si="11"/>
        <v>16.3</v>
      </c>
      <c r="AT20" s="18">
        <f t="shared" si="12"/>
        <v>5.75</v>
      </c>
    </row>
    <row r="21" spans="1:46">
      <c r="A21" s="6">
        <v>43665</v>
      </c>
      <c r="B21" s="5" t="s">
        <v>288</v>
      </c>
      <c r="C21" s="4">
        <v>20979351</v>
      </c>
      <c r="D21" s="4">
        <v>5521244</v>
      </c>
      <c r="E21" s="4">
        <v>1157356</v>
      </c>
      <c r="F21" s="4">
        <v>1117913</v>
      </c>
      <c r="G21" s="4">
        <v>241313645</v>
      </c>
      <c r="H21" s="4">
        <v>104956420</v>
      </c>
      <c r="I21" s="4">
        <v>241314546</v>
      </c>
      <c r="J21" s="4">
        <v>104956440</v>
      </c>
      <c r="K21" s="4"/>
      <c r="L21" s="5">
        <v>4292.7</v>
      </c>
      <c r="M21" s="5">
        <v>3985</v>
      </c>
      <c r="N21" s="5">
        <v>73114.600000000006</v>
      </c>
      <c r="O21" s="5"/>
      <c r="P21" s="5"/>
      <c r="Q21" s="9">
        <v>29.2</v>
      </c>
      <c r="R21" s="4" t="s">
        <v>291</v>
      </c>
      <c r="S21" s="4">
        <v>670</v>
      </c>
      <c r="T21" s="4">
        <v>680</v>
      </c>
      <c r="U21" s="4">
        <v>9420</v>
      </c>
      <c r="V21" s="4">
        <v>7895</v>
      </c>
      <c r="W21" s="5">
        <v>7.81</v>
      </c>
      <c r="X21" s="5">
        <v>7.19</v>
      </c>
      <c r="Y21" s="4">
        <v>1431</v>
      </c>
      <c r="Z21" s="4"/>
      <c r="AA21" s="11">
        <f t="shared" ref="AA21:AF21" si="30">IF(OR(C22=""),"",C22-C21)</f>
        <v>44549</v>
      </c>
      <c r="AB21" s="11">
        <f t="shared" si="30"/>
        <v>52569</v>
      </c>
      <c r="AC21" s="11">
        <f t="shared" si="30"/>
        <v>59237</v>
      </c>
      <c r="AD21" s="11">
        <f t="shared" si="30"/>
        <v>58795</v>
      </c>
      <c r="AE21" s="11">
        <f t="shared" si="30"/>
        <v>218140</v>
      </c>
      <c r="AF21" s="11">
        <f t="shared" si="30"/>
        <v>5630</v>
      </c>
      <c r="AG21" s="11">
        <f t="shared" si="1"/>
        <v>-2990</v>
      </c>
      <c r="AH21" s="11">
        <f t="shared" si="2"/>
        <v>215026</v>
      </c>
      <c r="AI21" s="15">
        <f t="shared" si="3"/>
        <v>5544</v>
      </c>
      <c r="AJ21" s="15">
        <f t="shared" si="4"/>
        <v>209482</v>
      </c>
      <c r="AK21" s="15">
        <v>3000</v>
      </c>
      <c r="AL21" s="15">
        <f t="shared" si="5"/>
        <v>120</v>
      </c>
      <c r="AM21" s="15">
        <f t="shared" si="6"/>
        <v>0</v>
      </c>
      <c r="AN21" s="15">
        <f t="shared" si="7"/>
        <v>4757</v>
      </c>
      <c r="AO21" s="15">
        <f t="shared" si="8"/>
        <v>1632</v>
      </c>
      <c r="AP21" s="15">
        <v>465</v>
      </c>
      <c r="AQ21" s="18">
        <f t="shared" si="9"/>
        <v>0.6</v>
      </c>
      <c r="AR21" s="18">
        <f t="shared" si="10"/>
        <v>0</v>
      </c>
      <c r="AS21" s="19">
        <f t="shared" si="11"/>
        <v>22.7</v>
      </c>
      <c r="AT21" s="18">
        <f t="shared" si="12"/>
        <v>7.79</v>
      </c>
    </row>
    <row r="22" spans="1:46">
      <c r="A22" s="6">
        <v>43666</v>
      </c>
      <c r="B22" s="5" t="s">
        <v>290</v>
      </c>
      <c r="C22" s="4">
        <v>21023900</v>
      </c>
      <c r="D22" s="4">
        <v>5573813</v>
      </c>
      <c r="E22" s="4">
        <v>1216593</v>
      </c>
      <c r="F22" s="4">
        <v>1176708</v>
      </c>
      <c r="G22" s="4">
        <v>241531785</v>
      </c>
      <c r="H22" s="4">
        <v>104962050</v>
      </c>
      <c r="I22" s="4">
        <v>241529572</v>
      </c>
      <c r="J22" s="4">
        <v>104961984</v>
      </c>
      <c r="K22" s="4"/>
      <c r="L22" s="5">
        <v>4292.8</v>
      </c>
      <c r="M22" s="5">
        <v>3985</v>
      </c>
      <c r="N22" s="5">
        <v>73114.7</v>
      </c>
      <c r="O22" s="5"/>
      <c r="P22" s="5"/>
      <c r="Q22" s="9">
        <v>29.1</v>
      </c>
      <c r="R22" s="4" t="s">
        <v>44</v>
      </c>
      <c r="S22" s="4">
        <v>630</v>
      </c>
      <c r="T22" s="4">
        <v>650</v>
      </c>
      <c r="U22" s="4">
        <v>9384</v>
      </c>
      <c r="V22" s="4">
        <v>7795</v>
      </c>
      <c r="W22" s="5">
        <v>7.89</v>
      </c>
      <c r="X22" s="5">
        <v>6.96</v>
      </c>
      <c r="Y22" s="4">
        <v>1436</v>
      </c>
      <c r="Z22" s="4"/>
      <c r="AA22" s="11">
        <f t="shared" ref="AA22:AF22" si="31">IF(OR(C23=""),"",C23-C22)</f>
        <v>39648</v>
      </c>
      <c r="AB22" s="11">
        <f t="shared" si="31"/>
        <v>44827</v>
      </c>
      <c r="AC22" s="11">
        <f t="shared" si="31"/>
        <v>66077</v>
      </c>
      <c r="AD22" s="11">
        <f t="shared" si="31"/>
        <v>66564</v>
      </c>
      <c r="AE22" s="11">
        <f t="shared" si="31"/>
        <v>210610</v>
      </c>
      <c r="AF22" s="11">
        <f t="shared" si="31"/>
        <v>5470</v>
      </c>
      <c r="AG22" s="11">
        <f t="shared" si="1"/>
        <v>6506</v>
      </c>
      <c r="AH22" s="11">
        <f t="shared" si="2"/>
        <v>212936</v>
      </c>
      <c r="AI22" s="15">
        <f t="shared" si="3"/>
        <v>5536</v>
      </c>
      <c r="AJ22" s="15">
        <f t="shared" si="4"/>
        <v>207400</v>
      </c>
      <c r="AK22" s="15">
        <v>3800</v>
      </c>
      <c r="AL22" s="15">
        <f t="shared" si="5"/>
        <v>120</v>
      </c>
      <c r="AM22" s="15">
        <f t="shared" si="6"/>
        <v>0</v>
      </c>
      <c r="AN22" s="15">
        <f t="shared" si="7"/>
        <v>4473</v>
      </c>
      <c r="AO22" s="15">
        <f t="shared" si="8"/>
        <v>1560</v>
      </c>
      <c r="AP22" s="15">
        <v>618</v>
      </c>
      <c r="AQ22" s="18">
        <f t="shared" si="9"/>
        <v>0.6</v>
      </c>
      <c r="AR22" s="18">
        <f t="shared" si="10"/>
        <v>0</v>
      </c>
      <c r="AS22" s="19">
        <f t="shared" si="11"/>
        <v>21.6</v>
      </c>
      <c r="AT22" s="18">
        <f t="shared" si="12"/>
        <v>7.52</v>
      </c>
    </row>
    <row r="23" spans="1:46">
      <c r="A23" s="6">
        <v>43667</v>
      </c>
      <c r="B23" s="5" t="s">
        <v>292</v>
      </c>
      <c r="C23" s="4">
        <v>21063548</v>
      </c>
      <c r="D23" s="4">
        <v>5618640</v>
      </c>
      <c r="E23" s="4">
        <v>1282670</v>
      </c>
      <c r="F23" s="4">
        <v>1243272</v>
      </c>
      <c r="G23" s="4">
        <v>241742395</v>
      </c>
      <c r="H23" s="4">
        <v>104967520</v>
      </c>
      <c r="I23" s="4">
        <v>241742508</v>
      </c>
      <c r="J23" s="4">
        <v>104967520</v>
      </c>
      <c r="K23" s="4"/>
      <c r="L23" s="5">
        <v>4292.8999999999996</v>
      </c>
      <c r="M23" s="5">
        <v>3985</v>
      </c>
      <c r="N23" s="5">
        <v>73114.8</v>
      </c>
      <c r="O23" s="5"/>
      <c r="P23" s="5"/>
      <c r="Q23" s="9">
        <v>29.1</v>
      </c>
      <c r="R23" s="4" t="s">
        <v>44</v>
      </c>
      <c r="S23" s="4">
        <v>470</v>
      </c>
      <c r="T23" s="4">
        <v>500</v>
      </c>
      <c r="U23" s="4">
        <v>9485</v>
      </c>
      <c r="V23" s="4">
        <v>8125</v>
      </c>
      <c r="W23" s="5">
        <v>7.07</v>
      </c>
      <c r="X23" s="5">
        <v>6.25</v>
      </c>
      <c r="Y23" s="4">
        <v>1428</v>
      </c>
      <c r="Z23" s="4"/>
      <c r="AA23" s="11">
        <f t="shared" ref="AA23:AF23" si="32">IF(OR(C24=""),"",C24-C23)</f>
        <v>39372</v>
      </c>
      <c r="AB23" s="11">
        <f t="shared" si="32"/>
        <v>43642</v>
      </c>
      <c r="AC23" s="11">
        <f t="shared" si="32"/>
        <v>66305</v>
      </c>
      <c r="AD23" s="11">
        <f t="shared" si="32"/>
        <v>67078</v>
      </c>
      <c r="AE23" s="11">
        <f t="shared" si="32"/>
        <v>210895</v>
      </c>
      <c r="AF23" s="11">
        <f t="shared" si="32"/>
        <v>5522</v>
      </c>
      <c r="AG23" s="11">
        <f t="shared" si="1"/>
        <v>5502</v>
      </c>
      <c r="AH23" s="11">
        <f t="shared" si="2"/>
        <v>212124</v>
      </c>
      <c r="AI23" s="15">
        <f t="shared" si="3"/>
        <v>5552</v>
      </c>
      <c r="AJ23" s="15">
        <f t="shared" si="4"/>
        <v>206572</v>
      </c>
      <c r="AK23" s="15">
        <v>3200</v>
      </c>
      <c r="AL23" s="15">
        <f t="shared" si="5"/>
        <v>0</v>
      </c>
      <c r="AM23" s="15">
        <f t="shared" si="6"/>
        <v>0</v>
      </c>
      <c r="AN23" s="15">
        <f t="shared" si="7"/>
        <v>3337</v>
      </c>
      <c r="AO23" s="15">
        <f t="shared" si="8"/>
        <v>1200</v>
      </c>
      <c r="AP23" s="15">
        <v>462</v>
      </c>
      <c r="AQ23" s="18">
        <f t="shared" si="9"/>
        <v>0</v>
      </c>
      <c r="AR23" s="18">
        <f t="shared" si="10"/>
        <v>0</v>
      </c>
      <c r="AS23" s="19">
        <f t="shared" si="11"/>
        <v>16.2</v>
      </c>
      <c r="AT23" s="18">
        <f t="shared" si="12"/>
        <v>5.81</v>
      </c>
    </row>
    <row r="24" spans="1:46">
      <c r="A24" s="6">
        <v>43668</v>
      </c>
      <c r="B24" s="5" t="s">
        <v>293</v>
      </c>
      <c r="C24" s="4">
        <v>21102920</v>
      </c>
      <c r="D24" s="4">
        <v>5662282</v>
      </c>
      <c r="E24" s="4">
        <v>1348975</v>
      </c>
      <c r="F24" s="4">
        <v>1310350</v>
      </c>
      <c r="G24" s="4">
        <v>241953290</v>
      </c>
      <c r="H24" s="4">
        <v>104973042</v>
      </c>
      <c r="I24" s="4">
        <v>241954632</v>
      </c>
      <c r="J24" s="4">
        <v>104973072</v>
      </c>
      <c r="K24" s="4"/>
      <c r="L24" s="5">
        <v>4292.8999999999996</v>
      </c>
      <c r="M24" s="5">
        <v>3985</v>
      </c>
      <c r="N24" s="5">
        <v>73114.899999999994</v>
      </c>
      <c r="O24" s="5"/>
      <c r="P24" s="5"/>
      <c r="Q24" s="9">
        <v>29</v>
      </c>
      <c r="R24" s="4" t="s">
        <v>294</v>
      </c>
      <c r="S24" s="4">
        <v>350</v>
      </c>
      <c r="T24" s="4">
        <v>400</v>
      </c>
      <c r="U24" s="4">
        <v>9491</v>
      </c>
      <c r="V24" s="4">
        <v>8263</v>
      </c>
      <c r="W24" s="5">
        <v>6.91</v>
      </c>
      <c r="X24" s="5">
        <v>5.68</v>
      </c>
      <c r="Y24" s="4">
        <v>1432</v>
      </c>
      <c r="Z24" s="4"/>
      <c r="AA24" s="11">
        <f t="shared" ref="AA24:AF24" si="33">IF(OR(C25=""),"",C25-C24)</f>
        <v>39767</v>
      </c>
      <c r="AB24" s="11">
        <f t="shared" si="33"/>
        <v>43890</v>
      </c>
      <c r="AC24" s="11">
        <f t="shared" si="33"/>
        <v>67612</v>
      </c>
      <c r="AD24" s="11">
        <f t="shared" si="33"/>
        <v>68324</v>
      </c>
      <c r="AE24" s="11">
        <f t="shared" si="33"/>
        <v>216535</v>
      </c>
      <c r="AF24" s="11">
        <f t="shared" si="33"/>
        <v>5547</v>
      </c>
      <c r="AG24" s="11">
        <f t="shared" si="1"/>
        <v>3058</v>
      </c>
      <c r="AH24" s="11">
        <f t="shared" si="2"/>
        <v>216809</v>
      </c>
      <c r="AI24" s="15">
        <f t="shared" si="3"/>
        <v>5552</v>
      </c>
      <c r="AJ24" s="15">
        <f t="shared" si="4"/>
        <v>211257</v>
      </c>
      <c r="AK24" s="15">
        <v>3800</v>
      </c>
      <c r="AL24" s="15">
        <f t="shared" si="5"/>
        <v>120</v>
      </c>
      <c r="AM24" s="15">
        <f t="shared" si="6"/>
        <v>0</v>
      </c>
      <c r="AN24" s="15">
        <f t="shared" si="7"/>
        <v>2485</v>
      </c>
      <c r="AO24" s="15">
        <f t="shared" si="8"/>
        <v>960</v>
      </c>
      <c r="AP24" s="15">
        <v>612</v>
      </c>
      <c r="AQ24" s="18">
        <f t="shared" si="9"/>
        <v>0.6</v>
      </c>
      <c r="AR24" s="18">
        <f t="shared" si="10"/>
        <v>0</v>
      </c>
      <c r="AS24" s="19">
        <f t="shared" si="11"/>
        <v>11.8</v>
      </c>
      <c r="AT24" s="18">
        <f t="shared" si="12"/>
        <v>4.54</v>
      </c>
    </row>
    <row r="25" spans="1:46">
      <c r="A25" s="6">
        <v>43669</v>
      </c>
      <c r="B25" s="5" t="s">
        <v>295</v>
      </c>
      <c r="C25" s="4">
        <v>21142687</v>
      </c>
      <c r="D25" s="4">
        <v>5706172</v>
      </c>
      <c r="E25" s="4">
        <v>1416587</v>
      </c>
      <c r="F25" s="4">
        <v>1378674</v>
      </c>
      <c r="G25" s="4">
        <v>242169825</v>
      </c>
      <c r="H25" s="4">
        <v>104978589</v>
      </c>
      <c r="I25" s="4">
        <v>242171441</v>
      </c>
      <c r="J25" s="4">
        <v>104978624</v>
      </c>
      <c r="K25" s="4"/>
      <c r="L25" s="5">
        <v>4293</v>
      </c>
      <c r="M25" s="5">
        <v>3985</v>
      </c>
      <c r="N25" s="5">
        <v>73115</v>
      </c>
      <c r="O25" s="5"/>
      <c r="P25" s="5"/>
      <c r="Q25" s="9">
        <v>28.5</v>
      </c>
      <c r="R25" s="4" t="s">
        <v>296</v>
      </c>
      <c r="S25" s="4">
        <v>280</v>
      </c>
      <c r="T25" s="4">
        <v>300</v>
      </c>
      <c r="U25" s="4">
        <v>9427</v>
      </c>
      <c r="V25" s="4">
        <v>8896</v>
      </c>
      <c r="W25" s="5">
        <v>5.6</v>
      </c>
      <c r="X25" s="5">
        <v>3.77</v>
      </c>
      <c r="Y25" s="4">
        <v>1436</v>
      </c>
      <c r="Z25" s="4"/>
      <c r="AA25" s="11">
        <f t="shared" ref="AA25:AF25" si="34">IF(OR(C26=""),"",C26-C25)</f>
        <v>38905</v>
      </c>
      <c r="AB25" s="11">
        <f t="shared" si="34"/>
        <v>41223</v>
      </c>
      <c r="AC25" s="11">
        <f t="shared" si="34"/>
        <v>67363</v>
      </c>
      <c r="AD25" s="11">
        <f t="shared" si="34"/>
        <v>68104</v>
      </c>
      <c r="AE25" s="11">
        <f t="shared" si="34"/>
        <v>212813</v>
      </c>
      <c r="AF25" s="11">
        <f t="shared" si="34"/>
        <v>5589</v>
      </c>
      <c r="AG25" s="11">
        <f t="shared" si="1"/>
        <v>2782</v>
      </c>
      <c r="AH25" s="11">
        <f t="shared" si="2"/>
        <v>211157</v>
      </c>
      <c r="AI25" s="15">
        <f t="shared" si="3"/>
        <v>5544</v>
      </c>
      <c r="AJ25" s="15">
        <f t="shared" si="4"/>
        <v>205613</v>
      </c>
      <c r="AK25" s="15">
        <v>3700</v>
      </c>
      <c r="AL25" s="15">
        <f t="shared" si="5"/>
        <v>0</v>
      </c>
      <c r="AM25" s="15">
        <f t="shared" si="6"/>
        <v>0</v>
      </c>
      <c r="AN25" s="15">
        <f t="shared" si="7"/>
        <v>1988</v>
      </c>
      <c r="AO25" s="15">
        <f t="shared" si="8"/>
        <v>720</v>
      </c>
      <c r="AP25" s="15">
        <v>198</v>
      </c>
      <c r="AQ25" s="18">
        <f t="shared" si="9"/>
        <v>0</v>
      </c>
      <c r="AR25" s="18">
        <f t="shared" si="10"/>
        <v>0</v>
      </c>
      <c r="AS25" s="19">
        <f t="shared" si="11"/>
        <v>9.6999999999999993</v>
      </c>
      <c r="AT25" s="18">
        <f t="shared" si="12"/>
        <v>3.5</v>
      </c>
    </row>
    <row r="26" spans="1:46" ht="26.4">
      <c r="A26" s="6">
        <v>43670</v>
      </c>
      <c r="B26" s="5" t="s">
        <v>45</v>
      </c>
      <c r="C26" s="4">
        <v>21181592</v>
      </c>
      <c r="D26" s="4">
        <v>5747395</v>
      </c>
      <c r="E26" s="4">
        <v>1483950</v>
      </c>
      <c r="F26" s="4">
        <v>1446778</v>
      </c>
      <c r="G26" s="4">
        <v>242382638</v>
      </c>
      <c r="H26" s="4">
        <v>104984178</v>
      </c>
      <c r="I26" s="4">
        <v>242382598</v>
      </c>
      <c r="J26" s="4">
        <v>104984168</v>
      </c>
      <c r="K26" s="4"/>
      <c r="L26" s="5">
        <v>4293</v>
      </c>
      <c r="M26" s="5">
        <v>3985</v>
      </c>
      <c r="N26" s="5">
        <v>73115.100000000006</v>
      </c>
      <c r="O26" s="5"/>
      <c r="P26" s="5"/>
      <c r="Q26" s="9">
        <v>28.9</v>
      </c>
      <c r="R26" s="4" t="s">
        <v>297</v>
      </c>
      <c r="S26" s="4">
        <v>260</v>
      </c>
      <c r="T26" s="4">
        <v>280</v>
      </c>
      <c r="U26" s="4">
        <v>9468</v>
      </c>
      <c r="V26" s="4">
        <v>8963</v>
      </c>
      <c r="W26" s="5">
        <v>5.62</v>
      </c>
      <c r="X26" s="5">
        <v>5.42</v>
      </c>
      <c r="Y26" s="4">
        <v>1430</v>
      </c>
      <c r="Z26" s="4" t="s">
        <v>298</v>
      </c>
      <c r="AA26" s="11">
        <f t="shared" ref="AA26:AF26" si="35">IF(OR(C27=""),"",C27-C26)</f>
        <v>42827</v>
      </c>
      <c r="AB26" s="11">
        <f t="shared" si="35"/>
        <v>49548</v>
      </c>
      <c r="AC26" s="11">
        <f t="shared" si="35"/>
        <v>65297</v>
      </c>
      <c r="AD26" s="11">
        <f t="shared" si="35"/>
        <v>65736</v>
      </c>
      <c r="AE26" s="11">
        <f t="shared" si="35"/>
        <v>214112</v>
      </c>
      <c r="AF26" s="11">
        <f t="shared" si="35"/>
        <v>5484</v>
      </c>
      <c r="AG26" s="11">
        <f t="shared" si="1"/>
        <v>9296</v>
      </c>
      <c r="AH26" s="11">
        <f t="shared" si="2"/>
        <v>217026</v>
      </c>
      <c r="AI26" s="15">
        <f t="shared" si="3"/>
        <v>5560</v>
      </c>
      <c r="AJ26" s="15">
        <f t="shared" si="4"/>
        <v>211466</v>
      </c>
      <c r="AK26" s="15">
        <v>3600</v>
      </c>
      <c r="AL26" s="15">
        <f t="shared" si="5"/>
        <v>120</v>
      </c>
      <c r="AM26" s="15">
        <f t="shared" si="6"/>
        <v>0</v>
      </c>
      <c r="AN26" s="15">
        <f t="shared" si="7"/>
        <v>1846</v>
      </c>
      <c r="AO26" s="15">
        <f t="shared" si="8"/>
        <v>672</v>
      </c>
      <c r="AP26" s="15">
        <v>182</v>
      </c>
      <c r="AQ26" s="18">
        <f t="shared" si="9"/>
        <v>0.6</v>
      </c>
      <c r="AR26" s="18">
        <f t="shared" si="10"/>
        <v>0</v>
      </c>
      <c r="AS26" s="19">
        <f t="shared" si="11"/>
        <v>8.6999999999999993</v>
      </c>
      <c r="AT26" s="18">
        <f t="shared" si="12"/>
        <v>3.18</v>
      </c>
    </row>
    <row r="27" spans="1:46" ht="26.4">
      <c r="A27" s="6">
        <v>43671</v>
      </c>
      <c r="B27" s="5" t="s">
        <v>299</v>
      </c>
      <c r="C27" s="4">
        <v>21224419</v>
      </c>
      <c r="D27" s="4">
        <v>5796943</v>
      </c>
      <c r="E27" s="4">
        <v>1549247</v>
      </c>
      <c r="F27" s="4">
        <v>1512514</v>
      </c>
      <c r="G27" s="4">
        <v>242596750</v>
      </c>
      <c r="H27" s="4">
        <v>104989662</v>
      </c>
      <c r="I27" s="4">
        <v>242599624</v>
      </c>
      <c r="J27" s="4">
        <v>104989728</v>
      </c>
      <c r="K27" s="4"/>
      <c r="L27" s="5">
        <v>4293.1000000000004</v>
      </c>
      <c r="M27" s="5">
        <v>3985</v>
      </c>
      <c r="N27" s="5">
        <v>73115.199999999997</v>
      </c>
      <c r="O27" s="5"/>
      <c r="P27" s="5"/>
      <c r="Q27" s="9">
        <v>26.3</v>
      </c>
      <c r="R27" s="4" t="s">
        <v>53</v>
      </c>
      <c r="S27" s="4">
        <v>510</v>
      </c>
      <c r="T27" s="4">
        <v>55</v>
      </c>
      <c r="U27" s="4">
        <v>9514</v>
      </c>
      <c r="V27" s="4">
        <v>8356</v>
      </c>
      <c r="W27" s="5">
        <v>6.88</v>
      </c>
      <c r="X27" s="5">
        <v>5.58</v>
      </c>
      <c r="Y27" s="4">
        <v>1434</v>
      </c>
      <c r="Z27" s="4" t="s">
        <v>300</v>
      </c>
      <c r="AA27" s="11">
        <f t="shared" ref="AA27:AF27" si="36">IF(OR(C28=""),"",C28-C27)</f>
        <v>40229</v>
      </c>
      <c r="AB27" s="11">
        <f t="shared" si="36"/>
        <v>46102</v>
      </c>
      <c r="AC27" s="11">
        <f t="shared" si="36"/>
        <v>65803</v>
      </c>
      <c r="AD27" s="11">
        <f t="shared" si="36"/>
        <v>66395</v>
      </c>
      <c r="AE27" s="11">
        <f t="shared" si="36"/>
        <v>219067</v>
      </c>
      <c r="AF27" s="11">
        <f t="shared" si="36"/>
        <v>5623</v>
      </c>
      <c r="AG27" s="11">
        <f t="shared" si="1"/>
        <v>-538</v>
      </c>
      <c r="AH27" s="11">
        <f t="shared" si="2"/>
        <v>216190</v>
      </c>
      <c r="AI27" s="15">
        <f t="shared" si="3"/>
        <v>5552</v>
      </c>
      <c r="AJ27" s="15">
        <f t="shared" si="4"/>
        <v>210638</v>
      </c>
      <c r="AK27" s="15">
        <v>3200</v>
      </c>
      <c r="AL27" s="15">
        <f t="shared" si="5"/>
        <v>120</v>
      </c>
      <c r="AM27" s="15">
        <f t="shared" si="6"/>
        <v>0</v>
      </c>
      <c r="AN27" s="15">
        <f t="shared" si="7"/>
        <v>3621</v>
      </c>
      <c r="AO27" s="15">
        <f t="shared" si="8"/>
        <v>132</v>
      </c>
      <c r="AP27" s="15">
        <v>415</v>
      </c>
      <c r="AQ27" s="18">
        <f t="shared" si="9"/>
        <v>0.6</v>
      </c>
      <c r="AR27" s="18">
        <f t="shared" si="10"/>
        <v>0</v>
      </c>
      <c r="AS27" s="19">
        <f t="shared" si="11"/>
        <v>17.2</v>
      </c>
      <c r="AT27" s="18">
        <f t="shared" si="12"/>
        <v>0.63</v>
      </c>
    </row>
    <row r="28" spans="1:46">
      <c r="A28" s="6">
        <v>43672</v>
      </c>
      <c r="B28" s="5" t="s">
        <v>301</v>
      </c>
      <c r="C28" s="4">
        <v>21264648</v>
      </c>
      <c r="D28" s="4">
        <v>5843045</v>
      </c>
      <c r="E28" s="4">
        <v>1615050</v>
      </c>
      <c r="F28" s="4">
        <v>1578909</v>
      </c>
      <c r="G28" s="4">
        <v>242815817</v>
      </c>
      <c r="H28" s="4">
        <v>104995285</v>
      </c>
      <c r="I28" s="4">
        <v>242815814</v>
      </c>
      <c r="J28" s="4">
        <v>104995280</v>
      </c>
      <c r="K28" s="4"/>
      <c r="L28" s="5">
        <v>4293.2</v>
      </c>
      <c r="M28" s="5">
        <v>3985</v>
      </c>
      <c r="N28" s="5">
        <v>73115.3</v>
      </c>
      <c r="O28" s="5"/>
      <c r="P28" s="5"/>
      <c r="Q28" s="9">
        <v>27.7</v>
      </c>
      <c r="R28" s="4" t="s">
        <v>302</v>
      </c>
      <c r="S28" s="4">
        <v>670</v>
      </c>
      <c r="T28" s="4">
        <v>680</v>
      </c>
      <c r="U28" s="4">
        <v>9485</v>
      </c>
      <c r="V28" s="4">
        <v>8012</v>
      </c>
      <c r="W28" s="5">
        <v>7.51</v>
      </c>
      <c r="X28" s="5">
        <v>6.62</v>
      </c>
      <c r="Y28" s="4">
        <v>1431</v>
      </c>
      <c r="Z28" s="4"/>
      <c r="AA28" s="11">
        <f t="shared" ref="AA28:AF28" si="37">IF(OR(C29=""),"",C29-C28)</f>
        <v>43840</v>
      </c>
      <c r="AB28" s="11">
        <f t="shared" si="37"/>
        <v>50620</v>
      </c>
      <c r="AC28" s="11">
        <f t="shared" si="37"/>
        <v>62969</v>
      </c>
      <c r="AD28" s="11">
        <f t="shared" si="37"/>
        <v>63631</v>
      </c>
      <c r="AE28" s="11">
        <f t="shared" si="37"/>
        <v>215280</v>
      </c>
      <c r="AF28" s="11">
        <f t="shared" si="37"/>
        <v>5550</v>
      </c>
      <c r="AG28" s="11">
        <f t="shared" si="1"/>
        <v>5780</v>
      </c>
      <c r="AH28" s="11">
        <f t="shared" si="2"/>
        <v>215065</v>
      </c>
      <c r="AI28" s="15">
        <f t="shared" si="3"/>
        <v>5544</v>
      </c>
      <c r="AJ28" s="15">
        <f t="shared" si="4"/>
        <v>209521</v>
      </c>
      <c r="AK28" s="15">
        <v>3600</v>
      </c>
      <c r="AL28" s="15">
        <f t="shared" si="5"/>
        <v>120</v>
      </c>
      <c r="AM28" s="15">
        <f t="shared" si="6"/>
        <v>0</v>
      </c>
      <c r="AN28" s="15">
        <f t="shared" si="7"/>
        <v>4757</v>
      </c>
      <c r="AO28" s="15">
        <f t="shared" si="8"/>
        <v>1632</v>
      </c>
      <c r="AP28" s="15">
        <v>156</v>
      </c>
      <c r="AQ28" s="18">
        <f t="shared" si="9"/>
        <v>0.6</v>
      </c>
      <c r="AR28" s="18">
        <f t="shared" si="10"/>
        <v>0</v>
      </c>
      <c r="AS28" s="19">
        <f t="shared" si="11"/>
        <v>22.7</v>
      </c>
      <c r="AT28" s="18">
        <f t="shared" si="12"/>
        <v>7.79</v>
      </c>
    </row>
    <row r="29" spans="1:46">
      <c r="A29" s="6">
        <v>43673</v>
      </c>
      <c r="B29" s="5" t="s">
        <v>303</v>
      </c>
      <c r="C29" s="4">
        <v>21308488</v>
      </c>
      <c r="D29" s="4">
        <v>5893665</v>
      </c>
      <c r="E29" s="4">
        <v>1678019</v>
      </c>
      <c r="F29" s="4">
        <v>1642540</v>
      </c>
      <c r="G29" s="4">
        <v>243031097</v>
      </c>
      <c r="H29" s="4">
        <v>105000835</v>
      </c>
      <c r="I29" s="4">
        <v>243030879</v>
      </c>
      <c r="J29" s="4">
        <v>105000824</v>
      </c>
      <c r="K29" s="4"/>
      <c r="L29" s="5">
        <v>4293.3</v>
      </c>
      <c r="M29" s="5">
        <v>3985</v>
      </c>
      <c r="N29" s="5">
        <v>73115.399999999994</v>
      </c>
      <c r="O29" s="5"/>
      <c r="P29" s="5"/>
      <c r="Q29" s="9">
        <v>27</v>
      </c>
      <c r="R29" s="4" t="s">
        <v>304</v>
      </c>
      <c r="S29" s="4">
        <v>700</v>
      </c>
      <c r="T29" s="4">
        <v>710</v>
      </c>
      <c r="U29" s="4">
        <v>9397</v>
      </c>
      <c r="V29" s="4">
        <v>7954</v>
      </c>
      <c r="W29" s="5">
        <v>8.39</v>
      </c>
      <c r="X29" s="5">
        <v>6.75</v>
      </c>
      <c r="Y29" s="4">
        <v>1433</v>
      </c>
      <c r="Z29" s="4"/>
      <c r="AA29" s="11">
        <f t="shared" ref="AA29:AF29" si="38">IF(OR(C30=""),"",C30-C29)</f>
        <v>45213</v>
      </c>
      <c r="AB29" s="11">
        <f t="shared" si="38"/>
        <v>52209</v>
      </c>
      <c r="AC29" s="11">
        <f t="shared" si="38"/>
        <v>60151</v>
      </c>
      <c r="AD29" s="11">
        <f t="shared" si="38"/>
        <v>60551</v>
      </c>
      <c r="AE29" s="11">
        <f t="shared" si="38"/>
        <v>217221</v>
      </c>
      <c r="AF29" s="11">
        <f t="shared" si="38"/>
        <v>5653</v>
      </c>
      <c r="AG29" s="11">
        <f t="shared" si="1"/>
        <v>903</v>
      </c>
      <c r="AH29" s="11">
        <f t="shared" si="2"/>
        <v>216952</v>
      </c>
      <c r="AI29" s="15">
        <f t="shared" si="3"/>
        <v>5536</v>
      </c>
      <c r="AJ29" s="15">
        <f t="shared" si="4"/>
        <v>211416</v>
      </c>
      <c r="AK29" s="15">
        <v>3800</v>
      </c>
      <c r="AL29" s="15">
        <f t="shared" si="5"/>
        <v>120</v>
      </c>
      <c r="AM29" s="15">
        <f t="shared" si="6"/>
        <v>0</v>
      </c>
      <c r="AN29" s="15">
        <f t="shared" si="7"/>
        <v>4970</v>
      </c>
      <c r="AO29" s="15">
        <f t="shared" si="8"/>
        <v>1704</v>
      </c>
      <c r="AP29" s="15">
        <v>0</v>
      </c>
      <c r="AQ29" s="18">
        <f t="shared" si="9"/>
        <v>0.6</v>
      </c>
      <c r="AR29" s="18">
        <f t="shared" si="10"/>
        <v>0</v>
      </c>
      <c r="AS29" s="19">
        <f t="shared" si="11"/>
        <v>23.5</v>
      </c>
      <c r="AT29" s="18">
        <f t="shared" si="12"/>
        <v>8.06</v>
      </c>
    </row>
    <row r="30" spans="1:46">
      <c r="A30" s="6">
        <v>43674</v>
      </c>
      <c r="B30" s="5" t="s">
        <v>305</v>
      </c>
      <c r="C30" s="4">
        <v>21353701</v>
      </c>
      <c r="D30" s="4">
        <v>5945874</v>
      </c>
      <c r="E30" s="4">
        <v>1738170</v>
      </c>
      <c r="F30" s="4">
        <v>1703091</v>
      </c>
      <c r="G30" s="4">
        <v>243248318</v>
      </c>
      <c r="H30" s="4">
        <v>105006488</v>
      </c>
      <c r="I30" s="4">
        <v>243247831</v>
      </c>
      <c r="J30" s="4">
        <v>105006360</v>
      </c>
      <c r="K30" s="4"/>
      <c r="L30" s="5">
        <v>4293.3999999999996</v>
      </c>
      <c r="M30" s="5">
        <v>3985</v>
      </c>
      <c r="N30" s="5">
        <v>73115.399999999994</v>
      </c>
      <c r="O30" s="5"/>
      <c r="P30" s="5"/>
      <c r="Q30" s="9">
        <v>27.2</v>
      </c>
      <c r="R30" s="4" t="s">
        <v>306</v>
      </c>
      <c r="S30" s="4">
        <v>420</v>
      </c>
      <c r="T30" s="4">
        <v>450</v>
      </c>
      <c r="U30" s="4">
        <v>9402</v>
      </c>
      <c r="V30" s="4">
        <v>8012</v>
      </c>
      <c r="W30" s="5">
        <v>8.0500000000000007</v>
      </c>
      <c r="X30" s="5">
        <v>7.06</v>
      </c>
      <c r="Y30" s="4">
        <v>1433</v>
      </c>
      <c r="Z30" s="4"/>
      <c r="AA30" s="11">
        <f t="shared" ref="AA30:AF30" si="39">IF(OR(C31=""),"",C31-C30)</f>
        <v>39847</v>
      </c>
      <c r="AB30" s="11">
        <f t="shared" si="39"/>
        <v>43779</v>
      </c>
      <c r="AC30" s="11">
        <f t="shared" si="39"/>
        <v>66215</v>
      </c>
      <c r="AD30" s="11">
        <f t="shared" si="39"/>
        <v>67159</v>
      </c>
      <c r="AE30" s="11">
        <f t="shared" si="39"/>
        <v>215227</v>
      </c>
      <c r="AF30" s="11">
        <f t="shared" si="39"/>
        <v>5419</v>
      </c>
      <c r="AG30" s="11">
        <f t="shared" si="1"/>
        <v>1773</v>
      </c>
      <c r="AH30" s="11">
        <f t="shared" si="2"/>
        <v>215711</v>
      </c>
      <c r="AI30" s="15">
        <f t="shared" si="3"/>
        <v>5544</v>
      </c>
      <c r="AJ30" s="15">
        <f t="shared" si="4"/>
        <v>210167</v>
      </c>
      <c r="AK30" s="15">
        <v>3800</v>
      </c>
      <c r="AL30" s="15">
        <f t="shared" si="5"/>
        <v>840</v>
      </c>
      <c r="AM30" s="15">
        <f t="shared" si="6"/>
        <v>3</v>
      </c>
      <c r="AN30" s="15">
        <f t="shared" si="7"/>
        <v>2982</v>
      </c>
      <c r="AO30" s="15">
        <f t="shared" si="8"/>
        <v>1080</v>
      </c>
      <c r="AP30" s="15">
        <v>0</v>
      </c>
      <c r="AQ30" s="18">
        <f t="shared" si="9"/>
        <v>4</v>
      </c>
      <c r="AR30" s="18">
        <f t="shared" si="10"/>
        <v>0.01</v>
      </c>
      <c r="AS30" s="19">
        <f t="shared" si="11"/>
        <v>14.2</v>
      </c>
      <c r="AT30" s="18">
        <f t="shared" si="12"/>
        <v>5.14</v>
      </c>
    </row>
    <row r="31" spans="1:46">
      <c r="A31" s="6">
        <v>43675</v>
      </c>
      <c r="B31" s="5" t="s">
        <v>307</v>
      </c>
      <c r="C31" s="4">
        <v>21393548</v>
      </c>
      <c r="D31" s="4">
        <v>5989653</v>
      </c>
      <c r="E31" s="4">
        <v>1804385</v>
      </c>
      <c r="F31" s="4">
        <v>1770250</v>
      </c>
      <c r="G31" s="4">
        <v>243463545</v>
      </c>
      <c r="H31" s="4">
        <v>105011907</v>
      </c>
      <c r="I31" s="4">
        <v>243463542</v>
      </c>
      <c r="J31" s="4">
        <v>105011904</v>
      </c>
      <c r="K31" s="4"/>
      <c r="L31" s="5">
        <v>4293.3999999999996</v>
      </c>
      <c r="M31" s="5">
        <v>3985.7</v>
      </c>
      <c r="N31" s="5">
        <v>73117</v>
      </c>
      <c r="O31" s="5"/>
      <c r="P31" s="5"/>
      <c r="Q31" s="9">
        <v>27.5</v>
      </c>
      <c r="R31" s="4" t="s">
        <v>308</v>
      </c>
      <c r="S31" s="4">
        <v>350</v>
      </c>
      <c r="T31" s="4">
        <v>400</v>
      </c>
      <c r="U31" s="4">
        <v>9384</v>
      </c>
      <c r="V31" s="4">
        <v>8152</v>
      </c>
      <c r="W31" s="5">
        <v>7.56</v>
      </c>
      <c r="X31" s="5">
        <v>6.65</v>
      </c>
      <c r="Y31" s="4">
        <v>1432</v>
      </c>
      <c r="Z31" s="4"/>
      <c r="AA31" s="11">
        <f t="shared" ref="AA31:AF31" si="40">IF(OR(C32=""),"",C32-C31)</f>
        <v>39463</v>
      </c>
      <c r="AB31" s="11">
        <f t="shared" si="40"/>
        <v>42733</v>
      </c>
      <c r="AC31" s="11">
        <f t="shared" si="40"/>
        <v>66633</v>
      </c>
      <c r="AD31" s="11">
        <f t="shared" si="40"/>
        <v>67335</v>
      </c>
      <c r="AE31" s="11">
        <f t="shared" si="40"/>
        <v>214596</v>
      </c>
      <c r="AF31" s="11">
        <f t="shared" si="40"/>
        <v>5566</v>
      </c>
      <c r="AG31" s="11">
        <f t="shared" si="1"/>
        <v>1568</v>
      </c>
      <c r="AH31" s="11">
        <f t="shared" si="2"/>
        <v>213851</v>
      </c>
      <c r="AI31" s="15">
        <f t="shared" si="3"/>
        <v>5544</v>
      </c>
      <c r="AJ31" s="15">
        <f t="shared" si="4"/>
        <v>208307</v>
      </c>
      <c r="AK31" s="15">
        <v>3200</v>
      </c>
      <c r="AL31" s="15">
        <f t="shared" si="5"/>
        <v>8640</v>
      </c>
      <c r="AM31" s="15">
        <f t="shared" si="6"/>
        <v>29</v>
      </c>
      <c r="AN31" s="15">
        <f t="shared" si="7"/>
        <v>2485</v>
      </c>
      <c r="AO31" s="15">
        <f t="shared" si="8"/>
        <v>960</v>
      </c>
      <c r="AP31" s="15">
        <v>298</v>
      </c>
      <c r="AQ31" s="18">
        <f t="shared" si="9"/>
        <v>41.5</v>
      </c>
      <c r="AR31" s="18">
        <f t="shared" si="10"/>
        <v>0.14000000000000001</v>
      </c>
      <c r="AS31" s="19">
        <f t="shared" si="11"/>
        <v>11.9</v>
      </c>
      <c r="AT31" s="18">
        <f t="shared" si="12"/>
        <v>4.6100000000000003</v>
      </c>
    </row>
    <row r="32" spans="1:46">
      <c r="A32" s="6">
        <v>43676</v>
      </c>
      <c r="B32" s="5" t="s">
        <v>309</v>
      </c>
      <c r="C32" s="4">
        <v>21433011</v>
      </c>
      <c r="D32" s="4">
        <v>6032386</v>
      </c>
      <c r="E32" s="4">
        <v>1871018</v>
      </c>
      <c r="F32" s="4">
        <v>1837585</v>
      </c>
      <c r="G32" s="4">
        <v>243678141</v>
      </c>
      <c r="H32" s="4">
        <v>105017473</v>
      </c>
      <c r="I32" s="4">
        <v>243677393</v>
      </c>
      <c r="J32" s="4">
        <v>105017448</v>
      </c>
      <c r="K32" s="4"/>
      <c r="L32" s="5">
        <v>4293.5</v>
      </c>
      <c r="M32" s="5">
        <v>3992.8</v>
      </c>
      <c r="N32" s="5">
        <v>73131.7</v>
      </c>
      <c r="O32" s="5"/>
      <c r="P32" s="5"/>
      <c r="Q32" s="9">
        <v>28</v>
      </c>
      <c r="R32" s="4" t="s">
        <v>310</v>
      </c>
      <c r="S32" s="4">
        <v>300</v>
      </c>
      <c r="T32" s="4">
        <v>330</v>
      </c>
      <c r="U32" s="4">
        <v>9120</v>
      </c>
      <c r="V32" s="4">
        <v>8415</v>
      </c>
      <c r="W32" s="5">
        <v>7.26</v>
      </c>
      <c r="X32" s="5">
        <v>6.26</v>
      </c>
      <c r="Y32" s="4">
        <v>1435</v>
      </c>
      <c r="Z32" s="4"/>
      <c r="AA32" s="11">
        <f t="shared" ref="AA32:AF32" si="41">IF(OR(C33=""),"",C33-C32)</f>
        <v>43175</v>
      </c>
      <c r="AB32" s="11">
        <f t="shared" si="41"/>
        <v>50536</v>
      </c>
      <c r="AC32" s="11">
        <f t="shared" si="41"/>
        <v>62332</v>
      </c>
      <c r="AD32" s="11">
        <f t="shared" si="41"/>
        <v>63037</v>
      </c>
      <c r="AE32" s="11">
        <f t="shared" si="41"/>
        <v>212242</v>
      </c>
      <c r="AF32" s="11">
        <f t="shared" si="41"/>
        <v>5548</v>
      </c>
      <c r="AG32" s="11">
        <f t="shared" si="1"/>
        <v>6838</v>
      </c>
      <c r="AH32" s="11">
        <f t="shared" si="2"/>
        <v>212146</v>
      </c>
      <c r="AI32" s="15">
        <f t="shared" si="3"/>
        <v>5544</v>
      </c>
      <c r="AJ32" s="15">
        <f t="shared" si="4"/>
        <v>206602</v>
      </c>
      <c r="AK32" s="15">
        <v>3600</v>
      </c>
      <c r="AL32" s="15">
        <f t="shared" si="5"/>
        <v>15360</v>
      </c>
      <c r="AM32" s="15">
        <f t="shared" si="6"/>
        <v>0</v>
      </c>
      <c r="AN32" s="15">
        <f t="shared" si="7"/>
        <v>2130</v>
      </c>
      <c r="AO32" s="15">
        <f t="shared" si="8"/>
        <v>792</v>
      </c>
      <c r="AP32" s="15">
        <v>267</v>
      </c>
      <c r="AQ32" s="18">
        <f t="shared" si="9"/>
        <v>74.3</v>
      </c>
      <c r="AR32" s="18">
        <f t="shared" si="10"/>
        <v>0</v>
      </c>
      <c r="AS32" s="19">
        <f t="shared" si="11"/>
        <v>10.3</v>
      </c>
      <c r="AT32" s="18">
        <f t="shared" si="12"/>
        <v>3.83</v>
      </c>
    </row>
    <row r="33" spans="1:46">
      <c r="A33" s="6">
        <v>43677</v>
      </c>
      <c r="B33" s="5" t="s">
        <v>48</v>
      </c>
      <c r="C33" s="4">
        <v>21476186</v>
      </c>
      <c r="D33" s="4">
        <v>6082922</v>
      </c>
      <c r="E33" s="4">
        <v>1933350</v>
      </c>
      <c r="F33" s="4">
        <v>1900622</v>
      </c>
      <c r="G33" s="4">
        <v>243890383</v>
      </c>
      <c r="H33" s="4">
        <v>105023021</v>
      </c>
      <c r="I33" s="4">
        <v>243889539</v>
      </c>
      <c r="J33" s="4">
        <v>105022992</v>
      </c>
      <c r="K33" s="4"/>
      <c r="L33" s="5">
        <v>4293.6000000000004</v>
      </c>
      <c r="M33" s="5">
        <v>4005.5</v>
      </c>
      <c r="N33" s="5">
        <v>73131.899999999994</v>
      </c>
      <c r="O33" s="5"/>
      <c r="P33" s="5"/>
      <c r="Q33" s="9">
        <v>27.9</v>
      </c>
      <c r="R33" s="4" t="s">
        <v>310</v>
      </c>
      <c r="S33" s="4">
        <v>310</v>
      </c>
      <c r="T33" s="4">
        <v>340</v>
      </c>
      <c r="U33" s="4">
        <v>10028</v>
      </c>
      <c r="V33" s="4">
        <v>9071</v>
      </c>
      <c r="W33" s="5">
        <v>6.63</v>
      </c>
      <c r="X33" s="5">
        <v>5.94</v>
      </c>
      <c r="Y33" s="4">
        <v>1436</v>
      </c>
      <c r="Z33" s="4"/>
      <c r="AA33" s="11">
        <f t="shared" ref="AA33:AF33" si="42">IF(OR(C34=""),"",C34-C33)</f>
        <v>44791</v>
      </c>
      <c r="AB33" s="11">
        <f t="shared" si="42"/>
        <v>51704</v>
      </c>
      <c r="AC33" s="11">
        <f t="shared" si="42"/>
        <v>61369</v>
      </c>
      <c r="AD33" s="11">
        <f t="shared" si="42"/>
        <v>61665</v>
      </c>
      <c r="AE33" s="11">
        <f t="shared" si="42"/>
        <v>216682</v>
      </c>
      <c r="AF33" s="11">
        <f t="shared" si="42"/>
        <v>5515</v>
      </c>
      <c r="AG33" s="11">
        <f t="shared" si="1"/>
        <v>2847</v>
      </c>
      <c r="AH33" s="11">
        <f t="shared" si="2"/>
        <v>218134</v>
      </c>
      <c r="AI33" s="15">
        <f t="shared" si="3"/>
        <v>5552</v>
      </c>
      <c r="AJ33" s="15">
        <f t="shared" si="4"/>
        <v>212582</v>
      </c>
      <c r="AK33" s="15">
        <v>3500</v>
      </c>
      <c r="AL33" s="15">
        <f t="shared" si="5"/>
        <v>0</v>
      </c>
      <c r="AM33" s="15">
        <f t="shared" si="6"/>
        <v>0</v>
      </c>
      <c r="AN33" s="15">
        <f t="shared" si="7"/>
        <v>2201</v>
      </c>
      <c r="AO33" s="15">
        <f t="shared" si="8"/>
        <v>816</v>
      </c>
      <c r="AP33" s="15">
        <v>252</v>
      </c>
      <c r="AQ33" s="18">
        <f t="shared" si="9"/>
        <v>0</v>
      </c>
      <c r="AR33" s="18">
        <f t="shared" si="10"/>
        <v>0</v>
      </c>
      <c r="AS33" s="19">
        <f t="shared" si="11"/>
        <v>10.4</v>
      </c>
      <c r="AT33" s="18">
        <f t="shared" si="12"/>
        <v>3.84</v>
      </c>
    </row>
    <row r="34" spans="1:46">
      <c r="A34" s="6">
        <v>43678</v>
      </c>
      <c r="B34" s="5" t="s">
        <v>45</v>
      </c>
      <c r="C34" s="4">
        <v>21520977</v>
      </c>
      <c r="D34" s="4">
        <v>6134626</v>
      </c>
      <c r="E34" s="4">
        <v>1994719</v>
      </c>
      <c r="F34" s="4">
        <v>1962287</v>
      </c>
      <c r="G34" s="4">
        <v>244107065</v>
      </c>
      <c r="H34" s="4">
        <v>105028536</v>
      </c>
      <c r="I34" s="4">
        <v>244107673</v>
      </c>
      <c r="J34" s="4">
        <v>105028544</v>
      </c>
      <c r="K34" s="4"/>
      <c r="L34" s="5">
        <v>4293.6000000000004</v>
      </c>
      <c r="M34" s="5">
        <v>4005.5</v>
      </c>
      <c r="N34" s="5">
        <v>73131.899999999994</v>
      </c>
      <c r="O34" s="5"/>
      <c r="P34" s="5"/>
      <c r="Q34" s="9">
        <v>28.2</v>
      </c>
      <c r="R34" s="4" t="s">
        <v>44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3">IF(OR(C37=""),"",C37-C36)</f>
        <v/>
      </c>
      <c r="AB36" s="13" t="str">
        <f t="shared" si="43"/>
        <v/>
      </c>
      <c r="AC36" s="13" t="str">
        <f t="shared" si="43"/>
        <v/>
      </c>
      <c r="AD36" s="13" t="str">
        <f t="shared" si="43"/>
        <v/>
      </c>
      <c r="AE36" s="13" t="str">
        <f t="shared" si="43"/>
        <v/>
      </c>
      <c r="AF36" s="13" t="str">
        <f t="shared" si="43"/>
        <v/>
      </c>
      <c r="AG36" s="13" t="str">
        <f>IF(OR(AA36="",AB36="",AC36=""),"",AA36+AB36+AC36+AD36-AE36)</f>
        <v/>
      </c>
      <c r="AH36" s="17">
        <f t="shared" ref="AH36:AO36" si="44">SUM(AH3:AH34)</f>
        <v>6660246</v>
      </c>
      <c r="AI36" s="17">
        <f t="shared" si="44"/>
        <v>171901</v>
      </c>
      <c r="AJ36" s="17">
        <f t="shared" si="44"/>
        <v>6488345</v>
      </c>
      <c r="AK36" s="17">
        <f t="shared" si="44"/>
        <v>110000</v>
      </c>
      <c r="AL36" s="17">
        <f t="shared" si="44"/>
        <v>118440</v>
      </c>
      <c r="AM36" s="17">
        <f t="shared" si="44"/>
        <v>45</v>
      </c>
      <c r="AN36" s="17">
        <f t="shared" si="44"/>
        <v>110405</v>
      </c>
      <c r="AO36" s="17">
        <f t="shared" si="44"/>
        <v>37956</v>
      </c>
      <c r="AP36" s="17"/>
      <c r="AQ36" s="22">
        <f>IF(OR($AJ36=0),"",ROUND(AL36/$AJ36*1000,1))</f>
        <v>18.3</v>
      </c>
      <c r="AR36" s="22">
        <f>IF(OR($AJ36=0),"",ROUND(AM36/$AJ36*1000,2))</f>
        <v>0.01</v>
      </c>
      <c r="AS36" s="23">
        <f>IF(OR($AJ36=0),"",ROUND(AN36/$AJ36*1000,1))</f>
        <v>17</v>
      </c>
      <c r="AT36" s="22">
        <f>IF(OR($AJ36=0),"",ROUND(AO36/$AJ36*1000,2))</f>
        <v>5.85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20" zoomScaleNormal="120" workbookViewId="0">
      <pane xSplit="2" ySplit="2" topLeftCell="E24" activePane="bottomRight" state="frozen"/>
      <selection pane="topRight"/>
      <selection pane="bottomLeft"/>
      <selection pane="bottomRight" activeCell="AC37" sqref="AC37"/>
    </sheetView>
  </sheetViews>
  <sheetFormatPr defaultColWidth="10.6640625" defaultRowHeight="13.2"/>
  <cols>
    <col min="1" max="1" width="7.21875" style="1" customWidth="1"/>
    <col min="2" max="2" width="8.6640625" style="2" customWidth="1"/>
    <col min="3" max="3" width="10.33203125" style="1" customWidth="1"/>
    <col min="4" max="4" width="9.6640625" style="1" customWidth="1"/>
    <col min="5" max="6" width="9.88671875" style="1" customWidth="1"/>
    <col min="7" max="7" width="11.44140625" style="1" customWidth="1"/>
    <col min="8" max="8" width="11.88671875" style="1" customWidth="1"/>
    <col min="9" max="9" width="12.109375" style="1" customWidth="1"/>
    <col min="10" max="10" width="11.4414062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7" width="6.6640625" style="1" customWidth="1"/>
    <col min="38" max="38" width="5.6640625" style="1" customWidth="1"/>
    <col min="39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314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43678</v>
      </c>
      <c r="B3" s="7" t="str">
        <f>'7'!B34</f>
        <v>仇昊</v>
      </c>
      <c r="C3" s="7">
        <f>'7'!C34</f>
        <v>21520977</v>
      </c>
      <c r="D3" s="7">
        <f>'7'!D34</f>
        <v>6134626</v>
      </c>
      <c r="E3" s="7">
        <f>'7'!E34</f>
        <v>1994719</v>
      </c>
      <c r="F3" s="7">
        <f>'7'!F34</f>
        <v>1962287</v>
      </c>
      <c r="G3" s="7">
        <f>'7'!G34</f>
        <v>244107065</v>
      </c>
      <c r="H3" s="7">
        <f>'7'!H34</f>
        <v>105028536</v>
      </c>
      <c r="I3" s="7">
        <f>'7'!I34</f>
        <v>244107673</v>
      </c>
      <c r="J3" s="7">
        <f>'7'!J34</f>
        <v>105028544</v>
      </c>
      <c r="K3" s="7">
        <f>'7'!K34</f>
        <v>0</v>
      </c>
      <c r="L3" s="7">
        <f>'7'!L34</f>
        <v>4293.6000000000004</v>
      </c>
      <c r="M3" s="7">
        <f>'7'!M34</f>
        <v>4005.5</v>
      </c>
      <c r="N3" s="7">
        <f>'7'!N34</f>
        <v>73131.899999999994</v>
      </c>
      <c r="O3" s="7">
        <f>'7'!O34</f>
        <v>0</v>
      </c>
      <c r="P3" s="7">
        <f>'7'!P34</f>
        <v>0</v>
      </c>
      <c r="Q3" s="7">
        <f>'7'!Q34</f>
        <v>28.2</v>
      </c>
      <c r="R3" s="7" t="str">
        <f>'7'!R34</f>
        <v>晴</v>
      </c>
      <c r="S3" s="4">
        <v>450</v>
      </c>
      <c r="T3" s="4">
        <v>480</v>
      </c>
      <c r="U3" s="4">
        <v>9351</v>
      </c>
      <c r="V3" s="4">
        <v>8083</v>
      </c>
      <c r="W3" s="5">
        <v>6.32</v>
      </c>
      <c r="X3" s="5">
        <v>4.5599999999999996</v>
      </c>
      <c r="Y3" s="4">
        <v>1432</v>
      </c>
      <c r="Z3" s="4"/>
      <c r="AA3" s="11">
        <f t="shared" ref="AA3:AF3" si="0">IF(OR(C4=""),"",C4-C3)</f>
        <v>40673</v>
      </c>
      <c r="AB3" s="11">
        <f t="shared" si="0"/>
        <v>45695</v>
      </c>
      <c r="AC3" s="11">
        <f t="shared" si="0"/>
        <v>66620</v>
      </c>
      <c r="AD3" s="11">
        <f t="shared" si="0"/>
        <v>67623</v>
      </c>
      <c r="AE3" s="11">
        <f t="shared" si="0"/>
        <v>215402</v>
      </c>
      <c r="AF3" s="11">
        <f t="shared" si="0"/>
        <v>5545</v>
      </c>
      <c r="AG3" s="11">
        <f t="shared" ref="AG3:AG33" si="1">IF(OR(AA3="",AB3="",AC3=""),"",AA3+AB3+AC3+AD3-AE3)</f>
        <v>5209</v>
      </c>
      <c r="AH3" s="11">
        <f t="shared" ref="AH3:AH33" si="2">IF(OR(I4=""),"",I4-I3)</f>
        <v>214776</v>
      </c>
      <c r="AI3" s="15">
        <f t="shared" ref="AI3:AI33" si="3">IF(OR(J4=""),"",J4-J3)</f>
        <v>5536</v>
      </c>
      <c r="AJ3" s="15">
        <f t="shared" ref="AJ3:AJ33" si="4">IF(OR(AH3="",AI3=""),"",AH3-AI3)</f>
        <v>209240</v>
      </c>
      <c r="AK3" s="15">
        <v>3500</v>
      </c>
      <c r="AL3" s="15">
        <f t="shared" ref="AL3:AL33" si="5">IF(OR(L4="",M4=""),"",ROUND((L4-L3+M4-M3)*1200,0))</f>
        <v>600</v>
      </c>
      <c r="AM3" s="15">
        <f t="shared" ref="AM3:AM33" si="6">IF(OR(N4=""),"",(ROUND((N4-N3)*2,0)))</f>
        <v>0</v>
      </c>
      <c r="AN3" s="15">
        <f t="shared" ref="AN3:AN34" si="7">IF(OR(S3=""),"",ROUND(S3*7.1,0))</f>
        <v>3195</v>
      </c>
      <c r="AO3" s="15">
        <f t="shared" ref="AO3:AO34" si="8">IF(OR(T3=""),"",ROUND(T3*2.4,0))</f>
        <v>1152</v>
      </c>
      <c r="AP3" s="15">
        <v>459</v>
      </c>
      <c r="AQ3" s="18">
        <f t="shared" ref="AQ3:AQ33" si="9">IF(OR($AJ3=""),"",ROUND(AL3/$AJ3*1000,1))</f>
        <v>2.9</v>
      </c>
      <c r="AR3" s="18">
        <f t="shared" ref="AR3:AR33" si="10">IF(OR($AJ3=""),"",ROUND(AM3/$AJ3*1000,2))</f>
        <v>0</v>
      </c>
      <c r="AS3" s="19">
        <f t="shared" ref="AS3:AS33" si="11">IF(OR($AJ3=""),"",ROUND(AN3/$AJ3*1000,1))</f>
        <v>15.3</v>
      </c>
      <c r="AT3" s="18">
        <f t="shared" ref="AT3:AT33" si="12">IF(OR($AJ3=""),"",ROUND(AO3/$AJ3*1000,2))</f>
        <v>5.51</v>
      </c>
    </row>
    <row r="4" spans="1:46">
      <c r="A4" s="6">
        <v>43679</v>
      </c>
      <c r="B4" s="5" t="s">
        <v>311</v>
      </c>
      <c r="C4" s="4">
        <v>21561650</v>
      </c>
      <c r="D4" s="4">
        <v>6180321</v>
      </c>
      <c r="E4" s="4">
        <v>2061339</v>
      </c>
      <c r="F4" s="4">
        <v>2029910</v>
      </c>
      <c r="G4" s="4">
        <v>244322467</v>
      </c>
      <c r="H4" s="4">
        <v>105034081</v>
      </c>
      <c r="I4" s="4">
        <v>244322449</v>
      </c>
      <c r="J4" s="4">
        <v>105034080</v>
      </c>
      <c r="K4" s="4"/>
      <c r="L4" s="5">
        <v>4293.7</v>
      </c>
      <c r="M4" s="5">
        <v>4005.9</v>
      </c>
      <c r="N4" s="5">
        <v>73132.100000000006</v>
      </c>
      <c r="O4" s="5"/>
      <c r="P4" s="5"/>
      <c r="Q4" s="9">
        <v>28</v>
      </c>
      <c r="R4" s="4" t="s">
        <v>312</v>
      </c>
      <c r="S4" s="4">
        <v>720</v>
      </c>
      <c r="T4" s="4">
        <v>740</v>
      </c>
      <c r="U4" s="4">
        <v>9462</v>
      </c>
      <c r="V4" s="4">
        <v>7263</v>
      </c>
      <c r="W4" s="5">
        <v>6.35</v>
      </c>
      <c r="X4" s="5">
        <v>5.3</v>
      </c>
      <c r="Y4" s="4">
        <v>1432</v>
      </c>
      <c r="Z4" s="4"/>
      <c r="AA4" s="11">
        <f t="shared" ref="AA4:AF13" si="13">IF(OR(C5=""),"",C5-C4)</f>
        <v>41133</v>
      </c>
      <c r="AB4" s="11">
        <f t="shared" si="13"/>
        <v>47822</v>
      </c>
      <c r="AC4" s="11">
        <f t="shared" si="13"/>
        <v>61904</v>
      </c>
      <c r="AD4" s="11">
        <f t="shared" si="13"/>
        <v>62598</v>
      </c>
      <c r="AE4" s="11">
        <f t="shared" si="13"/>
        <v>214872</v>
      </c>
      <c r="AF4" s="11">
        <f t="shared" si="13"/>
        <v>5531</v>
      </c>
      <c r="AG4" s="11">
        <f t="shared" si="1"/>
        <v>-1415</v>
      </c>
      <c r="AH4" s="11">
        <f t="shared" si="2"/>
        <v>214995</v>
      </c>
      <c r="AI4" s="15">
        <f t="shared" si="3"/>
        <v>5528</v>
      </c>
      <c r="AJ4" s="15">
        <f t="shared" si="4"/>
        <v>209467</v>
      </c>
      <c r="AK4" s="15">
        <v>3600</v>
      </c>
      <c r="AL4" s="15">
        <f t="shared" si="5"/>
        <v>120</v>
      </c>
      <c r="AM4" s="15">
        <f t="shared" si="6"/>
        <v>1</v>
      </c>
      <c r="AN4" s="15">
        <f t="shared" si="7"/>
        <v>5112</v>
      </c>
      <c r="AO4" s="15">
        <f t="shared" si="8"/>
        <v>1776</v>
      </c>
      <c r="AP4" s="15">
        <v>356</v>
      </c>
      <c r="AQ4" s="18">
        <f t="shared" si="9"/>
        <v>0.6</v>
      </c>
      <c r="AR4" s="18">
        <f t="shared" si="10"/>
        <v>0</v>
      </c>
      <c r="AS4" s="19">
        <f t="shared" si="11"/>
        <v>24.4</v>
      </c>
      <c r="AT4" s="18">
        <f t="shared" si="12"/>
        <v>8.48</v>
      </c>
    </row>
    <row r="5" spans="1:46">
      <c r="A5" s="6">
        <v>43680</v>
      </c>
      <c r="B5" s="5" t="s">
        <v>315</v>
      </c>
      <c r="C5" s="4">
        <v>21602783</v>
      </c>
      <c r="D5" s="4">
        <v>6228143</v>
      </c>
      <c r="E5" s="4">
        <v>2123243</v>
      </c>
      <c r="F5" s="4">
        <v>2092508</v>
      </c>
      <c r="G5" s="4">
        <v>244537339</v>
      </c>
      <c r="H5" s="4">
        <v>105039612</v>
      </c>
      <c r="I5" s="4">
        <v>244537444</v>
      </c>
      <c r="J5" s="4">
        <v>105039608</v>
      </c>
      <c r="K5" s="4"/>
      <c r="L5" s="5">
        <v>4293.8</v>
      </c>
      <c r="M5" s="5">
        <v>4005.9</v>
      </c>
      <c r="N5" s="5">
        <v>73132.399999999994</v>
      </c>
      <c r="O5" s="5"/>
      <c r="P5" s="5"/>
      <c r="Q5" s="9">
        <v>28.5</v>
      </c>
      <c r="R5" s="4" t="s">
        <v>316</v>
      </c>
      <c r="S5" s="4">
        <v>660</v>
      </c>
      <c r="T5" s="4">
        <v>690</v>
      </c>
      <c r="U5" s="4">
        <v>9399</v>
      </c>
      <c r="V5" s="4">
        <v>7598</v>
      </c>
      <c r="W5" s="5">
        <v>6.58</v>
      </c>
      <c r="X5" s="5">
        <v>5.86</v>
      </c>
      <c r="Y5" s="4">
        <v>1434</v>
      </c>
      <c r="Z5" s="4"/>
      <c r="AA5" s="11">
        <f t="shared" ref="AA5:AF5" si="14">IF(OR(C6=""),"",C6-C5)</f>
        <v>40550</v>
      </c>
      <c r="AB5" s="11">
        <f t="shared" si="14"/>
        <v>45248</v>
      </c>
      <c r="AC5" s="11">
        <f t="shared" si="14"/>
        <v>65602</v>
      </c>
      <c r="AD5" s="11">
        <f t="shared" si="14"/>
        <v>66300</v>
      </c>
      <c r="AE5" s="11">
        <f t="shared" si="13"/>
        <v>212751</v>
      </c>
      <c r="AF5" s="11">
        <f t="shared" si="14"/>
        <v>5506</v>
      </c>
      <c r="AG5" s="11">
        <f t="shared" si="1"/>
        <v>4949</v>
      </c>
      <c r="AH5" s="11">
        <f t="shared" si="2"/>
        <v>213432</v>
      </c>
      <c r="AI5" s="15">
        <f t="shared" si="3"/>
        <v>5528</v>
      </c>
      <c r="AJ5" s="15">
        <f t="shared" si="4"/>
        <v>207904</v>
      </c>
      <c r="AK5" s="15">
        <v>3800</v>
      </c>
      <c r="AL5" s="15">
        <f t="shared" si="5"/>
        <v>120</v>
      </c>
      <c r="AM5" s="15">
        <f t="shared" si="6"/>
        <v>0</v>
      </c>
      <c r="AN5" s="15">
        <f t="shared" si="7"/>
        <v>4686</v>
      </c>
      <c r="AO5" s="15">
        <f t="shared" si="8"/>
        <v>1656</v>
      </c>
      <c r="AP5" s="15">
        <v>991</v>
      </c>
      <c r="AQ5" s="18">
        <f t="shared" si="9"/>
        <v>0.6</v>
      </c>
      <c r="AR5" s="18">
        <f t="shared" si="10"/>
        <v>0</v>
      </c>
      <c r="AS5" s="19">
        <f t="shared" si="11"/>
        <v>22.5</v>
      </c>
      <c r="AT5" s="18">
        <f t="shared" si="12"/>
        <v>7.97</v>
      </c>
    </row>
    <row r="6" spans="1:46">
      <c r="A6" s="6">
        <v>43681</v>
      </c>
      <c r="B6" s="5" t="s">
        <v>317</v>
      </c>
      <c r="C6" s="4">
        <v>21643333</v>
      </c>
      <c r="D6" s="4">
        <v>6273391</v>
      </c>
      <c r="E6" s="4">
        <v>2188845</v>
      </c>
      <c r="F6" s="4">
        <v>2158808</v>
      </c>
      <c r="G6" s="4">
        <v>244750090</v>
      </c>
      <c r="H6" s="4">
        <v>105045118</v>
      </c>
      <c r="I6" s="4">
        <v>244750876</v>
      </c>
      <c r="J6" s="4">
        <v>105045136</v>
      </c>
      <c r="K6" s="4"/>
      <c r="L6" s="5">
        <v>4293.8999999999996</v>
      </c>
      <c r="M6" s="5">
        <v>4005.9</v>
      </c>
      <c r="N6" s="5">
        <v>73132.600000000006</v>
      </c>
      <c r="O6" s="5"/>
      <c r="P6" s="5"/>
      <c r="Q6" s="9">
        <v>28.7</v>
      </c>
      <c r="R6" s="4" t="s">
        <v>318</v>
      </c>
      <c r="S6" s="4">
        <v>400</v>
      </c>
      <c r="T6" s="4">
        <v>430</v>
      </c>
      <c r="U6" s="4">
        <v>9426</v>
      </c>
      <c r="V6" s="4">
        <v>7896</v>
      </c>
      <c r="W6" s="5">
        <v>6.46</v>
      </c>
      <c r="X6" s="5">
        <v>5.08</v>
      </c>
      <c r="Y6" s="4">
        <v>1435</v>
      </c>
      <c r="Z6" s="4"/>
      <c r="AA6" s="11">
        <f t="shared" ref="AA6:AF6" si="15">IF(OR(C7=""),"",C7-C6)</f>
        <v>42792</v>
      </c>
      <c r="AB6" s="11">
        <f t="shared" si="15"/>
        <v>50423</v>
      </c>
      <c r="AC6" s="11">
        <f t="shared" si="15"/>
        <v>59765</v>
      </c>
      <c r="AD6" s="11">
        <f t="shared" si="15"/>
        <v>60082</v>
      </c>
      <c r="AE6" s="11">
        <f t="shared" si="13"/>
        <v>210943</v>
      </c>
      <c r="AF6" s="11">
        <f t="shared" si="15"/>
        <v>5555</v>
      </c>
      <c r="AG6" s="11">
        <f t="shared" si="1"/>
        <v>2119</v>
      </c>
      <c r="AH6" s="11">
        <f t="shared" si="2"/>
        <v>210182</v>
      </c>
      <c r="AI6" s="15">
        <f t="shared" si="3"/>
        <v>5536</v>
      </c>
      <c r="AJ6" s="15">
        <f t="shared" si="4"/>
        <v>204646</v>
      </c>
      <c r="AK6" s="15">
        <v>3500</v>
      </c>
      <c r="AL6" s="15">
        <f t="shared" si="5"/>
        <v>0</v>
      </c>
      <c r="AM6" s="15">
        <f t="shared" si="6"/>
        <v>0</v>
      </c>
      <c r="AN6" s="15">
        <f t="shared" si="7"/>
        <v>2840</v>
      </c>
      <c r="AO6" s="15">
        <f t="shared" si="8"/>
        <v>1032</v>
      </c>
      <c r="AP6" s="15">
        <v>1449</v>
      </c>
      <c r="AQ6" s="18">
        <f t="shared" si="9"/>
        <v>0</v>
      </c>
      <c r="AR6" s="18">
        <f t="shared" si="10"/>
        <v>0</v>
      </c>
      <c r="AS6" s="19">
        <f t="shared" si="11"/>
        <v>13.9</v>
      </c>
      <c r="AT6" s="18">
        <f t="shared" si="12"/>
        <v>5.04</v>
      </c>
    </row>
    <row r="7" spans="1:46">
      <c r="A7" s="6">
        <v>43682</v>
      </c>
      <c r="B7" s="5" t="s">
        <v>319</v>
      </c>
      <c r="C7" s="4">
        <v>21686125</v>
      </c>
      <c r="D7" s="4">
        <v>6323814</v>
      </c>
      <c r="E7" s="4">
        <v>2248610</v>
      </c>
      <c r="F7" s="4">
        <v>2218890</v>
      </c>
      <c r="G7" s="4">
        <v>244961033</v>
      </c>
      <c r="H7" s="4">
        <v>105050673</v>
      </c>
      <c r="I7" s="4">
        <v>244961058</v>
      </c>
      <c r="J7" s="4">
        <v>105050672</v>
      </c>
      <c r="K7" s="4"/>
      <c r="L7" s="5">
        <v>4293.8999999999996</v>
      </c>
      <c r="M7" s="5">
        <v>4005.9</v>
      </c>
      <c r="N7" s="5">
        <v>73132.7</v>
      </c>
      <c r="O7" s="5"/>
      <c r="P7" s="5"/>
      <c r="Q7" s="9">
        <v>28.5</v>
      </c>
      <c r="R7" s="4" t="s">
        <v>320</v>
      </c>
      <c r="S7" s="4">
        <v>410</v>
      </c>
      <c r="T7" s="4">
        <v>420</v>
      </c>
      <c r="U7" s="4">
        <v>9561</v>
      </c>
      <c r="V7" s="4">
        <v>8124</v>
      </c>
      <c r="W7" s="5">
        <v>6.41</v>
      </c>
      <c r="X7" s="5">
        <v>4.74</v>
      </c>
      <c r="Y7" s="4">
        <v>1431</v>
      </c>
      <c r="Z7" s="4"/>
      <c r="AA7" s="11">
        <f t="shared" ref="AA7:AF7" si="16">IF(OR(C8=""),"",C8-C7)</f>
        <v>41112</v>
      </c>
      <c r="AB7" s="11">
        <f t="shared" si="16"/>
        <v>46844</v>
      </c>
      <c r="AC7" s="11">
        <f t="shared" si="16"/>
        <v>67599</v>
      </c>
      <c r="AD7" s="11">
        <f t="shared" si="16"/>
        <v>68524</v>
      </c>
      <c r="AE7" s="11">
        <f t="shared" si="13"/>
        <v>216230</v>
      </c>
      <c r="AF7" s="11">
        <f t="shared" si="16"/>
        <v>5545</v>
      </c>
      <c r="AG7" s="11">
        <f t="shared" si="1"/>
        <v>7849</v>
      </c>
      <c r="AH7" s="11">
        <f t="shared" si="2"/>
        <v>216201</v>
      </c>
      <c r="AI7" s="15">
        <f t="shared" si="3"/>
        <v>5544</v>
      </c>
      <c r="AJ7" s="15">
        <f t="shared" si="4"/>
        <v>210657</v>
      </c>
      <c r="AK7" s="15">
        <v>3500</v>
      </c>
      <c r="AL7" s="15">
        <f t="shared" si="5"/>
        <v>120</v>
      </c>
      <c r="AM7" s="15">
        <f t="shared" si="6"/>
        <v>0</v>
      </c>
      <c r="AN7" s="15">
        <f t="shared" si="7"/>
        <v>2911</v>
      </c>
      <c r="AO7" s="15">
        <f t="shared" si="8"/>
        <v>1008</v>
      </c>
      <c r="AP7" s="15">
        <v>2106</v>
      </c>
      <c r="AQ7" s="18">
        <f t="shared" si="9"/>
        <v>0.6</v>
      </c>
      <c r="AR7" s="18">
        <f t="shared" si="10"/>
        <v>0</v>
      </c>
      <c r="AS7" s="19">
        <f t="shared" si="11"/>
        <v>13.8</v>
      </c>
      <c r="AT7" s="18">
        <f t="shared" si="12"/>
        <v>4.79</v>
      </c>
    </row>
    <row r="8" spans="1:46">
      <c r="A8" s="6">
        <v>43683</v>
      </c>
      <c r="B8" s="5" t="s">
        <v>321</v>
      </c>
      <c r="C8" s="4">
        <v>21727237</v>
      </c>
      <c r="D8" s="4">
        <v>6370658</v>
      </c>
      <c r="E8" s="4">
        <v>2316209</v>
      </c>
      <c r="F8" s="4">
        <v>2287414</v>
      </c>
      <c r="G8" s="4">
        <v>245177263</v>
      </c>
      <c r="H8" s="4">
        <v>105056218</v>
      </c>
      <c r="I8" s="4">
        <v>245177259</v>
      </c>
      <c r="J8" s="4">
        <v>105056216</v>
      </c>
      <c r="K8" s="4"/>
      <c r="L8" s="5">
        <v>4294</v>
      </c>
      <c r="M8" s="5">
        <v>4005.9</v>
      </c>
      <c r="N8" s="5">
        <v>73132.800000000003</v>
      </c>
      <c r="O8" s="5"/>
      <c r="P8" s="5"/>
      <c r="Q8" s="9">
        <v>28.6</v>
      </c>
      <c r="R8" s="4" t="s">
        <v>322</v>
      </c>
      <c r="S8" s="4">
        <v>300</v>
      </c>
      <c r="T8" s="4">
        <v>330</v>
      </c>
      <c r="U8" s="4">
        <v>9294</v>
      </c>
      <c r="V8" s="4">
        <v>8511</v>
      </c>
      <c r="W8" s="5">
        <v>5.67</v>
      </c>
      <c r="X8" s="5">
        <v>4.8899999999999997</v>
      </c>
      <c r="Y8" s="4">
        <v>1440</v>
      </c>
      <c r="Z8" s="4"/>
      <c r="AA8" s="11">
        <f t="shared" ref="AA8:AF8" si="17">IF(OR(C9=""),"",C9-C8)</f>
        <v>41642</v>
      </c>
      <c r="AB8" s="11">
        <f t="shared" si="17"/>
        <v>49233</v>
      </c>
      <c r="AC8" s="11">
        <f t="shared" si="17"/>
        <v>60353</v>
      </c>
      <c r="AD8" s="11">
        <f t="shared" si="17"/>
        <v>61126</v>
      </c>
      <c r="AE8" s="11">
        <f t="shared" si="13"/>
        <v>217426</v>
      </c>
      <c r="AF8" s="11">
        <f t="shared" si="17"/>
        <v>5547</v>
      </c>
      <c r="AG8" s="11">
        <f t="shared" si="1"/>
        <v>-5072</v>
      </c>
      <c r="AH8" s="11">
        <f t="shared" si="2"/>
        <v>217288</v>
      </c>
      <c r="AI8" s="15">
        <f t="shared" si="3"/>
        <v>5544</v>
      </c>
      <c r="AJ8" s="15">
        <f t="shared" si="4"/>
        <v>211744</v>
      </c>
      <c r="AK8" s="15">
        <v>3740</v>
      </c>
      <c r="AL8" s="15">
        <f t="shared" si="5"/>
        <v>120</v>
      </c>
      <c r="AM8" s="15">
        <f t="shared" si="6"/>
        <v>0</v>
      </c>
      <c r="AN8" s="15">
        <f t="shared" si="7"/>
        <v>2130</v>
      </c>
      <c r="AO8" s="15">
        <f t="shared" si="8"/>
        <v>792</v>
      </c>
      <c r="AP8" s="15">
        <v>1915</v>
      </c>
      <c r="AQ8" s="18">
        <f t="shared" si="9"/>
        <v>0.6</v>
      </c>
      <c r="AR8" s="18">
        <f t="shared" si="10"/>
        <v>0</v>
      </c>
      <c r="AS8" s="19">
        <f t="shared" si="11"/>
        <v>10.1</v>
      </c>
      <c r="AT8" s="18">
        <f t="shared" si="12"/>
        <v>3.74</v>
      </c>
    </row>
    <row r="9" spans="1:46">
      <c r="A9" s="6">
        <v>43684</v>
      </c>
      <c r="B9" s="5" t="s">
        <v>323</v>
      </c>
      <c r="C9" s="4">
        <v>21768879</v>
      </c>
      <c r="D9" s="4">
        <v>6419891</v>
      </c>
      <c r="E9" s="4">
        <v>2376562</v>
      </c>
      <c r="F9" s="4">
        <v>2348540</v>
      </c>
      <c r="G9" s="4">
        <v>245394689</v>
      </c>
      <c r="H9" s="4">
        <v>105061765</v>
      </c>
      <c r="I9" s="4">
        <v>245394547</v>
      </c>
      <c r="J9" s="4">
        <v>105061760</v>
      </c>
      <c r="K9" s="4"/>
      <c r="L9" s="5">
        <v>4294.1000000000004</v>
      </c>
      <c r="M9" s="5">
        <v>4005.9</v>
      </c>
      <c r="N9" s="5">
        <v>73132.899999999994</v>
      </c>
      <c r="O9" s="5"/>
      <c r="P9" s="5"/>
      <c r="Q9" s="9">
        <v>28.8</v>
      </c>
      <c r="R9" s="4" t="s">
        <v>44</v>
      </c>
      <c r="S9" s="4">
        <v>320</v>
      </c>
      <c r="T9" s="4">
        <v>340</v>
      </c>
      <c r="U9" s="4">
        <v>9356</v>
      </c>
      <c r="V9" s="4">
        <v>8759</v>
      </c>
      <c r="W9" s="5">
        <v>7.38</v>
      </c>
      <c r="X9" s="5">
        <v>5.76</v>
      </c>
      <c r="Y9" s="4">
        <v>1431</v>
      </c>
      <c r="Z9" s="4"/>
      <c r="AA9" s="11">
        <f t="shared" ref="AA9:AF9" si="18">IF(OR(C10=""),"",C10-C9)</f>
        <v>41181</v>
      </c>
      <c r="AB9" s="11">
        <f t="shared" si="18"/>
        <v>47882</v>
      </c>
      <c r="AC9" s="11">
        <f t="shared" si="18"/>
        <v>66607</v>
      </c>
      <c r="AD9" s="11">
        <f t="shared" si="18"/>
        <v>67416</v>
      </c>
      <c r="AE9" s="11">
        <f t="shared" si="13"/>
        <v>213701</v>
      </c>
      <c r="AF9" s="11">
        <f t="shared" si="18"/>
        <v>5581</v>
      </c>
      <c r="AG9" s="11">
        <f t="shared" si="1"/>
        <v>9385</v>
      </c>
      <c r="AH9" s="11">
        <f t="shared" si="2"/>
        <v>212224</v>
      </c>
      <c r="AI9" s="15">
        <f t="shared" si="3"/>
        <v>5536</v>
      </c>
      <c r="AJ9" s="15">
        <f t="shared" si="4"/>
        <v>206688</v>
      </c>
      <c r="AK9" s="15">
        <v>3600</v>
      </c>
      <c r="AL9" s="15">
        <f t="shared" si="5"/>
        <v>0</v>
      </c>
      <c r="AM9" s="15">
        <f t="shared" si="6"/>
        <v>0</v>
      </c>
      <c r="AN9" s="15">
        <f t="shared" si="7"/>
        <v>2272</v>
      </c>
      <c r="AO9" s="15">
        <f t="shared" si="8"/>
        <v>816</v>
      </c>
      <c r="AP9" s="15">
        <v>1775</v>
      </c>
      <c r="AQ9" s="18">
        <f t="shared" si="9"/>
        <v>0</v>
      </c>
      <c r="AR9" s="18">
        <f t="shared" si="10"/>
        <v>0</v>
      </c>
      <c r="AS9" s="19">
        <f t="shared" si="11"/>
        <v>11</v>
      </c>
      <c r="AT9" s="18">
        <f t="shared" si="12"/>
        <v>3.95</v>
      </c>
    </row>
    <row r="10" spans="1:46">
      <c r="A10" s="6">
        <v>43685</v>
      </c>
      <c r="B10" s="5" t="s">
        <v>324</v>
      </c>
      <c r="C10" s="4">
        <v>21810060</v>
      </c>
      <c r="D10" s="4">
        <v>6467773</v>
      </c>
      <c r="E10" s="4">
        <v>2443169</v>
      </c>
      <c r="F10" s="4">
        <v>2415956</v>
      </c>
      <c r="G10" s="4">
        <v>245608390</v>
      </c>
      <c r="H10" s="4">
        <v>105067346</v>
      </c>
      <c r="I10" s="4">
        <v>245606771</v>
      </c>
      <c r="J10" s="4">
        <v>105067296</v>
      </c>
      <c r="K10" s="4"/>
      <c r="L10" s="5">
        <v>4294.1000000000004</v>
      </c>
      <c r="M10" s="5">
        <v>4005.9</v>
      </c>
      <c r="N10" s="5">
        <v>73133.100000000006</v>
      </c>
      <c r="O10" s="5"/>
      <c r="P10" s="5"/>
      <c r="Q10" s="9">
        <v>28.9</v>
      </c>
      <c r="R10" s="4" t="s">
        <v>44</v>
      </c>
      <c r="S10" s="4">
        <v>450</v>
      </c>
      <c r="T10" s="4">
        <v>480</v>
      </c>
      <c r="U10" s="4">
        <v>9512</v>
      </c>
      <c r="V10" s="4">
        <v>4372</v>
      </c>
      <c r="W10" s="5">
        <v>5.86</v>
      </c>
      <c r="X10" s="5">
        <v>2.2799999999999998</v>
      </c>
      <c r="Y10" s="4">
        <v>1037</v>
      </c>
      <c r="Z10" s="4"/>
      <c r="AA10" s="11">
        <f t="shared" ref="AA10:AF10" si="19">IF(OR(C11=""),"",C11-C10)</f>
        <v>41610</v>
      </c>
      <c r="AB10" s="11">
        <f t="shared" si="19"/>
        <v>48555</v>
      </c>
      <c r="AC10" s="11">
        <f t="shared" si="19"/>
        <v>60194</v>
      </c>
      <c r="AD10" s="11">
        <f t="shared" si="19"/>
        <v>60652</v>
      </c>
      <c r="AE10" s="11">
        <f t="shared" si="13"/>
        <v>210843</v>
      </c>
      <c r="AF10" s="11">
        <f t="shared" si="19"/>
        <v>5520</v>
      </c>
      <c r="AG10" s="11">
        <f t="shared" si="1"/>
        <v>168</v>
      </c>
      <c r="AH10" s="11">
        <f t="shared" si="2"/>
        <v>211826</v>
      </c>
      <c r="AI10" s="15">
        <f t="shared" si="3"/>
        <v>5544</v>
      </c>
      <c r="AJ10" s="15">
        <f t="shared" si="4"/>
        <v>206282</v>
      </c>
      <c r="AK10" s="15">
        <v>3800</v>
      </c>
      <c r="AL10" s="15">
        <f t="shared" si="5"/>
        <v>120</v>
      </c>
      <c r="AM10" s="15">
        <f t="shared" si="6"/>
        <v>0</v>
      </c>
      <c r="AN10" s="15">
        <f t="shared" si="7"/>
        <v>3195</v>
      </c>
      <c r="AO10" s="15">
        <f t="shared" si="8"/>
        <v>1152</v>
      </c>
      <c r="AP10" s="15">
        <v>1899</v>
      </c>
      <c r="AQ10" s="18">
        <f t="shared" si="9"/>
        <v>0.6</v>
      </c>
      <c r="AR10" s="18">
        <f t="shared" si="10"/>
        <v>0</v>
      </c>
      <c r="AS10" s="19">
        <f t="shared" si="11"/>
        <v>15.5</v>
      </c>
      <c r="AT10" s="18">
        <f t="shared" si="12"/>
        <v>5.58</v>
      </c>
    </row>
    <row r="11" spans="1:46" ht="39.6">
      <c r="A11" s="6">
        <v>43686</v>
      </c>
      <c r="B11" s="5" t="s">
        <v>325</v>
      </c>
      <c r="C11" s="4">
        <v>21851670</v>
      </c>
      <c r="D11" s="4">
        <v>6516328</v>
      </c>
      <c r="E11" s="4">
        <v>2503363</v>
      </c>
      <c r="F11" s="4">
        <v>2476608</v>
      </c>
      <c r="G11" s="4">
        <v>245819233</v>
      </c>
      <c r="H11" s="4">
        <v>105072866</v>
      </c>
      <c r="I11" s="4">
        <v>245818597</v>
      </c>
      <c r="J11" s="4">
        <v>105072840</v>
      </c>
      <c r="K11" s="4"/>
      <c r="L11" s="5">
        <v>4294.2</v>
      </c>
      <c r="M11" s="5">
        <v>4005.9</v>
      </c>
      <c r="N11" s="5">
        <v>73133.2</v>
      </c>
      <c r="O11" s="5"/>
      <c r="P11" s="5"/>
      <c r="Q11" s="9">
        <v>28.7</v>
      </c>
      <c r="R11" s="4" t="s">
        <v>326</v>
      </c>
      <c r="S11" s="4">
        <v>600</v>
      </c>
      <c r="T11" s="4">
        <v>620</v>
      </c>
      <c r="U11" s="4">
        <v>10261</v>
      </c>
      <c r="V11" s="4">
        <v>5102</v>
      </c>
      <c r="W11" s="5">
        <v>6.22</v>
      </c>
      <c r="X11" s="5">
        <v>2.2200000000000002</v>
      </c>
      <c r="Y11" s="4">
        <v>258</v>
      </c>
      <c r="Z11" s="4" t="s">
        <v>333</v>
      </c>
      <c r="AA11" s="11">
        <f t="shared" ref="AA11:AF11" si="20">IF(OR(C12=""),"",C12-C11)</f>
        <v>45339</v>
      </c>
      <c r="AB11" s="11">
        <f t="shared" si="20"/>
        <v>53769</v>
      </c>
      <c r="AC11" s="11">
        <f t="shared" si="20"/>
        <v>61587</v>
      </c>
      <c r="AD11" s="11">
        <f t="shared" si="20"/>
        <v>62398</v>
      </c>
      <c r="AE11" s="11">
        <f t="shared" si="13"/>
        <v>209222</v>
      </c>
      <c r="AF11" s="11">
        <f t="shared" si="20"/>
        <v>5528</v>
      </c>
      <c r="AG11" s="11">
        <f t="shared" si="1"/>
        <v>13871</v>
      </c>
      <c r="AH11" s="11">
        <f t="shared" si="2"/>
        <v>209712</v>
      </c>
      <c r="AI11" s="15">
        <f t="shared" si="3"/>
        <v>5544</v>
      </c>
      <c r="AJ11" s="15">
        <f t="shared" si="4"/>
        <v>204168</v>
      </c>
      <c r="AK11" s="15">
        <v>3500</v>
      </c>
      <c r="AL11" s="15">
        <f t="shared" si="5"/>
        <v>120</v>
      </c>
      <c r="AM11" s="15">
        <f t="shared" si="6"/>
        <v>0</v>
      </c>
      <c r="AN11" s="15">
        <f t="shared" si="7"/>
        <v>4260</v>
      </c>
      <c r="AO11" s="15">
        <f t="shared" si="8"/>
        <v>1488</v>
      </c>
      <c r="AP11" s="15">
        <v>1558</v>
      </c>
      <c r="AQ11" s="18">
        <f t="shared" si="9"/>
        <v>0.6</v>
      </c>
      <c r="AR11" s="18">
        <f t="shared" si="10"/>
        <v>0</v>
      </c>
      <c r="AS11" s="19">
        <f t="shared" si="11"/>
        <v>20.9</v>
      </c>
      <c r="AT11" s="18">
        <f t="shared" si="12"/>
        <v>7.29</v>
      </c>
    </row>
    <row r="12" spans="1:46" ht="66">
      <c r="A12" s="6">
        <v>43687</v>
      </c>
      <c r="B12" s="5" t="s">
        <v>327</v>
      </c>
      <c r="C12" s="4">
        <v>21897009</v>
      </c>
      <c r="D12" s="4">
        <v>6570097</v>
      </c>
      <c r="E12" s="4">
        <v>2564950</v>
      </c>
      <c r="F12" s="4">
        <v>2539006</v>
      </c>
      <c r="G12" s="4">
        <v>246028455</v>
      </c>
      <c r="H12" s="4">
        <v>105078394</v>
      </c>
      <c r="I12" s="4">
        <v>246028309</v>
      </c>
      <c r="J12" s="4">
        <v>105078384</v>
      </c>
      <c r="K12" s="4"/>
      <c r="L12" s="5">
        <v>4294.3</v>
      </c>
      <c r="M12" s="5">
        <v>4005.9</v>
      </c>
      <c r="N12" s="5">
        <v>73133.3</v>
      </c>
      <c r="O12" s="5"/>
      <c r="P12" s="5"/>
      <c r="Q12" s="9">
        <v>28.9</v>
      </c>
      <c r="R12" s="4" t="s">
        <v>328</v>
      </c>
      <c r="S12" s="4">
        <v>690</v>
      </c>
      <c r="T12" s="4">
        <v>700</v>
      </c>
      <c r="U12" s="4">
        <v>10296</v>
      </c>
      <c r="V12" s="4">
        <v>7710</v>
      </c>
      <c r="W12" s="5">
        <v>4.5999999999999996</v>
      </c>
      <c r="X12" s="5">
        <v>2.2000000000000002</v>
      </c>
      <c r="Y12" s="4">
        <v>1145</v>
      </c>
      <c r="Z12" s="4" t="s">
        <v>334</v>
      </c>
      <c r="AA12" s="11">
        <f t="shared" ref="AA12:AF12" si="21">IF(OR(C13=""),"",C13-C12)</f>
        <v>63676</v>
      </c>
      <c r="AB12" s="11">
        <f t="shared" si="21"/>
        <v>73932</v>
      </c>
      <c r="AC12" s="11">
        <f t="shared" si="21"/>
        <v>50156</v>
      </c>
      <c r="AD12" s="11">
        <f t="shared" si="21"/>
        <v>47598</v>
      </c>
      <c r="AE12" s="11">
        <f t="shared" si="13"/>
        <v>209950</v>
      </c>
      <c r="AF12" s="11">
        <f t="shared" si="21"/>
        <v>5534</v>
      </c>
      <c r="AG12" s="11">
        <f t="shared" si="1"/>
        <v>25412</v>
      </c>
      <c r="AH12" s="11">
        <f t="shared" si="2"/>
        <v>210114</v>
      </c>
      <c r="AI12" s="15">
        <f t="shared" si="3"/>
        <v>5536</v>
      </c>
      <c r="AJ12" s="15">
        <f t="shared" si="4"/>
        <v>204578</v>
      </c>
      <c r="AK12" s="15">
        <v>3600</v>
      </c>
      <c r="AL12" s="15">
        <f t="shared" si="5"/>
        <v>720</v>
      </c>
      <c r="AM12" s="15">
        <f t="shared" si="6"/>
        <v>1</v>
      </c>
      <c r="AN12" s="15">
        <f t="shared" si="7"/>
        <v>4899</v>
      </c>
      <c r="AO12" s="15">
        <f t="shared" si="8"/>
        <v>1680</v>
      </c>
      <c r="AP12" s="15">
        <v>1403</v>
      </c>
      <c r="AQ12" s="18">
        <f t="shared" si="9"/>
        <v>3.5</v>
      </c>
      <c r="AR12" s="18">
        <f t="shared" si="10"/>
        <v>0</v>
      </c>
      <c r="AS12" s="19">
        <f t="shared" si="11"/>
        <v>23.9</v>
      </c>
      <c r="AT12" s="18">
        <f t="shared" si="12"/>
        <v>8.2100000000000009</v>
      </c>
    </row>
    <row r="13" spans="1:46" ht="26.4">
      <c r="A13" s="6">
        <v>43688</v>
      </c>
      <c r="B13" s="5" t="s">
        <v>329</v>
      </c>
      <c r="C13" s="4">
        <v>21960685</v>
      </c>
      <c r="D13" s="4">
        <v>6644029</v>
      </c>
      <c r="E13" s="4">
        <v>2615106</v>
      </c>
      <c r="F13" s="4">
        <v>2586604</v>
      </c>
      <c r="G13" s="4">
        <v>246238405</v>
      </c>
      <c r="H13" s="4">
        <v>105083928</v>
      </c>
      <c r="I13" s="4">
        <v>246238423</v>
      </c>
      <c r="J13" s="4">
        <v>105083920</v>
      </c>
      <c r="K13" s="4"/>
      <c r="L13" s="5">
        <v>4294.3</v>
      </c>
      <c r="M13" s="5">
        <v>4006.5</v>
      </c>
      <c r="N13" s="5">
        <v>73133.899999999994</v>
      </c>
      <c r="O13" s="5"/>
      <c r="P13" s="5"/>
      <c r="Q13" s="9">
        <v>28.5</v>
      </c>
      <c r="R13" s="4" t="s">
        <v>330</v>
      </c>
      <c r="S13" s="4">
        <v>440</v>
      </c>
      <c r="T13" s="4">
        <v>450</v>
      </c>
      <c r="U13" s="4">
        <v>10311</v>
      </c>
      <c r="V13" s="4">
        <v>8012</v>
      </c>
      <c r="W13" s="5">
        <v>7.14</v>
      </c>
      <c r="X13" s="5">
        <v>2.83</v>
      </c>
      <c r="Y13" s="4">
        <v>1171</v>
      </c>
      <c r="Z13" s="4" t="s">
        <v>335</v>
      </c>
      <c r="AA13" s="11">
        <f t="shared" ref="AA13:AF13" si="22">IF(OR(C14=""),"",C14-C13)</f>
        <v>52232</v>
      </c>
      <c r="AB13" s="11">
        <f t="shared" si="22"/>
        <v>64518</v>
      </c>
      <c r="AC13" s="11">
        <f t="shared" si="22"/>
        <v>54736</v>
      </c>
      <c r="AD13" s="11">
        <f t="shared" si="22"/>
        <v>53013</v>
      </c>
      <c r="AE13" s="11">
        <f t="shared" si="13"/>
        <v>209711</v>
      </c>
      <c r="AF13" s="11">
        <f t="shared" si="22"/>
        <v>5556</v>
      </c>
      <c r="AG13" s="11">
        <f t="shared" si="1"/>
        <v>14788</v>
      </c>
      <c r="AH13" s="11">
        <f t="shared" si="2"/>
        <v>208744</v>
      </c>
      <c r="AI13" s="15">
        <f t="shared" si="3"/>
        <v>5528</v>
      </c>
      <c r="AJ13" s="15">
        <f t="shared" si="4"/>
        <v>203216</v>
      </c>
      <c r="AK13" s="15">
        <v>3800</v>
      </c>
      <c r="AL13" s="15">
        <f t="shared" si="5"/>
        <v>15960</v>
      </c>
      <c r="AM13" s="15">
        <f t="shared" si="6"/>
        <v>61</v>
      </c>
      <c r="AN13" s="15">
        <f t="shared" si="7"/>
        <v>3124</v>
      </c>
      <c r="AO13" s="15">
        <f t="shared" si="8"/>
        <v>1080</v>
      </c>
      <c r="AP13" s="15">
        <v>1315</v>
      </c>
      <c r="AQ13" s="18">
        <f t="shared" si="9"/>
        <v>78.5</v>
      </c>
      <c r="AR13" s="18">
        <f t="shared" si="10"/>
        <v>0.3</v>
      </c>
      <c r="AS13" s="19">
        <f t="shared" si="11"/>
        <v>15.4</v>
      </c>
      <c r="AT13" s="18">
        <f t="shared" si="12"/>
        <v>5.31</v>
      </c>
    </row>
    <row r="14" spans="1:46">
      <c r="A14" s="6">
        <v>43689</v>
      </c>
      <c r="B14" s="5" t="s">
        <v>331</v>
      </c>
      <c r="C14" s="4">
        <v>22012917</v>
      </c>
      <c r="D14" s="4">
        <v>6708547</v>
      </c>
      <c r="E14" s="4">
        <v>2669842</v>
      </c>
      <c r="F14" s="4">
        <v>2639617</v>
      </c>
      <c r="G14" s="4">
        <v>246448116</v>
      </c>
      <c r="H14" s="4">
        <v>105089484</v>
      </c>
      <c r="I14" s="4">
        <v>246447167</v>
      </c>
      <c r="J14" s="4">
        <v>105089448</v>
      </c>
      <c r="K14" s="4"/>
      <c r="L14" s="5">
        <v>4294.3999999999996</v>
      </c>
      <c r="M14" s="5">
        <v>4019.7</v>
      </c>
      <c r="N14" s="5">
        <v>73164.5</v>
      </c>
      <c r="O14" s="5"/>
      <c r="P14" s="5"/>
      <c r="Q14" s="9">
        <v>28</v>
      </c>
      <c r="R14" s="4" t="s">
        <v>332</v>
      </c>
      <c r="S14" s="4">
        <v>450</v>
      </c>
      <c r="T14" s="4">
        <v>470</v>
      </c>
      <c r="U14" s="4">
        <v>9342</v>
      </c>
      <c r="V14" s="4">
        <v>8521</v>
      </c>
      <c r="W14" s="5">
        <v>7.57</v>
      </c>
      <c r="X14" s="5">
        <v>6.52</v>
      </c>
      <c r="Y14" s="4">
        <v>1433</v>
      </c>
      <c r="Z14" s="4"/>
      <c r="AA14" s="11">
        <f t="shared" ref="AA14:AF14" si="23">IF(OR(C15=""),"",C15-C14)</f>
        <v>58002</v>
      </c>
      <c r="AB14" s="11">
        <f t="shared" si="23"/>
        <v>67632</v>
      </c>
      <c r="AC14" s="11">
        <f t="shared" si="23"/>
        <v>46655</v>
      </c>
      <c r="AD14" s="11">
        <f t="shared" si="23"/>
        <v>44322</v>
      </c>
      <c r="AE14" s="11">
        <f t="shared" si="23"/>
        <v>212395</v>
      </c>
      <c r="AF14" s="11">
        <f t="shared" si="23"/>
        <v>5503</v>
      </c>
      <c r="AG14" s="11">
        <f t="shared" si="1"/>
        <v>4216</v>
      </c>
      <c r="AH14" s="11">
        <f t="shared" si="2"/>
        <v>213384</v>
      </c>
      <c r="AI14" s="15">
        <f t="shared" si="3"/>
        <v>5536</v>
      </c>
      <c r="AJ14" s="15">
        <f t="shared" si="4"/>
        <v>207848</v>
      </c>
      <c r="AK14" s="15">
        <v>3600</v>
      </c>
      <c r="AL14" s="15">
        <f t="shared" si="5"/>
        <v>4080</v>
      </c>
      <c r="AM14" s="15">
        <f t="shared" si="6"/>
        <v>15</v>
      </c>
      <c r="AN14" s="15">
        <f t="shared" si="7"/>
        <v>3195</v>
      </c>
      <c r="AO14" s="15">
        <f t="shared" si="8"/>
        <v>1128</v>
      </c>
      <c r="AP14" s="15">
        <v>2094</v>
      </c>
      <c r="AQ14" s="18">
        <f t="shared" si="9"/>
        <v>19.600000000000001</v>
      </c>
      <c r="AR14" s="18">
        <f t="shared" si="10"/>
        <v>7.0000000000000007E-2</v>
      </c>
      <c r="AS14" s="19">
        <f t="shared" si="11"/>
        <v>15.4</v>
      </c>
      <c r="AT14" s="18">
        <f t="shared" si="12"/>
        <v>5.43</v>
      </c>
    </row>
    <row r="15" spans="1:46">
      <c r="A15" s="6">
        <v>43690</v>
      </c>
      <c r="B15" s="5" t="s">
        <v>336</v>
      </c>
      <c r="C15" s="4">
        <v>22070919</v>
      </c>
      <c r="D15" s="4">
        <v>6776179</v>
      </c>
      <c r="E15" s="4">
        <v>2716497</v>
      </c>
      <c r="F15" s="4">
        <v>2683939</v>
      </c>
      <c r="G15" s="4">
        <v>246660511</v>
      </c>
      <c r="H15" s="4">
        <v>105094987</v>
      </c>
      <c r="I15" s="4">
        <v>246660551</v>
      </c>
      <c r="J15" s="4">
        <v>105094984</v>
      </c>
      <c r="K15" s="4"/>
      <c r="L15" s="5">
        <v>4294.5</v>
      </c>
      <c r="M15" s="5">
        <v>4023</v>
      </c>
      <c r="N15" s="5">
        <v>73172.100000000006</v>
      </c>
      <c r="O15" s="5"/>
      <c r="P15" s="5"/>
      <c r="Q15" s="9">
        <v>28.3</v>
      </c>
      <c r="R15" s="4" t="s">
        <v>337</v>
      </c>
      <c r="S15" s="4">
        <v>300</v>
      </c>
      <c r="T15" s="4">
        <v>320</v>
      </c>
      <c r="U15" s="4">
        <v>9352</v>
      </c>
      <c r="V15" s="4">
        <v>8867</v>
      </c>
      <c r="W15" s="5">
        <v>7.62</v>
      </c>
      <c r="X15" s="5">
        <v>6.44</v>
      </c>
      <c r="Y15" s="4">
        <v>1429</v>
      </c>
      <c r="Z15" s="4"/>
      <c r="AA15" s="11">
        <f t="shared" ref="AA15:AF15" si="24">IF(OR(C16=""),"",C16-C15)</f>
        <v>59431</v>
      </c>
      <c r="AB15" s="11">
        <f t="shared" si="24"/>
        <v>69457</v>
      </c>
      <c r="AC15" s="11">
        <f t="shared" si="24"/>
        <v>45053</v>
      </c>
      <c r="AD15" s="11">
        <f t="shared" si="24"/>
        <v>43360</v>
      </c>
      <c r="AE15" s="11">
        <f t="shared" si="24"/>
        <v>213326</v>
      </c>
      <c r="AF15" s="11">
        <f t="shared" si="24"/>
        <v>5476</v>
      </c>
      <c r="AG15" s="11">
        <f t="shared" si="1"/>
        <v>3975</v>
      </c>
      <c r="AH15" s="11">
        <f t="shared" si="2"/>
        <v>214195</v>
      </c>
      <c r="AI15" s="15">
        <f t="shared" si="3"/>
        <v>5544</v>
      </c>
      <c r="AJ15" s="15">
        <f t="shared" si="4"/>
        <v>208651</v>
      </c>
      <c r="AK15" s="15">
        <v>5500</v>
      </c>
      <c r="AL15" s="15">
        <f t="shared" si="5"/>
        <v>120</v>
      </c>
      <c r="AM15" s="15">
        <f t="shared" si="6"/>
        <v>0</v>
      </c>
      <c r="AN15" s="15">
        <f t="shared" si="7"/>
        <v>2130</v>
      </c>
      <c r="AO15" s="15">
        <f t="shared" si="8"/>
        <v>768</v>
      </c>
      <c r="AP15" s="15">
        <v>2115</v>
      </c>
      <c r="AQ15" s="18">
        <f t="shared" si="9"/>
        <v>0.6</v>
      </c>
      <c r="AR15" s="18">
        <f t="shared" si="10"/>
        <v>0</v>
      </c>
      <c r="AS15" s="19">
        <f t="shared" si="11"/>
        <v>10.199999999999999</v>
      </c>
      <c r="AT15" s="18">
        <f t="shared" si="12"/>
        <v>3.68</v>
      </c>
    </row>
    <row r="16" spans="1:46">
      <c r="A16" s="6">
        <v>43691</v>
      </c>
      <c r="B16" s="5" t="s">
        <v>338</v>
      </c>
      <c r="C16" s="4">
        <v>22130350</v>
      </c>
      <c r="D16" s="4">
        <v>6845636</v>
      </c>
      <c r="E16" s="4">
        <v>2761550</v>
      </c>
      <c r="F16" s="4">
        <v>2727299</v>
      </c>
      <c r="G16" s="4">
        <v>246873837</v>
      </c>
      <c r="H16" s="4">
        <v>105100463</v>
      </c>
      <c r="I16" s="4">
        <v>246874746</v>
      </c>
      <c r="J16" s="4">
        <v>105100528</v>
      </c>
      <c r="K16" s="4"/>
      <c r="L16" s="5">
        <v>4294.6000000000004</v>
      </c>
      <c r="M16" s="5">
        <v>4023</v>
      </c>
      <c r="N16" s="5">
        <v>73172.2</v>
      </c>
      <c r="O16" s="5"/>
      <c r="P16" s="5"/>
      <c r="Q16" s="9">
        <v>28.2</v>
      </c>
      <c r="R16" s="4" t="s">
        <v>340</v>
      </c>
      <c r="S16" s="4">
        <v>310</v>
      </c>
      <c r="T16" s="4">
        <v>330</v>
      </c>
      <c r="U16" s="4">
        <v>9345</v>
      </c>
      <c r="V16" s="4">
        <v>8893</v>
      </c>
      <c r="W16" s="5">
        <v>7.4</v>
      </c>
      <c r="X16" s="5">
        <v>6.98</v>
      </c>
      <c r="Y16" s="4">
        <v>1430</v>
      </c>
      <c r="Z16" s="4"/>
      <c r="AA16" s="11">
        <f t="shared" ref="AA16:AF16" si="25">IF(OR(C17=""),"",C17-C16)</f>
        <v>46792</v>
      </c>
      <c r="AB16" s="11">
        <f t="shared" si="25"/>
        <v>54118</v>
      </c>
      <c r="AC16" s="11">
        <f t="shared" si="25"/>
        <v>57932</v>
      </c>
      <c r="AD16" s="11">
        <f t="shared" si="25"/>
        <v>58090</v>
      </c>
      <c r="AE16" s="11">
        <f t="shared" si="25"/>
        <v>213852</v>
      </c>
      <c r="AF16" s="11">
        <f t="shared" si="25"/>
        <v>5616</v>
      </c>
      <c r="AG16" s="11">
        <f t="shared" si="1"/>
        <v>3080</v>
      </c>
      <c r="AH16" s="11">
        <f t="shared" si="2"/>
        <v>212657</v>
      </c>
      <c r="AI16" s="15">
        <f t="shared" si="3"/>
        <v>5536</v>
      </c>
      <c r="AJ16" s="15">
        <f t="shared" si="4"/>
        <v>207121</v>
      </c>
      <c r="AK16" s="15">
        <v>5000</v>
      </c>
      <c r="AL16" s="15">
        <f t="shared" si="5"/>
        <v>0</v>
      </c>
      <c r="AM16" s="15">
        <f t="shared" si="6"/>
        <v>0</v>
      </c>
      <c r="AN16" s="15">
        <f t="shared" si="7"/>
        <v>2201</v>
      </c>
      <c r="AO16" s="15">
        <f t="shared" si="8"/>
        <v>792</v>
      </c>
      <c r="AP16" s="15">
        <v>2181</v>
      </c>
      <c r="AQ16" s="18">
        <f t="shared" si="9"/>
        <v>0</v>
      </c>
      <c r="AR16" s="18">
        <f t="shared" si="10"/>
        <v>0</v>
      </c>
      <c r="AS16" s="19">
        <f t="shared" si="11"/>
        <v>10.6</v>
      </c>
      <c r="AT16" s="18">
        <f t="shared" si="12"/>
        <v>3.82</v>
      </c>
    </row>
    <row r="17" spans="1:46">
      <c r="A17" s="6">
        <v>43692</v>
      </c>
      <c r="B17" s="5" t="s">
        <v>339</v>
      </c>
      <c r="C17" s="4">
        <v>22177142</v>
      </c>
      <c r="D17" s="4">
        <v>6899754</v>
      </c>
      <c r="E17" s="4">
        <v>2819482</v>
      </c>
      <c r="F17" s="4">
        <v>2785389</v>
      </c>
      <c r="G17" s="4">
        <v>247087689</v>
      </c>
      <c r="H17" s="4">
        <v>105106079</v>
      </c>
      <c r="I17" s="4">
        <v>247087403</v>
      </c>
      <c r="J17" s="4">
        <v>105106064</v>
      </c>
      <c r="K17" s="4"/>
      <c r="L17" s="5">
        <v>4294.6000000000004</v>
      </c>
      <c r="M17" s="5">
        <v>4023</v>
      </c>
      <c r="N17" s="5">
        <v>73172.3</v>
      </c>
      <c r="O17" s="5"/>
      <c r="P17" s="5"/>
      <c r="Q17" s="9">
        <v>28.1</v>
      </c>
      <c r="R17" s="4" t="s">
        <v>342</v>
      </c>
      <c r="S17" s="4">
        <v>600</v>
      </c>
      <c r="T17" s="4">
        <v>630</v>
      </c>
      <c r="U17" s="4">
        <v>9485</v>
      </c>
      <c r="V17" s="4">
        <v>7789</v>
      </c>
      <c r="W17" s="5">
        <v>7.41</v>
      </c>
      <c r="X17" s="5">
        <v>6.93</v>
      </c>
      <c r="Y17" s="4">
        <v>1435</v>
      </c>
      <c r="Z17" s="4"/>
      <c r="AA17" s="11">
        <f t="shared" ref="AA17:AF17" si="26">IF(OR(C18=""),"",C18-C17)</f>
        <v>48116</v>
      </c>
      <c r="AB17" s="11">
        <f t="shared" si="26"/>
        <v>58672</v>
      </c>
      <c r="AC17" s="11">
        <f t="shared" si="26"/>
        <v>57668</v>
      </c>
      <c r="AD17" s="11">
        <f t="shared" si="26"/>
        <v>56942</v>
      </c>
      <c r="AE17" s="11">
        <f t="shared" si="26"/>
        <v>211977</v>
      </c>
      <c r="AF17" s="11">
        <f t="shared" si="26"/>
        <v>5519</v>
      </c>
      <c r="AG17" s="11">
        <f t="shared" si="1"/>
        <v>9421</v>
      </c>
      <c r="AH17" s="11">
        <f t="shared" si="2"/>
        <v>212631</v>
      </c>
      <c r="AI17" s="15">
        <f t="shared" si="3"/>
        <v>5536</v>
      </c>
      <c r="AJ17" s="15">
        <f t="shared" si="4"/>
        <v>207095</v>
      </c>
      <c r="AK17" s="15">
        <v>4000</v>
      </c>
      <c r="AL17" s="15">
        <f t="shared" si="5"/>
        <v>120</v>
      </c>
      <c r="AM17" s="15">
        <f t="shared" si="6"/>
        <v>0</v>
      </c>
      <c r="AN17" s="15">
        <f t="shared" si="7"/>
        <v>4260</v>
      </c>
      <c r="AO17" s="15">
        <f t="shared" si="8"/>
        <v>1512</v>
      </c>
      <c r="AP17" s="15">
        <v>1880</v>
      </c>
      <c r="AQ17" s="18">
        <f t="shared" si="9"/>
        <v>0.6</v>
      </c>
      <c r="AR17" s="18">
        <f t="shared" si="10"/>
        <v>0</v>
      </c>
      <c r="AS17" s="19">
        <f t="shared" si="11"/>
        <v>20.6</v>
      </c>
      <c r="AT17" s="18">
        <f t="shared" si="12"/>
        <v>7.3</v>
      </c>
    </row>
    <row r="18" spans="1:46">
      <c r="A18" s="6">
        <v>43693</v>
      </c>
      <c r="B18" s="5" t="s">
        <v>341</v>
      </c>
      <c r="C18" s="4">
        <v>22225258</v>
      </c>
      <c r="D18" s="4">
        <v>6958426</v>
      </c>
      <c r="E18" s="4">
        <v>2877150</v>
      </c>
      <c r="F18" s="4">
        <v>2842331</v>
      </c>
      <c r="G18" s="4">
        <v>247299666</v>
      </c>
      <c r="H18" s="4">
        <v>105111598</v>
      </c>
      <c r="I18" s="4">
        <v>247300034</v>
      </c>
      <c r="J18" s="4">
        <v>105111600</v>
      </c>
      <c r="K18" s="4"/>
      <c r="L18" s="5">
        <v>4294.7</v>
      </c>
      <c r="M18" s="5">
        <v>4023</v>
      </c>
      <c r="N18" s="5">
        <v>73172.399999999994</v>
      </c>
      <c r="O18" s="5"/>
      <c r="P18" s="5"/>
      <c r="Q18" s="9">
        <v>28.2</v>
      </c>
      <c r="R18" s="4" t="s">
        <v>342</v>
      </c>
      <c r="S18" s="4">
        <v>620</v>
      </c>
      <c r="T18" s="4">
        <v>650</v>
      </c>
      <c r="U18" s="4">
        <v>9384</v>
      </c>
      <c r="V18" s="4">
        <v>8167</v>
      </c>
      <c r="W18" s="5">
        <v>7.35</v>
      </c>
      <c r="X18" s="5">
        <v>6.74</v>
      </c>
      <c r="Y18" s="4">
        <v>1431</v>
      </c>
      <c r="Z18" s="4"/>
      <c r="AA18" s="11">
        <f t="shared" ref="AA18:AF18" si="27">IF(OR(C19=""),"",C19-C18)</f>
        <v>45542</v>
      </c>
      <c r="AB18" s="11">
        <f t="shared" si="27"/>
        <v>54296</v>
      </c>
      <c r="AC18" s="11">
        <f t="shared" si="27"/>
        <v>57570</v>
      </c>
      <c r="AD18" s="11">
        <f t="shared" si="27"/>
        <v>58453</v>
      </c>
      <c r="AE18" s="11">
        <f t="shared" si="27"/>
        <v>213245</v>
      </c>
      <c r="AF18" s="11">
        <f t="shared" si="27"/>
        <v>5557</v>
      </c>
      <c r="AG18" s="11">
        <f t="shared" si="1"/>
        <v>2616</v>
      </c>
      <c r="AH18" s="11">
        <f t="shared" si="2"/>
        <v>212500</v>
      </c>
      <c r="AI18" s="15">
        <f t="shared" si="3"/>
        <v>5544</v>
      </c>
      <c r="AJ18" s="15">
        <f t="shared" si="4"/>
        <v>206956</v>
      </c>
      <c r="AK18" s="15">
        <v>3800</v>
      </c>
      <c r="AL18" s="15">
        <f t="shared" si="5"/>
        <v>120</v>
      </c>
      <c r="AM18" s="15">
        <f t="shared" si="6"/>
        <v>0</v>
      </c>
      <c r="AN18" s="15">
        <f t="shared" si="7"/>
        <v>4402</v>
      </c>
      <c r="AO18" s="15">
        <f t="shared" si="8"/>
        <v>1560</v>
      </c>
      <c r="AP18" s="15">
        <v>1799</v>
      </c>
      <c r="AQ18" s="18">
        <f t="shared" si="9"/>
        <v>0.6</v>
      </c>
      <c r="AR18" s="18">
        <f t="shared" si="10"/>
        <v>0</v>
      </c>
      <c r="AS18" s="19">
        <f t="shared" si="11"/>
        <v>21.3</v>
      </c>
      <c r="AT18" s="18">
        <f t="shared" si="12"/>
        <v>7.54</v>
      </c>
    </row>
    <row r="19" spans="1:46" ht="26.4">
      <c r="A19" s="6">
        <v>43694</v>
      </c>
      <c r="B19" s="5" t="s">
        <v>343</v>
      </c>
      <c r="C19" s="4">
        <v>22270800</v>
      </c>
      <c r="D19" s="4">
        <v>7012722</v>
      </c>
      <c r="E19" s="4">
        <v>2934720</v>
      </c>
      <c r="F19" s="4">
        <v>2900784</v>
      </c>
      <c r="G19" s="4">
        <v>247512911</v>
      </c>
      <c r="H19" s="4">
        <v>105117155</v>
      </c>
      <c r="I19" s="4">
        <v>247512534</v>
      </c>
      <c r="J19" s="4">
        <v>105117144</v>
      </c>
      <c r="K19" s="4"/>
      <c r="L19" s="5">
        <v>4294.8</v>
      </c>
      <c r="M19" s="5">
        <v>4023</v>
      </c>
      <c r="N19" s="5">
        <v>73172.5</v>
      </c>
      <c r="O19" s="5"/>
      <c r="P19" s="5"/>
      <c r="Q19" s="9">
        <v>28.5</v>
      </c>
      <c r="R19" s="4" t="s">
        <v>344</v>
      </c>
      <c r="S19" s="4">
        <v>650</v>
      </c>
      <c r="T19" s="4">
        <v>670</v>
      </c>
      <c r="U19" s="4">
        <v>9401</v>
      </c>
      <c r="V19" s="4">
        <v>7598</v>
      </c>
      <c r="W19" s="5">
        <v>8.4600000000000009</v>
      </c>
      <c r="X19" s="5">
        <v>6.85</v>
      </c>
      <c r="Y19" s="4">
        <v>1434</v>
      </c>
      <c r="Z19" s="4" t="s">
        <v>345</v>
      </c>
      <c r="AA19" s="11">
        <f t="shared" ref="AA19:AF19" si="28">IF(OR(C20=""),"",C20-C19)</f>
        <v>47776</v>
      </c>
      <c r="AB19" s="11">
        <f t="shared" si="28"/>
        <v>62358</v>
      </c>
      <c r="AC19" s="11">
        <f t="shared" si="28"/>
        <v>55127</v>
      </c>
      <c r="AD19" s="11">
        <f t="shared" si="28"/>
        <v>54714</v>
      </c>
      <c r="AE19" s="11">
        <f t="shared" si="28"/>
        <v>211759</v>
      </c>
      <c r="AF19" s="11">
        <f t="shared" si="28"/>
        <v>5547</v>
      </c>
      <c r="AG19" s="11">
        <f t="shared" si="1"/>
        <v>8216</v>
      </c>
      <c r="AH19" s="11">
        <f t="shared" si="2"/>
        <v>211822</v>
      </c>
      <c r="AI19" s="15">
        <f t="shared" si="3"/>
        <v>5544</v>
      </c>
      <c r="AJ19" s="15">
        <f t="shared" si="4"/>
        <v>206278</v>
      </c>
      <c r="AK19" s="15">
        <v>3600</v>
      </c>
      <c r="AL19" s="15">
        <f t="shared" si="5"/>
        <v>0</v>
      </c>
      <c r="AM19" s="15">
        <f t="shared" si="6"/>
        <v>0</v>
      </c>
      <c r="AN19" s="15">
        <f t="shared" si="7"/>
        <v>4615</v>
      </c>
      <c r="AO19" s="15">
        <f t="shared" si="8"/>
        <v>1608</v>
      </c>
      <c r="AP19" s="15">
        <v>1530</v>
      </c>
      <c r="AQ19" s="18">
        <f t="shared" si="9"/>
        <v>0</v>
      </c>
      <c r="AR19" s="18">
        <f t="shared" si="10"/>
        <v>0</v>
      </c>
      <c r="AS19" s="19">
        <f t="shared" si="11"/>
        <v>22.4</v>
      </c>
      <c r="AT19" s="18">
        <f t="shared" si="12"/>
        <v>7.8</v>
      </c>
    </row>
    <row r="20" spans="1:46" ht="26.4">
      <c r="A20" s="6">
        <v>43695</v>
      </c>
      <c r="B20" s="5" t="s">
        <v>346</v>
      </c>
      <c r="C20" s="4">
        <v>22318576</v>
      </c>
      <c r="D20" s="4">
        <v>7075080</v>
      </c>
      <c r="E20" s="4">
        <v>2989847</v>
      </c>
      <c r="F20" s="4">
        <v>2955498</v>
      </c>
      <c r="G20" s="4">
        <v>247724670</v>
      </c>
      <c r="H20" s="4">
        <v>105122702</v>
      </c>
      <c r="I20" s="4">
        <v>247724356</v>
      </c>
      <c r="J20" s="4">
        <v>105122688</v>
      </c>
      <c r="K20" s="4"/>
      <c r="L20" s="5">
        <v>4294.8</v>
      </c>
      <c r="M20" s="5">
        <v>4023</v>
      </c>
      <c r="N20" s="5">
        <v>73172.600000000006</v>
      </c>
      <c r="O20" s="5"/>
      <c r="P20" s="5"/>
      <c r="Q20" s="9">
        <v>28.7</v>
      </c>
      <c r="R20" s="4" t="s">
        <v>347</v>
      </c>
      <c r="S20" s="4">
        <v>640</v>
      </c>
      <c r="T20" s="4">
        <v>660</v>
      </c>
      <c r="U20" s="4">
        <v>9462</v>
      </c>
      <c r="V20" s="4">
        <v>0</v>
      </c>
      <c r="W20" s="5">
        <v>7.24</v>
      </c>
      <c r="X20" s="5">
        <v>0</v>
      </c>
      <c r="Y20" s="4">
        <v>1414</v>
      </c>
      <c r="Z20" s="4" t="s">
        <v>350</v>
      </c>
      <c r="AA20" s="11">
        <f t="shared" ref="AA20:AF20" si="29">IF(OR(C21=""),"",C21-C20)</f>
        <v>44733</v>
      </c>
      <c r="AB20" s="11">
        <f t="shared" si="29"/>
        <v>55556</v>
      </c>
      <c r="AC20" s="11">
        <f t="shared" si="29"/>
        <v>58622</v>
      </c>
      <c r="AD20" s="11">
        <f t="shared" si="29"/>
        <v>58922</v>
      </c>
      <c r="AE20" s="11">
        <f t="shared" si="29"/>
        <v>206778</v>
      </c>
      <c r="AF20" s="11">
        <f t="shared" si="29"/>
        <v>5384</v>
      </c>
      <c r="AG20" s="11">
        <f t="shared" si="1"/>
        <v>11055</v>
      </c>
      <c r="AH20" s="11">
        <f t="shared" si="2"/>
        <v>207303</v>
      </c>
      <c r="AI20" s="15">
        <f t="shared" si="3"/>
        <v>5400</v>
      </c>
      <c r="AJ20" s="15">
        <f t="shared" si="4"/>
        <v>201903</v>
      </c>
      <c r="AK20" s="15">
        <v>3400</v>
      </c>
      <c r="AL20" s="15">
        <f t="shared" si="5"/>
        <v>480</v>
      </c>
      <c r="AM20" s="15">
        <f t="shared" si="6"/>
        <v>2</v>
      </c>
      <c r="AN20" s="15">
        <f t="shared" si="7"/>
        <v>4544</v>
      </c>
      <c r="AO20" s="15">
        <f t="shared" si="8"/>
        <v>1584</v>
      </c>
      <c r="AP20" s="15">
        <v>1549</v>
      </c>
      <c r="AQ20" s="18">
        <f t="shared" si="9"/>
        <v>2.4</v>
      </c>
      <c r="AR20" s="18">
        <f t="shared" si="10"/>
        <v>0.01</v>
      </c>
      <c r="AS20" s="19">
        <f t="shared" si="11"/>
        <v>22.5</v>
      </c>
      <c r="AT20" s="18">
        <f t="shared" si="12"/>
        <v>7.85</v>
      </c>
    </row>
    <row r="21" spans="1:46">
      <c r="A21" s="6">
        <v>43696</v>
      </c>
      <c r="B21" s="5" t="s">
        <v>348</v>
      </c>
      <c r="C21" s="4">
        <v>22363309</v>
      </c>
      <c r="D21" s="4">
        <v>7130636</v>
      </c>
      <c r="E21" s="4">
        <v>3048469</v>
      </c>
      <c r="F21" s="4">
        <v>3014420</v>
      </c>
      <c r="G21" s="4">
        <v>247931448</v>
      </c>
      <c r="H21" s="4">
        <v>105128086</v>
      </c>
      <c r="I21" s="4">
        <v>247931659</v>
      </c>
      <c r="J21" s="4">
        <v>105128088</v>
      </c>
      <c r="K21" s="4"/>
      <c r="L21" s="5">
        <v>4294.8999999999996</v>
      </c>
      <c r="M21" s="5">
        <v>4023.3</v>
      </c>
      <c r="N21" s="5">
        <v>73173.399999999994</v>
      </c>
      <c r="O21" s="5"/>
      <c r="P21" s="5"/>
      <c r="Q21" s="9">
        <v>28.5</v>
      </c>
      <c r="R21" s="4" t="s">
        <v>349</v>
      </c>
      <c r="S21" s="4">
        <v>750</v>
      </c>
      <c r="T21" s="4">
        <v>740</v>
      </c>
      <c r="U21" s="4">
        <v>9384</v>
      </c>
      <c r="V21" s="4">
        <v>8285</v>
      </c>
      <c r="W21" s="5">
        <v>6.62</v>
      </c>
      <c r="X21" s="5">
        <v>5.26</v>
      </c>
      <c r="Y21" s="4">
        <v>1431</v>
      </c>
      <c r="Z21" s="4"/>
      <c r="AA21" s="11">
        <f t="shared" ref="AA21:AF21" si="30">IF(OR(C22=""),"",C22-C21)</f>
        <v>58784</v>
      </c>
      <c r="AB21" s="11">
        <f t="shared" si="30"/>
        <v>69052</v>
      </c>
      <c r="AC21" s="11">
        <f t="shared" si="30"/>
        <v>45153</v>
      </c>
      <c r="AD21" s="11">
        <f t="shared" si="30"/>
        <v>43279</v>
      </c>
      <c r="AE21" s="11">
        <f t="shared" si="30"/>
        <v>208467</v>
      </c>
      <c r="AF21" s="11">
        <f t="shared" si="30"/>
        <v>5564</v>
      </c>
      <c r="AG21" s="11">
        <f t="shared" si="1"/>
        <v>7801</v>
      </c>
      <c r="AH21" s="11">
        <f t="shared" si="2"/>
        <v>207207</v>
      </c>
      <c r="AI21" s="15">
        <f t="shared" si="3"/>
        <v>5528</v>
      </c>
      <c r="AJ21" s="15">
        <f t="shared" si="4"/>
        <v>201679</v>
      </c>
      <c r="AK21" s="15">
        <v>3400</v>
      </c>
      <c r="AL21" s="15">
        <f t="shared" si="5"/>
        <v>4920</v>
      </c>
      <c r="AM21" s="15">
        <f t="shared" si="6"/>
        <v>20</v>
      </c>
      <c r="AN21" s="15">
        <f t="shared" si="7"/>
        <v>5325</v>
      </c>
      <c r="AO21" s="15">
        <f t="shared" si="8"/>
        <v>1776</v>
      </c>
      <c r="AP21" s="15">
        <v>1715</v>
      </c>
      <c r="AQ21" s="18">
        <f t="shared" si="9"/>
        <v>24.4</v>
      </c>
      <c r="AR21" s="18">
        <f t="shared" si="10"/>
        <v>0.1</v>
      </c>
      <c r="AS21" s="19">
        <f t="shared" si="11"/>
        <v>26.4</v>
      </c>
      <c r="AT21" s="18">
        <f t="shared" si="12"/>
        <v>8.81</v>
      </c>
    </row>
    <row r="22" spans="1:46">
      <c r="A22" s="6">
        <v>43697</v>
      </c>
      <c r="B22" s="5" t="s">
        <v>351</v>
      </c>
      <c r="C22" s="4">
        <v>22422093</v>
      </c>
      <c r="D22" s="4">
        <v>7199688</v>
      </c>
      <c r="E22" s="4">
        <v>3093622</v>
      </c>
      <c r="F22" s="4">
        <v>3057699</v>
      </c>
      <c r="G22" s="4">
        <v>248139915</v>
      </c>
      <c r="H22" s="4">
        <v>105133650</v>
      </c>
      <c r="I22" s="4">
        <v>248138866</v>
      </c>
      <c r="J22" s="4">
        <v>105133616</v>
      </c>
      <c r="K22" s="4"/>
      <c r="L22" s="5">
        <v>4295</v>
      </c>
      <c r="M22" s="5">
        <v>4027.3</v>
      </c>
      <c r="N22" s="5">
        <v>73183.600000000006</v>
      </c>
      <c r="O22" s="5"/>
      <c r="P22" s="5"/>
      <c r="Q22" s="9">
        <v>28.6</v>
      </c>
      <c r="R22" s="4" t="s">
        <v>352</v>
      </c>
      <c r="S22" s="4">
        <v>430</v>
      </c>
      <c r="T22" s="4">
        <v>450</v>
      </c>
      <c r="U22" s="4">
        <v>9540</v>
      </c>
      <c r="V22" s="4">
        <v>7913</v>
      </c>
      <c r="W22" s="5">
        <v>5.98</v>
      </c>
      <c r="X22" s="5">
        <v>5.16</v>
      </c>
      <c r="Y22" s="4">
        <v>1432</v>
      </c>
      <c r="Z22" s="4"/>
      <c r="AA22" s="11">
        <f t="shared" ref="AA22:AF22" si="31">IF(OR(C23=""),"",C23-C22)</f>
        <v>41997</v>
      </c>
      <c r="AB22" s="11">
        <f t="shared" si="31"/>
        <v>50681</v>
      </c>
      <c r="AC22" s="11">
        <f t="shared" si="31"/>
        <v>62095</v>
      </c>
      <c r="AD22" s="11">
        <f t="shared" si="31"/>
        <v>62227</v>
      </c>
      <c r="AE22" s="11">
        <f t="shared" si="31"/>
        <v>213507</v>
      </c>
      <c r="AF22" s="11">
        <f t="shared" si="31"/>
        <v>5510</v>
      </c>
      <c r="AG22" s="11">
        <f t="shared" si="1"/>
        <v>3493</v>
      </c>
      <c r="AH22" s="11">
        <f t="shared" si="2"/>
        <v>214400</v>
      </c>
      <c r="AI22" s="15">
        <f t="shared" si="3"/>
        <v>5544</v>
      </c>
      <c r="AJ22" s="15">
        <f t="shared" si="4"/>
        <v>208856</v>
      </c>
      <c r="AK22" s="15">
        <v>3600</v>
      </c>
      <c r="AL22" s="15">
        <f t="shared" si="5"/>
        <v>0</v>
      </c>
      <c r="AM22" s="15">
        <f t="shared" si="6"/>
        <v>0</v>
      </c>
      <c r="AN22" s="15">
        <f t="shared" si="7"/>
        <v>3053</v>
      </c>
      <c r="AO22" s="15">
        <f t="shared" si="8"/>
        <v>1080</v>
      </c>
      <c r="AP22" s="15">
        <v>1645</v>
      </c>
      <c r="AQ22" s="18">
        <f t="shared" si="9"/>
        <v>0</v>
      </c>
      <c r="AR22" s="18">
        <f t="shared" si="10"/>
        <v>0</v>
      </c>
      <c r="AS22" s="19">
        <f t="shared" si="11"/>
        <v>14.6</v>
      </c>
      <c r="AT22" s="18">
        <f t="shared" si="12"/>
        <v>5.17</v>
      </c>
    </row>
    <row r="23" spans="1:46">
      <c r="A23" s="6">
        <v>43698</v>
      </c>
      <c r="B23" s="5" t="s">
        <v>45</v>
      </c>
      <c r="C23" s="4">
        <v>22464090</v>
      </c>
      <c r="D23" s="4">
        <v>7250369</v>
      </c>
      <c r="E23" s="4">
        <v>3155717</v>
      </c>
      <c r="F23" s="4">
        <v>3119926</v>
      </c>
      <c r="G23" s="4">
        <v>248353422</v>
      </c>
      <c r="H23" s="4">
        <v>105139160</v>
      </c>
      <c r="I23" s="4">
        <v>248353266</v>
      </c>
      <c r="J23" s="4">
        <v>105139160</v>
      </c>
      <c r="K23" s="4"/>
      <c r="L23" s="5">
        <v>4295</v>
      </c>
      <c r="M23" s="5">
        <v>4027.3</v>
      </c>
      <c r="N23" s="5">
        <v>73183.600000000006</v>
      </c>
      <c r="O23" s="5"/>
      <c r="P23" s="5"/>
      <c r="Q23" s="9">
        <v>28.5</v>
      </c>
      <c r="R23" s="4" t="s">
        <v>353</v>
      </c>
      <c r="S23" s="4">
        <v>280</v>
      </c>
      <c r="T23" s="4">
        <v>300</v>
      </c>
      <c r="U23" s="4">
        <v>9355</v>
      </c>
      <c r="V23" s="4">
        <v>8967</v>
      </c>
      <c r="W23" s="5">
        <v>6.3</v>
      </c>
      <c r="X23" s="5">
        <v>4.82</v>
      </c>
      <c r="Y23" s="4">
        <v>1435</v>
      </c>
      <c r="Z23" s="4"/>
      <c r="AA23" s="11">
        <f t="shared" ref="AA23:AF23" si="32">IF(OR(C24=""),"",C24-C23)</f>
        <v>46676</v>
      </c>
      <c r="AB23" s="11">
        <f t="shared" si="32"/>
        <v>56848</v>
      </c>
      <c r="AC23" s="11">
        <f t="shared" si="32"/>
        <v>57330</v>
      </c>
      <c r="AD23" s="11">
        <f t="shared" si="32"/>
        <v>57893</v>
      </c>
      <c r="AE23" s="11">
        <f t="shared" si="32"/>
        <v>214104</v>
      </c>
      <c r="AF23" s="11">
        <f t="shared" si="32"/>
        <v>5469</v>
      </c>
      <c r="AG23" s="11">
        <f t="shared" si="1"/>
        <v>4643</v>
      </c>
      <c r="AH23" s="11">
        <f t="shared" si="2"/>
        <v>214972</v>
      </c>
      <c r="AI23" s="15">
        <f t="shared" si="3"/>
        <v>5536</v>
      </c>
      <c r="AJ23" s="15">
        <f t="shared" si="4"/>
        <v>209436</v>
      </c>
      <c r="AK23" s="15">
        <v>3800</v>
      </c>
      <c r="AL23" s="15">
        <f t="shared" si="5"/>
        <v>120</v>
      </c>
      <c r="AM23" s="15">
        <f t="shared" si="6"/>
        <v>0</v>
      </c>
      <c r="AN23" s="15">
        <f t="shared" si="7"/>
        <v>1988</v>
      </c>
      <c r="AO23" s="15">
        <f t="shared" si="8"/>
        <v>720</v>
      </c>
      <c r="AP23" s="15">
        <v>1734</v>
      </c>
      <c r="AQ23" s="18">
        <f t="shared" si="9"/>
        <v>0.6</v>
      </c>
      <c r="AR23" s="18">
        <f t="shared" si="10"/>
        <v>0</v>
      </c>
      <c r="AS23" s="19">
        <f t="shared" si="11"/>
        <v>9.5</v>
      </c>
      <c r="AT23" s="18">
        <f t="shared" si="12"/>
        <v>3.44</v>
      </c>
    </row>
    <row r="24" spans="1:46">
      <c r="A24" s="6">
        <v>43699</v>
      </c>
      <c r="B24" s="5" t="s">
        <v>47</v>
      </c>
      <c r="C24" s="4">
        <v>22510766</v>
      </c>
      <c r="D24" s="4">
        <v>7307217</v>
      </c>
      <c r="E24" s="4">
        <v>3213047</v>
      </c>
      <c r="F24" s="4">
        <v>3177819</v>
      </c>
      <c r="G24" s="4">
        <v>248567526</v>
      </c>
      <c r="H24" s="4">
        <v>105144629</v>
      </c>
      <c r="I24" s="4">
        <v>248568238</v>
      </c>
      <c r="J24" s="4">
        <v>105144696</v>
      </c>
      <c r="K24" s="4"/>
      <c r="L24" s="5">
        <v>4295.1000000000004</v>
      </c>
      <c r="M24" s="5">
        <v>4027.3</v>
      </c>
      <c r="N24" s="5">
        <v>73183.7</v>
      </c>
      <c r="O24" s="5"/>
      <c r="P24" s="5"/>
      <c r="Q24" s="9">
        <v>28.8</v>
      </c>
      <c r="R24" s="4" t="s">
        <v>354</v>
      </c>
      <c r="S24" s="4">
        <v>470</v>
      </c>
      <c r="T24" s="4">
        <v>490</v>
      </c>
      <c r="U24" s="4">
        <v>9367</v>
      </c>
      <c r="V24" s="4">
        <v>7895</v>
      </c>
      <c r="W24" s="5">
        <v>7.35</v>
      </c>
      <c r="X24" s="5">
        <v>6.74</v>
      </c>
      <c r="Y24" s="4">
        <v>1431</v>
      </c>
      <c r="Z24" s="4"/>
      <c r="AA24" s="11">
        <f t="shared" ref="AA24:AF24" si="33">IF(OR(C25=""),"",C25-C24)</f>
        <v>42302</v>
      </c>
      <c r="AB24" s="11">
        <f t="shared" si="33"/>
        <v>49175</v>
      </c>
      <c r="AC24" s="11">
        <f t="shared" si="33"/>
        <v>62623</v>
      </c>
      <c r="AD24" s="11">
        <f t="shared" si="33"/>
        <v>62917</v>
      </c>
      <c r="AE24" s="11">
        <f t="shared" si="33"/>
        <v>211426</v>
      </c>
      <c r="AF24" s="11">
        <f t="shared" si="33"/>
        <v>4468</v>
      </c>
      <c r="AG24" s="11">
        <f t="shared" si="1"/>
        <v>5591</v>
      </c>
      <c r="AH24" s="11">
        <f t="shared" si="2"/>
        <v>211020</v>
      </c>
      <c r="AI24" s="15">
        <f t="shared" si="3"/>
        <v>4408</v>
      </c>
      <c r="AJ24" s="15">
        <f t="shared" si="4"/>
        <v>206612</v>
      </c>
      <c r="AK24" s="15">
        <v>3900</v>
      </c>
      <c r="AL24" s="15">
        <f t="shared" si="5"/>
        <v>120</v>
      </c>
      <c r="AM24" s="15">
        <f t="shared" si="6"/>
        <v>0</v>
      </c>
      <c r="AN24" s="15">
        <f t="shared" si="7"/>
        <v>3337</v>
      </c>
      <c r="AO24" s="15">
        <f t="shared" si="8"/>
        <v>1176</v>
      </c>
      <c r="AP24" s="15">
        <v>1521</v>
      </c>
      <c r="AQ24" s="18">
        <f t="shared" si="9"/>
        <v>0.6</v>
      </c>
      <c r="AR24" s="18">
        <f t="shared" si="10"/>
        <v>0</v>
      </c>
      <c r="AS24" s="19">
        <f t="shared" si="11"/>
        <v>16.2</v>
      </c>
      <c r="AT24" s="18">
        <f t="shared" si="12"/>
        <v>5.69</v>
      </c>
    </row>
    <row r="25" spans="1:46" ht="39.6">
      <c r="A25" s="6">
        <v>43700</v>
      </c>
      <c r="B25" s="5" t="s">
        <v>355</v>
      </c>
      <c r="C25" s="4">
        <v>22553068</v>
      </c>
      <c r="D25" s="4">
        <v>7356392</v>
      </c>
      <c r="E25" s="4">
        <v>3275670</v>
      </c>
      <c r="F25" s="4">
        <v>3240736</v>
      </c>
      <c r="G25" s="4">
        <v>248778952</v>
      </c>
      <c r="H25" s="4">
        <v>105149097</v>
      </c>
      <c r="I25" s="4">
        <v>248779258</v>
      </c>
      <c r="J25" s="4">
        <v>105149104</v>
      </c>
      <c r="K25" s="4"/>
      <c r="L25" s="5">
        <v>4295.2</v>
      </c>
      <c r="M25" s="5">
        <v>4027.3</v>
      </c>
      <c r="N25" s="5">
        <v>73183.8</v>
      </c>
      <c r="O25" s="5"/>
      <c r="P25" s="5"/>
      <c r="Q25" s="9">
        <v>28.5</v>
      </c>
      <c r="R25" s="4" t="s">
        <v>356</v>
      </c>
      <c r="S25" s="4">
        <v>600</v>
      </c>
      <c r="T25" s="4">
        <v>620</v>
      </c>
      <c r="U25" s="4">
        <v>10263</v>
      </c>
      <c r="V25" s="4">
        <v>8254</v>
      </c>
      <c r="W25" s="5">
        <v>6.89</v>
      </c>
      <c r="X25" s="5">
        <v>2.57</v>
      </c>
      <c r="Y25" s="4">
        <v>1134</v>
      </c>
      <c r="Z25" s="4" t="s">
        <v>359</v>
      </c>
      <c r="AA25" s="11">
        <f t="shared" ref="AA25:AF25" si="34">IF(OR(C26=""),"",C26-C25)</f>
        <v>54874</v>
      </c>
      <c r="AB25" s="11">
        <f t="shared" si="34"/>
        <v>62822</v>
      </c>
      <c r="AC25" s="11">
        <f t="shared" si="34"/>
        <v>62679</v>
      </c>
      <c r="AD25" s="11">
        <f t="shared" si="34"/>
        <v>61819</v>
      </c>
      <c r="AE25" s="11">
        <f t="shared" si="34"/>
        <v>209435</v>
      </c>
      <c r="AF25" s="11">
        <f t="shared" si="34"/>
        <v>5490</v>
      </c>
      <c r="AG25" s="11">
        <f t="shared" si="1"/>
        <v>32759</v>
      </c>
      <c r="AH25" s="11">
        <f t="shared" si="2"/>
        <v>210377</v>
      </c>
      <c r="AI25" s="15">
        <f t="shared" si="3"/>
        <v>5520</v>
      </c>
      <c r="AJ25" s="15">
        <f t="shared" si="4"/>
        <v>204857</v>
      </c>
      <c r="AK25" s="15">
        <v>4500</v>
      </c>
      <c r="AL25" s="15">
        <f t="shared" si="5"/>
        <v>120</v>
      </c>
      <c r="AM25" s="15">
        <f t="shared" si="6"/>
        <v>0</v>
      </c>
      <c r="AN25" s="15">
        <f t="shared" si="7"/>
        <v>4260</v>
      </c>
      <c r="AO25" s="15">
        <f t="shared" si="8"/>
        <v>1488</v>
      </c>
      <c r="AP25" s="15">
        <v>1518</v>
      </c>
      <c r="AQ25" s="18">
        <f t="shared" si="9"/>
        <v>0.6</v>
      </c>
      <c r="AR25" s="18">
        <f t="shared" si="10"/>
        <v>0</v>
      </c>
      <c r="AS25" s="19">
        <f t="shared" si="11"/>
        <v>20.8</v>
      </c>
      <c r="AT25" s="18">
        <f t="shared" si="12"/>
        <v>7.26</v>
      </c>
    </row>
    <row r="26" spans="1:46" ht="52.8">
      <c r="A26" s="6">
        <v>43701</v>
      </c>
      <c r="B26" s="5" t="s">
        <v>357</v>
      </c>
      <c r="C26" s="4">
        <v>22607942</v>
      </c>
      <c r="D26" s="4">
        <v>7419214</v>
      </c>
      <c r="E26" s="4">
        <v>3338349</v>
      </c>
      <c r="F26" s="4">
        <v>3302555</v>
      </c>
      <c r="G26" s="4">
        <v>248988387</v>
      </c>
      <c r="H26" s="4">
        <v>105154587</v>
      </c>
      <c r="I26" s="4">
        <v>248989635</v>
      </c>
      <c r="J26" s="4">
        <v>105154624</v>
      </c>
      <c r="K26" s="4"/>
      <c r="L26" s="5">
        <v>4295.3</v>
      </c>
      <c r="M26" s="5">
        <v>4027.3</v>
      </c>
      <c r="N26" s="5">
        <v>73183.8</v>
      </c>
      <c r="O26" s="5"/>
      <c r="P26" s="5"/>
      <c r="Q26" s="9">
        <v>28.2</v>
      </c>
      <c r="R26" s="4" t="s">
        <v>358</v>
      </c>
      <c r="S26" s="4">
        <v>630</v>
      </c>
      <c r="T26" s="4">
        <v>650</v>
      </c>
      <c r="U26" s="4">
        <v>10201</v>
      </c>
      <c r="V26" s="4">
        <v>8312</v>
      </c>
      <c r="W26" s="5">
        <v>7.5</v>
      </c>
      <c r="X26" s="5">
        <v>3.86</v>
      </c>
      <c r="Y26" s="4">
        <v>1435</v>
      </c>
      <c r="Z26" s="4" t="s">
        <v>362</v>
      </c>
      <c r="AA26" s="11">
        <f t="shared" ref="AA26:AF26" si="35">IF(OR(C27=""),"",C27-C26)</f>
        <v>50645</v>
      </c>
      <c r="AB26" s="11">
        <f t="shared" si="35"/>
        <v>57840</v>
      </c>
      <c r="AC26" s="11">
        <f t="shared" si="35"/>
        <v>62502</v>
      </c>
      <c r="AD26" s="11">
        <f t="shared" si="35"/>
        <v>62094</v>
      </c>
      <c r="AE26" s="11">
        <f t="shared" si="35"/>
        <v>216220</v>
      </c>
      <c r="AF26" s="11">
        <f t="shared" si="35"/>
        <v>5547</v>
      </c>
      <c r="AG26" s="11">
        <f t="shared" si="1"/>
        <v>16861</v>
      </c>
      <c r="AH26" s="11">
        <f t="shared" si="2"/>
        <v>214832</v>
      </c>
      <c r="AI26" s="15">
        <f t="shared" si="3"/>
        <v>5504</v>
      </c>
      <c r="AJ26" s="15">
        <f t="shared" si="4"/>
        <v>209328</v>
      </c>
      <c r="AK26" s="15">
        <v>4500</v>
      </c>
      <c r="AL26" s="15">
        <f t="shared" si="5"/>
        <v>0</v>
      </c>
      <c r="AM26" s="15">
        <f t="shared" si="6"/>
        <v>0</v>
      </c>
      <c r="AN26" s="15">
        <f t="shared" si="7"/>
        <v>4473</v>
      </c>
      <c r="AO26" s="15">
        <f t="shared" si="8"/>
        <v>1560</v>
      </c>
      <c r="AP26" s="15">
        <v>1806</v>
      </c>
      <c r="AQ26" s="18">
        <f t="shared" si="9"/>
        <v>0</v>
      </c>
      <c r="AR26" s="18">
        <f t="shared" si="10"/>
        <v>0</v>
      </c>
      <c r="AS26" s="19">
        <f t="shared" si="11"/>
        <v>21.4</v>
      </c>
      <c r="AT26" s="18">
        <f t="shared" si="12"/>
        <v>7.45</v>
      </c>
    </row>
    <row r="27" spans="1:46" ht="26.4">
      <c r="A27" s="6">
        <v>43702</v>
      </c>
      <c r="B27" s="5" t="s">
        <v>360</v>
      </c>
      <c r="C27" s="4">
        <v>22658587</v>
      </c>
      <c r="D27" s="4">
        <v>7477054</v>
      </c>
      <c r="E27" s="4">
        <v>3400851</v>
      </c>
      <c r="F27" s="4">
        <v>3364649</v>
      </c>
      <c r="G27" s="4">
        <v>249204607</v>
      </c>
      <c r="H27" s="4">
        <v>105160134</v>
      </c>
      <c r="I27" s="4">
        <v>249204467</v>
      </c>
      <c r="J27" s="4">
        <v>105160128</v>
      </c>
      <c r="K27" s="4"/>
      <c r="L27" s="5">
        <v>4295.3</v>
      </c>
      <c r="M27" s="5">
        <v>4027.3</v>
      </c>
      <c r="N27" s="5">
        <v>73183.899999999994</v>
      </c>
      <c r="O27" s="5"/>
      <c r="P27" s="5"/>
      <c r="Q27" s="9">
        <v>28.3</v>
      </c>
      <c r="R27" s="4" t="s">
        <v>361</v>
      </c>
      <c r="S27" s="4">
        <v>510</v>
      </c>
      <c r="T27" s="4">
        <v>530</v>
      </c>
      <c r="U27" s="4">
        <v>9542</v>
      </c>
      <c r="V27" s="4">
        <v>7958</v>
      </c>
      <c r="W27" s="5">
        <v>7.62</v>
      </c>
      <c r="X27" s="5">
        <v>6.83</v>
      </c>
      <c r="Y27" s="4">
        <v>1429</v>
      </c>
      <c r="Z27" s="4" t="s">
        <v>364</v>
      </c>
      <c r="AA27" s="11">
        <f t="shared" ref="AA27:AF27" si="36">IF(OR(C28=""),"",C28-C27)</f>
        <v>55557</v>
      </c>
      <c r="AB27" s="11">
        <f t="shared" si="36"/>
        <v>65528</v>
      </c>
      <c r="AC27" s="11">
        <f t="shared" si="36"/>
        <v>50837</v>
      </c>
      <c r="AD27" s="11">
        <f t="shared" si="36"/>
        <v>48893</v>
      </c>
      <c r="AE27" s="11">
        <f t="shared" si="36"/>
        <v>212812</v>
      </c>
      <c r="AF27" s="11">
        <f t="shared" si="36"/>
        <v>5582</v>
      </c>
      <c r="AG27" s="11">
        <f t="shared" si="1"/>
        <v>8003</v>
      </c>
      <c r="AH27" s="11">
        <f t="shared" si="2"/>
        <v>210344</v>
      </c>
      <c r="AI27" s="15">
        <f t="shared" si="3"/>
        <v>5512</v>
      </c>
      <c r="AJ27" s="15">
        <f t="shared" si="4"/>
        <v>204832</v>
      </c>
      <c r="AK27" s="15">
        <v>4200</v>
      </c>
      <c r="AL27" s="15">
        <f t="shared" si="5"/>
        <v>840</v>
      </c>
      <c r="AM27" s="15">
        <f t="shared" si="6"/>
        <v>0</v>
      </c>
      <c r="AN27" s="15">
        <f t="shared" si="7"/>
        <v>3621</v>
      </c>
      <c r="AO27" s="15">
        <f t="shared" si="8"/>
        <v>1272</v>
      </c>
      <c r="AP27" s="15">
        <v>1722</v>
      </c>
      <c r="AQ27" s="18">
        <f t="shared" si="9"/>
        <v>4.0999999999999996</v>
      </c>
      <c r="AR27" s="18">
        <f t="shared" si="10"/>
        <v>0</v>
      </c>
      <c r="AS27" s="19">
        <f t="shared" si="11"/>
        <v>17.7</v>
      </c>
      <c r="AT27" s="18">
        <f t="shared" si="12"/>
        <v>6.21</v>
      </c>
    </row>
    <row r="28" spans="1:46">
      <c r="A28" s="6">
        <v>43703</v>
      </c>
      <c r="B28" s="5" t="s">
        <v>365</v>
      </c>
      <c r="C28" s="4">
        <v>22714144</v>
      </c>
      <c r="D28" s="4">
        <v>7542582</v>
      </c>
      <c r="E28" s="4">
        <v>3451688</v>
      </c>
      <c r="F28" s="4">
        <v>3413542</v>
      </c>
      <c r="G28" s="4">
        <v>249417419</v>
      </c>
      <c r="H28" s="4">
        <v>105165716</v>
      </c>
      <c r="I28" s="4">
        <v>249414811</v>
      </c>
      <c r="J28" s="4">
        <v>105165640</v>
      </c>
      <c r="K28" s="4"/>
      <c r="L28" s="5">
        <v>4295.3999999999996</v>
      </c>
      <c r="M28" s="5">
        <v>4027.9</v>
      </c>
      <c r="N28" s="5">
        <v>73183.899999999994</v>
      </c>
      <c r="O28" s="5"/>
      <c r="P28" s="5"/>
      <c r="Q28" s="9">
        <v>28.5</v>
      </c>
      <c r="R28" s="4" t="s">
        <v>363</v>
      </c>
      <c r="S28" s="4">
        <v>380</v>
      </c>
      <c r="T28" s="4">
        <v>400</v>
      </c>
      <c r="U28" s="4">
        <v>9352</v>
      </c>
      <c r="V28" s="4">
        <v>7859</v>
      </c>
      <c r="W28" s="5">
        <v>7.3</v>
      </c>
      <c r="X28" s="5">
        <v>6.92</v>
      </c>
      <c r="Y28" s="4">
        <v>1433</v>
      </c>
      <c r="Z28" s="4"/>
      <c r="AA28" s="11">
        <f t="shared" ref="AA28:AF28" si="37">IF(OR(C29=""),"",C29-C28)</f>
        <v>46010</v>
      </c>
      <c r="AB28" s="11">
        <f t="shared" si="37"/>
        <v>54536</v>
      </c>
      <c r="AC28" s="11">
        <f t="shared" si="37"/>
        <v>56221</v>
      </c>
      <c r="AD28" s="11">
        <f t="shared" si="37"/>
        <v>56582</v>
      </c>
      <c r="AE28" s="11">
        <f t="shared" si="37"/>
        <v>207352</v>
      </c>
      <c r="AF28" s="11">
        <f t="shared" si="37"/>
        <v>5461</v>
      </c>
      <c r="AG28" s="11">
        <f t="shared" si="1"/>
        <v>5997</v>
      </c>
      <c r="AH28" s="11">
        <f t="shared" si="2"/>
        <v>209082</v>
      </c>
      <c r="AI28" s="15">
        <f t="shared" si="3"/>
        <v>5512</v>
      </c>
      <c r="AJ28" s="15">
        <f t="shared" si="4"/>
        <v>203570</v>
      </c>
      <c r="AK28" s="15">
        <v>4000</v>
      </c>
      <c r="AL28" s="15">
        <f t="shared" si="5"/>
        <v>8520</v>
      </c>
      <c r="AM28" s="15">
        <f t="shared" si="6"/>
        <v>0</v>
      </c>
      <c r="AN28" s="15">
        <f t="shared" si="7"/>
        <v>2698</v>
      </c>
      <c r="AO28" s="15">
        <f t="shared" si="8"/>
        <v>960</v>
      </c>
      <c r="AP28" s="15">
        <v>1688</v>
      </c>
      <c r="AQ28" s="18">
        <f t="shared" si="9"/>
        <v>41.9</v>
      </c>
      <c r="AR28" s="18">
        <f t="shared" si="10"/>
        <v>0</v>
      </c>
      <c r="AS28" s="19">
        <f t="shared" si="11"/>
        <v>13.3</v>
      </c>
      <c r="AT28" s="18">
        <f t="shared" si="12"/>
        <v>4.72</v>
      </c>
    </row>
    <row r="29" spans="1:46">
      <c r="A29" s="6">
        <v>43704</v>
      </c>
      <c r="B29" s="5" t="s">
        <v>366</v>
      </c>
      <c r="C29" s="4">
        <v>22760154</v>
      </c>
      <c r="D29" s="4">
        <v>7597118</v>
      </c>
      <c r="E29" s="4">
        <v>3507909</v>
      </c>
      <c r="F29" s="4">
        <v>3470124</v>
      </c>
      <c r="G29" s="4">
        <v>249624771</v>
      </c>
      <c r="H29" s="4">
        <v>105171177</v>
      </c>
      <c r="I29" s="4">
        <v>249623893</v>
      </c>
      <c r="J29" s="4">
        <v>105171152</v>
      </c>
      <c r="K29" s="4"/>
      <c r="L29" s="5">
        <v>4295.5</v>
      </c>
      <c r="M29" s="5">
        <v>4034.9</v>
      </c>
      <c r="N29" s="5">
        <v>73184</v>
      </c>
      <c r="O29" s="5"/>
      <c r="P29" s="5"/>
      <c r="Q29" s="9">
        <v>27.5</v>
      </c>
      <c r="R29" s="4" t="s">
        <v>367</v>
      </c>
      <c r="S29" s="4">
        <v>350</v>
      </c>
      <c r="T29" s="4">
        <v>380</v>
      </c>
      <c r="U29" s="4">
        <v>9254</v>
      </c>
      <c r="V29" s="4">
        <v>8024</v>
      </c>
      <c r="W29" s="5">
        <v>7.24</v>
      </c>
      <c r="X29" s="5">
        <v>5.84</v>
      </c>
      <c r="Y29" s="4">
        <v>1428</v>
      </c>
      <c r="Z29" s="4"/>
      <c r="AA29" s="11">
        <f t="shared" ref="AA29:AF29" si="38">IF(OR(C30=""),"",C30-C29)</f>
        <v>56148</v>
      </c>
      <c r="AB29" s="11">
        <f t="shared" si="38"/>
        <v>64719</v>
      </c>
      <c r="AC29" s="11">
        <f t="shared" si="38"/>
        <v>51552</v>
      </c>
      <c r="AD29" s="11">
        <f t="shared" si="38"/>
        <v>49480</v>
      </c>
      <c r="AE29" s="11">
        <f t="shared" si="38"/>
        <v>212374</v>
      </c>
      <c r="AF29" s="11">
        <f t="shared" si="38"/>
        <v>5488</v>
      </c>
      <c r="AG29" s="11">
        <f t="shared" si="1"/>
        <v>9525</v>
      </c>
      <c r="AH29" s="11">
        <f t="shared" si="2"/>
        <v>213493</v>
      </c>
      <c r="AI29" s="15">
        <f t="shared" si="3"/>
        <v>5512</v>
      </c>
      <c r="AJ29" s="15">
        <f t="shared" si="4"/>
        <v>207981</v>
      </c>
      <c r="AK29" s="15">
        <v>5500</v>
      </c>
      <c r="AL29" s="15">
        <f t="shared" si="5"/>
        <v>0</v>
      </c>
      <c r="AM29" s="15">
        <f t="shared" si="6"/>
        <v>0</v>
      </c>
      <c r="AN29" s="15">
        <f t="shared" si="7"/>
        <v>2485</v>
      </c>
      <c r="AO29" s="15">
        <f t="shared" si="8"/>
        <v>912</v>
      </c>
      <c r="AP29" s="15">
        <v>1721</v>
      </c>
      <c r="AQ29" s="18">
        <f t="shared" si="9"/>
        <v>0</v>
      </c>
      <c r="AR29" s="18">
        <f t="shared" si="10"/>
        <v>0</v>
      </c>
      <c r="AS29" s="19">
        <f t="shared" si="11"/>
        <v>11.9</v>
      </c>
      <c r="AT29" s="18">
        <f t="shared" si="12"/>
        <v>4.3899999999999997</v>
      </c>
    </row>
    <row r="30" spans="1:46" ht="26.4">
      <c r="A30" s="6">
        <v>43705</v>
      </c>
      <c r="B30" s="5" t="s">
        <v>368</v>
      </c>
      <c r="C30" s="4">
        <v>22816302</v>
      </c>
      <c r="D30" s="4">
        <v>7661837</v>
      </c>
      <c r="E30" s="4">
        <v>3559461</v>
      </c>
      <c r="F30" s="4">
        <v>3519604</v>
      </c>
      <c r="G30" s="4">
        <v>249837145</v>
      </c>
      <c r="H30" s="4">
        <v>105176665</v>
      </c>
      <c r="I30" s="4">
        <v>249837386</v>
      </c>
      <c r="J30" s="4">
        <v>105176664</v>
      </c>
      <c r="K30" s="4"/>
      <c r="L30" s="5">
        <v>4295.5</v>
      </c>
      <c r="M30" s="5">
        <v>4034.9</v>
      </c>
      <c r="N30" s="5">
        <v>73184</v>
      </c>
      <c r="O30" s="5"/>
      <c r="P30" s="5"/>
      <c r="Q30" s="9">
        <v>27.9</v>
      </c>
      <c r="R30" s="4" t="s">
        <v>44</v>
      </c>
      <c r="S30" s="4">
        <v>360</v>
      </c>
      <c r="T30" s="4">
        <v>380</v>
      </c>
      <c r="U30" s="4">
        <v>10515</v>
      </c>
      <c r="V30" s="4">
        <v>5792</v>
      </c>
      <c r="W30" s="5">
        <v>6.78</v>
      </c>
      <c r="X30" s="5">
        <v>5.21</v>
      </c>
      <c r="Y30" s="4">
        <v>1431</v>
      </c>
      <c r="Z30" s="4" t="s">
        <v>369</v>
      </c>
      <c r="AA30" s="11">
        <f t="shared" ref="AA30:AF30" si="39">IF(OR(C31=""),"",C31-C30)</f>
        <v>46831</v>
      </c>
      <c r="AB30" s="11">
        <f t="shared" si="39"/>
        <v>55700</v>
      </c>
      <c r="AC30" s="11">
        <f t="shared" si="39"/>
        <v>57142</v>
      </c>
      <c r="AD30" s="11">
        <f t="shared" si="39"/>
        <v>57652</v>
      </c>
      <c r="AE30" s="11">
        <f t="shared" si="39"/>
        <v>208934</v>
      </c>
      <c r="AF30" s="11">
        <f t="shared" si="39"/>
        <v>5457</v>
      </c>
      <c r="AG30" s="11">
        <f t="shared" si="1"/>
        <v>8391</v>
      </c>
      <c r="AH30" s="11">
        <f t="shared" si="2"/>
        <v>210877</v>
      </c>
      <c r="AI30" s="15">
        <f t="shared" si="3"/>
        <v>5512</v>
      </c>
      <c r="AJ30" s="15">
        <f t="shared" si="4"/>
        <v>205365</v>
      </c>
      <c r="AK30" s="15">
        <v>4800</v>
      </c>
      <c r="AL30" s="15">
        <f t="shared" si="5"/>
        <v>0</v>
      </c>
      <c r="AM30" s="15">
        <f t="shared" si="6"/>
        <v>0</v>
      </c>
      <c r="AN30" s="15">
        <f t="shared" si="7"/>
        <v>2556</v>
      </c>
      <c r="AO30" s="15">
        <f t="shared" si="8"/>
        <v>912</v>
      </c>
      <c r="AP30" s="15">
        <v>1758</v>
      </c>
      <c r="AQ30" s="18">
        <f t="shared" si="9"/>
        <v>0</v>
      </c>
      <c r="AR30" s="18">
        <f t="shared" si="10"/>
        <v>0</v>
      </c>
      <c r="AS30" s="19">
        <f t="shared" si="11"/>
        <v>12.4</v>
      </c>
      <c r="AT30" s="18">
        <f t="shared" si="12"/>
        <v>4.4400000000000004</v>
      </c>
    </row>
    <row r="31" spans="1:46">
      <c r="A31" s="6">
        <v>43706</v>
      </c>
      <c r="B31" s="5" t="s">
        <v>45</v>
      </c>
      <c r="C31" s="4">
        <v>22863133</v>
      </c>
      <c r="D31" s="4">
        <v>7717537</v>
      </c>
      <c r="E31" s="4">
        <v>3616603</v>
      </c>
      <c r="F31" s="4">
        <v>3577256</v>
      </c>
      <c r="G31" s="4">
        <v>250046079</v>
      </c>
      <c r="H31" s="4">
        <v>105182122</v>
      </c>
      <c r="I31" s="4">
        <v>250048263</v>
      </c>
      <c r="J31" s="4">
        <v>105182176</v>
      </c>
      <c r="K31" s="4"/>
      <c r="L31" s="5">
        <v>4295.5</v>
      </c>
      <c r="M31" s="5">
        <v>4034.9</v>
      </c>
      <c r="N31" s="5">
        <v>73184</v>
      </c>
      <c r="O31" s="5"/>
      <c r="P31" s="5"/>
      <c r="Q31" s="9">
        <v>28.5</v>
      </c>
      <c r="R31" s="4" t="s">
        <v>44</v>
      </c>
      <c r="S31" s="4">
        <v>450</v>
      </c>
      <c r="T31" s="4">
        <v>480</v>
      </c>
      <c r="U31" s="4">
        <v>9532</v>
      </c>
      <c r="V31" s="4">
        <v>7844</v>
      </c>
      <c r="W31" s="5">
        <v>6.94</v>
      </c>
      <c r="X31" s="5">
        <v>4.7699999999999996</v>
      </c>
      <c r="Y31" s="4">
        <v>1434</v>
      </c>
      <c r="Z31" s="4"/>
      <c r="AA31" s="11">
        <f t="shared" ref="AA31:AF31" si="40">IF(OR(C32=""),"",C32-C31)</f>
        <v>48930</v>
      </c>
      <c r="AB31" s="11">
        <f t="shared" si="40"/>
        <v>59472</v>
      </c>
      <c r="AC31" s="11">
        <f t="shared" si="40"/>
        <v>56932</v>
      </c>
      <c r="AD31" s="11">
        <f t="shared" si="40"/>
        <v>56800</v>
      </c>
      <c r="AE31" s="11">
        <f t="shared" si="40"/>
        <v>217679</v>
      </c>
      <c r="AF31" s="11">
        <f t="shared" si="40"/>
        <v>5588</v>
      </c>
      <c r="AG31" s="11">
        <f t="shared" si="1"/>
        <v>4455</v>
      </c>
      <c r="AH31" s="11">
        <f t="shared" si="2"/>
        <v>215190</v>
      </c>
      <c r="AI31" s="15">
        <f t="shared" si="3"/>
        <v>5528</v>
      </c>
      <c r="AJ31" s="15">
        <f t="shared" si="4"/>
        <v>209662</v>
      </c>
      <c r="AK31" s="15">
        <v>4900</v>
      </c>
      <c r="AL31" s="15">
        <f t="shared" si="5"/>
        <v>240</v>
      </c>
      <c r="AM31" s="15">
        <f t="shared" si="6"/>
        <v>0</v>
      </c>
      <c r="AN31" s="15">
        <f t="shared" si="7"/>
        <v>3195</v>
      </c>
      <c r="AO31" s="15">
        <f t="shared" si="8"/>
        <v>1152</v>
      </c>
      <c r="AP31" s="15">
        <v>1702</v>
      </c>
      <c r="AQ31" s="18">
        <f t="shared" si="9"/>
        <v>1.1000000000000001</v>
      </c>
      <c r="AR31" s="18">
        <f t="shared" si="10"/>
        <v>0</v>
      </c>
      <c r="AS31" s="19">
        <f t="shared" si="11"/>
        <v>15.2</v>
      </c>
      <c r="AT31" s="18">
        <f t="shared" si="12"/>
        <v>5.49</v>
      </c>
    </row>
    <row r="32" spans="1:46">
      <c r="A32" s="6">
        <v>43707</v>
      </c>
      <c r="B32" s="5" t="s">
        <v>370</v>
      </c>
      <c r="C32" s="4">
        <v>22912063</v>
      </c>
      <c r="D32" s="4">
        <v>7777009</v>
      </c>
      <c r="E32" s="4">
        <v>3673535</v>
      </c>
      <c r="F32" s="4">
        <v>3634056</v>
      </c>
      <c r="G32" s="4">
        <v>250263758</v>
      </c>
      <c r="H32" s="4">
        <v>105187710</v>
      </c>
      <c r="I32" s="4">
        <v>250263453</v>
      </c>
      <c r="J32" s="4">
        <v>105187704</v>
      </c>
      <c r="K32" s="4"/>
      <c r="L32" s="5">
        <v>4295.7</v>
      </c>
      <c r="M32" s="5">
        <v>4034.9</v>
      </c>
      <c r="N32" s="5">
        <v>73184.100000000006</v>
      </c>
      <c r="O32" s="5"/>
      <c r="P32" s="5"/>
      <c r="Q32" s="9">
        <v>28.1</v>
      </c>
      <c r="R32" s="4" t="s">
        <v>371</v>
      </c>
      <c r="S32" s="4">
        <v>640</v>
      </c>
      <c r="T32" s="4">
        <v>650</v>
      </c>
      <c r="U32" s="4">
        <v>9462</v>
      </c>
      <c r="V32" s="4">
        <v>7885</v>
      </c>
      <c r="W32" s="5">
        <v>7.07</v>
      </c>
      <c r="X32" s="5">
        <v>6.45</v>
      </c>
      <c r="Y32" s="4">
        <v>1425</v>
      </c>
      <c r="Z32" s="4"/>
      <c r="AA32" s="11">
        <f t="shared" ref="AA32:AF32" si="41">IF(OR(C33=""),"",C33-C32)</f>
        <v>45415</v>
      </c>
      <c r="AB32" s="11">
        <f t="shared" si="41"/>
        <v>54149</v>
      </c>
      <c r="AC32" s="11">
        <f t="shared" si="41"/>
        <v>58559</v>
      </c>
      <c r="AD32" s="11">
        <f t="shared" si="41"/>
        <v>59373</v>
      </c>
      <c r="AE32" s="11">
        <f t="shared" si="41"/>
        <v>212915</v>
      </c>
      <c r="AF32" s="11">
        <f t="shared" si="41"/>
        <v>5510</v>
      </c>
      <c r="AG32" s="11">
        <f t="shared" si="1"/>
        <v>4581</v>
      </c>
      <c r="AH32" s="11">
        <f t="shared" si="2"/>
        <v>213124</v>
      </c>
      <c r="AI32" s="15">
        <f t="shared" si="3"/>
        <v>5512</v>
      </c>
      <c r="AJ32" s="15">
        <f t="shared" si="4"/>
        <v>207612</v>
      </c>
      <c r="AK32" s="15">
        <v>4300</v>
      </c>
      <c r="AL32" s="15">
        <f t="shared" si="5"/>
        <v>120</v>
      </c>
      <c r="AM32" s="15">
        <f t="shared" si="6"/>
        <v>0</v>
      </c>
      <c r="AN32" s="15">
        <f t="shared" si="7"/>
        <v>4544</v>
      </c>
      <c r="AO32" s="15">
        <f t="shared" si="8"/>
        <v>1560</v>
      </c>
      <c r="AP32" s="15">
        <v>1563</v>
      </c>
      <c r="AQ32" s="18">
        <f t="shared" si="9"/>
        <v>0.6</v>
      </c>
      <c r="AR32" s="18">
        <f t="shared" si="10"/>
        <v>0</v>
      </c>
      <c r="AS32" s="19">
        <f t="shared" si="11"/>
        <v>21.9</v>
      </c>
      <c r="AT32" s="18">
        <f t="shared" si="12"/>
        <v>7.51</v>
      </c>
    </row>
    <row r="33" spans="1:46">
      <c r="A33" s="6">
        <v>43708</v>
      </c>
      <c r="B33" s="5" t="s">
        <v>372</v>
      </c>
      <c r="C33" s="4">
        <v>22957478</v>
      </c>
      <c r="D33" s="4">
        <v>7831158</v>
      </c>
      <c r="E33" s="4">
        <v>3732094</v>
      </c>
      <c r="F33" s="4">
        <v>3693429</v>
      </c>
      <c r="G33" s="4">
        <v>250476673</v>
      </c>
      <c r="H33" s="4">
        <v>105193220</v>
      </c>
      <c r="I33" s="4">
        <v>250476577</v>
      </c>
      <c r="J33" s="4">
        <v>105193216</v>
      </c>
      <c r="K33" s="4"/>
      <c r="L33" s="5">
        <v>4295.8</v>
      </c>
      <c r="M33" s="5">
        <v>4034.9</v>
      </c>
      <c r="N33" s="5">
        <v>73184.100000000006</v>
      </c>
      <c r="O33" s="5"/>
      <c r="P33" s="5"/>
      <c r="Q33" s="9">
        <v>28.5</v>
      </c>
      <c r="R33" s="4" t="s">
        <v>373</v>
      </c>
      <c r="S33" s="4">
        <v>670</v>
      </c>
      <c r="T33" s="4">
        <v>690</v>
      </c>
      <c r="U33" s="4">
        <v>9411</v>
      </c>
      <c r="V33" s="4">
        <v>8011</v>
      </c>
      <c r="W33" s="5">
        <v>7.07</v>
      </c>
      <c r="X33" s="5">
        <v>5.42</v>
      </c>
      <c r="Y33" s="4">
        <v>1430</v>
      </c>
      <c r="Z33" s="4"/>
      <c r="AA33" s="11">
        <f t="shared" ref="AA33:AF33" si="42">IF(OR(C34=""),"",C34-C33)</f>
        <v>54011</v>
      </c>
      <c r="AB33" s="11">
        <f t="shared" si="42"/>
        <v>63494</v>
      </c>
      <c r="AC33" s="11">
        <f t="shared" si="42"/>
        <v>48487</v>
      </c>
      <c r="AD33" s="11">
        <f t="shared" si="42"/>
        <v>46921</v>
      </c>
      <c r="AE33" s="11">
        <f t="shared" si="42"/>
        <v>206977</v>
      </c>
      <c r="AF33" s="11">
        <f t="shared" si="42"/>
        <v>5462</v>
      </c>
      <c r="AG33" s="11">
        <f t="shared" si="1"/>
        <v>5936</v>
      </c>
      <c r="AH33" s="11">
        <f t="shared" si="2"/>
        <v>208903</v>
      </c>
      <c r="AI33" s="15">
        <f t="shared" si="3"/>
        <v>5512</v>
      </c>
      <c r="AJ33" s="15">
        <f t="shared" si="4"/>
        <v>203391</v>
      </c>
      <c r="AK33" s="15">
        <v>3600</v>
      </c>
      <c r="AL33" s="15">
        <f t="shared" si="5"/>
        <v>0</v>
      </c>
      <c r="AM33" s="15">
        <f t="shared" si="6"/>
        <v>0</v>
      </c>
      <c r="AN33" s="15">
        <f t="shared" si="7"/>
        <v>4757</v>
      </c>
      <c r="AO33" s="15">
        <f t="shared" si="8"/>
        <v>1656</v>
      </c>
      <c r="AP33" s="15">
        <v>1622</v>
      </c>
      <c r="AQ33" s="18">
        <f t="shared" si="9"/>
        <v>0</v>
      </c>
      <c r="AR33" s="18">
        <f t="shared" si="10"/>
        <v>0</v>
      </c>
      <c r="AS33" s="19">
        <f t="shared" si="11"/>
        <v>23.4</v>
      </c>
      <c r="AT33" s="18">
        <f t="shared" si="12"/>
        <v>8.14</v>
      </c>
    </row>
    <row r="34" spans="1:46">
      <c r="A34" s="6">
        <v>43709</v>
      </c>
      <c r="B34" s="5" t="s">
        <v>374</v>
      </c>
      <c r="C34" s="4">
        <v>23011489</v>
      </c>
      <c r="D34" s="4">
        <v>7894652</v>
      </c>
      <c r="E34" s="4">
        <v>3780581</v>
      </c>
      <c r="F34" s="4">
        <v>3740350</v>
      </c>
      <c r="G34" s="4">
        <v>250683650</v>
      </c>
      <c r="H34" s="4">
        <v>105198682</v>
      </c>
      <c r="I34" s="4">
        <v>250685480</v>
      </c>
      <c r="J34" s="4">
        <v>105198728</v>
      </c>
      <c r="K34" s="4"/>
      <c r="L34" s="5">
        <v>4295.8</v>
      </c>
      <c r="M34" s="5">
        <v>4034.9</v>
      </c>
      <c r="N34" s="5">
        <v>73184.2</v>
      </c>
      <c r="O34" s="5"/>
      <c r="P34" s="5"/>
      <c r="Q34" s="9">
        <v>28.7</v>
      </c>
      <c r="R34" s="4" t="s">
        <v>375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 t="str">
        <f t="shared" si="7"/>
        <v/>
      </c>
      <c r="AO34" s="13" t="str">
        <f t="shared" si="8"/>
        <v/>
      </c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3">IF(OR(C37=""),"",C37-C36)</f>
        <v/>
      </c>
      <c r="AB36" s="13" t="str">
        <f t="shared" si="43"/>
        <v/>
      </c>
      <c r="AC36" s="13" t="str">
        <f t="shared" si="43"/>
        <v/>
      </c>
      <c r="AD36" s="13" t="str">
        <f t="shared" si="43"/>
        <v/>
      </c>
      <c r="AE36" s="13" t="str">
        <f t="shared" si="43"/>
        <v/>
      </c>
      <c r="AF36" s="13" t="str">
        <f t="shared" si="43"/>
        <v/>
      </c>
      <c r="AG36" s="13" t="str">
        <f>IF(OR(AA36="",AB36="",AC36=""),"",AA36+AB36+AC36+AD36-AE36)</f>
        <v/>
      </c>
      <c r="AH36" s="17">
        <f t="shared" ref="AH36:AO36" si="44">SUM(AH3:AH34)</f>
        <v>6577807</v>
      </c>
      <c r="AI36" s="17">
        <f t="shared" si="44"/>
        <v>170184</v>
      </c>
      <c r="AJ36" s="17">
        <f t="shared" si="44"/>
        <v>6407623</v>
      </c>
      <c r="AK36" s="17">
        <f t="shared" si="44"/>
        <v>123840</v>
      </c>
      <c r="AL36" s="17">
        <f t="shared" si="44"/>
        <v>37920</v>
      </c>
      <c r="AM36" s="17">
        <f t="shared" si="44"/>
        <v>100</v>
      </c>
      <c r="AN36" s="17">
        <f t="shared" si="44"/>
        <v>110263</v>
      </c>
      <c r="AO36" s="17">
        <f t="shared" si="44"/>
        <v>38808</v>
      </c>
      <c r="AP36" s="17"/>
      <c r="AQ36" s="22">
        <f>IF(OR($AJ36=0),"",ROUND(AL36/$AJ36*1000,1))</f>
        <v>5.9</v>
      </c>
      <c r="AR36" s="22">
        <f>IF(OR($AJ36=0),"",ROUND(AM36/$AJ36*1000,2))</f>
        <v>0.02</v>
      </c>
      <c r="AS36" s="23">
        <f>IF(OR($AJ36=0),"",ROUND(AN36/$AJ36*1000,1))</f>
        <v>17.2</v>
      </c>
      <c r="AT36" s="22">
        <f>IF(OR($AJ36=0),"",ROUND(AO36/$AJ36*1000,2))</f>
        <v>6.06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Normal="100" workbookViewId="0">
      <pane xSplit="2" ySplit="2" topLeftCell="S18" activePane="bottomRight" state="frozen"/>
      <selection pane="topRight"/>
      <selection pane="bottomLeft"/>
      <selection pane="bottomRight" activeCell="AP1" sqref="AP1:AP1048576"/>
    </sheetView>
  </sheetViews>
  <sheetFormatPr defaultColWidth="10.6640625" defaultRowHeight="13.2"/>
  <cols>
    <col min="1" max="1" width="7" style="1" customWidth="1"/>
    <col min="2" max="2" width="8.6640625" style="2" customWidth="1"/>
    <col min="3" max="3" width="10.88671875" style="1" customWidth="1"/>
    <col min="4" max="4" width="9.6640625" style="1" customWidth="1"/>
    <col min="5" max="6" width="9.88671875" style="1" customWidth="1"/>
    <col min="7" max="7" width="12.44140625" style="1" customWidth="1"/>
    <col min="8" max="9" width="11.44140625" style="1" customWidth="1"/>
    <col min="10" max="10" width="11.8867187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1" width="8.109375" style="1" customWidth="1"/>
    <col min="32" max="32" width="10.77734375" style="1" customWidth="1"/>
    <col min="33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8.2187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313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43709</v>
      </c>
      <c r="B3" s="7" t="str">
        <f>'8'!B34</f>
        <v>易萍</v>
      </c>
      <c r="C3" s="7">
        <f>'8'!C34</f>
        <v>23011489</v>
      </c>
      <c r="D3" s="7">
        <f>'8'!D34</f>
        <v>7894652</v>
      </c>
      <c r="E3" s="7">
        <f>'8'!E34</f>
        <v>3780581</v>
      </c>
      <c r="F3" s="7">
        <f>'8'!F34</f>
        <v>3740350</v>
      </c>
      <c r="G3" s="7">
        <f>'8'!G34</f>
        <v>250683650</v>
      </c>
      <c r="H3" s="7">
        <f>'8'!H34</f>
        <v>105198682</v>
      </c>
      <c r="I3" s="7">
        <f>'8'!I34</f>
        <v>250685480</v>
      </c>
      <c r="J3" s="7">
        <f>'8'!J34</f>
        <v>105198728</v>
      </c>
      <c r="K3" s="7">
        <f>'8'!K34</f>
        <v>0</v>
      </c>
      <c r="L3" s="7">
        <f>'8'!L34</f>
        <v>4295.8</v>
      </c>
      <c r="M3" s="7">
        <f>'8'!M34</f>
        <v>4034.9</v>
      </c>
      <c r="N3" s="7">
        <f>'8'!N34</f>
        <v>73184.2</v>
      </c>
      <c r="O3" s="7">
        <f>'8'!O34</f>
        <v>0</v>
      </c>
      <c r="P3" s="7">
        <f>'8'!P34</f>
        <v>0</v>
      </c>
      <c r="Q3" s="7">
        <f>'8'!Q34</f>
        <v>28.7</v>
      </c>
      <c r="R3" s="7" t="str">
        <f>'8'!R34</f>
        <v>晴</v>
      </c>
      <c r="S3" s="4">
        <v>480</v>
      </c>
      <c r="T3" s="4">
        <v>500</v>
      </c>
      <c r="U3" s="4">
        <v>9462</v>
      </c>
      <c r="V3" s="4">
        <v>7992</v>
      </c>
      <c r="W3" s="5">
        <v>6.26</v>
      </c>
      <c r="X3" s="5">
        <v>4.47</v>
      </c>
      <c r="Y3" s="4">
        <v>1436</v>
      </c>
      <c r="Z3" s="4"/>
      <c r="AA3" s="11">
        <f t="shared" ref="AA3:AF3" si="0">IF(OR(C4=""),"",C4-C3)</f>
        <v>47134</v>
      </c>
      <c r="AB3" s="11">
        <f t="shared" si="0"/>
        <v>53549</v>
      </c>
      <c r="AC3" s="11">
        <f t="shared" si="0"/>
        <v>58193</v>
      </c>
      <c r="AD3" s="11">
        <f t="shared" si="0"/>
        <v>58626</v>
      </c>
      <c r="AE3" s="11">
        <f t="shared" si="0"/>
        <v>216751</v>
      </c>
      <c r="AF3" s="11">
        <f t="shared" si="0"/>
        <v>5569</v>
      </c>
      <c r="AG3" s="11">
        <f t="shared" ref="AG3:AG33" si="1">IF(OR(AA3="",AB3="",AC3=""),"",AA3+AB3+AC3+AD3-AE3)</f>
        <v>751</v>
      </c>
      <c r="AH3" s="11">
        <f t="shared" ref="AH3:AH33" si="2">IF(OR(I4=""),"",I4-I3)</f>
        <v>215036</v>
      </c>
      <c r="AI3" s="15">
        <f t="shared" ref="AI3:AI33" si="3">IF(OR(J4=""),"",J4-J3)</f>
        <v>5528</v>
      </c>
      <c r="AJ3" s="15">
        <f t="shared" ref="AJ3:AJ33" si="4">IF(OR(AH3="",AI3=""),"",AH3-AI3)</f>
        <v>209508</v>
      </c>
      <c r="AK3" s="15">
        <v>3200</v>
      </c>
      <c r="AL3" s="15">
        <f t="shared" ref="AL3:AL33" si="5">IF(OR(L4="",M4=""),"",ROUND((L4-L3+M4-M3)*1200,0))</f>
        <v>120</v>
      </c>
      <c r="AM3" s="15">
        <f t="shared" ref="AM3:AM33" si="6">IF(OR(N4=""),"",(ROUND((N4-N3)*2,0)))</f>
        <v>0</v>
      </c>
      <c r="AN3" s="15">
        <f t="shared" ref="AN3:AN33" si="7">IF(OR(S3=""),"",ROUND(S3*7.1,0))</f>
        <v>3408</v>
      </c>
      <c r="AO3" s="15">
        <f t="shared" ref="AO3:AO33" si="8">IF(OR(T3=""),"",ROUND(T3*2.4,0))</f>
        <v>1200</v>
      </c>
      <c r="AP3" s="15">
        <v>1511</v>
      </c>
      <c r="AQ3" s="18">
        <f t="shared" ref="AQ3:AQ33" si="9">IF(OR($AJ3=""),"",ROUND(AL3/$AJ3*1000,1))</f>
        <v>0.6</v>
      </c>
      <c r="AR3" s="18">
        <f t="shared" ref="AR3:AR33" si="10">IF(OR($AJ3=""),"",ROUND(AM3/$AJ3*1000,2))</f>
        <v>0</v>
      </c>
      <c r="AS3" s="19">
        <f t="shared" ref="AS3:AS33" si="11">IF(OR($AJ3=""),"",ROUND(AN3/$AJ3*1000,1))</f>
        <v>16.3</v>
      </c>
      <c r="AT3" s="18">
        <f t="shared" ref="AT3:AT33" si="12">IF(OR($AJ3=""),"",ROUND(AO3/$AJ3*1000,2))</f>
        <v>5.73</v>
      </c>
    </row>
    <row r="4" spans="1:46" ht="52.8">
      <c r="A4" s="6">
        <v>43710</v>
      </c>
      <c r="B4" s="5" t="s">
        <v>376</v>
      </c>
      <c r="C4" s="4">
        <v>23058623</v>
      </c>
      <c r="D4" s="4">
        <v>7948201</v>
      </c>
      <c r="E4" s="4">
        <v>3838774</v>
      </c>
      <c r="F4" s="4">
        <v>3798976</v>
      </c>
      <c r="G4" s="4">
        <v>250900401</v>
      </c>
      <c r="H4" s="4">
        <v>105204251</v>
      </c>
      <c r="I4" s="4">
        <v>250900516</v>
      </c>
      <c r="J4" s="4">
        <v>105204256</v>
      </c>
      <c r="K4" s="4"/>
      <c r="L4" s="5">
        <v>4295.8999999999996</v>
      </c>
      <c r="M4" s="5">
        <v>4034.9</v>
      </c>
      <c r="N4" s="5">
        <v>73184.2</v>
      </c>
      <c r="O4" s="5"/>
      <c r="P4" s="5"/>
      <c r="Q4" s="9">
        <v>28.5</v>
      </c>
      <c r="R4" s="4" t="s">
        <v>377</v>
      </c>
      <c r="S4" s="4">
        <v>420</v>
      </c>
      <c r="T4" s="4">
        <v>450</v>
      </c>
      <c r="U4" s="4">
        <v>10321</v>
      </c>
      <c r="V4" s="4">
        <v>8526</v>
      </c>
      <c r="W4" s="5">
        <v>6.32</v>
      </c>
      <c r="X4" s="5">
        <v>4.6100000000000003</v>
      </c>
      <c r="Y4" s="4">
        <v>1437</v>
      </c>
      <c r="Z4" s="4" t="s">
        <v>380</v>
      </c>
      <c r="AA4" s="11">
        <f t="shared" ref="AA4:AF4" si="13">IF(OR(C5=""),"",C5-C4)</f>
        <v>57756</v>
      </c>
      <c r="AB4" s="11">
        <f t="shared" si="13"/>
        <v>67453</v>
      </c>
      <c r="AC4" s="11">
        <f t="shared" si="13"/>
        <v>54736</v>
      </c>
      <c r="AD4" s="11">
        <f t="shared" si="13"/>
        <v>53094</v>
      </c>
      <c r="AE4" s="11">
        <f t="shared" si="13"/>
        <v>212235</v>
      </c>
      <c r="AF4" s="11">
        <f t="shared" si="13"/>
        <v>5519</v>
      </c>
      <c r="AG4" s="11">
        <f t="shared" si="1"/>
        <v>20804</v>
      </c>
      <c r="AH4" s="11">
        <f t="shared" si="2"/>
        <v>212385</v>
      </c>
      <c r="AI4" s="15">
        <f t="shared" si="3"/>
        <v>5520</v>
      </c>
      <c r="AJ4" s="15">
        <f t="shared" si="4"/>
        <v>206865</v>
      </c>
      <c r="AK4" s="15">
        <v>3500</v>
      </c>
      <c r="AL4" s="15">
        <f t="shared" si="5"/>
        <v>120</v>
      </c>
      <c r="AM4" s="15">
        <f t="shared" si="6"/>
        <v>0</v>
      </c>
      <c r="AN4" s="15">
        <f t="shared" si="7"/>
        <v>2982</v>
      </c>
      <c r="AO4" s="15">
        <f t="shared" si="8"/>
        <v>1080</v>
      </c>
      <c r="AP4" s="15">
        <v>1320</v>
      </c>
      <c r="AQ4" s="18">
        <f t="shared" si="9"/>
        <v>0.6</v>
      </c>
      <c r="AR4" s="18">
        <f t="shared" si="10"/>
        <v>0</v>
      </c>
      <c r="AS4" s="19">
        <f t="shared" si="11"/>
        <v>14.4</v>
      </c>
      <c r="AT4" s="18">
        <f t="shared" si="12"/>
        <v>5.22</v>
      </c>
    </row>
    <row r="5" spans="1:46">
      <c r="A5" s="6">
        <v>43711</v>
      </c>
      <c r="B5" s="5" t="s">
        <v>378</v>
      </c>
      <c r="C5" s="4">
        <v>23116379</v>
      </c>
      <c r="D5" s="4">
        <v>8015654</v>
      </c>
      <c r="E5" s="4">
        <v>3893510</v>
      </c>
      <c r="F5" s="4">
        <v>3852070</v>
      </c>
      <c r="G5" s="4">
        <v>251112636</v>
      </c>
      <c r="H5" s="4">
        <v>105209770</v>
      </c>
      <c r="I5" s="4">
        <v>251112901</v>
      </c>
      <c r="J5" s="4">
        <v>105209776</v>
      </c>
      <c r="K5" s="4"/>
      <c r="L5" s="5">
        <v>4296</v>
      </c>
      <c r="M5" s="5">
        <v>4034.9</v>
      </c>
      <c r="N5" s="5">
        <v>73184.2</v>
      </c>
      <c r="O5" s="5"/>
      <c r="P5" s="5"/>
      <c r="Q5" s="9">
        <v>28.2</v>
      </c>
      <c r="R5" s="4" t="s">
        <v>379</v>
      </c>
      <c r="S5" s="4">
        <v>330</v>
      </c>
      <c r="T5" s="4">
        <v>350</v>
      </c>
      <c r="U5" s="4">
        <v>9314</v>
      </c>
      <c r="V5" s="4">
        <v>8567</v>
      </c>
      <c r="W5" s="5">
        <v>5.86</v>
      </c>
      <c r="X5" s="5">
        <v>5.18</v>
      </c>
      <c r="Y5" s="4">
        <v>1440</v>
      </c>
      <c r="Z5" s="4"/>
      <c r="AA5" s="11">
        <f t="shared" ref="AA5:AF5" si="14">IF(OR(C6=""),"",C6-C5)</f>
        <v>49716</v>
      </c>
      <c r="AB5" s="11">
        <f t="shared" si="14"/>
        <v>57494</v>
      </c>
      <c r="AC5" s="11">
        <f t="shared" si="14"/>
        <v>54313</v>
      </c>
      <c r="AD5" s="11">
        <f t="shared" si="14"/>
        <v>53629</v>
      </c>
      <c r="AE5" s="11">
        <f t="shared" si="14"/>
        <v>214037</v>
      </c>
      <c r="AF5" s="11">
        <f t="shared" si="14"/>
        <v>5533</v>
      </c>
      <c r="AG5" s="11">
        <f t="shared" si="1"/>
        <v>1115</v>
      </c>
      <c r="AH5" s="11">
        <f t="shared" si="2"/>
        <v>213727</v>
      </c>
      <c r="AI5" s="15">
        <f t="shared" si="3"/>
        <v>5520</v>
      </c>
      <c r="AJ5" s="15">
        <f t="shared" si="4"/>
        <v>208207</v>
      </c>
      <c r="AK5" s="15">
        <v>3850</v>
      </c>
      <c r="AL5" s="15">
        <f t="shared" si="5"/>
        <v>0</v>
      </c>
      <c r="AM5" s="15">
        <f t="shared" si="6"/>
        <v>0</v>
      </c>
      <c r="AN5" s="15">
        <f t="shared" si="7"/>
        <v>2343</v>
      </c>
      <c r="AO5" s="15">
        <f t="shared" si="8"/>
        <v>840</v>
      </c>
      <c r="AP5" s="15">
        <v>771</v>
      </c>
      <c r="AQ5" s="18">
        <f t="shared" si="9"/>
        <v>0</v>
      </c>
      <c r="AR5" s="18">
        <f t="shared" si="10"/>
        <v>0</v>
      </c>
      <c r="AS5" s="19">
        <f t="shared" si="11"/>
        <v>11.3</v>
      </c>
      <c r="AT5" s="18">
        <f t="shared" si="12"/>
        <v>4.03</v>
      </c>
    </row>
    <row r="6" spans="1:46" ht="39.6">
      <c r="A6" s="6">
        <v>43712</v>
      </c>
      <c r="B6" s="5" t="s">
        <v>381</v>
      </c>
      <c r="C6" s="4">
        <v>23166095</v>
      </c>
      <c r="D6" s="4">
        <v>8073148</v>
      </c>
      <c r="E6" s="4">
        <v>3947823</v>
      </c>
      <c r="F6" s="4">
        <v>3905699</v>
      </c>
      <c r="G6" s="4">
        <v>251326673</v>
      </c>
      <c r="H6" s="4">
        <v>105215303</v>
      </c>
      <c r="I6" s="4">
        <v>251326628</v>
      </c>
      <c r="J6" s="4">
        <v>105215296</v>
      </c>
      <c r="K6" s="4"/>
      <c r="L6" s="5">
        <v>4296</v>
      </c>
      <c r="M6" s="5">
        <v>4034.9</v>
      </c>
      <c r="N6" s="5">
        <v>73184.3</v>
      </c>
      <c r="O6" s="5"/>
      <c r="P6" s="5"/>
      <c r="Q6" s="9">
        <v>28.5</v>
      </c>
      <c r="R6" s="4" t="s">
        <v>55</v>
      </c>
      <c r="S6" s="4">
        <v>300</v>
      </c>
      <c r="T6" s="4">
        <v>320</v>
      </c>
      <c r="U6" s="4">
        <v>10302</v>
      </c>
      <c r="V6" s="4">
        <v>7126</v>
      </c>
      <c r="W6" s="5">
        <v>6.96</v>
      </c>
      <c r="X6" s="5">
        <v>2.4300000000000002</v>
      </c>
      <c r="Y6" s="4">
        <v>1136</v>
      </c>
      <c r="Z6" s="4" t="s">
        <v>383</v>
      </c>
      <c r="AA6" s="11">
        <f t="shared" ref="AA6:AF6" si="15">IF(OR(C7=""),"",C7-C6)</f>
        <v>62515</v>
      </c>
      <c r="AB6" s="11">
        <f t="shared" si="15"/>
        <v>73718</v>
      </c>
      <c r="AC6" s="11">
        <f t="shared" si="15"/>
        <v>53997</v>
      </c>
      <c r="AD6" s="11">
        <f t="shared" si="15"/>
        <v>53014</v>
      </c>
      <c r="AE6" s="11">
        <f t="shared" si="15"/>
        <v>209989</v>
      </c>
      <c r="AF6" s="11">
        <f t="shared" si="15"/>
        <v>5517</v>
      </c>
      <c r="AG6" s="11">
        <f t="shared" si="1"/>
        <v>33255</v>
      </c>
      <c r="AH6" s="11">
        <f t="shared" si="2"/>
        <v>210034</v>
      </c>
      <c r="AI6" s="15">
        <f t="shared" si="3"/>
        <v>5524</v>
      </c>
      <c r="AJ6" s="15">
        <f t="shared" si="4"/>
        <v>204510</v>
      </c>
      <c r="AK6" s="15">
        <v>5250</v>
      </c>
      <c r="AL6" s="15">
        <f t="shared" si="5"/>
        <v>120</v>
      </c>
      <c r="AM6" s="15">
        <f t="shared" si="6"/>
        <v>0</v>
      </c>
      <c r="AN6" s="15">
        <f t="shared" si="7"/>
        <v>2130</v>
      </c>
      <c r="AO6" s="15">
        <f t="shared" si="8"/>
        <v>768</v>
      </c>
      <c r="AP6" s="15">
        <v>713</v>
      </c>
      <c r="AQ6" s="18">
        <f t="shared" si="9"/>
        <v>0.6</v>
      </c>
      <c r="AR6" s="18">
        <f t="shared" si="10"/>
        <v>0</v>
      </c>
      <c r="AS6" s="19">
        <f t="shared" si="11"/>
        <v>10.4</v>
      </c>
      <c r="AT6" s="18">
        <f t="shared" si="12"/>
        <v>3.76</v>
      </c>
    </row>
    <row r="7" spans="1:46" ht="26.4">
      <c r="A7" s="6">
        <v>43713</v>
      </c>
      <c r="B7" s="5" t="s">
        <v>382</v>
      </c>
      <c r="C7" s="4">
        <v>23228610</v>
      </c>
      <c r="D7" s="4">
        <v>8146866</v>
      </c>
      <c r="E7" s="4">
        <v>4001820</v>
      </c>
      <c r="F7" s="4">
        <v>3958713</v>
      </c>
      <c r="G7" s="4">
        <v>251536662</v>
      </c>
      <c r="H7" s="4">
        <v>105220820</v>
      </c>
      <c r="I7" s="4">
        <v>251536662</v>
      </c>
      <c r="J7" s="4">
        <v>105220820</v>
      </c>
      <c r="K7" s="4"/>
      <c r="L7" s="5">
        <v>4296.1000000000004</v>
      </c>
      <c r="M7" s="5">
        <v>4034.9</v>
      </c>
      <c r="N7" s="5">
        <v>73184.3</v>
      </c>
      <c r="O7" s="5"/>
      <c r="P7" s="5"/>
      <c r="Q7" s="9">
        <v>28.3</v>
      </c>
      <c r="R7" s="4" t="s">
        <v>44</v>
      </c>
      <c r="S7" s="4">
        <v>470</v>
      </c>
      <c r="T7" s="4">
        <v>490</v>
      </c>
      <c r="U7" s="4">
        <v>10321</v>
      </c>
      <c r="V7" s="4">
        <v>5682</v>
      </c>
      <c r="W7" s="5">
        <v>2.68</v>
      </c>
      <c r="X7" s="5">
        <v>2.62</v>
      </c>
      <c r="Y7" s="4">
        <v>0</v>
      </c>
      <c r="Z7" s="4" t="s">
        <v>386</v>
      </c>
      <c r="AA7" s="11">
        <f t="shared" ref="AA7:AF7" si="16">IF(OR(C8=""),"",C8-C7)</f>
        <v>45686</v>
      </c>
      <c r="AB7" s="11">
        <f t="shared" si="16"/>
        <v>52400</v>
      </c>
      <c r="AC7" s="11">
        <f t="shared" si="16"/>
        <v>58724</v>
      </c>
      <c r="AD7" s="11">
        <f t="shared" si="16"/>
        <v>58987</v>
      </c>
      <c r="AE7" s="11">
        <f t="shared" si="16"/>
        <v>205579</v>
      </c>
      <c r="AF7" s="11">
        <f t="shared" si="16"/>
        <v>5543</v>
      </c>
      <c r="AG7" s="11">
        <f t="shared" si="1"/>
        <v>10218</v>
      </c>
      <c r="AH7" s="11">
        <f t="shared" si="2"/>
        <v>205440</v>
      </c>
      <c r="AI7" s="15">
        <f t="shared" si="3"/>
        <v>5540</v>
      </c>
      <c r="AJ7" s="15">
        <f t="shared" si="4"/>
        <v>199900</v>
      </c>
      <c r="AK7" s="15">
        <v>3800</v>
      </c>
      <c r="AL7" s="15">
        <f t="shared" si="5"/>
        <v>120</v>
      </c>
      <c r="AM7" s="15">
        <f t="shared" si="6"/>
        <v>0</v>
      </c>
      <c r="AN7" s="15">
        <f t="shared" si="7"/>
        <v>3337</v>
      </c>
      <c r="AO7" s="15">
        <f t="shared" si="8"/>
        <v>1176</v>
      </c>
      <c r="AP7" s="15">
        <v>665</v>
      </c>
      <c r="AQ7" s="18">
        <f t="shared" si="9"/>
        <v>0.6</v>
      </c>
      <c r="AR7" s="18">
        <f t="shared" si="10"/>
        <v>0</v>
      </c>
      <c r="AS7" s="19">
        <f t="shared" si="11"/>
        <v>16.7</v>
      </c>
      <c r="AT7" s="18">
        <f t="shared" si="12"/>
        <v>5.88</v>
      </c>
    </row>
    <row r="8" spans="1:46" ht="26.4">
      <c r="A8" s="6">
        <v>43714</v>
      </c>
      <c r="B8" s="5" t="s">
        <v>384</v>
      </c>
      <c r="C8" s="4">
        <v>23274296</v>
      </c>
      <c r="D8" s="4">
        <v>8199266</v>
      </c>
      <c r="E8" s="4">
        <v>4060544</v>
      </c>
      <c r="F8" s="4">
        <v>4017700</v>
      </c>
      <c r="G8" s="4">
        <v>251742241</v>
      </c>
      <c r="H8" s="4">
        <v>105226363</v>
      </c>
      <c r="I8" s="4">
        <v>251742102</v>
      </c>
      <c r="J8" s="4">
        <v>105226360</v>
      </c>
      <c r="K8" s="4"/>
      <c r="L8" s="5">
        <v>4296.2</v>
      </c>
      <c r="M8" s="5">
        <v>4034.9</v>
      </c>
      <c r="N8" s="5">
        <v>73184.399999999994</v>
      </c>
      <c r="O8" s="5"/>
      <c r="P8" s="5"/>
      <c r="Q8" s="9">
        <v>28.6</v>
      </c>
      <c r="R8" s="4" t="s">
        <v>385</v>
      </c>
      <c r="S8" s="4">
        <v>610</v>
      </c>
      <c r="T8" s="4">
        <v>630</v>
      </c>
      <c r="U8" s="4">
        <v>10365</v>
      </c>
      <c r="V8" s="4">
        <v>7859</v>
      </c>
      <c r="W8" s="5">
        <v>4.0599999999999996</v>
      </c>
      <c r="X8" s="5">
        <v>2.3199999999999998</v>
      </c>
      <c r="Y8" s="4">
        <v>569</v>
      </c>
      <c r="Z8" s="4" t="s">
        <v>389</v>
      </c>
      <c r="AA8" s="11">
        <f t="shared" ref="AA8:AF8" si="17">IF(OR(C9=""),"",C9-C8)</f>
        <v>50174</v>
      </c>
      <c r="AB8" s="11">
        <f t="shared" si="17"/>
        <v>57622</v>
      </c>
      <c r="AC8" s="11">
        <f t="shared" si="17"/>
        <v>58699</v>
      </c>
      <c r="AD8" s="11">
        <f t="shared" si="17"/>
        <v>59068</v>
      </c>
      <c r="AE8" s="11">
        <f t="shared" si="17"/>
        <v>204943</v>
      </c>
      <c r="AF8" s="11">
        <f t="shared" si="17"/>
        <v>5515</v>
      </c>
      <c r="AG8" s="11">
        <f t="shared" si="1"/>
        <v>20620</v>
      </c>
      <c r="AH8" s="11">
        <f t="shared" si="2"/>
        <v>204805</v>
      </c>
      <c r="AI8" s="15">
        <f t="shared" si="3"/>
        <v>5512</v>
      </c>
      <c r="AJ8" s="15">
        <f t="shared" si="4"/>
        <v>199293</v>
      </c>
      <c r="AK8" s="15">
        <v>3600</v>
      </c>
      <c r="AL8" s="15">
        <f t="shared" si="5"/>
        <v>0</v>
      </c>
      <c r="AM8" s="15">
        <f t="shared" si="6"/>
        <v>0</v>
      </c>
      <c r="AN8" s="15">
        <f t="shared" si="7"/>
        <v>4331</v>
      </c>
      <c r="AO8" s="15">
        <f t="shared" si="8"/>
        <v>1512</v>
      </c>
      <c r="AP8" s="15">
        <v>599</v>
      </c>
      <c r="AQ8" s="18">
        <f t="shared" si="9"/>
        <v>0</v>
      </c>
      <c r="AR8" s="18">
        <f t="shared" si="10"/>
        <v>0</v>
      </c>
      <c r="AS8" s="19">
        <f t="shared" si="11"/>
        <v>21.7</v>
      </c>
      <c r="AT8" s="18">
        <f t="shared" si="12"/>
        <v>7.59</v>
      </c>
    </row>
    <row r="9" spans="1:46" ht="26.4">
      <c r="A9" s="6">
        <v>43715</v>
      </c>
      <c r="B9" s="5" t="s">
        <v>387</v>
      </c>
      <c r="C9" s="4">
        <v>23324470</v>
      </c>
      <c r="D9" s="4">
        <v>8256888</v>
      </c>
      <c r="E9" s="4">
        <v>4119243</v>
      </c>
      <c r="F9" s="4">
        <v>4076768</v>
      </c>
      <c r="G9" s="4">
        <v>251947184</v>
      </c>
      <c r="H9" s="4">
        <v>105231878</v>
      </c>
      <c r="I9" s="4">
        <v>251946907</v>
      </c>
      <c r="J9" s="4">
        <v>105231872</v>
      </c>
      <c r="K9" s="4"/>
      <c r="L9" s="5">
        <v>4296.2</v>
      </c>
      <c r="M9" s="5">
        <v>4034.9</v>
      </c>
      <c r="N9" s="5">
        <v>73184.399999999994</v>
      </c>
      <c r="O9" s="5"/>
      <c r="P9" s="5"/>
      <c r="Q9" s="9">
        <v>28.5</v>
      </c>
      <c r="R9" s="4" t="s">
        <v>388</v>
      </c>
      <c r="S9" s="4">
        <v>630</v>
      </c>
      <c r="T9" s="4">
        <v>660</v>
      </c>
      <c r="U9" s="4">
        <v>10298</v>
      </c>
      <c r="V9" s="4">
        <v>7998</v>
      </c>
      <c r="W9" s="5">
        <v>4.8600000000000003</v>
      </c>
      <c r="X9" s="5">
        <v>2.85</v>
      </c>
      <c r="Y9" s="4">
        <v>1267</v>
      </c>
      <c r="Z9" s="4" t="s">
        <v>395</v>
      </c>
      <c r="AA9" s="11">
        <f t="shared" ref="AA9:AF9" si="18">IF(OR(C10=""),"",C10-C9)</f>
        <v>47314</v>
      </c>
      <c r="AB9" s="11">
        <f t="shared" si="18"/>
        <v>56123</v>
      </c>
      <c r="AC9" s="11">
        <f t="shared" si="18"/>
        <v>72366</v>
      </c>
      <c r="AD9" s="11">
        <f t="shared" si="18"/>
        <v>72933</v>
      </c>
      <c r="AE9" s="11">
        <f t="shared" si="18"/>
        <v>214747</v>
      </c>
      <c r="AF9" s="11">
        <f t="shared" si="18"/>
        <v>5509</v>
      </c>
      <c r="AG9" s="11">
        <f t="shared" si="1"/>
        <v>33989</v>
      </c>
      <c r="AH9" s="11">
        <f t="shared" si="2"/>
        <v>214956</v>
      </c>
      <c r="AI9" s="15">
        <f t="shared" si="3"/>
        <v>5512</v>
      </c>
      <c r="AJ9" s="15">
        <f t="shared" si="4"/>
        <v>209444</v>
      </c>
      <c r="AK9" s="15">
        <v>3600</v>
      </c>
      <c r="AL9" s="15">
        <f t="shared" si="5"/>
        <v>120</v>
      </c>
      <c r="AM9" s="15">
        <f t="shared" si="6"/>
        <v>0</v>
      </c>
      <c r="AN9" s="15">
        <f t="shared" si="7"/>
        <v>4473</v>
      </c>
      <c r="AO9" s="15">
        <f t="shared" si="8"/>
        <v>1584</v>
      </c>
      <c r="AP9" s="15">
        <v>0</v>
      </c>
      <c r="AQ9" s="18">
        <f t="shared" si="9"/>
        <v>0.6</v>
      </c>
      <c r="AR9" s="18">
        <f t="shared" si="10"/>
        <v>0</v>
      </c>
      <c r="AS9" s="19">
        <f t="shared" si="11"/>
        <v>21.4</v>
      </c>
      <c r="AT9" s="18">
        <f t="shared" si="12"/>
        <v>7.56</v>
      </c>
    </row>
    <row r="10" spans="1:46" ht="39.6">
      <c r="A10" s="6">
        <v>43716</v>
      </c>
      <c r="B10" s="5" t="s">
        <v>390</v>
      </c>
      <c r="C10" s="4">
        <v>23371784</v>
      </c>
      <c r="D10" s="4">
        <v>8313011</v>
      </c>
      <c r="E10" s="4">
        <v>4191609</v>
      </c>
      <c r="F10" s="4">
        <v>4149701</v>
      </c>
      <c r="G10" s="4">
        <v>252161931</v>
      </c>
      <c r="H10" s="4">
        <v>105237387</v>
      </c>
      <c r="I10" s="4">
        <v>252161863</v>
      </c>
      <c r="J10" s="4">
        <v>105237384</v>
      </c>
      <c r="K10" s="4"/>
      <c r="L10" s="5">
        <v>4296.3</v>
      </c>
      <c r="M10" s="5">
        <v>4034.9</v>
      </c>
      <c r="N10" s="5">
        <v>73184.399999999994</v>
      </c>
      <c r="O10" s="5"/>
      <c r="P10" s="5"/>
      <c r="Q10" s="9">
        <v>28.4</v>
      </c>
      <c r="R10" s="4" t="s">
        <v>391</v>
      </c>
      <c r="S10" s="4">
        <v>530</v>
      </c>
      <c r="T10" s="4">
        <v>540</v>
      </c>
      <c r="U10" s="4">
        <v>10325</v>
      </c>
      <c r="V10" s="4">
        <v>7925</v>
      </c>
      <c r="W10" s="5">
        <v>4.92</v>
      </c>
      <c r="X10" s="5">
        <v>2.41</v>
      </c>
      <c r="Y10" s="4">
        <v>1287</v>
      </c>
      <c r="Z10" s="4" t="s">
        <v>394</v>
      </c>
      <c r="AA10" s="11">
        <f t="shared" ref="AA10:AF10" si="19">IF(OR(C11=""),"",C11-C10)</f>
        <v>50808</v>
      </c>
      <c r="AB10" s="11">
        <f t="shared" si="19"/>
        <v>62405</v>
      </c>
      <c r="AC10" s="11">
        <f t="shared" si="19"/>
        <v>65059</v>
      </c>
      <c r="AD10" s="11">
        <f t="shared" si="19"/>
        <v>64999</v>
      </c>
      <c r="AE10" s="11">
        <f t="shared" si="19"/>
        <v>209140</v>
      </c>
      <c r="AF10" s="11">
        <f t="shared" si="19"/>
        <v>5512</v>
      </c>
      <c r="AG10" s="11">
        <f t="shared" si="1"/>
        <v>34131</v>
      </c>
      <c r="AH10" s="11">
        <f t="shared" si="2"/>
        <v>209372</v>
      </c>
      <c r="AI10" s="15">
        <f t="shared" si="3"/>
        <v>5520</v>
      </c>
      <c r="AJ10" s="15">
        <f t="shared" si="4"/>
        <v>203852</v>
      </c>
      <c r="AK10" s="15">
        <v>3600</v>
      </c>
      <c r="AL10" s="15">
        <f t="shared" si="5"/>
        <v>120</v>
      </c>
      <c r="AM10" s="15">
        <f t="shared" si="6"/>
        <v>0</v>
      </c>
      <c r="AN10" s="15">
        <f t="shared" si="7"/>
        <v>3763</v>
      </c>
      <c r="AO10" s="15">
        <f t="shared" si="8"/>
        <v>1296</v>
      </c>
      <c r="AP10" s="15">
        <v>0</v>
      </c>
      <c r="AQ10" s="18">
        <f t="shared" si="9"/>
        <v>0.6</v>
      </c>
      <c r="AR10" s="18">
        <f t="shared" si="10"/>
        <v>0</v>
      </c>
      <c r="AS10" s="19">
        <f t="shared" si="11"/>
        <v>18.5</v>
      </c>
      <c r="AT10" s="18">
        <f t="shared" si="12"/>
        <v>6.36</v>
      </c>
    </row>
    <row r="11" spans="1:46" ht="26.4">
      <c r="A11" s="6">
        <v>43717</v>
      </c>
      <c r="B11" s="5" t="s">
        <v>392</v>
      </c>
      <c r="C11" s="4">
        <v>23422592</v>
      </c>
      <c r="D11" s="4">
        <v>8375416</v>
      </c>
      <c r="E11" s="4">
        <v>4256668</v>
      </c>
      <c r="F11" s="4">
        <v>4214700</v>
      </c>
      <c r="G11" s="4">
        <v>252371071</v>
      </c>
      <c r="H11" s="4">
        <v>105242899</v>
      </c>
      <c r="I11" s="4">
        <v>252371235</v>
      </c>
      <c r="J11" s="4">
        <v>105242904</v>
      </c>
      <c r="K11" s="4"/>
      <c r="L11" s="5">
        <v>4296.3999999999996</v>
      </c>
      <c r="M11" s="5">
        <v>4034.9</v>
      </c>
      <c r="N11" s="5">
        <v>73184.5</v>
      </c>
      <c r="O11" s="5"/>
      <c r="P11" s="5"/>
      <c r="Q11" s="9">
        <v>28.6</v>
      </c>
      <c r="R11" s="4" t="s">
        <v>393</v>
      </c>
      <c r="S11" s="4">
        <v>400</v>
      </c>
      <c r="T11" s="4">
        <v>430</v>
      </c>
      <c r="U11" s="4">
        <v>10213</v>
      </c>
      <c r="V11" s="4">
        <v>6852</v>
      </c>
      <c r="W11" s="5">
        <v>4.42</v>
      </c>
      <c r="X11" s="5">
        <v>2.42</v>
      </c>
      <c r="Y11" s="4">
        <v>998</v>
      </c>
      <c r="Z11" s="4" t="s">
        <v>398</v>
      </c>
      <c r="AA11" s="11">
        <f t="shared" ref="AA11:AF11" si="20">IF(OR(C12=""),"",C12-C11)</f>
        <v>47591</v>
      </c>
      <c r="AB11" s="11">
        <f t="shared" si="20"/>
        <v>54462</v>
      </c>
      <c r="AC11" s="11">
        <f t="shared" si="20"/>
        <v>65682</v>
      </c>
      <c r="AD11" s="11">
        <f t="shared" si="20"/>
        <v>66405</v>
      </c>
      <c r="AE11" s="11">
        <f t="shared" si="20"/>
        <v>212382</v>
      </c>
      <c r="AF11" s="11">
        <f t="shared" si="20"/>
        <v>5530</v>
      </c>
      <c r="AG11" s="11">
        <f t="shared" si="1"/>
        <v>21758</v>
      </c>
      <c r="AH11" s="11">
        <f t="shared" si="2"/>
        <v>212280</v>
      </c>
      <c r="AI11" s="15">
        <f t="shared" si="3"/>
        <v>5520</v>
      </c>
      <c r="AJ11" s="15">
        <f t="shared" si="4"/>
        <v>206760</v>
      </c>
      <c r="AK11" s="15">
        <v>4600</v>
      </c>
      <c r="AL11" s="15">
        <f t="shared" si="5"/>
        <v>840</v>
      </c>
      <c r="AM11" s="15">
        <f t="shared" si="6"/>
        <v>0</v>
      </c>
      <c r="AN11" s="15">
        <f t="shared" si="7"/>
        <v>2840</v>
      </c>
      <c r="AO11" s="15">
        <f t="shared" si="8"/>
        <v>1032</v>
      </c>
      <c r="AP11" s="15">
        <v>1425</v>
      </c>
      <c r="AQ11" s="18">
        <f t="shared" si="9"/>
        <v>4.0999999999999996</v>
      </c>
      <c r="AR11" s="18">
        <f t="shared" si="10"/>
        <v>0</v>
      </c>
      <c r="AS11" s="19">
        <f t="shared" si="11"/>
        <v>13.7</v>
      </c>
      <c r="AT11" s="18">
        <f t="shared" si="12"/>
        <v>4.99</v>
      </c>
    </row>
    <row r="12" spans="1:46">
      <c r="A12" s="6">
        <v>43718</v>
      </c>
      <c r="B12" s="5" t="s">
        <v>396</v>
      </c>
      <c r="C12" s="4">
        <v>23470183</v>
      </c>
      <c r="D12" s="4">
        <v>8429878</v>
      </c>
      <c r="E12" s="4">
        <v>4322350</v>
      </c>
      <c r="F12" s="4">
        <v>4281105</v>
      </c>
      <c r="G12" s="4">
        <v>252583453</v>
      </c>
      <c r="H12" s="4">
        <v>105248429</v>
      </c>
      <c r="I12" s="4">
        <v>252583515</v>
      </c>
      <c r="J12" s="4">
        <v>105248424</v>
      </c>
      <c r="K12" s="4"/>
      <c r="L12" s="5">
        <v>4296.3999999999996</v>
      </c>
      <c r="M12" s="5">
        <v>4035.6</v>
      </c>
      <c r="N12" s="5">
        <v>73184.5</v>
      </c>
      <c r="O12" s="5"/>
      <c r="P12" s="5"/>
      <c r="Q12" s="9">
        <v>28.5</v>
      </c>
      <c r="R12" s="4" t="s">
        <v>397</v>
      </c>
      <c r="S12" s="4">
        <v>300</v>
      </c>
      <c r="T12" s="4">
        <v>320</v>
      </c>
      <c r="U12" s="4">
        <v>10352</v>
      </c>
      <c r="V12" s="4">
        <v>7868</v>
      </c>
      <c r="W12" s="5">
        <v>4.62</v>
      </c>
      <c r="X12" s="5">
        <v>2.58</v>
      </c>
      <c r="Y12" s="4">
        <v>1023</v>
      </c>
      <c r="Z12" s="4" t="s">
        <v>400</v>
      </c>
      <c r="AA12" s="11">
        <f t="shared" ref="AA12:AF12" si="21">IF(OR(C13=""),"",C13-C12)</f>
        <v>52274</v>
      </c>
      <c r="AB12" s="11">
        <f t="shared" si="21"/>
        <v>61785</v>
      </c>
      <c r="AC12" s="11">
        <f t="shared" si="21"/>
        <v>65108</v>
      </c>
      <c r="AD12" s="11">
        <f t="shared" si="21"/>
        <v>66678</v>
      </c>
      <c r="AE12" s="11">
        <f t="shared" si="21"/>
        <v>209881</v>
      </c>
      <c r="AF12" s="11">
        <f t="shared" si="21"/>
        <v>5395</v>
      </c>
      <c r="AG12" s="11">
        <f t="shared" si="1"/>
        <v>35964</v>
      </c>
      <c r="AH12" s="11">
        <f t="shared" si="2"/>
        <v>211780</v>
      </c>
      <c r="AI12" s="15">
        <f t="shared" si="3"/>
        <v>5528</v>
      </c>
      <c r="AJ12" s="15">
        <f t="shared" si="4"/>
        <v>206252</v>
      </c>
      <c r="AK12" s="15">
        <v>4200</v>
      </c>
      <c r="AL12" s="15">
        <f t="shared" si="5"/>
        <v>120</v>
      </c>
      <c r="AM12" s="15">
        <f t="shared" si="6"/>
        <v>0</v>
      </c>
      <c r="AN12" s="15">
        <f t="shared" si="7"/>
        <v>2130</v>
      </c>
      <c r="AO12" s="15">
        <f t="shared" si="8"/>
        <v>768</v>
      </c>
      <c r="AP12" s="15">
        <v>1458</v>
      </c>
      <c r="AQ12" s="18">
        <f t="shared" si="9"/>
        <v>0.6</v>
      </c>
      <c r="AR12" s="18">
        <f t="shared" si="10"/>
        <v>0</v>
      </c>
      <c r="AS12" s="19">
        <f t="shared" si="11"/>
        <v>10.3</v>
      </c>
      <c r="AT12" s="18">
        <f t="shared" si="12"/>
        <v>3.72</v>
      </c>
    </row>
    <row r="13" spans="1:46" ht="26.4">
      <c r="A13" s="6">
        <v>43719</v>
      </c>
      <c r="B13" s="5" t="s">
        <v>399</v>
      </c>
      <c r="C13" s="4">
        <v>23522457</v>
      </c>
      <c r="D13" s="4">
        <v>8491663</v>
      </c>
      <c r="E13" s="4">
        <v>4387458</v>
      </c>
      <c r="F13" s="4">
        <v>4347783</v>
      </c>
      <c r="G13" s="4">
        <v>252793334</v>
      </c>
      <c r="H13" s="4">
        <v>105253824</v>
      </c>
      <c r="I13" s="4">
        <v>252795295</v>
      </c>
      <c r="J13" s="4">
        <v>105253952</v>
      </c>
      <c r="K13" s="4"/>
      <c r="L13" s="5">
        <v>4296.5</v>
      </c>
      <c r="M13" s="5">
        <v>4035.6</v>
      </c>
      <c r="N13" s="5">
        <v>73184.600000000006</v>
      </c>
      <c r="O13" s="5"/>
      <c r="P13" s="5"/>
      <c r="Q13" s="9">
        <v>28.7</v>
      </c>
      <c r="R13" s="4" t="s">
        <v>44</v>
      </c>
      <c r="S13" s="4">
        <v>280</v>
      </c>
      <c r="T13" s="4">
        <v>300</v>
      </c>
      <c r="U13" s="4">
        <v>10225</v>
      </c>
      <c r="V13" s="4">
        <v>8145</v>
      </c>
      <c r="W13" s="5">
        <v>4.57</v>
      </c>
      <c r="X13" s="5">
        <v>2.75</v>
      </c>
      <c r="Y13" s="4">
        <v>1222</v>
      </c>
      <c r="Z13" s="4" t="s">
        <v>402</v>
      </c>
      <c r="AA13" s="11">
        <f t="shared" ref="AA13:AF13" si="22">IF(OR(C14=""),"",C14-C13)</f>
        <v>50787</v>
      </c>
      <c r="AB13" s="11">
        <f t="shared" si="22"/>
        <v>60033</v>
      </c>
      <c r="AC13" s="11">
        <f t="shared" si="22"/>
        <v>62125</v>
      </c>
      <c r="AD13" s="11">
        <f t="shared" si="22"/>
        <v>63396</v>
      </c>
      <c r="AE13" s="11">
        <f t="shared" si="22"/>
        <v>211366</v>
      </c>
      <c r="AF13" s="11">
        <f t="shared" si="22"/>
        <v>5616</v>
      </c>
      <c r="AG13" s="11">
        <f t="shared" si="1"/>
        <v>24975</v>
      </c>
      <c r="AH13" s="11">
        <f t="shared" si="2"/>
        <v>210623</v>
      </c>
      <c r="AI13" s="15">
        <f t="shared" si="3"/>
        <v>5528</v>
      </c>
      <c r="AJ13" s="15">
        <f t="shared" si="4"/>
        <v>205095</v>
      </c>
      <c r="AK13" s="15">
        <v>4400</v>
      </c>
      <c r="AL13" s="15">
        <f t="shared" si="5"/>
        <v>120</v>
      </c>
      <c r="AM13" s="15">
        <f t="shared" si="6"/>
        <v>0</v>
      </c>
      <c r="AN13" s="15">
        <f t="shared" si="7"/>
        <v>1988</v>
      </c>
      <c r="AO13" s="15">
        <f t="shared" si="8"/>
        <v>720</v>
      </c>
      <c r="AP13" s="15">
        <v>1463</v>
      </c>
      <c r="AQ13" s="18">
        <f t="shared" si="9"/>
        <v>0.6</v>
      </c>
      <c r="AR13" s="18">
        <f t="shared" si="10"/>
        <v>0</v>
      </c>
      <c r="AS13" s="19">
        <f t="shared" si="11"/>
        <v>9.6999999999999993</v>
      </c>
      <c r="AT13" s="18">
        <f t="shared" si="12"/>
        <v>3.51</v>
      </c>
    </row>
    <row r="14" spans="1:46">
      <c r="A14" s="6">
        <v>43720</v>
      </c>
      <c r="B14" s="5" t="s">
        <v>401</v>
      </c>
      <c r="C14" s="4">
        <v>23573244</v>
      </c>
      <c r="D14" s="4">
        <v>8551696</v>
      </c>
      <c r="E14" s="4">
        <v>4449583</v>
      </c>
      <c r="F14" s="4">
        <v>4411179</v>
      </c>
      <c r="G14" s="4">
        <v>253004700</v>
      </c>
      <c r="H14" s="4">
        <v>105259440</v>
      </c>
      <c r="I14" s="4">
        <v>253005918</v>
      </c>
      <c r="J14" s="4">
        <v>105259480</v>
      </c>
      <c r="K14" s="4"/>
      <c r="L14" s="5">
        <v>4296.6000000000004</v>
      </c>
      <c r="M14" s="5">
        <v>4035.6</v>
      </c>
      <c r="N14" s="5">
        <v>73184.600000000006</v>
      </c>
      <c r="O14" s="5"/>
      <c r="P14" s="5"/>
      <c r="Q14" s="9">
        <v>28.5</v>
      </c>
      <c r="R14" s="4" t="s">
        <v>44</v>
      </c>
      <c r="S14" s="4">
        <v>500</v>
      </c>
      <c r="T14" s="4">
        <v>520</v>
      </c>
      <c r="U14" s="4">
        <v>10236</v>
      </c>
      <c r="V14" s="4">
        <v>8096</v>
      </c>
      <c r="W14" s="5">
        <v>5.14</v>
      </c>
      <c r="X14" s="5">
        <v>4.0999999999999996</v>
      </c>
      <c r="Y14" s="4">
        <v>1436</v>
      </c>
      <c r="Z14" s="4"/>
      <c r="AA14" s="11">
        <f t="shared" ref="AA14:AF14" si="23">IF(OR(C15=""),"",C15-C14)</f>
        <v>54539</v>
      </c>
      <c r="AB14" s="11">
        <f t="shared" si="23"/>
        <v>61568</v>
      </c>
      <c r="AC14" s="11">
        <f t="shared" si="23"/>
        <v>65063</v>
      </c>
      <c r="AD14" s="11">
        <f t="shared" si="23"/>
        <v>64321</v>
      </c>
      <c r="AE14" s="11">
        <f t="shared" si="23"/>
        <v>212454</v>
      </c>
      <c r="AF14" s="11">
        <f t="shared" si="23"/>
        <v>5573</v>
      </c>
      <c r="AG14" s="11">
        <f t="shared" si="1"/>
        <v>33037</v>
      </c>
      <c r="AH14" s="11">
        <f t="shared" si="2"/>
        <v>210966</v>
      </c>
      <c r="AI14" s="15">
        <f t="shared" si="3"/>
        <v>5520</v>
      </c>
      <c r="AJ14" s="15">
        <f t="shared" si="4"/>
        <v>205446</v>
      </c>
      <c r="AK14" s="15">
        <v>4800</v>
      </c>
      <c r="AL14" s="15">
        <f t="shared" si="5"/>
        <v>0</v>
      </c>
      <c r="AM14" s="15">
        <f t="shared" si="6"/>
        <v>0</v>
      </c>
      <c r="AN14" s="15">
        <f t="shared" si="7"/>
        <v>3550</v>
      </c>
      <c r="AO14" s="15">
        <f t="shared" si="8"/>
        <v>1248</v>
      </c>
      <c r="AP14" s="15">
        <v>1499</v>
      </c>
      <c r="AQ14" s="18">
        <f t="shared" si="9"/>
        <v>0</v>
      </c>
      <c r="AR14" s="18">
        <f t="shared" si="10"/>
        <v>0</v>
      </c>
      <c r="AS14" s="19">
        <f t="shared" si="11"/>
        <v>17.3</v>
      </c>
      <c r="AT14" s="18">
        <f t="shared" si="12"/>
        <v>6.07</v>
      </c>
    </row>
    <row r="15" spans="1:46">
      <c r="A15" s="6">
        <v>43721</v>
      </c>
      <c r="B15" s="5" t="s">
        <v>403</v>
      </c>
      <c r="C15" s="4">
        <v>23627783</v>
      </c>
      <c r="D15" s="4">
        <v>8613264</v>
      </c>
      <c r="E15" s="4">
        <v>4514646</v>
      </c>
      <c r="F15" s="4">
        <v>4475500</v>
      </c>
      <c r="G15" s="4">
        <v>253217154</v>
      </c>
      <c r="H15" s="4">
        <v>105265013</v>
      </c>
      <c r="I15" s="4">
        <v>253216884</v>
      </c>
      <c r="J15" s="4">
        <v>105265000</v>
      </c>
      <c r="K15" s="4"/>
      <c r="L15" s="5">
        <v>4296.6000000000004</v>
      </c>
      <c r="M15" s="5">
        <v>4035.6</v>
      </c>
      <c r="N15" s="5">
        <v>73184.600000000006</v>
      </c>
      <c r="O15" s="5"/>
      <c r="P15" s="5"/>
      <c r="Q15" s="9">
        <v>28.1</v>
      </c>
      <c r="R15" s="4" t="s">
        <v>404</v>
      </c>
      <c r="S15" s="4">
        <v>650</v>
      </c>
      <c r="T15" s="4">
        <v>670</v>
      </c>
      <c r="U15" s="4">
        <v>10312</v>
      </c>
      <c r="V15" s="4">
        <v>7584</v>
      </c>
      <c r="W15" s="5">
        <v>6.52</v>
      </c>
      <c r="X15" s="5">
        <v>4.01</v>
      </c>
      <c r="Y15" s="4">
        <v>1435</v>
      </c>
      <c r="Z15" s="4" t="s">
        <v>407</v>
      </c>
      <c r="AA15" s="11">
        <f t="shared" ref="AA15:AF15" si="24">IF(OR(C16=""),"",C16-C15)</f>
        <v>55056</v>
      </c>
      <c r="AB15" s="11">
        <f t="shared" si="24"/>
        <v>58281</v>
      </c>
      <c r="AC15" s="11">
        <f t="shared" si="24"/>
        <v>59758</v>
      </c>
      <c r="AD15" s="11">
        <f t="shared" si="24"/>
        <v>59822</v>
      </c>
      <c r="AE15" s="11">
        <f t="shared" si="24"/>
        <v>215565</v>
      </c>
      <c r="AF15" s="11">
        <f t="shared" si="24"/>
        <v>5557</v>
      </c>
      <c r="AG15" s="11">
        <f t="shared" si="1"/>
        <v>17352</v>
      </c>
      <c r="AH15" s="11">
        <f t="shared" si="2"/>
        <v>214179</v>
      </c>
      <c r="AI15" s="15">
        <f t="shared" si="3"/>
        <v>5520</v>
      </c>
      <c r="AJ15" s="15">
        <f t="shared" si="4"/>
        <v>208659</v>
      </c>
      <c r="AK15" s="15">
        <v>4000</v>
      </c>
      <c r="AL15" s="15">
        <f t="shared" si="5"/>
        <v>120</v>
      </c>
      <c r="AM15" s="15">
        <f t="shared" si="6"/>
        <v>0</v>
      </c>
      <c r="AN15" s="15">
        <f t="shared" si="7"/>
        <v>4615</v>
      </c>
      <c r="AO15" s="15">
        <f t="shared" si="8"/>
        <v>1608</v>
      </c>
      <c r="AP15" s="15">
        <v>1559</v>
      </c>
      <c r="AQ15" s="18">
        <f t="shared" si="9"/>
        <v>0.6</v>
      </c>
      <c r="AR15" s="18">
        <f t="shared" si="10"/>
        <v>0</v>
      </c>
      <c r="AS15" s="19">
        <f t="shared" si="11"/>
        <v>22.1</v>
      </c>
      <c r="AT15" s="18">
        <f t="shared" si="12"/>
        <v>7.71</v>
      </c>
    </row>
    <row r="16" spans="1:46">
      <c r="A16" s="6">
        <v>43722</v>
      </c>
      <c r="B16" s="5" t="s">
        <v>405</v>
      </c>
      <c r="C16" s="4">
        <v>23682839</v>
      </c>
      <c r="D16" s="4">
        <v>8671545</v>
      </c>
      <c r="E16" s="4">
        <v>4574404</v>
      </c>
      <c r="F16" s="4">
        <v>4535322</v>
      </c>
      <c r="G16" s="4">
        <v>253432719</v>
      </c>
      <c r="H16" s="4">
        <v>105270570</v>
      </c>
      <c r="I16" s="4">
        <v>253431063</v>
      </c>
      <c r="J16" s="4">
        <v>105270520</v>
      </c>
      <c r="K16" s="4"/>
      <c r="L16" s="5">
        <v>4296.7</v>
      </c>
      <c r="M16" s="5">
        <v>4035.6</v>
      </c>
      <c r="N16" s="5">
        <v>73184.7</v>
      </c>
      <c r="O16" s="5"/>
      <c r="P16" s="5"/>
      <c r="Q16" s="9">
        <v>28</v>
      </c>
      <c r="R16" s="4" t="s">
        <v>406</v>
      </c>
      <c r="S16" s="4">
        <v>650</v>
      </c>
      <c r="T16" s="4">
        <v>670</v>
      </c>
      <c r="U16" s="4">
        <v>9261</v>
      </c>
      <c r="V16" s="4">
        <v>7859</v>
      </c>
      <c r="W16" s="5">
        <v>6.5</v>
      </c>
      <c r="X16" s="5">
        <v>3.86</v>
      </c>
      <c r="Y16" s="4">
        <v>1431</v>
      </c>
      <c r="Z16" s="4"/>
      <c r="AA16" s="11">
        <f t="shared" ref="AA16:AF16" si="25">IF(OR(C17=""),"",C17-C16)</f>
        <v>47690</v>
      </c>
      <c r="AB16" s="11">
        <f t="shared" si="25"/>
        <v>60270</v>
      </c>
      <c r="AC16" s="11">
        <f t="shared" si="25"/>
        <v>54295</v>
      </c>
      <c r="AD16" s="11">
        <f t="shared" si="25"/>
        <v>53912</v>
      </c>
      <c r="AE16" s="11">
        <f t="shared" si="25"/>
        <v>211880</v>
      </c>
      <c r="AF16" s="11">
        <f t="shared" si="25"/>
        <v>5442</v>
      </c>
      <c r="AG16" s="11">
        <f t="shared" si="1"/>
        <v>4287</v>
      </c>
      <c r="AH16" s="11">
        <f t="shared" si="2"/>
        <v>212192</v>
      </c>
      <c r="AI16" s="15">
        <f t="shared" si="3"/>
        <v>5512</v>
      </c>
      <c r="AJ16" s="15">
        <f t="shared" si="4"/>
        <v>206680</v>
      </c>
      <c r="AK16" s="15">
        <v>3800</v>
      </c>
      <c r="AL16" s="15">
        <f t="shared" si="5"/>
        <v>120</v>
      </c>
      <c r="AM16" s="15">
        <f t="shared" si="6"/>
        <v>0</v>
      </c>
      <c r="AN16" s="15">
        <f t="shared" si="7"/>
        <v>4615</v>
      </c>
      <c r="AO16" s="15">
        <f t="shared" si="8"/>
        <v>1608</v>
      </c>
      <c r="AP16" s="15">
        <v>1558</v>
      </c>
      <c r="AQ16" s="18">
        <f t="shared" si="9"/>
        <v>0.6</v>
      </c>
      <c r="AR16" s="18">
        <f t="shared" si="10"/>
        <v>0</v>
      </c>
      <c r="AS16" s="19">
        <f t="shared" si="11"/>
        <v>22.3</v>
      </c>
      <c r="AT16" s="18">
        <f t="shared" si="12"/>
        <v>7.78</v>
      </c>
    </row>
    <row r="17" spans="1:46" ht="26.4">
      <c r="A17" s="6">
        <v>43723</v>
      </c>
      <c r="B17" s="5" t="s">
        <v>408</v>
      </c>
      <c r="C17" s="4">
        <v>23730529</v>
      </c>
      <c r="D17" s="4">
        <v>8731815</v>
      </c>
      <c r="E17" s="4">
        <v>4628699</v>
      </c>
      <c r="F17" s="4">
        <v>4589234</v>
      </c>
      <c r="G17" s="4">
        <v>253644599</v>
      </c>
      <c r="H17" s="4">
        <v>105276012</v>
      </c>
      <c r="I17" s="4">
        <v>253643255</v>
      </c>
      <c r="J17" s="4">
        <v>105276032</v>
      </c>
      <c r="K17" s="4"/>
      <c r="L17" s="5">
        <v>4296.8</v>
      </c>
      <c r="M17" s="5">
        <v>4035.6</v>
      </c>
      <c r="N17" s="5">
        <v>73184.7</v>
      </c>
      <c r="O17" s="5"/>
      <c r="P17" s="5"/>
      <c r="Q17" s="9">
        <v>28.4</v>
      </c>
      <c r="R17" s="4" t="s">
        <v>409</v>
      </c>
      <c r="S17" s="4">
        <v>560</v>
      </c>
      <c r="T17" s="4">
        <v>580</v>
      </c>
      <c r="U17" s="4">
        <v>9302</v>
      </c>
      <c r="V17" s="4">
        <v>8562</v>
      </c>
      <c r="W17" s="5">
        <v>4.67</v>
      </c>
      <c r="X17" s="5">
        <v>3.12</v>
      </c>
      <c r="Y17" s="4">
        <v>1373</v>
      </c>
      <c r="Z17" s="4" t="s">
        <v>412</v>
      </c>
      <c r="AA17" s="11">
        <f t="shared" ref="AA17:AF17" si="26">IF(OR(C18=""),"",C18-C17)</f>
        <v>55498</v>
      </c>
      <c r="AB17" s="11">
        <f t="shared" si="26"/>
        <v>63629</v>
      </c>
      <c r="AC17" s="11">
        <f t="shared" si="26"/>
        <v>61276</v>
      </c>
      <c r="AD17" s="11">
        <f t="shared" si="26"/>
        <v>59715</v>
      </c>
      <c r="AE17" s="11">
        <f t="shared" si="26"/>
        <v>209601</v>
      </c>
      <c r="AF17" s="11">
        <f t="shared" si="26"/>
        <v>5493</v>
      </c>
      <c r="AG17" s="11">
        <f t="shared" si="1"/>
        <v>30517</v>
      </c>
      <c r="AH17" s="11">
        <f t="shared" si="2"/>
        <v>212637</v>
      </c>
      <c r="AI17" s="15">
        <f t="shared" si="3"/>
        <v>5520</v>
      </c>
      <c r="AJ17" s="15">
        <f t="shared" si="4"/>
        <v>207117</v>
      </c>
      <c r="AK17" s="15">
        <v>3800</v>
      </c>
      <c r="AL17" s="15">
        <f t="shared" si="5"/>
        <v>0</v>
      </c>
      <c r="AM17" s="15">
        <f t="shared" si="6"/>
        <v>0</v>
      </c>
      <c r="AN17" s="15">
        <f t="shared" si="7"/>
        <v>3976</v>
      </c>
      <c r="AO17" s="15">
        <f t="shared" si="8"/>
        <v>1392</v>
      </c>
      <c r="AP17" s="15">
        <v>1621</v>
      </c>
      <c r="AQ17" s="18">
        <f t="shared" si="9"/>
        <v>0</v>
      </c>
      <c r="AR17" s="18">
        <f t="shared" si="10"/>
        <v>0</v>
      </c>
      <c r="AS17" s="19">
        <f t="shared" si="11"/>
        <v>19.2</v>
      </c>
      <c r="AT17" s="18">
        <f t="shared" si="12"/>
        <v>6.72</v>
      </c>
    </row>
    <row r="18" spans="1:46" ht="26.4">
      <c r="A18" s="6">
        <v>43724</v>
      </c>
      <c r="B18" s="5" t="s">
        <v>410</v>
      </c>
      <c r="C18" s="4">
        <v>23786027</v>
      </c>
      <c r="D18" s="4">
        <v>8795444</v>
      </c>
      <c r="E18" s="4">
        <v>4689975</v>
      </c>
      <c r="F18" s="4">
        <v>4648949</v>
      </c>
      <c r="G18" s="4">
        <v>253854200</v>
      </c>
      <c r="H18" s="4">
        <v>105281505</v>
      </c>
      <c r="I18" s="4">
        <v>253855892</v>
      </c>
      <c r="J18" s="4">
        <v>105281552</v>
      </c>
      <c r="K18" s="4"/>
      <c r="L18" s="5">
        <v>4296.8</v>
      </c>
      <c r="M18" s="5">
        <v>4035.6</v>
      </c>
      <c r="N18" s="5">
        <v>73184.800000000003</v>
      </c>
      <c r="O18" s="5"/>
      <c r="P18" s="5"/>
      <c r="Q18" s="9">
        <v>28.5</v>
      </c>
      <c r="R18" s="4" t="s">
        <v>411</v>
      </c>
      <c r="S18" s="4">
        <v>540</v>
      </c>
      <c r="T18" s="4">
        <v>550</v>
      </c>
      <c r="U18" s="4">
        <v>10213</v>
      </c>
      <c r="V18" s="4">
        <v>8521</v>
      </c>
      <c r="W18" s="5">
        <v>4.91</v>
      </c>
      <c r="X18" s="5">
        <v>2.88</v>
      </c>
      <c r="Y18" s="4">
        <v>1283</v>
      </c>
      <c r="Z18" s="4" t="s">
        <v>415</v>
      </c>
      <c r="AA18" s="11">
        <f t="shared" ref="AA18:AF18" si="27">IF(OR(C19=""),"",C19-C18)</f>
        <v>53889</v>
      </c>
      <c r="AB18" s="11">
        <f t="shared" si="27"/>
        <v>61475</v>
      </c>
      <c r="AC18" s="11">
        <f t="shared" si="27"/>
        <v>63715</v>
      </c>
      <c r="AD18" s="11">
        <f t="shared" si="27"/>
        <v>63186</v>
      </c>
      <c r="AE18" s="11">
        <f t="shared" si="27"/>
        <v>213628</v>
      </c>
      <c r="AF18" s="11">
        <f t="shared" si="27"/>
        <v>5550</v>
      </c>
      <c r="AG18" s="11">
        <f t="shared" si="1"/>
        <v>28637</v>
      </c>
      <c r="AH18" s="11">
        <f t="shared" si="2"/>
        <v>212589</v>
      </c>
      <c r="AI18" s="15">
        <f t="shared" si="3"/>
        <v>5520</v>
      </c>
      <c r="AJ18" s="15">
        <f t="shared" si="4"/>
        <v>207069</v>
      </c>
      <c r="AK18" s="15">
        <v>3700</v>
      </c>
      <c r="AL18" s="15">
        <f t="shared" si="5"/>
        <v>120</v>
      </c>
      <c r="AM18" s="15">
        <f t="shared" si="6"/>
        <v>0</v>
      </c>
      <c r="AN18" s="15">
        <f t="shared" si="7"/>
        <v>3834</v>
      </c>
      <c r="AO18" s="15">
        <f t="shared" si="8"/>
        <v>1320</v>
      </c>
      <c r="AP18" s="15">
        <v>1828</v>
      </c>
      <c r="AQ18" s="18">
        <f t="shared" si="9"/>
        <v>0.6</v>
      </c>
      <c r="AR18" s="18">
        <f t="shared" si="10"/>
        <v>0</v>
      </c>
      <c r="AS18" s="19">
        <f t="shared" si="11"/>
        <v>18.5</v>
      </c>
      <c r="AT18" s="18">
        <f t="shared" si="12"/>
        <v>6.37</v>
      </c>
    </row>
    <row r="19" spans="1:46" ht="26.4">
      <c r="A19" s="6">
        <v>43725</v>
      </c>
      <c r="B19" s="5" t="s">
        <v>413</v>
      </c>
      <c r="C19" s="4">
        <v>23839916</v>
      </c>
      <c r="D19" s="4">
        <v>8856919</v>
      </c>
      <c r="E19" s="4">
        <v>4753690</v>
      </c>
      <c r="F19" s="4">
        <v>4712135</v>
      </c>
      <c r="G19" s="4">
        <v>254067828</v>
      </c>
      <c r="H19" s="4">
        <v>105287055</v>
      </c>
      <c r="I19" s="4">
        <v>254068481</v>
      </c>
      <c r="J19" s="4">
        <v>105287072</v>
      </c>
      <c r="K19" s="4"/>
      <c r="L19" s="5">
        <v>4296.8999999999996</v>
      </c>
      <c r="M19" s="5">
        <v>4035.6</v>
      </c>
      <c r="N19" s="5">
        <v>73184.800000000003</v>
      </c>
      <c r="O19" s="5"/>
      <c r="P19" s="5"/>
      <c r="Q19" s="9">
        <v>28.4</v>
      </c>
      <c r="R19" s="4" t="s">
        <v>414</v>
      </c>
      <c r="S19" s="4">
        <v>700</v>
      </c>
      <c r="T19" s="4">
        <v>720</v>
      </c>
      <c r="U19" s="4">
        <v>10310</v>
      </c>
      <c r="V19" s="4">
        <v>7612</v>
      </c>
      <c r="W19" s="5">
        <v>4.91</v>
      </c>
      <c r="X19" s="5">
        <v>2.89</v>
      </c>
      <c r="Y19" s="4">
        <v>1195</v>
      </c>
      <c r="Z19" s="4" t="s">
        <v>418</v>
      </c>
      <c r="AA19" s="11">
        <f t="shared" ref="AA19:AF19" si="28">IF(OR(C20=""),"",C20-C19)</f>
        <v>55041</v>
      </c>
      <c r="AB19" s="11">
        <f t="shared" si="28"/>
        <v>57240</v>
      </c>
      <c r="AC19" s="11">
        <f t="shared" si="28"/>
        <v>62583</v>
      </c>
      <c r="AD19" s="11">
        <f t="shared" si="28"/>
        <v>62642</v>
      </c>
      <c r="AE19" s="11">
        <f t="shared" si="28"/>
        <v>215715</v>
      </c>
      <c r="AF19" s="11">
        <f t="shared" si="28"/>
        <v>5545</v>
      </c>
      <c r="AG19" s="11">
        <f t="shared" si="1"/>
        <v>21791</v>
      </c>
      <c r="AH19" s="11">
        <f t="shared" si="2"/>
        <v>214815</v>
      </c>
      <c r="AI19" s="15">
        <f t="shared" si="3"/>
        <v>5520</v>
      </c>
      <c r="AJ19" s="15">
        <f t="shared" si="4"/>
        <v>209295</v>
      </c>
      <c r="AK19" s="15">
        <v>4000</v>
      </c>
      <c r="AL19" s="15">
        <f t="shared" si="5"/>
        <v>120</v>
      </c>
      <c r="AM19" s="15">
        <f t="shared" si="6"/>
        <v>0</v>
      </c>
      <c r="AN19" s="15">
        <f t="shared" si="7"/>
        <v>4970</v>
      </c>
      <c r="AO19" s="15">
        <f t="shared" si="8"/>
        <v>1728</v>
      </c>
      <c r="AP19" s="15">
        <v>1785</v>
      </c>
      <c r="AQ19" s="18">
        <f t="shared" si="9"/>
        <v>0.6</v>
      </c>
      <c r="AR19" s="18">
        <f t="shared" si="10"/>
        <v>0</v>
      </c>
      <c r="AS19" s="19">
        <f t="shared" si="11"/>
        <v>23.7</v>
      </c>
      <c r="AT19" s="18">
        <f t="shared" si="12"/>
        <v>8.26</v>
      </c>
    </row>
    <row r="20" spans="1:46" ht="26.4">
      <c r="A20" s="6">
        <v>43726</v>
      </c>
      <c r="B20" s="5" t="s">
        <v>416</v>
      </c>
      <c r="C20" s="4">
        <v>23894957</v>
      </c>
      <c r="D20" s="4">
        <v>8914159</v>
      </c>
      <c r="E20" s="4">
        <v>4816273</v>
      </c>
      <c r="F20" s="4">
        <v>4774777</v>
      </c>
      <c r="G20" s="4">
        <v>254283543</v>
      </c>
      <c r="H20" s="4">
        <v>105292600</v>
      </c>
      <c r="I20" s="4">
        <v>254283296</v>
      </c>
      <c r="J20" s="4">
        <v>105292592</v>
      </c>
      <c r="K20" s="4"/>
      <c r="L20" s="5">
        <v>4297</v>
      </c>
      <c r="M20" s="5">
        <v>4035.6</v>
      </c>
      <c r="N20" s="5">
        <v>73184.899999999994</v>
      </c>
      <c r="O20" s="5"/>
      <c r="P20" s="5"/>
      <c r="Q20" s="9">
        <v>28.6</v>
      </c>
      <c r="R20" s="4" t="s">
        <v>417</v>
      </c>
      <c r="S20" s="4">
        <v>280</v>
      </c>
      <c r="T20" s="4">
        <v>290</v>
      </c>
      <c r="U20" s="4">
        <v>10352</v>
      </c>
      <c r="V20" s="4">
        <v>7215</v>
      </c>
      <c r="W20" s="5">
        <v>4.4800000000000004</v>
      </c>
      <c r="X20" s="5">
        <v>2.58</v>
      </c>
      <c r="Y20" s="4">
        <v>1119</v>
      </c>
      <c r="Z20" s="4" t="s">
        <v>419</v>
      </c>
      <c r="AA20" s="11">
        <f t="shared" ref="AA20:AF20" si="29">IF(OR(C21=""),"",C21-C20)</f>
        <v>56407</v>
      </c>
      <c r="AB20" s="11">
        <f t="shared" si="29"/>
        <v>59138</v>
      </c>
      <c r="AC20" s="11">
        <f t="shared" si="29"/>
        <v>63173</v>
      </c>
      <c r="AD20" s="11">
        <f t="shared" si="29"/>
        <v>63916</v>
      </c>
      <c r="AE20" s="11">
        <f t="shared" si="29"/>
        <v>212249</v>
      </c>
      <c r="AF20" s="11">
        <f t="shared" si="29"/>
        <v>5421</v>
      </c>
      <c r="AG20" s="11">
        <f t="shared" si="1"/>
        <v>30385</v>
      </c>
      <c r="AH20" s="11">
        <f t="shared" si="2"/>
        <v>213903</v>
      </c>
      <c r="AI20" s="15">
        <f t="shared" si="3"/>
        <v>5528</v>
      </c>
      <c r="AJ20" s="15">
        <f t="shared" si="4"/>
        <v>208375</v>
      </c>
      <c r="AK20" s="15">
        <v>3800</v>
      </c>
      <c r="AL20" s="15">
        <f t="shared" si="5"/>
        <v>120</v>
      </c>
      <c r="AM20" s="15">
        <f t="shared" si="6"/>
        <v>0</v>
      </c>
      <c r="AN20" s="15">
        <f t="shared" si="7"/>
        <v>1988</v>
      </c>
      <c r="AO20" s="15">
        <f t="shared" si="8"/>
        <v>696</v>
      </c>
      <c r="AP20" s="15">
        <v>1348</v>
      </c>
      <c r="AQ20" s="18">
        <f t="shared" si="9"/>
        <v>0.6</v>
      </c>
      <c r="AR20" s="18">
        <f t="shared" si="10"/>
        <v>0</v>
      </c>
      <c r="AS20" s="19">
        <f t="shared" si="11"/>
        <v>9.5</v>
      </c>
      <c r="AT20" s="18">
        <f t="shared" si="12"/>
        <v>3.34</v>
      </c>
    </row>
    <row r="21" spans="1:46">
      <c r="A21" s="6">
        <v>43727</v>
      </c>
      <c r="B21" s="5" t="s">
        <v>47</v>
      </c>
      <c r="C21" s="4">
        <v>23951364</v>
      </c>
      <c r="D21" s="4">
        <v>8973297</v>
      </c>
      <c r="E21" s="4">
        <v>4879446</v>
      </c>
      <c r="F21" s="4">
        <v>4838693</v>
      </c>
      <c r="G21" s="4">
        <v>254495792</v>
      </c>
      <c r="H21" s="4">
        <v>105298021</v>
      </c>
      <c r="I21" s="4">
        <v>254497199</v>
      </c>
      <c r="J21" s="4">
        <v>105298120</v>
      </c>
      <c r="K21" s="4"/>
      <c r="L21" s="5">
        <v>4297.1000000000004</v>
      </c>
      <c r="M21" s="5">
        <v>4035.6</v>
      </c>
      <c r="N21" s="5">
        <v>73184.899999999994</v>
      </c>
      <c r="O21" s="5"/>
      <c r="P21" s="5"/>
      <c r="Q21" s="9">
        <v>29.8</v>
      </c>
      <c r="R21" s="4" t="s">
        <v>44</v>
      </c>
      <c r="S21" s="4">
        <v>100</v>
      </c>
      <c r="T21" s="4">
        <v>110</v>
      </c>
      <c r="U21" s="4">
        <v>9420</v>
      </c>
      <c r="V21" s="4">
        <v>7727</v>
      </c>
      <c r="W21" s="5">
        <v>5.8</v>
      </c>
      <c r="X21" s="5">
        <v>2.84</v>
      </c>
      <c r="Y21" s="4">
        <v>1377</v>
      </c>
      <c r="Z21" s="4" t="s">
        <v>421</v>
      </c>
      <c r="AA21" s="11">
        <f t="shared" ref="AA21:AF21" si="30">IF(OR(C22=""),"",C22-C21)</f>
        <v>48703</v>
      </c>
      <c r="AB21" s="11">
        <f t="shared" si="30"/>
        <v>53657</v>
      </c>
      <c r="AC21" s="11">
        <f t="shared" si="30"/>
        <v>51929</v>
      </c>
      <c r="AD21" s="11">
        <f t="shared" si="30"/>
        <v>51278</v>
      </c>
      <c r="AE21" s="11">
        <f t="shared" si="30"/>
        <v>143409</v>
      </c>
      <c r="AF21" s="11">
        <f t="shared" si="30"/>
        <v>1411</v>
      </c>
      <c r="AG21" s="11">
        <f t="shared" si="1"/>
        <v>62158</v>
      </c>
      <c r="AH21" s="11">
        <f t="shared" si="2"/>
        <v>141319</v>
      </c>
      <c r="AI21" s="15">
        <f t="shared" si="3"/>
        <v>1312</v>
      </c>
      <c r="AJ21" s="15">
        <f t="shared" si="4"/>
        <v>140007</v>
      </c>
      <c r="AK21" s="15">
        <v>3500</v>
      </c>
      <c r="AL21" s="15">
        <f t="shared" si="5"/>
        <v>1680</v>
      </c>
      <c r="AM21" s="15">
        <f t="shared" si="6"/>
        <v>8</v>
      </c>
      <c r="AN21" s="15">
        <f t="shared" si="7"/>
        <v>710</v>
      </c>
      <c r="AO21" s="15">
        <f t="shared" si="8"/>
        <v>264</v>
      </c>
      <c r="AP21" s="15">
        <v>700</v>
      </c>
      <c r="AQ21" s="18">
        <f t="shared" si="9"/>
        <v>12</v>
      </c>
      <c r="AR21" s="18">
        <f t="shared" si="10"/>
        <v>0.06</v>
      </c>
      <c r="AS21" s="19">
        <f t="shared" si="11"/>
        <v>5.0999999999999996</v>
      </c>
      <c r="AT21" s="18">
        <f t="shared" si="12"/>
        <v>1.89</v>
      </c>
    </row>
    <row r="22" spans="1:46" ht="26.4">
      <c r="A22" s="6">
        <v>43728</v>
      </c>
      <c r="B22" s="5" t="s">
        <v>420</v>
      </c>
      <c r="C22" s="4">
        <v>24000067</v>
      </c>
      <c r="D22" s="4">
        <v>9026954</v>
      </c>
      <c r="E22" s="4">
        <v>4931375</v>
      </c>
      <c r="F22" s="4">
        <v>4889971</v>
      </c>
      <c r="G22" s="4">
        <v>254639201</v>
      </c>
      <c r="H22" s="4">
        <v>105299432</v>
      </c>
      <c r="I22" s="4">
        <v>254638518</v>
      </c>
      <c r="J22" s="4">
        <v>105299432</v>
      </c>
      <c r="K22" s="4"/>
      <c r="L22" s="5">
        <v>4297.1000000000004</v>
      </c>
      <c r="M22" s="5">
        <v>4037</v>
      </c>
      <c r="N22" s="5">
        <v>73188.7</v>
      </c>
      <c r="O22" s="5"/>
      <c r="P22" s="5"/>
      <c r="Q22" s="9">
        <v>28.8</v>
      </c>
      <c r="R22" s="4" t="s">
        <v>44</v>
      </c>
      <c r="S22" s="4">
        <v>30</v>
      </c>
      <c r="T22" s="4">
        <v>50</v>
      </c>
      <c r="U22" s="4">
        <v>10456</v>
      </c>
      <c r="V22" s="4">
        <v>9412</v>
      </c>
      <c r="W22" s="5">
        <v>5.04</v>
      </c>
      <c r="X22" s="5">
        <v>2.84</v>
      </c>
      <c r="Y22" s="4">
        <v>1354</v>
      </c>
      <c r="Z22" s="4" t="s">
        <v>425</v>
      </c>
      <c r="AA22" s="11">
        <f t="shared" ref="AA22:AF22" si="31">IF(OR(C23=""),"",C23-C22)</f>
        <v>63468</v>
      </c>
      <c r="AB22" s="11">
        <f t="shared" si="31"/>
        <v>73137</v>
      </c>
      <c r="AC22" s="11">
        <f t="shared" si="31"/>
        <v>57818</v>
      </c>
      <c r="AD22" s="11">
        <f t="shared" si="31"/>
        <v>55603</v>
      </c>
      <c r="AE22" s="11">
        <f t="shared" si="31"/>
        <v>206794</v>
      </c>
      <c r="AF22" s="11">
        <f t="shared" si="31"/>
        <v>42</v>
      </c>
      <c r="AG22" s="11">
        <f t="shared" si="1"/>
        <v>43232</v>
      </c>
      <c r="AH22" s="11">
        <f t="shared" si="2"/>
        <v>207324</v>
      </c>
      <c r="AI22" s="15">
        <f t="shared" si="3"/>
        <v>40</v>
      </c>
      <c r="AJ22" s="15">
        <f t="shared" si="4"/>
        <v>207284</v>
      </c>
      <c r="AK22" s="15">
        <v>5000</v>
      </c>
      <c r="AL22" s="15">
        <f t="shared" si="5"/>
        <v>10080</v>
      </c>
      <c r="AM22" s="15">
        <f t="shared" si="6"/>
        <v>28</v>
      </c>
      <c r="AN22" s="15">
        <f t="shared" si="7"/>
        <v>213</v>
      </c>
      <c r="AO22" s="15">
        <f t="shared" si="8"/>
        <v>120</v>
      </c>
      <c r="AP22" s="15">
        <v>1568</v>
      </c>
      <c r="AQ22" s="18">
        <f t="shared" si="9"/>
        <v>48.6</v>
      </c>
      <c r="AR22" s="18">
        <f t="shared" si="10"/>
        <v>0.14000000000000001</v>
      </c>
      <c r="AS22" s="19">
        <f t="shared" si="11"/>
        <v>1</v>
      </c>
      <c r="AT22" s="18">
        <f t="shared" si="12"/>
        <v>0.57999999999999996</v>
      </c>
    </row>
    <row r="23" spans="1:46" ht="26.4">
      <c r="A23" s="6">
        <v>43729</v>
      </c>
      <c r="B23" s="5" t="s">
        <v>422</v>
      </c>
      <c r="C23" s="4">
        <v>24063535</v>
      </c>
      <c r="D23" s="4">
        <v>9100091</v>
      </c>
      <c r="E23" s="4">
        <v>4989193</v>
      </c>
      <c r="F23" s="4">
        <v>4945574</v>
      </c>
      <c r="G23" s="4">
        <v>254845995</v>
      </c>
      <c r="H23" s="4">
        <v>105299474</v>
      </c>
      <c r="I23" s="4">
        <v>254845842</v>
      </c>
      <c r="J23" s="4">
        <v>105299472</v>
      </c>
      <c r="K23" s="4"/>
      <c r="L23" s="5">
        <v>4297.2</v>
      </c>
      <c r="M23" s="5">
        <v>4045.3</v>
      </c>
      <c r="N23" s="5">
        <v>73202.8</v>
      </c>
      <c r="O23" s="5"/>
      <c r="P23" s="5"/>
      <c r="Q23" s="9">
        <v>28.6</v>
      </c>
      <c r="R23" s="4" t="s">
        <v>44</v>
      </c>
      <c r="S23" s="4">
        <v>420</v>
      </c>
      <c r="T23" s="4">
        <v>440</v>
      </c>
      <c r="U23" s="4">
        <v>10492</v>
      </c>
      <c r="V23" s="4">
        <v>5685</v>
      </c>
      <c r="W23" s="5">
        <v>7.32</v>
      </c>
      <c r="X23" s="5">
        <v>2.2599999999999998</v>
      </c>
      <c r="Y23" s="4">
        <v>1021</v>
      </c>
      <c r="Z23" s="4" t="s">
        <v>424</v>
      </c>
      <c r="AA23" s="11">
        <f t="shared" ref="AA23:AF23" si="32">IF(OR(C24=""),"",C24-C23)</f>
        <v>61167</v>
      </c>
      <c r="AB23" s="11">
        <f t="shared" si="32"/>
        <v>70811</v>
      </c>
      <c r="AC23" s="11">
        <f t="shared" si="32"/>
        <v>52741</v>
      </c>
      <c r="AD23" s="11">
        <f t="shared" si="32"/>
        <v>50525</v>
      </c>
      <c r="AE23" s="11">
        <f t="shared" si="32"/>
        <v>214972</v>
      </c>
      <c r="AF23" s="11">
        <f t="shared" si="32"/>
        <v>3895</v>
      </c>
      <c r="AG23" s="11">
        <f t="shared" si="1"/>
        <v>20272</v>
      </c>
      <c r="AH23" s="11">
        <f t="shared" si="2"/>
        <v>214564</v>
      </c>
      <c r="AI23" s="15">
        <f t="shared" si="3"/>
        <v>3880</v>
      </c>
      <c r="AJ23" s="15">
        <f t="shared" si="4"/>
        <v>210684</v>
      </c>
      <c r="AK23" s="15">
        <v>3900</v>
      </c>
      <c r="AL23" s="15">
        <f t="shared" si="5"/>
        <v>120</v>
      </c>
      <c r="AM23" s="15">
        <f t="shared" si="6"/>
        <v>0</v>
      </c>
      <c r="AN23" s="15">
        <f t="shared" si="7"/>
        <v>2982</v>
      </c>
      <c r="AO23" s="15">
        <f t="shared" si="8"/>
        <v>1056</v>
      </c>
      <c r="AP23" s="15">
        <v>1811</v>
      </c>
      <c r="AQ23" s="18">
        <f t="shared" si="9"/>
        <v>0.6</v>
      </c>
      <c r="AR23" s="18">
        <f t="shared" si="10"/>
        <v>0</v>
      </c>
      <c r="AS23" s="19">
        <f t="shared" si="11"/>
        <v>14.2</v>
      </c>
      <c r="AT23" s="18">
        <f t="shared" si="12"/>
        <v>5.01</v>
      </c>
    </row>
    <row r="24" spans="1:46" ht="26.4">
      <c r="A24" s="6">
        <v>43730</v>
      </c>
      <c r="B24" s="5" t="s">
        <v>423</v>
      </c>
      <c r="C24" s="4">
        <v>24124702</v>
      </c>
      <c r="D24" s="4">
        <v>9170902</v>
      </c>
      <c r="E24" s="4">
        <v>5041934</v>
      </c>
      <c r="F24" s="4">
        <v>4996099</v>
      </c>
      <c r="G24" s="4">
        <v>255060967</v>
      </c>
      <c r="H24" s="4">
        <v>105303369</v>
      </c>
      <c r="I24" s="4">
        <v>255060406</v>
      </c>
      <c r="J24" s="4">
        <v>105303352</v>
      </c>
      <c r="K24" s="4"/>
      <c r="L24" s="5">
        <v>4297.3</v>
      </c>
      <c r="M24" s="5">
        <v>4045.3</v>
      </c>
      <c r="N24" s="5">
        <v>73202.899999999994</v>
      </c>
      <c r="O24" s="5"/>
      <c r="P24" s="5"/>
      <c r="Q24" s="9">
        <v>28.7</v>
      </c>
      <c r="R24" s="4" t="s">
        <v>44</v>
      </c>
      <c r="S24" s="4">
        <v>550</v>
      </c>
      <c r="T24" s="4">
        <v>560</v>
      </c>
      <c r="U24" s="4">
        <v>10261</v>
      </c>
      <c r="V24" s="4">
        <v>6251</v>
      </c>
      <c r="W24" s="5">
        <v>4.3600000000000003</v>
      </c>
      <c r="X24" s="5">
        <v>2.54</v>
      </c>
      <c r="Y24" s="4">
        <v>1142</v>
      </c>
      <c r="Z24" s="4" t="s">
        <v>428</v>
      </c>
      <c r="AA24" s="11">
        <f t="shared" ref="AA24:AF24" si="33">IF(OR(C25=""),"",C25-C24)</f>
        <v>53657</v>
      </c>
      <c r="AB24" s="11">
        <f t="shared" si="33"/>
        <v>56662</v>
      </c>
      <c r="AC24" s="11">
        <f t="shared" si="33"/>
        <v>60058</v>
      </c>
      <c r="AD24" s="11">
        <f t="shared" si="33"/>
        <v>60406</v>
      </c>
      <c r="AE24" s="11">
        <f t="shared" si="33"/>
        <v>209259</v>
      </c>
      <c r="AF24" s="11">
        <f t="shared" si="33"/>
        <v>5521</v>
      </c>
      <c r="AG24" s="11">
        <f t="shared" si="1"/>
        <v>21524</v>
      </c>
      <c r="AH24" s="11">
        <f t="shared" si="2"/>
        <v>209774</v>
      </c>
      <c r="AI24" s="15">
        <f t="shared" si="3"/>
        <v>5536</v>
      </c>
      <c r="AJ24" s="15">
        <f t="shared" si="4"/>
        <v>204238</v>
      </c>
      <c r="AK24" s="15">
        <v>3800</v>
      </c>
      <c r="AL24" s="15">
        <f t="shared" si="5"/>
        <v>360</v>
      </c>
      <c r="AM24" s="15">
        <f t="shared" si="6"/>
        <v>2</v>
      </c>
      <c r="AN24" s="15">
        <f t="shared" si="7"/>
        <v>3905</v>
      </c>
      <c r="AO24" s="15">
        <f t="shared" si="8"/>
        <v>1344</v>
      </c>
      <c r="AP24" s="15">
        <v>1993</v>
      </c>
      <c r="AQ24" s="18">
        <f t="shared" si="9"/>
        <v>1.8</v>
      </c>
      <c r="AR24" s="18">
        <f t="shared" si="10"/>
        <v>0.01</v>
      </c>
      <c r="AS24" s="19">
        <f t="shared" si="11"/>
        <v>19.100000000000001</v>
      </c>
      <c r="AT24" s="18">
        <f t="shared" si="12"/>
        <v>6.58</v>
      </c>
    </row>
    <row r="25" spans="1:46" ht="66">
      <c r="A25" s="6">
        <v>43731</v>
      </c>
      <c r="B25" s="5" t="s">
        <v>426</v>
      </c>
      <c r="C25" s="4">
        <v>24178359</v>
      </c>
      <c r="D25" s="4">
        <v>9227564</v>
      </c>
      <c r="E25" s="4">
        <v>5101992</v>
      </c>
      <c r="F25" s="4">
        <v>5056505</v>
      </c>
      <c r="G25" s="4">
        <v>255270226</v>
      </c>
      <c r="H25" s="4">
        <v>105308890</v>
      </c>
      <c r="I25" s="4">
        <v>255270180</v>
      </c>
      <c r="J25" s="4">
        <v>105308888</v>
      </c>
      <c r="K25" s="4"/>
      <c r="L25" s="5">
        <v>4297.3</v>
      </c>
      <c r="M25" s="5">
        <v>4045.6</v>
      </c>
      <c r="N25" s="5">
        <v>73203.8</v>
      </c>
      <c r="O25" s="5"/>
      <c r="P25" s="5"/>
      <c r="Q25" s="9">
        <v>28.7</v>
      </c>
      <c r="R25" s="4" t="s">
        <v>427</v>
      </c>
      <c r="S25" s="4">
        <v>390</v>
      </c>
      <c r="T25" s="4">
        <v>410</v>
      </c>
      <c r="U25" s="4">
        <v>10296</v>
      </c>
      <c r="V25" s="4">
        <v>6352</v>
      </c>
      <c r="W25" s="5">
        <v>7.02</v>
      </c>
      <c r="X25" s="5">
        <v>2.33</v>
      </c>
      <c r="Y25" s="4">
        <v>889</v>
      </c>
      <c r="Z25" s="4" t="s">
        <v>431</v>
      </c>
      <c r="AA25" s="11">
        <f t="shared" ref="AA25:AF25" si="34">IF(OR(C26=""),"",C26-C25)</f>
        <v>53322</v>
      </c>
      <c r="AB25" s="11">
        <f t="shared" si="34"/>
        <v>56414</v>
      </c>
      <c r="AC25" s="11">
        <f t="shared" si="34"/>
        <v>59586</v>
      </c>
      <c r="AD25" s="11">
        <f t="shared" si="34"/>
        <v>59257</v>
      </c>
      <c r="AE25" s="11">
        <f t="shared" si="34"/>
        <v>193494</v>
      </c>
      <c r="AF25" s="11">
        <f t="shared" si="34"/>
        <v>5535</v>
      </c>
      <c r="AG25" s="11">
        <f t="shared" si="1"/>
        <v>35085</v>
      </c>
      <c r="AH25" s="11">
        <f t="shared" si="2"/>
        <v>193217</v>
      </c>
      <c r="AI25" s="15">
        <f t="shared" si="3"/>
        <v>5528</v>
      </c>
      <c r="AJ25" s="15">
        <f t="shared" si="4"/>
        <v>187689</v>
      </c>
      <c r="AK25" s="15">
        <v>4600</v>
      </c>
      <c r="AL25" s="15">
        <f t="shared" si="5"/>
        <v>1560</v>
      </c>
      <c r="AM25" s="15">
        <f t="shared" si="6"/>
        <v>6</v>
      </c>
      <c r="AN25" s="15">
        <f t="shared" si="7"/>
        <v>2769</v>
      </c>
      <c r="AO25" s="15">
        <f t="shared" si="8"/>
        <v>984</v>
      </c>
      <c r="AP25" s="15">
        <v>1865</v>
      </c>
      <c r="AQ25" s="18">
        <f t="shared" si="9"/>
        <v>8.3000000000000007</v>
      </c>
      <c r="AR25" s="18">
        <f t="shared" si="10"/>
        <v>0.03</v>
      </c>
      <c r="AS25" s="19">
        <f t="shared" si="11"/>
        <v>14.8</v>
      </c>
      <c r="AT25" s="18">
        <f t="shared" si="12"/>
        <v>5.24</v>
      </c>
    </row>
    <row r="26" spans="1:46">
      <c r="A26" s="6">
        <v>43732</v>
      </c>
      <c r="B26" s="5" t="s">
        <v>429</v>
      </c>
      <c r="C26" s="4">
        <v>24231681</v>
      </c>
      <c r="D26" s="4">
        <v>9283978</v>
      </c>
      <c r="E26" s="4">
        <v>5161578</v>
      </c>
      <c r="F26" s="4">
        <v>5115762</v>
      </c>
      <c r="G26" s="4">
        <v>255463720</v>
      </c>
      <c r="H26" s="4">
        <v>105314425</v>
      </c>
      <c r="I26" s="4">
        <v>255463397</v>
      </c>
      <c r="J26" s="4">
        <v>105314416</v>
      </c>
      <c r="K26" s="4"/>
      <c r="L26" s="5">
        <v>4297.3999999999996</v>
      </c>
      <c r="M26" s="5">
        <v>4046.8</v>
      </c>
      <c r="N26" s="5">
        <v>73206.8</v>
      </c>
      <c r="O26" s="5"/>
      <c r="P26" s="5"/>
      <c r="Q26" s="9">
        <v>28.8</v>
      </c>
      <c r="R26" s="4" t="s">
        <v>430</v>
      </c>
      <c r="S26" s="4">
        <v>230</v>
      </c>
      <c r="T26" s="4">
        <v>250</v>
      </c>
      <c r="U26" s="4">
        <v>10276</v>
      </c>
      <c r="V26" s="4">
        <v>7814</v>
      </c>
      <c r="W26" s="5">
        <v>5.28</v>
      </c>
      <c r="X26" s="5">
        <v>2.4700000000000002</v>
      </c>
      <c r="Y26" s="4">
        <v>594</v>
      </c>
      <c r="Z26" s="4"/>
      <c r="AA26" s="11">
        <f t="shared" ref="AA26:AF26" si="35">IF(OR(C27=""),"",C27-C26)</f>
        <v>52722</v>
      </c>
      <c r="AB26" s="11">
        <f t="shared" si="35"/>
        <v>58487</v>
      </c>
      <c r="AC26" s="11">
        <f t="shared" si="35"/>
        <v>60805</v>
      </c>
      <c r="AD26" s="11">
        <f t="shared" si="35"/>
        <v>60099</v>
      </c>
      <c r="AE26" s="11">
        <f t="shared" si="35"/>
        <v>196716</v>
      </c>
      <c r="AF26" s="11">
        <f t="shared" si="35"/>
        <v>1631</v>
      </c>
      <c r="AG26" s="11">
        <f t="shared" si="1"/>
        <v>35397</v>
      </c>
      <c r="AH26" s="11">
        <f t="shared" si="2"/>
        <v>198041</v>
      </c>
      <c r="AI26" s="15">
        <f t="shared" si="3"/>
        <v>1640</v>
      </c>
      <c r="AJ26" s="15">
        <f t="shared" si="4"/>
        <v>196401</v>
      </c>
      <c r="AK26" s="15">
        <v>3300</v>
      </c>
      <c r="AL26" s="15">
        <f t="shared" si="5"/>
        <v>2040</v>
      </c>
      <c r="AM26" s="15">
        <f t="shared" si="6"/>
        <v>8</v>
      </c>
      <c r="AN26" s="15">
        <f t="shared" si="7"/>
        <v>1633</v>
      </c>
      <c r="AO26" s="15">
        <f t="shared" si="8"/>
        <v>600</v>
      </c>
      <c r="AP26" s="15">
        <v>1625</v>
      </c>
      <c r="AQ26" s="18">
        <f t="shared" si="9"/>
        <v>10.4</v>
      </c>
      <c r="AR26" s="18">
        <f t="shared" si="10"/>
        <v>0.04</v>
      </c>
      <c r="AS26" s="19">
        <f t="shared" si="11"/>
        <v>8.3000000000000007</v>
      </c>
      <c r="AT26" s="18">
        <f t="shared" si="12"/>
        <v>3.05</v>
      </c>
    </row>
    <row r="27" spans="1:46" ht="26.4">
      <c r="A27" s="6">
        <v>43733</v>
      </c>
      <c r="B27" s="5" t="s">
        <v>432</v>
      </c>
      <c r="C27" s="4">
        <v>24284403</v>
      </c>
      <c r="D27" s="4">
        <v>9342465</v>
      </c>
      <c r="E27" s="4">
        <v>5222383</v>
      </c>
      <c r="F27" s="4">
        <v>5175861</v>
      </c>
      <c r="G27" s="4">
        <v>255660436</v>
      </c>
      <c r="H27" s="4">
        <v>105316056</v>
      </c>
      <c r="I27" s="4">
        <v>255661438</v>
      </c>
      <c r="J27" s="4">
        <v>105316056</v>
      </c>
      <c r="K27" s="4"/>
      <c r="L27" s="5">
        <v>4297.5</v>
      </c>
      <c r="M27" s="5">
        <v>4048.4</v>
      </c>
      <c r="N27" s="5">
        <v>73210.600000000006</v>
      </c>
      <c r="O27" s="5"/>
      <c r="P27" s="5"/>
      <c r="Q27" s="9">
        <v>28.9</v>
      </c>
      <c r="R27" s="4" t="s">
        <v>44</v>
      </c>
      <c r="S27" s="4">
        <v>340</v>
      </c>
      <c r="T27" s="4">
        <v>360</v>
      </c>
      <c r="U27" s="4">
        <v>10213</v>
      </c>
      <c r="V27" s="4">
        <v>6584</v>
      </c>
      <c r="W27" s="5">
        <v>6.87</v>
      </c>
      <c r="X27" s="5">
        <v>2.4</v>
      </c>
      <c r="Y27" s="4">
        <v>522</v>
      </c>
      <c r="Z27" s="4" t="s">
        <v>435</v>
      </c>
      <c r="AA27" s="11">
        <f t="shared" ref="AA27:AF27" si="36">IF(OR(C28=""),"",C28-C27)</f>
        <v>53555</v>
      </c>
      <c r="AB27" s="11">
        <f t="shared" si="36"/>
        <v>55260</v>
      </c>
      <c r="AC27" s="11">
        <f t="shared" si="36"/>
        <v>59091</v>
      </c>
      <c r="AD27" s="11">
        <f t="shared" si="36"/>
        <v>58896</v>
      </c>
      <c r="AE27" s="11">
        <f t="shared" si="36"/>
        <v>204434</v>
      </c>
      <c r="AF27" s="11">
        <f t="shared" si="36"/>
        <v>3270</v>
      </c>
      <c r="AG27" s="11">
        <f t="shared" si="1"/>
        <v>22368</v>
      </c>
      <c r="AH27" s="11">
        <f t="shared" si="2"/>
        <v>203513</v>
      </c>
      <c r="AI27" s="15">
        <f t="shared" si="3"/>
        <v>3272</v>
      </c>
      <c r="AJ27" s="15">
        <f t="shared" si="4"/>
        <v>200241</v>
      </c>
      <c r="AK27" s="15">
        <v>3800</v>
      </c>
      <c r="AL27" s="15">
        <f t="shared" si="5"/>
        <v>0</v>
      </c>
      <c r="AM27" s="15">
        <f t="shared" si="6"/>
        <v>0</v>
      </c>
      <c r="AN27" s="15">
        <f t="shared" si="7"/>
        <v>2414</v>
      </c>
      <c r="AO27" s="15">
        <f t="shared" si="8"/>
        <v>864</v>
      </c>
      <c r="AP27" s="15">
        <v>1024</v>
      </c>
      <c r="AQ27" s="18">
        <f t="shared" si="9"/>
        <v>0</v>
      </c>
      <c r="AR27" s="18">
        <f t="shared" si="10"/>
        <v>0</v>
      </c>
      <c r="AS27" s="19">
        <f t="shared" si="11"/>
        <v>12.1</v>
      </c>
      <c r="AT27" s="18">
        <f t="shared" si="12"/>
        <v>4.3099999999999996</v>
      </c>
    </row>
    <row r="28" spans="1:46" ht="66">
      <c r="A28" s="6">
        <v>43734</v>
      </c>
      <c r="B28" s="5" t="s">
        <v>433</v>
      </c>
      <c r="C28" s="4">
        <v>24337958</v>
      </c>
      <c r="D28" s="4">
        <v>9397725</v>
      </c>
      <c r="E28" s="4">
        <v>5281474</v>
      </c>
      <c r="F28" s="4">
        <v>5234757</v>
      </c>
      <c r="G28" s="4">
        <v>255864870</v>
      </c>
      <c r="H28" s="4">
        <v>105319326</v>
      </c>
      <c r="I28" s="4">
        <v>255864951</v>
      </c>
      <c r="J28" s="4">
        <v>105319328</v>
      </c>
      <c r="K28" s="4"/>
      <c r="L28" s="5">
        <v>4297.5</v>
      </c>
      <c r="M28" s="5">
        <v>4048.4</v>
      </c>
      <c r="N28" s="5">
        <v>73210.7</v>
      </c>
      <c r="O28" s="5"/>
      <c r="P28" s="5"/>
      <c r="Q28" s="9">
        <v>28.5</v>
      </c>
      <c r="R28" s="4" t="s">
        <v>434</v>
      </c>
      <c r="S28" s="4">
        <v>660</v>
      </c>
      <c r="T28" s="4">
        <v>670</v>
      </c>
      <c r="U28" s="4">
        <v>10316</v>
      </c>
      <c r="V28" s="4">
        <v>6688</v>
      </c>
      <c r="W28" s="5">
        <v>5.73</v>
      </c>
      <c r="X28" s="5">
        <v>2.2000000000000002</v>
      </c>
      <c r="Y28" s="4">
        <v>192</v>
      </c>
      <c r="Z28" s="4" t="s">
        <v>438</v>
      </c>
      <c r="AA28" s="11">
        <f t="shared" ref="AA28:AF28" si="37">IF(OR(C29=""),"",C29-C28)</f>
        <v>46602</v>
      </c>
      <c r="AB28" s="11">
        <f t="shared" si="37"/>
        <v>54160</v>
      </c>
      <c r="AC28" s="11">
        <f t="shared" si="37"/>
        <v>56522</v>
      </c>
      <c r="AD28" s="11">
        <f t="shared" si="37"/>
        <v>56941</v>
      </c>
      <c r="AE28" s="11">
        <f t="shared" si="37"/>
        <v>184659</v>
      </c>
      <c r="AF28" s="11">
        <f t="shared" si="37"/>
        <v>5543</v>
      </c>
      <c r="AG28" s="11">
        <f t="shared" si="1"/>
        <v>29566</v>
      </c>
      <c r="AH28" s="11">
        <f t="shared" si="2"/>
        <v>184723</v>
      </c>
      <c r="AI28" s="15">
        <f t="shared" si="3"/>
        <v>5544</v>
      </c>
      <c r="AJ28" s="15">
        <f t="shared" si="4"/>
        <v>179179</v>
      </c>
      <c r="AK28" s="15">
        <v>3600</v>
      </c>
      <c r="AL28" s="15">
        <f t="shared" si="5"/>
        <v>600</v>
      </c>
      <c r="AM28" s="15">
        <f t="shared" si="6"/>
        <v>2</v>
      </c>
      <c r="AN28" s="15">
        <f t="shared" si="7"/>
        <v>4686</v>
      </c>
      <c r="AO28" s="15">
        <f t="shared" si="8"/>
        <v>1608</v>
      </c>
      <c r="AP28" s="15">
        <v>930</v>
      </c>
      <c r="AQ28" s="18">
        <f t="shared" si="9"/>
        <v>3.3</v>
      </c>
      <c r="AR28" s="18">
        <f t="shared" si="10"/>
        <v>0.01</v>
      </c>
      <c r="AS28" s="19">
        <f t="shared" si="11"/>
        <v>26.2</v>
      </c>
      <c r="AT28" s="18">
        <f t="shared" si="12"/>
        <v>8.9700000000000006</v>
      </c>
    </row>
    <row r="29" spans="1:46" ht="39.6">
      <c r="A29" s="6">
        <v>43735</v>
      </c>
      <c r="B29" s="5" t="s">
        <v>436</v>
      </c>
      <c r="C29" s="4">
        <v>24384560</v>
      </c>
      <c r="D29" s="4">
        <v>9451885</v>
      </c>
      <c r="E29" s="4">
        <v>5337996</v>
      </c>
      <c r="F29" s="4">
        <v>5291698</v>
      </c>
      <c r="G29" s="4">
        <v>256049529</v>
      </c>
      <c r="H29" s="4">
        <v>105324869</v>
      </c>
      <c r="I29" s="4">
        <v>256049674</v>
      </c>
      <c r="J29" s="4">
        <v>105324872</v>
      </c>
      <c r="K29" s="4"/>
      <c r="L29" s="5">
        <v>4297.6000000000004</v>
      </c>
      <c r="M29" s="5">
        <v>4048.8</v>
      </c>
      <c r="N29" s="5">
        <v>73211.600000000006</v>
      </c>
      <c r="O29" s="5"/>
      <c r="P29" s="5"/>
      <c r="Q29" s="9">
        <v>28.6</v>
      </c>
      <c r="R29" s="4" t="s">
        <v>437</v>
      </c>
      <c r="S29" s="4">
        <v>630</v>
      </c>
      <c r="T29" s="4">
        <v>650</v>
      </c>
      <c r="U29" s="4">
        <v>10296</v>
      </c>
      <c r="V29" s="4">
        <v>5647</v>
      </c>
      <c r="W29" s="5">
        <v>6.63</v>
      </c>
      <c r="X29" s="5">
        <v>2.34</v>
      </c>
      <c r="Y29" s="4">
        <v>612</v>
      </c>
      <c r="Z29" s="4" t="s">
        <v>441</v>
      </c>
      <c r="AA29" s="11">
        <f t="shared" ref="AA29:AF29" si="38">IF(OR(C30=""),"",C30-C29)</f>
        <v>46307</v>
      </c>
      <c r="AB29" s="11">
        <f t="shared" si="38"/>
        <v>54860</v>
      </c>
      <c r="AC29" s="11">
        <f t="shared" si="38"/>
        <v>58019</v>
      </c>
      <c r="AD29" s="11">
        <f t="shared" si="38"/>
        <v>58403</v>
      </c>
      <c r="AE29" s="11">
        <f t="shared" si="38"/>
        <v>199413</v>
      </c>
      <c r="AF29" s="11">
        <f t="shared" si="38"/>
        <v>5555</v>
      </c>
      <c r="AG29" s="11">
        <f t="shared" si="1"/>
        <v>18176</v>
      </c>
      <c r="AH29" s="11">
        <f t="shared" si="2"/>
        <v>198863</v>
      </c>
      <c r="AI29" s="15">
        <f t="shared" si="3"/>
        <v>5536</v>
      </c>
      <c r="AJ29" s="15">
        <f t="shared" si="4"/>
        <v>193327</v>
      </c>
      <c r="AK29" s="15">
        <v>4200</v>
      </c>
      <c r="AL29" s="15">
        <f t="shared" si="5"/>
        <v>2760</v>
      </c>
      <c r="AM29" s="15">
        <f t="shared" si="6"/>
        <v>3</v>
      </c>
      <c r="AN29" s="15">
        <f t="shared" si="7"/>
        <v>4473</v>
      </c>
      <c r="AO29" s="15">
        <f t="shared" si="8"/>
        <v>1560</v>
      </c>
      <c r="AP29" s="15">
        <v>1382</v>
      </c>
      <c r="AQ29" s="18">
        <f t="shared" si="9"/>
        <v>14.3</v>
      </c>
      <c r="AR29" s="18">
        <f t="shared" si="10"/>
        <v>0.02</v>
      </c>
      <c r="AS29" s="19">
        <f t="shared" si="11"/>
        <v>23.1</v>
      </c>
      <c r="AT29" s="18">
        <f t="shared" si="12"/>
        <v>8.07</v>
      </c>
    </row>
    <row r="30" spans="1:46" ht="26.4">
      <c r="A30" s="6">
        <v>43736</v>
      </c>
      <c r="B30" s="5" t="s">
        <v>439</v>
      </c>
      <c r="C30" s="4">
        <v>24430867</v>
      </c>
      <c r="D30" s="4">
        <v>9506745</v>
      </c>
      <c r="E30" s="4">
        <v>5396015</v>
      </c>
      <c r="F30" s="4">
        <v>5350101</v>
      </c>
      <c r="G30" s="4">
        <v>256248942</v>
      </c>
      <c r="H30" s="4">
        <v>105330424</v>
      </c>
      <c r="I30" s="4">
        <v>256248537</v>
      </c>
      <c r="J30" s="4">
        <v>105330408</v>
      </c>
      <c r="K30" s="4"/>
      <c r="L30" s="5">
        <v>4297.7</v>
      </c>
      <c r="M30" s="5">
        <v>4051</v>
      </c>
      <c r="N30" s="5">
        <v>73213.2</v>
      </c>
      <c r="O30" s="5"/>
      <c r="P30" s="5"/>
      <c r="Q30" s="9">
        <v>28.4</v>
      </c>
      <c r="R30" s="4" t="s">
        <v>440</v>
      </c>
      <c r="S30" s="4">
        <v>580</v>
      </c>
      <c r="T30" s="4">
        <v>600</v>
      </c>
      <c r="U30" s="4">
        <v>10302</v>
      </c>
      <c r="V30" s="4">
        <v>6548</v>
      </c>
      <c r="W30" s="5">
        <v>5.41</v>
      </c>
      <c r="X30" s="5">
        <v>2.25</v>
      </c>
      <c r="Y30" s="4">
        <v>42</v>
      </c>
      <c r="Z30" s="4" t="s">
        <v>444</v>
      </c>
      <c r="AA30" s="11">
        <f t="shared" ref="AA30:AF30" si="39">IF(OR(C31=""),"",C31-C30)</f>
        <v>46448</v>
      </c>
      <c r="AB30" s="11">
        <f t="shared" si="39"/>
        <v>56146</v>
      </c>
      <c r="AC30" s="11">
        <f t="shared" si="39"/>
        <v>58388</v>
      </c>
      <c r="AD30" s="11">
        <f t="shared" si="39"/>
        <v>58682</v>
      </c>
      <c r="AE30" s="11">
        <f t="shared" si="39"/>
        <v>194354</v>
      </c>
      <c r="AF30" s="11">
        <f t="shared" si="39"/>
        <v>5485</v>
      </c>
      <c r="AG30" s="11">
        <f t="shared" si="1"/>
        <v>25310</v>
      </c>
      <c r="AH30" s="11">
        <f t="shared" si="2"/>
        <v>195869</v>
      </c>
      <c r="AI30" s="15">
        <f t="shared" si="3"/>
        <v>5536</v>
      </c>
      <c r="AJ30" s="15">
        <f t="shared" si="4"/>
        <v>190333</v>
      </c>
      <c r="AK30" s="15">
        <v>3800</v>
      </c>
      <c r="AL30" s="15">
        <f t="shared" si="5"/>
        <v>1680</v>
      </c>
      <c r="AM30" s="15">
        <f t="shared" si="6"/>
        <v>11</v>
      </c>
      <c r="AN30" s="15">
        <f t="shared" si="7"/>
        <v>4118</v>
      </c>
      <c r="AO30" s="15">
        <f t="shared" si="8"/>
        <v>1440</v>
      </c>
      <c r="AP30" s="15">
        <v>1610</v>
      </c>
      <c r="AQ30" s="18">
        <f t="shared" si="9"/>
        <v>8.8000000000000007</v>
      </c>
      <c r="AR30" s="18">
        <f t="shared" si="10"/>
        <v>0.06</v>
      </c>
      <c r="AS30" s="19">
        <f t="shared" si="11"/>
        <v>21.6</v>
      </c>
      <c r="AT30" s="18">
        <f t="shared" si="12"/>
        <v>7.57</v>
      </c>
    </row>
    <row r="31" spans="1:46" ht="26.4">
      <c r="A31" s="6">
        <v>43737</v>
      </c>
      <c r="B31" s="5" t="s">
        <v>442</v>
      </c>
      <c r="C31" s="4">
        <v>24477315</v>
      </c>
      <c r="D31" s="4">
        <v>9562891</v>
      </c>
      <c r="E31" s="4">
        <v>5454403</v>
      </c>
      <c r="F31" s="4">
        <v>5408783</v>
      </c>
      <c r="G31" s="4">
        <v>256443296</v>
      </c>
      <c r="H31" s="4">
        <v>105335909</v>
      </c>
      <c r="I31" s="4">
        <v>256444406</v>
      </c>
      <c r="J31" s="4">
        <v>105335944</v>
      </c>
      <c r="K31" s="4"/>
      <c r="L31" s="5">
        <v>4297.7</v>
      </c>
      <c r="M31" s="5">
        <v>4052.4</v>
      </c>
      <c r="N31" s="5">
        <v>73218.600000000006</v>
      </c>
      <c r="O31" s="5"/>
      <c r="P31" s="5"/>
      <c r="Q31" s="9">
        <v>28.3</v>
      </c>
      <c r="R31" s="4" t="s">
        <v>443</v>
      </c>
      <c r="S31" s="4">
        <v>490</v>
      </c>
      <c r="T31" s="4">
        <v>510</v>
      </c>
      <c r="U31" s="4">
        <v>10286</v>
      </c>
      <c r="V31" s="4">
        <v>8231</v>
      </c>
      <c r="W31" s="5">
        <v>6.87</v>
      </c>
      <c r="X31" s="5">
        <v>3.01</v>
      </c>
      <c r="Y31" s="4">
        <v>1406</v>
      </c>
      <c r="Z31" s="4" t="s">
        <v>446</v>
      </c>
      <c r="AA31" s="11">
        <f t="shared" ref="AA31:AF31" si="40">IF(OR(C32=""),"",C32-C31)</f>
        <v>48343</v>
      </c>
      <c r="AB31" s="11">
        <f t="shared" si="40"/>
        <v>57979</v>
      </c>
      <c r="AC31" s="11">
        <f t="shared" si="40"/>
        <v>59572</v>
      </c>
      <c r="AD31" s="11">
        <f t="shared" si="40"/>
        <v>61172</v>
      </c>
      <c r="AE31" s="11">
        <f t="shared" si="40"/>
        <v>214391</v>
      </c>
      <c r="AF31" s="11">
        <f t="shared" si="40"/>
        <v>5622</v>
      </c>
      <c r="AG31" s="11">
        <f t="shared" si="1"/>
        <v>12675</v>
      </c>
      <c r="AH31" s="11">
        <f t="shared" si="2"/>
        <v>211145</v>
      </c>
      <c r="AI31" s="15">
        <f t="shared" si="3"/>
        <v>5528</v>
      </c>
      <c r="AJ31" s="15">
        <f t="shared" si="4"/>
        <v>205617</v>
      </c>
      <c r="AK31" s="15">
        <v>3600</v>
      </c>
      <c r="AL31" s="15">
        <f t="shared" si="5"/>
        <v>2880</v>
      </c>
      <c r="AM31" s="15">
        <f t="shared" si="6"/>
        <v>13</v>
      </c>
      <c r="AN31" s="15">
        <f t="shared" si="7"/>
        <v>3479</v>
      </c>
      <c r="AO31" s="15">
        <f t="shared" si="8"/>
        <v>1224</v>
      </c>
      <c r="AP31" s="15">
        <v>1756</v>
      </c>
      <c r="AQ31" s="18">
        <f t="shared" si="9"/>
        <v>14</v>
      </c>
      <c r="AR31" s="18">
        <f t="shared" si="10"/>
        <v>0.06</v>
      </c>
      <c r="AS31" s="19">
        <f t="shared" si="11"/>
        <v>16.899999999999999</v>
      </c>
      <c r="AT31" s="18">
        <f t="shared" si="12"/>
        <v>5.95</v>
      </c>
    </row>
    <row r="32" spans="1:46">
      <c r="A32" s="6">
        <v>43738</v>
      </c>
      <c r="B32" s="5" t="s">
        <v>445</v>
      </c>
      <c r="C32" s="4">
        <v>24525658</v>
      </c>
      <c r="D32" s="4">
        <v>9620870</v>
      </c>
      <c r="E32" s="4">
        <v>5513975</v>
      </c>
      <c r="F32" s="4">
        <v>5469955</v>
      </c>
      <c r="G32" s="4">
        <v>256657687</v>
      </c>
      <c r="H32" s="4">
        <v>105341531</v>
      </c>
      <c r="I32" s="4">
        <v>256655551</v>
      </c>
      <c r="J32" s="4">
        <v>105341472</v>
      </c>
      <c r="K32" s="4"/>
      <c r="L32" s="5">
        <v>4297.8</v>
      </c>
      <c r="M32" s="5">
        <v>4054.7</v>
      </c>
      <c r="N32" s="5">
        <v>73224.899999999994</v>
      </c>
      <c r="O32" s="5"/>
      <c r="P32" s="5"/>
      <c r="Q32" s="9">
        <v>28.1</v>
      </c>
      <c r="R32" s="4" t="s">
        <v>44</v>
      </c>
      <c r="S32" s="4">
        <v>320</v>
      </c>
      <c r="T32" s="4">
        <v>340</v>
      </c>
      <c r="U32" s="4">
        <v>9635</v>
      </c>
      <c r="V32" s="4">
        <v>8975</v>
      </c>
      <c r="W32" s="5">
        <v>6.58</v>
      </c>
      <c r="X32" s="5">
        <v>4.24</v>
      </c>
      <c r="Y32" s="4">
        <v>1433</v>
      </c>
      <c r="Z32" s="4"/>
      <c r="AA32" s="11">
        <f t="shared" ref="AA32:AF32" si="41">IF(OR(C33=""),"",C33-C32)</f>
        <v>48428</v>
      </c>
      <c r="AB32" s="11">
        <f t="shared" si="41"/>
        <v>60055</v>
      </c>
      <c r="AC32" s="11">
        <f t="shared" si="41"/>
        <v>58684</v>
      </c>
      <c r="AD32" s="11">
        <f t="shared" si="41"/>
        <v>60819</v>
      </c>
      <c r="AE32" s="11">
        <f t="shared" si="41"/>
        <v>212658</v>
      </c>
      <c r="AF32" s="11">
        <f t="shared" si="41"/>
        <v>5422</v>
      </c>
      <c r="AG32" s="11">
        <f t="shared" si="1"/>
        <v>15328</v>
      </c>
      <c r="AH32" s="11">
        <f t="shared" si="2"/>
        <v>215938</v>
      </c>
      <c r="AI32" s="15">
        <f t="shared" si="3"/>
        <v>5536</v>
      </c>
      <c r="AJ32" s="15">
        <f t="shared" si="4"/>
        <v>210402</v>
      </c>
      <c r="AK32" s="15">
        <v>3800</v>
      </c>
      <c r="AL32" s="15">
        <f t="shared" si="5"/>
        <v>1800</v>
      </c>
      <c r="AM32" s="15">
        <f t="shared" si="6"/>
        <v>13</v>
      </c>
      <c r="AN32" s="15">
        <f t="shared" si="7"/>
        <v>2272</v>
      </c>
      <c r="AO32" s="15">
        <f t="shared" si="8"/>
        <v>816</v>
      </c>
      <c r="AP32" s="15">
        <v>1358</v>
      </c>
      <c r="AQ32" s="18">
        <f t="shared" si="9"/>
        <v>8.6</v>
      </c>
      <c r="AR32" s="18">
        <f t="shared" si="10"/>
        <v>0.06</v>
      </c>
      <c r="AS32" s="19">
        <f t="shared" si="11"/>
        <v>10.8</v>
      </c>
      <c r="AT32" s="18">
        <f t="shared" si="12"/>
        <v>3.88</v>
      </c>
    </row>
    <row r="33" spans="1:46">
      <c r="A33" s="6">
        <v>43739</v>
      </c>
      <c r="B33" s="5" t="s">
        <v>47</v>
      </c>
      <c r="C33" s="4">
        <v>24574086</v>
      </c>
      <c r="D33" s="4">
        <v>9680925</v>
      </c>
      <c r="E33" s="4">
        <v>5572659</v>
      </c>
      <c r="F33" s="4">
        <v>5530774</v>
      </c>
      <c r="G33" s="4">
        <v>256870345</v>
      </c>
      <c r="H33" s="4">
        <v>105346953</v>
      </c>
      <c r="I33" s="4">
        <v>256871489</v>
      </c>
      <c r="J33" s="4">
        <v>105347008</v>
      </c>
      <c r="K33" s="4"/>
      <c r="L33" s="5">
        <v>4297.8999999999996</v>
      </c>
      <c r="M33" s="5">
        <v>4056.1</v>
      </c>
      <c r="N33" s="5">
        <v>73231.199999999997</v>
      </c>
      <c r="O33" s="5"/>
      <c r="P33" s="5"/>
      <c r="Q33" s="9"/>
      <c r="R33" s="4"/>
      <c r="S33" s="4"/>
      <c r="T33" s="4"/>
      <c r="U33" s="4"/>
      <c r="V33" s="4"/>
      <c r="W33" s="5"/>
      <c r="X33" s="5"/>
      <c r="Y33" s="4"/>
      <c r="Z33" s="4"/>
      <c r="AA33" s="11" t="str">
        <f t="shared" ref="AA33:AF33" si="42">IF(OR(C34=""),"",C34-C33)</f>
        <v/>
      </c>
      <c r="AB33" s="11" t="str">
        <f t="shared" si="42"/>
        <v/>
      </c>
      <c r="AC33" s="11" t="str">
        <f t="shared" si="42"/>
        <v/>
      </c>
      <c r="AD33" s="11" t="str">
        <f t="shared" si="42"/>
        <v/>
      </c>
      <c r="AE33" s="11" t="str">
        <f t="shared" si="42"/>
        <v/>
      </c>
      <c r="AF33" s="11" t="str">
        <f t="shared" si="42"/>
        <v/>
      </c>
      <c r="AG33" s="11" t="str">
        <f t="shared" si="1"/>
        <v/>
      </c>
      <c r="AH33" s="11" t="str">
        <f t="shared" si="2"/>
        <v/>
      </c>
      <c r="AI33" s="15" t="str">
        <f t="shared" si="3"/>
        <v/>
      </c>
      <c r="AJ33" s="15" t="str">
        <f t="shared" si="4"/>
        <v/>
      </c>
      <c r="AK33" s="15" t="str">
        <f t="shared" ref="AK33" si="43">IF(K33="","",K34-K33)</f>
        <v/>
      </c>
      <c r="AL33" s="15" t="str">
        <f t="shared" si="5"/>
        <v/>
      </c>
      <c r="AM33" s="15" t="str">
        <f t="shared" si="6"/>
        <v/>
      </c>
      <c r="AN33" s="15" t="str">
        <f t="shared" si="7"/>
        <v/>
      </c>
      <c r="AO33" s="15" t="str">
        <f t="shared" si="8"/>
        <v/>
      </c>
      <c r="AP33" s="15"/>
      <c r="AQ33" s="18" t="str">
        <f t="shared" si="9"/>
        <v/>
      </c>
      <c r="AR33" s="18" t="str">
        <f t="shared" si="10"/>
        <v/>
      </c>
      <c r="AS33" s="19" t="str">
        <f t="shared" si="11"/>
        <v/>
      </c>
      <c r="AT33" s="18" t="str">
        <f t="shared" si="12"/>
        <v/>
      </c>
    </row>
    <row r="34" spans="1:46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9"/>
      <c r="R34" s="4"/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4">IF(OR(C37=""),"",C37-C36)</f>
        <v/>
      </c>
      <c r="AB36" s="13" t="str">
        <f t="shared" si="44"/>
        <v/>
      </c>
      <c r="AC36" s="13" t="str">
        <f t="shared" si="44"/>
        <v/>
      </c>
      <c r="AD36" s="13" t="str">
        <f t="shared" si="44"/>
        <v/>
      </c>
      <c r="AE36" s="13" t="str">
        <f t="shared" si="44"/>
        <v/>
      </c>
      <c r="AF36" s="13" t="str">
        <f t="shared" si="44"/>
        <v/>
      </c>
      <c r="AG36" s="13" t="str">
        <f>IF(OR(AA36="",AB36="",AC36=""),"",AA36+AB36+AC36+AD36-AE36)</f>
        <v/>
      </c>
      <c r="AH36" s="17">
        <f t="shared" ref="AH36:AO36" si="45">SUM(AH3:AH34)</f>
        <v>6186009</v>
      </c>
      <c r="AI36" s="17">
        <f t="shared" si="45"/>
        <v>148280</v>
      </c>
      <c r="AJ36" s="17">
        <f t="shared" si="45"/>
        <v>6037729</v>
      </c>
      <c r="AK36" s="17">
        <f t="shared" si="45"/>
        <v>118400</v>
      </c>
      <c r="AL36" s="17">
        <f t="shared" si="45"/>
        <v>27960</v>
      </c>
      <c r="AM36" s="17">
        <f t="shared" si="45"/>
        <v>94</v>
      </c>
      <c r="AN36" s="17">
        <f t="shared" si="45"/>
        <v>94927</v>
      </c>
      <c r="AO36" s="17">
        <f t="shared" si="45"/>
        <v>33456</v>
      </c>
      <c r="AP36" s="17"/>
      <c r="AQ36" s="22">
        <f>IF(OR($AJ36=0),"",ROUND(AL36/$AJ36*1000,1))</f>
        <v>4.5999999999999996</v>
      </c>
      <c r="AR36" s="22">
        <f>IF(OR($AJ36=0),"",ROUND(AM36/$AJ36*1000,2))</f>
        <v>0.02</v>
      </c>
      <c r="AS36" s="23">
        <f>IF(OR($AJ36=0),"",ROUND(AN36/$AJ36*1000,1))</f>
        <v>15.7</v>
      </c>
      <c r="AT36" s="22">
        <f>IF(OR($AJ36=0),"",ROUND(AO36/$AJ36*1000,2))</f>
        <v>5.54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20" zoomScaleNormal="120" workbookViewId="0">
      <pane xSplit="2" ySplit="2" topLeftCell="P15" activePane="bottomRight" state="frozen"/>
      <selection pane="topRight"/>
      <selection pane="bottomLeft"/>
      <selection pane="bottomRight" activeCell="I35" sqref="I35"/>
    </sheetView>
  </sheetViews>
  <sheetFormatPr defaultColWidth="10.6640625" defaultRowHeight="13.2"/>
  <cols>
    <col min="1" max="1" width="7.88671875" style="1" customWidth="1"/>
    <col min="2" max="2" width="8.6640625" style="2" customWidth="1"/>
    <col min="3" max="3" width="11.44140625" style="1" customWidth="1"/>
    <col min="4" max="4" width="9.6640625" style="1" customWidth="1"/>
    <col min="5" max="6" width="9.88671875" style="1" customWidth="1"/>
    <col min="7" max="9" width="12" style="1" customWidth="1"/>
    <col min="10" max="10" width="11.21875" style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450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43739</v>
      </c>
      <c r="B3" s="7" t="str">
        <f>'9'!B33</f>
        <v>胡叶青</v>
      </c>
      <c r="C3" s="7">
        <f>'9'!C33</f>
        <v>24574086</v>
      </c>
      <c r="D3" s="7">
        <f>'9'!D33</f>
        <v>9680925</v>
      </c>
      <c r="E3" s="7">
        <f>'9'!E33</f>
        <v>5572659</v>
      </c>
      <c r="F3" s="7">
        <f>'9'!F33</f>
        <v>5530774</v>
      </c>
      <c r="G3" s="7">
        <f>'9'!G33</f>
        <v>256870345</v>
      </c>
      <c r="H3" s="7">
        <f>'9'!H33</f>
        <v>105346953</v>
      </c>
      <c r="I3" s="7">
        <f>'9'!I33</f>
        <v>256871489</v>
      </c>
      <c r="J3" s="7">
        <f>'9'!J33</f>
        <v>105347008</v>
      </c>
      <c r="K3" s="7">
        <f>'9'!K33</f>
        <v>0</v>
      </c>
      <c r="L3" s="7">
        <f>'9'!L33</f>
        <v>4297.8999999999996</v>
      </c>
      <c r="M3" s="7">
        <f>'9'!M33</f>
        <v>4056.1</v>
      </c>
      <c r="N3" s="7">
        <f>'9'!N33</f>
        <v>73231.199999999997</v>
      </c>
      <c r="O3" s="7">
        <f>'9'!O33</f>
        <v>0</v>
      </c>
      <c r="P3" s="7">
        <f>'9'!P33</f>
        <v>0</v>
      </c>
      <c r="Q3" s="7">
        <f>'9'!Q33</f>
        <v>0</v>
      </c>
      <c r="R3" s="7">
        <f>'9'!R33</f>
        <v>0</v>
      </c>
      <c r="S3" s="4">
        <v>50</v>
      </c>
      <c r="T3" s="4">
        <v>70</v>
      </c>
      <c r="U3" s="4">
        <v>8567</v>
      </c>
      <c r="V3" s="4">
        <v>4867</v>
      </c>
      <c r="W3" s="5">
        <v>5.34</v>
      </c>
      <c r="X3" s="5">
        <v>2.42</v>
      </c>
      <c r="Y3" s="4">
        <v>2160</v>
      </c>
      <c r="Z3" s="4"/>
      <c r="AA3" s="11">
        <f t="shared" ref="AA3:AF3" si="0">IF(OR(C4=""),"",C4-C3)</f>
        <v>26278</v>
      </c>
      <c r="AB3" s="11">
        <f t="shared" si="0"/>
        <v>30630</v>
      </c>
      <c r="AC3" s="11">
        <f t="shared" si="0"/>
        <v>47574</v>
      </c>
      <c r="AD3" s="11">
        <f t="shared" si="0"/>
        <v>46567</v>
      </c>
      <c r="AE3" s="11">
        <f t="shared" si="0"/>
        <v>153307</v>
      </c>
      <c r="AF3" s="11">
        <f t="shared" si="0"/>
        <v>5583</v>
      </c>
      <c r="AG3" s="11">
        <f t="shared" ref="AG3:AG33" si="1">IF(OR(AA3="",AB3="",AC3=""),"",AA3+AB3+AC3+AD3-AE3)</f>
        <v>-2258</v>
      </c>
      <c r="AH3" s="11">
        <f t="shared" ref="AH3:AH33" si="2">IF(OR(I4=""),"",I4-I3)</f>
        <v>151846</v>
      </c>
      <c r="AI3" s="15">
        <f t="shared" ref="AI3:AI33" si="3">IF(OR(J4=""),"",J4-J3)</f>
        <v>5512</v>
      </c>
      <c r="AJ3" s="15">
        <f t="shared" ref="AJ3:AJ33" si="4">IF(OR(AH3="",AI3=""),"",AH3-AI3)</f>
        <v>146334</v>
      </c>
      <c r="AK3" s="15">
        <f t="shared" ref="AK3" si="5">IF(K3="","",K4-K3)</f>
        <v>0</v>
      </c>
      <c r="AL3" s="15">
        <f t="shared" ref="AL3:AL33" si="6">IF(OR(L4="",M4=""),"",ROUND((L4-L3+M4-M3)*1200,0))</f>
        <v>0</v>
      </c>
      <c r="AM3" s="15">
        <f t="shared" ref="AM3:AM33" si="7">IF(OR(N4=""),"",(ROUND((N4-N3)*2,0)))</f>
        <v>0</v>
      </c>
      <c r="AN3" s="15">
        <f t="shared" ref="AN3:AN33" si="8">IF(OR(S3=""),"",ROUND(S3*7.1,0))</f>
        <v>355</v>
      </c>
      <c r="AO3" s="15">
        <f t="shared" ref="AO3:AO33" si="9">IF(OR(T3=""),"",ROUND(T3*2.4,0))</f>
        <v>168</v>
      </c>
      <c r="AP3" s="15">
        <v>0</v>
      </c>
      <c r="AQ3" s="18">
        <f t="shared" ref="AQ3:AQ33" si="10">IF(OR($AJ3=""),"",ROUND(AL3/$AJ3*1000,1))</f>
        <v>0</v>
      </c>
      <c r="AR3" s="18">
        <f t="shared" ref="AR3:AR33" si="11">IF(OR($AJ3=""),"",ROUND(AM3/$AJ3*1000,2))</f>
        <v>0</v>
      </c>
      <c r="AS3" s="19">
        <f t="shared" ref="AS3:AS33" si="12">IF(OR($AJ3=""),"",ROUND(AN3/$AJ3*1000,1))</f>
        <v>2.4</v>
      </c>
      <c r="AT3" s="18">
        <f t="shared" ref="AT3:AT33" si="13">IF(OR($AJ3=""),"",ROUND(AO3/$AJ3*1000,2))</f>
        <v>1.1499999999999999</v>
      </c>
    </row>
    <row r="4" spans="1:46">
      <c r="A4" s="6">
        <v>43740</v>
      </c>
      <c r="B4" s="5" t="s">
        <v>447</v>
      </c>
      <c r="C4" s="4">
        <v>24600364</v>
      </c>
      <c r="D4" s="4">
        <v>9711555</v>
      </c>
      <c r="E4" s="4">
        <v>5620233</v>
      </c>
      <c r="F4" s="4">
        <v>5577341</v>
      </c>
      <c r="G4" s="4">
        <v>257023652</v>
      </c>
      <c r="H4" s="4">
        <v>105352536</v>
      </c>
      <c r="I4" s="4">
        <v>257023335</v>
      </c>
      <c r="J4" s="4">
        <v>105352520</v>
      </c>
      <c r="K4" s="4">
        <v>0</v>
      </c>
      <c r="L4" s="5">
        <v>4297.8999999999996</v>
      </c>
      <c r="M4" s="5">
        <v>4056.1</v>
      </c>
      <c r="N4" s="5">
        <v>73231.199999999997</v>
      </c>
      <c r="O4" s="5">
        <v>0</v>
      </c>
      <c r="P4" s="5">
        <v>0</v>
      </c>
      <c r="Q4" s="9">
        <v>29</v>
      </c>
      <c r="R4" s="4" t="s">
        <v>448</v>
      </c>
      <c r="S4" s="4">
        <v>20</v>
      </c>
      <c r="T4" s="4">
        <v>30</v>
      </c>
      <c r="U4" s="4">
        <v>6150</v>
      </c>
      <c r="V4" s="4">
        <v>3978</v>
      </c>
      <c r="W4" s="5">
        <v>4.3</v>
      </c>
      <c r="X4" s="5">
        <v>3.01</v>
      </c>
      <c r="Y4" s="4">
        <v>1260</v>
      </c>
      <c r="Z4" s="4"/>
      <c r="AA4" s="11">
        <f t="shared" ref="AA4:AF4" si="14">IF(OR(C5=""),"",C5-C4)</f>
        <v>26236</v>
      </c>
      <c r="AB4" s="11">
        <f t="shared" si="14"/>
        <v>28822</v>
      </c>
      <c r="AC4" s="11">
        <f t="shared" si="14"/>
        <v>35883</v>
      </c>
      <c r="AD4" s="11">
        <f t="shared" si="14"/>
        <v>35778</v>
      </c>
      <c r="AE4" s="11">
        <f t="shared" si="14"/>
        <v>72262</v>
      </c>
      <c r="AF4" s="11">
        <f t="shared" si="14"/>
        <v>633</v>
      </c>
      <c r="AG4" s="11">
        <f t="shared" si="1"/>
        <v>54457</v>
      </c>
      <c r="AH4" s="11">
        <f t="shared" si="2"/>
        <v>72944</v>
      </c>
      <c r="AI4" s="15">
        <f t="shared" si="3"/>
        <v>664</v>
      </c>
      <c r="AJ4" s="15">
        <f t="shared" si="4"/>
        <v>72280</v>
      </c>
      <c r="AK4" s="15">
        <v>3600</v>
      </c>
      <c r="AL4" s="15">
        <f t="shared" si="6"/>
        <v>120</v>
      </c>
      <c r="AM4" s="15">
        <f t="shared" si="7"/>
        <v>0</v>
      </c>
      <c r="AN4" s="15">
        <f t="shared" si="8"/>
        <v>142</v>
      </c>
      <c r="AO4" s="15">
        <f t="shared" si="9"/>
        <v>72</v>
      </c>
      <c r="AP4" s="15">
        <v>0</v>
      </c>
      <c r="AQ4" s="18">
        <f t="shared" si="10"/>
        <v>1.7</v>
      </c>
      <c r="AR4" s="18">
        <f t="shared" si="11"/>
        <v>0</v>
      </c>
      <c r="AS4" s="19">
        <f t="shared" si="12"/>
        <v>2</v>
      </c>
      <c r="AT4" s="18">
        <f t="shared" si="13"/>
        <v>1</v>
      </c>
    </row>
    <row r="5" spans="1:46">
      <c r="A5" s="6">
        <v>43741</v>
      </c>
      <c r="B5" s="5" t="s">
        <v>449</v>
      </c>
      <c r="C5" s="4">
        <v>24626600</v>
      </c>
      <c r="D5" s="4">
        <v>9740377</v>
      </c>
      <c r="E5" s="4">
        <v>5656116</v>
      </c>
      <c r="F5" s="4">
        <v>5613119</v>
      </c>
      <c r="G5" s="4">
        <v>257095914</v>
      </c>
      <c r="H5" s="4">
        <v>105353169</v>
      </c>
      <c r="I5" s="4">
        <v>257096279</v>
      </c>
      <c r="J5" s="4">
        <v>105353184</v>
      </c>
      <c r="K5" s="4">
        <v>0</v>
      </c>
      <c r="L5" s="5">
        <v>4298</v>
      </c>
      <c r="M5" s="5">
        <v>4056.1</v>
      </c>
      <c r="N5" s="5">
        <v>73231.399999999994</v>
      </c>
      <c r="O5" s="5">
        <v>0</v>
      </c>
      <c r="P5" s="5">
        <v>0</v>
      </c>
      <c r="Q5" s="9">
        <v>28.9</v>
      </c>
      <c r="R5" s="4" t="s">
        <v>44</v>
      </c>
      <c r="S5" s="4">
        <v>30</v>
      </c>
      <c r="T5" s="4">
        <v>50</v>
      </c>
      <c r="U5" s="4">
        <v>9332</v>
      </c>
      <c r="V5" s="4">
        <v>2499</v>
      </c>
      <c r="W5" s="5">
        <v>3.11</v>
      </c>
      <c r="X5" s="5">
        <v>1.83</v>
      </c>
      <c r="Y5" s="4">
        <v>0</v>
      </c>
      <c r="Z5" s="4"/>
      <c r="AA5" s="11">
        <f t="shared" ref="AA5:AF5" si="15">IF(OR(C6=""),"",C6-C5)</f>
        <v>38351</v>
      </c>
      <c r="AB5" s="11">
        <f t="shared" si="15"/>
        <v>45205</v>
      </c>
      <c r="AC5" s="11">
        <f t="shared" si="15"/>
        <v>42667</v>
      </c>
      <c r="AD5" s="11">
        <f t="shared" si="15"/>
        <v>41778</v>
      </c>
      <c r="AE5" s="11">
        <f t="shared" si="15"/>
        <v>141949</v>
      </c>
      <c r="AF5" s="11">
        <f t="shared" si="15"/>
        <v>5464</v>
      </c>
      <c r="AG5" s="11">
        <f t="shared" si="1"/>
        <v>26052</v>
      </c>
      <c r="AH5" s="11">
        <f t="shared" si="2"/>
        <v>141867</v>
      </c>
      <c r="AI5" s="15">
        <f t="shared" si="3"/>
        <v>5464</v>
      </c>
      <c r="AJ5" s="15">
        <f t="shared" si="4"/>
        <v>136403</v>
      </c>
      <c r="AK5" s="15">
        <v>3800</v>
      </c>
      <c r="AL5" s="15">
        <f t="shared" si="6"/>
        <v>120</v>
      </c>
      <c r="AM5" s="15">
        <f t="shared" si="7"/>
        <v>17</v>
      </c>
      <c r="AN5" s="15">
        <f t="shared" si="8"/>
        <v>213</v>
      </c>
      <c r="AO5" s="15">
        <f t="shared" si="9"/>
        <v>120</v>
      </c>
      <c r="AP5" s="15">
        <v>0</v>
      </c>
      <c r="AQ5" s="18">
        <f t="shared" si="10"/>
        <v>0.9</v>
      </c>
      <c r="AR5" s="18">
        <f t="shared" si="11"/>
        <v>0.12</v>
      </c>
      <c r="AS5" s="19">
        <f t="shared" si="12"/>
        <v>1.6</v>
      </c>
      <c r="AT5" s="18">
        <f t="shared" si="13"/>
        <v>0.88</v>
      </c>
    </row>
    <row r="6" spans="1:46" ht="79.2">
      <c r="A6" s="6">
        <v>43742</v>
      </c>
      <c r="B6" s="5" t="s">
        <v>451</v>
      </c>
      <c r="C6" s="4">
        <v>24664951</v>
      </c>
      <c r="D6" s="4">
        <v>9785582</v>
      </c>
      <c r="E6" s="4">
        <v>5698783</v>
      </c>
      <c r="F6" s="4">
        <v>5654897</v>
      </c>
      <c r="G6" s="4">
        <v>257237863</v>
      </c>
      <c r="H6" s="4">
        <v>105358633</v>
      </c>
      <c r="I6" s="4">
        <v>257238146</v>
      </c>
      <c r="J6" s="4">
        <v>105358648</v>
      </c>
      <c r="K6" s="4"/>
      <c r="L6" s="5">
        <v>4298.1000000000004</v>
      </c>
      <c r="M6" s="5">
        <v>4056.1</v>
      </c>
      <c r="N6" s="5">
        <v>73240</v>
      </c>
      <c r="O6" s="5"/>
      <c r="P6" s="5"/>
      <c r="Q6" s="9">
        <v>28.5</v>
      </c>
      <c r="R6" s="4" t="s">
        <v>453</v>
      </c>
      <c r="S6" s="4">
        <v>25</v>
      </c>
      <c r="T6" s="4">
        <v>45</v>
      </c>
      <c r="U6" s="4">
        <v>10321</v>
      </c>
      <c r="V6" s="4">
        <v>4266</v>
      </c>
      <c r="W6" s="5">
        <v>7.56</v>
      </c>
      <c r="X6" s="5">
        <v>2.2000000000000002</v>
      </c>
      <c r="Y6" s="4">
        <v>791</v>
      </c>
      <c r="Z6" s="4" t="s">
        <v>454</v>
      </c>
      <c r="AA6" s="11">
        <f t="shared" ref="AA6:AF6" si="16">IF(OR(C7=""),"",C7-C6)</f>
        <v>47822</v>
      </c>
      <c r="AB6" s="11">
        <f t="shared" si="16"/>
        <v>54200</v>
      </c>
      <c r="AC6" s="11">
        <f t="shared" si="16"/>
        <v>54623</v>
      </c>
      <c r="AD6" s="11">
        <f t="shared" si="16"/>
        <v>55216</v>
      </c>
      <c r="AE6" s="11">
        <f t="shared" si="16"/>
        <v>187167</v>
      </c>
      <c r="AF6" s="11">
        <f t="shared" si="16"/>
        <v>5414</v>
      </c>
      <c r="AG6" s="11">
        <f t="shared" si="1"/>
        <v>24694</v>
      </c>
      <c r="AH6" s="11">
        <f t="shared" si="2"/>
        <v>187608</v>
      </c>
      <c r="AI6" s="15">
        <f t="shared" si="3"/>
        <v>5472</v>
      </c>
      <c r="AJ6" s="15">
        <f t="shared" si="4"/>
        <v>182136</v>
      </c>
      <c r="AK6" s="15">
        <v>4200</v>
      </c>
      <c r="AL6" s="15">
        <f t="shared" si="6"/>
        <v>12720</v>
      </c>
      <c r="AM6" s="15">
        <f t="shared" si="7"/>
        <v>0</v>
      </c>
      <c r="AN6" s="15">
        <f t="shared" si="8"/>
        <v>178</v>
      </c>
      <c r="AO6" s="15">
        <f t="shared" si="9"/>
        <v>108</v>
      </c>
      <c r="AP6" s="15">
        <v>0</v>
      </c>
      <c r="AQ6" s="18">
        <f t="shared" si="10"/>
        <v>69.8</v>
      </c>
      <c r="AR6" s="18">
        <f t="shared" si="11"/>
        <v>0</v>
      </c>
      <c r="AS6" s="19">
        <f t="shared" si="12"/>
        <v>1</v>
      </c>
      <c r="AT6" s="18">
        <f t="shared" si="13"/>
        <v>0.59</v>
      </c>
    </row>
    <row r="7" spans="1:46" ht="26.4">
      <c r="A7" s="6">
        <v>43743</v>
      </c>
      <c r="B7" s="5" t="s">
        <v>452</v>
      </c>
      <c r="C7" s="4">
        <v>24712773</v>
      </c>
      <c r="D7" s="4">
        <v>9839782</v>
      </c>
      <c r="E7" s="4">
        <v>5753406</v>
      </c>
      <c r="F7" s="4">
        <v>5710113</v>
      </c>
      <c r="G7" s="4">
        <v>257425030</v>
      </c>
      <c r="H7" s="4">
        <v>105364047</v>
      </c>
      <c r="I7" s="4">
        <v>257425754</v>
      </c>
      <c r="J7" s="4">
        <v>105364120</v>
      </c>
      <c r="K7" s="4"/>
      <c r="L7" s="5">
        <v>4298.1000000000004</v>
      </c>
      <c r="M7" s="5">
        <v>4066.7</v>
      </c>
      <c r="N7" s="5">
        <v>73240.100000000006</v>
      </c>
      <c r="O7" s="5"/>
      <c r="P7" s="5"/>
      <c r="Q7" s="9">
        <v>29.5</v>
      </c>
      <c r="R7" s="4" t="s">
        <v>60</v>
      </c>
      <c r="S7" s="4">
        <v>30</v>
      </c>
      <c r="T7" s="4">
        <v>50</v>
      </c>
      <c r="U7" s="4">
        <v>10501</v>
      </c>
      <c r="V7" s="4">
        <v>5951</v>
      </c>
      <c r="W7" s="5">
        <v>5.57</v>
      </c>
      <c r="X7" s="5">
        <v>1.31</v>
      </c>
      <c r="Y7" s="4">
        <v>781</v>
      </c>
      <c r="Z7" s="4" t="s">
        <v>458</v>
      </c>
      <c r="AA7" s="11">
        <f t="shared" ref="AA7:AF7" si="17">IF(OR(C8=""),"",C8-C7)</f>
        <v>55087</v>
      </c>
      <c r="AB7" s="11">
        <f t="shared" si="17"/>
        <v>56437</v>
      </c>
      <c r="AC7" s="11">
        <f t="shared" si="17"/>
        <v>55889</v>
      </c>
      <c r="AD7" s="11">
        <f t="shared" si="17"/>
        <v>54606</v>
      </c>
      <c r="AE7" s="11">
        <f t="shared" si="17"/>
        <v>201354</v>
      </c>
      <c r="AF7" s="11">
        <f t="shared" si="17"/>
        <v>5559</v>
      </c>
      <c r="AG7" s="11">
        <f t="shared" si="1"/>
        <v>20665</v>
      </c>
      <c r="AH7" s="11">
        <f t="shared" si="2"/>
        <v>200566</v>
      </c>
      <c r="AI7" s="15">
        <f t="shared" si="3"/>
        <v>5480</v>
      </c>
      <c r="AJ7" s="15">
        <f t="shared" si="4"/>
        <v>195086</v>
      </c>
      <c r="AK7" s="15">
        <v>3900</v>
      </c>
      <c r="AL7" s="15">
        <f t="shared" si="6"/>
        <v>120</v>
      </c>
      <c r="AM7" s="15">
        <f t="shared" si="7"/>
        <v>0</v>
      </c>
      <c r="AN7" s="15">
        <f t="shared" si="8"/>
        <v>213</v>
      </c>
      <c r="AO7" s="15">
        <f t="shared" si="9"/>
        <v>120</v>
      </c>
      <c r="AP7" s="15">
        <v>2036</v>
      </c>
      <c r="AQ7" s="18">
        <f t="shared" si="10"/>
        <v>0.6</v>
      </c>
      <c r="AR7" s="18">
        <f t="shared" si="11"/>
        <v>0</v>
      </c>
      <c r="AS7" s="19">
        <f t="shared" si="12"/>
        <v>1.1000000000000001</v>
      </c>
      <c r="AT7" s="18">
        <f t="shared" si="13"/>
        <v>0.62</v>
      </c>
    </row>
    <row r="8" spans="1:46" ht="26.4">
      <c r="A8" s="6">
        <v>43744</v>
      </c>
      <c r="B8" s="5" t="s">
        <v>66</v>
      </c>
      <c r="C8" s="4">
        <v>24767860</v>
      </c>
      <c r="D8" s="4">
        <v>9896219</v>
      </c>
      <c r="E8" s="4">
        <v>5809295</v>
      </c>
      <c r="F8" s="4">
        <v>5764719</v>
      </c>
      <c r="G8" s="4">
        <v>257626384</v>
      </c>
      <c r="H8" s="4">
        <v>105369606</v>
      </c>
      <c r="I8" s="4">
        <v>257626320</v>
      </c>
      <c r="J8" s="4">
        <v>105369600</v>
      </c>
      <c r="K8" s="4"/>
      <c r="L8" s="5">
        <v>4298.2</v>
      </c>
      <c r="M8" s="5">
        <v>4066.7</v>
      </c>
      <c r="N8" s="5">
        <v>73240.2</v>
      </c>
      <c r="O8" s="5"/>
      <c r="P8" s="5"/>
      <c r="Q8" s="9">
        <v>28.9</v>
      </c>
      <c r="R8" s="4" t="s">
        <v>44</v>
      </c>
      <c r="S8" s="4">
        <v>60</v>
      </c>
      <c r="T8" s="4">
        <v>80</v>
      </c>
      <c r="U8" s="4">
        <v>10562</v>
      </c>
      <c r="V8" s="4">
        <v>6125</v>
      </c>
      <c r="W8" s="5">
        <v>3.74</v>
      </c>
      <c r="X8" s="5">
        <v>2.19</v>
      </c>
      <c r="Y8" s="4">
        <v>367</v>
      </c>
      <c r="Z8" s="4" t="s">
        <v>456</v>
      </c>
      <c r="AA8" s="11">
        <f t="shared" ref="AA8:AF8" si="18">IF(OR(C9=""),"",C9-C8)</f>
        <v>56706</v>
      </c>
      <c r="AB8" s="11">
        <f t="shared" si="18"/>
        <v>63081</v>
      </c>
      <c r="AC8" s="11">
        <f t="shared" si="18"/>
        <v>57323</v>
      </c>
      <c r="AD8" s="11">
        <f t="shared" si="18"/>
        <v>55731</v>
      </c>
      <c r="AE8" s="11">
        <f t="shared" si="18"/>
        <v>208282</v>
      </c>
      <c r="AF8" s="11">
        <f t="shared" si="18"/>
        <v>5458</v>
      </c>
      <c r="AG8" s="11">
        <f t="shared" si="1"/>
        <v>24559</v>
      </c>
      <c r="AH8" s="11">
        <f t="shared" si="2"/>
        <v>208954</v>
      </c>
      <c r="AI8" s="15">
        <f t="shared" si="3"/>
        <v>5480</v>
      </c>
      <c r="AJ8" s="15">
        <f t="shared" si="4"/>
        <v>203474</v>
      </c>
      <c r="AK8" s="15">
        <v>4000</v>
      </c>
      <c r="AL8" s="15">
        <f t="shared" si="6"/>
        <v>120</v>
      </c>
      <c r="AM8" s="15">
        <f t="shared" si="7"/>
        <v>0</v>
      </c>
      <c r="AN8" s="15">
        <f t="shared" si="8"/>
        <v>426</v>
      </c>
      <c r="AO8" s="15">
        <f t="shared" si="9"/>
        <v>192</v>
      </c>
      <c r="AP8" s="15">
        <v>2070</v>
      </c>
      <c r="AQ8" s="18">
        <f t="shared" si="10"/>
        <v>0.6</v>
      </c>
      <c r="AR8" s="18">
        <f t="shared" si="11"/>
        <v>0</v>
      </c>
      <c r="AS8" s="19">
        <f t="shared" si="12"/>
        <v>2.1</v>
      </c>
      <c r="AT8" s="18">
        <f t="shared" si="13"/>
        <v>0.94</v>
      </c>
    </row>
    <row r="9" spans="1:46" ht="26.4">
      <c r="A9" s="6">
        <v>43745</v>
      </c>
      <c r="B9" s="5" t="s">
        <v>48</v>
      </c>
      <c r="C9" s="4">
        <v>24824566</v>
      </c>
      <c r="D9" s="4">
        <v>9959300</v>
      </c>
      <c r="E9" s="4">
        <v>5866618</v>
      </c>
      <c r="F9" s="4">
        <v>5820450</v>
      </c>
      <c r="G9" s="4">
        <v>257834666</v>
      </c>
      <c r="H9" s="4">
        <v>105375064</v>
      </c>
      <c r="I9" s="4">
        <v>257835274</v>
      </c>
      <c r="J9" s="4">
        <v>105375080</v>
      </c>
      <c r="K9" s="4"/>
      <c r="L9" s="5">
        <v>4298.3</v>
      </c>
      <c r="M9" s="5">
        <v>4066.7</v>
      </c>
      <c r="N9" s="5">
        <v>73240.3</v>
      </c>
      <c r="O9" s="5"/>
      <c r="P9" s="5"/>
      <c r="Q9" s="9">
        <v>29.1</v>
      </c>
      <c r="R9" s="4" t="s">
        <v>44</v>
      </c>
      <c r="S9" s="4">
        <v>400</v>
      </c>
      <c r="T9" s="4">
        <v>430</v>
      </c>
      <c r="U9" s="4">
        <v>10495</v>
      </c>
      <c r="V9" s="4">
        <v>8012</v>
      </c>
      <c r="W9" s="5">
        <v>5.24</v>
      </c>
      <c r="X9" s="5">
        <v>2.5299999999999998</v>
      </c>
      <c r="Y9" s="4">
        <v>1225</v>
      </c>
      <c r="Z9" s="4" t="s">
        <v>459</v>
      </c>
      <c r="AA9" s="11">
        <f t="shared" ref="AA9:AF9" si="19">IF(OR(C10=""),"",C10-C9)</f>
        <v>58341</v>
      </c>
      <c r="AB9" s="11">
        <f t="shared" si="19"/>
        <v>70939</v>
      </c>
      <c r="AC9" s="11">
        <f t="shared" si="19"/>
        <v>53803</v>
      </c>
      <c r="AD9" s="11">
        <f t="shared" si="19"/>
        <v>53964</v>
      </c>
      <c r="AE9" s="11">
        <f t="shared" si="19"/>
        <v>215121</v>
      </c>
      <c r="AF9" s="11">
        <f t="shared" si="19"/>
        <v>5512</v>
      </c>
      <c r="AG9" s="11">
        <f t="shared" si="1"/>
        <v>21926</v>
      </c>
      <c r="AH9" s="11">
        <f t="shared" si="2"/>
        <v>216243</v>
      </c>
      <c r="AI9" s="15">
        <f t="shared" si="3"/>
        <v>5496</v>
      </c>
      <c r="AJ9" s="15">
        <f t="shared" si="4"/>
        <v>210747</v>
      </c>
      <c r="AK9" s="15">
        <v>3600</v>
      </c>
      <c r="AL9" s="15">
        <f t="shared" si="6"/>
        <v>0</v>
      </c>
      <c r="AM9" s="15">
        <f t="shared" si="7"/>
        <v>0</v>
      </c>
      <c r="AN9" s="15">
        <f t="shared" si="8"/>
        <v>2840</v>
      </c>
      <c r="AO9" s="15">
        <f t="shared" si="9"/>
        <v>1032</v>
      </c>
      <c r="AP9" s="15">
        <v>2206</v>
      </c>
      <c r="AQ9" s="18">
        <f t="shared" si="10"/>
        <v>0</v>
      </c>
      <c r="AR9" s="18">
        <f t="shared" si="11"/>
        <v>0</v>
      </c>
      <c r="AS9" s="19">
        <f t="shared" si="12"/>
        <v>13.5</v>
      </c>
      <c r="AT9" s="18">
        <f t="shared" si="13"/>
        <v>4.9000000000000004</v>
      </c>
    </row>
    <row r="10" spans="1:46" ht="26.4">
      <c r="A10" s="6">
        <v>43746</v>
      </c>
      <c r="B10" s="5" t="s">
        <v>455</v>
      </c>
      <c r="C10" s="4">
        <v>24882907</v>
      </c>
      <c r="D10" s="4">
        <v>10030239</v>
      </c>
      <c r="E10" s="4">
        <v>5920421</v>
      </c>
      <c r="F10" s="4">
        <v>5874414</v>
      </c>
      <c r="G10" s="4">
        <v>258049787</v>
      </c>
      <c r="H10" s="4">
        <v>105380576</v>
      </c>
      <c r="I10" s="4">
        <v>258051517</v>
      </c>
      <c r="J10" s="4">
        <v>105380576</v>
      </c>
      <c r="K10" s="4"/>
      <c r="L10" s="5">
        <v>4298.3</v>
      </c>
      <c r="M10" s="5">
        <v>4066.7</v>
      </c>
      <c r="N10" s="5">
        <v>73240.399999999994</v>
      </c>
      <c r="O10" s="5"/>
      <c r="P10" s="5"/>
      <c r="Q10" s="9">
        <v>28.4</v>
      </c>
      <c r="R10" s="4" t="s">
        <v>457</v>
      </c>
      <c r="S10" s="4">
        <v>640</v>
      </c>
      <c r="T10" s="4">
        <v>650</v>
      </c>
      <c r="U10" s="4">
        <v>10235</v>
      </c>
      <c r="V10" s="4">
        <v>8102</v>
      </c>
      <c r="W10" s="5">
        <v>6.32</v>
      </c>
      <c r="X10" s="5">
        <v>4.04</v>
      </c>
      <c r="Y10" s="4">
        <v>1433</v>
      </c>
      <c r="Z10" s="4" t="s">
        <v>462</v>
      </c>
      <c r="AA10" s="11">
        <f t="shared" ref="AA10:AF10" si="20">IF(OR(C11=""),"",C11-C10)</f>
        <v>62590</v>
      </c>
      <c r="AB10" s="11">
        <f t="shared" si="20"/>
        <v>74272</v>
      </c>
      <c r="AC10" s="11">
        <f t="shared" si="20"/>
        <v>52619</v>
      </c>
      <c r="AD10" s="11">
        <f t="shared" si="20"/>
        <v>51439</v>
      </c>
      <c r="AE10" s="11">
        <f t="shared" si="20"/>
        <v>214896</v>
      </c>
      <c r="AF10" s="11">
        <f t="shared" si="20"/>
        <v>5574</v>
      </c>
      <c r="AG10" s="11">
        <f t="shared" si="1"/>
        <v>26024</v>
      </c>
      <c r="AH10" s="11">
        <f t="shared" si="2"/>
        <v>213348</v>
      </c>
      <c r="AI10" s="15">
        <f t="shared" si="3"/>
        <v>5576</v>
      </c>
      <c r="AJ10" s="15">
        <f t="shared" si="4"/>
        <v>207772</v>
      </c>
      <c r="AK10" s="15">
        <v>3400</v>
      </c>
      <c r="AL10" s="15">
        <f t="shared" si="6"/>
        <v>120</v>
      </c>
      <c r="AM10" s="15">
        <f t="shared" si="7"/>
        <v>0</v>
      </c>
      <c r="AN10" s="15">
        <f t="shared" si="8"/>
        <v>4544</v>
      </c>
      <c r="AO10" s="15">
        <f t="shared" si="9"/>
        <v>1560</v>
      </c>
      <c r="AP10" s="15">
        <v>1817</v>
      </c>
      <c r="AQ10" s="18">
        <f t="shared" si="10"/>
        <v>0.6</v>
      </c>
      <c r="AR10" s="18">
        <f t="shared" si="11"/>
        <v>0</v>
      </c>
      <c r="AS10" s="19">
        <f t="shared" si="12"/>
        <v>21.9</v>
      </c>
      <c r="AT10" s="18">
        <f t="shared" si="13"/>
        <v>7.51</v>
      </c>
    </row>
    <row r="11" spans="1:46" ht="26.4">
      <c r="A11" s="6">
        <v>43747</v>
      </c>
      <c r="B11" s="5" t="s">
        <v>460</v>
      </c>
      <c r="C11" s="4">
        <v>24945497</v>
      </c>
      <c r="D11" s="4">
        <v>10104511</v>
      </c>
      <c r="E11" s="4">
        <v>5973040</v>
      </c>
      <c r="F11" s="4">
        <v>5925853</v>
      </c>
      <c r="G11" s="4">
        <v>258264683</v>
      </c>
      <c r="H11" s="4">
        <v>105386150</v>
      </c>
      <c r="I11" s="4">
        <v>258264865</v>
      </c>
      <c r="J11" s="4">
        <v>105386152</v>
      </c>
      <c r="K11" s="4"/>
      <c r="L11" s="5">
        <v>4298.3999999999996</v>
      </c>
      <c r="M11" s="5">
        <v>4066.7</v>
      </c>
      <c r="N11" s="5">
        <v>73240.5</v>
      </c>
      <c r="O11" s="5"/>
      <c r="P11" s="5"/>
      <c r="Q11" s="9">
        <v>28.2</v>
      </c>
      <c r="R11" s="4" t="s">
        <v>461</v>
      </c>
      <c r="S11" s="4">
        <v>270</v>
      </c>
      <c r="T11" s="4">
        <v>300</v>
      </c>
      <c r="U11" s="4">
        <v>10524</v>
      </c>
      <c r="V11" s="4">
        <v>8752</v>
      </c>
      <c r="W11" s="5">
        <v>5.83</v>
      </c>
      <c r="X11" s="5">
        <v>4.4000000000000004</v>
      </c>
      <c r="Y11" s="4">
        <v>1436</v>
      </c>
      <c r="Z11" s="4" t="s">
        <v>463</v>
      </c>
      <c r="AA11" s="11">
        <f t="shared" ref="AA11:AF11" si="21">IF(OR(C12=""),"",C12-C11)</f>
        <v>55420</v>
      </c>
      <c r="AB11" s="11">
        <f t="shared" si="21"/>
        <v>63085</v>
      </c>
      <c r="AC11" s="11">
        <f t="shared" si="21"/>
        <v>59808</v>
      </c>
      <c r="AD11" s="11">
        <f t="shared" si="21"/>
        <v>57716</v>
      </c>
      <c r="AE11" s="11">
        <f t="shared" si="21"/>
        <v>208635</v>
      </c>
      <c r="AF11" s="11">
        <f t="shared" si="21"/>
        <v>5451</v>
      </c>
      <c r="AG11" s="11">
        <f t="shared" si="1"/>
        <v>27394</v>
      </c>
      <c r="AH11" s="11">
        <f t="shared" si="2"/>
        <v>211739</v>
      </c>
      <c r="AI11" s="15">
        <f t="shared" si="3"/>
        <v>5536</v>
      </c>
      <c r="AJ11" s="15">
        <f t="shared" si="4"/>
        <v>206203</v>
      </c>
      <c r="AK11" s="15">
        <v>3300</v>
      </c>
      <c r="AL11" s="15">
        <f t="shared" si="6"/>
        <v>120</v>
      </c>
      <c r="AM11" s="15">
        <f t="shared" si="7"/>
        <v>0</v>
      </c>
      <c r="AN11" s="15">
        <f t="shared" si="8"/>
        <v>1917</v>
      </c>
      <c r="AO11" s="15">
        <f t="shared" si="9"/>
        <v>720</v>
      </c>
      <c r="AP11" s="15">
        <v>1760</v>
      </c>
      <c r="AQ11" s="18">
        <f t="shared" si="10"/>
        <v>0.6</v>
      </c>
      <c r="AR11" s="18">
        <f t="shared" si="11"/>
        <v>0</v>
      </c>
      <c r="AS11" s="19">
        <f t="shared" si="12"/>
        <v>9.3000000000000007</v>
      </c>
      <c r="AT11" s="18">
        <f t="shared" si="13"/>
        <v>3.49</v>
      </c>
    </row>
    <row r="12" spans="1:46">
      <c r="A12" s="6">
        <v>43748</v>
      </c>
      <c r="B12" s="5" t="s">
        <v>48</v>
      </c>
      <c r="C12" s="4">
        <v>25000917</v>
      </c>
      <c r="D12" s="4">
        <v>10167596</v>
      </c>
      <c r="E12" s="4">
        <v>6032848</v>
      </c>
      <c r="F12" s="4">
        <v>5983569</v>
      </c>
      <c r="G12" s="4">
        <v>258473318</v>
      </c>
      <c r="H12" s="4">
        <v>105391601</v>
      </c>
      <c r="I12" s="4">
        <v>258476604</v>
      </c>
      <c r="J12" s="4">
        <v>105391688</v>
      </c>
      <c r="K12" s="4"/>
      <c r="L12" s="5">
        <v>4298.5</v>
      </c>
      <c r="M12" s="5">
        <v>4066.7</v>
      </c>
      <c r="N12" s="5">
        <v>73240.600000000006</v>
      </c>
      <c r="O12" s="5"/>
      <c r="P12" s="5"/>
      <c r="Q12" s="9">
        <v>28.9</v>
      </c>
      <c r="R12" s="4" t="s">
        <v>44</v>
      </c>
      <c r="S12" s="4">
        <v>480</v>
      </c>
      <c r="T12" s="4">
        <v>500</v>
      </c>
      <c r="U12" s="4">
        <v>10421</v>
      </c>
      <c r="V12" s="4">
        <v>8524</v>
      </c>
      <c r="W12" s="5">
        <v>6.48</v>
      </c>
      <c r="X12" s="5">
        <v>4.78</v>
      </c>
      <c r="Y12" s="4">
        <v>1429</v>
      </c>
      <c r="Z12" s="4" t="s">
        <v>468</v>
      </c>
      <c r="AA12" s="11">
        <f t="shared" ref="AA12:AF12" si="22">IF(OR(C13=""),"",C13-C12)</f>
        <v>59086</v>
      </c>
      <c r="AB12" s="11">
        <f t="shared" si="22"/>
        <v>74337</v>
      </c>
      <c r="AC12" s="11">
        <f t="shared" si="22"/>
        <v>55742</v>
      </c>
      <c r="AD12" s="11">
        <f t="shared" si="22"/>
        <v>55207</v>
      </c>
      <c r="AE12" s="11">
        <f t="shared" si="22"/>
        <v>214257</v>
      </c>
      <c r="AF12" s="11">
        <f t="shared" si="22"/>
        <v>5561</v>
      </c>
      <c r="AG12" s="11">
        <f t="shared" si="1"/>
        <v>30115</v>
      </c>
      <c r="AH12" s="11">
        <f t="shared" si="2"/>
        <v>213058</v>
      </c>
      <c r="AI12" s="15">
        <f t="shared" si="3"/>
        <v>5536</v>
      </c>
      <c r="AJ12" s="15">
        <f t="shared" si="4"/>
        <v>207522</v>
      </c>
      <c r="AK12" s="15">
        <v>3800</v>
      </c>
      <c r="AL12" s="15">
        <f t="shared" si="6"/>
        <v>120</v>
      </c>
      <c r="AM12" s="15">
        <f t="shared" si="7"/>
        <v>0</v>
      </c>
      <c r="AN12" s="15">
        <f t="shared" si="8"/>
        <v>3408</v>
      </c>
      <c r="AO12" s="15">
        <f t="shared" si="9"/>
        <v>1200</v>
      </c>
      <c r="AP12" s="15">
        <v>1804</v>
      </c>
      <c r="AQ12" s="18">
        <f t="shared" si="10"/>
        <v>0.6</v>
      </c>
      <c r="AR12" s="18">
        <f t="shared" si="11"/>
        <v>0</v>
      </c>
      <c r="AS12" s="19">
        <f t="shared" si="12"/>
        <v>16.399999999999999</v>
      </c>
      <c r="AT12" s="18">
        <f t="shared" si="13"/>
        <v>5.78</v>
      </c>
    </row>
    <row r="13" spans="1:46">
      <c r="A13" s="6">
        <v>43749</v>
      </c>
      <c r="B13" s="5" t="s">
        <v>464</v>
      </c>
      <c r="C13" s="4">
        <v>25060003</v>
      </c>
      <c r="D13" s="4">
        <v>10241933</v>
      </c>
      <c r="E13" s="4">
        <v>6088590</v>
      </c>
      <c r="F13" s="4">
        <v>6038776</v>
      </c>
      <c r="G13" s="4">
        <v>258687575</v>
      </c>
      <c r="H13" s="4">
        <v>105397162</v>
      </c>
      <c r="I13" s="4">
        <v>258689662</v>
      </c>
      <c r="J13" s="4">
        <v>105397224</v>
      </c>
      <c r="K13" s="4"/>
      <c r="L13" s="5">
        <v>4298.6000000000004</v>
      </c>
      <c r="M13" s="5">
        <v>4066.7</v>
      </c>
      <c r="N13" s="5">
        <v>73240.600000000006</v>
      </c>
      <c r="O13" s="5"/>
      <c r="P13" s="5"/>
      <c r="Q13" s="9">
        <v>28</v>
      </c>
      <c r="R13" s="4" t="s">
        <v>465</v>
      </c>
      <c r="S13" s="4">
        <v>620</v>
      </c>
      <c r="T13" s="4">
        <v>640</v>
      </c>
      <c r="U13" s="4">
        <v>10216</v>
      </c>
      <c r="V13" s="4">
        <v>7952</v>
      </c>
      <c r="W13" s="5">
        <v>6.73</v>
      </c>
      <c r="X13" s="5">
        <v>5.34</v>
      </c>
      <c r="Y13" s="4">
        <v>1434</v>
      </c>
      <c r="Z13" s="4" t="s">
        <v>469</v>
      </c>
      <c r="AA13" s="11">
        <f t="shared" ref="AA13:AF13" si="23">IF(OR(C14=""),"",C14-C13)</f>
        <v>48034</v>
      </c>
      <c r="AB13" s="11">
        <f t="shared" si="23"/>
        <v>62117</v>
      </c>
      <c r="AC13" s="11">
        <f t="shared" si="23"/>
        <v>59518</v>
      </c>
      <c r="AD13" s="11">
        <f t="shared" si="23"/>
        <v>59994</v>
      </c>
      <c r="AE13" s="11">
        <f t="shared" si="23"/>
        <v>218105</v>
      </c>
      <c r="AF13" s="11">
        <f t="shared" si="23"/>
        <v>5603</v>
      </c>
      <c r="AG13" s="11">
        <f t="shared" si="1"/>
        <v>11558</v>
      </c>
      <c r="AH13" s="11">
        <f t="shared" si="2"/>
        <v>215634</v>
      </c>
      <c r="AI13" s="15">
        <f t="shared" si="3"/>
        <v>5528</v>
      </c>
      <c r="AJ13" s="15">
        <f t="shared" si="4"/>
        <v>210106</v>
      </c>
      <c r="AK13" s="15">
        <v>3500</v>
      </c>
      <c r="AL13" s="15">
        <f t="shared" si="6"/>
        <v>0</v>
      </c>
      <c r="AM13" s="15">
        <f t="shared" si="7"/>
        <v>1</v>
      </c>
      <c r="AN13" s="15">
        <f t="shared" si="8"/>
        <v>4402</v>
      </c>
      <c r="AO13" s="15">
        <f t="shared" si="9"/>
        <v>1536</v>
      </c>
      <c r="AP13" s="15">
        <v>1870</v>
      </c>
      <c r="AQ13" s="18">
        <f t="shared" si="10"/>
        <v>0</v>
      </c>
      <c r="AR13" s="18">
        <f t="shared" si="11"/>
        <v>0</v>
      </c>
      <c r="AS13" s="19">
        <f t="shared" si="12"/>
        <v>21</v>
      </c>
      <c r="AT13" s="18">
        <f t="shared" si="13"/>
        <v>7.31</v>
      </c>
    </row>
    <row r="14" spans="1:46" ht="26.4">
      <c r="A14" s="6">
        <v>43750</v>
      </c>
      <c r="B14" s="5" t="s">
        <v>466</v>
      </c>
      <c r="C14" s="4">
        <v>25108037</v>
      </c>
      <c r="D14" s="4">
        <v>10304050</v>
      </c>
      <c r="E14" s="4">
        <v>6148108</v>
      </c>
      <c r="F14" s="4">
        <v>6098770</v>
      </c>
      <c r="G14" s="4">
        <v>258905680</v>
      </c>
      <c r="H14" s="4">
        <v>105402765</v>
      </c>
      <c r="I14" s="4">
        <v>258905296</v>
      </c>
      <c r="J14" s="4">
        <v>105402752</v>
      </c>
      <c r="K14" s="4"/>
      <c r="L14" s="5">
        <v>4298.6000000000004</v>
      </c>
      <c r="M14" s="5">
        <v>4066.7</v>
      </c>
      <c r="N14" s="5">
        <v>73240.899999999994</v>
      </c>
      <c r="O14" s="5"/>
      <c r="P14" s="5"/>
      <c r="Q14" s="9">
        <v>28.2</v>
      </c>
      <c r="R14" s="4" t="s">
        <v>467</v>
      </c>
      <c r="S14" s="4">
        <v>660</v>
      </c>
      <c r="T14" s="4">
        <v>680</v>
      </c>
      <c r="U14" s="4">
        <v>10262</v>
      </c>
      <c r="V14" s="4">
        <v>7895</v>
      </c>
      <c r="W14" s="5">
        <v>5.47</v>
      </c>
      <c r="X14" s="5">
        <v>3.7</v>
      </c>
      <c r="Y14" s="4">
        <v>1435</v>
      </c>
      <c r="Z14" s="4" t="s">
        <v>472</v>
      </c>
      <c r="AA14" s="11">
        <f t="shared" ref="AA14:AF14" si="24">IF(OR(C15=""),"",C15-C14)</f>
        <v>48157</v>
      </c>
      <c r="AB14" s="11">
        <f t="shared" si="24"/>
        <v>59345</v>
      </c>
      <c r="AC14" s="11">
        <f t="shared" si="24"/>
        <v>63737</v>
      </c>
      <c r="AD14" s="11">
        <f t="shared" si="24"/>
        <v>64965</v>
      </c>
      <c r="AE14" s="11">
        <f t="shared" si="24"/>
        <v>214063</v>
      </c>
      <c r="AF14" s="11">
        <f t="shared" si="24"/>
        <v>5542</v>
      </c>
      <c r="AG14" s="11">
        <f t="shared" si="1"/>
        <v>22141</v>
      </c>
      <c r="AH14" s="11">
        <f t="shared" si="2"/>
        <v>213879</v>
      </c>
      <c r="AI14" s="15">
        <f t="shared" si="3"/>
        <v>5536</v>
      </c>
      <c r="AJ14" s="15">
        <f t="shared" si="4"/>
        <v>208343</v>
      </c>
      <c r="AK14" s="15">
        <v>3600</v>
      </c>
      <c r="AL14" s="15">
        <f t="shared" si="6"/>
        <v>120</v>
      </c>
      <c r="AM14" s="15">
        <f t="shared" si="7"/>
        <v>0</v>
      </c>
      <c r="AN14" s="15">
        <f t="shared" si="8"/>
        <v>4686</v>
      </c>
      <c r="AO14" s="15">
        <f t="shared" si="9"/>
        <v>1632</v>
      </c>
      <c r="AP14" s="15">
        <v>1857</v>
      </c>
      <c r="AQ14" s="18">
        <f t="shared" si="10"/>
        <v>0.6</v>
      </c>
      <c r="AR14" s="18">
        <f t="shared" si="11"/>
        <v>0</v>
      </c>
      <c r="AS14" s="19">
        <f t="shared" si="12"/>
        <v>22.5</v>
      </c>
      <c r="AT14" s="18">
        <f t="shared" si="13"/>
        <v>7.83</v>
      </c>
    </row>
    <row r="15" spans="1:46" ht="26.4">
      <c r="A15" s="6">
        <v>43751</v>
      </c>
      <c r="B15" s="5" t="s">
        <v>470</v>
      </c>
      <c r="C15" s="4">
        <v>25156194</v>
      </c>
      <c r="D15" s="4">
        <v>10363395</v>
      </c>
      <c r="E15" s="4">
        <v>6211845</v>
      </c>
      <c r="F15" s="4">
        <v>6163735</v>
      </c>
      <c r="G15" s="4">
        <v>259119743</v>
      </c>
      <c r="H15" s="4">
        <v>105408307</v>
      </c>
      <c r="I15" s="4">
        <v>259119175</v>
      </c>
      <c r="J15" s="4">
        <v>105408288</v>
      </c>
      <c r="K15" s="4"/>
      <c r="L15" s="5">
        <v>4298.7</v>
      </c>
      <c r="M15" s="5">
        <v>4066.7</v>
      </c>
      <c r="N15" s="5">
        <v>73241</v>
      </c>
      <c r="O15" s="5"/>
      <c r="P15" s="5"/>
      <c r="Q15" s="9">
        <v>28</v>
      </c>
      <c r="R15" s="4" t="s">
        <v>471</v>
      </c>
      <c r="S15" s="4">
        <v>590</v>
      </c>
      <c r="T15" s="4">
        <v>600</v>
      </c>
      <c r="U15" s="4">
        <v>10312</v>
      </c>
      <c r="V15" s="4">
        <v>7763</v>
      </c>
      <c r="W15" s="5">
        <v>5.15</v>
      </c>
      <c r="X15" s="5">
        <v>2.34</v>
      </c>
      <c r="Y15" s="4">
        <v>293</v>
      </c>
      <c r="Z15" s="4" t="s">
        <v>475</v>
      </c>
      <c r="AA15" s="11">
        <f t="shared" ref="AA15:AF15" si="25">IF(OR(C16=""),"",C16-C15)</f>
        <v>47154</v>
      </c>
      <c r="AB15" s="11">
        <f t="shared" si="25"/>
        <v>57473</v>
      </c>
      <c r="AC15" s="11">
        <f t="shared" si="25"/>
        <v>62388</v>
      </c>
      <c r="AD15" s="11">
        <f t="shared" si="25"/>
        <v>63632</v>
      </c>
      <c r="AE15" s="11">
        <f t="shared" si="25"/>
        <v>207752</v>
      </c>
      <c r="AF15" s="11">
        <f t="shared" si="25"/>
        <v>5520</v>
      </c>
      <c r="AG15" s="11">
        <f t="shared" si="1"/>
        <v>22895</v>
      </c>
      <c r="AH15" s="11">
        <f t="shared" si="2"/>
        <v>208225</v>
      </c>
      <c r="AI15" s="15">
        <f t="shared" si="3"/>
        <v>5536</v>
      </c>
      <c r="AJ15" s="15">
        <f t="shared" si="4"/>
        <v>202689</v>
      </c>
      <c r="AK15" s="15">
        <v>3600</v>
      </c>
      <c r="AL15" s="15">
        <f t="shared" si="6"/>
        <v>120</v>
      </c>
      <c r="AM15" s="15">
        <f t="shared" si="7"/>
        <v>0</v>
      </c>
      <c r="AN15" s="15">
        <f t="shared" si="8"/>
        <v>4189</v>
      </c>
      <c r="AO15" s="15">
        <f t="shared" si="9"/>
        <v>1440</v>
      </c>
      <c r="AP15" s="15">
        <v>1677</v>
      </c>
      <c r="AQ15" s="18">
        <f t="shared" si="10"/>
        <v>0.6</v>
      </c>
      <c r="AR15" s="18">
        <f t="shared" si="11"/>
        <v>0</v>
      </c>
      <c r="AS15" s="19">
        <f t="shared" si="12"/>
        <v>20.7</v>
      </c>
      <c r="AT15" s="18">
        <f t="shared" si="13"/>
        <v>7.1</v>
      </c>
    </row>
    <row r="16" spans="1:46" ht="39.6">
      <c r="A16" s="6">
        <v>43752</v>
      </c>
      <c r="B16" s="5" t="s">
        <v>473</v>
      </c>
      <c r="C16" s="4">
        <v>25203348</v>
      </c>
      <c r="D16" s="4">
        <v>10420868</v>
      </c>
      <c r="E16" s="4">
        <v>6274233</v>
      </c>
      <c r="F16" s="4">
        <v>6227367</v>
      </c>
      <c r="G16" s="4">
        <v>259327495</v>
      </c>
      <c r="H16" s="4">
        <v>105413827</v>
      </c>
      <c r="I16" s="4">
        <v>259327400</v>
      </c>
      <c r="J16" s="4">
        <v>105413824</v>
      </c>
      <c r="K16" s="4"/>
      <c r="L16" s="5">
        <v>4298.8</v>
      </c>
      <c r="M16" s="5">
        <v>4066.7</v>
      </c>
      <c r="N16" s="5">
        <v>73241.100000000006</v>
      </c>
      <c r="O16" s="5"/>
      <c r="P16" s="5"/>
      <c r="Q16" s="9">
        <v>28.3</v>
      </c>
      <c r="R16" s="4" t="s">
        <v>474</v>
      </c>
      <c r="S16" s="4">
        <v>300</v>
      </c>
      <c r="T16" s="4">
        <v>330</v>
      </c>
      <c r="U16" s="4">
        <v>10213</v>
      </c>
      <c r="V16" s="4">
        <v>9155</v>
      </c>
      <c r="W16" s="5">
        <v>6.5</v>
      </c>
      <c r="X16" s="5">
        <v>2.44</v>
      </c>
      <c r="Y16" s="4">
        <v>658</v>
      </c>
      <c r="Z16" s="4" t="s">
        <v>477</v>
      </c>
      <c r="AA16" s="11">
        <f t="shared" ref="AA16:AF16" si="26">IF(OR(C17=""),"",C17-C16)</f>
        <v>52743</v>
      </c>
      <c r="AB16" s="11">
        <f t="shared" si="26"/>
        <v>63874</v>
      </c>
      <c r="AC16" s="11">
        <f t="shared" si="26"/>
        <v>59087</v>
      </c>
      <c r="AD16" s="11">
        <f t="shared" si="26"/>
        <v>60501</v>
      </c>
      <c r="AE16" s="11">
        <f t="shared" si="26"/>
        <v>205638</v>
      </c>
      <c r="AF16" s="11">
        <f t="shared" si="26"/>
        <v>5499</v>
      </c>
      <c r="AG16" s="11">
        <f t="shared" si="1"/>
        <v>30567</v>
      </c>
      <c r="AH16" s="11">
        <f t="shared" si="2"/>
        <v>207117</v>
      </c>
      <c r="AI16" s="15">
        <f t="shared" si="3"/>
        <v>5528</v>
      </c>
      <c r="AJ16" s="15">
        <f t="shared" si="4"/>
        <v>201589</v>
      </c>
      <c r="AK16" s="15">
        <v>4000</v>
      </c>
      <c r="AL16" s="15">
        <f t="shared" si="6"/>
        <v>120</v>
      </c>
      <c r="AM16" s="15">
        <f t="shared" si="7"/>
        <v>0</v>
      </c>
      <c r="AN16" s="15">
        <f t="shared" si="8"/>
        <v>2130</v>
      </c>
      <c r="AO16" s="15">
        <f t="shared" si="9"/>
        <v>792</v>
      </c>
      <c r="AP16" s="15">
        <v>1491</v>
      </c>
      <c r="AQ16" s="18">
        <f t="shared" si="10"/>
        <v>0.6</v>
      </c>
      <c r="AR16" s="18">
        <f t="shared" si="11"/>
        <v>0</v>
      </c>
      <c r="AS16" s="19">
        <f t="shared" si="12"/>
        <v>10.6</v>
      </c>
      <c r="AT16" s="18">
        <f t="shared" si="13"/>
        <v>3.93</v>
      </c>
    </row>
    <row r="17" spans="1:46">
      <c r="A17" s="6">
        <v>43753</v>
      </c>
      <c r="B17" s="5" t="s">
        <v>478</v>
      </c>
      <c r="C17" s="4">
        <v>25256091</v>
      </c>
      <c r="D17" s="4">
        <v>10484742</v>
      </c>
      <c r="E17" s="4">
        <v>6333320</v>
      </c>
      <c r="F17" s="4">
        <v>6287868</v>
      </c>
      <c r="G17" s="4">
        <v>259533133</v>
      </c>
      <c r="H17" s="4">
        <v>105419326</v>
      </c>
      <c r="I17" s="4">
        <v>259534517</v>
      </c>
      <c r="J17" s="4">
        <v>105419352</v>
      </c>
      <c r="K17" s="4"/>
      <c r="L17" s="5">
        <v>4298.8999999999996</v>
      </c>
      <c r="M17" s="5">
        <v>4066.7</v>
      </c>
      <c r="N17" s="5">
        <v>73241.2</v>
      </c>
      <c r="O17" s="5"/>
      <c r="P17" s="5"/>
      <c r="Q17" s="9">
        <v>28.1</v>
      </c>
      <c r="R17" s="4" t="s">
        <v>476</v>
      </c>
      <c r="S17" s="4">
        <v>310</v>
      </c>
      <c r="T17" s="4">
        <v>340</v>
      </c>
      <c r="U17" s="4">
        <v>9570</v>
      </c>
      <c r="V17" s="4">
        <v>8894</v>
      </c>
      <c r="W17" s="5">
        <v>7.6</v>
      </c>
      <c r="X17" s="5">
        <v>6.53</v>
      </c>
      <c r="Y17" s="4">
        <v>1429</v>
      </c>
      <c r="Z17" s="4"/>
      <c r="AA17" s="11">
        <f t="shared" ref="AA17:AF17" si="27">IF(OR(C18=""),"",C18-C17)</f>
        <v>47473</v>
      </c>
      <c r="AB17" s="11">
        <f t="shared" si="27"/>
        <v>58339</v>
      </c>
      <c r="AC17" s="11">
        <f t="shared" si="27"/>
        <v>56440</v>
      </c>
      <c r="AD17" s="11">
        <f t="shared" si="27"/>
        <v>58495</v>
      </c>
      <c r="AE17" s="11">
        <f t="shared" si="27"/>
        <v>216805</v>
      </c>
      <c r="AF17" s="11">
        <f t="shared" si="27"/>
        <v>5532</v>
      </c>
      <c r="AG17" s="11">
        <f t="shared" si="1"/>
        <v>3942</v>
      </c>
      <c r="AH17" s="11">
        <f t="shared" si="2"/>
        <v>216375</v>
      </c>
      <c r="AI17" s="15">
        <f t="shared" si="3"/>
        <v>5528</v>
      </c>
      <c r="AJ17" s="15">
        <f t="shared" si="4"/>
        <v>210847</v>
      </c>
      <c r="AK17" s="15">
        <v>3800</v>
      </c>
      <c r="AL17" s="15">
        <f t="shared" si="6"/>
        <v>0</v>
      </c>
      <c r="AM17" s="15">
        <f t="shared" si="7"/>
        <v>0</v>
      </c>
      <c r="AN17" s="15">
        <f t="shared" si="8"/>
        <v>2201</v>
      </c>
      <c r="AO17" s="15">
        <f t="shared" si="9"/>
        <v>816</v>
      </c>
      <c r="AP17" s="15">
        <v>1558</v>
      </c>
      <c r="AQ17" s="18">
        <f t="shared" si="10"/>
        <v>0</v>
      </c>
      <c r="AR17" s="18">
        <f t="shared" si="11"/>
        <v>0</v>
      </c>
      <c r="AS17" s="19">
        <f t="shared" si="12"/>
        <v>10.4</v>
      </c>
      <c r="AT17" s="18">
        <f t="shared" si="13"/>
        <v>3.87</v>
      </c>
    </row>
    <row r="18" spans="1:46">
      <c r="A18" s="6">
        <v>43754</v>
      </c>
      <c r="B18" s="5" t="s">
        <v>45</v>
      </c>
      <c r="C18" s="4">
        <v>25303564</v>
      </c>
      <c r="D18" s="4">
        <v>10543081</v>
      </c>
      <c r="E18" s="4">
        <v>6389760</v>
      </c>
      <c r="F18" s="4">
        <v>6346363</v>
      </c>
      <c r="G18" s="4">
        <v>259749938</v>
      </c>
      <c r="H18" s="4">
        <v>105424858</v>
      </c>
      <c r="I18" s="4">
        <v>259750892</v>
      </c>
      <c r="J18" s="4">
        <v>105424880</v>
      </c>
      <c r="K18" s="4"/>
      <c r="L18" s="5">
        <v>4298.8999999999996</v>
      </c>
      <c r="M18" s="5">
        <v>4066.7</v>
      </c>
      <c r="N18" s="5">
        <v>73241.2</v>
      </c>
      <c r="O18" s="5"/>
      <c r="P18" s="5"/>
      <c r="Q18" s="9">
        <v>27.3</v>
      </c>
      <c r="R18" s="4" t="s">
        <v>53</v>
      </c>
      <c r="S18" s="4">
        <v>300</v>
      </c>
      <c r="T18" s="4">
        <v>320</v>
      </c>
      <c r="U18" s="4">
        <v>9354</v>
      </c>
      <c r="V18" s="4">
        <v>8867</v>
      </c>
      <c r="W18" s="5">
        <v>7.52</v>
      </c>
      <c r="X18" s="5">
        <v>6.65</v>
      </c>
      <c r="Y18" s="4">
        <v>1436</v>
      </c>
      <c r="Z18" s="4"/>
      <c r="AA18" s="11">
        <f t="shared" ref="AA18:AF18" si="28">IF(OR(C19=""),"",C19-C18)</f>
        <v>46557</v>
      </c>
      <c r="AB18" s="11">
        <f t="shared" si="28"/>
        <v>57315</v>
      </c>
      <c r="AC18" s="11">
        <f t="shared" si="28"/>
        <v>56026</v>
      </c>
      <c r="AD18" s="11">
        <f t="shared" si="28"/>
        <v>57717</v>
      </c>
      <c r="AE18" s="11">
        <f t="shared" si="28"/>
        <v>211736</v>
      </c>
      <c r="AF18" s="11">
        <f t="shared" si="28"/>
        <v>5419</v>
      </c>
      <c r="AG18" s="11">
        <f t="shared" si="1"/>
        <v>5879</v>
      </c>
      <c r="AH18" s="11">
        <f t="shared" si="2"/>
        <v>216338</v>
      </c>
      <c r="AI18" s="15">
        <f t="shared" si="3"/>
        <v>5528</v>
      </c>
      <c r="AJ18" s="15">
        <f t="shared" si="4"/>
        <v>210810</v>
      </c>
      <c r="AK18" s="15">
        <v>4000</v>
      </c>
      <c r="AL18" s="15">
        <f t="shared" si="6"/>
        <v>0</v>
      </c>
      <c r="AM18" s="15">
        <f t="shared" si="7"/>
        <v>0</v>
      </c>
      <c r="AN18" s="15">
        <f t="shared" si="8"/>
        <v>2130</v>
      </c>
      <c r="AO18" s="15">
        <f t="shared" si="9"/>
        <v>768</v>
      </c>
      <c r="AP18" s="15">
        <v>1464</v>
      </c>
      <c r="AQ18" s="18">
        <f t="shared" si="10"/>
        <v>0</v>
      </c>
      <c r="AR18" s="18">
        <f t="shared" si="11"/>
        <v>0</v>
      </c>
      <c r="AS18" s="19">
        <f t="shared" si="12"/>
        <v>10.1</v>
      </c>
      <c r="AT18" s="18">
        <f t="shared" si="13"/>
        <v>3.64</v>
      </c>
    </row>
    <row r="19" spans="1:46">
      <c r="A19" s="6">
        <v>43755</v>
      </c>
      <c r="B19" s="5" t="s">
        <v>479</v>
      </c>
      <c r="C19" s="4">
        <v>25350121</v>
      </c>
      <c r="D19" s="4">
        <v>10600396</v>
      </c>
      <c r="E19" s="4">
        <v>6445786</v>
      </c>
      <c r="F19" s="4">
        <v>6404080</v>
      </c>
      <c r="G19" s="4">
        <v>259961674</v>
      </c>
      <c r="H19" s="4">
        <v>105430277</v>
      </c>
      <c r="I19" s="4">
        <v>259967230</v>
      </c>
      <c r="J19" s="4">
        <v>105430408</v>
      </c>
      <c r="K19" s="4"/>
      <c r="L19" s="5">
        <v>4298.8999999999996</v>
      </c>
      <c r="M19" s="5">
        <v>4066.7</v>
      </c>
      <c r="N19" s="5">
        <v>73241.2</v>
      </c>
      <c r="O19" s="5"/>
      <c r="P19" s="5"/>
      <c r="Q19" s="9">
        <v>25.6</v>
      </c>
      <c r="R19" s="4" t="s">
        <v>55</v>
      </c>
      <c r="S19" s="4">
        <v>430</v>
      </c>
      <c r="T19" s="4">
        <v>450</v>
      </c>
      <c r="U19" s="4">
        <v>9530</v>
      </c>
      <c r="V19" s="4">
        <v>6511</v>
      </c>
      <c r="W19" s="5">
        <v>6.98</v>
      </c>
      <c r="X19" s="5">
        <v>5.15</v>
      </c>
      <c r="Y19" s="4">
        <v>1434</v>
      </c>
      <c r="Z19" s="4" t="s">
        <v>484</v>
      </c>
      <c r="AA19" s="11">
        <f t="shared" ref="AA19:AF19" si="29">IF(OR(C20=""),"",C20-C19)</f>
        <v>46785</v>
      </c>
      <c r="AB19" s="11">
        <f t="shared" si="29"/>
        <v>56704</v>
      </c>
      <c r="AC19" s="11">
        <f t="shared" si="29"/>
        <v>57450</v>
      </c>
      <c r="AD19" s="11">
        <f t="shared" si="29"/>
        <v>57898</v>
      </c>
      <c r="AE19" s="11">
        <f t="shared" si="29"/>
        <v>214284</v>
      </c>
      <c r="AF19" s="11">
        <f t="shared" si="29"/>
        <v>5657</v>
      </c>
      <c r="AG19" s="11">
        <f t="shared" si="1"/>
        <v>4553</v>
      </c>
      <c r="AH19" s="11">
        <f t="shared" si="2"/>
        <v>208689</v>
      </c>
      <c r="AI19" s="15">
        <f t="shared" si="3"/>
        <v>5520</v>
      </c>
      <c r="AJ19" s="15">
        <f t="shared" si="4"/>
        <v>203169</v>
      </c>
      <c r="AK19" s="15">
        <v>3800</v>
      </c>
      <c r="AL19" s="15">
        <f t="shared" si="6"/>
        <v>240</v>
      </c>
      <c r="AM19" s="15">
        <f t="shared" si="7"/>
        <v>1</v>
      </c>
      <c r="AN19" s="15">
        <f t="shared" si="8"/>
        <v>3053</v>
      </c>
      <c r="AO19" s="15">
        <f t="shared" si="9"/>
        <v>1080</v>
      </c>
      <c r="AP19" s="15">
        <v>1459</v>
      </c>
      <c r="AQ19" s="18">
        <f t="shared" si="10"/>
        <v>1.2</v>
      </c>
      <c r="AR19" s="18">
        <f t="shared" si="11"/>
        <v>0</v>
      </c>
      <c r="AS19" s="19">
        <f t="shared" si="12"/>
        <v>15</v>
      </c>
      <c r="AT19" s="18">
        <f t="shared" si="13"/>
        <v>5.32</v>
      </c>
    </row>
    <row r="20" spans="1:46">
      <c r="A20" s="6">
        <v>43756</v>
      </c>
      <c r="B20" s="5" t="s">
        <v>480</v>
      </c>
      <c r="C20" s="4">
        <v>25396906</v>
      </c>
      <c r="D20" s="4">
        <v>10657100</v>
      </c>
      <c r="E20" s="4">
        <v>6503236</v>
      </c>
      <c r="F20" s="4">
        <v>6461978</v>
      </c>
      <c r="G20" s="4">
        <v>260175958</v>
      </c>
      <c r="H20" s="4">
        <v>105435934</v>
      </c>
      <c r="I20" s="4">
        <v>260175919</v>
      </c>
      <c r="J20" s="4">
        <v>105435928</v>
      </c>
      <c r="K20" s="4"/>
      <c r="L20" s="5">
        <v>4299.1000000000004</v>
      </c>
      <c r="M20" s="5">
        <v>4066.7</v>
      </c>
      <c r="N20" s="5">
        <v>73241.5</v>
      </c>
      <c r="O20" s="5"/>
      <c r="P20" s="5"/>
      <c r="Q20" s="9">
        <v>26.1</v>
      </c>
      <c r="R20" s="4" t="s">
        <v>481</v>
      </c>
      <c r="S20" s="4">
        <v>640</v>
      </c>
      <c r="T20" s="4">
        <v>650</v>
      </c>
      <c r="U20" s="4">
        <v>10261</v>
      </c>
      <c r="V20" s="4">
        <v>8426</v>
      </c>
      <c r="W20" s="5">
        <v>5.39</v>
      </c>
      <c r="X20" s="5">
        <v>4.13</v>
      </c>
      <c r="Y20" s="4">
        <v>1433</v>
      </c>
      <c r="Z20" s="4"/>
      <c r="AA20" s="11">
        <f t="shared" ref="AA20:AF20" si="30">IF(OR(C21=""),"",C21-C20)</f>
        <v>49197</v>
      </c>
      <c r="AB20" s="11">
        <f t="shared" si="30"/>
        <v>60585</v>
      </c>
      <c r="AC20" s="11">
        <f t="shared" si="30"/>
        <v>67352</v>
      </c>
      <c r="AD20" s="11">
        <f t="shared" si="30"/>
        <v>67844</v>
      </c>
      <c r="AE20" s="11">
        <f t="shared" si="30"/>
        <v>208597</v>
      </c>
      <c r="AF20" s="11">
        <f t="shared" si="30"/>
        <v>5502</v>
      </c>
      <c r="AG20" s="11">
        <f t="shared" si="1"/>
        <v>36381</v>
      </c>
      <c r="AH20" s="11">
        <f t="shared" si="2"/>
        <v>209451</v>
      </c>
      <c r="AI20" s="15">
        <f t="shared" si="3"/>
        <v>5528</v>
      </c>
      <c r="AJ20" s="15">
        <f t="shared" si="4"/>
        <v>203923</v>
      </c>
      <c r="AK20" s="15">
        <v>3600</v>
      </c>
      <c r="AL20" s="15">
        <f t="shared" si="6"/>
        <v>120</v>
      </c>
      <c r="AM20" s="15">
        <f t="shared" si="7"/>
        <v>0</v>
      </c>
      <c r="AN20" s="15">
        <f t="shared" si="8"/>
        <v>4544</v>
      </c>
      <c r="AO20" s="15">
        <f t="shared" si="9"/>
        <v>1560</v>
      </c>
      <c r="AP20" s="15">
        <v>1877</v>
      </c>
      <c r="AQ20" s="18">
        <f t="shared" si="10"/>
        <v>0.6</v>
      </c>
      <c r="AR20" s="18">
        <f t="shared" si="11"/>
        <v>0</v>
      </c>
      <c r="AS20" s="19">
        <f t="shared" si="12"/>
        <v>22.3</v>
      </c>
      <c r="AT20" s="18">
        <f t="shared" si="13"/>
        <v>7.65</v>
      </c>
    </row>
    <row r="21" spans="1:46">
      <c r="A21" s="6">
        <v>43757</v>
      </c>
      <c r="B21" s="5" t="s">
        <v>482</v>
      </c>
      <c r="C21" s="4">
        <v>25446103</v>
      </c>
      <c r="D21" s="4">
        <v>10717685</v>
      </c>
      <c r="E21" s="4">
        <v>6570588</v>
      </c>
      <c r="F21" s="4">
        <v>6529822</v>
      </c>
      <c r="G21" s="4">
        <v>260384555</v>
      </c>
      <c r="H21" s="4">
        <v>105441436</v>
      </c>
      <c r="I21" s="4">
        <v>260385370</v>
      </c>
      <c r="J21" s="4">
        <v>105441456</v>
      </c>
      <c r="K21" s="4"/>
      <c r="L21" s="5">
        <v>4299.2</v>
      </c>
      <c r="M21" s="5">
        <v>4066.7</v>
      </c>
      <c r="N21" s="5">
        <v>73241.600000000006</v>
      </c>
      <c r="O21" s="5"/>
      <c r="P21" s="5"/>
      <c r="Q21" s="9">
        <v>26</v>
      </c>
      <c r="R21" s="4" t="s">
        <v>483</v>
      </c>
      <c r="S21" s="4">
        <v>600</v>
      </c>
      <c r="T21" s="4">
        <v>620</v>
      </c>
      <c r="U21" s="4">
        <v>10195</v>
      </c>
      <c r="V21" s="4">
        <v>7859</v>
      </c>
      <c r="W21" s="5">
        <v>5.09</v>
      </c>
      <c r="X21" s="5">
        <v>3.9</v>
      </c>
      <c r="Y21" s="4">
        <v>1429</v>
      </c>
      <c r="Z21" s="4" t="s">
        <v>487</v>
      </c>
      <c r="AA21" s="11">
        <f t="shared" ref="AA21:AF21" si="31">IF(OR(C22=""),"",C22-C21)</f>
        <v>49132</v>
      </c>
      <c r="AB21" s="11">
        <f t="shared" si="31"/>
        <v>60665</v>
      </c>
      <c r="AC21" s="11">
        <f t="shared" si="31"/>
        <v>64793</v>
      </c>
      <c r="AD21" s="11">
        <f t="shared" si="31"/>
        <v>66844</v>
      </c>
      <c r="AE21" s="11">
        <f t="shared" si="31"/>
        <v>214789</v>
      </c>
      <c r="AF21" s="11">
        <f t="shared" si="31"/>
        <v>5543</v>
      </c>
      <c r="AG21" s="11">
        <f t="shared" si="1"/>
        <v>26645</v>
      </c>
      <c r="AH21" s="11">
        <f t="shared" si="2"/>
        <v>214149</v>
      </c>
      <c r="AI21" s="15">
        <f t="shared" si="3"/>
        <v>5528</v>
      </c>
      <c r="AJ21" s="15">
        <f t="shared" si="4"/>
        <v>208621</v>
      </c>
      <c r="AK21" s="15">
        <v>4100</v>
      </c>
      <c r="AL21" s="15">
        <f t="shared" si="6"/>
        <v>120</v>
      </c>
      <c r="AM21" s="15">
        <f t="shared" si="7"/>
        <v>0</v>
      </c>
      <c r="AN21" s="15">
        <f t="shared" si="8"/>
        <v>4260</v>
      </c>
      <c r="AO21" s="15">
        <f t="shared" si="9"/>
        <v>1488</v>
      </c>
      <c r="AP21" s="15">
        <v>1921</v>
      </c>
      <c r="AQ21" s="18">
        <f t="shared" si="10"/>
        <v>0.6</v>
      </c>
      <c r="AR21" s="18">
        <f t="shared" si="11"/>
        <v>0</v>
      </c>
      <c r="AS21" s="19">
        <f t="shared" si="12"/>
        <v>20.399999999999999</v>
      </c>
      <c r="AT21" s="18">
        <f t="shared" si="13"/>
        <v>7.13</v>
      </c>
    </row>
    <row r="22" spans="1:46">
      <c r="A22" s="6">
        <v>43758</v>
      </c>
      <c r="B22" s="5" t="s">
        <v>485</v>
      </c>
      <c r="C22" s="4">
        <v>25495235</v>
      </c>
      <c r="D22" s="4">
        <v>10778350</v>
      </c>
      <c r="E22" s="4">
        <v>6635381</v>
      </c>
      <c r="F22" s="4">
        <v>6596666</v>
      </c>
      <c r="G22" s="4">
        <v>260599344</v>
      </c>
      <c r="H22" s="4">
        <v>105446979</v>
      </c>
      <c r="I22" s="4">
        <v>260599519</v>
      </c>
      <c r="J22" s="4">
        <v>105446984</v>
      </c>
      <c r="K22" s="4"/>
      <c r="L22" s="5">
        <v>4299.3</v>
      </c>
      <c r="M22" s="5">
        <v>4066.7</v>
      </c>
      <c r="N22" s="5">
        <v>73241.8</v>
      </c>
      <c r="O22" s="5"/>
      <c r="P22" s="5"/>
      <c r="Q22" s="9">
        <v>25.8</v>
      </c>
      <c r="R22" s="4" t="s">
        <v>486</v>
      </c>
      <c r="S22" s="4">
        <v>570</v>
      </c>
      <c r="T22" s="4">
        <v>580</v>
      </c>
      <c r="U22" s="4">
        <v>10211</v>
      </c>
      <c r="V22" s="4">
        <v>8231</v>
      </c>
      <c r="W22" s="5">
        <v>5.8</v>
      </c>
      <c r="X22" s="5">
        <v>3.53</v>
      </c>
      <c r="Y22" s="4">
        <v>1429</v>
      </c>
      <c r="Z22" s="4" t="s">
        <v>490</v>
      </c>
      <c r="AA22" s="11">
        <f t="shared" ref="AA22:AF22" si="32">IF(OR(C23=""),"",C23-C22)</f>
        <v>50459</v>
      </c>
      <c r="AB22" s="11">
        <f t="shared" si="32"/>
        <v>62301</v>
      </c>
      <c r="AC22" s="11">
        <f t="shared" si="32"/>
        <v>65369</v>
      </c>
      <c r="AD22" s="11">
        <f t="shared" si="32"/>
        <v>67548</v>
      </c>
      <c r="AE22" s="11">
        <f t="shared" si="32"/>
        <v>219321</v>
      </c>
      <c r="AF22" s="11">
        <f t="shared" si="32"/>
        <v>5548</v>
      </c>
      <c r="AG22" s="11">
        <f t="shared" si="1"/>
        <v>26356</v>
      </c>
      <c r="AH22" s="11">
        <f t="shared" si="2"/>
        <v>219027</v>
      </c>
      <c r="AI22" s="15">
        <f t="shared" si="3"/>
        <v>5536</v>
      </c>
      <c r="AJ22" s="15">
        <f t="shared" si="4"/>
        <v>213491</v>
      </c>
      <c r="AK22" s="15">
        <v>3600</v>
      </c>
      <c r="AL22" s="15">
        <f t="shared" si="6"/>
        <v>120</v>
      </c>
      <c r="AM22" s="15">
        <f t="shared" si="7"/>
        <v>0</v>
      </c>
      <c r="AN22" s="15">
        <f t="shared" si="8"/>
        <v>4047</v>
      </c>
      <c r="AO22" s="15">
        <f t="shared" si="9"/>
        <v>1392</v>
      </c>
      <c r="AP22" s="15">
        <v>1824</v>
      </c>
      <c r="AQ22" s="18">
        <f t="shared" si="10"/>
        <v>0.6</v>
      </c>
      <c r="AR22" s="18">
        <f t="shared" si="11"/>
        <v>0</v>
      </c>
      <c r="AS22" s="19">
        <f t="shared" si="12"/>
        <v>19</v>
      </c>
      <c r="AT22" s="18">
        <f t="shared" si="13"/>
        <v>6.52</v>
      </c>
    </row>
    <row r="23" spans="1:46">
      <c r="A23" s="6">
        <v>43759</v>
      </c>
      <c r="B23" s="5" t="s">
        <v>488</v>
      </c>
      <c r="C23" s="4">
        <v>25545694</v>
      </c>
      <c r="D23" s="4">
        <v>10840651</v>
      </c>
      <c r="E23" s="4">
        <v>6700750</v>
      </c>
      <c r="F23" s="4">
        <v>6664214</v>
      </c>
      <c r="G23" s="4">
        <v>260818665</v>
      </c>
      <c r="H23" s="4">
        <v>105452527</v>
      </c>
      <c r="I23" s="4">
        <v>260818546</v>
      </c>
      <c r="J23" s="4">
        <v>105452520</v>
      </c>
      <c r="K23" s="4"/>
      <c r="L23" s="5">
        <v>4299.3999999999996</v>
      </c>
      <c r="M23" s="5">
        <v>4066.7</v>
      </c>
      <c r="N23" s="5">
        <v>73241.899999999994</v>
      </c>
      <c r="O23" s="5"/>
      <c r="P23" s="5"/>
      <c r="Q23" s="9">
        <v>26</v>
      </c>
      <c r="R23" s="4" t="s">
        <v>489</v>
      </c>
      <c r="S23" s="4">
        <v>380</v>
      </c>
      <c r="T23" s="4">
        <v>400</v>
      </c>
      <c r="U23" s="4">
        <v>9342</v>
      </c>
      <c r="V23" s="4">
        <v>8152</v>
      </c>
      <c r="W23" s="5">
        <v>7.26</v>
      </c>
      <c r="X23" s="5">
        <v>5.59</v>
      </c>
      <c r="Y23" s="4">
        <v>1434</v>
      </c>
      <c r="Z23" s="4"/>
      <c r="AA23" s="11">
        <f t="shared" ref="AA23:AF23" si="33">IF(OR(C24=""),"",C24-C23)</f>
        <v>47273</v>
      </c>
      <c r="AB23" s="11">
        <f t="shared" si="33"/>
        <v>59541</v>
      </c>
      <c r="AC23" s="11">
        <f t="shared" si="33"/>
        <v>57029</v>
      </c>
      <c r="AD23" s="11">
        <f t="shared" si="33"/>
        <v>58024</v>
      </c>
      <c r="AE23" s="11">
        <f t="shared" si="33"/>
        <v>218410</v>
      </c>
      <c r="AF23" s="11">
        <f t="shared" si="33"/>
        <v>5545</v>
      </c>
      <c r="AG23" s="11">
        <f t="shared" si="1"/>
        <v>3457</v>
      </c>
      <c r="AH23" s="11">
        <f t="shared" si="2"/>
        <v>218627</v>
      </c>
      <c r="AI23" s="15">
        <f t="shared" si="3"/>
        <v>5552</v>
      </c>
      <c r="AJ23" s="15">
        <f t="shared" si="4"/>
        <v>213075</v>
      </c>
      <c r="AK23" s="15">
        <v>3800</v>
      </c>
      <c r="AL23" s="15">
        <f t="shared" si="6"/>
        <v>120</v>
      </c>
      <c r="AM23" s="15">
        <f t="shared" si="7"/>
        <v>0</v>
      </c>
      <c r="AN23" s="15">
        <f t="shared" si="8"/>
        <v>2698</v>
      </c>
      <c r="AO23" s="15">
        <f t="shared" si="9"/>
        <v>960</v>
      </c>
      <c r="AP23" s="15">
        <v>1856</v>
      </c>
      <c r="AQ23" s="18">
        <f t="shared" si="10"/>
        <v>0.6</v>
      </c>
      <c r="AR23" s="18">
        <f t="shared" si="11"/>
        <v>0</v>
      </c>
      <c r="AS23" s="19">
        <f t="shared" si="12"/>
        <v>12.7</v>
      </c>
      <c r="AT23" s="18">
        <f t="shared" si="13"/>
        <v>4.51</v>
      </c>
    </row>
    <row r="24" spans="1:46">
      <c r="A24" s="6">
        <v>43760</v>
      </c>
      <c r="B24" s="5" t="s">
        <v>491</v>
      </c>
      <c r="C24" s="4">
        <v>25592967</v>
      </c>
      <c r="D24" s="4">
        <v>10900192</v>
      </c>
      <c r="E24" s="4">
        <v>6757779</v>
      </c>
      <c r="F24" s="4">
        <v>6722238</v>
      </c>
      <c r="G24" s="4">
        <v>261037075</v>
      </c>
      <c r="H24" s="4">
        <v>105458072</v>
      </c>
      <c r="I24" s="4">
        <v>261037173</v>
      </c>
      <c r="J24" s="4">
        <v>105458072</v>
      </c>
      <c r="K24" s="4"/>
      <c r="L24" s="5">
        <v>4299.5</v>
      </c>
      <c r="M24" s="5">
        <v>4066.7</v>
      </c>
      <c r="N24" s="5">
        <v>73242</v>
      </c>
      <c r="O24" s="5"/>
      <c r="P24" s="5"/>
      <c r="Q24" s="9">
        <v>25.8</v>
      </c>
      <c r="R24" s="4" t="s">
        <v>492</v>
      </c>
      <c r="S24" s="4">
        <v>230</v>
      </c>
      <c r="T24" s="4">
        <v>250</v>
      </c>
      <c r="U24" s="4">
        <v>9412</v>
      </c>
      <c r="V24" s="4">
        <v>8745</v>
      </c>
      <c r="W24" s="5">
        <v>6.95</v>
      </c>
      <c r="X24" s="5">
        <v>5.8</v>
      </c>
      <c r="Y24" s="4">
        <v>1427</v>
      </c>
      <c r="Z24" s="4"/>
      <c r="AA24" s="11">
        <f t="shared" ref="AA24:AF24" si="34">IF(OR(C25=""),"",C25-C24)</f>
        <v>47941</v>
      </c>
      <c r="AB24" s="11">
        <f t="shared" si="34"/>
        <v>60817</v>
      </c>
      <c r="AC24" s="11">
        <f t="shared" si="34"/>
        <v>58643</v>
      </c>
      <c r="AD24" s="11">
        <f t="shared" si="34"/>
        <v>59450</v>
      </c>
      <c r="AE24" s="11">
        <f t="shared" si="34"/>
        <v>215746</v>
      </c>
      <c r="AF24" s="11">
        <f t="shared" si="34"/>
        <v>5598</v>
      </c>
      <c r="AG24" s="11">
        <f t="shared" si="1"/>
        <v>11105</v>
      </c>
      <c r="AH24" s="11">
        <f t="shared" si="2"/>
        <v>215386</v>
      </c>
      <c r="AI24" s="15">
        <f t="shared" si="3"/>
        <v>5584</v>
      </c>
      <c r="AJ24" s="15">
        <f t="shared" si="4"/>
        <v>209802</v>
      </c>
      <c r="AK24" s="15">
        <v>5500</v>
      </c>
      <c r="AL24" s="15">
        <f t="shared" si="6"/>
        <v>0</v>
      </c>
      <c r="AM24" s="15">
        <f t="shared" si="7"/>
        <v>0</v>
      </c>
      <c r="AN24" s="15">
        <f t="shared" si="8"/>
        <v>1633</v>
      </c>
      <c r="AO24" s="15">
        <f t="shared" si="9"/>
        <v>600</v>
      </c>
      <c r="AP24" s="15">
        <v>1765</v>
      </c>
      <c r="AQ24" s="18">
        <f t="shared" si="10"/>
        <v>0</v>
      </c>
      <c r="AR24" s="18">
        <f t="shared" si="11"/>
        <v>0</v>
      </c>
      <c r="AS24" s="19">
        <f t="shared" si="12"/>
        <v>7.8</v>
      </c>
      <c r="AT24" s="18">
        <f t="shared" si="13"/>
        <v>2.86</v>
      </c>
    </row>
    <row r="25" spans="1:46">
      <c r="A25" s="6">
        <v>43761</v>
      </c>
      <c r="B25" s="5" t="s">
        <v>48</v>
      </c>
      <c r="C25" s="4">
        <v>25640908</v>
      </c>
      <c r="D25" s="4">
        <v>10961009</v>
      </c>
      <c r="E25" s="4">
        <v>6816422</v>
      </c>
      <c r="F25" s="4">
        <v>6781688</v>
      </c>
      <c r="G25" s="4">
        <v>261252821</v>
      </c>
      <c r="H25" s="4">
        <v>105463670</v>
      </c>
      <c r="I25" s="4">
        <v>261252559</v>
      </c>
      <c r="J25" s="4">
        <v>105463656</v>
      </c>
      <c r="K25" s="4"/>
      <c r="L25" s="5">
        <v>4299.5</v>
      </c>
      <c r="M25" s="5">
        <v>4066.7</v>
      </c>
      <c r="N25" s="5">
        <v>73242.100000000006</v>
      </c>
      <c r="O25" s="5"/>
      <c r="P25" s="5"/>
      <c r="Q25" s="9">
        <v>25.2</v>
      </c>
      <c r="R25" s="4" t="s">
        <v>44</v>
      </c>
      <c r="S25" s="4">
        <v>240</v>
      </c>
      <c r="T25" s="4">
        <v>260</v>
      </c>
      <c r="U25" s="4">
        <v>11154</v>
      </c>
      <c r="V25" s="4">
        <v>8746</v>
      </c>
      <c r="W25" s="5">
        <v>5.93</v>
      </c>
      <c r="X25" s="5">
        <v>4.6500000000000004</v>
      </c>
      <c r="Y25" s="4">
        <v>1433</v>
      </c>
      <c r="Z25" s="4"/>
      <c r="AA25" s="11">
        <f t="shared" ref="AA25:AF25" si="35">IF(OR(C26=""),"",C26-C25)</f>
        <v>48616</v>
      </c>
      <c r="AB25" s="11">
        <f t="shared" si="35"/>
        <v>61421</v>
      </c>
      <c r="AC25" s="11">
        <f t="shared" si="35"/>
        <v>60299</v>
      </c>
      <c r="AD25" s="11">
        <f t="shared" si="35"/>
        <v>61825</v>
      </c>
      <c r="AE25" s="11">
        <f t="shared" si="35"/>
        <v>218718</v>
      </c>
      <c r="AF25" s="11">
        <f t="shared" si="35"/>
        <v>5561</v>
      </c>
      <c r="AG25" s="11">
        <f t="shared" si="1"/>
        <v>13443</v>
      </c>
      <c r="AH25" s="11">
        <f t="shared" si="2"/>
        <v>219633</v>
      </c>
      <c r="AI25" s="15">
        <f t="shared" si="3"/>
        <v>5592</v>
      </c>
      <c r="AJ25" s="15">
        <f t="shared" si="4"/>
        <v>214041</v>
      </c>
      <c r="AK25" s="15">
        <v>5100</v>
      </c>
      <c r="AL25" s="15">
        <f t="shared" si="6"/>
        <v>0</v>
      </c>
      <c r="AM25" s="15">
        <f t="shared" si="7"/>
        <v>0</v>
      </c>
      <c r="AN25" s="15">
        <f t="shared" si="8"/>
        <v>1704</v>
      </c>
      <c r="AO25" s="15">
        <f t="shared" si="9"/>
        <v>624</v>
      </c>
      <c r="AP25" s="15">
        <v>1796</v>
      </c>
      <c r="AQ25" s="18">
        <f t="shared" si="10"/>
        <v>0</v>
      </c>
      <c r="AR25" s="18">
        <f t="shared" si="11"/>
        <v>0</v>
      </c>
      <c r="AS25" s="19">
        <f t="shared" si="12"/>
        <v>8</v>
      </c>
      <c r="AT25" s="18">
        <f t="shared" si="13"/>
        <v>2.92</v>
      </c>
    </row>
    <row r="26" spans="1:46">
      <c r="A26" s="6">
        <v>43762</v>
      </c>
      <c r="B26" s="5" t="s">
        <v>45</v>
      </c>
      <c r="C26" s="4">
        <v>25689524</v>
      </c>
      <c r="D26" s="4">
        <v>11022430</v>
      </c>
      <c r="E26" s="4">
        <v>6876721</v>
      </c>
      <c r="F26" s="4">
        <v>6843513</v>
      </c>
      <c r="G26" s="4">
        <v>261471539</v>
      </c>
      <c r="H26" s="4">
        <v>105469231</v>
      </c>
      <c r="I26" s="4">
        <v>261472192</v>
      </c>
      <c r="J26" s="4">
        <v>105469248</v>
      </c>
      <c r="K26" s="4"/>
      <c r="L26" s="5">
        <v>4299.5</v>
      </c>
      <c r="M26" s="5">
        <v>4066.7</v>
      </c>
      <c r="N26" s="5">
        <v>73242.100000000006</v>
      </c>
      <c r="O26" s="5"/>
      <c r="P26" s="5"/>
      <c r="Q26" s="9">
        <v>24.8</v>
      </c>
      <c r="R26" s="4" t="s">
        <v>44</v>
      </c>
      <c r="S26" s="4">
        <v>380</v>
      </c>
      <c r="T26" s="4">
        <v>400</v>
      </c>
      <c r="U26" s="4">
        <v>10562</v>
      </c>
      <c r="V26" s="4">
        <v>7596</v>
      </c>
      <c r="W26" s="5">
        <v>7.01</v>
      </c>
      <c r="X26" s="5">
        <v>4.4800000000000004</v>
      </c>
      <c r="Y26" s="4">
        <v>1433</v>
      </c>
      <c r="Z26" s="4"/>
      <c r="AA26" s="11">
        <f t="shared" ref="AA26:AF26" si="36">IF(OR(C27=""),"",C27-C26)</f>
        <v>46266</v>
      </c>
      <c r="AB26" s="11">
        <f t="shared" si="36"/>
        <v>59526</v>
      </c>
      <c r="AC26" s="11">
        <f t="shared" si="36"/>
        <v>57920</v>
      </c>
      <c r="AD26" s="11">
        <f t="shared" si="36"/>
        <v>58179</v>
      </c>
      <c r="AE26" s="11">
        <f t="shared" si="36"/>
        <v>215404</v>
      </c>
      <c r="AF26" s="11">
        <f t="shared" si="36"/>
        <v>5602</v>
      </c>
      <c r="AG26" s="11">
        <f t="shared" si="1"/>
        <v>6487</v>
      </c>
      <c r="AH26" s="11">
        <f t="shared" si="2"/>
        <v>214711</v>
      </c>
      <c r="AI26" s="15">
        <f t="shared" si="3"/>
        <v>5584</v>
      </c>
      <c r="AJ26" s="15">
        <f t="shared" si="4"/>
        <v>209127</v>
      </c>
      <c r="AK26" s="15">
        <v>4700</v>
      </c>
      <c r="AL26" s="15">
        <f t="shared" si="6"/>
        <v>240</v>
      </c>
      <c r="AM26" s="15">
        <f t="shared" si="7"/>
        <v>0</v>
      </c>
      <c r="AN26" s="15">
        <f t="shared" si="8"/>
        <v>2698</v>
      </c>
      <c r="AO26" s="15">
        <f t="shared" si="9"/>
        <v>960</v>
      </c>
      <c r="AP26" s="15">
        <v>1722</v>
      </c>
      <c r="AQ26" s="18">
        <f t="shared" si="10"/>
        <v>1.1000000000000001</v>
      </c>
      <c r="AR26" s="18">
        <f t="shared" si="11"/>
        <v>0</v>
      </c>
      <c r="AS26" s="19">
        <f t="shared" si="12"/>
        <v>12.9</v>
      </c>
      <c r="AT26" s="18">
        <f t="shared" si="13"/>
        <v>4.59</v>
      </c>
    </row>
    <row r="27" spans="1:46" ht="26.4">
      <c r="A27" s="6">
        <v>43763</v>
      </c>
      <c r="B27" s="5" t="s">
        <v>493</v>
      </c>
      <c r="C27" s="4">
        <v>25735790</v>
      </c>
      <c r="D27" s="4">
        <v>11081956</v>
      </c>
      <c r="E27" s="4">
        <v>6934641</v>
      </c>
      <c r="F27" s="4">
        <v>6901692</v>
      </c>
      <c r="G27" s="4">
        <v>261686943</v>
      </c>
      <c r="H27" s="4">
        <v>105474833</v>
      </c>
      <c r="I27" s="4">
        <v>261686903</v>
      </c>
      <c r="J27" s="4">
        <v>105474832</v>
      </c>
      <c r="K27" s="4"/>
      <c r="L27" s="5">
        <v>4299.7</v>
      </c>
      <c r="M27" s="5">
        <v>4066.7</v>
      </c>
      <c r="N27" s="5">
        <v>73242.3</v>
      </c>
      <c r="O27" s="5"/>
      <c r="P27" s="5"/>
      <c r="Q27" s="9">
        <v>25.6</v>
      </c>
      <c r="R27" s="4" t="s">
        <v>494</v>
      </c>
      <c r="S27" s="4">
        <v>550</v>
      </c>
      <c r="T27" s="4">
        <v>580</v>
      </c>
      <c r="U27" s="4">
        <v>10213</v>
      </c>
      <c r="V27" s="4">
        <v>7215</v>
      </c>
      <c r="W27" s="5">
        <v>6.56</v>
      </c>
      <c r="X27" s="5">
        <v>4.0199999999999996</v>
      </c>
      <c r="Y27" s="4">
        <v>1435</v>
      </c>
      <c r="Z27" s="4" t="s">
        <v>497</v>
      </c>
      <c r="AA27" s="11">
        <f t="shared" ref="AA27:AF27" si="37">IF(OR(C28=""),"",C28-C27)</f>
        <v>48683</v>
      </c>
      <c r="AB27" s="11">
        <f t="shared" si="37"/>
        <v>61141</v>
      </c>
      <c r="AC27" s="11">
        <f t="shared" si="37"/>
        <v>62972</v>
      </c>
      <c r="AD27" s="11">
        <f t="shared" si="37"/>
        <v>63728</v>
      </c>
      <c r="AE27" s="11">
        <f t="shared" si="37"/>
        <v>209299</v>
      </c>
      <c r="AF27" s="11">
        <f t="shared" si="37"/>
        <v>5568</v>
      </c>
      <c r="AG27" s="11">
        <f t="shared" si="1"/>
        <v>27225</v>
      </c>
      <c r="AH27" s="11">
        <f t="shared" si="2"/>
        <v>209374</v>
      </c>
      <c r="AI27" s="15">
        <f t="shared" si="3"/>
        <v>5568</v>
      </c>
      <c r="AJ27" s="15">
        <f t="shared" si="4"/>
        <v>203806</v>
      </c>
      <c r="AK27" s="15">
        <v>5000</v>
      </c>
      <c r="AL27" s="15">
        <f t="shared" si="6"/>
        <v>120</v>
      </c>
      <c r="AM27" s="15">
        <f t="shared" si="7"/>
        <v>0</v>
      </c>
      <c r="AN27" s="15">
        <f t="shared" si="8"/>
        <v>3905</v>
      </c>
      <c r="AO27" s="15">
        <f t="shared" si="9"/>
        <v>1392</v>
      </c>
      <c r="AP27" s="15">
        <v>1824</v>
      </c>
      <c r="AQ27" s="18">
        <f t="shared" si="10"/>
        <v>0.6</v>
      </c>
      <c r="AR27" s="18">
        <f t="shared" si="11"/>
        <v>0</v>
      </c>
      <c r="AS27" s="19">
        <f t="shared" si="12"/>
        <v>19.2</v>
      </c>
      <c r="AT27" s="18">
        <f t="shared" si="13"/>
        <v>6.83</v>
      </c>
    </row>
    <row r="28" spans="1:46" ht="26.4">
      <c r="A28" s="6">
        <v>43764</v>
      </c>
      <c r="B28" s="5" t="s">
        <v>495</v>
      </c>
      <c r="C28" s="4">
        <v>25784473</v>
      </c>
      <c r="D28" s="4">
        <v>11143097</v>
      </c>
      <c r="E28" s="4">
        <v>6997613</v>
      </c>
      <c r="F28" s="4">
        <v>6965420</v>
      </c>
      <c r="G28" s="4">
        <v>261896242</v>
      </c>
      <c r="H28" s="4">
        <v>105480401</v>
      </c>
      <c r="I28" s="4">
        <v>261896277</v>
      </c>
      <c r="J28" s="4">
        <v>105480400</v>
      </c>
      <c r="K28" s="4"/>
      <c r="L28" s="5">
        <v>4299.8</v>
      </c>
      <c r="M28" s="5">
        <v>4066.7</v>
      </c>
      <c r="N28" s="5">
        <v>73242.399999999994</v>
      </c>
      <c r="O28" s="5"/>
      <c r="P28" s="5"/>
      <c r="Q28" s="9">
        <v>26.8</v>
      </c>
      <c r="R28" s="4" t="s">
        <v>496</v>
      </c>
      <c r="S28" s="4">
        <v>680</v>
      </c>
      <c r="T28" s="4">
        <v>700</v>
      </c>
      <c r="U28" s="4">
        <v>10213</v>
      </c>
      <c r="V28" s="4">
        <v>6852</v>
      </c>
      <c r="W28" s="5">
        <v>4.63</v>
      </c>
      <c r="X28" s="5">
        <v>2.52</v>
      </c>
      <c r="Y28" s="4">
        <v>1290</v>
      </c>
      <c r="Z28" s="4" t="s">
        <v>499</v>
      </c>
      <c r="AA28" s="11">
        <f t="shared" ref="AA28:AF28" si="38">IF(OR(C29=""),"",C29-C28)</f>
        <v>50132</v>
      </c>
      <c r="AB28" s="11">
        <f t="shared" si="38"/>
        <v>61655</v>
      </c>
      <c r="AC28" s="11">
        <f t="shared" si="38"/>
        <v>65129</v>
      </c>
      <c r="AD28" s="11">
        <f t="shared" si="38"/>
        <v>66339</v>
      </c>
      <c r="AE28" s="11">
        <f t="shared" si="38"/>
        <v>207469</v>
      </c>
      <c r="AF28" s="11">
        <f t="shared" si="38"/>
        <v>5558</v>
      </c>
      <c r="AG28" s="11">
        <f t="shared" si="1"/>
        <v>35786</v>
      </c>
      <c r="AH28" s="11">
        <f t="shared" si="2"/>
        <v>207434</v>
      </c>
      <c r="AI28" s="15">
        <f t="shared" si="3"/>
        <v>5559</v>
      </c>
      <c r="AJ28" s="15">
        <f t="shared" si="4"/>
        <v>201875</v>
      </c>
      <c r="AK28" s="15">
        <v>5200</v>
      </c>
      <c r="AL28" s="15">
        <f t="shared" si="6"/>
        <v>0</v>
      </c>
      <c r="AM28" s="15">
        <f t="shared" si="7"/>
        <v>0</v>
      </c>
      <c r="AN28" s="15">
        <f t="shared" si="8"/>
        <v>4828</v>
      </c>
      <c r="AO28" s="15">
        <f t="shared" si="9"/>
        <v>1680</v>
      </c>
      <c r="AP28" s="15">
        <v>1776</v>
      </c>
      <c r="AQ28" s="18">
        <f t="shared" si="10"/>
        <v>0</v>
      </c>
      <c r="AR28" s="18">
        <f t="shared" si="11"/>
        <v>0</v>
      </c>
      <c r="AS28" s="19">
        <f t="shared" si="12"/>
        <v>23.9</v>
      </c>
      <c r="AT28" s="18">
        <f t="shared" si="13"/>
        <v>8.32</v>
      </c>
    </row>
    <row r="29" spans="1:46" ht="26.4">
      <c r="A29" s="6">
        <v>43765</v>
      </c>
      <c r="B29" s="5" t="s">
        <v>498</v>
      </c>
      <c r="C29" s="4">
        <v>25834605</v>
      </c>
      <c r="D29" s="4">
        <v>11204752</v>
      </c>
      <c r="E29" s="4">
        <v>7062742</v>
      </c>
      <c r="F29" s="4">
        <v>7031759</v>
      </c>
      <c r="G29" s="4">
        <v>262103711</v>
      </c>
      <c r="H29" s="4">
        <v>105485959</v>
      </c>
      <c r="I29" s="4">
        <v>262103711</v>
      </c>
      <c r="J29" s="4">
        <v>105485959</v>
      </c>
      <c r="K29" s="4"/>
      <c r="L29" s="5">
        <v>4299.8</v>
      </c>
      <c r="M29" s="5">
        <v>4066.7</v>
      </c>
      <c r="N29" s="5">
        <v>73242.399999999994</v>
      </c>
      <c r="O29" s="5"/>
      <c r="P29" s="5"/>
      <c r="Q29" s="9">
        <v>27.1</v>
      </c>
      <c r="R29" s="4" t="s">
        <v>501</v>
      </c>
      <c r="S29" s="4">
        <v>500</v>
      </c>
      <c r="T29" s="4">
        <v>530</v>
      </c>
      <c r="U29" s="4">
        <v>10263</v>
      </c>
      <c r="V29" s="4">
        <v>5496</v>
      </c>
      <c r="W29" s="5">
        <v>4.7699999999999996</v>
      </c>
      <c r="X29" s="5">
        <v>2.48</v>
      </c>
      <c r="Y29" s="4">
        <v>900</v>
      </c>
      <c r="Z29" s="4" t="s">
        <v>502</v>
      </c>
      <c r="AA29" s="11">
        <f t="shared" ref="AA29:AF29" si="39">IF(OR(C30=""),"",C30-C29)</f>
        <v>47824</v>
      </c>
      <c r="AB29" s="11">
        <f t="shared" si="39"/>
        <v>58323</v>
      </c>
      <c r="AC29" s="11">
        <f t="shared" si="39"/>
        <v>60278</v>
      </c>
      <c r="AD29" s="11">
        <f t="shared" si="39"/>
        <v>62028</v>
      </c>
      <c r="AE29" s="11">
        <f t="shared" si="39"/>
        <v>211834</v>
      </c>
      <c r="AF29" s="11">
        <f t="shared" si="39"/>
        <v>5557</v>
      </c>
      <c r="AG29" s="11">
        <f t="shared" si="1"/>
        <v>16619</v>
      </c>
      <c r="AH29" s="11">
        <f t="shared" si="2"/>
        <v>211834</v>
      </c>
      <c r="AI29" s="15">
        <f t="shared" si="3"/>
        <v>5557</v>
      </c>
      <c r="AJ29" s="15">
        <f t="shared" si="4"/>
        <v>206277</v>
      </c>
      <c r="AK29" s="15">
        <v>5200</v>
      </c>
      <c r="AL29" s="15">
        <f t="shared" si="6"/>
        <v>0</v>
      </c>
      <c r="AM29" s="15">
        <f t="shared" si="7"/>
        <v>0</v>
      </c>
      <c r="AN29" s="15">
        <f t="shared" si="8"/>
        <v>3550</v>
      </c>
      <c r="AO29" s="15">
        <f t="shared" si="9"/>
        <v>1272</v>
      </c>
      <c r="AP29" s="15">
        <v>1962</v>
      </c>
      <c r="AQ29" s="18">
        <f t="shared" si="10"/>
        <v>0</v>
      </c>
      <c r="AR29" s="18">
        <f t="shared" si="11"/>
        <v>0</v>
      </c>
      <c r="AS29" s="19">
        <f t="shared" si="12"/>
        <v>17.2</v>
      </c>
      <c r="AT29" s="18">
        <f t="shared" si="13"/>
        <v>6.17</v>
      </c>
    </row>
    <row r="30" spans="1:46" ht="26.4">
      <c r="A30" s="6">
        <v>43766</v>
      </c>
      <c r="B30" s="5" t="s">
        <v>500</v>
      </c>
      <c r="C30" s="4">
        <v>25882429</v>
      </c>
      <c r="D30" s="4">
        <v>11263075</v>
      </c>
      <c r="E30" s="4">
        <v>7123020</v>
      </c>
      <c r="F30" s="4">
        <v>7093787</v>
      </c>
      <c r="G30" s="4">
        <v>262315545</v>
      </c>
      <c r="H30" s="4">
        <v>105491516</v>
      </c>
      <c r="I30" s="4">
        <v>262315545</v>
      </c>
      <c r="J30" s="4">
        <v>105491516</v>
      </c>
      <c r="K30" s="4"/>
      <c r="L30" s="5">
        <v>4299.8</v>
      </c>
      <c r="M30" s="5">
        <v>4066.7</v>
      </c>
      <c r="N30" s="5">
        <v>73242.399999999994</v>
      </c>
      <c r="O30" s="5"/>
      <c r="P30" s="5"/>
      <c r="Q30" s="9">
        <v>26.5</v>
      </c>
      <c r="R30" s="4" t="s">
        <v>504</v>
      </c>
      <c r="S30" s="4">
        <v>400</v>
      </c>
      <c r="T30" s="4">
        <v>420</v>
      </c>
      <c r="U30" s="4">
        <v>10213</v>
      </c>
      <c r="V30" s="4">
        <v>5244</v>
      </c>
      <c r="W30" s="5">
        <v>3.15</v>
      </c>
      <c r="X30" s="5">
        <v>2.5</v>
      </c>
      <c r="Y30" s="4">
        <v>0</v>
      </c>
      <c r="Z30" s="4" t="s">
        <v>505</v>
      </c>
      <c r="AA30" s="11">
        <f t="shared" ref="AA30:AF30" si="40">IF(OR(C31=""),"",C31-C30)</f>
        <v>47159</v>
      </c>
      <c r="AB30" s="11">
        <f t="shared" si="40"/>
        <v>54757</v>
      </c>
      <c r="AC30" s="11">
        <f t="shared" si="40"/>
        <v>56214</v>
      </c>
      <c r="AD30" s="11">
        <f t="shared" si="40"/>
        <v>57717</v>
      </c>
      <c r="AE30" s="11">
        <f t="shared" si="40"/>
        <v>194098</v>
      </c>
      <c r="AF30" s="11">
        <f t="shared" si="40"/>
        <v>5576</v>
      </c>
      <c r="AG30" s="11">
        <f t="shared" si="1"/>
        <v>21749</v>
      </c>
      <c r="AH30" s="11">
        <f t="shared" si="2"/>
        <v>194098</v>
      </c>
      <c r="AI30" s="15">
        <f t="shared" si="3"/>
        <v>5576</v>
      </c>
      <c r="AJ30" s="15">
        <f t="shared" si="4"/>
        <v>188522</v>
      </c>
      <c r="AK30" s="15">
        <v>4000</v>
      </c>
      <c r="AL30" s="15">
        <f t="shared" si="6"/>
        <v>0</v>
      </c>
      <c r="AM30" s="15">
        <f t="shared" si="7"/>
        <v>0</v>
      </c>
      <c r="AN30" s="15">
        <f t="shared" si="8"/>
        <v>2840</v>
      </c>
      <c r="AO30" s="15">
        <f t="shared" si="9"/>
        <v>1008</v>
      </c>
      <c r="AP30" s="15">
        <v>1466</v>
      </c>
      <c r="AQ30" s="18">
        <f t="shared" si="10"/>
        <v>0</v>
      </c>
      <c r="AR30" s="18">
        <f t="shared" si="11"/>
        <v>0</v>
      </c>
      <c r="AS30" s="19">
        <f t="shared" si="12"/>
        <v>15.1</v>
      </c>
      <c r="AT30" s="18">
        <f t="shared" si="13"/>
        <v>5.35</v>
      </c>
    </row>
    <row r="31" spans="1:46">
      <c r="A31" s="6">
        <v>43767</v>
      </c>
      <c r="B31" s="5" t="s">
        <v>503</v>
      </c>
      <c r="C31" s="4">
        <v>25929588</v>
      </c>
      <c r="D31" s="4">
        <v>11317832</v>
      </c>
      <c r="E31" s="4">
        <v>7179234</v>
      </c>
      <c r="F31" s="4">
        <v>7151504</v>
      </c>
      <c r="G31" s="4">
        <v>262509643</v>
      </c>
      <c r="H31" s="4">
        <v>105497092</v>
      </c>
      <c r="I31" s="4">
        <v>262509643</v>
      </c>
      <c r="J31" s="4">
        <v>105497092</v>
      </c>
      <c r="K31" s="4"/>
      <c r="L31" s="5">
        <v>4299.8</v>
      </c>
      <c r="M31" s="5">
        <v>4066.7</v>
      </c>
      <c r="N31" s="5">
        <v>73242.399999999994</v>
      </c>
      <c r="O31" s="5"/>
      <c r="P31" s="5"/>
      <c r="Q31" s="9">
        <v>26.1</v>
      </c>
      <c r="R31" s="4" t="s">
        <v>504</v>
      </c>
      <c r="S31" s="4">
        <v>280</v>
      </c>
      <c r="T31" s="4">
        <v>300</v>
      </c>
      <c r="U31" s="4">
        <v>10435</v>
      </c>
      <c r="V31" s="4">
        <v>4953</v>
      </c>
      <c r="W31" s="5">
        <v>3.85</v>
      </c>
      <c r="X31" s="5">
        <v>2.4700000000000002</v>
      </c>
      <c r="Y31" s="4">
        <v>940</v>
      </c>
      <c r="Z31" s="4"/>
      <c r="AA31" s="11">
        <f t="shared" ref="AA31:AF31" si="41">IF(OR(C32=""),"",C32-C31)</f>
        <v>59442</v>
      </c>
      <c r="AB31" s="11">
        <f t="shared" si="41"/>
        <v>63790</v>
      </c>
      <c r="AC31" s="11">
        <f t="shared" si="41"/>
        <v>55009</v>
      </c>
      <c r="AD31" s="11">
        <f t="shared" si="41"/>
        <v>54641</v>
      </c>
      <c r="AE31" s="11">
        <f t="shared" si="41"/>
        <v>206865</v>
      </c>
      <c r="AF31" s="11">
        <f t="shared" si="41"/>
        <v>5586</v>
      </c>
      <c r="AG31" s="11">
        <f t="shared" si="1"/>
        <v>26017</v>
      </c>
      <c r="AH31" s="11">
        <f t="shared" si="2"/>
        <v>206865</v>
      </c>
      <c r="AI31" s="15">
        <f t="shared" si="3"/>
        <v>5586</v>
      </c>
      <c r="AJ31" s="15">
        <f t="shared" si="4"/>
        <v>201279</v>
      </c>
      <c r="AK31" s="15">
        <v>3740</v>
      </c>
      <c r="AL31" s="15">
        <f t="shared" si="6"/>
        <v>0</v>
      </c>
      <c r="AM31" s="15">
        <f t="shared" si="7"/>
        <v>0</v>
      </c>
      <c r="AN31" s="15">
        <f t="shared" si="8"/>
        <v>1988</v>
      </c>
      <c r="AO31" s="15">
        <f t="shared" si="9"/>
        <v>720</v>
      </c>
      <c r="AP31" s="15">
        <v>1977</v>
      </c>
      <c r="AQ31" s="18">
        <f t="shared" si="10"/>
        <v>0</v>
      </c>
      <c r="AR31" s="18">
        <f t="shared" si="11"/>
        <v>0</v>
      </c>
      <c r="AS31" s="19">
        <f t="shared" si="12"/>
        <v>9.9</v>
      </c>
      <c r="AT31" s="18">
        <f t="shared" si="13"/>
        <v>3.58</v>
      </c>
    </row>
    <row r="32" spans="1:46">
      <c r="A32" s="6">
        <v>43768</v>
      </c>
      <c r="B32" s="5" t="s">
        <v>506</v>
      </c>
      <c r="C32" s="4">
        <v>25989030</v>
      </c>
      <c r="D32" s="4">
        <v>11381622</v>
      </c>
      <c r="E32" s="4">
        <v>7234243</v>
      </c>
      <c r="F32" s="4">
        <v>7206145</v>
      </c>
      <c r="G32" s="4">
        <v>262716508</v>
      </c>
      <c r="H32" s="4">
        <v>105502678</v>
      </c>
      <c r="I32" s="4">
        <v>262716508</v>
      </c>
      <c r="J32" s="4">
        <v>105502678</v>
      </c>
      <c r="K32" s="4"/>
      <c r="L32" s="5">
        <v>4299.8</v>
      </c>
      <c r="M32" s="5">
        <v>4066.7</v>
      </c>
      <c r="N32" s="5">
        <v>73242.399999999994</v>
      </c>
      <c r="O32" s="5"/>
      <c r="P32" s="5"/>
      <c r="Q32" s="9">
        <v>27.2</v>
      </c>
      <c r="R32" s="4" t="s">
        <v>44</v>
      </c>
      <c r="S32" s="4">
        <v>250</v>
      </c>
      <c r="T32" s="4">
        <v>270</v>
      </c>
      <c r="U32" s="4">
        <v>10254</v>
      </c>
      <c r="V32" s="4">
        <v>3317</v>
      </c>
      <c r="W32" s="5">
        <v>3.3</v>
      </c>
      <c r="X32" s="5">
        <v>2.2999999999999998</v>
      </c>
      <c r="Y32" s="4">
        <v>0</v>
      </c>
      <c r="Z32" s="4"/>
      <c r="AA32" s="11">
        <f t="shared" ref="AA32:AF32" si="42">IF(OR(C33=""),"",C33-C32)</f>
        <v>56083</v>
      </c>
      <c r="AB32" s="11">
        <f t="shared" si="42"/>
        <v>64531</v>
      </c>
      <c r="AC32" s="11">
        <f t="shared" si="42"/>
        <v>45479</v>
      </c>
      <c r="AD32" s="11">
        <f t="shared" si="42"/>
        <v>44762</v>
      </c>
      <c r="AE32" s="11">
        <f t="shared" si="42"/>
        <v>184972</v>
      </c>
      <c r="AF32" s="11">
        <f t="shared" si="42"/>
        <v>5577</v>
      </c>
      <c r="AG32" s="11">
        <f t="shared" si="1"/>
        <v>25883</v>
      </c>
      <c r="AH32" s="11">
        <f t="shared" si="2"/>
        <v>184972</v>
      </c>
      <c r="AI32" s="15">
        <f t="shared" si="3"/>
        <v>5577</v>
      </c>
      <c r="AJ32" s="15">
        <f t="shared" si="4"/>
        <v>179395</v>
      </c>
      <c r="AK32" s="15">
        <v>3600</v>
      </c>
      <c r="AL32" s="15">
        <f t="shared" si="6"/>
        <v>0</v>
      </c>
      <c r="AM32" s="15">
        <f t="shared" si="7"/>
        <v>0</v>
      </c>
      <c r="AN32" s="15">
        <f t="shared" si="8"/>
        <v>1775</v>
      </c>
      <c r="AO32" s="15">
        <f t="shared" si="9"/>
        <v>648</v>
      </c>
      <c r="AP32" s="15">
        <v>1910</v>
      </c>
      <c r="AQ32" s="18">
        <f t="shared" si="10"/>
        <v>0</v>
      </c>
      <c r="AR32" s="18">
        <f t="shared" si="11"/>
        <v>0</v>
      </c>
      <c r="AS32" s="19">
        <f t="shared" si="12"/>
        <v>9.9</v>
      </c>
      <c r="AT32" s="18">
        <f t="shared" si="13"/>
        <v>3.61</v>
      </c>
    </row>
    <row r="33" spans="1:46">
      <c r="A33" s="6">
        <v>43769</v>
      </c>
      <c r="B33" s="5" t="s">
        <v>48</v>
      </c>
      <c r="C33" s="4">
        <v>26045113</v>
      </c>
      <c r="D33" s="4">
        <v>11446153</v>
      </c>
      <c r="E33" s="4">
        <v>7279722</v>
      </c>
      <c r="F33" s="4">
        <v>7250907</v>
      </c>
      <c r="G33" s="4">
        <v>262901480</v>
      </c>
      <c r="H33" s="4">
        <v>105508255</v>
      </c>
      <c r="I33" s="4">
        <v>262901480</v>
      </c>
      <c r="J33" s="4">
        <v>105508255</v>
      </c>
      <c r="K33" s="4"/>
      <c r="L33" s="5">
        <v>4299.8</v>
      </c>
      <c r="M33" s="5">
        <v>4066.7</v>
      </c>
      <c r="N33" s="5">
        <v>73242.399999999994</v>
      </c>
      <c r="O33" s="5"/>
      <c r="P33" s="5"/>
      <c r="Q33" s="9">
        <v>27.6</v>
      </c>
      <c r="R33" s="4" t="s">
        <v>44</v>
      </c>
      <c r="S33" s="4">
        <v>370</v>
      </c>
      <c r="T33" s="4">
        <v>400</v>
      </c>
      <c r="U33" s="4">
        <v>9087</v>
      </c>
      <c r="V33" s="4">
        <v>3871</v>
      </c>
      <c r="W33" s="5">
        <v>3.01</v>
      </c>
      <c r="X33" s="5">
        <v>2.29</v>
      </c>
      <c r="Y33" s="4">
        <v>0</v>
      </c>
      <c r="Z33" s="4"/>
      <c r="AA33" s="11">
        <f t="shared" ref="AA33:AF33" si="43">IF(OR(C34=""),"",C34-C33)</f>
        <v>48588</v>
      </c>
      <c r="AB33" s="11">
        <f t="shared" si="43"/>
        <v>54997</v>
      </c>
      <c r="AC33" s="11">
        <f t="shared" si="43"/>
        <v>39938</v>
      </c>
      <c r="AD33" s="11">
        <f t="shared" si="43"/>
        <v>35643</v>
      </c>
      <c r="AE33" s="11">
        <f t="shared" si="43"/>
        <v>176736</v>
      </c>
      <c r="AF33" s="11">
        <f t="shared" si="43"/>
        <v>5552</v>
      </c>
      <c r="AG33" s="11">
        <f t="shared" si="1"/>
        <v>2430</v>
      </c>
      <c r="AH33" s="11">
        <f t="shared" si="2"/>
        <v>176736</v>
      </c>
      <c r="AI33" s="15">
        <f t="shared" si="3"/>
        <v>5552</v>
      </c>
      <c r="AJ33" s="15">
        <f t="shared" si="4"/>
        <v>171184</v>
      </c>
      <c r="AK33" s="15">
        <v>4980</v>
      </c>
      <c r="AL33" s="15">
        <f t="shared" si="6"/>
        <v>0</v>
      </c>
      <c r="AM33" s="15">
        <f t="shared" si="7"/>
        <v>0</v>
      </c>
      <c r="AN33" s="15">
        <f t="shared" si="8"/>
        <v>2627</v>
      </c>
      <c r="AO33" s="15">
        <f t="shared" si="9"/>
        <v>960</v>
      </c>
      <c r="AP33" s="15">
        <v>1832</v>
      </c>
      <c r="AQ33" s="18">
        <f t="shared" si="10"/>
        <v>0</v>
      </c>
      <c r="AR33" s="18">
        <f t="shared" si="11"/>
        <v>0</v>
      </c>
      <c r="AS33" s="19">
        <f t="shared" si="12"/>
        <v>15.3</v>
      </c>
      <c r="AT33" s="18">
        <f t="shared" si="13"/>
        <v>5.61</v>
      </c>
    </row>
    <row r="34" spans="1:46">
      <c r="A34" s="6">
        <v>43770</v>
      </c>
      <c r="B34" s="5" t="s">
        <v>507</v>
      </c>
      <c r="C34" s="4">
        <v>26093701</v>
      </c>
      <c r="D34" s="4">
        <v>11501150</v>
      </c>
      <c r="E34" s="4">
        <v>7319660</v>
      </c>
      <c r="F34" s="4">
        <v>7286550</v>
      </c>
      <c r="G34" s="4">
        <v>263078216</v>
      </c>
      <c r="H34" s="4">
        <v>105513807</v>
      </c>
      <c r="I34" s="4">
        <v>263078216</v>
      </c>
      <c r="J34" s="4">
        <v>105513807</v>
      </c>
      <c r="K34" s="4"/>
      <c r="L34" s="5">
        <v>4299.8</v>
      </c>
      <c r="M34" s="5">
        <v>4066.7</v>
      </c>
      <c r="N34" s="5">
        <v>73242.399999999994</v>
      </c>
      <c r="O34" s="5"/>
      <c r="P34" s="5"/>
      <c r="Q34" s="9">
        <v>25</v>
      </c>
      <c r="R34" s="4" t="s">
        <v>44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4">IF(OR(C37=""),"",C37-C36)</f>
        <v/>
      </c>
      <c r="AB36" s="13" t="str">
        <f t="shared" si="44"/>
        <v/>
      </c>
      <c r="AC36" s="13" t="str">
        <f t="shared" si="44"/>
        <v/>
      </c>
      <c r="AD36" s="13" t="str">
        <f t="shared" si="44"/>
        <v/>
      </c>
      <c r="AE36" s="13" t="str">
        <f t="shared" si="44"/>
        <v/>
      </c>
      <c r="AF36" s="13" t="str">
        <f t="shared" si="44"/>
        <v/>
      </c>
      <c r="AG36" s="13" t="str">
        <f>IF(OR(AA36="",AB36="",AC36=""),"",AA36+AB36+AC36+AD36-AE36)</f>
        <v/>
      </c>
      <c r="AH36" s="17">
        <f t="shared" ref="AH36:AO36" si="45">SUM(AH3:AH34)</f>
        <v>6206727</v>
      </c>
      <c r="AI36" s="17">
        <f t="shared" si="45"/>
        <v>166799</v>
      </c>
      <c r="AJ36" s="17">
        <f t="shared" si="45"/>
        <v>6039928</v>
      </c>
      <c r="AK36" s="17">
        <f t="shared" si="45"/>
        <v>122020</v>
      </c>
      <c r="AL36" s="17">
        <f t="shared" si="45"/>
        <v>15000</v>
      </c>
      <c r="AM36" s="17">
        <f t="shared" si="45"/>
        <v>19</v>
      </c>
      <c r="AN36" s="17">
        <f t="shared" si="45"/>
        <v>80124</v>
      </c>
      <c r="AO36" s="17">
        <f t="shared" si="45"/>
        <v>28620</v>
      </c>
      <c r="AP36" s="17"/>
      <c r="AQ36" s="22">
        <f>IF(OR($AJ36=0),"",ROUND(AL36/$AJ36*1000,1))</f>
        <v>2.5</v>
      </c>
      <c r="AR36" s="22">
        <f>IF(OR($AJ36=0),"",ROUND(AM36/$AJ36*1000,2))</f>
        <v>0</v>
      </c>
      <c r="AS36" s="23">
        <f>IF(OR($AJ36=0),"",ROUND(AN36/$AJ36*1000,1))</f>
        <v>13.3</v>
      </c>
      <c r="AT36" s="22">
        <f>IF(OR($AJ36=0),"",ROUND(AO36/$AJ36*1000,2))</f>
        <v>4.74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AU43"/>
  <sheetViews>
    <sheetView showGridLines="0" tabSelected="1" zoomScaleNormal="100" workbookViewId="0">
      <pane xSplit="2" ySplit="2" topLeftCell="C3" activePane="bottomRight" state="frozen"/>
      <selection pane="topRight"/>
      <selection pane="bottomLeft"/>
      <selection pane="bottomRight" activeCell="Z17" sqref="Z17"/>
    </sheetView>
  </sheetViews>
  <sheetFormatPr defaultColWidth="10.6640625" defaultRowHeight="13.2"/>
  <cols>
    <col min="1" max="1" width="7.88671875" style="1" customWidth="1"/>
    <col min="2" max="2" width="8.6640625" style="2" customWidth="1"/>
    <col min="3" max="3" width="12.109375" style="1" customWidth="1"/>
    <col min="4" max="4" width="11.33203125" style="1" customWidth="1"/>
    <col min="5" max="6" width="9.88671875" style="1" customWidth="1"/>
    <col min="7" max="10" width="12.21875" style="1" bestFit="1" customWidth="1"/>
    <col min="11" max="11" width="8" style="1" customWidth="1"/>
    <col min="12" max="13" width="8.33203125" style="2" customWidth="1"/>
    <col min="14" max="14" width="8.44140625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5" width="9.109375" style="1" customWidth="1"/>
    <col min="36" max="36" width="8.109375" style="1" customWidth="1"/>
    <col min="37" max="39" width="6.6640625" style="1" customWidth="1"/>
    <col min="40" max="40" width="6.6640625" style="2" customWidth="1"/>
    <col min="41" max="42" width="8.10937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7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83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7">
      <c r="A3" s="6">
        <v>43770</v>
      </c>
      <c r="B3" s="7" t="str">
        <f>'10'!B34</f>
        <v>宣晟浩</v>
      </c>
      <c r="C3" s="7">
        <f>'10'!C34</f>
        <v>26093701</v>
      </c>
      <c r="D3" s="7">
        <f>'10'!D34</f>
        <v>11501150</v>
      </c>
      <c r="E3" s="7">
        <f>'10'!E34</f>
        <v>7319660</v>
      </c>
      <c r="F3" s="7">
        <f>'10'!F34</f>
        <v>7286550</v>
      </c>
      <c r="G3" s="7">
        <v>263078216</v>
      </c>
      <c r="H3" s="7">
        <v>105513807</v>
      </c>
      <c r="I3" s="7">
        <v>263078216</v>
      </c>
      <c r="J3" s="7">
        <v>105513807</v>
      </c>
      <c r="K3" s="7">
        <f>'10'!K34</f>
        <v>0</v>
      </c>
      <c r="L3" s="7">
        <f>'10'!L34</f>
        <v>4299.8</v>
      </c>
      <c r="M3" s="7">
        <f>'10'!M34</f>
        <v>4066.7</v>
      </c>
      <c r="N3" s="7">
        <f>'10'!N34</f>
        <v>73242.399999999994</v>
      </c>
      <c r="O3" s="7">
        <f>'10'!O34</f>
        <v>0</v>
      </c>
      <c r="P3" s="7">
        <f>'10'!P34</f>
        <v>0</v>
      </c>
      <c r="Q3" s="7">
        <f>'10'!Q34</f>
        <v>25</v>
      </c>
      <c r="R3" s="7" t="str">
        <f>'10'!R34</f>
        <v>晴</v>
      </c>
      <c r="S3" s="4">
        <v>550</v>
      </c>
      <c r="T3" s="4">
        <v>560</v>
      </c>
      <c r="U3" s="4">
        <v>10231</v>
      </c>
      <c r="V3" s="4">
        <v>2865</v>
      </c>
      <c r="W3" s="5">
        <v>3.02</v>
      </c>
      <c r="X3" s="5">
        <v>2.36</v>
      </c>
      <c r="Y3" s="4">
        <v>0</v>
      </c>
      <c r="Z3" s="4"/>
      <c r="AA3" s="11">
        <f t="shared" ref="AA3:AF3" si="0">IF(OR(C4=""),"",C4-C3)</f>
        <v>45975</v>
      </c>
      <c r="AB3" s="11">
        <f t="shared" si="0"/>
        <v>51519</v>
      </c>
      <c r="AC3" s="11">
        <f t="shared" si="0"/>
        <v>37522</v>
      </c>
      <c r="AD3" s="11">
        <f t="shared" si="0"/>
        <v>39455</v>
      </c>
      <c r="AE3" s="11">
        <f t="shared" si="0"/>
        <v>169348</v>
      </c>
      <c r="AF3" s="11">
        <f t="shared" si="0"/>
        <v>5571</v>
      </c>
      <c r="AG3" s="11">
        <f t="shared" ref="AG3" si="1">IF(OR(AA3="",AB3="",AC3=""),"",AA3+AB3+AC3+AD3-AE3)</f>
        <v>5123</v>
      </c>
      <c r="AH3" s="11">
        <f t="shared" ref="AH3:AI3" si="2">IF(OR(I4=""),"",I4-I3)</f>
        <v>169348</v>
      </c>
      <c r="AI3" s="15">
        <f t="shared" si="2"/>
        <v>5571</v>
      </c>
      <c r="AJ3" s="15">
        <f t="shared" ref="AJ3" si="3">IF(OR(AH3="",AI3=""),"",AH3-AI3)</f>
        <v>163777</v>
      </c>
      <c r="AK3" s="15">
        <v>3700</v>
      </c>
      <c r="AL3" s="15">
        <f t="shared" ref="AL3" si="4">IF(OR(L4="",M4=""),"",ROUND((L4-L3+M4-M3)*1200,0))</f>
        <v>0</v>
      </c>
      <c r="AM3" s="15">
        <f t="shared" ref="AM3" si="5">IF(OR(N4=""),"",(ROUND((N4-N3)*2,0)))</f>
        <v>0</v>
      </c>
      <c r="AN3" s="15">
        <f t="shared" ref="AN3" si="6">IF(OR(S3=""),"",ROUND(S3*7.1,0))</f>
        <v>3905</v>
      </c>
      <c r="AO3" s="15">
        <f t="shared" ref="AO3" si="7">IF(OR(T3=""),"",ROUND(T3*2.4,0))</f>
        <v>1344</v>
      </c>
      <c r="AP3" s="15">
        <v>1856</v>
      </c>
      <c r="AQ3" s="18">
        <f>IF(OR($AJ3=""),"",ROUND(AL3/$AJ3*1000,1))</f>
        <v>0</v>
      </c>
      <c r="AR3" s="18">
        <f>IF(OR($AJ3=""),"",ROUND(AM3/$AJ3*1000,2))</f>
        <v>0</v>
      </c>
      <c r="AS3" s="18">
        <f>IF(OR($AJ3=""),"",ROUND(AN3/$AJ3*1000,2))</f>
        <v>23.84</v>
      </c>
      <c r="AT3" s="18">
        <f>IF(OR($AJ3=""),"",ROUND(AO3/$AJ3*1000,2))</f>
        <v>8.2100000000000009</v>
      </c>
      <c r="AU3" s="36"/>
    </row>
    <row r="4" spans="1:47">
      <c r="A4" s="6">
        <v>43771</v>
      </c>
      <c r="B4" s="5" t="s">
        <v>508</v>
      </c>
      <c r="C4" s="4">
        <v>26139676</v>
      </c>
      <c r="D4" s="4">
        <v>11552669</v>
      </c>
      <c r="E4" s="4">
        <v>7357182</v>
      </c>
      <c r="F4" s="4">
        <v>7326005</v>
      </c>
      <c r="G4" s="4">
        <v>263247564</v>
      </c>
      <c r="H4" s="4">
        <v>105519378</v>
      </c>
      <c r="I4" s="4">
        <v>263247564</v>
      </c>
      <c r="J4" s="4">
        <v>105519378</v>
      </c>
      <c r="K4" s="4"/>
      <c r="L4" s="5">
        <v>4299.8</v>
      </c>
      <c r="M4" s="5">
        <v>4066.7</v>
      </c>
      <c r="N4" s="5">
        <v>73242.399999999994</v>
      </c>
      <c r="O4" s="5"/>
      <c r="P4" s="5"/>
      <c r="Q4" s="9">
        <v>25.6</v>
      </c>
      <c r="R4" s="4" t="s">
        <v>509</v>
      </c>
      <c r="S4" s="4">
        <v>500</v>
      </c>
      <c r="T4" s="4">
        <v>520</v>
      </c>
      <c r="U4" s="4">
        <v>8496</v>
      </c>
      <c r="V4" s="4">
        <v>2588</v>
      </c>
      <c r="W4" s="5">
        <v>2.84</v>
      </c>
      <c r="X4" s="5">
        <v>2.25</v>
      </c>
      <c r="Y4" s="4">
        <v>390</v>
      </c>
      <c r="Z4" s="4" t="s">
        <v>512</v>
      </c>
      <c r="AA4" s="11">
        <f t="shared" ref="AA4:AF4" si="8">IF(OR(C5=""),"",C5-C4)</f>
        <v>43308</v>
      </c>
      <c r="AB4" s="11">
        <f t="shared" si="8"/>
        <v>49175</v>
      </c>
      <c r="AC4" s="11">
        <f t="shared" si="8"/>
        <v>35036</v>
      </c>
      <c r="AD4" s="11">
        <f t="shared" si="8"/>
        <v>33551</v>
      </c>
      <c r="AE4" s="11">
        <f t="shared" si="8"/>
        <v>156845</v>
      </c>
      <c r="AF4" s="11">
        <f t="shared" si="8"/>
        <v>5605</v>
      </c>
      <c r="AG4" s="11">
        <f t="shared" ref="AG4:AG33" si="9">IF(OR(AA4="",AB4="",AC4=""),"",AA4+AB4+AC4+AD4-AE4)</f>
        <v>4225</v>
      </c>
      <c r="AH4" s="11">
        <f t="shared" ref="AH4:AH33" si="10">IF(OR(I5=""),"",I5-I4)</f>
        <v>156845</v>
      </c>
      <c r="AI4" s="15">
        <f t="shared" ref="AI4:AI33" si="11">IF(OR(J5=""),"",J5-J4)</f>
        <v>5605</v>
      </c>
      <c r="AJ4" s="15">
        <f t="shared" ref="AJ4:AJ33" si="12">IF(OR(AH4="",AI4=""),"",AH4-AI4)</f>
        <v>151240</v>
      </c>
      <c r="AK4" s="15">
        <v>4200</v>
      </c>
      <c r="AL4" s="15">
        <f t="shared" ref="AL4:AL33" si="13">IF(OR(L5="",M5=""),"",ROUND((L5-L4+M5-M4)*1200,0))</f>
        <v>0</v>
      </c>
      <c r="AM4" s="15">
        <f t="shared" ref="AM4:AM33" si="14">IF(OR(N5=""),"",(ROUND((N5-N4)*2,0)))</f>
        <v>0</v>
      </c>
      <c r="AN4" s="15">
        <f t="shared" ref="AN4:AN33" si="15">IF(OR(S4=""),"",ROUND(S4*7.1,0))</f>
        <v>3550</v>
      </c>
      <c r="AO4" s="15">
        <f t="shared" ref="AO4:AO33" si="16">IF(OR(T4=""),"",ROUND(T4*2.4,0))</f>
        <v>1248</v>
      </c>
      <c r="AP4" s="15">
        <v>2182</v>
      </c>
      <c r="AQ4" s="18">
        <f t="shared" ref="AQ4:AQ33" si="17">IF(OR($AJ4=""),"",ROUND(AL4/$AJ4*1000,1))</f>
        <v>0</v>
      </c>
      <c r="AR4" s="18">
        <f t="shared" ref="AR4:AR33" si="18">IF(OR($AJ4=""),"",ROUND(AM4/$AJ4*1000,2))</f>
        <v>0</v>
      </c>
      <c r="AS4" s="19">
        <f t="shared" ref="AS4:AS33" si="19">IF(OR($AJ4=""),"",ROUND(AN4/$AJ4*1000,1))</f>
        <v>23.5</v>
      </c>
      <c r="AT4" s="18">
        <f t="shared" ref="AT4:AT33" si="20">IF(OR($AJ4=""),"",ROUND(AO4/$AJ4*1000,2))</f>
        <v>8.25</v>
      </c>
    </row>
    <row r="5" spans="1:47">
      <c r="A5" s="6">
        <v>43772</v>
      </c>
      <c r="B5" s="5" t="s">
        <v>510</v>
      </c>
      <c r="C5" s="4">
        <v>26182984</v>
      </c>
      <c r="D5" s="4">
        <v>11601844</v>
      </c>
      <c r="E5" s="4">
        <v>7392218</v>
      </c>
      <c r="F5" s="4">
        <v>7359556</v>
      </c>
      <c r="G5" s="4">
        <v>263404409</v>
      </c>
      <c r="H5" s="4">
        <v>105524983</v>
      </c>
      <c r="I5" s="4">
        <v>263404409</v>
      </c>
      <c r="J5" s="4">
        <v>105524983</v>
      </c>
      <c r="K5" s="4"/>
      <c r="L5" s="5">
        <v>4299.8</v>
      </c>
      <c r="M5" s="5">
        <v>4066.7</v>
      </c>
      <c r="N5" s="5">
        <v>73242.399999999994</v>
      </c>
      <c r="O5" s="5"/>
      <c r="P5" s="5"/>
      <c r="Q5" s="9">
        <v>25.8</v>
      </c>
      <c r="R5" s="4" t="s">
        <v>511</v>
      </c>
      <c r="S5" s="4">
        <v>460</v>
      </c>
      <c r="T5" s="4">
        <v>470</v>
      </c>
      <c r="U5" s="4">
        <v>7895</v>
      </c>
      <c r="V5" s="4">
        <v>4251</v>
      </c>
      <c r="W5" s="5">
        <v>4.38</v>
      </c>
      <c r="X5" s="5">
        <v>2.52</v>
      </c>
      <c r="Y5" s="4">
        <v>510</v>
      </c>
      <c r="Z5" s="4"/>
      <c r="AA5" s="11">
        <f t="shared" ref="AA5:AF5" si="21">IF(OR(C6=""),"",C6-C5)</f>
        <v>41396</v>
      </c>
      <c r="AB5" s="11">
        <f t="shared" si="21"/>
        <v>44549</v>
      </c>
      <c r="AC5" s="11">
        <f t="shared" si="21"/>
        <v>32710</v>
      </c>
      <c r="AD5" s="11">
        <f t="shared" si="21"/>
        <v>30957</v>
      </c>
      <c r="AE5" s="11">
        <f t="shared" si="21"/>
        <v>142930</v>
      </c>
      <c r="AF5" s="11">
        <f t="shared" si="21"/>
        <v>5490</v>
      </c>
      <c r="AG5" s="11">
        <f t="shared" si="9"/>
        <v>6682</v>
      </c>
      <c r="AH5" s="11">
        <f t="shared" si="10"/>
        <v>142930</v>
      </c>
      <c r="AI5" s="15">
        <f t="shared" si="11"/>
        <v>5490</v>
      </c>
      <c r="AJ5" s="15">
        <f t="shared" si="12"/>
        <v>137440</v>
      </c>
      <c r="AK5" s="15">
        <v>5000</v>
      </c>
      <c r="AL5" s="15">
        <f t="shared" si="13"/>
        <v>0</v>
      </c>
      <c r="AM5" s="15">
        <f t="shared" si="14"/>
        <v>0</v>
      </c>
      <c r="AN5" s="15">
        <f t="shared" si="15"/>
        <v>3266</v>
      </c>
      <c r="AO5" s="15">
        <f t="shared" si="16"/>
        <v>1128</v>
      </c>
      <c r="AP5" s="15">
        <v>2176</v>
      </c>
      <c r="AQ5" s="18">
        <f t="shared" si="17"/>
        <v>0</v>
      </c>
      <c r="AR5" s="18">
        <f t="shared" si="18"/>
        <v>0</v>
      </c>
      <c r="AS5" s="19">
        <f t="shared" si="19"/>
        <v>23.8</v>
      </c>
      <c r="AT5" s="18">
        <f t="shared" si="20"/>
        <v>8.2100000000000009</v>
      </c>
    </row>
    <row r="6" spans="1:47">
      <c r="A6" s="6">
        <v>43773</v>
      </c>
      <c r="B6" s="5" t="s">
        <v>513</v>
      </c>
      <c r="C6" s="4">
        <v>26224380</v>
      </c>
      <c r="D6" s="4">
        <v>11646393</v>
      </c>
      <c r="E6" s="4">
        <v>7424928</v>
      </c>
      <c r="F6" s="4">
        <v>7390513</v>
      </c>
      <c r="G6" s="4">
        <v>263547339</v>
      </c>
      <c r="H6" s="4">
        <v>105530473</v>
      </c>
      <c r="I6" s="4">
        <v>263547339</v>
      </c>
      <c r="J6" s="4">
        <v>105530473</v>
      </c>
      <c r="K6" s="4"/>
      <c r="L6" s="5">
        <v>4299.8</v>
      </c>
      <c r="M6" s="5">
        <v>4066.7</v>
      </c>
      <c r="N6" s="5">
        <v>73242.399999999994</v>
      </c>
      <c r="O6" s="5"/>
      <c r="P6" s="5"/>
      <c r="Q6" s="9">
        <v>25.6</v>
      </c>
      <c r="R6" s="4" t="s">
        <v>514</v>
      </c>
      <c r="S6" s="4">
        <v>430</v>
      </c>
      <c r="T6" s="4">
        <v>450</v>
      </c>
      <c r="U6" s="4">
        <v>9352</v>
      </c>
      <c r="V6" s="4">
        <v>4285</v>
      </c>
      <c r="W6" s="5">
        <v>5.93</v>
      </c>
      <c r="X6" s="5">
        <v>2.42</v>
      </c>
      <c r="Y6" s="4">
        <v>1290</v>
      </c>
      <c r="Z6" s="4" t="s">
        <v>515</v>
      </c>
      <c r="AA6" s="11">
        <f t="shared" ref="AA6:AF6" si="22">IF(OR(C7=""),"",C7-C6)</f>
        <v>46464</v>
      </c>
      <c r="AB6" s="11">
        <f t="shared" si="22"/>
        <v>52935</v>
      </c>
      <c r="AC6" s="11">
        <f t="shared" si="22"/>
        <v>39276</v>
      </c>
      <c r="AD6" s="11">
        <f t="shared" si="22"/>
        <v>37353</v>
      </c>
      <c r="AE6" s="11">
        <f t="shared" si="22"/>
        <v>166957</v>
      </c>
      <c r="AF6" s="11">
        <f t="shared" si="22"/>
        <v>5588</v>
      </c>
      <c r="AG6" s="11">
        <f t="shared" si="9"/>
        <v>9071</v>
      </c>
      <c r="AH6" s="11">
        <f t="shared" si="10"/>
        <v>166957</v>
      </c>
      <c r="AI6" s="15">
        <f t="shared" si="11"/>
        <v>5588</v>
      </c>
      <c r="AJ6" s="15">
        <f t="shared" si="12"/>
        <v>161369</v>
      </c>
      <c r="AK6" s="15">
        <v>5100</v>
      </c>
      <c r="AL6" s="15">
        <f t="shared" si="13"/>
        <v>0</v>
      </c>
      <c r="AM6" s="15">
        <f t="shared" si="14"/>
        <v>0</v>
      </c>
      <c r="AN6" s="15">
        <f t="shared" si="15"/>
        <v>3053</v>
      </c>
      <c r="AO6" s="15">
        <f t="shared" si="16"/>
        <v>1080</v>
      </c>
      <c r="AP6" s="15">
        <v>1537</v>
      </c>
      <c r="AQ6" s="18">
        <f t="shared" si="17"/>
        <v>0</v>
      </c>
      <c r="AR6" s="18">
        <f t="shared" si="18"/>
        <v>0</v>
      </c>
      <c r="AS6" s="19">
        <f t="shared" si="19"/>
        <v>18.899999999999999</v>
      </c>
      <c r="AT6" s="18">
        <f t="shared" si="20"/>
        <v>6.69</v>
      </c>
    </row>
    <row r="7" spans="1:47">
      <c r="A7" s="6">
        <v>43774</v>
      </c>
      <c r="B7" s="5" t="s">
        <v>516</v>
      </c>
      <c r="C7" s="4">
        <v>26270844</v>
      </c>
      <c r="D7" s="4">
        <v>11699328</v>
      </c>
      <c r="E7" s="4">
        <v>7464204</v>
      </c>
      <c r="F7" s="4">
        <v>7427866</v>
      </c>
      <c r="G7" s="4">
        <v>263714296</v>
      </c>
      <c r="H7" s="4">
        <v>105536061</v>
      </c>
      <c r="I7" s="4">
        <v>263714296</v>
      </c>
      <c r="J7" s="4">
        <v>105536061</v>
      </c>
      <c r="K7" s="4"/>
      <c r="L7" s="5">
        <v>4299.8</v>
      </c>
      <c r="M7" s="5">
        <v>4066.7</v>
      </c>
      <c r="N7" s="5">
        <v>73242.399999999994</v>
      </c>
      <c r="O7" s="5"/>
      <c r="P7" s="5"/>
      <c r="Q7" s="9">
        <v>25.1</v>
      </c>
      <c r="R7" s="4" t="s">
        <v>517</v>
      </c>
      <c r="S7" s="4">
        <v>450</v>
      </c>
      <c r="T7" s="4">
        <v>460</v>
      </c>
      <c r="U7" s="4">
        <v>9462</v>
      </c>
      <c r="V7" s="4">
        <v>8751</v>
      </c>
      <c r="W7" s="5">
        <v>7.62</v>
      </c>
      <c r="X7" s="5">
        <v>6.6</v>
      </c>
      <c r="Y7" s="4">
        <v>1440</v>
      </c>
      <c r="Z7" s="4"/>
      <c r="AA7" s="11">
        <f t="shared" ref="AA7:AF7" si="23">IF(OR(C8=""),"",C8-C7)</f>
        <v>53623</v>
      </c>
      <c r="AB7" s="11">
        <f t="shared" si="23"/>
        <v>64669</v>
      </c>
      <c r="AC7" s="11">
        <f t="shared" si="23"/>
        <v>50005</v>
      </c>
      <c r="AD7" s="11">
        <f t="shared" si="23"/>
        <v>47079</v>
      </c>
      <c r="AE7" s="11">
        <f t="shared" si="23"/>
        <v>212894</v>
      </c>
      <c r="AF7" s="11">
        <f t="shared" si="23"/>
        <v>5509</v>
      </c>
      <c r="AG7" s="11">
        <f t="shared" si="9"/>
        <v>2482</v>
      </c>
      <c r="AH7" s="11">
        <f t="shared" si="10"/>
        <v>212894</v>
      </c>
      <c r="AI7" s="15">
        <f t="shared" si="11"/>
        <v>5509</v>
      </c>
      <c r="AJ7" s="15">
        <f t="shared" si="12"/>
        <v>207385</v>
      </c>
      <c r="AK7" s="15">
        <v>3600</v>
      </c>
      <c r="AL7" s="15">
        <f t="shared" si="13"/>
        <v>0</v>
      </c>
      <c r="AM7" s="15">
        <f t="shared" si="14"/>
        <v>0</v>
      </c>
      <c r="AN7" s="15">
        <f t="shared" si="15"/>
        <v>3195</v>
      </c>
      <c r="AO7" s="15">
        <f t="shared" si="16"/>
        <v>1104</v>
      </c>
      <c r="AP7" s="15">
        <v>1298</v>
      </c>
      <c r="AQ7" s="18">
        <f t="shared" si="17"/>
        <v>0</v>
      </c>
      <c r="AR7" s="18">
        <f t="shared" si="18"/>
        <v>0</v>
      </c>
      <c r="AS7" s="19">
        <f t="shared" si="19"/>
        <v>15.4</v>
      </c>
      <c r="AT7" s="18">
        <f t="shared" si="20"/>
        <v>5.32</v>
      </c>
    </row>
    <row r="8" spans="1:47">
      <c r="A8" s="6">
        <v>43775</v>
      </c>
      <c r="B8" s="5" t="s">
        <v>518</v>
      </c>
      <c r="C8" s="4">
        <v>26324467</v>
      </c>
      <c r="D8" s="4">
        <v>11763997</v>
      </c>
      <c r="E8" s="4">
        <v>7514209</v>
      </c>
      <c r="F8" s="4">
        <v>7474945</v>
      </c>
      <c r="G8" s="4">
        <v>263927190</v>
      </c>
      <c r="H8" s="4">
        <v>105541570</v>
      </c>
      <c r="I8" s="4">
        <v>263927190</v>
      </c>
      <c r="J8" s="4">
        <v>105541570</v>
      </c>
      <c r="K8" s="4"/>
      <c r="L8" s="5">
        <v>4299.8</v>
      </c>
      <c r="M8" s="5">
        <v>4066.7</v>
      </c>
      <c r="N8" s="5">
        <v>73242.399999999994</v>
      </c>
      <c r="O8" s="5"/>
      <c r="P8" s="5"/>
      <c r="Q8" s="9">
        <v>25.3</v>
      </c>
      <c r="R8" s="4" t="s">
        <v>519</v>
      </c>
      <c r="S8" s="4">
        <v>650</v>
      </c>
      <c r="T8" s="4">
        <v>670</v>
      </c>
      <c r="U8" s="4">
        <v>9384</v>
      </c>
      <c r="V8" s="4">
        <v>8802</v>
      </c>
      <c r="W8" s="5">
        <v>7.04</v>
      </c>
      <c r="X8" s="5">
        <v>5.81</v>
      </c>
      <c r="Y8" s="4">
        <v>1440</v>
      </c>
      <c r="Z8" s="4"/>
      <c r="AA8" s="11">
        <f t="shared" ref="AA8:AF8" si="24">IF(OR(C9=""),"",C9-C8)</f>
        <v>49975</v>
      </c>
      <c r="AB8" s="11">
        <f t="shared" si="24"/>
        <v>58469</v>
      </c>
      <c r="AC8" s="11">
        <f t="shared" si="24"/>
        <v>56156</v>
      </c>
      <c r="AD8" s="11">
        <f t="shared" si="24"/>
        <v>56470</v>
      </c>
      <c r="AE8" s="11">
        <f t="shared" si="24"/>
        <v>217658</v>
      </c>
      <c r="AF8" s="11">
        <f t="shared" si="24"/>
        <v>5581</v>
      </c>
      <c r="AG8" s="11">
        <f t="shared" si="9"/>
        <v>3412</v>
      </c>
      <c r="AH8" s="11">
        <f t="shared" si="10"/>
        <v>217658</v>
      </c>
      <c r="AI8" s="15">
        <f t="shared" si="11"/>
        <v>5581</v>
      </c>
      <c r="AJ8" s="15">
        <f t="shared" si="12"/>
        <v>212077</v>
      </c>
      <c r="AK8" s="15">
        <v>4000</v>
      </c>
      <c r="AL8" s="15">
        <f t="shared" si="13"/>
        <v>0</v>
      </c>
      <c r="AM8" s="15">
        <f t="shared" si="14"/>
        <v>0</v>
      </c>
      <c r="AN8" s="15">
        <f t="shared" si="15"/>
        <v>4615</v>
      </c>
      <c r="AO8" s="15">
        <f t="shared" si="16"/>
        <v>1608</v>
      </c>
      <c r="AP8" s="15">
        <v>1749</v>
      </c>
      <c r="AQ8" s="18">
        <f t="shared" si="17"/>
        <v>0</v>
      </c>
      <c r="AR8" s="18">
        <f t="shared" si="18"/>
        <v>0</v>
      </c>
      <c r="AS8" s="19">
        <f t="shared" si="19"/>
        <v>21.8</v>
      </c>
      <c r="AT8" s="18">
        <f t="shared" si="20"/>
        <v>7.58</v>
      </c>
    </row>
    <row r="9" spans="1:47">
      <c r="A9" s="6">
        <v>43776</v>
      </c>
      <c r="B9" s="5" t="s">
        <v>520</v>
      </c>
      <c r="C9" s="4">
        <v>26374442</v>
      </c>
      <c r="D9" s="4">
        <v>11822466</v>
      </c>
      <c r="E9" s="4">
        <v>7570365</v>
      </c>
      <c r="F9" s="4">
        <v>7531415</v>
      </c>
      <c r="G9" s="4">
        <v>264144848</v>
      </c>
      <c r="H9" s="4">
        <v>105547151</v>
      </c>
      <c r="I9" s="4">
        <v>264144848</v>
      </c>
      <c r="J9" s="4">
        <v>105547151</v>
      </c>
      <c r="K9" s="4"/>
      <c r="L9" s="5">
        <v>4299.8</v>
      </c>
      <c r="M9" s="5">
        <v>4066.7</v>
      </c>
      <c r="N9" s="5">
        <v>73242.399999999994</v>
      </c>
      <c r="O9" s="5"/>
      <c r="P9" s="5"/>
      <c r="Q9" s="9">
        <v>26.2</v>
      </c>
      <c r="R9" s="4" t="s">
        <v>521</v>
      </c>
      <c r="S9" s="4">
        <v>710</v>
      </c>
      <c r="T9" s="4">
        <v>730</v>
      </c>
      <c r="U9" s="4">
        <v>9310</v>
      </c>
      <c r="V9" s="4">
        <v>8012</v>
      </c>
      <c r="W9" s="5">
        <v>6.78</v>
      </c>
      <c r="X9" s="5">
        <v>5.24</v>
      </c>
      <c r="Y9" s="4">
        <v>1440</v>
      </c>
      <c r="Z9" s="4"/>
      <c r="AA9" s="11">
        <f t="shared" ref="AA9:AF9" si="25">IF(OR(C10=""),"",C10-C9)</f>
        <v>49083</v>
      </c>
      <c r="AB9" s="11">
        <f t="shared" si="25"/>
        <v>57382</v>
      </c>
      <c r="AC9" s="11">
        <f t="shared" si="25"/>
        <v>55830</v>
      </c>
      <c r="AD9" s="11">
        <f t="shared" si="25"/>
        <v>55344</v>
      </c>
      <c r="AE9" s="11">
        <f t="shared" si="25"/>
        <v>214980</v>
      </c>
      <c r="AF9" s="11">
        <f t="shared" si="25"/>
        <v>5567</v>
      </c>
      <c r="AG9" s="11">
        <f t="shared" si="9"/>
        <v>2659</v>
      </c>
      <c r="AH9" s="11">
        <f t="shared" si="10"/>
        <v>214980</v>
      </c>
      <c r="AI9" s="15">
        <f t="shared" si="11"/>
        <v>5567</v>
      </c>
      <c r="AJ9" s="15">
        <f t="shared" si="12"/>
        <v>209413</v>
      </c>
      <c r="AK9" s="15">
        <v>3430</v>
      </c>
      <c r="AL9" s="15">
        <f t="shared" si="13"/>
        <v>0</v>
      </c>
      <c r="AM9" s="15">
        <f t="shared" si="14"/>
        <v>0</v>
      </c>
      <c r="AN9" s="15">
        <f t="shared" si="15"/>
        <v>5041</v>
      </c>
      <c r="AO9" s="15">
        <f t="shared" si="16"/>
        <v>1752</v>
      </c>
      <c r="AP9" s="15">
        <v>1671</v>
      </c>
      <c r="AQ9" s="18">
        <f t="shared" si="17"/>
        <v>0</v>
      </c>
      <c r="AR9" s="18">
        <f t="shared" si="18"/>
        <v>0</v>
      </c>
      <c r="AS9" s="19">
        <f t="shared" si="19"/>
        <v>24.1</v>
      </c>
      <c r="AT9" s="18">
        <f t="shared" si="20"/>
        <v>8.3699999999999992</v>
      </c>
    </row>
    <row r="10" spans="1:47">
      <c r="A10" s="6">
        <v>43777</v>
      </c>
      <c r="B10" s="5" t="s">
        <v>522</v>
      </c>
      <c r="C10" s="4">
        <v>26423525</v>
      </c>
      <c r="D10" s="4">
        <v>11879848</v>
      </c>
      <c r="E10" s="4">
        <v>7626195</v>
      </c>
      <c r="F10" s="4">
        <v>7586759</v>
      </c>
      <c r="G10" s="4">
        <v>264359828</v>
      </c>
      <c r="H10" s="4">
        <v>105552718</v>
      </c>
      <c r="I10" s="4">
        <v>264359828</v>
      </c>
      <c r="J10" s="4">
        <v>105552718</v>
      </c>
      <c r="K10" s="4"/>
      <c r="L10" s="5">
        <v>4299.8</v>
      </c>
      <c r="M10" s="5">
        <v>4066.7</v>
      </c>
      <c r="N10" s="5">
        <v>73242.399999999994</v>
      </c>
      <c r="O10" s="5"/>
      <c r="P10" s="5"/>
      <c r="Q10" s="9">
        <v>25.1</v>
      </c>
      <c r="R10" s="4" t="s">
        <v>44</v>
      </c>
      <c r="S10" s="4">
        <v>750</v>
      </c>
      <c r="T10" s="4">
        <v>760</v>
      </c>
      <c r="U10" s="4">
        <v>9452</v>
      </c>
      <c r="V10" s="4">
        <v>8045</v>
      </c>
      <c r="W10" s="5">
        <v>6.03</v>
      </c>
      <c r="X10" s="5">
        <v>5.83</v>
      </c>
      <c r="Y10" s="4">
        <v>1440</v>
      </c>
      <c r="Z10" s="4"/>
      <c r="AA10" s="11">
        <f t="shared" ref="AA10:AF10" si="26">IF(OR(C11=""),"",C11-C10)</f>
        <v>48987</v>
      </c>
      <c r="AB10" s="11">
        <f t="shared" si="26"/>
        <v>56854</v>
      </c>
      <c r="AC10" s="11">
        <f t="shared" si="26"/>
        <v>54916</v>
      </c>
      <c r="AD10" s="11">
        <f t="shared" si="26"/>
        <v>54819</v>
      </c>
      <c r="AE10" s="11">
        <f t="shared" si="26"/>
        <v>214367</v>
      </c>
      <c r="AF10" s="11">
        <f t="shared" si="26"/>
        <v>5538</v>
      </c>
      <c r="AG10" s="11">
        <f t="shared" si="9"/>
        <v>1209</v>
      </c>
      <c r="AH10" s="11">
        <f t="shared" si="10"/>
        <v>214367</v>
      </c>
      <c r="AI10" s="15">
        <f t="shared" si="11"/>
        <v>5538</v>
      </c>
      <c r="AJ10" s="15">
        <f t="shared" si="12"/>
        <v>208829</v>
      </c>
      <c r="AK10" s="15">
        <v>3300</v>
      </c>
      <c r="AL10" s="15">
        <f t="shared" si="13"/>
        <v>0</v>
      </c>
      <c r="AM10" s="15">
        <f t="shared" si="14"/>
        <v>0</v>
      </c>
      <c r="AN10" s="15">
        <f t="shared" si="15"/>
        <v>5325</v>
      </c>
      <c r="AO10" s="15">
        <f t="shared" si="16"/>
        <v>1824</v>
      </c>
      <c r="AP10" s="15">
        <v>1788</v>
      </c>
      <c r="AQ10" s="18">
        <f t="shared" si="17"/>
        <v>0</v>
      </c>
      <c r="AR10" s="18">
        <f t="shared" si="18"/>
        <v>0</v>
      </c>
      <c r="AS10" s="19">
        <f t="shared" si="19"/>
        <v>25.5</v>
      </c>
      <c r="AT10" s="18">
        <f t="shared" si="20"/>
        <v>8.73</v>
      </c>
    </row>
    <row r="11" spans="1:47">
      <c r="A11" s="6">
        <v>43778</v>
      </c>
      <c r="B11" s="5" t="s">
        <v>523</v>
      </c>
      <c r="C11" s="4">
        <v>26472512</v>
      </c>
      <c r="D11" s="4">
        <v>11936702</v>
      </c>
      <c r="E11" s="4">
        <v>7681111</v>
      </c>
      <c r="F11" s="4">
        <v>7641578</v>
      </c>
      <c r="G11" s="4">
        <v>264574195</v>
      </c>
      <c r="H11" s="4">
        <v>105558256</v>
      </c>
      <c r="I11" s="4">
        <v>264574195</v>
      </c>
      <c r="J11" s="4">
        <v>105558256</v>
      </c>
      <c r="K11" s="4"/>
      <c r="L11" s="5">
        <v>4299.8</v>
      </c>
      <c r="M11" s="5">
        <v>4066.7</v>
      </c>
      <c r="N11" s="5">
        <v>73242.399999999994</v>
      </c>
      <c r="O11" s="5"/>
      <c r="P11" s="5"/>
      <c r="Q11" s="9">
        <v>22.8</v>
      </c>
      <c r="R11" s="4" t="s">
        <v>524</v>
      </c>
      <c r="S11" s="4">
        <v>680</v>
      </c>
      <c r="T11" s="4">
        <v>700</v>
      </c>
      <c r="U11" s="4">
        <v>9385</v>
      </c>
      <c r="V11" s="4">
        <v>8245</v>
      </c>
      <c r="W11" s="5">
        <v>6.52</v>
      </c>
      <c r="X11" s="5">
        <v>5.21</v>
      </c>
      <c r="Y11" s="4">
        <v>1440</v>
      </c>
      <c r="Z11" s="4"/>
      <c r="AA11" s="11">
        <f t="shared" ref="AA11:AF11" si="27">IF(OR(C12=""),"",C12-C11)</f>
        <v>46432</v>
      </c>
      <c r="AB11" s="11">
        <f t="shared" si="27"/>
        <v>57949</v>
      </c>
      <c r="AC11" s="11">
        <f t="shared" si="27"/>
        <v>54794</v>
      </c>
      <c r="AD11" s="11">
        <f t="shared" si="27"/>
        <v>53621</v>
      </c>
      <c r="AE11" s="11">
        <f t="shared" si="27"/>
        <v>212141</v>
      </c>
      <c r="AF11" s="11">
        <f t="shared" si="27"/>
        <v>5569</v>
      </c>
      <c r="AG11" s="11">
        <f t="shared" si="9"/>
        <v>655</v>
      </c>
      <c r="AH11" s="11">
        <f t="shared" si="10"/>
        <v>212141</v>
      </c>
      <c r="AI11" s="15">
        <f t="shared" si="11"/>
        <v>5569</v>
      </c>
      <c r="AJ11" s="15">
        <f t="shared" si="12"/>
        <v>206572</v>
      </c>
      <c r="AK11" s="15">
        <v>2000</v>
      </c>
      <c r="AL11" s="15">
        <f t="shared" si="13"/>
        <v>0</v>
      </c>
      <c r="AM11" s="15">
        <f t="shared" si="14"/>
        <v>0</v>
      </c>
      <c r="AN11" s="15">
        <f t="shared" si="15"/>
        <v>4828</v>
      </c>
      <c r="AO11" s="15">
        <f t="shared" si="16"/>
        <v>1680</v>
      </c>
      <c r="AP11" s="15">
        <v>2241</v>
      </c>
      <c r="AQ11" s="18">
        <f t="shared" si="17"/>
        <v>0</v>
      </c>
      <c r="AR11" s="18">
        <f t="shared" si="18"/>
        <v>0</v>
      </c>
      <c r="AS11" s="19">
        <f t="shared" si="19"/>
        <v>23.4</v>
      </c>
      <c r="AT11" s="18">
        <f t="shared" si="20"/>
        <v>8.1300000000000008</v>
      </c>
    </row>
    <row r="12" spans="1:47" ht="26.4">
      <c r="A12" s="6">
        <v>43779</v>
      </c>
      <c r="B12" s="5" t="s">
        <v>525</v>
      </c>
      <c r="C12" s="4">
        <v>26518944</v>
      </c>
      <c r="D12" s="4">
        <v>11994651</v>
      </c>
      <c r="E12" s="4">
        <v>7735905</v>
      </c>
      <c r="F12" s="4">
        <v>7695199</v>
      </c>
      <c r="G12" s="4">
        <v>264786336</v>
      </c>
      <c r="H12" s="4">
        <v>105563825</v>
      </c>
      <c r="I12" s="4">
        <v>264786336</v>
      </c>
      <c r="J12" s="4">
        <v>105563825</v>
      </c>
      <c r="K12" s="4"/>
      <c r="L12" s="5">
        <v>4299.8</v>
      </c>
      <c r="M12" s="5">
        <v>4066.7</v>
      </c>
      <c r="N12" s="5">
        <v>73242.399999999994</v>
      </c>
      <c r="O12" s="5"/>
      <c r="P12" s="5"/>
      <c r="Q12" s="9">
        <v>23</v>
      </c>
      <c r="R12" s="4" t="s">
        <v>526</v>
      </c>
      <c r="S12" s="4">
        <v>720</v>
      </c>
      <c r="T12" s="4">
        <v>730</v>
      </c>
      <c r="U12" s="4">
        <v>10263</v>
      </c>
      <c r="V12" s="4">
        <v>4496</v>
      </c>
      <c r="W12" s="5">
        <v>5.12</v>
      </c>
      <c r="X12" s="5">
        <v>2.38</v>
      </c>
      <c r="Y12" s="4">
        <v>360</v>
      </c>
      <c r="Z12" s="4" t="s">
        <v>529</v>
      </c>
      <c r="AA12" s="11">
        <f t="shared" ref="AA12:AF12" si="28">IF(OR(C13=""),"",C13-C12)</f>
        <v>50359</v>
      </c>
      <c r="AB12" s="11">
        <f t="shared" si="28"/>
        <v>60657</v>
      </c>
      <c r="AC12" s="11">
        <f t="shared" si="28"/>
        <v>55673</v>
      </c>
      <c r="AD12" s="11">
        <f t="shared" si="28"/>
        <v>56030</v>
      </c>
      <c r="AE12" s="11">
        <f t="shared" si="28"/>
        <v>196086</v>
      </c>
      <c r="AF12" s="11">
        <f t="shared" si="28"/>
        <v>5532</v>
      </c>
      <c r="AG12" s="11">
        <f t="shared" si="9"/>
        <v>26633</v>
      </c>
      <c r="AH12" s="11">
        <f t="shared" si="10"/>
        <v>196086</v>
      </c>
      <c r="AI12" s="15">
        <f t="shared" si="11"/>
        <v>5532</v>
      </c>
      <c r="AJ12" s="15">
        <f t="shared" si="12"/>
        <v>190554</v>
      </c>
      <c r="AK12" s="15">
        <v>2200</v>
      </c>
      <c r="AL12" s="15">
        <f t="shared" si="13"/>
        <v>0</v>
      </c>
      <c r="AM12" s="15">
        <f t="shared" si="14"/>
        <v>0</v>
      </c>
      <c r="AN12" s="15">
        <f t="shared" si="15"/>
        <v>5112</v>
      </c>
      <c r="AO12" s="15">
        <f t="shared" si="16"/>
        <v>1752</v>
      </c>
      <c r="AP12" s="15">
        <v>1998</v>
      </c>
      <c r="AQ12" s="18">
        <f t="shared" si="17"/>
        <v>0</v>
      </c>
      <c r="AR12" s="18">
        <f t="shared" si="18"/>
        <v>0</v>
      </c>
      <c r="AS12" s="19">
        <f t="shared" si="19"/>
        <v>26.8</v>
      </c>
      <c r="AT12" s="18">
        <f t="shared" si="20"/>
        <v>9.19</v>
      </c>
    </row>
    <row r="13" spans="1:47" ht="26.4">
      <c r="A13" s="6">
        <v>43780</v>
      </c>
      <c r="B13" s="5" t="s">
        <v>527</v>
      </c>
      <c r="C13" s="4">
        <v>26569303</v>
      </c>
      <c r="D13" s="4">
        <v>12055308</v>
      </c>
      <c r="E13" s="4">
        <v>7791578</v>
      </c>
      <c r="F13" s="4">
        <v>7751229</v>
      </c>
      <c r="G13" s="4">
        <v>264982422</v>
      </c>
      <c r="H13" s="4">
        <v>105569357</v>
      </c>
      <c r="I13" s="4">
        <v>264982422</v>
      </c>
      <c r="J13" s="4">
        <v>105569357</v>
      </c>
      <c r="K13" s="4"/>
      <c r="L13" s="5">
        <v>4299.8</v>
      </c>
      <c r="M13" s="5">
        <v>4066.7</v>
      </c>
      <c r="N13" s="5">
        <v>73242.399999999994</v>
      </c>
      <c r="O13" s="5"/>
      <c r="P13" s="5"/>
      <c r="Q13" s="9">
        <v>25.8</v>
      </c>
      <c r="R13" s="4" t="s">
        <v>528</v>
      </c>
      <c r="S13" s="4">
        <v>410</v>
      </c>
      <c r="T13" s="4">
        <v>430</v>
      </c>
      <c r="U13" s="4">
        <v>9631</v>
      </c>
      <c r="V13" s="4">
        <v>2459</v>
      </c>
      <c r="W13" s="5">
        <v>4.08</v>
      </c>
      <c r="X13" s="5">
        <v>2.6</v>
      </c>
      <c r="Y13" s="4">
        <v>420</v>
      </c>
      <c r="Z13" s="4" t="s">
        <v>532</v>
      </c>
      <c r="AA13" s="11">
        <f t="shared" ref="AA13:AF13" si="29">IF(OR(C14=""),"",C14-C13)</f>
        <v>37465</v>
      </c>
      <c r="AB13" s="11">
        <f t="shared" si="29"/>
        <v>45055</v>
      </c>
      <c r="AC13" s="11">
        <f t="shared" si="29"/>
        <v>43566</v>
      </c>
      <c r="AD13" s="11">
        <f t="shared" si="29"/>
        <v>41780</v>
      </c>
      <c r="AE13" s="11">
        <f t="shared" si="29"/>
        <v>172640</v>
      </c>
      <c r="AF13" s="11">
        <f t="shared" si="29"/>
        <v>5231</v>
      </c>
      <c r="AG13" s="11">
        <f t="shared" si="9"/>
        <v>-4774</v>
      </c>
      <c r="AH13" s="11">
        <f t="shared" si="10"/>
        <v>172640</v>
      </c>
      <c r="AI13" s="15">
        <f t="shared" si="11"/>
        <v>5231</v>
      </c>
      <c r="AJ13" s="15">
        <f t="shared" si="12"/>
        <v>167409</v>
      </c>
      <c r="AK13" s="15">
        <v>3000</v>
      </c>
      <c r="AL13" s="15">
        <f t="shared" si="13"/>
        <v>0</v>
      </c>
      <c r="AM13" s="15">
        <f t="shared" si="14"/>
        <v>0</v>
      </c>
      <c r="AN13" s="15">
        <f t="shared" si="15"/>
        <v>2911</v>
      </c>
      <c r="AO13" s="15">
        <f t="shared" si="16"/>
        <v>1032</v>
      </c>
      <c r="AP13" s="15">
        <v>1950</v>
      </c>
      <c r="AQ13" s="18">
        <f t="shared" si="17"/>
        <v>0</v>
      </c>
      <c r="AR13" s="18">
        <f t="shared" si="18"/>
        <v>0</v>
      </c>
      <c r="AS13" s="19">
        <f t="shared" si="19"/>
        <v>17.399999999999999</v>
      </c>
      <c r="AT13" s="18">
        <f t="shared" si="20"/>
        <v>6.16</v>
      </c>
    </row>
    <row r="14" spans="1:47">
      <c r="A14" s="6">
        <v>43781</v>
      </c>
      <c r="B14" s="5" t="s">
        <v>530</v>
      </c>
      <c r="C14" s="4">
        <v>26606768</v>
      </c>
      <c r="D14" s="4">
        <v>12100363</v>
      </c>
      <c r="E14" s="4">
        <v>7835144</v>
      </c>
      <c r="F14" s="4">
        <v>7793009</v>
      </c>
      <c r="G14" s="4">
        <v>265155062</v>
      </c>
      <c r="H14" s="4">
        <v>105574588</v>
      </c>
      <c r="I14" s="4">
        <v>265155062</v>
      </c>
      <c r="J14" s="4">
        <v>105574588</v>
      </c>
      <c r="K14" s="4"/>
      <c r="L14" s="5">
        <v>4299.8</v>
      </c>
      <c r="M14" s="5">
        <v>4066.7</v>
      </c>
      <c r="N14" s="5">
        <v>73242.399999999994</v>
      </c>
      <c r="O14" s="5"/>
      <c r="P14" s="5"/>
      <c r="Q14" s="9">
        <v>25.3</v>
      </c>
      <c r="R14" s="4" t="s">
        <v>531</v>
      </c>
      <c r="S14" s="4">
        <v>430</v>
      </c>
      <c r="T14" s="4">
        <v>450</v>
      </c>
      <c r="U14" s="4">
        <v>10211</v>
      </c>
      <c r="V14" s="4">
        <v>5821</v>
      </c>
      <c r="W14" s="5">
        <v>4.01</v>
      </c>
      <c r="X14" s="5">
        <v>2.6</v>
      </c>
      <c r="Y14" s="4">
        <v>640</v>
      </c>
      <c r="Z14" s="4"/>
      <c r="AA14" s="11">
        <f t="shared" ref="AA14:AF14" si="30">IF(OR(C15=""),"",C15-C14)</f>
        <v>40789</v>
      </c>
      <c r="AB14" s="11">
        <f t="shared" si="30"/>
        <v>48921</v>
      </c>
      <c r="AC14" s="11">
        <f t="shared" si="30"/>
        <v>43414</v>
      </c>
      <c r="AD14" s="11">
        <f t="shared" si="30"/>
        <v>39849</v>
      </c>
      <c r="AE14" s="11">
        <f t="shared" si="30"/>
        <v>152643</v>
      </c>
      <c r="AF14" s="11">
        <f t="shared" si="30"/>
        <v>4338</v>
      </c>
      <c r="AG14" s="11">
        <f t="shared" si="9"/>
        <v>20330</v>
      </c>
      <c r="AH14" s="11">
        <f t="shared" si="10"/>
        <v>152643</v>
      </c>
      <c r="AI14" s="15">
        <f t="shared" si="11"/>
        <v>4338</v>
      </c>
      <c r="AJ14" s="15">
        <f t="shared" si="12"/>
        <v>148305</v>
      </c>
      <c r="AK14" s="15">
        <v>2500</v>
      </c>
      <c r="AL14" s="15">
        <f t="shared" si="13"/>
        <v>16920</v>
      </c>
      <c r="AM14" s="15">
        <f t="shared" si="14"/>
        <v>37</v>
      </c>
      <c r="AN14" s="15">
        <f t="shared" si="15"/>
        <v>3053</v>
      </c>
      <c r="AO14" s="15">
        <f t="shared" si="16"/>
        <v>1080</v>
      </c>
      <c r="AP14" s="15">
        <v>2025</v>
      </c>
      <c r="AQ14" s="18">
        <f t="shared" si="17"/>
        <v>114.1</v>
      </c>
      <c r="AR14" s="18">
        <f t="shared" si="18"/>
        <v>0.25</v>
      </c>
      <c r="AS14" s="19">
        <f t="shared" si="19"/>
        <v>20.6</v>
      </c>
      <c r="AT14" s="18">
        <f t="shared" si="20"/>
        <v>7.28</v>
      </c>
    </row>
    <row r="15" spans="1:47" ht="26.4">
      <c r="A15" s="6">
        <v>43782</v>
      </c>
      <c r="B15" s="5" t="s">
        <v>533</v>
      </c>
      <c r="C15" s="4">
        <v>26647557</v>
      </c>
      <c r="D15" s="4">
        <v>12149284</v>
      </c>
      <c r="E15" s="4">
        <v>7878558</v>
      </c>
      <c r="F15" s="4">
        <v>7832858</v>
      </c>
      <c r="G15" s="4">
        <v>265307705</v>
      </c>
      <c r="H15" s="4">
        <v>105578926</v>
      </c>
      <c r="I15" s="4">
        <v>265307705</v>
      </c>
      <c r="J15" s="4">
        <v>105578926</v>
      </c>
      <c r="K15" s="4"/>
      <c r="L15" s="5">
        <v>4299.8</v>
      </c>
      <c r="M15" s="5">
        <v>4080.8</v>
      </c>
      <c r="N15" s="5">
        <v>73260.69</v>
      </c>
      <c r="O15" s="5"/>
      <c r="P15" s="5"/>
      <c r="Q15" s="9">
        <v>25.5</v>
      </c>
      <c r="R15" s="4" t="s">
        <v>511</v>
      </c>
      <c r="S15" s="4">
        <v>640</v>
      </c>
      <c r="T15" s="4">
        <v>650</v>
      </c>
      <c r="U15" s="4">
        <v>10542</v>
      </c>
      <c r="V15" s="4">
        <v>5532</v>
      </c>
      <c r="W15" s="5">
        <v>4.03</v>
      </c>
      <c r="X15" s="5">
        <v>2.58</v>
      </c>
      <c r="Y15" s="4">
        <v>660</v>
      </c>
      <c r="Z15" s="4" t="s">
        <v>534</v>
      </c>
      <c r="AA15" s="11">
        <f t="shared" ref="AA15:AF15" si="31">IF(OR(C16=""),"",C16-C15)</f>
        <v>50188</v>
      </c>
      <c r="AB15" s="11">
        <f t="shared" si="31"/>
        <v>60675</v>
      </c>
      <c r="AC15" s="11">
        <f t="shared" si="31"/>
        <v>54519</v>
      </c>
      <c r="AD15" s="11">
        <f t="shared" si="31"/>
        <v>52810</v>
      </c>
      <c r="AE15" s="11">
        <f t="shared" si="31"/>
        <v>196937</v>
      </c>
      <c r="AF15" s="11">
        <f t="shared" si="31"/>
        <v>5518</v>
      </c>
      <c r="AG15" s="11">
        <f t="shared" si="9"/>
        <v>21255</v>
      </c>
      <c r="AH15" s="11">
        <f t="shared" si="10"/>
        <v>196937</v>
      </c>
      <c r="AI15" s="15">
        <f t="shared" si="11"/>
        <v>5518</v>
      </c>
      <c r="AJ15" s="15">
        <f t="shared" si="12"/>
        <v>191419</v>
      </c>
      <c r="AK15" s="15">
        <v>2500</v>
      </c>
      <c r="AL15" s="15">
        <f t="shared" si="13"/>
        <v>0</v>
      </c>
      <c r="AM15" s="15">
        <f t="shared" si="14"/>
        <v>0</v>
      </c>
      <c r="AN15" s="15">
        <f t="shared" si="15"/>
        <v>4544</v>
      </c>
      <c r="AO15" s="15">
        <f t="shared" si="16"/>
        <v>1560</v>
      </c>
      <c r="AP15" s="15">
        <v>2268</v>
      </c>
      <c r="AQ15" s="18">
        <f t="shared" si="17"/>
        <v>0</v>
      </c>
      <c r="AR15" s="18">
        <f t="shared" si="18"/>
        <v>0</v>
      </c>
      <c r="AS15" s="19">
        <f t="shared" si="19"/>
        <v>23.7</v>
      </c>
      <c r="AT15" s="18">
        <f t="shared" si="20"/>
        <v>8.15</v>
      </c>
    </row>
    <row r="16" spans="1:47" ht="26.4">
      <c r="A16" s="6">
        <v>43783</v>
      </c>
      <c r="B16" s="5" t="s">
        <v>535</v>
      </c>
      <c r="C16" s="4">
        <v>26697745</v>
      </c>
      <c r="D16" s="4">
        <v>12209959</v>
      </c>
      <c r="E16" s="4">
        <v>7933077</v>
      </c>
      <c r="F16" s="4">
        <v>7885668</v>
      </c>
      <c r="G16" s="4">
        <v>265504642</v>
      </c>
      <c r="H16" s="4">
        <v>105584444</v>
      </c>
      <c r="I16" s="4">
        <v>265504642</v>
      </c>
      <c r="J16" s="4">
        <v>105584444</v>
      </c>
      <c r="K16" s="4"/>
      <c r="L16" s="5">
        <v>4299.8</v>
      </c>
      <c r="M16" s="5">
        <v>4080.8</v>
      </c>
      <c r="N16" s="5">
        <v>73260.69</v>
      </c>
      <c r="O16" s="5"/>
      <c r="P16" s="5"/>
      <c r="Q16" s="9">
        <v>25.8</v>
      </c>
      <c r="R16" s="4" t="s">
        <v>55</v>
      </c>
      <c r="S16" s="4">
        <v>570</v>
      </c>
      <c r="T16" s="4">
        <v>580</v>
      </c>
      <c r="U16" s="4">
        <v>10352</v>
      </c>
      <c r="V16" s="4">
        <v>2694</v>
      </c>
      <c r="W16" s="5">
        <v>3.62</v>
      </c>
      <c r="X16" s="5">
        <v>2.39</v>
      </c>
      <c r="Y16" s="4">
        <v>540</v>
      </c>
      <c r="Z16" s="4" t="s">
        <v>537</v>
      </c>
      <c r="AA16" s="11">
        <f t="shared" ref="AA16:AF16" si="32">IF(OR(C17=""),"",C17-C16)</f>
        <v>48187</v>
      </c>
      <c r="AB16" s="11">
        <f t="shared" si="32"/>
        <v>58208</v>
      </c>
      <c r="AC16" s="11">
        <f t="shared" si="32"/>
        <v>51272</v>
      </c>
      <c r="AD16" s="11">
        <f t="shared" si="32"/>
        <v>50789</v>
      </c>
      <c r="AE16" s="11">
        <f t="shared" si="32"/>
        <v>192380</v>
      </c>
      <c r="AF16" s="11">
        <f t="shared" si="32"/>
        <v>5536</v>
      </c>
      <c r="AG16" s="11">
        <f t="shared" si="9"/>
        <v>16076</v>
      </c>
      <c r="AH16" s="11">
        <f t="shared" si="10"/>
        <v>192380</v>
      </c>
      <c r="AI16" s="15">
        <f t="shared" si="11"/>
        <v>5536</v>
      </c>
      <c r="AJ16" s="15">
        <f t="shared" si="12"/>
        <v>186844</v>
      </c>
      <c r="AK16" s="15">
        <v>2700</v>
      </c>
      <c r="AL16" s="15">
        <f t="shared" si="13"/>
        <v>0</v>
      </c>
      <c r="AM16" s="15">
        <f t="shared" si="14"/>
        <v>0</v>
      </c>
      <c r="AN16" s="15">
        <f t="shared" si="15"/>
        <v>4047</v>
      </c>
      <c r="AO16" s="15">
        <f t="shared" si="16"/>
        <v>1392</v>
      </c>
      <c r="AP16" s="15">
        <v>2538</v>
      </c>
      <c r="AQ16" s="18">
        <f t="shared" si="17"/>
        <v>0</v>
      </c>
      <c r="AR16" s="18">
        <f t="shared" si="18"/>
        <v>0</v>
      </c>
      <c r="AS16" s="19">
        <f t="shared" si="19"/>
        <v>21.7</v>
      </c>
      <c r="AT16" s="18">
        <f t="shared" si="20"/>
        <v>7.45</v>
      </c>
    </row>
    <row r="17" spans="1:46" ht="26.4">
      <c r="A17" s="6">
        <v>43784</v>
      </c>
      <c r="B17" s="5" t="s">
        <v>536</v>
      </c>
      <c r="C17" s="4">
        <v>26745932</v>
      </c>
      <c r="D17" s="4">
        <v>12268167</v>
      </c>
      <c r="E17" s="4">
        <v>7984349</v>
      </c>
      <c r="F17" s="4">
        <v>7936457</v>
      </c>
      <c r="G17" s="4">
        <v>265697022</v>
      </c>
      <c r="H17" s="4">
        <v>105589980</v>
      </c>
      <c r="I17" s="4">
        <v>265697022</v>
      </c>
      <c r="J17" s="4">
        <v>105589980</v>
      </c>
      <c r="K17" s="4"/>
      <c r="L17" s="5">
        <v>4299.8</v>
      </c>
      <c r="M17" s="5">
        <v>4080.8</v>
      </c>
      <c r="N17" s="5">
        <v>73260.69</v>
      </c>
      <c r="O17" s="5"/>
      <c r="P17" s="5"/>
      <c r="Q17" s="9">
        <v>24.9</v>
      </c>
      <c r="R17" s="4" t="s">
        <v>539</v>
      </c>
      <c r="S17" s="4">
        <v>760</v>
      </c>
      <c r="T17" s="4">
        <v>750</v>
      </c>
      <c r="U17" s="4">
        <v>10262</v>
      </c>
      <c r="V17" s="4">
        <v>5415</v>
      </c>
      <c r="W17" s="5">
        <v>3.86</v>
      </c>
      <c r="X17" s="5">
        <v>2.52</v>
      </c>
      <c r="Y17" s="4">
        <v>420</v>
      </c>
      <c r="Z17" s="4" t="s">
        <v>540</v>
      </c>
      <c r="AA17" s="11">
        <f t="shared" ref="AA17:AF17" si="33">IF(OR(C18=""),"",C18-C17)</f>
        <v>49938</v>
      </c>
      <c r="AB17" s="11">
        <f t="shared" si="33"/>
        <v>60602</v>
      </c>
      <c r="AC17" s="11">
        <f t="shared" si="33"/>
        <v>57238</v>
      </c>
      <c r="AD17" s="11">
        <f t="shared" si="33"/>
        <v>55320</v>
      </c>
      <c r="AE17" s="11">
        <f t="shared" si="33"/>
        <v>200143</v>
      </c>
      <c r="AF17" s="11">
        <f t="shared" si="33"/>
        <v>5555</v>
      </c>
      <c r="AG17" s="11">
        <f t="shared" si="9"/>
        <v>22955</v>
      </c>
      <c r="AH17" s="11">
        <f t="shared" si="10"/>
        <v>200143</v>
      </c>
      <c r="AI17" s="15">
        <f t="shared" si="11"/>
        <v>5555</v>
      </c>
      <c r="AJ17" s="15">
        <f t="shared" si="12"/>
        <v>194588</v>
      </c>
      <c r="AK17" s="15">
        <v>2240</v>
      </c>
      <c r="AL17" s="15">
        <f t="shared" si="13"/>
        <v>0</v>
      </c>
      <c r="AM17" s="15">
        <f t="shared" si="14"/>
        <v>0</v>
      </c>
      <c r="AN17" s="15">
        <f t="shared" si="15"/>
        <v>5396</v>
      </c>
      <c r="AO17" s="15">
        <f t="shared" si="16"/>
        <v>1800</v>
      </c>
      <c r="AP17" s="15">
        <v>3496</v>
      </c>
      <c r="AQ17" s="18">
        <f t="shared" si="17"/>
        <v>0</v>
      </c>
      <c r="AR17" s="18">
        <f t="shared" si="18"/>
        <v>0</v>
      </c>
      <c r="AS17" s="19">
        <f t="shared" si="19"/>
        <v>27.7</v>
      </c>
      <c r="AT17" s="18">
        <f t="shared" si="20"/>
        <v>9.25</v>
      </c>
    </row>
    <row r="18" spans="1:46" ht="79.2">
      <c r="A18" s="6">
        <v>43785</v>
      </c>
      <c r="B18" s="5" t="s">
        <v>538</v>
      </c>
      <c r="C18" s="4">
        <v>26795870</v>
      </c>
      <c r="D18" s="4">
        <v>12328769</v>
      </c>
      <c r="E18" s="4">
        <v>8041587</v>
      </c>
      <c r="F18" s="4">
        <v>7991777</v>
      </c>
      <c r="G18" s="4">
        <v>265897165</v>
      </c>
      <c r="H18" s="4">
        <v>105595535</v>
      </c>
      <c r="I18" s="4">
        <v>265897165</v>
      </c>
      <c r="J18" s="4">
        <v>105595535</v>
      </c>
      <c r="K18" s="4"/>
      <c r="L18" s="5">
        <v>4299.8</v>
      </c>
      <c r="M18" s="5">
        <v>4080.8</v>
      </c>
      <c r="N18" s="5">
        <v>73260.69</v>
      </c>
      <c r="O18" s="5"/>
      <c r="P18" s="5"/>
      <c r="Q18" s="9">
        <v>24.1</v>
      </c>
      <c r="R18" s="4" t="s">
        <v>539</v>
      </c>
      <c r="S18" s="4">
        <v>690</v>
      </c>
      <c r="T18" s="4">
        <v>700</v>
      </c>
      <c r="U18" s="4">
        <v>10263</v>
      </c>
      <c r="V18" s="4">
        <v>6985</v>
      </c>
      <c r="W18" s="5">
        <v>5.54</v>
      </c>
      <c r="X18" s="5">
        <v>2.76</v>
      </c>
      <c r="Y18" s="4">
        <v>1080</v>
      </c>
      <c r="Z18" s="4" t="s">
        <v>543</v>
      </c>
      <c r="AA18" s="11">
        <f t="shared" ref="AA18:AF19" si="34">IF(OR(C19=""),"",C19-C18)</f>
        <v>47441</v>
      </c>
      <c r="AB18" s="11">
        <f t="shared" si="34"/>
        <v>56306</v>
      </c>
      <c r="AC18" s="11">
        <f t="shared" si="34"/>
        <v>53784</v>
      </c>
      <c r="AD18" s="11">
        <f t="shared" si="34"/>
        <v>51641</v>
      </c>
      <c r="AE18" s="11">
        <f t="shared" si="34"/>
        <v>197220</v>
      </c>
      <c r="AF18" s="11">
        <f t="shared" si="34"/>
        <v>5552</v>
      </c>
      <c r="AG18" s="11">
        <f t="shared" si="9"/>
        <v>11952</v>
      </c>
      <c r="AH18" s="11">
        <f t="shared" si="10"/>
        <v>197220</v>
      </c>
      <c r="AI18" s="15">
        <f t="shared" si="11"/>
        <v>5552</v>
      </c>
      <c r="AJ18" s="15">
        <f t="shared" si="12"/>
        <v>191668</v>
      </c>
      <c r="AK18" s="15">
        <v>4000</v>
      </c>
      <c r="AL18" s="15">
        <f t="shared" si="13"/>
        <v>0</v>
      </c>
      <c r="AM18" s="15">
        <f t="shared" si="14"/>
        <v>0</v>
      </c>
      <c r="AN18" s="15">
        <f t="shared" si="15"/>
        <v>4899</v>
      </c>
      <c r="AO18" s="15">
        <f t="shared" si="16"/>
        <v>1680</v>
      </c>
      <c r="AP18" s="15">
        <v>3942</v>
      </c>
      <c r="AQ18" s="18">
        <f t="shared" si="17"/>
        <v>0</v>
      </c>
      <c r="AR18" s="18">
        <f t="shared" si="18"/>
        <v>0</v>
      </c>
      <c r="AS18" s="19">
        <f t="shared" si="19"/>
        <v>25.6</v>
      </c>
      <c r="AT18" s="18">
        <f t="shared" si="20"/>
        <v>8.77</v>
      </c>
    </row>
    <row r="19" spans="1:46">
      <c r="A19" s="6">
        <v>43786</v>
      </c>
      <c r="B19" s="5" t="s">
        <v>541</v>
      </c>
      <c r="C19" s="4">
        <v>26843311</v>
      </c>
      <c r="D19" s="4">
        <v>12385075</v>
      </c>
      <c r="E19" s="4">
        <v>8095371</v>
      </c>
      <c r="F19" s="4">
        <v>8043418</v>
      </c>
      <c r="G19" s="4">
        <v>266094385</v>
      </c>
      <c r="H19" s="4">
        <v>105601087</v>
      </c>
      <c r="I19" s="4">
        <v>266094385</v>
      </c>
      <c r="J19" s="4">
        <v>105601087</v>
      </c>
      <c r="K19" s="4"/>
      <c r="L19" s="5">
        <v>4299.8</v>
      </c>
      <c r="M19" s="5">
        <v>4080.8</v>
      </c>
      <c r="N19" s="5">
        <v>73260.69</v>
      </c>
      <c r="O19" s="5"/>
      <c r="P19" s="5"/>
      <c r="Q19" s="9">
        <v>24.2</v>
      </c>
      <c r="R19" s="4" t="s">
        <v>542</v>
      </c>
      <c r="S19" s="4">
        <v>620</v>
      </c>
      <c r="T19" s="4">
        <v>640</v>
      </c>
      <c r="U19" s="4">
        <v>7152</v>
      </c>
      <c r="V19" s="4">
        <v>6995</v>
      </c>
      <c r="W19" s="5">
        <v>7.12</v>
      </c>
      <c r="X19" s="5">
        <v>4.72</v>
      </c>
      <c r="Y19" s="4">
        <v>1440</v>
      </c>
      <c r="Z19" s="4"/>
      <c r="AA19" s="11">
        <f t="shared" ref="AA19:AE19" si="35">IF(OR(C20=""),"",C20-C19)</f>
        <v>41820</v>
      </c>
      <c r="AB19" s="11">
        <f t="shared" si="35"/>
        <v>48027</v>
      </c>
      <c r="AC19" s="11">
        <f t="shared" si="35"/>
        <v>47710</v>
      </c>
      <c r="AD19" s="11">
        <f t="shared" si="35"/>
        <v>43839</v>
      </c>
      <c r="AE19" s="11">
        <f t="shared" si="35"/>
        <v>177758</v>
      </c>
      <c r="AF19" s="11">
        <f t="shared" si="34"/>
        <v>5586</v>
      </c>
      <c r="AG19" s="11">
        <f t="shared" si="9"/>
        <v>3638</v>
      </c>
      <c r="AH19" s="11">
        <f t="shared" si="10"/>
        <v>177758</v>
      </c>
      <c r="AI19" s="15">
        <f t="shared" si="11"/>
        <v>5586</v>
      </c>
      <c r="AJ19" s="15">
        <f t="shared" si="12"/>
        <v>172172</v>
      </c>
      <c r="AK19" s="15">
        <v>3500</v>
      </c>
      <c r="AL19" s="15">
        <f t="shared" si="13"/>
        <v>0</v>
      </c>
      <c r="AM19" s="15">
        <f t="shared" si="14"/>
        <v>0</v>
      </c>
      <c r="AN19" s="15">
        <f t="shared" si="15"/>
        <v>4402</v>
      </c>
      <c r="AO19" s="15">
        <f t="shared" si="16"/>
        <v>1536</v>
      </c>
      <c r="AP19" s="15">
        <v>3899</v>
      </c>
      <c r="AQ19" s="18">
        <f t="shared" si="17"/>
        <v>0</v>
      </c>
      <c r="AR19" s="18">
        <f t="shared" si="18"/>
        <v>0</v>
      </c>
      <c r="AS19" s="19">
        <f t="shared" si="19"/>
        <v>25.6</v>
      </c>
      <c r="AT19" s="18">
        <f t="shared" si="20"/>
        <v>8.92</v>
      </c>
    </row>
    <row r="20" spans="1:46">
      <c r="A20" s="6">
        <v>43787</v>
      </c>
      <c r="B20" s="5" t="s">
        <v>544</v>
      </c>
      <c r="C20" s="4">
        <v>26885131</v>
      </c>
      <c r="D20" s="4">
        <v>12433102</v>
      </c>
      <c r="E20" s="4">
        <v>8143081</v>
      </c>
      <c r="F20" s="4">
        <v>8087257</v>
      </c>
      <c r="G20" s="4">
        <v>266272143</v>
      </c>
      <c r="H20" s="4">
        <v>105606673</v>
      </c>
      <c r="I20" s="4">
        <v>266272143</v>
      </c>
      <c r="J20" s="4">
        <v>105606673</v>
      </c>
      <c r="K20" s="4"/>
      <c r="L20" s="5">
        <v>4299.8</v>
      </c>
      <c r="M20" s="5">
        <v>4080.8</v>
      </c>
      <c r="N20" s="5">
        <v>73260.69</v>
      </c>
      <c r="O20" s="5"/>
      <c r="P20" s="5"/>
      <c r="Q20" s="9">
        <v>24.5</v>
      </c>
      <c r="R20" s="4" t="s">
        <v>545</v>
      </c>
      <c r="S20" s="4">
        <v>530</v>
      </c>
      <c r="T20" s="4">
        <v>520</v>
      </c>
      <c r="U20" s="4">
        <v>7595</v>
      </c>
      <c r="V20" s="4">
        <v>7012</v>
      </c>
      <c r="W20" s="5">
        <v>7.01</v>
      </c>
      <c r="X20" s="5">
        <v>5.2</v>
      </c>
      <c r="Y20" s="4">
        <v>1440</v>
      </c>
      <c r="Z20" s="4"/>
      <c r="AA20" s="11">
        <f t="shared" ref="AA20:AF20" si="36">IF(OR(C21=""),"",C21-C20)</f>
        <v>42768</v>
      </c>
      <c r="AB20" s="11">
        <f t="shared" si="36"/>
        <v>48721</v>
      </c>
      <c r="AC20" s="11">
        <f t="shared" si="36"/>
        <v>48330</v>
      </c>
      <c r="AD20" s="11">
        <f t="shared" si="36"/>
        <v>44291</v>
      </c>
      <c r="AE20" s="11">
        <f t="shared" si="36"/>
        <v>176763</v>
      </c>
      <c r="AF20" s="11">
        <f t="shared" si="36"/>
        <v>5560</v>
      </c>
      <c r="AG20" s="11">
        <f t="shared" si="9"/>
        <v>7347</v>
      </c>
      <c r="AH20" s="11">
        <f t="shared" si="10"/>
        <v>176763</v>
      </c>
      <c r="AI20" s="15">
        <f t="shared" si="11"/>
        <v>5560</v>
      </c>
      <c r="AJ20" s="15">
        <f t="shared" si="12"/>
        <v>171203</v>
      </c>
      <c r="AK20" s="15">
        <v>2500</v>
      </c>
      <c r="AL20" s="15">
        <f t="shared" si="13"/>
        <v>0</v>
      </c>
      <c r="AM20" s="15">
        <f t="shared" si="14"/>
        <v>0</v>
      </c>
      <c r="AN20" s="15">
        <f t="shared" si="15"/>
        <v>3763</v>
      </c>
      <c r="AO20" s="15">
        <f t="shared" si="16"/>
        <v>1248</v>
      </c>
      <c r="AP20" s="15">
        <v>3805</v>
      </c>
      <c r="AQ20" s="18">
        <f t="shared" si="17"/>
        <v>0</v>
      </c>
      <c r="AR20" s="18">
        <f t="shared" si="18"/>
        <v>0</v>
      </c>
      <c r="AS20" s="19">
        <f t="shared" si="19"/>
        <v>22</v>
      </c>
      <c r="AT20" s="18">
        <f t="shared" si="20"/>
        <v>7.29</v>
      </c>
    </row>
    <row r="21" spans="1:46">
      <c r="A21" s="6">
        <v>43788</v>
      </c>
      <c r="B21" s="5" t="s">
        <v>546</v>
      </c>
      <c r="C21" s="4">
        <v>26927899</v>
      </c>
      <c r="D21" s="4">
        <v>12481823</v>
      </c>
      <c r="E21" s="4">
        <v>8191411</v>
      </c>
      <c r="F21" s="4">
        <v>8131548</v>
      </c>
      <c r="G21" s="4">
        <v>266448906</v>
      </c>
      <c r="H21" s="4">
        <v>105612233</v>
      </c>
      <c r="I21" s="4">
        <v>266448906</v>
      </c>
      <c r="J21" s="4">
        <v>105612233</v>
      </c>
      <c r="K21" s="4"/>
      <c r="L21" s="5">
        <v>4299.8</v>
      </c>
      <c r="M21" s="5">
        <v>4080.8</v>
      </c>
      <c r="N21" s="5">
        <v>73260.69</v>
      </c>
      <c r="O21" s="5"/>
      <c r="P21" s="5"/>
      <c r="Q21" s="9">
        <v>24.8</v>
      </c>
      <c r="R21" s="4" t="s">
        <v>547</v>
      </c>
      <c r="S21" s="4">
        <v>440</v>
      </c>
      <c r="T21" s="4">
        <v>450</v>
      </c>
      <c r="U21" s="4">
        <v>8412</v>
      </c>
      <c r="V21" s="4">
        <v>7412</v>
      </c>
      <c r="W21" s="5">
        <v>6.45</v>
      </c>
      <c r="X21" s="5">
        <v>4.87</v>
      </c>
      <c r="Y21" s="4">
        <v>1440</v>
      </c>
      <c r="Z21" s="4" t="s">
        <v>548</v>
      </c>
      <c r="AA21" s="11">
        <f t="shared" ref="AA21:AF21" si="37">IF(OR(C22=""),"",C22-C21)</f>
        <v>42199</v>
      </c>
      <c r="AB21" s="11">
        <f t="shared" si="37"/>
        <v>49497</v>
      </c>
      <c r="AC21" s="11">
        <f t="shared" si="37"/>
        <v>48705</v>
      </c>
      <c r="AD21" s="11">
        <f t="shared" si="37"/>
        <v>43596</v>
      </c>
      <c r="AE21" s="11">
        <f t="shared" si="37"/>
        <v>184353</v>
      </c>
      <c r="AF21" s="11">
        <f t="shared" si="37"/>
        <v>5583</v>
      </c>
      <c r="AG21" s="11">
        <f t="shared" si="9"/>
        <v>-356</v>
      </c>
      <c r="AH21" s="11">
        <f t="shared" si="10"/>
        <v>184353</v>
      </c>
      <c r="AI21" s="15">
        <f t="shared" si="11"/>
        <v>5583</v>
      </c>
      <c r="AJ21" s="15">
        <f t="shared" si="12"/>
        <v>178770</v>
      </c>
      <c r="AK21" s="15">
        <v>3630</v>
      </c>
      <c r="AL21" s="15">
        <f t="shared" si="13"/>
        <v>0</v>
      </c>
      <c r="AM21" s="15">
        <f t="shared" si="14"/>
        <v>0</v>
      </c>
      <c r="AN21" s="15">
        <f t="shared" si="15"/>
        <v>3124</v>
      </c>
      <c r="AO21" s="15">
        <f t="shared" si="16"/>
        <v>1080</v>
      </c>
      <c r="AP21" s="15">
        <v>3816</v>
      </c>
      <c r="AQ21" s="18">
        <f t="shared" si="17"/>
        <v>0</v>
      </c>
      <c r="AR21" s="18">
        <f t="shared" si="18"/>
        <v>0</v>
      </c>
      <c r="AS21" s="19">
        <f t="shared" si="19"/>
        <v>17.5</v>
      </c>
      <c r="AT21" s="18">
        <f t="shared" si="20"/>
        <v>6.04</v>
      </c>
    </row>
    <row r="22" spans="1:46">
      <c r="A22" s="6">
        <v>43789</v>
      </c>
      <c r="B22" s="5" t="s">
        <v>549</v>
      </c>
      <c r="C22" s="4">
        <v>26970098</v>
      </c>
      <c r="D22" s="4">
        <v>12531320</v>
      </c>
      <c r="E22" s="4">
        <v>8240116</v>
      </c>
      <c r="F22" s="4">
        <v>8175144</v>
      </c>
      <c r="G22" s="4">
        <v>266633259</v>
      </c>
      <c r="H22" s="4">
        <v>105617816</v>
      </c>
      <c r="I22" s="4">
        <v>266633259</v>
      </c>
      <c r="J22" s="4">
        <v>105617816</v>
      </c>
      <c r="K22" s="4"/>
      <c r="L22" s="5">
        <v>4299.8</v>
      </c>
      <c r="M22" s="5">
        <v>4080.8</v>
      </c>
      <c r="N22" s="5">
        <v>73260.69</v>
      </c>
      <c r="O22" s="5"/>
      <c r="P22" s="5"/>
      <c r="Q22" s="9">
        <v>23.5</v>
      </c>
      <c r="R22" s="4" t="s">
        <v>52</v>
      </c>
      <c r="S22" s="4">
        <v>230</v>
      </c>
      <c r="T22" s="4">
        <v>250</v>
      </c>
      <c r="U22" s="4">
        <v>8339</v>
      </c>
      <c r="V22" s="4">
        <v>7542</v>
      </c>
      <c r="W22" s="5">
        <v>6.96</v>
      </c>
      <c r="X22" s="5">
        <v>4.41</v>
      </c>
      <c r="Y22" s="4">
        <v>1440</v>
      </c>
      <c r="Z22" s="4"/>
      <c r="AA22" s="11">
        <f t="shared" ref="AA22:AF22" si="38">IF(OR(C23=""),"",C23-C22)</f>
        <v>42265</v>
      </c>
      <c r="AB22" s="11">
        <f t="shared" si="38"/>
        <v>49951</v>
      </c>
      <c r="AC22" s="11">
        <f t="shared" si="38"/>
        <v>49200</v>
      </c>
      <c r="AD22" s="11">
        <f t="shared" si="38"/>
        <v>43850</v>
      </c>
      <c r="AE22" s="11">
        <f t="shared" si="38"/>
        <v>185177</v>
      </c>
      <c r="AF22" s="11">
        <f t="shared" si="38"/>
        <v>5522</v>
      </c>
      <c r="AG22" s="11">
        <f t="shared" si="9"/>
        <v>89</v>
      </c>
      <c r="AH22" s="11">
        <f t="shared" si="10"/>
        <v>185177</v>
      </c>
      <c r="AI22" s="15">
        <f t="shared" si="11"/>
        <v>5522</v>
      </c>
      <c r="AJ22" s="15">
        <f t="shared" si="12"/>
        <v>179655</v>
      </c>
      <c r="AK22" s="15">
        <v>3800</v>
      </c>
      <c r="AL22" s="15">
        <f t="shared" si="13"/>
        <v>6264</v>
      </c>
      <c r="AM22" s="15">
        <f t="shared" si="14"/>
        <v>36</v>
      </c>
      <c r="AN22" s="15">
        <f t="shared" si="15"/>
        <v>1633</v>
      </c>
      <c r="AO22" s="15">
        <f t="shared" si="16"/>
        <v>600</v>
      </c>
      <c r="AP22" s="15">
        <v>3857</v>
      </c>
      <c r="AQ22" s="18">
        <f t="shared" si="17"/>
        <v>34.9</v>
      </c>
      <c r="AR22" s="18">
        <f t="shared" si="18"/>
        <v>0.2</v>
      </c>
      <c r="AS22" s="19">
        <f t="shared" si="19"/>
        <v>9.1</v>
      </c>
      <c r="AT22" s="18">
        <f t="shared" si="20"/>
        <v>3.34</v>
      </c>
    </row>
    <row r="23" spans="1:46">
      <c r="A23" s="6">
        <v>43790</v>
      </c>
      <c r="B23" s="5" t="s">
        <v>264</v>
      </c>
      <c r="C23" s="4">
        <v>27012363</v>
      </c>
      <c r="D23" s="4">
        <v>12581271</v>
      </c>
      <c r="E23" s="4">
        <v>8289316</v>
      </c>
      <c r="F23" s="4">
        <v>8218994</v>
      </c>
      <c r="G23" s="4">
        <v>266818436</v>
      </c>
      <c r="H23" s="4">
        <v>105623338</v>
      </c>
      <c r="I23" s="4">
        <v>266818436</v>
      </c>
      <c r="J23" s="4">
        <v>105623338</v>
      </c>
      <c r="K23" s="4"/>
      <c r="L23" s="5">
        <v>4299.8</v>
      </c>
      <c r="M23" s="5">
        <v>4086.02</v>
      </c>
      <c r="N23" s="5">
        <v>73278.570000000007</v>
      </c>
      <c r="O23" s="5"/>
      <c r="P23" s="5"/>
      <c r="Q23" s="9">
        <v>23</v>
      </c>
      <c r="R23" s="4" t="s">
        <v>550</v>
      </c>
      <c r="S23" s="4">
        <v>480</v>
      </c>
      <c r="T23" s="4">
        <v>490</v>
      </c>
      <c r="U23" s="4">
        <v>8562</v>
      </c>
      <c r="V23" s="4">
        <v>7892</v>
      </c>
      <c r="W23" s="5">
        <v>7.01</v>
      </c>
      <c r="X23" s="5">
        <v>5.4</v>
      </c>
      <c r="Y23" s="4">
        <v>1440</v>
      </c>
      <c r="Z23" s="4"/>
      <c r="AA23" s="11">
        <f t="shared" ref="AA23:AF27" si="39">IF(OR(C24=""),"",C24-C23)</f>
        <v>45520</v>
      </c>
      <c r="AB23" s="11">
        <f t="shared" si="39"/>
        <v>54744</v>
      </c>
      <c r="AC23" s="11">
        <f t="shared" si="39"/>
        <v>54020</v>
      </c>
      <c r="AD23" s="11">
        <f t="shared" si="39"/>
        <v>47127</v>
      </c>
      <c r="AE23" s="11">
        <f t="shared" si="39"/>
        <v>195989</v>
      </c>
      <c r="AF23" s="11">
        <f t="shared" si="39"/>
        <v>5577</v>
      </c>
      <c r="AG23" s="11">
        <f t="shared" si="9"/>
        <v>5422</v>
      </c>
      <c r="AH23" s="11">
        <f t="shared" si="10"/>
        <v>195989</v>
      </c>
      <c r="AI23" s="15">
        <f t="shared" si="11"/>
        <v>5577</v>
      </c>
      <c r="AJ23" s="15">
        <f t="shared" si="12"/>
        <v>190412</v>
      </c>
      <c r="AK23" s="15">
        <v>3500</v>
      </c>
      <c r="AL23" s="15">
        <f t="shared" si="13"/>
        <v>8136</v>
      </c>
      <c r="AM23" s="15">
        <f t="shared" si="14"/>
        <v>31</v>
      </c>
      <c r="AN23" s="15">
        <f t="shared" si="15"/>
        <v>3408</v>
      </c>
      <c r="AO23" s="15">
        <f t="shared" si="16"/>
        <v>1176</v>
      </c>
      <c r="AP23" s="15">
        <v>3780</v>
      </c>
      <c r="AQ23" s="18">
        <f t="shared" si="17"/>
        <v>42.7</v>
      </c>
      <c r="AR23" s="18">
        <f t="shared" si="18"/>
        <v>0.16</v>
      </c>
      <c r="AS23" s="19">
        <f t="shared" si="19"/>
        <v>17.899999999999999</v>
      </c>
      <c r="AT23" s="18">
        <f t="shared" si="20"/>
        <v>6.18</v>
      </c>
    </row>
    <row r="24" spans="1:46">
      <c r="A24" s="6">
        <v>43791</v>
      </c>
      <c r="B24" s="5" t="s">
        <v>551</v>
      </c>
      <c r="C24" s="4">
        <v>27057883</v>
      </c>
      <c r="D24" s="4">
        <v>12636015</v>
      </c>
      <c r="E24" s="4">
        <v>8343336</v>
      </c>
      <c r="F24" s="4">
        <v>8266121</v>
      </c>
      <c r="G24" s="4">
        <v>267014425</v>
      </c>
      <c r="H24" s="4">
        <v>105628915</v>
      </c>
      <c r="I24" s="4">
        <v>267014425</v>
      </c>
      <c r="J24" s="4">
        <v>105628915</v>
      </c>
      <c r="K24" s="4"/>
      <c r="L24" s="5">
        <v>4299.8</v>
      </c>
      <c r="M24" s="5">
        <v>4092.8</v>
      </c>
      <c r="N24" s="5">
        <v>73294.259999999995</v>
      </c>
      <c r="O24" s="5"/>
      <c r="P24" s="5"/>
      <c r="Q24" s="9">
        <v>23.4</v>
      </c>
      <c r="R24" s="4" t="s">
        <v>552</v>
      </c>
      <c r="S24" s="4">
        <v>680</v>
      </c>
      <c r="T24" s="4">
        <v>700</v>
      </c>
      <c r="U24" s="4">
        <v>8279</v>
      </c>
      <c r="V24" s="4">
        <v>6838</v>
      </c>
      <c r="W24" s="5">
        <v>5.84</v>
      </c>
      <c r="X24" s="5">
        <v>4.6399999999999997</v>
      </c>
      <c r="Y24" s="4">
        <v>1440</v>
      </c>
      <c r="Z24" s="4"/>
      <c r="AA24" s="11">
        <f t="shared" si="39"/>
        <v>43737</v>
      </c>
      <c r="AB24" s="11">
        <f t="shared" ref="AB24:AF27" si="40">IF(OR(D25=""),"",D25-D24)</f>
        <v>52226</v>
      </c>
      <c r="AC24" s="11">
        <f t="shared" si="40"/>
        <v>51615</v>
      </c>
      <c r="AD24" s="11">
        <f t="shared" si="40"/>
        <v>44620</v>
      </c>
      <c r="AE24" s="11">
        <f t="shared" si="40"/>
        <v>188906</v>
      </c>
      <c r="AF24" s="11">
        <f t="shared" si="40"/>
        <v>5564</v>
      </c>
      <c r="AG24" s="11">
        <f t="shared" si="9"/>
        <v>3292</v>
      </c>
      <c r="AH24" s="11">
        <f t="shared" si="10"/>
        <v>188906</v>
      </c>
      <c r="AI24" s="15">
        <f t="shared" si="11"/>
        <v>5564</v>
      </c>
      <c r="AJ24" s="15">
        <f t="shared" si="12"/>
        <v>183342</v>
      </c>
      <c r="AK24" s="15">
        <v>3600</v>
      </c>
      <c r="AL24" s="15">
        <f t="shared" si="13"/>
        <v>26472</v>
      </c>
      <c r="AM24" s="15">
        <f t="shared" si="14"/>
        <v>59</v>
      </c>
      <c r="AN24" s="15">
        <f t="shared" si="15"/>
        <v>4828</v>
      </c>
      <c r="AO24" s="15">
        <f t="shared" si="16"/>
        <v>1680</v>
      </c>
      <c r="AP24" s="15">
        <v>3068</v>
      </c>
      <c r="AQ24" s="18">
        <f t="shared" si="17"/>
        <v>144.4</v>
      </c>
      <c r="AR24" s="18">
        <f t="shared" si="18"/>
        <v>0.32</v>
      </c>
      <c r="AS24" s="19">
        <f t="shared" si="19"/>
        <v>26.3</v>
      </c>
      <c r="AT24" s="18">
        <f t="shared" si="20"/>
        <v>9.16</v>
      </c>
    </row>
    <row r="25" spans="1:46">
      <c r="A25" s="6">
        <v>43792</v>
      </c>
      <c r="B25" s="5" t="s">
        <v>553</v>
      </c>
      <c r="C25" s="4">
        <v>27101620</v>
      </c>
      <c r="D25" s="4">
        <v>12688241</v>
      </c>
      <c r="E25" s="4">
        <v>8394951</v>
      </c>
      <c r="F25" s="4">
        <v>8310741</v>
      </c>
      <c r="G25" s="4">
        <v>267203331</v>
      </c>
      <c r="H25" s="4">
        <v>105634479</v>
      </c>
      <c r="I25" s="4">
        <v>267203331</v>
      </c>
      <c r="J25" s="4">
        <v>105634479</v>
      </c>
      <c r="K25" s="4"/>
      <c r="L25" s="5">
        <v>4299.8</v>
      </c>
      <c r="M25" s="5">
        <v>4114.8599999999997</v>
      </c>
      <c r="N25" s="5">
        <v>73323.649999999994</v>
      </c>
      <c r="O25" s="5"/>
      <c r="P25" s="5"/>
      <c r="Q25" s="9">
        <v>26.6</v>
      </c>
      <c r="R25" s="4" t="s">
        <v>554</v>
      </c>
      <c r="S25" s="4">
        <v>660</v>
      </c>
      <c r="T25" s="4">
        <v>670</v>
      </c>
      <c r="U25" s="4">
        <v>7891</v>
      </c>
      <c r="V25" s="4">
        <v>5596</v>
      </c>
      <c r="W25" s="5">
        <v>6.3</v>
      </c>
      <c r="X25" s="5">
        <v>4.58</v>
      </c>
      <c r="Y25" s="4">
        <v>1440</v>
      </c>
      <c r="Z25" s="4"/>
      <c r="AA25" s="11">
        <f t="shared" si="39"/>
        <v>41417</v>
      </c>
      <c r="AB25" s="11">
        <f t="shared" si="40"/>
        <v>48455</v>
      </c>
      <c r="AC25" s="11">
        <f t="shared" si="40"/>
        <v>47626</v>
      </c>
      <c r="AD25" s="11">
        <f t="shared" si="40"/>
        <v>42370</v>
      </c>
      <c r="AE25" s="11">
        <f t="shared" si="40"/>
        <v>179612</v>
      </c>
      <c r="AF25" s="11">
        <f t="shared" ref="AF25" si="41">IF(OR(H26=""),"",H26-H25)</f>
        <v>5532</v>
      </c>
      <c r="AG25" s="11">
        <f t="shared" si="9"/>
        <v>256</v>
      </c>
      <c r="AH25" s="11">
        <f t="shared" si="10"/>
        <v>179612</v>
      </c>
      <c r="AI25" s="15">
        <f t="shared" si="11"/>
        <v>5532</v>
      </c>
      <c r="AJ25" s="15">
        <f t="shared" si="12"/>
        <v>174080</v>
      </c>
      <c r="AK25" s="15">
        <v>3500</v>
      </c>
      <c r="AL25" s="15">
        <f t="shared" si="13"/>
        <v>4092</v>
      </c>
      <c r="AM25" s="15">
        <f t="shared" si="14"/>
        <v>9</v>
      </c>
      <c r="AN25" s="15">
        <f t="shared" si="15"/>
        <v>4686</v>
      </c>
      <c r="AO25" s="15">
        <f t="shared" si="16"/>
        <v>1608</v>
      </c>
      <c r="AP25" s="15">
        <v>3061</v>
      </c>
      <c r="AQ25" s="18">
        <f t="shared" si="17"/>
        <v>23.5</v>
      </c>
      <c r="AR25" s="18">
        <f t="shared" si="18"/>
        <v>0.05</v>
      </c>
      <c r="AS25" s="19">
        <f t="shared" si="19"/>
        <v>26.9</v>
      </c>
      <c r="AT25" s="18">
        <f t="shared" si="20"/>
        <v>9.24</v>
      </c>
    </row>
    <row r="26" spans="1:46">
      <c r="A26" s="6">
        <v>43793</v>
      </c>
      <c r="B26" s="5" t="s">
        <v>555</v>
      </c>
      <c r="C26" s="4">
        <v>27143037</v>
      </c>
      <c r="D26" s="4">
        <v>12736696</v>
      </c>
      <c r="E26" s="4">
        <v>8442577</v>
      </c>
      <c r="F26" s="4">
        <v>8353111</v>
      </c>
      <c r="G26" s="4">
        <v>267382943</v>
      </c>
      <c r="H26" s="4">
        <v>105640011</v>
      </c>
      <c r="I26" s="4">
        <v>267382943</v>
      </c>
      <c r="J26" s="4">
        <v>105640011</v>
      </c>
      <c r="K26" s="4"/>
      <c r="L26" s="5">
        <v>4299.8</v>
      </c>
      <c r="M26" s="5">
        <v>4118.2700000000004</v>
      </c>
      <c r="N26" s="5">
        <v>73328.259999999995</v>
      </c>
      <c r="O26" s="5"/>
      <c r="P26" s="5"/>
      <c r="Q26" s="9">
        <v>22.4</v>
      </c>
      <c r="R26" s="4" t="s">
        <v>556</v>
      </c>
      <c r="S26" s="4">
        <v>490</v>
      </c>
      <c r="T26" s="4">
        <v>500</v>
      </c>
      <c r="U26" s="4">
        <v>7830</v>
      </c>
      <c r="V26" s="4">
        <v>5011</v>
      </c>
      <c r="W26" s="5">
        <v>5.84</v>
      </c>
      <c r="X26" s="5">
        <v>4.49</v>
      </c>
      <c r="Y26" s="4">
        <v>1440</v>
      </c>
      <c r="Z26" s="4"/>
      <c r="AA26" s="11">
        <f t="shared" si="39"/>
        <v>37757</v>
      </c>
      <c r="AB26" s="11">
        <f t="shared" si="40"/>
        <v>41609</v>
      </c>
      <c r="AC26" s="11">
        <f t="shared" si="40"/>
        <v>41871</v>
      </c>
      <c r="AD26" s="11">
        <f t="shared" si="40"/>
        <v>38449</v>
      </c>
      <c r="AE26" s="11">
        <f t="shared" si="40"/>
        <v>158320</v>
      </c>
      <c r="AF26" s="11">
        <f t="shared" ref="AF26" si="42">IF(OR(H27=""),"",H27-H26)</f>
        <v>5564</v>
      </c>
      <c r="AG26" s="11">
        <f t="shared" si="9"/>
        <v>1366</v>
      </c>
      <c r="AH26" s="11">
        <f t="shared" si="10"/>
        <v>158320</v>
      </c>
      <c r="AI26" s="15">
        <f t="shared" si="11"/>
        <v>5564</v>
      </c>
      <c r="AJ26" s="15">
        <f t="shared" si="12"/>
        <v>152756</v>
      </c>
      <c r="AK26" s="15">
        <v>2600</v>
      </c>
      <c r="AL26" s="15">
        <f t="shared" si="13"/>
        <v>0</v>
      </c>
      <c r="AM26" s="15">
        <f t="shared" si="14"/>
        <v>0</v>
      </c>
      <c r="AN26" s="15">
        <f t="shared" si="15"/>
        <v>3479</v>
      </c>
      <c r="AO26" s="15">
        <f t="shared" si="16"/>
        <v>1200</v>
      </c>
      <c r="AP26" s="15">
        <v>2698</v>
      </c>
      <c r="AQ26" s="18">
        <f t="shared" si="17"/>
        <v>0</v>
      </c>
      <c r="AR26" s="18">
        <f t="shared" si="18"/>
        <v>0</v>
      </c>
      <c r="AS26" s="19">
        <f t="shared" si="19"/>
        <v>22.8</v>
      </c>
      <c r="AT26" s="18">
        <f t="shared" si="20"/>
        <v>7.86</v>
      </c>
    </row>
    <row r="27" spans="1:46">
      <c r="A27" s="6">
        <v>43794</v>
      </c>
      <c r="B27" s="5" t="s">
        <v>557</v>
      </c>
      <c r="C27" s="4">
        <v>27180794</v>
      </c>
      <c r="D27" s="4">
        <v>12778305</v>
      </c>
      <c r="E27" s="4">
        <v>8484448</v>
      </c>
      <c r="F27" s="4">
        <v>8391560</v>
      </c>
      <c r="G27" s="4">
        <v>267541263</v>
      </c>
      <c r="H27" s="4">
        <v>105645575</v>
      </c>
      <c r="I27" s="4">
        <v>267541263</v>
      </c>
      <c r="J27" s="4">
        <v>105645575</v>
      </c>
      <c r="K27" s="4"/>
      <c r="L27" s="5">
        <v>4299.8</v>
      </c>
      <c r="M27" s="5">
        <v>4118.2700000000004</v>
      </c>
      <c r="N27" s="5">
        <v>73328.259999999995</v>
      </c>
      <c r="O27" s="5"/>
      <c r="P27" s="5"/>
      <c r="Q27" s="9">
        <v>22.3</v>
      </c>
      <c r="R27" s="4" t="s">
        <v>558</v>
      </c>
      <c r="S27" s="4">
        <v>470</v>
      </c>
      <c r="T27" s="4">
        <v>490</v>
      </c>
      <c r="U27" s="4">
        <v>7495</v>
      </c>
      <c r="V27" s="4">
        <v>1211</v>
      </c>
      <c r="W27" s="5">
        <v>5.58</v>
      </c>
      <c r="X27" s="5">
        <v>3.98</v>
      </c>
      <c r="Y27" s="4">
        <v>1440</v>
      </c>
      <c r="Z27" s="4"/>
      <c r="AA27" s="11">
        <f t="shared" si="39"/>
        <v>34560</v>
      </c>
      <c r="AB27" s="11">
        <f t="shared" si="40"/>
        <v>38229</v>
      </c>
      <c r="AC27" s="11">
        <f t="shared" si="40"/>
        <v>38021</v>
      </c>
      <c r="AD27" s="11">
        <f t="shared" si="40"/>
        <v>34785</v>
      </c>
      <c r="AE27" s="11">
        <f t="shared" si="40"/>
        <v>144965</v>
      </c>
      <c r="AF27" s="11">
        <f t="shared" ref="AF27" si="43">IF(OR(H28=""),"",H28-H27)</f>
        <v>5494</v>
      </c>
      <c r="AG27" s="11">
        <f t="shared" si="9"/>
        <v>630</v>
      </c>
      <c r="AH27" s="11">
        <f t="shared" si="10"/>
        <v>144965</v>
      </c>
      <c r="AI27" s="15">
        <f t="shared" si="11"/>
        <v>5494</v>
      </c>
      <c r="AJ27" s="15">
        <f t="shared" si="12"/>
        <v>139471</v>
      </c>
      <c r="AK27" s="15">
        <v>2800</v>
      </c>
      <c r="AL27" s="15">
        <f t="shared" si="13"/>
        <v>0</v>
      </c>
      <c r="AM27" s="15">
        <f t="shared" si="14"/>
        <v>0</v>
      </c>
      <c r="AN27" s="15">
        <f t="shared" si="15"/>
        <v>3337</v>
      </c>
      <c r="AO27" s="15">
        <f t="shared" si="16"/>
        <v>1176</v>
      </c>
      <c r="AP27" s="15">
        <v>2192</v>
      </c>
      <c r="AQ27" s="18">
        <f t="shared" si="17"/>
        <v>0</v>
      </c>
      <c r="AR27" s="18">
        <f t="shared" si="18"/>
        <v>0</v>
      </c>
      <c r="AS27" s="19">
        <f t="shared" si="19"/>
        <v>23.9</v>
      </c>
      <c r="AT27" s="18">
        <f t="shared" si="20"/>
        <v>8.43</v>
      </c>
    </row>
    <row r="28" spans="1:46">
      <c r="A28" s="6">
        <v>43795</v>
      </c>
      <c r="B28" s="5" t="s">
        <v>559</v>
      </c>
      <c r="C28" s="4">
        <v>27215354</v>
      </c>
      <c r="D28" s="4">
        <v>12816534</v>
      </c>
      <c r="E28" s="4">
        <v>8522469</v>
      </c>
      <c r="F28" s="4">
        <v>8426345</v>
      </c>
      <c r="G28" s="4">
        <v>267686228</v>
      </c>
      <c r="H28" s="4">
        <v>105651069</v>
      </c>
      <c r="I28" s="4">
        <v>267686228</v>
      </c>
      <c r="J28" s="4">
        <v>105651069</v>
      </c>
      <c r="K28" s="4"/>
      <c r="L28" s="5">
        <v>4299.8</v>
      </c>
      <c r="M28" s="5">
        <v>4118.2700000000004</v>
      </c>
      <c r="N28" s="5">
        <v>73328.259999999995</v>
      </c>
      <c r="O28" s="5"/>
      <c r="P28" s="5"/>
      <c r="Q28" s="9">
        <v>22.5</v>
      </c>
      <c r="R28" s="4" t="s">
        <v>560</v>
      </c>
      <c r="S28" s="4">
        <v>380</v>
      </c>
      <c r="T28" s="4">
        <v>400</v>
      </c>
      <c r="U28" s="4">
        <v>7621</v>
      </c>
      <c r="V28" s="4">
        <v>3644</v>
      </c>
      <c r="W28" s="5">
        <v>5.48</v>
      </c>
      <c r="X28" s="5">
        <v>4.47</v>
      </c>
      <c r="Y28" s="4">
        <v>1440</v>
      </c>
      <c r="Z28" s="4"/>
      <c r="AA28" s="11">
        <f t="shared" ref="AA28:AF28" si="44">IF(OR(C29=""),"",C29-C28)</f>
        <v>38290</v>
      </c>
      <c r="AB28" s="11">
        <f t="shared" si="44"/>
        <v>43135</v>
      </c>
      <c r="AC28" s="11">
        <f t="shared" si="44"/>
        <v>42743</v>
      </c>
      <c r="AD28" s="11">
        <f t="shared" si="44"/>
        <v>38883</v>
      </c>
      <c r="AE28" s="11">
        <f t="shared" si="44"/>
        <v>161361</v>
      </c>
      <c r="AF28" s="11">
        <f t="shared" si="44"/>
        <v>5562</v>
      </c>
      <c r="AG28" s="11">
        <f t="shared" si="9"/>
        <v>1690</v>
      </c>
      <c r="AH28" s="11">
        <f t="shared" si="10"/>
        <v>161361</v>
      </c>
      <c r="AI28" s="15">
        <f t="shared" si="11"/>
        <v>5562</v>
      </c>
      <c r="AJ28" s="15">
        <f t="shared" si="12"/>
        <v>155799</v>
      </c>
      <c r="AK28" s="15">
        <v>2500</v>
      </c>
      <c r="AL28" s="15">
        <f t="shared" si="13"/>
        <v>0</v>
      </c>
      <c r="AM28" s="15">
        <f t="shared" si="14"/>
        <v>0</v>
      </c>
      <c r="AN28" s="15">
        <f t="shared" si="15"/>
        <v>2698</v>
      </c>
      <c r="AO28" s="15">
        <f t="shared" si="16"/>
        <v>960</v>
      </c>
      <c r="AP28" s="15">
        <v>2438</v>
      </c>
      <c r="AQ28" s="18">
        <f t="shared" si="17"/>
        <v>0</v>
      </c>
      <c r="AR28" s="18">
        <f t="shared" si="18"/>
        <v>0</v>
      </c>
      <c r="AS28" s="19">
        <f t="shared" si="19"/>
        <v>17.3</v>
      </c>
      <c r="AT28" s="18">
        <f t="shared" si="20"/>
        <v>6.16</v>
      </c>
    </row>
    <row r="29" spans="1:46">
      <c r="A29" s="6">
        <v>43796</v>
      </c>
      <c r="B29" s="5" t="s">
        <v>561</v>
      </c>
      <c r="C29" s="4">
        <v>27253644</v>
      </c>
      <c r="D29" s="4">
        <v>12859669</v>
      </c>
      <c r="E29" s="4">
        <v>8565212</v>
      </c>
      <c r="F29" s="4">
        <v>8465228</v>
      </c>
      <c r="G29" s="4">
        <v>267847589</v>
      </c>
      <c r="H29" s="4">
        <v>105656631</v>
      </c>
      <c r="I29" s="4">
        <v>267847589</v>
      </c>
      <c r="J29" s="4">
        <v>105656631</v>
      </c>
      <c r="K29" s="4"/>
      <c r="L29" s="5">
        <v>4299.8</v>
      </c>
      <c r="M29" s="5">
        <v>4118.2700000000004</v>
      </c>
      <c r="N29" s="5">
        <v>73328.259999999995</v>
      </c>
      <c r="O29" s="5"/>
      <c r="P29" s="5"/>
      <c r="Q29" s="9">
        <v>22.6</v>
      </c>
      <c r="R29" s="4" t="s">
        <v>44</v>
      </c>
      <c r="S29" s="4">
        <v>250</v>
      </c>
      <c r="T29" s="4">
        <v>270</v>
      </c>
      <c r="U29" s="4">
        <v>7741</v>
      </c>
      <c r="V29" s="4">
        <v>5724</v>
      </c>
      <c r="W29" s="5">
        <v>6.13</v>
      </c>
      <c r="X29" s="5">
        <v>3.78</v>
      </c>
      <c r="Y29" s="4">
        <v>1440</v>
      </c>
      <c r="Z29" s="4"/>
      <c r="AA29" s="11">
        <f t="shared" ref="AA29:AF29" si="45">IF(OR(C30=""),"",C30-C29)</f>
        <v>39513</v>
      </c>
      <c r="AB29" s="11">
        <f t="shared" si="45"/>
        <v>43956</v>
      </c>
      <c r="AC29" s="11">
        <f t="shared" si="45"/>
        <v>43726</v>
      </c>
      <c r="AD29" s="11">
        <f t="shared" si="45"/>
        <v>39817</v>
      </c>
      <c r="AE29" s="11">
        <f t="shared" si="45"/>
        <v>161983</v>
      </c>
      <c r="AF29" s="11">
        <f t="shared" si="45"/>
        <v>5538</v>
      </c>
      <c r="AG29" s="11">
        <f t="shared" si="9"/>
        <v>5029</v>
      </c>
      <c r="AH29" s="11">
        <f t="shared" si="10"/>
        <v>161983</v>
      </c>
      <c r="AI29" s="15">
        <f t="shared" si="11"/>
        <v>5538</v>
      </c>
      <c r="AJ29" s="15">
        <f t="shared" si="12"/>
        <v>156445</v>
      </c>
      <c r="AK29" s="15">
        <v>3630</v>
      </c>
      <c r="AL29" s="15">
        <f t="shared" si="13"/>
        <v>3384</v>
      </c>
      <c r="AM29" s="15">
        <f t="shared" si="14"/>
        <v>29</v>
      </c>
      <c r="AN29" s="15">
        <f t="shared" si="15"/>
        <v>1775</v>
      </c>
      <c r="AO29" s="15">
        <f t="shared" si="16"/>
        <v>648</v>
      </c>
      <c r="AP29" s="15">
        <v>2580</v>
      </c>
      <c r="AQ29" s="18">
        <f t="shared" si="17"/>
        <v>21.6</v>
      </c>
      <c r="AR29" s="18">
        <f t="shared" si="18"/>
        <v>0.19</v>
      </c>
      <c r="AS29" s="19">
        <f t="shared" si="19"/>
        <v>11.3</v>
      </c>
      <c r="AT29" s="18">
        <f t="shared" si="20"/>
        <v>4.1399999999999997</v>
      </c>
    </row>
    <row r="30" spans="1:46">
      <c r="A30" s="6">
        <v>43797</v>
      </c>
      <c r="B30" s="5" t="s">
        <v>562</v>
      </c>
      <c r="C30" s="4">
        <v>27293157</v>
      </c>
      <c r="D30" s="4">
        <v>12903625</v>
      </c>
      <c r="E30" s="4">
        <v>8608938</v>
      </c>
      <c r="F30" s="4">
        <v>8505045</v>
      </c>
      <c r="G30" s="4">
        <v>268009572</v>
      </c>
      <c r="H30" s="4">
        <v>105662169</v>
      </c>
      <c r="I30" s="4">
        <v>268009572</v>
      </c>
      <c r="J30" s="4">
        <v>105662169</v>
      </c>
      <c r="K30" s="4"/>
      <c r="L30" s="5">
        <v>4299.8</v>
      </c>
      <c r="M30" s="5">
        <v>4121.09</v>
      </c>
      <c r="N30" s="5">
        <v>73342.600000000006</v>
      </c>
      <c r="O30" s="5"/>
      <c r="P30" s="5"/>
      <c r="Q30" s="9">
        <v>22.5</v>
      </c>
      <c r="R30" s="4" t="s">
        <v>564</v>
      </c>
      <c r="S30" s="4">
        <v>430</v>
      </c>
      <c r="T30" s="4">
        <v>450</v>
      </c>
      <c r="U30" s="4">
        <v>6701</v>
      </c>
      <c r="V30" s="4">
        <v>5740</v>
      </c>
      <c r="W30" s="5">
        <v>6.27</v>
      </c>
      <c r="X30" s="5">
        <v>4.3899999999999997</v>
      </c>
      <c r="Y30" s="4">
        <v>1440</v>
      </c>
      <c r="Z30" s="4"/>
      <c r="AA30" s="11">
        <f t="shared" ref="AA30:AF30" si="46">IF(OR(C31=""),"",C31-C30)</f>
        <v>35872</v>
      </c>
      <c r="AB30" s="11">
        <f t="shared" si="46"/>
        <v>39076</v>
      </c>
      <c r="AC30" s="11">
        <f t="shared" si="46"/>
        <v>39069</v>
      </c>
      <c r="AD30" s="11">
        <f t="shared" si="46"/>
        <v>35899</v>
      </c>
      <c r="AE30" s="11">
        <f t="shared" si="46"/>
        <v>148159</v>
      </c>
      <c r="AF30" s="11">
        <f t="shared" si="46"/>
        <v>5552</v>
      </c>
      <c r="AG30" s="11">
        <f t="shared" si="9"/>
        <v>1757</v>
      </c>
      <c r="AH30" s="11">
        <f t="shared" si="10"/>
        <v>148159</v>
      </c>
      <c r="AI30" s="15">
        <f t="shared" si="11"/>
        <v>5552</v>
      </c>
      <c r="AJ30" s="15">
        <f t="shared" si="12"/>
        <v>142607</v>
      </c>
      <c r="AK30" s="15">
        <v>3600</v>
      </c>
      <c r="AL30" s="15">
        <f t="shared" si="13"/>
        <v>5832</v>
      </c>
      <c r="AM30" s="15">
        <f t="shared" si="14"/>
        <v>38</v>
      </c>
      <c r="AN30" s="15">
        <f t="shared" si="15"/>
        <v>3053</v>
      </c>
      <c r="AO30" s="15">
        <f t="shared" si="16"/>
        <v>1080</v>
      </c>
      <c r="AP30" s="15">
        <v>2616</v>
      </c>
      <c r="AQ30" s="18">
        <f t="shared" si="17"/>
        <v>40.9</v>
      </c>
      <c r="AR30" s="18">
        <f t="shared" si="18"/>
        <v>0.27</v>
      </c>
      <c r="AS30" s="19">
        <f t="shared" si="19"/>
        <v>21.4</v>
      </c>
      <c r="AT30" s="18">
        <f t="shared" si="20"/>
        <v>7.57</v>
      </c>
    </row>
    <row r="31" spans="1:46">
      <c r="A31" s="6">
        <v>43798</v>
      </c>
      <c r="B31" s="5" t="s">
        <v>563</v>
      </c>
      <c r="C31" s="4">
        <v>27329029</v>
      </c>
      <c r="D31" s="4">
        <v>12942701</v>
      </c>
      <c r="E31" s="4">
        <v>8648007</v>
      </c>
      <c r="F31" s="4">
        <v>8540944</v>
      </c>
      <c r="G31" s="4">
        <v>268157731</v>
      </c>
      <c r="H31" s="4">
        <v>105667721</v>
      </c>
      <c r="I31" s="4">
        <v>268157731</v>
      </c>
      <c r="J31" s="4">
        <v>105667721</v>
      </c>
      <c r="K31" s="4"/>
      <c r="L31" s="5">
        <v>4299.8</v>
      </c>
      <c r="M31" s="5">
        <v>4125.95</v>
      </c>
      <c r="N31" s="5">
        <v>73361.75</v>
      </c>
      <c r="O31" s="5"/>
      <c r="P31" s="5"/>
      <c r="Q31" s="9">
        <v>22.7</v>
      </c>
      <c r="R31" s="4" t="s">
        <v>566</v>
      </c>
      <c r="S31" s="4">
        <v>650</v>
      </c>
      <c r="T31" s="4">
        <v>660</v>
      </c>
      <c r="U31" s="4">
        <v>7649</v>
      </c>
      <c r="V31" s="4">
        <v>5031</v>
      </c>
      <c r="W31" s="5">
        <v>6.76</v>
      </c>
      <c r="X31" s="5">
        <v>4.3899999999999997</v>
      </c>
      <c r="Y31" s="4">
        <v>1440</v>
      </c>
      <c r="Z31" s="4"/>
      <c r="AA31" s="11">
        <f t="shared" ref="AA31:AF31" si="47">IF(OR(C32=""),"",C32-C31)</f>
        <v>37841</v>
      </c>
      <c r="AB31" s="11">
        <f t="shared" si="47"/>
        <v>42556</v>
      </c>
      <c r="AC31" s="11">
        <f t="shared" si="47"/>
        <v>42123</v>
      </c>
      <c r="AD31" s="11">
        <f t="shared" si="47"/>
        <v>38553</v>
      </c>
      <c r="AE31" s="11">
        <f t="shared" si="47"/>
        <v>156972</v>
      </c>
      <c r="AF31" s="11">
        <f t="shared" si="47"/>
        <v>5632</v>
      </c>
      <c r="AG31" s="11">
        <f t="shared" si="9"/>
        <v>4101</v>
      </c>
      <c r="AH31" s="11">
        <f t="shared" si="10"/>
        <v>156972</v>
      </c>
      <c r="AI31" s="15">
        <f t="shared" si="11"/>
        <v>5632</v>
      </c>
      <c r="AJ31" s="15">
        <f t="shared" si="12"/>
        <v>151340</v>
      </c>
      <c r="AK31" s="15">
        <v>3000</v>
      </c>
      <c r="AL31" s="15">
        <f t="shared" si="13"/>
        <v>6540</v>
      </c>
      <c r="AM31" s="15">
        <f t="shared" si="14"/>
        <v>39</v>
      </c>
      <c r="AN31" s="15">
        <f t="shared" si="15"/>
        <v>4615</v>
      </c>
      <c r="AO31" s="15">
        <f t="shared" si="16"/>
        <v>1584</v>
      </c>
      <c r="AP31" s="15">
        <v>2794</v>
      </c>
      <c r="AQ31" s="18">
        <f t="shared" si="17"/>
        <v>43.2</v>
      </c>
      <c r="AR31" s="18">
        <f t="shared" si="18"/>
        <v>0.26</v>
      </c>
      <c r="AS31" s="19">
        <f t="shared" si="19"/>
        <v>30.5</v>
      </c>
      <c r="AT31" s="18">
        <f t="shared" si="20"/>
        <v>10.47</v>
      </c>
    </row>
    <row r="32" spans="1:46">
      <c r="A32" s="6">
        <v>43799</v>
      </c>
      <c r="B32" s="5" t="s">
        <v>565</v>
      </c>
      <c r="C32" s="4">
        <v>27366870</v>
      </c>
      <c r="D32" s="4">
        <v>12985257</v>
      </c>
      <c r="E32" s="4">
        <v>8690130</v>
      </c>
      <c r="F32" s="4">
        <v>8579497</v>
      </c>
      <c r="G32" s="4">
        <v>268314703</v>
      </c>
      <c r="H32" s="4">
        <v>105673353</v>
      </c>
      <c r="I32" s="4">
        <v>268314703</v>
      </c>
      <c r="J32" s="4">
        <v>105673353</v>
      </c>
      <c r="K32" s="4"/>
      <c r="L32" s="5">
        <v>4299.8</v>
      </c>
      <c r="M32" s="5">
        <v>4131.3999999999996</v>
      </c>
      <c r="N32" s="5">
        <v>73381.31</v>
      </c>
      <c r="O32" s="5"/>
      <c r="P32" s="5"/>
      <c r="Q32" s="9">
        <v>22.4</v>
      </c>
      <c r="R32" s="4" t="s">
        <v>568</v>
      </c>
      <c r="S32" s="4">
        <v>630</v>
      </c>
      <c r="T32" s="4">
        <v>650</v>
      </c>
      <c r="U32" s="4">
        <v>8147</v>
      </c>
      <c r="V32" s="4">
        <v>7201</v>
      </c>
      <c r="W32" s="5">
        <v>6.83</v>
      </c>
      <c r="X32" s="5">
        <v>4.9400000000000004</v>
      </c>
      <c r="Y32" s="4">
        <v>1440</v>
      </c>
      <c r="Z32" s="4"/>
      <c r="AA32" s="11">
        <f t="shared" ref="AA32:AF32" si="48">IF(OR(C33=""),"",C33-C32)</f>
        <v>42150</v>
      </c>
      <c r="AB32" s="11">
        <f t="shared" si="48"/>
        <v>49538</v>
      </c>
      <c r="AC32" s="11">
        <f t="shared" si="48"/>
        <v>48693</v>
      </c>
      <c r="AD32" s="11">
        <f t="shared" si="48"/>
        <v>43441</v>
      </c>
      <c r="AE32" s="11">
        <f t="shared" si="48"/>
        <v>177667</v>
      </c>
      <c r="AF32" s="11">
        <f t="shared" si="48"/>
        <v>5503</v>
      </c>
      <c r="AG32" s="11">
        <f t="shared" si="9"/>
        <v>6155</v>
      </c>
      <c r="AH32" s="11">
        <f t="shared" si="10"/>
        <v>177667</v>
      </c>
      <c r="AI32" s="15">
        <f t="shared" si="11"/>
        <v>5503</v>
      </c>
      <c r="AJ32" s="15">
        <f t="shared" si="12"/>
        <v>172164</v>
      </c>
      <c r="AK32" s="15">
        <v>2600</v>
      </c>
      <c r="AL32" s="15">
        <f t="shared" si="13"/>
        <v>7068</v>
      </c>
      <c r="AM32" s="15">
        <f t="shared" si="14"/>
        <v>46</v>
      </c>
      <c r="AN32" s="15">
        <f t="shared" si="15"/>
        <v>4473</v>
      </c>
      <c r="AO32" s="15">
        <f t="shared" si="16"/>
        <v>1560</v>
      </c>
      <c r="AP32" s="15">
        <v>3112</v>
      </c>
      <c r="AQ32" s="18">
        <f t="shared" si="17"/>
        <v>41.1</v>
      </c>
      <c r="AR32" s="18">
        <f t="shared" si="18"/>
        <v>0.27</v>
      </c>
      <c r="AS32" s="19">
        <f t="shared" si="19"/>
        <v>26</v>
      </c>
      <c r="AT32" s="18">
        <f t="shared" si="20"/>
        <v>9.06</v>
      </c>
    </row>
    <row r="33" spans="1:46">
      <c r="A33" s="6">
        <v>43800</v>
      </c>
      <c r="B33" s="5" t="s">
        <v>567</v>
      </c>
      <c r="C33" s="4">
        <v>27409020</v>
      </c>
      <c r="D33" s="4">
        <v>13034795</v>
      </c>
      <c r="E33" s="4">
        <v>8738823</v>
      </c>
      <c r="F33" s="4">
        <v>8622938</v>
      </c>
      <c r="G33" s="4">
        <v>268492370</v>
      </c>
      <c r="H33" s="4">
        <v>105678856</v>
      </c>
      <c r="I33" s="4">
        <v>268492370</v>
      </c>
      <c r="J33" s="4">
        <v>105678856</v>
      </c>
      <c r="K33" s="4"/>
      <c r="L33" s="5">
        <v>4299.8</v>
      </c>
      <c r="M33" s="5">
        <v>4137.29</v>
      </c>
      <c r="N33" s="5">
        <v>73404.179999999993</v>
      </c>
      <c r="O33" s="5"/>
      <c r="P33" s="5"/>
      <c r="Q33" s="9">
        <v>22.6</v>
      </c>
      <c r="R33" s="4" t="s">
        <v>44</v>
      </c>
      <c r="S33" s="4"/>
      <c r="T33" s="4"/>
      <c r="U33" s="4"/>
      <c r="V33" s="4"/>
      <c r="W33" s="5"/>
      <c r="X33" s="5"/>
      <c r="Y33" s="4"/>
      <c r="Z33" s="4"/>
      <c r="AA33" s="11" t="str">
        <f t="shared" ref="AA33:AF33" si="49">IF(OR(C34=""),"",C34-C33)</f>
        <v/>
      </c>
      <c r="AB33" s="11" t="str">
        <f t="shared" si="49"/>
        <v/>
      </c>
      <c r="AC33" s="11" t="str">
        <f t="shared" si="49"/>
        <v/>
      </c>
      <c r="AD33" s="11" t="str">
        <f t="shared" si="49"/>
        <v/>
      </c>
      <c r="AE33" s="11" t="str">
        <f t="shared" si="49"/>
        <v/>
      </c>
      <c r="AF33" s="11" t="str">
        <f t="shared" si="49"/>
        <v/>
      </c>
      <c r="AG33" s="11" t="str">
        <f t="shared" si="9"/>
        <v/>
      </c>
      <c r="AH33" s="11" t="str">
        <f t="shared" si="10"/>
        <v/>
      </c>
      <c r="AI33" s="15" t="str">
        <f t="shared" si="11"/>
        <v/>
      </c>
      <c r="AJ33" s="15" t="str">
        <f t="shared" si="12"/>
        <v/>
      </c>
      <c r="AK33" s="15" t="str">
        <f t="shared" ref="AK33" si="50">IF(K33="","",K34-K33)</f>
        <v/>
      </c>
      <c r="AL33" s="15" t="str">
        <f t="shared" si="13"/>
        <v/>
      </c>
      <c r="AM33" s="15" t="str">
        <f t="shared" si="14"/>
        <v/>
      </c>
      <c r="AN33" s="15" t="str">
        <f t="shared" si="15"/>
        <v/>
      </c>
      <c r="AO33" s="15" t="str">
        <f t="shared" si="16"/>
        <v/>
      </c>
      <c r="AP33" s="15"/>
      <c r="AQ33" s="18" t="str">
        <f t="shared" si="17"/>
        <v/>
      </c>
      <c r="AR33" s="18" t="str">
        <f t="shared" si="18"/>
        <v/>
      </c>
      <c r="AS33" s="19" t="str">
        <f t="shared" si="19"/>
        <v/>
      </c>
      <c r="AT33" s="18" t="str">
        <f t="shared" si="20"/>
        <v/>
      </c>
    </row>
    <row r="34" spans="1:46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5"/>
      <c r="O34" s="5"/>
      <c r="P34" s="5"/>
      <c r="Q34" s="9"/>
      <c r="R34" s="4"/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51">IF(OR(C37=""),"",C37-C36)</f>
        <v/>
      </c>
      <c r="AB36" s="13" t="str">
        <f t="shared" si="51"/>
        <v/>
      </c>
      <c r="AC36" s="13" t="str">
        <f t="shared" si="51"/>
        <v/>
      </c>
      <c r="AD36" s="13" t="str">
        <f t="shared" si="51"/>
        <v/>
      </c>
      <c r="AE36" s="13" t="str">
        <f t="shared" si="51"/>
        <v/>
      </c>
      <c r="AF36" s="13" t="str">
        <f t="shared" si="51"/>
        <v/>
      </c>
      <c r="AG36" s="13" t="str">
        <f>IF(OR(AA36="",AB36="",AC36=""),"",AA36+AB36+AC36+AD36-AE36)</f>
        <v/>
      </c>
      <c r="AH36" s="17">
        <f t="shared" ref="AH36:AO36" si="52">SUM(AH3:AH34)</f>
        <v>5414154</v>
      </c>
      <c r="AI36" s="17">
        <f t="shared" si="52"/>
        <v>165049</v>
      </c>
      <c r="AJ36" s="17">
        <f t="shared" si="52"/>
        <v>5249105</v>
      </c>
      <c r="AK36" s="17">
        <f t="shared" si="52"/>
        <v>98230</v>
      </c>
      <c r="AL36" s="17">
        <f t="shared" si="52"/>
        <v>84708</v>
      </c>
      <c r="AM36" s="17">
        <f t="shared" si="52"/>
        <v>324</v>
      </c>
      <c r="AN36" s="17">
        <f t="shared" si="52"/>
        <v>116014</v>
      </c>
      <c r="AO36" s="17">
        <f t="shared" si="52"/>
        <v>40200</v>
      </c>
      <c r="AP36" s="17"/>
      <c r="AQ36" s="22">
        <f>IF(OR($AJ36=0),"",ROUND(AL36/$AJ36*1000,1))</f>
        <v>16.100000000000001</v>
      </c>
      <c r="AR36" s="22">
        <f>IF(OR($AJ36=0),"",ROUND(AM36/$AJ36*1000,2))</f>
        <v>0.06</v>
      </c>
      <c r="AS36" s="23">
        <f>IF(OR($AJ36=0),"",ROUND(AN36/$AJ36*1000,1))</f>
        <v>22.1</v>
      </c>
      <c r="AT36" s="22">
        <f>IF(OR($AJ36=0),"",ROUND(AO36/$AJ36*1000,2))</f>
        <v>7.66</v>
      </c>
    </row>
    <row r="37" spans="1:46">
      <c r="C37" s="8"/>
    </row>
    <row r="38" spans="1:46">
      <c r="C38" s="8"/>
      <c r="AE38" s="1">
        <f>+AG41</f>
        <v>0</v>
      </c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AT43"/>
  <sheetViews>
    <sheetView showGridLines="0" zoomScale="110" zoomScaleNormal="110" workbookViewId="0">
      <pane xSplit="2" ySplit="2" topLeftCell="C6" activePane="bottomRight" state="frozen"/>
      <selection pane="topRight"/>
      <selection pane="bottomLeft"/>
      <selection pane="bottomRight" activeCell="N30" sqref="N30"/>
    </sheetView>
  </sheetViews>
  <sheetFormatPr defaultColWidth="10.6640625" defaultRowHeight="13.2"/>
  <cols>
    <col min="1" max="1" width="8.77734375" style="1" customWidth="1"/>
    <col min="2" max="2" width="8.6640625" style="2" customWidth="1"/>
    <col min="3" max="3" width="11" style="1" customWidth="1"/>
    <col min="4" max="4" width="11.44140625" style="1" customWidth="1"/>
    <col min="5" max="5" width="12.109375" style="1" customWidth="1"/>
    <col min="6" max="6" width="9.88671875" style="1" customWidth="1"/>
    <col min="7" max="7" width="11.6640625" style="1" customWidth="1"/>
    <col min="8" max="8" width="11.33203125" style="1" customWidth="1"/>
    <col min="9" max="9" width="12.21875" style="1" customWidth="1"/>
    <col min="10" max="10" width="12.44140625" style="1" customWidth="1"/>
    <col min="11" max="11" width="8" style="1" customWidth="1"/>
    <col min="12" max="13" width="8.33203125" style="2" customWidth="1"/>
    <col min="14" max="14" width="9" style="2" customWidth="1"/>
    <col min="15" max="15" width="8.33203125" style="2" customWidth="1"/>
    <col min="16" max="16" width="9.6640625" style="1" customWidth="1"/>
    <col min="17" max="18" width="8.109375" style="1" customWidth="1"/>
    <col min="19" max="19" width="7.6640625" style="1" customWidth="1"/>
    <col min="20" max="22" width="8.109375" style="1" customWidth="1"/>
    <col min="23" max="24" width="8.109375" style="2" customWidth="1"/>
    <col min="25" max="25" width="8.109375" style="1" customWidth="1"/>
    <col min="26" max="26" width="15.6640625" style="1" customWidth="1"/>
    <col min="27" max="33" width="8.109375" style="1" customWidth="1"/>
    <col min="34" max="34" width="7.109375" style="1" customWidth="1"/>
    <col min="35" max="36" width="8.109375" style="1" customWidth="1"/>
    <col min="37" max="39" width="6.6640625" style="1" customWidth="1"/>
    <col min="40" max="40" width="6.6640625" style="2" customWidth="1"/>
    <col min="41" max="41" width="8.109375" style="2" customWidth="1"/>
    <col min="42" max="42" width="6.6640625" style="2" customWidth="1"/>
    <col min="43" max="43" width="6.44140625" style="3" customWidth="1"/>
    <col min="44" max="44" width="7" style="3" customWidth="1"/>
    <col min="45" max="45" width="6.6640625" style="3" customWidth="1"/>
    <col min="46" max="46" width="8.109375" style="3" customWidth="1"/>
    <col min="47" max="16384" width="10.6640625" style="3"/>
  </cols>
  <sheetData>
    <row r="2" spans="1:46" ht="52.8">
      <c r="A2" s="4"/>
      <c r="B2" s="5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4" t="s">
        <v>23</v>
      </c>
      <c r="Z2" s="4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4" t="s">
        <v>38</v>
      </c>
      <c r="AO2" s="14" t="s">
        <v>39</v>
      </c>
      <c r="AP2" s="14" t="s">
        <v>571</v>
      </c>
      <c r="AQ2" s="11" t="s">
        <v>40</v>
      </c>
      <c r="AR2" s="11" t="s">
        <v>41</v>
      </c>
      <c r="AS2" s="14" t="s">
        <v>42</v>
      </c>
      <c r="AT2" s="14" t="s">
        <v>43</v>
      </c>
    </row>
    <row r="3" spans="1:46">
      <c r="A3" s="6">
        <v>43800</v>
      </c>
      <c r="B3" s="7" t="str">
        <f>'11'!B33</f>
        <v>易萍</v>
      </c>
      <c r="C3" s="7">
        <f>'11'!C33</f>
        <v>27409020</v>
      </c>
      <c r="D3" s="7">
        <f>'11'!D33</f>
        <v>13034795</v>
      </c>
      <c r="E3" s="7">
        <f>'11'!E33</f>
        <v>8738823</v>
      </c>
      <c r="F3" s="7">
        <f>'11'!F33</f>
        <v>8622938</v>
      </c>
      <c r="G3" s="7">
        <f>'11'!G33</f>
        <v>268492370</v>
      </c>
      <c r="H3" s="7">
        <f>'11'!H33</f>
        <v>105678856</v>
      </c>
      <c r="I3" s="7">
        <f>'11'!I33</f>
        <v>268492370</v>
      </c>
      <c r="J3" s="7">
        <f>'11'!J33</f>
        <v>105678856</v>
      </c>
      <c r="K3" s="7">
        <f>'11'!K33</f>
        <v>0</v>
      </c>
      <c r="L3" s="7">
        <f>'11'!L33</f>
        <v>4299.8</v>
      </c>
      <c r="M3" s="7">
        <f>'11'!M33</f>
        <v>4137.29</v>
      </c>
      <c r="N3" s="7">
        <f>'11'!N33</f>
        <v>73404.179999999993</v>
      </c>
      <c r="O3" s="7">
        <f>'11'!O33</f>
        <v>0</v>
      </c>
      <c r="P3" s="7">
        <f>'11'!P33</f>
        <v>0</v>
      </c>
      <c r="Q3" s="7">
        <f>'11'!Q33</f>
        <v>22.6</v>
      </c>
      <c r="R3" s="7" t="s">
        <v>570</v>
      </c>
      <c r="S3" s="4">
        <v>510</v>
      </c>
      <c r="T3" s="4">
        <v>520</v>
      </c>
      <c r="U3" s="4">
        <v>9021</v>
      </c>
      <c r="V3" s="4">
        <v>7121</v>
      </c>
      <c r="W3" s="5">
        <v>5.98</v>
      </c>
      <c r="X3" s="5">
        <v>4.97</v>
      </c>
      <c r="Y3" s="4">
        <v>1440</v>
      </c>
      <c r="Z3" s="4"/>
      <c r="AA3" s="11">
        <f t="shared" ref="AA3:AF3" si="0">IF(OR(C4=""),"",C4-C3)</f>
        <v>43982</v>
      </c>
      <c r="AB3" s="11">
        <f t="shared" si="0"/>
        <v>52326</v>
      </c>
      <c r="AC3" s="11">
        <f t="shared" si="0"/>
        <v>51658</v>
      </c>
      <c r="AD3" s="11">
        <f t="shared" si="0"/>
        <v>45357</v>
      </c>
      <c r="AE3" s="11">
        <f t="shared" si="0"/>
        <v>187715</v>
      </c>
      <c r="AF3" s="11">
        <f t="shared" si="0"/>
        <v>5611</v>
      </c>
      <c r="AG3" s="11">
        <f t="shared" ref="AG3:AG33" si="1">IF(OR(AA3="",AB3="",AC3=""),"",AA3+AB3+AC3+AD3-AE3)</f>
        <v>5608</v>
      </c>
      <c r="AH3" s="11">
        <f t="shared" ref="AH3:AH33" si="2">IF(OR(I4=""),"",I4-I3)</f>
        <v>187715</v>
      </c>
      <c r="AI3" s="15">
        <f t="shared" ref="AI3:AI33" si="3">IF(OR(J4=""),"",J4-J3)</f>
        <v>5611</v>
      </c>
      <c r="AJ3" s="15">
        <f t="shared" ref="AJ3:AJ33" si="4">IF(OR(AH3="",AI3=""),"",AH3-AI3)</f>
        <v>182104</v>
      </c>
      <c r="AK3" s="15">
        <v>4500</v>
      </c>
      <c r="AL3" s="15">
        <f t="shared" ref="AL3:AL33" si="5">IF(OR(L4="",M4=""),"",ROUND((L4-L3+M4-M3)*1200,0))</f>
        <v>6948</v>
      </c>
      <c r="AM3" s="15">
        <f t="shared" ref="AM3:AM33" si="6">IF(OR(N4=""),"",(ROUND((N4-N3)*2,0)))</f>
        <v>36</v>
      </c>
      <c r="AN3" s="15">
        <f t="shared" ref="AN3:AN33" si="7">IF(OR(S3=""),"",ROUND(S3*7.1,0))</f>
        <v>3621</v>
      </c>
      <c r="AO3" s="15">
        <f t="shared" ref="AO3:AO33" si="8">IF(OR(T3=""),"",ROUND(T3*2.4,0))</f>
        <v>1248</v>
      </c>
      <c r="AP3" s="15">
        <v>3347</v>
      </c>
      <c r="AQ3" s="18">
        <f t="shared" ref="AQ3:AQ33" si="9">IF(OR($AJ3=""),"",ROUND(AL3/$AJ3*1000,1))</f>
        <v>38.200000000000003</v>
      </c>
      <c r="AR3" s="18">
        <f t="shared" ref="AR3:AR33" si="10">IF(OR($AJ3=""),"",ROUND(AM3/$AJ3*1000,2))</f>
        <v>0.2</v>
      </c>
      <c r="AS3" s="19">
        <f t="shared" ref="AS3:AS33" si="11">IF(OR($AJ3=""),"",ROUND(AN3/$AJ3*1000,1))</f>
        <v>19.899999999999999</v>
      </c>
      <c r="AT3" s="18">
        <f t="shared" ref="AT3:AT33" si="12">IF(OR($AJ3=""),"",ROUND(AO3/$AJ3*1000,2))</f>
        <v>6.85</v>
      </c>
    </row>
    <row r="4" spans="1:46">
      <c r="A4" s="6">
        <v>43801</v>
      </c>
      <c r="B4" s="5" t="s">
        <v>569</v>
      </c>
      <c r="C4" s="4">
        <v>27453002</v>
      </c>
      <c r="D4" s="4">
        <v>13087121</v>
      </c>
      <c r="E4" s="4">
        <v>8790481</v>
      </c>
      <c r="F4" s="4">
        <v>8668295</v>
      </c>
      <c r="G4" s="4">
        <v>268680085</v>
      </c>
      <c r="H4" s="4">
        <v>105684467</v>
      </c>
      <c r="I4" s="4">
        <v>268680085</v>
      </c>
      <c r="J4" s="4">
        <v>105684467</v>
      </c>
      <c r="K4" s="4"/>
      <c r="L4" s="5">
        <v>4299.8</v>
      </c>
      <c r="M4" s="5">
        <v>4143.08</v>
      </c>
      <c r="N4" s="5">
        <v>73422.2</v>
      </c>
      <c r="O4" s="5"/>
      <c r="P4" s="5"/>
      <c r="Q4" s="9">
        <v>22.4</v>
      </c>
      <c r="R4" s="4" t="s">
        <v>570</v>
      </c>
      <c r="S4" s="4">
        <v>500</v>
      </c>
      <c r="T4" s="4">
        <v>480</v>
      </c>
      <c r="U4" s="4">
        <v>8345</v>
      </c>
      <c r="V4" s="4">
        <v>7761</v>
      </c>
      <c r="W4" s="5">
        <v>5.64</v>
      </c>
      <c r="X4" s="5">
        <v>3.69</v>
      </c>
      <c r="Y4" s="4">
        <v>1440</v>
      </c>
      <c r="Z4" s="4"/>
      <c r="AA4" s="11">
        <f t="shared" ref="AA4:AF4" si="13">IF(OR(C5=""),"",C5-C4)</f>
        <v>43731</v>
      </c>
      <c r="AB4" s="11">
        <f t="shared" si="13"/>
        <v>51979</v>
      </c>
      <c r="AC4" s="11">
        <f t="shared" si="13"/>
        <v>51419</v>
      </c>
      <c r="AD4" s="11">
        <f t="shared" si="13"/>
        <v>45317</v>
      </c>
      <c r="AE4" s="11">
        <f t="shared" si="13"/>
        <v>188715</v>
      </c>
      <c r="AF4" s="11">
        <f t="shared" si="13"/>
        <v>5564</v>
      </c>
      <c r="AG4" s="11">
        <f t="shared" si="1"/>
        <v>3731</v>
      </c>
      <c r="AH4" s="11">
        <f t="shared" si="2"/>
        <v>188715</v>
      </c>
      <c r="AI4" s="15">
        <f t="shared" si="3"/>
        <v>5564</v>
      </c>
      <c r="AJ4" s="15">
        <f t="shared" si="4"/>
        <v>183151</v>
      </c>
      <c r="AK4" s="15">
        <v>3600</v>
      </c>
      <c r="AL4" s="15">
        <f t="shared" si="5"/>
        <v>6780</v>
      </c>
      <c r="AM4" s="15">
        <f t="shared" si="6"/>
        <v>41</v>
      </c>
      <c r="AN4" s="15">
        <f t="shared" si="7"/>
        <v>3550</v>
      </c>
      <c r="AO4" s="15">
        <f t="shared" si="8"/>
        <v>1152</v>
      </c>
      <c r="AP4" s="15">
        <v>3000</v>
      </c>
      <c r="AQ4" s="18">
        <f t="shared" si="9"/>
        <v>37</v>
      </c>
      <c r="AR4" s="18">
        <f t="shared" si="10"/>
        <v>0.22</v>
      </c>
      <c r="AS4" s="19">
        <f t="shared" si="11"/>
        <v>19.399999999999999</v>
      </c>
      <c r="AT4" s="18">
        <f t="shared" si="12"/>
        <v>6.29</v>
      </c>
    </row>
    <row r="5" spans="1:46" ht="26.4">
      <c r="A5" s="6">
        <v>43802</v>
      </c>
      <c r="B5" s="5" t="s">
        <v>572</v>
      </c>
      <c r="C5" s="4">
        <v>27496733</v>
      </c>
      <c r="D5" s="4">
        <v>13139100</v>
      </c>
      <c r="E5" s="4">
        <v>8841900</v>
      </c>
      <c r="F5" s="4">
        <v>8713612</v>
      </c>
      <c r="G5" s="4">
        <v>268868800</v>
      </c>
      <c r="H5" s="4">
        <v>105690031</v>
      </c>
      <c r="I5" s="4">
        <v>268868800</v>
      </c>
      <c r="J5" s="4">
        <v>105690031</v>
      </c>
      <c r="K5" s="4"/>
      <c r="L5" s="5">
        <v>4299.8</v>
      </c>
      <c r="M5" s="5">
        <v>4148.7299999999996</v>
      </c>
      <c r="N5" s="5">
        <v>73442.45</v>
      </c>
      <c r="O5" s="5"/>
      <c r="P5" s="5"/>
      <c r="Q5" s="9">
        <v>23</v>
      </c>
      <c r="R5" s="4" t="s">
        <v>573</v>
      </c>
      <c r="S5" s="4">
        <v>420</v>
      </c>
      <c r="T5" s="4">
        <v>420</v>
      </c>
      <c r="U5" s="4">
        <v>8299</v>
      </c>
      <c r="V5" s="4">
        <v>5126</v>
      </c>
      <c r="W5" s="5">
        <v>6.79</v>
      </c>
      <c r="X5" s="5">
        <v>4.21</v>
      </c>
      <c r="Y5" s="4">
        <v>1440</v>
      </c>
      <c r="Z5" s="4" t="s">
        <v>576</v>
      </c>
      <c r="AA5" s="11">
        <f t="shared" ref="AA5:AF5" si="14">IF(OR(C6=""),"",C6-C5)</f>
        <v>24666</v>
      </c>
      <c r="AB5" s="11">
        <f t="shared" si="14"/>
        <v>25506</v>
      </c>
      <c r="AC5" s="11">
        <f t="shared" si="14"/>
        <v>55572</v>
      </c>
      <c r="AD5" s="11">
        <f t="shared" si="14"/>
        <v>51235</v>
      </c>
      <c r="AE5" s="11">
        <f t="shared" si="14"/>
        <v>125466</v>
      </c>
      <c r="AF5" s="11">
        <f t="shared" si="14"/>
        <v>5508</v>
      </c>
      <c r="AG5" s="11">
        <f t="shared" si="1"/>
        <v>31513</v>
      </c>
      <c r="AH5" s="11">
        <f t="shared" si="2"/>
        <v>125466</v>
      </c>
      <c r="AI5" s="15">
        <f t="shared" si="3"/>
        <v>5508</v>
      </c>
      <c r="AJ5" s="15">
        <f t="shared" si="4"/>
        <v>119958</v>
      </c>
      <c r="AK5" s="15">
        <v>6000</v>
      </c>
      <c r="AL5" s="15">
        <f t="shared" si="5"/>
        <v>6204</v>
      </c>
      <c r="AM5" s="15">
        <f t="shared" si="6"/>
        <v>37</v>
      </c>
      <c r="AN5" s="15">
        <f t="shared" si="7"/>
        <v>2982</v>
      </c>
      <c r="AO5" s="15">
        <f t="shared" si="8"/>
        <v>1008</v>
      </c>
      <c r="AP5" s="15">
        <v>1595</v>
      </c>
      <c r="AQ5" s="18">
        <f t="shared" si="9"/>
        <v>51.7</v>
      </c>
      <c r="AR5" s="18">
        <f t="shared" si="10"/>
        <v>0.31</v>
      </c>
      <c r="AS5" s="19">
        <f t="shared" si="11"/>
        <v>24.9</v>
      </c>
      <c r="AT5" s="18">
        <f t="shared" si="12"/>
        <v>8.4</v>
      </c>
    </row>
    <row r="6" spans="1:46">
      <c r="A6" s="6">
        <v>43803</v>
      </c>
      <c r="B6" s="5" t="s">
        <v>574</v>
      </c>
      <c r="C6" s="4">
        <v>27521399</v>
      </c>
      <c r="D6" s="4">
        <v>13164606</v>
      </c>
      <c r="E6" s="4">
        <v>8897472</v>
      </c>
      <c r="F6" s="4">
        <v>8764847</v>
      </c>
      <c r="G6" s="4">
        <v>268994266</v>
      </c>
      <c r="H6" s="4">
        <v>105695539</v>
      </c>
      <c r="I6" s="4">
        <v>268994266</v>
      </c>
      <c r="J6" s="4">
        <v>105695539</v>
      </c>
      <c r="K6" s="4"/>
      <c r="L6" s="5">
        <v>4299.8</v>
      </c>
      <c r="M6" s="5">
        <v>4153.8999999999996</v>
      </c>
      <c r="N6" s="5">
        <v>73460.89</v>
      </c>
      <c r="O6" s="5"/>
      <c r="P6" s="5"/>
      <c r="Q6" s="9">
        <v>23.2</v>
      </c>
      <c r="R6" s="4" t="s">
        <v>575</v>
      </c>
      <c r="S6" s="4">
        <v>700</v>
      </c>
      <c r="T6" s="4">
        <v>720</v>
      </c>
      <c r="U6" s="4">
        <v>8254</v>
      </c>
      <c r="V6" s="4">
        <v>7626</v>
      </c>
      <c r="W6" s="5">
        <v>5.9</v>
      </c>
      <c r="X6" s="5">
        <v>4.42</v>
      </c>
      <c r="Y6" s="4">
        <v>1440</v>
      </c>
      <c r="Z6" s="4"/>
      <c r="AA6" s="11">
        <f t="shared" ref="AA6:AF6" si="15">IF(OR(C7=""),"",C7-C6)</f>
        <v>44768</v>
      </c>
      <c r="AB6" s="11">
        <f t="shared" si="15"/>
        <v>53115</v>
      </c>
      <c r="AC6" s="11">
        <f t="shared" si="15"/>
        <v>52571</v>
      </c>
      <c r="AD6" s="11">
        <f t="shared" si="15"/>
        <v>45954</v>
      </c>
      <c r="AE6" s="11">
        <f t="shared" si="15"/>
        <v>189096</v>
      </c>
      <c r="AF6" s="11">
        <f t="shared" si="15"/>
        <v>5677</v>
      </c>
      <c r="AG6" s="11">
        <f t="shared" si="1"/>
        <v>7312</v>
      </c>
      <c r="AH6" s="11">
        <f t="shared" si="2"/>
        <v>189096</v>
      </c>
      <c r="AI6" s="15">
        <f t="shared" si="3"/>
        <v>5677</v>
      </c>
      <c r="AJ6" s="15">
        <f t="shared" si="4"/>
        <v>183419</v>
      </c>
      <c r="AK6" s="15">
        <v>4000</v>
      </c>
      <c r="AL6" s="15">
        <f t="shared" si="5"/>
        <v>6096</v>
      </c>
      <c r="AM6" s="15">
        <f t="shared" si="6"/>
        <v>37</v>
      </c>
      <c r="AN6" s="15">
        <f t="shared" si="7"/>
        <v>4970</v>
      </c>
      <c r="AO6" s="15">
        <f t="shared" si="8"/>
        <v>1728</v>
      </c>
      <c r="AP6" s="15">
        <v>2585</v>
      </c>
      <c r="AQ6" s="18">
        <f t="shared" si="9"/>
        <v>33.200000000000003</v>
      </c>
      <c r="AR6" s="18">
        <f t="shared" si="10"/>
        <v>0.2</v>
      </c>
      <c r="AS6" s="19">
        <f t="shared" si="11"/>
        <v>27.1</v>
      </c>
      <c r="AT6" s="18">
        <f t="shared" si="12"/>
        <v>9.42</v>
      </c>
    </row>
    <row r="7" spans="1:46">
      <c r="A7" s="6">
        <v>43804</v>
      </c>
      <c r="B7" s="5" t="s">
        <v>577</v>
      </c>
      <c r="C7" s="4">
        <v>27566167</v>
      </c>
      <c r="D7" s="4">
        <v>13217721</v>
      </c>
      <c r="E7" s="4">
        <v>8950043</v>
      </c>
      <c r="F7" s="4">
        <v>8810801</v>
      </c>
      <c r="G7" s="4">
        <v>269183362</v>
      </c>
      <c r="H7" s="4">
        <v>105701216</v>
      </c>
      <c r="I7" s="4">
        <v>269183362</v>
      </c>
      <c r="J7" s="4">
        <v>105701216</v>
      </c>
      <c r="K7" s="4"/>
      <c r="L7" s="5">
        <v>4299.8</v>
      </c>
      <c r="M7" s="5">
        <v>4158.9799999999996</v>
      </c>
      <c r="N7" s="5">
        <v>73479.31</v>
      </c>
      <c r="O7" s="5"/>
      <c r="P7" s="5"/>
      <c r="Q7" s="9">
        <v>21.6</v>
      </c>
      <c r="R7" s="4" t="s">
        <v>52</v>
      </c>
      <c r="S7" s="4">
        <v>480</v>
      </c>
      <c r="T7" s="4">
        <v>470</v>
      </c>
      <c r="U7" s="4">
        <v>8337</v>
      </c>
      <c r="V7" s="4">
        <v>7895</v>
      </c>
      <c r="W7" s="5">
        <v>5.65</v>
      </c>
      <c r="X7" s="5">
        <v>3.66</v>
      </c>
      <c r="Y7" s="4">
        <v>1440</v>
      </c>
      <c r="Z7" s="4"/>
      <c r="AA7" s="11">
        <f t="shared" ref="AA7:AF7" si="16">IF(OR(C8=""),"",C8-C7)</f>
        <v>44763</v>
      </c>
      <c r="AB7" s="11">
        <f t="shared" si="16"/>
        <v>53279</v>
      </c>
      <c r="AC7" s="11">
        <f t="shared" si="16"/>
        <v>52424</v>
      </c>
      <c r="AD7" s="11">
        <f t="shared" si="16"/>
        <v>45872</v>
      </c>
      <c r="AE7" s="11">
        <f t="shared" si="16"/>
        <v>185698</v>
      </c>
      <c r="AF7" s="11">
        <f t="shared" si="16"/>
        <v>5549</v>
      </c>
      <c r="AG7" s="11">
        <f t="shared" si="1"/>
        <v>10640</v>
      </c>
      <c r="AH7" s="11">
        <f t="shared" si="2"/>
        <v>185698</v>
      </c>
      <c r="AI7" s="15">
        <f t="shared" si="3"/>
        <v>5549</v>
      </c>
      <c r="AJ7" s="15">
        <f t="shared" si="4"/>
        <v>180149</v>
      </c>
      <c r="AK7" s="15">
        <v>7200</v>
      </c>
      <c r="AL7" s="15">
        <f t="shared" si="5"/>
        <v>10812</v>
      </c>
      <c r="AM7" s="15">
        <f t="shared" si="6"/>
        <v>34</v>
      </c>
      <c r="AN7" s="15">
        <f t="shared" si="7"/>
        <v>3408</v>
      </c>
      <c r="AO7" s="15">
        <f t="shared" si="8"/>
        <v>1128</v>
      </c>
      <c r="AP7" s="15">
        <v>2920</v>
      </c>
      <c r="AQ7" s="18">
        <f t="shared" si="9"/>
        <v>60</v>
      </c>
      <c r="AR7" s="18">
        <f t="shared" si="10"/>
        <v>0.19</v>
      </c>
      <c r="AS7" s="19">
        <f t="shared" si="11"/>
        <v>18.899999999999999</v>
      </c>
      <c r="AT7" s="18">
        <f t="shared" si="12"/>
        <v>6.26</v>
      </c>
    </row>
    <row r="8" spans="1:46">
      <c r="A8" s="6">
        <v>43805</v>
      </c>
      <c r="B8" s="5" t="s">
        <v>578</v>
      </c>
      <c r="C8" s="4">
        <v>27610930</v>
      </c>
      <c r="D8" s="4">
        <v>13271000</v>
      </c>
      <c r="E8" s="4">
        <v>9002467</v>
      </c>
      <c r="F8" s="4">
        <v>8856673</v>
      </c>
      <c r="G8" s="4">
        <v>269369060</v>
      </c>
      <c r="H8" s="4">
        <v>105706765</v>
      </c>
      <c r="I8" s="4">
        <v>269369060</v>
      </c>
      <c r="J8" s="4">
        <v>105706765</v>
      </c>
      <c r="K8" s="4"/>
      <c r="L8" s="5">
        <v>4299.8</v>
      </c>
      <c r="M8" s="5">
        <v>4167.99</v>
      </c>
      <c r="N8" s="5">
        <v>73496.23</v>
      </c>
      <c r="O8" s="5"/>
      <c r="P8" s="5"/>
      <c r="Q8" s="9">
        <v>22.4</v>
      </c>
      <c r="R8" s="4" t="s">
        <v>579</v>
      </c>
      <c r="S8" s="4">
        <v>610</v>
      </c>
      <c r="T8" s="4">
        <v>600</v>
      </c>
      <c r="U8" s="4">
        <v>8152</v>
      </c>
      <c r="V8" s="4">
        <v>7447</v>
      </c>
      <c r="W8" s="5">
        <v>5.85</v>
      </c>
      <c r="X8" s="5">
        <v>3.85</v>
      </c>
      <c r="Y8" s="4">
        <v>1440</v>
      </c>
      <c r="Z8" s="4"/>
      <c r="AA8" s="11">
        <f t="shared" ref="AA8:AF8" si="17">IF(OR(C9=""),"",C9-C8)</f>
        <v>43681</v>
      </c>
      <c r="AB8" s="11">
        <f t="shared" si="17"/>
        <v>55211</v>
      </c>
      <c r="AC8" s="11">
        <f t="shared" si="17"/>
        <v>49158</v>
      </c>
      <c r="AD8" s="11">
        <f t="shared" si="17"/>
        <v>43785</v>
      </c>
      <c r="AE8" s="11">
        <f t="shared" si="17"/>
        <v>189333</v>
      </c>
      <c r="AF8" s="11">
        <f t="shared" si="17"/>
        <v>5613</v>
      </c>
      <c r="AG8" s="11">
        <f t="shared" si="1"/>
        <v>2502</v>
      </c>
      <c r="AH8" s="11">
        <f t="shared" si="2"/>
        <v>189333</v>
      </c>
      <c r="AI8" s="15">
        <f t="shared" si="3"/>
        <v>5613</v>
      </c>
      <c r="AJ8" s="15">
        <f t="shared" si="4"/>
        <v>183720</v>
      </c>
      <c r="AK8" s="15">
        <v>7200</v>
      </c>
      <c r="AL8" s="15">
        <f t="shared" si="5"/>
        <v>0</v>
      </c>
      <c r="AM8" s="15">
        <f t="shared" si="6"/>
        <v>0</v>
      </c>
      <c r="AN8" s="15">
        <f t="shared" si="7"/>
        <v>4331</v>
      </c>
      <c r="AO8" s="15">
        <f t="shared" si="8"/>
        <v>1440</v>
      </c>
      <c r="AP8" s="15">
        <v>2892</v>
      </c>
      <c r="AQ8" s="18">
        <f t="shared" si="9"/>
        <v>0</v>
      </c>
      <c r="AR8" s="18">
        <f t="shared" si="10"/>
        <v>0</v>
      </c>
      <c r="AS8" s="19">
        <f t="shared" si="11"/>
        <v>23.6</v>
      </c>
      <c r="AT8" s="18">
        <f t="shared" si="12"/>
        <v>7.84</v>
      </c>
    </row>
    <row r="9" spans="1:46">
      <c r="A9" s="6">
        <v>43806</v>
      </c>
      <c r="B9" s="5" t="s">
        <v>580</v>
      </c>
      <c r="C9" s="4">
        <v>27654611</v>
      </c>
      <c r="D9" s="4">
        <v>13326211</v>
      </c>
      <c r="E9" s="4">
        <v>9051625</v>
      </c>
      <c r="F9" s="4">
        <v>8900458</v>
      </c>
      <c r="G9" s="4">
        <v>269558393</v>
      </c>
      <c r="H9" s="4">
        <v>105712378</v>
      </c>
      <c r="I9" s="4">
        <v>269558393</v>
      </c>
      <c r="J9" s="4">
        <v>105712378</v>
      </c>
      <c r="K9" s="4"/>
      <c r="L9" s="5">
        <v>4299.8</v>
      </c>
      <c r="M9" s="5">
        <v>4167.99</v>
      </c>
      <c r="N9" s="5">
        <v>73496.23</v>
      </c>
      <c r="O9" s="5"/>
      <c r="P9" s="5"/>
      <c r="Q9" s="9">
        <v>21.1</v>
      </c>
      <c r="R9" s="4" t="s">
        <v>581</v>
      </c>
      <c r="S9" s="4">
        <v>600</v>
      </c>
      <c r="T9" s="4">
        <v>620</v>
      </c>
      <c r="U9" s="4">
        <v>8210</v>
      </c>
      <c r="V9" s="4">
        <v>6870</v>
      </c>
      <c r="W9" s="5">
        <v>5.91</v>
      </c>
      <c r="X9" s="5">
        <v>4.21</v>
      </c>
      <c r="Y9" s="4">
        <v>1440</v>
      </c>
      <c r="Z9" s="4"/>
      <c r="AA9" s="11">
        <f t="shared" ref="AA9:AF9" si="18">IF(OR(C10=""),"",C10-C9)</f>
        <v>45836</v>
      </c>
      <c r="AB9" s="11">
        <f t="shared" si="18"/>
        <v>53036</v>
      </c>
      <c r="AC9" s="11">
        <f t="shared" si="18"/>
        <v>50665</v>
      </c>
      <c r="AD9" s="11">
        <f t="shared" si="18"/>
        <v>44611</v>
      </c>
      <c r="AE9" s="11">
        <f t="shared" si="18"/>
        <v>188970</v>
      </c>
      <c r="AF9" s="11">
        <f t="shared" si="18"/>
        <v>5581</v>
      </c>
      <c r="AG9" s="11">
        <f t="shared" si="1"/>
        <v>5178</v>
      </c>
      <c r="AH9" s="11">
        <f t="shared" si="2"/>
        <v>188970</v>
      </c>
      <c r="AI9" s="15">
        <f t="shared" si="3"/>
        <v>5581</v>
      </c>
      <c r="AJ9" s="15">
        <f t="shared" si="4"/>
        <v>183389</v>
      </c>
      <c r="AK9" s="15">
        <v>6000</v>
      </c>
      <c r="AL9" s="15">
        <f t="shared" si="5"/>
        <v>0</v>
      </c>
      <c r="AM9" s="15">
        <f t="shared" si="6"/>
        <v>0</v>
      </c>
      <c r="AN9" s="15">
        <f t="shared" si="7"/>
        <v>4260</v>
      </c>
      <c r="AO9" s="15">
        <f t="shared" si="8"/>
        <v>1488</v>
      </c>
      <c r="AP9" s="15">
        <v>3244</v>
      </c>
      <c r="AQ9" s="18">
        <f t="shared" si="9"/>
        <v>0</v>
      </c>
      <c r="AR9" s="18">
        <f t="shared" si="10"/>
        <v>0</v>
      </c>
      <c r="AS9" s="19">
        <f t="shared" si="11"/>
        <v>23.2</v>
      </c>
      <c r="AT9" s="18">
        <f t="shared" si="12"/>
        <v>8.11</v>
      </c>
    </row>
    <row r="10" spans="1:46">
      <c r="A10" s="6">
        <v>43807</v>
      </c>
      <c r="B10" s="5" t="s">
        <v>582</v>
      </c>
      <c r="C10" s="4">
        <v>27700447</v>
      </c>
      <c r="D10" s="4">
        <v>13379247</v>
      </c>
      <c r="E10" s="4">
        <v>9102290</v>
      </c>
      <c r="F10" s="4">
        <v>8945069</v>
      </c>
      <c r="G10" s="4">
        <v>269747363</v>
      </c>
      <c r="H10" s="4">
        <v>105717959</v>
      </c>
      <c r="I10" s="4">
        <v>269747363</v>
      </c>
      <c r="J10" s="4">
        <v>105717959</v>
      </c>
      <c r="K10" s="4"/>
      <c r="L10" s="5">
        <v>4299.8</v>
      </c>
      <c r="M10" s="5">
        <v>4167.99</v>
      </c>
      <c r="N10" s="5">
        <v>73496.23</v>
      </c>
      <c r="O10" s="5"/>
      <c r="P10" s="5"/>
      <c r="Q10" s="9">
        <v>21.5</v>
      </c>
      <c r="R10" s="4" t="s">
        <v>583</v>
      </c>
      <c r="S10" s="4">
        <v>550</v>
      </c>
      <c r="T10" s="4">
        <v>560</v>
      </c>
      <c r="U10" s="4">
        <v>7852</v>
      </c>
      <c r="V10" s="4">
        <v>6990</v>
      </c>
      <c r="W10" s="5">
        <v>6.56</v>
      </c>
      <c r="X10" s="5">
        <v>4.26</v>
      </c>
      <c r="Y10" s="4">
        <v>1440</v>
      </c>
      <c r="Z10" s="4"/>
      <c r="AA10" s="11">
        <f t="shared" ref="AA10:AF10" si="19">IF(OR(C11=""),"",C11-C10)</f>
        <v>42225</v>
      </c>
      <c r="AB10" s="11">
        <f t="shared" si="19"/>
        <v>52143</v>
      </c>
      <c r="AC10" s="11">
        <f t="shared" si="19"/>
        <v>46220</v>
      </c>
      <c r="AD10" s="11">
        <f t="shared" si="19"/>
        <v>42171</v>
      </c>
      <c r="AE10" s="11">
        <f t="shared" si="19"/>
        <v>174610</v>
      </c>
      <c r="AF10" s="11">
        <f t="shared" si="19"/>
        <v>5577</v>
      </c>
      <c r="AG10" s="11">
        <f t="shared" si="1"/>
        <v>8149</v>
      </c>
      <c r="AH10" s="11">
        <f t="shared" si="2"/>
        <v>174610</v>
      </c>
      <c r="AI10" s="15">
        <f t="shared" si="3"/>
        <v>5577</v>
      </c>
      <c r="AJ10" s="15">
        <f t="shared" si="4"/>
        <v>169033</v>
      </c>
      <c r="AK10" s="15">
        <v>5200</v>
      </c>
      <c r="AL10" s="15">
        <f t="shared" si="5"/>
        <v>0</v>
      </c>
      <c r="AM10" s="15">
        <f t="shared" si="6"/>
        <v>0</v>
      </c>
      <c r="AN10" s="15">
        <f t="shared" si="7"/>
        <v>3905</v>
      </c>
      <c r="AO10" s="15">
        <f t="shared" si="8"/>
        <v>1344</v>
      </c>
      <c r="AP10" s="15">
        <v>3339</v>
      </c>
      <c r="AQ10" s="18">
        <f t="shared" si="9"/>
        <v>0</v>
      </c>
      <c r="AR10" s="18">
        <f t="shared" si="10"/>
        <v>0</v>
      </c>
      <c r="AS10" s="19">
        <f t="shared" si="11"/>
        <v>23.1</v>
      </c>
      <c r="AT10" s="18">
        <f t="shared" si="12"/>
        <v>7.95</v>
      </c>
    </row>
    <row r="11" spans="1:46">
      <c r="A11" s="6">
        <v>43808</v>
      </c>
      <c r="B11" s="5" t="s">
        <v>584</v>
      </c>
      <c r="C11" s="4">
        <v>27742672</v>
      </c>
      <c r="D11" s="4">
        <v>13431390</v>
      </c>
      <c r="E11" s="4">
        <v>9148510</v>
      </c>
      <c r="F11" s="4">
        <v>8987240</v>
      </c>
      <c r="G11" s="4">
        <v>269921973</v>
      </c>
      <c r="H11" s="4">
        <v>105723536</v>
      </c>
      <c r="I11" s="4">
        <v>269921973</v>
      </c>
      <c r="J11" s="4">
        <v>105723536</v>
      </c>
      <c r="K11" s="4"/>
      <c r="L11" s="5">
        <v>4299.8</v>
      </c>
      <c r="M11" s="5">
        <v>4167.99</v>
      </c>
      <c r="N11" s="5">
        <v>73496.23</v>
      </c>
      <c r="O11" s="5"/>
      <c r="P11" s="5"/>
      <c r="Q11" s="9">
        <v>20.5</v>
      </c>
      <c r="R11" s="4" t="s">
        <v>585</v>
      </c>
      <c r="S11" s="4">
        <v>550</v>
      </c>
      <c r="T11" s="4">
        <v>560</v>
      </c>
      <c r="U11" s="4">
        <v>8527</v>
      </c>
      <c r="V11" s="4">
        <v>7022</v>
      </c>
      <c r="W11" s="5">
        <v>6.06</v>
      </c>
      <c r="X11" s="5">
        <v>4.16</v>
      </c>
      <c r="Y11" s="4">
        <v>1440</v>
      </c>
      <c r="Z11" s="4"/>
      <c r="AA11" s="11">
        <f t="shared" ref="AA11:AF11" si="20">IF(OR(C12=""),"",C12-C11)</f>
        <v>44385</v>
      </c>
      <c r="AB11" s="11">
        <f t="shared" si="20"/>
        <v>56714</v>
      </c>
      <c r="AC11" s="11">
        <f t="shared" si="20"/>
        <v>50600</v>
      </c>
      <c r="AD11" s="11">
        <f t="shared" si="20"/>
        <v>44559</v>
      </c>
      <c r="AE11" s="11">
        <f t="shared" si="20"/>
        <v>192036</v>
      </c>
      <c r="AF11" s="11">
        <f t="shared" si="20"/>
        <v>5588</v>
      </c>
      <c r="AG11" s="11">
        <f t="shared" si="1"/>
        <v>4222</v>
      </c>
      <c r="AH11" s="11">
        <f t="shared" si="2"/>
        <v>192036</v>
      </c>
      <c r="AI11" s="15">
        <f t="shared" si="3"/>
        <v>5588</v>
      </c>
      <c r="AJ11" s="15">
        <f t="shared" si="4"/>
        <v>186448</v>
      </c>
      <c r="AK11" s="15">
        <v>3500</v>
      </c>
      <c r="AL11" s="15">
        <f t="shared" si="5"/>
        <v>4332</v>
      </c>
      <c r="AM11" s="15">
        <f t="shared" si="6"/>
        <v>29</v>
      </c>
      <c r="AN11" s="15">
        <f t="shared" si="7"/>
        <v>3905</v>
      </c>
      <c r="AO11" s="15">
        <f t="shared" si="8"/>
        <v>1344</v>
      </c>
      <c r="AP11" s="15">
        <v>3113</v>
      </c>
      <c r="AQ11" s="18">
        <f t="shared" si="9"/>
        <v>23.2</v>
      </c>
      <c r="AR11" s="18">
        <f t="shared" si="10"/>
        <v>0.16</v>
      </c>
      <c r="AS11" s="19">
        <f t="shared" si="11"/>
        <v>20.9</v>
      </c>
      <c r="AT11" s="18">
        <f t="shared" si="12"/>
        <v>7.21</v>
      </c>
    </row>
    <row r="12" spans="1:46">
      <c r="A12" s="6">
        <v>43809</v>
      </c>
      <c r="B12" s="5" t="s">
        <v>586</v>
      </c>
      <c r="C12" s="4">
        <v>27787057</v>
      </c>
      <c r="D12" s="4">
        <v>13488104</v>
      </c>
      <c r="E12" s="4">
        <v>9199110</v>
      </c>
      <c r="F12" s="4">
        <v>9031799</v>
      </c>
      <c r="G12" s="4">
        <v>270114009</v>
      </c>
      <c r="H12" s="4">
        <v>105729124</v>
      </c>
      <c r="I12" s="4">
        <v>270114009</v>
      </c>
      <c r="J12" s="4">
        <v>105729124</v>
      </c>
      <c r="K12" s="4"/>
      <c r="L12" s="5">
        <v>4299.8</v>
      </c>
      <c r="M12" s="5">
        <v>4171.6000000000004</v>
      </c>
      <c r="N12" s="5">
        <v>73510.880000000005</v>
      </c>
      <c r="O12" s="5"/>
      <c r="P12" s="5"/>
      <c r="Q12" s="9">
        <v>21.2</v>
      </c>
      <c r="R12" s="4" t="s">
        <v>587</v>
      </c>
      <c r="S12" s="4">
        <v>330</v>
      </c>
      <c r="T12" s="4">
        <v>350</v>
      </c>
      <c r="U12" s="4">
        <v>8102</v>
      </c>
      <c r="V12" s="4">
        <v>7049</v>
      </c>
      <c r="W12" s="5">
        <v>5.83</v>
      </c>
      <c r="X12" s="5">
        <v>3.47</v>
      </c>
      <c r="Y12" s="4">
        <v>1440</v>
      </c>
      <c r="Z12" s="4"/>
      <c r="AA12" s="11">
        <f t="shared" ref="AA12:AF12" si="21">IF(OR(C13=""),"",C13-C12)</f>
        <v>42649</v>
      </c>
      <c r="AB12" s="11">
        <f t="shared" si="21"/>
        <v>48158</v>
      </c>
      <c r="AC12" s="11">
        <f t="shared" si="21"/>
        <v>46135</v>
      </c>
      <c r="AD12" s="11">
        <f t="shared" si="21"/>
        <v>41687</v>
      </c>
      <c r="AE12" s="11">
        <f t="shared" si="21"/>
        <v>172989</v>
      </c>
      <c r="AF12" s="11">
        <f t="shared" si="21"/>
        <v>5545</v>
      </c>
      <c r="AG12" s="11">
        <f t="shared" si="1"/>
        <v>5640</v>
      </c>
      <c r="AH12" s="11">
        <f t="shared" si="2"/>
        <v>172989</v>
      </c>
      <c r="AI12" s="15">
        <f t="shared" si="3"/>
        <v>5545</v>
      </c>
      <c r="AJ12" s="15">
        <f t="shared" si="4"/>
        <v>167444</v>
      </c>
      <c r="AK12" s="15">
        <v>3000</v>
      </c>
      <c r="AL12" s="15">
        <f t="shared" si="5"/>
        <v>6264</v>
      </c>
      <c r="AM12" s="15">
        <f t="shared" si="6"/>
        <v>43</v>
      </c>
      <c r="AN12" s="15">
        <f t="shared" si="7"/>
        <v>2343</v>
      </c>
      <c r="AO12" s="15">
        <f t="shared" si="8"/>
        <v>840</v>
      </c>
      <c r="AP12" s="15">
        <v>3049</v>
      </c>
      <c r="AQ12" s="18">
        <f t="shared" si="9"/>
        <v>37.4</v>
      </c>
      <c r="AR12" s="18">
        <f t="shared" si="10"/>
        <v>0.26</v>
      </c>
      <c r="AS12" s="19">
        <f t="shared" si="11"/>
        <v>14</v>
      </c>
      <c r="AT12" s="18">
        <f t="shared" si="12"/>
        <v>5.0199999999999996</v>
      </c>
    </row>
    <row r="13" spans="1:46">
      <c r="A13" s="6">
        <v>43810</v>
      </c>
      <c r="B13" s="5" t="s">
        <v>588</v>
      </c>
      <c r="C13" s="4">
        <v>27829706</v>
      </c>
      <c r="D13" s="4">
        <v>13536262</v>
      </c>
      <c r="E13" s="4">
        <v>9245245</v>
      </c>
      <c r="F13" s="4">
        <v>9073486</v>
      </c>
      <c r="G13" s="4">
        <v>270286998</v>
      </c>
      <c r="H13" s="4">
        <v>105734669</v>
      </c>
      <c r="I13" s="4">
        <v>270286998</v>
      </c>
      <c r="J13" s="4">
        <v>105734669</v>
      </c>
      <c r="K13" s="4"/>
      <c r="L13" s="5">
        <v>4299.8</v>
      </c>
      <c r="M13" s="5">
        <v>4176.82</v>
      </c>
      <c r="N13" s="5">
        <v>73532.179999999993</v>
      </c>
      <c r="O13" s="5"/>
      <c r="P13" s="5"/>
      <c r="Q13" s="9">
        <v>21</v>
      </c>
      <c r="R13" s="4" t="s">
        <v>55</v>
      </c>
      <c r="S13" s="4">
        <v>320</v>
      </c>
      <c r="T13" s="4">
        <v>340</v>
      </c>
      <c r="U13" s="4">
        <v>7523</v>
      </c>
      <c r="V13" s="4">
        <v>2758</v>
      </c>
      <c r="W13" s="5">
        <v>4.5199999999999996</v>
      </c>
      <c r="X13" s="5">
        <v>3.36</v>
      </c>
      <c r="Y13" s="4">
        <v>1440</v>
      </c>
      <c r="Z13" s="4"/>
      <c r="AA13" s="11">
        <f t="shared" ref="AA13:AF13" si="22">IF(OR(C14=""),"",C14-C13)</f>
        <v>39926</v>
      </c>
      <c r="AB13" s="11">
        <f t="shared" si="22"/>
        <v>43996</v>
      </c>
      <c r="AC13" s="11">
        <f t="shared" si="22"/>
        <v>42722</v>
      </c>
      <c r="AD13" s="11">
        <f t="shared" si="22"/>
        <v>38965</v>
      </c>
      <c r="AE13" s="11">
        <f t="shared" si="22"/>
        <v>161629</v>
      </c>
      <c r="AF13" s="11">
        <f t="shared" si="22"/>
        <v>5477</v>
      </c>
      <c r="AG13" s="11">
        <f t="shared" si="1"/>
        <v>3980</v>
      </c>
      <c r="AH13" s="11">
        <f t="shared" si="2"/>
        <v>161629</v>
      </c>
      <c r="AI13" s="15">
        <f t="shared" si="3"/>
        <v>5477</v>
      </c>
      <c r="AJ13" s="15">
        <f t="shared" si="4"/>
        <v>156152</v>
      </c>
      <c r="AK13" s="15">
        <v>3200</v>
      </c>
      <c r="AL13" s="15">
        <f t="shared" si="5"/>
        <v>5004</v>
      </c>
      <c r="AM13" s="15">
        <f t="shared" si="6"/>
        <v>38</v>
      </c>
      <c r="AN13" s="15">
        <f t="shared" si="7"/>
        <v>2272</v>
      </c>
      <c r="AO13" s="15">
        <f t="shared" si="8"/>
        <v>816</v>
      </c>
      <c r="AP13" s="15">
        <v>3120</v>
      </c>
      <c r="AQ13" s="18">
        <f t="shared" si="9"/>
        <v>32</v>
      </c>
      <c r="AR13" s="18">
        <f t="shared" si="10"/>
        <v>0.24</v>
      </c>
      <c r="AS13" s="19">
        <f t="shared" si="11"/>
        <v>14.5</v>
      </c>
      <c r="AT13" s="18">
        <f t="shared" si="12"/>
        <v>5.23</v>
      </c>
    </row>
    <row r="14" spans="1:46">
      <c r="A14" s="6">
        <v>43811</v>
      </c>
      <c r="B14" s="5" t="s">
        <v>589</v>
      </c>
      <c r="C14" s="4">
        <v>27869632</v>
      </c>
      <c r="D14" s="4">
        <v>13580258</v>
      </c>
      <c r="E14" s="4">
        <v>9287967</v>
      </c>
      <c r="F14" s="4">
        <v>9112451</v>
      </c>
      <c r="G14" s="4">
        <v>270448627</v>
      </c>
      <c r="H14" s="4">
        <v>105740146</v>
      </c>
      <c r="I14" s="4">
        <v>270448627</v>
      </c>
      <c r="J14" s="4">
        <v>105740146</v>
      </c>
      <c r="K14" s="4" t="s">
        <v>595</v>
      </c>
      <c r="L14" s="5">
        <v>4299.8</v>
      </c>
      <c r="M14" s="5">
        <v>4180.99</v>
      </c>
      <c r="N14" s="5">
        <v>73551.3</v>
      </c>
      <c r="O14" s="5"/>
      <c r="P14" s="5"/>
      <c r="Q14" s="9">
        <v>20.5</v>
      </c>
      <c r="R14" s="4" t="s">
        <v>590</v>
      </c>
      <c r="S14" s="4">
        <v>430</v>
      </c>
      <c r="T14" s="4">
        <v>440</v>
      </c>
      <c r="U14" s="4">
        <v>8207</v>
      </c>
      <c r="V14" s="4">
        <v>5391</v>
      </c>
      <c r="W14" s="5">
        <v>5.72</v>
      </c>
      <c r="X14" s="5">
        <v>3.08</v>
      </c>
      <c r="Y14" s="4">
        <v>1440</v>
      </c>
      <c r="Z14" s="4"/>
      <c r="AA14" s="11">
        <f t="shared" ref="AA14:AF14" si="23">IF(OR(C15=""),"",C15-C14)</f>
        <v>39979</v>
      </c>
      <c r="AB14" s="11">
        <f t="shared" si="23"/>
        <v>44107</v>
      </c>
      <c r="AC14" s="11">
        <f t="shared" si="23"/>
        <v>42891</v>
      </c>
      <c r="AD14" s="11">
        <f t="shared" si="23"/>
        <v>39175</v>
      </c>
      <c r="AE14" s="11">
        <f t="shared" si="23"/>
        <v>164341</v>
      </c>
      <c r="AF14" s="11">
        <f t="shared" si="23"/>
        <v>5718</v>
      </c>
      <c r="AG14" s="11">
        <f t="shared" si="1"/>
        <v>1811</v>
      </c>
      <c r="AH14" s="11">
        <f t="shared" si="2"/>
        <v>164341</v>
      </c>
      <c r="AI14" s="15">
        <f t="shared" si="3"/>
        <v>5718</v>
      </c>
      <c r="AJ14" s="15">
        <f t="shared" si="4"/>
        <v>158623</v>
      </c>
      <c r="AK14" s="15">
        <v>3600</v>
      </c>
      <c r="AL14" s="15">
        <f t="shared" si="5"/>
        <v>6336</v>
      </c>
      <c r="AM14" s="15">
        <f t="shared" si="6"/>
        <v>54</v>
      </c>
      <c r="AN14" s="15">
        <f t="shared" si="7"/>
        <v>3053</v>
      </c>
      <c r="AO14" s="15">
        <f t="shared" si="8"/>
        <v>1056</v>
      </c>
      <c r="AP14" s="15">
        <v>3027</v>
      </c>
      <c r="AQ14" s="18">
        <f t="shared" si="9"/>
        <v>39.9</v>
      </c>
      <c r="AR14" s="18">
        <f t="shared" si="10"/>
        <v>0.34</v>
      </c>
      <c r="AS14" s="19">
        <f t="shared" si="11"/>
        <v>19.2</v>
      </c>
      <c r="AT14" s="18">
        <f t="shared" si="12"/>
        <v>6.66</v>
      </c>
    </row>
    <row r="15" spans="1:46">
      <c r="A15" s="6">
        <v>43812</v>
      </c>
      <c r="B15" s="5" t="s">
        <v>591</v>
      </c>
      <c r="C15" s="4">
        <v>27909611</v>
      </c>
      <c r="D15" s="4">
        <v>13624365</v>
      </c>
      <c r="E15" s="4">
        <v>9330858</v>
      </c>
      <c r="F15" s="4">
        <v>9151626</v>
      </c>
      <c r="G15" s="4">
        <v>270612968</v>
      </c>
      <c r="H15" s="4">
        <v>105745864</v>
      </c>
      <c r="I15" s="4">
        <v>270612968</v>
      </c>
      <c r="J15" s="4">
        <v>105745864</v>
      </c>
      <c r="K15" s="4"/>
      <c r="L15" s="5">
        <v>4299.8</v>
      </c>
      <c r="M15" s="5">
        <v>4186.2700000000004</v>
      </c>
      <c r="N15" s="5">
        <v>73578.3</v>
      </c>
      <c r="O15" s="5"/>
      <c r="P15" s="5"/>
      <c r="Q15" s="9">
        <v>23.2</v>
      </c>
      <c r="R15" s="4" t="s">
        <v>592</v>
      </c>
      <c r="S15" s="4">
        <v>650</v>
      </c>
      <c r="T15" s="4">
        <v>660</v>
      </c>
      <c r="U15" s="4">
        <v>7992</v>
      </c>
      <c r="V15" s="4">
        <v>5011</v>
      </c>
      <c r="W15" s="5">
        <v>5.26</v>
      </c>
      <c r="X15" s="5">
        <v>2.86</v>
      </c>
      <c r="Y15" s="4">
        <v>1080</v>
      </c>
      <c r="Z15" s="4"/>
      <c r="AA15" s="11">
        <f t="shared" ref="AA15:AF15" si="24">IF(OR(C16=""),"",C16-C15)</f>
        <v>38549</v>
      </c>
      <c r="AB15" s="11">
        <f t="shared" si="24"/>
        <v>41879</v>
      </c>
      <c r="AC15" s="11">
        <f t="shared" si="24"/>
        <v>41274</v>
      </c>
      <c r="AD15" s="11">
        <f t="shared" si="24"/>
        <v>37761</v>
      </c>
      <c r="AE15" s="11">
        <f t="shared" si="24"/>
        <v>156527</v>
      </c>
      <c r="AF15" s="11">
        <f t="shared" si="24"/>
        <v>5596</v>
      </c>
      <c r="AG15" s="11">
        <f t="shared" si="1"/>
        <v>2936</v>
      </c>
      <c r="AH15" s="11">
        <f t="shared" si="2"/>
        <v>156527</v>
      </c>
      <c r="AI15" s="15">
        <f t="shared" si="3"/>
        <v>5596</v>
      </c>
      <c r="AJ15" s="15">
        <f t="shared" si="4"/>
        <v>150931</v>
      </c>
      <c r="AK15" s="15">
        <v>3800</v>
      </c>
      <c r="AL15" s="15">
        <f t="shared" si="5"/>
        <v>6420</v>
      </c>
      <c r="AM15" s="15">
        <f t="shared" si="6"/>
        <v>55</v>
      </c>
      <c r="AN15" s="15">
        <f t="shared" si="7"/>
        <v>4615</v>
      </c>
      <c r="AO15" s="15">
        <f t="shared" si="8"/>
        <v>1584</v>
      </c>
      <c r="AP15" s="15">
        <v>2678</v>
      </c>
      <c r="AQ15" s="18">
        <f t="shared" si="9"/>
        <v>42.5</v>
      </c>
      <c r="AR15" s="18">
        <f t="shared" si="10"/>
        <v>0.36</v>
      </c>
      <c r="AS15" s="19">
        <f t="shared" si="11"/>
        <v>30.6</v>
      </c>
      <c r="AT15" s="18">
        <f t="shared" si="12"/>
        <v>10.49</v>
      </c>
    </row>
    <row r="16" spans="1:46">
      <c r="A16" s="6">
        <v>43813</v>
      </c>
      <c r="B16" s="5" t="s">
        <v>593</v>
      </c>
      <c r="C16" s="4">
        <v>27948160</v>
      </c>
      <c r="D16" s="4">
        <v>13666244</v>
      </c>
      <c r="E16" s="4">
        <v>9372132</v>
      </c>
      <c r="F16" s="4">
        <v>9189387</v>
      </c>
      <c r="G16" s="4">
        <v>270769495</v>
      </c>
      <c r="H16" s="4">
        <v>105751460</v>
      </c>
      <c r="I16" s="4">
        <v>270769495</v>
      </c>
      <c r="J16" s="4">
        <v>105751460</v>
      </c>
      <c r="K16" s="4"/>
      <c r="L16" s="5">
        <v>4299.8</v>
      </c>
      <c r="M16" s="5">
        <v>4191.62</v>
      </c>
      <c r="N16" s="5">
        <v>73605.8</v>
      </c>
      <c r="O16" s="5"/>
      <c r="P16" s="5"/>
      <c r="Q16" s="9">
        <v>21.2</v>
      </c>
      <c r="R16" s="4" t="s">
        <v>594</v>
      </c>
      <c r="S16" s="4">
        <v>450</v>
      </c>
      <c r="T16" s="4">
        <v>460</v>
      </c>
      <c r="U16" s="4">
        <v>7595</v>
      </c>
      <c r="V16" s="4">
        <v>4745</v>
      </c>
      <c r="W16" s="5">
        <v>5.5</v>
      </c>
      <c r="X16" s="5">
        <v>2.5</v>
      </c>
      <c r="Y16" s="4">
        <v>1200</v>
      </c>
      <c r="Z16" s="4"/>
      <c r="AA16" s="11">
        <f t="shared" ref="AA16:AF16" si="25">IF(OR(C17=""),"",C17-C16)</f>
        <v>36028</v>
      </c>
      <c r="AB16" s="11">
        <f t="shared" si="25"/>
        <v>39018</v>
      </c>
      <c r="AC16" s="11">
        <f t="shared" si="25"/>
        <v>38116</v>
      </c>
      <c r="AD16" s="11">
        <f t="shared" si="25"/>
        <v>34778</v>
      </c>
      <c r="AE16" s="11">
        <f t="shared" si="25"/>
        <v>144161</v>
      </c>
      <c r="AF16" s="11">
        <f t="shared" si="25"/>
        <v>5547</v>
      </c>
      <c r="AG16" s="11">
        <f t="shared" si="1"/>
        <v>3779</v>
      </c>
      <c r="AH16" s="11">
        <f t="shared" si="2"/>
        <v>144161</v>
      </c>
      <c r="AI16" s="15">
        <f t="shared" si="3"/>
        <v>5547</v>
      </c>
      <c r="AJ16" s="15">
        <f t="shared" si="4"/>
        <v>138614</v>
      </c>
      <c r="AK16" s="15">
        <v>3900</v>
      </c>
      <c r="AL16" s="15">
        <f t="shared" si="5"/>
        <v>1092</v>
      </c>
      <c r="AM16" s="15">
        <f t="shared" si="6"/>
        <v>8</v>
      </c>
      <c r="AN16" s="15">
        <f t="shared" si="7"/>
        <v>3195</v>
      </c>
      <c r="AO16" s="15">
        <f t="shared" si="8"/>
        <v>1104</v>
      </c>
      <c r="AP16" s="15">
        <v>2579</v>
      </c>
      <c r="AQ16" s="18">
        <f t="shared" si="9"/>
        <v>7.9</v>
      </c>
      <c r="AR16" s="18">
        <f t="shared" si="10"/>
        <v>0.06</v>
      </c>
      <c r="AS16" s="19">
        <f t="shared" si="11"/>
        <v>23</v>
      </c>
      <c r="AT16" s="18">
        <f t="shared" si="12"/>
        <v>7.96</v>
      </c>
    </row>
    <row r="17" spans="1:46">
      <c r="A17" s="6">
        <v>43814</v>
      </c>
      <c r="B17" s="5" t="s">
        <v>596</v>
      </c>
      <c r="C17" s="4">
        <v>27984188</v>
      </c>
      <c r="D17" s="4">
        <v>13705262</v>
      </c>
      <c r="E17" s="4">
        <v>9410248</v>
      </c>
      <c r="F17" s="4">
        <v>9224165</v>
      </c>
      <c r="G17" s="4">
        <v>270913656</v>
      </c>
      <c r="H17" s="4">
        <v>105757007</v>
      </c>
      <c r="I17" s="4">
        <v>270913656</v>
      </c>
      <c r="J17" s="4">
        <v>105757007</v>
      </c>
      <c r="K17" s="4"/>
      <c r="L17" s="5">
        <v>4299.8</v>
      </c>
      <c r="M17" s="5">
        <v>4192.53</v>
      </c>
      <c r="N17" s="5">
        <v>73609.73</v>
      </c>
      <c r="O17" s="5"/>
      <c r="P17" s="5"/>
      <c r="Q17" s="9">
        <v>20.5</v>
      </c>
      <c r="R17" s="4" t="s">
        <v>597</v>
      </c>
      <c r="S17" s="4">
        <v>430</v>
      </c>
      <c r="T17" s="4">
        <v>450</v>
      </c>
      <c r="U17" s="4">
        <v>7591</v>
      </c>
      <c r="V17" s="4">
        <v>3890</v>
      </c>
      <c r="W17" s="5">
        <v>4.79</v>
      </c>
      <c r="X17" s="5">
        <v>3.8</v>
      </c>
      <c r="Y17" s="4">
        <v>1440</v>
      </c>
      <c r="Z17" s="4"/>
      <c r="AA17" s="11">
        <f t="shared" ref="AA17:AF17" si="26">IF(OR(C18=""),"",C18-C17)</f>
        <v>39022</v>
      </c>
      <c r="AB17" s="11">
        <f t="shared" si="26"/>
        <v>43056</v>
      </c>
      <c r="AC17" s="11">
        <f t="shared" si="26"/>
        <v>41713</v>
      </c>
      <c r="AD17" s="11">
        <f t="shared" si="26"/>
        <v>38308</v>
      </c>
      <c r="AE17" s="11">
        <f t="shared" si="26"/>
        <v>158758</v>
      </c>
      <c r="AF17" s="11">
        <f t="shared" si="26"/>
        <v>5579</v>
      </c>
      <c r="AG17" s="11">
        <f t="shared" si="1"/>
        <v>3341</v>
      </c>
      <c r="AH17" s="11">
        <f t="shared" si="2"/>
        <v>158758</v>
      </c>
      <c r="AI17" s="15">
        <f t="shared" si="3"/>
        <v>5579</v>
      </c>
      <c r="AJ17" s="15">
        <f t="shared" si="4"/>
        <v>153179</v>
      </c>
      <c r="AK17" s="15">
        <v>3600</v>
      </c>
      <c r="AL17" s="15">
        <f t="shared" si="5"/>
        <v>3048</v>
      </c>
      <c r="AM17" s="15">
        <f t="shared" si="6"/>
        <v>25</v>
      </c>
      <c r="AN17" s="15">
        <f t="shared" si="7"/>
        <v>3053</v>
      </c>
      <c r="AO17" s="15">
        <f t="shared" si="8"/>
        <v>1080</v>
      </c>
      <c r="AP17" s="15">
        <v>2711</v>
      </c>
      <c r="AQ17" s="18">
        <f t="shared" si="9"/>
        <v>19.899999999999999</v>
      </c>
      <c r="AR17" s="18">
        <f t="shared" si="10"/>
        <v>0.16</v>
      </c>
      <c r="AS17" s="19">
        <f t="shared" si="11"/>
        <v>19.899999999999999</v>
      </c>
      <c r="AT17" s="18">
        <f t="shared" si="12"/>
        <v>7.05</v>
      </c>
    </row>
    <row r="18" spans="1:46">
      <c r="A18" s="6">
        <v>43815</v>
      </c>
      <c r="B18" s="5" t="s">
        <v>598</v>
      </c>
      <c r="C18" s="4">
        <v>28023210</v>
      </c>
      <c r="D18" s="4">
        <v>13748318</v>
      </c>
      <c r="E18" s="4">
        <v>9451961</v>
      </c>
      <c r="F18" s="4">
        <v>9262473</v>
      </c>
      <c r="G18" s="4">
        <v>271072414</v>
      </c>
      <c r="H18" s="4">
        <v>105762586</v>
      </c>
      <c r="I18" s="4">
        <v>271072414</v>
      </c>
      <c r="J18" s="4">
        <v>105762586</v>
      </c>
      <c r="K18" s="4"/>
      <c r="L18" s="5">
        <v>4299.8</v>
      </c>
      <c r="M18" s="5">
        <v>4195.07</v>
      </c>
      <c r="N18" s="5">
        <v>73622.39</v>
      </c>
      <c r="O18" s="5"/>
      <c r="P18" s="5"/>
      <c r="Q18" s="9">
        <v>20.8</v>
      </c>
      <c r="R18" s="4" t="s">
        <v>599</v>
      </c>
      <c r="S18" s="4">
        <v>490</v>
      </c>
      <c r="T18" s="4">
        <v>500</v>
      </c>
      <c r="U18" s="4">
        <v>9562</v>
      </c>
      <c r="V18" s="4">
        <v>2988</v>
      </c>
      <c r="W18" s="5">
        <v>6.01</v>
      </c>
      <c r="X18" s="5">
        <v>2.29</v>
      </c>
      <c r="Y18" s="4">
        <v>1140</v>
      </c>
      <c r="Z18" s="4" t="s">
        <v>604</v>
      </c>
      <c r="AA18" s="11">
        <f t="shared" ref="AA18:AF18" si="27">IF(OR(C19=""),"",C19-C18)</f>
        <v>35747</v>
      </c>
      <c r="AB18" s="11">
        <f t="shared" si="27"/>
        <v>38107</v>
      </c>
      <c r="AC18" s="11">
        <f t="shared" si="27"/>
        <v>37276</v>
      </c>
      <c r="AD18" s="11">
        <f t="shared" si="27"/>
        <v>34320</v>
      </c>
      <c r="AE18" s="11">
        <f t="shared" si="27"/>
        <v>140286</v>
      </c>
      <c r="AF18" s="11">
        <f t="shared" si="27"/>
        <v>5562</v>
      </c>
      <c r="AG18" s="11">
        <f t="shared" si="1"/>
        <v>5164</v>
      </c>
      <c r="AH18" s="11">
        <f t="shared" si="2"/>
        <v>140286</v>
      </c>
      <c r="AI18" s="15">
        <f t="shared" si="3"/>
        <v>5562</v>
      </c>
      <c r="AJ18" s="15">
        <f t="shared" si="4"/>
        <v>134724</v>
      </c>
      <c r="AK18" s="15">
        <v>3800</v>
      </c>
      <c r="AL18" s="15">
        <f t="shared" si="5"/>
        <v>6048</v>
      </c>
      <c r="AM18" s="15">
        <f t="shared" si="6"/>
        <v>55</v>
      </c>
      <c r="AN18" s="15">
        <f t="shared" si="7"/>
        <v>3479</v>
      </c>
      <c r="AO18" s="15">
        <f t="shared" si="8"/>
        <v>1200</v>
      </c>
      <c r="AP18" s="15">
        <v>2866</v>
      </c>
      <c r="AQ18" s="18">
        <f t="shared" si="9"/>
        <v>44.9</v>
      </c>
      <c r="AR18" s="18">
        <f t="shared" si="10"/>
        <v>0.41</v>
      </c>
      <c r="AS18" s="19">
        <f t="shared" si="11"/>
        <v>25.8</v>
      </c>
      <c r="AT18" s="18">
        <f t="shared" si="12"/>
        <v>8.91</v>
      </c>
    </row>
    <row r="19" spans="1:46">
      <c r="A19" s="6">
        <v>43816</v>
      </c>
      <c r="B19" s="5" t="s">
        <v>600</v>
      </c>
      <c r="C19" s="4">
        <v>28058957</v>
      </c>
      <c r="D19" s="4">
        <v>13786425</v>
      </c>
      <c r="E19" s="4">
        <v>9489237</v>
      </c>
      <c r="F19" s="4">
        <v>9296793</v>
      </c>
      <c r="G19" s="4">
        <v>271212700</v>
      </c>
      <c r="H19" s="4">
        <v>105768148</v>
      </c>
      <c r="I19" s="4">
        <v>271212700</v>
      </c>
      <c r="J19" s="4">
        <v>105768148</v>
      </c>
      <c r="K19" s="4"/>
      <c r="L19" s="5">
        <v>4299.8</v>
      </c>
      <c r="M19" s="5">
        <v>4200.1099999999997</v>
      </c>
      <c r="N19" s="5">
        <v>73649.8</v>
      </c>
      <c r="O19" s="5"/>
      <c r="P19" s="5"/>
      <c r="Q19" s="9">
        <v>22.1</v>
      </c>
      <c r="R19" s="4" t="s">
        <v>601</v>
      </c>
      <c r="S19" s="4">
        <v>380</v>
      </c>
      <c r="T19" s="4">
        <v>400</v>
      </c>
      <c r="U19" s="4">
        <v>7412</v>
      </c>
      <c r="V19" s="4">
        <v>4001</v>
      </c>
      <c r="W19" s="5">
        <v>5.49</v>
      </c>
      <c r="X19" s="5">
        <v>3.2</v>
      </c>
      <c r="Y19" s="4">
        <v>1440</v>
      </c>
      <c r="Z19" s="4"/>
      <c r="AA19" s="11">
        <f t="shared" ref="AA19:AF19" si="28">IF(OR(C20=""),"",C20-C19)</f>
        <v>39574</v>
      </c>
      <c r="AB19" s="11">
        <f t="shared" si="28"/>
        <v>43182</v>
      </c>
      <c r="AC19" s="11">
        <f t="shared" si="28"/>
        <v>42445</v>
      </c>
      <c r="AD19" s="11">
        <f t="shared" si="28"/>
        <v>38803</v>
      </c>
      <c r="AE19" s="11">
        <f t="shared" si="28"/>
        <v>161859</v>
      </c>
      <c r="AF19" s="11">
        <f t="shared" si="28"/>
        <v>5562</v>
      </c>
      <c r="AG19" s="11">
        <f t="shared" si="1"/>
        <v>2145</v>
      </c>
      <c r="AH19" s="11">
        <f t="shared" si="2"/>
        <v>161859</v>
      </c>
      <c r="AI19" s="15">
        <f t="shared" si="3"/>
        <v>5562</v>
      </c>
      <c r="AJ19" s="15">
        <f t="shared" si="4"/>
        <v>156297</v>
      </c>
      <c r="AK19" s="15">
        <v>3630</v>
      </c>
      <c r="AL19" s="15">
        <f t="shared" si="5"/>
        <v>5784</v>
      </c>
      <c r="AM19" s="15">
        <f t="shared" si="6"/>
        <v>10</v>
      </c>
      <c r="AN19" s="15">
        <f t="shared" si="7"/>
        <v>2698</v>
      </c>
      <c r="AO19" s="15">
        <f t="shared" si="8"/>
        <v>960</v>
      </c>
      <c r="AP19" s="15">
        <v>2990</v>
      </c>
      <c r="AQ19" s="18">
        <f t="shared" si="9"/>
        <v>37</v>
      </c>
      <c r="AR19" s="18">
        <f t="shared" si="10"/>
        <v>0.06</v>
      </c>
      <c r="AS19" s="19">
        <f t="shared" si="11"/>
        <v>17.3</v>
      </c>
      <c r="AT19" s="18">
        <f t="shared" si="12"/>
        <v>6.14</v>
      </c>
    </row>
    <row r="20" spans="1:46">
      <c r="A20" s="6">
        <v>43817</v>
      </c>
      <c r="B20" s="5" t="s">
        <v>58</v>
      </c>
      <c r="C20" s="4">
        <v>28098531</v>
      </c>
      <c r="D20" s="4">
        <v>13829607</v>
      </c>
      <c r="E20" s="4">
        <v>9531682</v>
      </c>
      <c r="F20" s="4">
        <v>9335596</v>
      </c>
      <c r="G20" s="4">
        <v>271374559</v>
      </c>
      <c r="H20" s="4">
        <v>105773710</v>
      </c>
      <c r="I20" s="4">
        <v>271374559</v>
      </c>
      <c r="J20" s="4">
        <v>105773710</v>
      </c>
      <c r="K20" s="4"/>
      <c r="L20" s="5">
        <v>4299.8</v>
      </c>
      <c r="M20" s="5">
        <v>4204.93</v>
      </c>
      <c r="N20" s="5">
        <v>73654.789999999994</v>
      </c>
      <c r="O20" s="5"/>
      <c r="P20" s="5"/>
      <c r="Q20" s="9">
        <v>22.1</v>
      </c>
      <c r="R20" s="4" t="s">
        <v>44</v>
      </c>
      <c r="S20" s="4">
        <v>260</v>
      </c>
      <c r="T20" s="4">
        <v>280</v>
      </c>
      <c r="U20" s="4">
        <v>7876</v>
      </c>
      <c r="V20" s="4">
        <v>2658</v>
      </c>
      <c r="W20" s="5">
        <v>5.73</v>
      </c>
      <c r="X20" s="5">
        <v>3.13</v>
      </c>
      <c r="Y20" s="4">
        <v>1440</v>
      </c>
      <c r="Z20" s="4"/>
      <c r="AA20" s="11">
        <f t="shared" ref="AA20:AF20" si="29">IF(OR(C21=""),"",C21-C20)</f>
        <v>37674</v>
      </c>
      <c r="AB20" s="11">
        <f t="shared" si="29"/>
        <v>40109</v>
      </c>
      <c r="AC20" s="11">
        <f t="shared" si="29"/>
        <v>39734</v>
      </c>
      <c r="AD20" s="11">
        <f t="shared" si="29"/>
        <v>36410</v>
      </c>
      <c r="AE20" s="11">
        <f t="shared" si="29"/>
        <v>147016</v>
      </c>
      <c r="AF20" s="11">
        <f t="shared" si="29"/>
        <v>5575</v>
      </c>
      <c r="AG20" s="11">
        <f t="shared" si="1"/>
        <v>6911</v>
      </c>
      <c r="AH20" s="11">
        <f t="shared" si="2"/>
        <v>147016</v>
      </c>
      <c r="AI20" s="15">
        <f t="shared" si="3"/>
        <v>5575</v>
      </c>
      <c r="AJ20" s="15">
        <f t="shared" si="4"/>
        <v>141441</v>
      </c>
      <c r="AK20" s="15">
        <v>3500</v>
      </c>
      <c r="AL20" s="15">
        <f t="shared" si="5"/>
        <v>8712</v>
      </c>
      <c r="AM20" s="15">
        <f t="shared" si="6"/>
        <v>77</v>
      </c>
      <c r="AN20" s="15">
        <f t="shared" si="7"/>
        <v>1846</v>
      </c>
      <c r="AO20" s="15">
        <f t="shared" si="8"/>
        <v>672</v>
      </c>
      <c r="AP20" s="15">
        <v>2984</v>
      </c>
      <c r="AQ20" s="18">
        <f t="shared" si="9"/>
        <v>61.6</v>
      </c>
      <c r="AR20" s="18">
        <f t="shared" si="10"/>
        <v>0.54</v>
      </c>
      <c r="AS20" s="19">
        <f t="shared" si="11"/>
        <v>13.1</v>
      </c>
      <c r="AT20" s="18">
        <f t="shared" si="12"/>
        <v>4.75</v>
      </c>
    </row>
    <row r="21" spans="1:46">
      <c r="A21" s="6">
        <v>43818</v>
      </c>
      <c r="B21" s="5" t="s">
        <v>45</v>
      </c>
      <c r="C21" s="4">
        <v>28136205</v>
      </c>
      <c r="D21" s="4">
        <v>13869716</v>
      </c>
      <c r="E21" s="4">
        <v>9571416</v>
      </c>
      <c r="F21" s="4">
        <v>9372006</v>
      </c>
      <c r="G21" s="4">
        <v>271521575</v>
      </c>
      <c r="H21" s="4">
        <v>105779285</v>
      </c>
      <c r="I21" s="4">
        <v>271521575</v>
      </c>
      <c r="J21" s="4">
        <v>105779285</v>
      </c>
      <c r="K21" s="4"/>
      <c r="L21" s="5">
        <v>4299.8</v>
      </c>
      <c r="M21" s="5">
        <v>4212.1899999999996</v>
      </c>
      <c r="N21" s="5">
        <v>73693.509999999995</v>
      </c>
      <c r="O21" s="5"/>
      <c r="P21" s="5"/>
      <c r="Q21" s="9">
        <v>21.9</v>
      </c>
      <c r="R21" s="4" t="s">
        <v>44</v>
      </c>
      <c r="S21" s="4">
        <v>400</v>
      </c>
      <c r="T21" s="4">
        <v>430</v>
      </c>
      <c r="U21" s="4">
        <v>8012</v>
      </c>
      <c r="V21" s="4">
        <v>5523</v>
      </c>
      <c r="W21" s="5">
        <v>5.51</v>
      </c>
      <c r="X21" s="5">
        <v>2.7</v>
      </c>
      <c r="Y21" s="4">
        <v>1320</v>
      </c>
      <c r="AA21" s="11">
        <f t="shared" ref="AA21:AF21" si="30">IF(OR(C22=""),"",C22-C21)</f>
        <v>38007</v>
      </c>
      <c r="AB21" s="11">
        <f t="shared" si="30"/>
        <v>40659</v>
      </c>
      <c r="AC21" s="11">
        <f t="shared" si="30"/>
        <v>40344</v>
      </c>
      <c r="AD21" s="11">
        <f t="shared" si="30"/>
        <v>36812</v>
      </c>
      <c r="AE21" s="11">
        <f t="shared" si="30"/>
        <v>151275</v>
      </c>
      <c r="AF21" s="11">
        <f t="shared" si="30"/>
        <v>5577</v>
      </c>
      <c r="AG21" s="11">
        <f t="shared" si="1"/>
        <v>4547</v>
      </c>
      <c r="AH21" s="11">
        <f t="shared" si="2"/>
        <v>151275</v>
      </c>
      <c r="AI21" s="15">
        <f t="shared" si="3"/>
        <v>5577</v>
      </c>
      <c r="AJ21" s="15">
        <f t="shared" si="4"/>
        <v>145698</v>
      </c>
      <c r="AK21" s="15">
        <v>3600</v>
      </c>
      <c r="AL21" s="15">
        <f t="shared" si="5"/>
        <v>7788</v>
      </c>
      <c r="AM21" s="15">
        <f t="shared" si="6"/>
        <v>25</v>
      </c>
      <c r="AN21" s="15">
        <f t="shared" si="7"/>
        <v>2840</v>
      </c>
      <c r="AO21" s="15">
        <f t="shared" si="8"/>
        <v>1032</v>
      </c>
      <c r="AP21" s="15">
        <v>3011</v>
      </c>
      <c r="AQ21" s="18">
        <f t="shared" si="9"/>
        <v>53.5</v>
      </c>
      <c r="AR21" s="18">
        <f t="shared" si="10"/>
        <v>0.17</v>
      </c>
      <c r="AS21" s="19">
        <f t="shared" si="11"/>
        <v>19.5</v>
      </c>
      <c r="AT21" s="18">
        <f t="shared" si="12"/>
        <v>7.08</v>
      </c>
    </row>
    <row r="22" spans="1:46" ht="66">
      <c r="A22" s="6">
        <v>43819</v>
      </c>
      <c r="B22" s="5" t="s">
        <v>602</v>
      </c>
      <c r="C22" s="4">
        <v>28174212</v>
      </c>
      <c r="D22" s="4">
        <v>13910375</v>
      </c>
      <c r="E22" s="4">
        <v>9611760</v>
      </c>
      <c r="F22" s="4">
        <v>9408818</v>
      </c>
      <c r="G22" s="4">
        <v>271672850</v>
      </c>
      <c r="H22" s="4">
        <v>105784862</v>
      </c>
      <c r="I22" s="4">
        <v>271672850</v>
      </c>
      <c r="J22" s="4">
        <v>105784862</v>
      </c>
      <c r="K22" s="4"/>
      <c r="L22" s="5">
        <v>4299.8</v>
      </c>
      <c r="M22" s="5">
        <v>4218.68</v>
      </c>
      <c r="N22" s="5">
        <v>73706.16</v>
      </c>
      <c r="O22" s="5"/>
      <c r="P22" s="5"/>
      <c r="Q22" s="9">
        <v>22</v>
      </c>
      <c r="R22" s="4" t="s">
        <v>603</v>
      </c>
      <c r="S22" s="4">
        <v>590</v>
      </c>
      <c r="T22" s="4">
        <v>600</v>
      </c>
      <c r="U22" s="4">
        <v>8005</v>
      </c>
      <c r="V22" s="4">
        <v>2686</v>
      </c>
      <c r="W22" s="5">
        <v>4.2300000000000004</v>
      </c>
      <c r="X22" s="5">
        <v>2.84</v>
      </c>
      <c r="Y22" s="4">
        <v>1080</v>
      </c>
      <c r="Z22" s="4" t="s">
        <v>606</v>
      </c>
      <c r="AA22" s="11">
        <f t="shared" ref="AA22:AF22" si="31">IF(OR(C23=""),"",C23-C22)</f>
        <v>35480</v>
      </c>
      <c r="AB22" s="11">
        <f t="shared" si="31"/>
        <v>38151</v>
      </c>
      <c r="AC22" s="11">
        <f t="shared" si="31"/>
        <v>37316</v>
      </c>
      <c r="AD22" s="11">
        <f t="shared" si="31"/>
        <v>34059</v>
      </c>
      <c r="AE22" s="11">
        <f t="shared" si="31"/>
        <v>139042</v>
      </c>
      <c r="AF22" s="11">
        <f t="shared" si="31"/>
        <v>5561</v>
      </c>
      <c r="AG22" s="11">
        <f t="shared" si="1"/>
        <v>5964</v>
      </c>
      <c r="AH22" s="11">
        <f t="shared" si="2"/>
        <v>139042</v>
      </c>
      <c r="AI22" s="15">
        <f t="shared" si="3"/>
        <v>5561</v>
      </c>
      <c r="AJ22" s="15">
        <f t="shared" si="4"/>
        <v>133481</v>
      </c>
      <c r="AK22" s="15">
        <v>3200</v>
      </c>
      <c r="AL22" s="15">
        <f t="shared" si="5"/>
        <v>12600</v>
      </c>
      <c r="AM22" s="15">
        <f t="shared" si="6"/>
        <v>42</v>
      </c>
      <c r="AN22" s="15">
        <f t="shared" si="7"/>
        <v>4189</v>
      </c>
      <c r="AO22" s="15">
        <f t="shared" si="8"/>
        <v>1440</v>
      </c>
      <c r="AP22" s="15">
        <v>2789</v>
      </c>
      <c r="AQ22" s="18">
        <f t="shared" si="9"/>
        <v>94.4</v>
      </c>
      <c r="AR22" s="18">
        <f t="shared" si="10"/>
        <v>0.31</v>
      </c>
      <c r="AS22" s="19">
        <f t="shared" si="11"/>
        <v>31.4</v>
      </c>
      <c r="AT22" s="18">
        <f t="shared" si="12"/>
        <v>10.79</v>
      </c>
    </row>
    <row r="23" spans="1:46">
      <c r="A23" s="6">
        <v>43820</v>
      </c>
      <c r="B23" s="5" t="s">
        <v>605</v>
      </c>
      <c r="C23" s="4">
        <v>28209692</v>
      </c>
      <c r="D23" s="4">
        <v>13948526</v>
      </c>
      <c r="E23" s="4">
        <v>9649076</v>
      </c>
      <c r="F23" s="4">
        <v>9442877</v>
      </c>
      <c r="G23" s="4">
        <v>271811892</v>
      </c>
      <c r="H23" s="4">
        <v>105790423</v>
      </c>
      <c r="I23" s="4">
        <v>271811892</v>
      </c>
      <c r="J23" s="4">
        <v>105790423</v>
      </c>
      <c r="K23" s="4"/>
      <c r="L23" s="5">
        <v>4299.8</v>
      </c>
      <c r="M23" s="5">
        <v>4229.18</v>
      </c>
      <c r="N23" s="5">
        <v>73727.240000000005</v>
      </c>
      <c r="O23" s="5"/>
      <c r="P23" s="5"/>
      <c r="Q23" s="9">
        <v>21.8</v>
      </c>
      <c r="R23" s="4" t="s">
        <v>608</v>
      </c>
      <c r="S23" s="4">
        <v>550</v>
      </c>
      <c r="T23" s="4">
        <v>580</v>
      </c>
      <c r="U23" s="4">
        <v>6312</v>
      </c>
      <c r="V23" s="4">
        <v>2616</v>
      </c>
      <c r="W23" s="5">
        <v>5.63</v>
      </c>
      <c r="X23" s="5">
        <v>3.42</v>
      </c>
      <c r="Y23" s="4">
        <v>1440</v>
      </c>
      <c r="Z23" s="4"/>
      <c r="AA23" s="11">
        <f t="shared" ref="AA23:AF23" si="32">IF(OR(C24=""),"",C24-C23)</f>
        <v>32625</v>
      </c>
      <c r="AB23" s="11">
        <f t="shared" si="32"/>
        <v>35251</v>
      </c>
      <c r="AC23" s="11">
        <f t="shared" si="32"/>
        <v>34106</v>
      </c>
      <c r="AD23" s="11">
        <f t="shared" si="32"/>
        <v>31292</v>
      </c>
      <c r="AE23" s="11">
        <f t="shared" si="32"/>
        <v>131241</v>
      </c>
      <c r="AF23" s="11">
        <f t="shared" si="32"/>
        <v>5583</v>
      </c>
      <c r="AG23" s="11">
        <f t="shared" si="1"/>
        <v>2033</v>
      </c>
      <c r="AH23" s="11">
        <f t="shared" si="2"/>
        <v>131241</v>
      </c>
      <c r="AI23" s="15">
        <f t="shared" si="3"/>
        <v>5583</v>
      </c>
      <c r="AJ23" s="15">
        <f t="shared" si="4"/>
        <v>125658</v>
      </c>
      <c r="AK23" s="15">
        <v>3000</v>
      </c>
      <c r="AL23" s="15">
        <f t="shared" si="5"/>
        <v>2796</v>
      </c>
      <c r="AM23" s="15">
        <f t="shared" si="6"/>
        <v>9</v>
      </c>
      <c r="AN23" s="15">
        <f t="shared" si="7"/>
        <v>3905</v>
      </c>
      <c r="AO23" s="15">
        <f t="shared" si="8"/>
        <v>1392</v>
      </c>
      <c r="AP23" s="15">
        <v>2981</v>
      </c>
      <c r="AQ23" s="18">
        <f t="shared" si="9"/>
        <v>22.3</v>
      </c>
      <c r="AR23" s="18">
        <f t="shared" si="10"/>
        <v>7.0000000000000007E-2</v>
      </c>
      <c r="AS23" s="19">
        <f t="shared" si="11"/>
        <v>31.1</v>
      </c>
      <c r="AT23" s="18">
        <f t="shared" si="12"/>
        <v>11.08</v>
      </c>
    </row>
    <row r="24" spans="1:46">
      <c r="A24" s="6">
        <v>43821</v>
      </c>
      <c r="B24" s="5" t="s">
        <v>607</v>
      </c>
      <c r="C24" s="4">
        <v>28242317</v>
      </c>
      <c r="D24" s="4">
        <v>13983777</v>
      </c>
      <c r="E24" s="4">
        <v>9683182</v>
      </c>
      <c r="F24" s="4">
        <v>9474169</v>
      </c>
      <c r="G24" s="4">
        <v>271943133</v>
      </c>
      <c r="H24" s="4">
        <v>105796006</v>
      </c>
      <c r="I24" s="4">
        <v>271943133</v>
      </c>
      <c r="J24" s="4">
        <v>105796006</v>
      </c>
      <c r="K24" s="4"/>
      <c r="L24" s="5">
        <v>4299.8</v>
      </c>
      <c r="M24" s="5">
        <v>4231.51</v>
      </c>
      <c r="N24" s="5">
        <v>73731.95</v>
      </c>
      <c r="O24" s="5"/>
      <c r="P24" s="5"/>
      <c r="Q24" s="9">
        <v>21.6</v>
      </c>
      <c r="R24" s="4" t="s">
        <v>608</v>
      </c>
      <c r="S24" s="4">
        <v>430</v>
      </c>
      <c r="T24" s="4">
        <v>450</v>
      </c>
      <c r="U24" s="4">
        <v>6521</v>
      </c>
      <c r="V24" s="4">
        <v>5512</v>
      </c>
      <c r="W24" s="5">
        <v>4.78</v>
      </c>
      <c r="X24" s="5">
        <v>3.52</v>
      </c>
      <c r="Y24" s="4">
        <v>1440</v>
      </c>
      <c r="Z24" s="4"/>
      <c r="AA24" s="11">
        <f t="shared" ref="AA24:AF24" si="33">IF(OR(C25=""),"",C25-C24)</f>
        <v>34293</v>
      </c>
      <c r="AB24" s="11">
        <f t="shared" si="33"/>
        <v>37054</v>
      </c>
      <c r="AC24" s="11">
        <f t="shared" si="33"/>
        <v>36600</v>
      </c>
      <c r="AD24" s="11">
        <f t="shared" si="33"/>
        <v>33608</v>
      </c>
      <c r="AE24" s="11">
        <f t="shared" si="33"/>
        <v>136991</v>
      </c>
      <c r="AF24" s="11">
        <f t="shared" si="33"/>
        <v>5546</v>
      </c>
      <c r="AG24" s="11">
        <f t="shared" si="1"/>
        <v>4564</v>
      </c>
      <c r="AH24" s="11">
        <f t="shared" si="2"/>
        <v>136991</v>
      </c>
      <c r="AI24" s="15">
        <f t="shared" si="3"/>
        <v>5546</v>
      </c>
      <c r="AJ24" s="15">
        <f t="shared" si="4"/>
        <v>131445</v>
      </c>
      <c r="AK24" s="15">
        <v>3000</v>
      </c>
      <c r="AL24" s="15">
        <f t="shared" si="5"/>
        <v>15324</v>
      </c>
      <c r="AM24" s="15">
        <f t="shared" si="6"/>
        <v>41</v>
      </c>
      <c r="AN24" s="15">
        <f t="shared" si="7"/>
        <v>3053</v>
      </c>
      <c r="AO24" s="15">
        <f t="shared" si="8"/>
        <v>1080</v>
      </c>
      <c r="AP24" s="15">
        <v>2917</v>
      </c>
      <c r="AQ24" s="18">
        <f t="shared" si="9"/>
        <v>116.6</v>
      </c>
      <c r="AR24" s="18">
        <f t="shared" si="10"/>
        <v>0.31</v>
      </c>
      <c r="AS24" s="19">
        <f t="shared" si="11"/>
        <v>23.2</v>
      </c>
      <c r="AT24" s="18">
        <f t="shared" si="12"/>
        <v>8.2200000000000006</v>
      </c>
    </row>
    <row r="25" spans="1:46">
      <c r="A25" s="6">
        <v>43822</v>
      </c>
      <c r="B25" s="5" t="s">
        <v>609</v>
      </c>
      <c r="C25" s="4">
        <v>28276610</v>
      </c>
      <c r="D25" s="4">
        <v>14020831</v>
      </c>
      <c r="E25" s="4">
        <v>9719782</v>
      </c>
      <c r="F25" s="4">
        <v>9507777</v>
      </c>
      <c r="G25" s="4">
        <v>272080124</v>
      </c>
      <c r="H25" s="4">
        <v>105801552</v>
      </c>
      <c r="I25" s="4">
        <v>272080124</v>
      </c>
      <c r="J25" s="4">
        <v>105801552</v>
      </c>
      <c r="K25" s="4"/>
      <c r="L25" s="5">
        <v>4299.8</v>
      </c>
      <c r="M25" s="5">
        <v>4244.28</v>
      </c>
      <c r="N25" s="5">
        <v>73752.649999999994</v>
      </c>
      <c r="O25" s="5"/>
      <c r="P25" s="5"/>
      <c r="Q25" s="9">
        <v>21</v>
      </c>
      <c r="R25" s="4" t="s">
        <v>610</v>
      </c>
      <c r="S25" s="4">
        <v>420</v>
      </c>
      <c r="T25" s="4">
        <v>430</v>
      </c>
      <c r="U25" s="4">
        <v>7565</v>
      </c>
      <c r="V25" s="4">
        <v>5828</v>
      </c>
      <c r="W25" s="5">
        <v>6.17</v>
      </c>
      <c r="X25" s="5">
        <v>3.87</v>
      </c>
      <c r="Y25" s="4">
        <v>1440</v>
      </c>
      <c r="Z25" s="4"/>
      <c r="AA25" s="11">
        <f t="shared" ref="AA25:AF25" si="34">IF(OR(C26=""),"",C26-C25)</f>
        <v>38091</v>
      </c>
      <c r="AB25" s="11">
        <f t="shared" si="34"/>
        <v>40971</v>
      </c>
      <c r="AC25" s="11">
        <f t="shared" si="34"/>
        <v>40861</v>
      </c>
      <c r="AD25" s="11">
        <f t="shared" si="34"/>
        <v>37465</v>
      </c>
      <c r="AE25" s="11">
        <f t="shared" si="34"/>
        <v>155044</v>
      </c>
      <c r="AF25" s="11">
        <f t="shared" si="34"/>
        <v>5460</v>
      </c>
      <c r="AG25" s="11">
        <f t="shared" si="1"/>
        <v>2344</v>
      </c>
      <c r="AH25" s="11">
        <f t="shared" si="2"/>
        <v>155044</v>
      </c>
      <c r="AI25" s="15">
        <f t="shared" si="3"/>
        <v>5460</v>
      </c>
      <c r="AJ25" s="15">
        <f t="shared" si="4"/>
        <v>149584</v>
      </c>
      <c r="AK25" s="15">
        <v>2800</v>
      </c>
      <c r="AL25" s="15">
        <f t="shared" si="5"/>
        <v>6228</v>
      </c>
      <c r="AM25" s="15">
        <f t="shared" si="6"/>
        <v>0</v>
      </c>
      <c r="AN25" s="15">
        <f t="shared" si="7"/>
        <v>2982</v>
      </c>
      <c r="AO25" s="15">
        <f t="shared" si="8"/>
        <v>1032</v>
      </c>
      <c r="AP25" s="15">
        <v>3079</v>
      </c>
      <c r="AQ25" s="18">
        <f t="shared" si="9"/>
        <v>41.6</v>
      </c>
      <c r="AR25" s="18">
        <f t="shared" si="10"/>
        <v>0</v>
      </c>
      <c r="AS25" s="19">
        <f t="shared" si="11"/>
        <v>19.899999999999999</v>
      </c>
      <c r="AT25" s="18">
        <f t="shared" si="12"/>
        <v>6.9</v>
      </c>
    </row>
    <row r="26" spans="1:46">
      <c r="A26" s="6">
        <v>43823</v>
      </c>
      <c r="B26" s="5" t="s">
        <v>611</v>
      </c>
      <c r="C26" s="4">
        <v>28314701</v>
      </c>
      <c r="D26" s="4">
        <v>14061802</v>
      </c>
      <c r="E26" s="4">
        <v>9760643</v>
      </c>
      <c r="F26" s="4">
        <v>9545242</v>
      </c>
      <c r="G26" s="4">
        <v>272235168</v>
      </c>
      <c r="H26" s="4">
        <v>105807012</v>
      </c>
      <c r="I26" s="4">
        <v>272235168</v>
      </c>
      <c r="J26" s="4">
        <v>105807012</v>
      </c>
      <c r="K26" s="4"/>
      <c r="L26" s="5">
        <v>4299.8</v>
      </c>
      <c r="M26" s="5">
        <v>4249.47</v>
      </c>
      <c r="N26" s="5">
        <v>73752.649999999994</v>
      </c>
      <c r="O26" s="5"/>
      <c r="P26" s="5"/>
      <c r="Q26" s="9">
        <v>21.3</v>
      </c>
      <c r="R26" s="4" t="s">
        <v>612</v>
      </c>
      <c r="S26" s="4">
        <v>280</v>
      </c>
      <c r="T26" s="4">
        <v>300</v>
      </c>
      <c r="U26" s="4">
        <v>6615</v>
      </c>
      <c r="V26" s="4">
        <v>5812</v>
      </c>
      <c r="W26" s="5">
        <v>6.15</v>
      </c>
      <c r="X26" s="5">
        <v>4.2</v>
      </c>
      <c r="Y26" s="4">
        <v>1440</v>
      </c>
      <c r="Z26" s="4"/>
      <c r="AA26" s="11">
        <f t="shared" ref="AA26:AF26" si="35">IF(OR(C27=""),"",C27-C26)</f>
        <v>37575</v>
      </c>
      <c r="AB26" s="11">
        <f t="shared" si="35"/>
        <v>40187</v>
      </c>
      <c r="AC26" s="11">
        <f t="shared" si="35"/>
        <v>40072</v>
      </c>
      <c r="AD26" s="11">
        <f t="shared" si="35"/>
        <v>36794</v>
      </c>
      <c r="AE26" s="11">
        <f t="shared" si="35"/>
        <v>153726</v>
      </c>
      <c r="AF26" s="11">
        <f t="shared" si="35"/>
        <v>5552</v>
      </c>
      <c r="AG26" s="11">
        <f t="shared" si="1"/>
        <v>902</v>
      </c>
      <c r="AH26" s="11">
        <f t="shared" si="2"/>
        <v>153726</v>
      </c>
      <c r="AI26" s="15">
        <f t="shared" si="3"/>
        <v>5552</v>
      </c>
      <c r="AJ26" s="15">
        <f t="shared" si="4"/>
        <v>148174</v>
      </c>
      <c r="AK26" s="15">
        <v>2900</v>
      </c>
      <c r="AL26" s="15">
        <f t="shared" si="5"/>
        <v>6036</v>
      </c>
      <c r="AM26" s="15">
        <f t="shared" si="6"/>
        <v>0</v>
      </c>
      <c r="AN26" s="15">
        <f t="shared" si="7"/>
        <v>1988</v>
      </c>
      <c r="AO26" s="15">
        <f t="shared" si="8"/>
        <v>720</v>
      </c>
      <c r="AP26" s="15">
        <v>3196</v>
      </c>
      <c r="AQ26" s="18">
        <f t="shared" si="9"/>
        <v>40.700000000000003</v>
      </c>
      <c r="AR26" s="18">
        <f t="shared" si="10"/>
        <v>0</v>
      </c>
      <c r="AS26" s="19">
        <f t="shared" si="11"/>
        <v>13.4</v>
      </c>
      <c r="AT26" s="18">
        <f t="shared" si="12"/>
        <v>4.8600000000000003</v>
      </c>
    </row>
    <row r="27" spans="1:46">
      <c r="A27" s="6">
        <v>43824</v>
      </c>
      <c r="B27" s="5" t="s">
        <v>613</v>
      </c>
      <c r="C27" s="4">
        <v>28352276</v>
      </c>
      <c r="D27" s="4">
        <v>14101989</v>
      </c>
      <c r="E27" s="4">
        <v>9800715</v>
      </c>
      <c r="F27" s="4">
        <v>9582036</v>
      </c>
      <c r="G27" s="4">
        <v>272388894</v>
      </c>
      <c r="H27" s="4">
        <v>105812564</v>
      </c>
      <c r="I27" s="4">
        <v>272388894</v>
      </c>
      <c r="J27" s="4">
        <v>105812564</v>
      </c>
      <c r="K27" s="4"/>
      <c r="L27" s="5">
        <v>4299.8</v>
      </c>
      <c r="M27" s="5">
        <v>4254.5</v>
      </c>
      <c r="N27" s="5">
        <v>73752.649999999994</v>
      </c>
      <c r="O27" s="5"/>
      <c r="P27" s="5"/>
      <c r="Q27" s="9">
        <v>20.6</v>
      </c>
      <c r="R27" s="4" t="s">
        <v>63</v>
      </c>
      <c r="S27" s="4">
        <v>290</v>
      </c>
      <c r="T27" s="4">
        <v>310</v>
      </c>
      <c r="U27" s="4">
        <v>6723</v>
      </c>
      <c r="V27" s="4">
        <v>5984</v>
      </c>
      <c r="W27" s="5">
        <v>6.32</v>
      </c>
      <c r="X27" s="5">
        <v>4.1900000000000004</v>
      </c>
      <c r="Y27" s="4">
        <v>1440</v>
      </c>
      <c r="Z27" s="4"/>
      <c r="AA27" s="11">
        <f t="shared" ref="AA27:AF27" si="36">IF(OR(C28=""),"",C28-C27)</f>
        <v>35839</v>
      </c>
      <c r="AB27" s="11">
        <f t="shared" si="36"/>
        <v>39480</v>
      </c>
      <c r="AC27" s="11">
        <f t="shared" si="36"/>
        <v>40414</v>
      </c>
      <c r="AD27" s="11">
        <f t="shared" si="36"/>
        <v>36971</v>
      </c>
      <c r="AE27" s="11">
        <f t="shared" si="36"/>
        <v>151047</v>
      </c>
      <c r="AF27" s="11">
        <f t="shared" si="36"/>
        <v>5487</v>
      </c>
      <c r="AG27" s="11">
        <f t="shared" si="1"/>
        <v>1657</v>
      </c>
      <c r="AH27" s="11">
        <f t="shared" si="2"/>
        <v>151047</v>
      </c>
      <c r="AI27" s="15">
        <f t="shared" si="3"/>
        <v>5487</v>
      </c>
      <c r="AJ27" s="15">
        <f t="shared" si="4"/>
        <v>145560</v>
      </c>
      <c r="AK27" s="15">
        <v>3000</v>
      </c>
      <c r="AL27" s="15">
        <f t="shared" si="5"/>
        <v>6036</v>
      </c>
      <c r="AM27" s="15">
        <f t="shared" si="6"/>
        <v>0</v>
      </c>
      <c r="AN27" s="15">
        <f t="shared" si="7"/>
        <v>2059</v>
      </c>
      <c r="AO27" s="15">
        <f t="shared" si="8"/>
        <v>744</v>
      </c>
      <c r="AP27" s="15">
        <v>3149</v>
      </c>
      <c r="AQ27" s="18">
        <f t="shared" si="9"/>
        <v>41.5</v>
      </c>
      <c r="AR27" s="18">
        <f t="shared" si="10"/>
        <v>0</v>
      </c>
      <c r="AS27" s="19">
        <f t="shared" si="11"/>
        <v>14.1</v>
      </c>
      <c r="AT27" s="18">
        <f t="shared" si="12"/>
        <v>5.1100000000000003</v>
      </c>
    </row>
    <row r="28" spans="1:46">
      <c r="A28" s="6">
        <v>43825</v>
      </c>
      <c r="B28" s="5" t="s">
        <v>45</v>
      </c>
      <c r="C28" s="4">
        <v>28388115</v>
      </c>
      <c r="D28" s="4">
        <v>14141469</v>
      </c>
      <c r="E28" s="4">
        <v>9841129</v>
      </c>
      <c r="F28" s="4">
        <v>9619007</v>
      </c>
      <c r="G28" s="4">
        <v>272539941</v>
      </c>
      <c r="H28" s="4">
        <v>105818051</v>
      </c>
      <c r="I28" s="4">
        <v>272539941</v>
      </c>
      <c r="J28" s="4">
        <v>105818051</v>
      </c>
      <c r="K28" s="4"/>
      <c r="L28" s="5">
        <v>4299.8</v>
      </c>
      <c r="M28" s="5">
        <v>4259.53</v>
      </c>
      <c r="N28" s="5">
        <v>73752.649999999994</v>
      </c>
      <c r="O28" s="5"/>
      <c r="P28" s="5"/>
      <c r="Q28" s="9">
        <v>19.899999999999999</v>
      </c>
      <c r="R28" s="4" t="s">
        <v>610</v>
      </c>
      <c r="S28" s="4">
        <v>390</v>
      </c>
      <c r="T28" s="4">
        <v>410</v>
      </c>
      <c r="U28" s="4">
        <v>6314</v>
      </c>
      <c r="V28" s="4">
        <v>5960</v>
      </c>
      <c r="W28" s="5">
        <v>6.6</v>
      </c>
      <c r="X28" s="5">
        <v>3.77</v>
      </c>
      <c r="Y28" s="4">
        <v>1440</v>
      </c>
      <c r="Z28" s="4"/>
      <c r="AA28" s="11">
        <f t="shared" ref="AA28:AF28" si="37">IF(OR(C29=""),"",C29-C28)</f>
        <v>32901</v>
      </c>
      <c r="AB28" s="11">
        <f t="shared" si="37"/>
        <v>37353</v>
      </c>
      <c r="AC28" s="11">
        <f t="shared" si="37"/>
        <v>39716</v>
      </c>
      <c r="AD28" s="11">
        <f t="shared" si="37"/>
        <v>36430</v>
      </c>
      <c r="AE28" s="11">
        <f t="shared" si="37"/>
        <v>144920</v>
      </c>
      <c r="AF28" s="11">
        <f t="shared" si="37"/>
        <v>5645</v>
      </c>
      <c r="AG28" s="11">
        <f t="shared" si="1"/>
        <v>1480</v>
      </c>
      <c r="AH28" s="11">
        <f t="shared" si="2"/>
        <v>144920</v>
      </c>
      <c r="AI28" s="15">
        <f t="shared" si="3"/>
        <v>5645</v>
      </c>
      <c r="AJ28" s="15">
        <f t="shared" si="4"/>
        <v>139275</v>
      </c>
      <c r="AK28" s="15">
        <v>3500</v>
      </c>
      <c r="AL28" s="15">
        <f t="shared" si="5"/>
        <v>2100</v>
      </c>
      <c r="AM28" s="15">
        <f t="shared" si="6"/>
        <v>0</v>
      </c>
      <c r="AN28" s="15">
        <f t="shared" si="7"/>
        <v>2769</v>
      </c>
      <c r="AO28" s="15">
        <f t="shared" si="8"/>
        <v>984</v>
      </c>
      <c r="AP28" s="15">
        <v>3088</v>
      </c>
      <c r="AQ28" s="18">
        <f t="shared" si="9"/>
        <v>15.1</v>
      </c>
      <c r="AR28" s="18">
        <f t="shared" si="10"/>
        <v>0</v>
      </c>
      <c r="AS28" s="19">
        <f t="shared" si="11"/>
        <v>19.899999999999999</v>
      </c>
      <c r="AT28" s="18">
        <f t="shared" si="12"/>
        <v>7.07</v>
      </c>
    </row>
    <row r="29" spans="1:46">
      <c r="A29" s="6">
        <v>43826</v>
      </c>
      <c r="B29" s="5" t="s">
        <v>614</v>
      </c>
      <c r="C29" s="4">
        <v>28421016</v>
      </c>
      <c r="D29" s="4">
        <v>14178822</v>
      </c>
      <c r="E29" s="4">
        <v>9880845</v>
      </c>
      <c r="F29" s="4">
        <v>9655437</v>
      </c>
      <c r="G29" s="4">
        <v>272684861</v>
      </c>
      <c r="H29" s="4">
        <v>105823696</v>
      </c>
      <c r="I29" s="4">
        <v>272684861</v>
      </c>
      <c r="J29" s="4">
        <v>105823696</v>
      </c>
      <c r="K29" s="4"/>
      <c r="L29" s="5">
        <v>4299.8</v>
      </c>
      <c r="M29" s="5">
        <v>4261.28</v>
      </c>
      <c r="N29" s="5">
        <v>73752.649999999994</v>
      </c>
      <c r="O29" s="5"/>
      <c r="P29" s="5"/>
      <c r="Q29" s="9">
        <v>19.2</v>
      </c>
      <c r="R29" s="4" t="s">
        <v>615</v>
      </c>
      <c r="S29" s="4">
        <v>510</v>
      </c>
      <c r="T29" s="4">
        <v>530</v>
      </c>
      <c r="U29" s="4">
        <v>6696</v>
      </c>
      <c r="V29" s="4">
        <v>6068</v>
      </c>
      <c r="W29" s="5">
        <v>7.05</v>
      </c>
      <c r="X29" s="5">
        <v>5.24</v>
      </c>
      <c r="Y29" s="4">
        <v>1440</v>
      </c>
      <c r="Z29" s="4"/>
      <c r="AA29" s="11">
        <f t="shared" ref="AA29:AF29" si="38">IF(OR(C30=""),"",C30-C29)</f>
        <v>34903</v>
      </c>
      <c r="AB29" s="11">
        <f t="shared" si="38"/>
        <v>39471</v>
      </c>
      <c r="AC29" s="11">
        <f t="shared" si="38"/>
        <v>42400</v>
      </c>
      <c r="AD29" s="11">
        <f t="shared" si="38"/>
        <v>38829</v>
      </c>
      <c r="AE29" s="11">
        <f t="shared" si="38"/>
        <v>154083</v>
      </c>
      <c r="AF29" s="11">
        <f t="shared" si="38"/>
        <v>5586</v>
      </c>
      <c r="AG29" s="11">
        <f t="shared" si="1"/>
        <v>1520</v>
      </c>
      <c r="AH29" s="11">
        <f t="shared" si="2"/>
        <v>154083</v>
      </c>
      <c r="AI29" s="15">
        <f t="shared" si="3"/>
        <v>5586</v>
      </c>
      <c r="AJ29" s="15">
        <f t="shared" si="4"/>
        <v>148497</v>
      </c>
      <c r="AK29" s="15">
        <v>2860</v>
      </c>
      <c r="AL29" s="15">
        <f t="shared" si="5"/>
        <v>0</v>
      </c>
      <c r="AM29" s="15">
        <f t="shared" si="6"/>
        <v>0</v>
      </c>
      <c r="AN29" s="15">
        <f t="shared" si="7"/>
        <v>3621</v>
      </c>
      <c r="AO29" s="15">
        <f t="shared" si="8"/>
        <v>1272</v>
      </c>
      <c r="AP29" s="15">
        <v>3347</v>
      </c>
      <c r="AQ29" s="18">
        <f t="shared" si="9"/>
        <v>0</v>
      </c>
      <c r="AR29" s="18">
        <f t="shared" si="10"/>
        <v>0</v>
      </c>
      <c r="AS29" s="19">
        <f t="shared" si="11"/>
        <v>24.4</v>
      </c>
      <c r="AT29" s="18">
        <f t="shared" si="12"/>
        <v>8.57</v>
      </c>
    </row>
    <row r="30" spans="1:46">
      <c r="A30" s="6">
        <v>43827</v>
      </c>
      <c r="B30" s="5" t="s">
        <v>616</v>
      </c>
      <c r="C30" s="4">
        <v>28455919</v>
      </c>
      <c r="D30" s="4">
        <v>14218293</v>
      </c>
      <c r="E30" s="4">
        <v>9923245</v>
      </c>
      <c r="F30" s="4">
        <v>9694266</v>
      </c>
      <c r="G30" s="4">
        <v>272838944</v>
      </c>
      <c r="H30" s="4">
        <v>105829282</v>
      </c>
      <c r="I30" s="4">
        <v>272838944</v>
      </c>
      <c r="J30" s="4">
        <v>105829282</v>
      </c>
      <c r="K30" s="4"/>
      <c r="L30" s="5">
        <v>4299.8</v>
      </c>
      <c r="M30" s="5">
        <v>4261.28</v>
      </c>
      <c r="N30" s="5">
        <v>73752.649999999994</v>
      </c>
      <c r="O30" s="5"/>
      <c r="P30" s="5"/>
      <c r="Q30" s="9">
        <v>19.5</v>
      </c>
      <c r="R30" s="4" t="s">
        <v>52</v>
      </c>
      <c r="S30" s="4">
        <v>500</v>
      </c>
      <c r="T30" s="4">
        <v>520</v>
      </c>
      <c r="U30" s="4">
        <v>6499</v>
      </c>
      <c r="V30" s="4">
        <v>5699</v>
      </c>
      <c r="W30" s="5">
        <v>7.37</v>
      </c>
      <c r="X30" s="5">
        <v>5.36</v>
      </c>
      <c r="Y30" s="4">
        <v>1440</v>
      </c>
      <c r="Z30" s="4"/>
      <c r="AA30" s="11">
        <f t="shared" ref="AA30:AF30" si="39">IF(OR(C31=""),"",C31-C30)</f>
        <v>33347</v>
      </c>
      <c r="AB30" s="11">
        <f t="shared" si="39"/>
        <v>37857</v>
      </c>
      <c r="AC30" s="11">
        <f t="shared" si="39"/>
        <v>40415</v>
      </c>
      <c r="AD30" s="11">
        <f t="shared" si="39"/>
        <v>37072</v>
      </c>
      <c r="AE30" s="11">
        <f t="shared" si="39"/>
        <v>148275</v>
      </c>
      <c r="AF30" s="11">
        <f t="shared" si="39"/>
        <v>5574</v>
      </c>
      <c r="AG30" s="11">
        <f t="shared" si="1"/>
        <v>416</v>
      </c>
      <c r="AH30" s="11">
        <f t="shared" si="2"/>
        <v>148275</v>
      </c>
      <c r="AI30" s="15">
        <f t="shared" si="3"/>
        <v>5574</v>
      </c>
      <c r="AJ30" s="15">
        <f t="shared" si="4"/>
        <v>142701</v>
      </c>
      <c r="AK30" s="15">
        <v>3200</v>
      </c>
      <c r="AL30" s="15">
        <f t="shared" si="5"/>
        <v>0</v>
      </c>
      <c r="AM30" s="15">
        <f t="shared" si="6"/>
        <v>0</v>
      </c>
      <c r="AN30" s="15">
        <f t="shared" si="7"/>
        <v>3550</v>
      </c>
      <c r="AO30" s="15">
        <f t="shared" si="8"/>
        <v>1248</v>
      </c>
      <c r="AP30" s="15">
        <v>3268</v>
      </c>
      <c r="AQ30" s="18">
        <f t="shared" si="9"/>
        <v>0</v>
      </c>
      <c r="AR30" s="18">
        <f t="shared" si="10"/>
        <v>0</v>
      </c>
      <c r="AS30" s="19">
        <f t="shared" si="11"/>
        <v>24.9</v>
      </c>
      <c r="AT30" s="18">
        <f t="shared" si="12"/>
        <v>8.75</v>
      </c>
    </row>
    <row r="31" spans="1:46" ht="26.4">
      <c r="A31" s="6">
        <v>43828</v>
      </c>
      <c r="B31" s="5" t="s">
        <v>617</v>
      </c>
      <c r="C31" s="4">
        <v>28489266</v>
      </c>
      <c r="D31" s="4">
        <v>14256150</v>
      </c>
      <c r="E31" s="4">
        <v>9963660</v>
      </c>
      <c r="F31" s="4">
        <v>9731338</v>
      </c>
      <c r="G31" s="4">
        <v>272987219</v>
      </c>
      <c r="H31" s="4">
        <v>105834856</v>
      </c>
      <c r="I31" s="4">
        <v>272987219</v>
      </c>
      <c r="J31" s="4">
        <v>105834856</v>
      </c>
      <c r="K31" s="4"/>
      <c r="L31" s="5">
        <v>4299.8</v>
      </c>
      <c r="M31" s="5">
        <v>4261.28</v>
      </c>
      <c r="N31" s="5">
        <v>73752.649999999994</v>
      </c>
      <c r="O31" s="5"/>
      <c r="P31" s="5"/>
      <c r="Q31" s="9">
        <v>19.3</v>
      </c>
      <c r="R31" s="4" t="s">
        <v>618</v>
      </c>
      <c r="S31" s="4">
        <v>450</v>
      </c>
      <c r="T31" s="4">
        <v>460</v>
      </c>
      <c r="U31" s="4">
        <v>9077</v>
      </c>
      <c r="V31" s="4">
        <v>4333</v>
      </c>
      <c r="W31" s="5">
        <v>6.57</v>
      </c>
      <c r="X31" s="5">
        <v>2.58</v>
      </c>
      <c r="Y31" s="4">
        <v>1200</v>
      </c>
      <c r="Z31" s="4" t="s">
        <v>621</v>
      </c>
      <c r="AA31" s="11">
        <f t="shared" ref="AA31:AF31" si="40">IF(OR(C32=""),"",C32-C31)</f>
        <v>44679</v>
      </c>
      <c r="AB31" s="11">
        <f t="shared" si="40"/>
        <v>49045</v>
      </c>
      <c r="AC31" s="11">
        <f t="shared" si="40"/>
        <v>52776</v>
      </c>
      <c r="AD31" s="11">
        <f t="shared" si="40"/>
        <v>46441</v>
      </c>
      <c r="AE31" s="11">
        <f t="shared" si="40"/>
        <v>167621</v>
      </c>
      <c r="AF31" s="11">
        <f t="shared" si="40"/>
        <v>5525</v>
      </c>
      <c r="AG31" s="11">
        <f t="shared" si="1"/>
        <v>25320</v>
      </c>
      <c r="AH31" s="11">
        <f t="shared" si="2"/>
        <v>167621</v>
      </c>
      <c r="AI31" s="15">
        <f t="shared" si="3"/>
        <v>5525</v>
      </c>
      <c r="AJ31" s="15">
        <f t="shared" si="4"/>
        <v>162096</v>
      </c>
      <c r="AK31" s="15">
        <v>3300</v>
      </c>
      <c r="AL31" s="15">
        <f t="shared" si="5"/>
        <v>0</v>
      </c>
      <c r="AM31" s="15">
        <f t="shared" si="6"/>
        <v>0</v>
      </c>
      <c r="AN31" s="15">
        <f t="shared" si="7"/>
        <v>3195</v>
      </c>
      <c r="AO31" s="15">
        <f t="shared" si="8"/>
        <v>1104</v>
      </c>
      <c r="AP31" s="15">
        <v>3199</v>
      </c>
      <c r="AQ31" s="18">
        <f t="shared" si="9"/>
        <v>0</v>
      </c>
      <c r="AR31" s="18">
        <f t="shared" si="10"/>
        <v>0</v>
      </c>
      <c r="AS31" s="19">
        <f t="shared" si="11"/>
        <v>19.7</v>
      </c>
      <c r="AT31" s="18">
        <f t="shared" si="12"/>
        <v>6.81</v>
      </c>
    </row>
    <row r="32" spans="1:46">
      <c r="A32" s="6">
        <v>43829</v>
      </c>
      <c r="B32" s="5" t="s">
        <v>619</v>
      </c>
      <c r="C32" s="4">
        <v>28533945</v>
      </c>
      <c r="D32" s="4">
        <v>14305195</v>
      </c>
      <c r="E32" s="4">
        <v>10016436</v>
      </c>
      <c r="F32" s="4">
        <v>9777779</v>
      </c>
      <c r="G32" s="4">
        <v>273154840</v>
      </c>
      <c r="H32" s="4">
        <v>105840381</v>
      </c>
      <c r="I32" s="4">
        <v>273154840</v>
      </c>
      <c r="J32" s="4">
        <v>105840381</v>
      </c>
      <c r="K32" s="4"/>
      <c r="L32" s="5">
        <v>4299.8</v>
      </c>
      <c r="M32" s="5">
        <v>4261.28</v>
      </c>
      <c r="N32" s="5">
        <v>73752.649999999994</v>
      </c>
      <c r="O32" s="5"/>
      <c r="P32" s="5"/>
      <c r="Q32" s="9">
        <v>19.5</v>
      </c>
      <c r="R32" s="4" t="s">
        <v>620</v>
      </c>
      <c r="S32" s="4">
        <v>480</v>
      </c>
      <c r="T32" s="4">
        <v>490</v>
      </c>
      <c r="U32" s="4">
        <v>8120</v>
      </c>
      <c r="V32" s="4">
        <v>3212</v>
      </c>
      <c r="W32" s="5">
        <v>4.62</v>
      </c>
      <c r="X32" s="5">
        <v>2.46</v>
      </c>
      <c r="Y32" s="4">
        <v>960</v>
      </c>
      <c r="Z32" s="4"/>
      <c r="AA32" s="11">
        <f t="shared" ref="AA32:AF32" si="41">IF(OR(C33=""),"",C33-C32)</f>
        <v>36293</v>
      </c>
      <c r="AB32" s="11">
        <f t="shared" si="41"/>
        <v>41906</v>
      </c>
      <c r="AC32" s="11">
        <f t="shared" si="41"/>
        <v>45509</v>
      </c>
      <c r="AD32" s="11">
        <f t="shared" si="41"/>
        <v>40739</v>
      </c>
      <c r="AE32" s="11">
        <f t="shared" si="41"/>
        <v>153109</v>
      </c>
      <c r="AF32" s="11">
        <f t="shared" si="41"/>
        <v>5655</v>
      </c>
      <c r="AG32" s="11">
        <f t="shared" si="1"/>
        <v>11338</v>
      </c>
      <c r="AH32" s="11">
        <f t="shared" si="2"/>
        <v>153109</v>
      </c>
      <c r="AI32" s="15">
        <f t="shared" si="3"/>
        <v>5655</v>
      </c>
      <c r="AJ32" s="15">
        <f t="shared" si="4"/>
        <v>147454</v>
      </c>
      <c r="AK32" s="15">
        <v>3200</v>
      </c>
      <c r="AL32" s="15">
        <f t="shared" si="5"/>
        <v>0</v>
      </c>
      <c r="AM32" s="15">
        <f t="shared" si="6"/>
        <v>0</v>
      </c>
      <c r="AN32" s="15">
        <f t="shared" si="7"/>
        <v>3408</v>
      </c>
      <c r="AO32" s="15">
        <f t="shared" si="8"/>
        <v>1176</v>
      </c>
      <c r="AP32" s="15">
        <v>3283</v>
      </c>
      <c r="AQ32" s="18">
        <f t="shared" si="9"/>
        <v>0</v>
      </c>
      <c r="AR32" s="18">
        <f t="shared" si="10"/>
        <v>0</v>
      </c>
      <c r="AS32" s="19">
        <f t="shared" si="11"/>
        <v>23.1</v>
      </c>
      <c r="AT32" s="18">
        <f t="shared" si="12"/>
        <v>7.98</v>
      </c>
    </row>
    <row r="33" spans="1:46">
      <c r="A33" s="6">
        <v>43830</v>
      </c>
      <c r="B33" s="5" t="s">
        <v>622</v>
      </c>
      <c r="C33" s="4">
        <v>28570238</v>
      </c>
      <c r="D33" s="4">
        <v>14347101</v>
      </c>
      <c r="E33" s="4">
        <v>10061945</v>
      </c>
      <c r="F33" s="4">
        <v>9818518</v>
      </c>
      <c r="G33" s="4">
        <v>273307949</v>
      </c>
      <c r="H33" s="4">
        <v>105846036</v>
      </c>
      <c r="I33" s="4">
        <v>273307949</v>
      </c>
      <c r="J33" s="4">
        <v>105846036</v>
      </c>
      <c r="K33" s="4"/>
      <c r="L33" s="5">
        <v>4299.8</v>
      </c>
      <c r="M33" s="5">
        <v>4261.28</v>
      </c>
      <c r="N33" s="5">
        <v>73752.649999999994</v>
      </c>
      <c r="O33" s="5"/>
      <c r="P33" s="5"/>
      <c r="Q33" s="9">
        <v>18.8</v>
      </c>
      <c r="R33" s="4" t="s">
        <v>623</v>
      </c>
      <c r="S33" s="4">
        <v>380</v>
      </c>
      <c r="T33" s="4">
        <v>400</v>
      </c>
      <c r="U33" s="4">
        <v>7852</v>
      </c>
      <c r="V33" s="4">
        <v>7215</v>
      </c>
      <c r="W33" s="5">
        <v>5.3579999999999997</v>
      </c>
      <c r="X33" s="5">
        <v>4.0199999999999996</v>
      </c>
      <c r="Y33" s="4">
        <v>1440</v>
      </c>
      <c r="Z33" s="4"/>
      <c r="AA33" s="11">
        <f t="shared" ref="AA33:AF33" si="42">IF(OR(C34=""),"",C34-C33)</f>
        <v>35070</v>
      </c>
      <c r="AB33" s="11">
        <f t="shared" si="42"/>
        <v>41374</v>
      </c>
      <c r="AC33" s="11">
        <f t="shared" si="42"/>
        <v>43866</v>
      </c>
      <c r="AD33" s="11">
        <f t="shared" si="42"/>
        <v>39440</v>
      </c>
      <c r="AE33" s="11">
        <f t="shared" si="42"/>
        <v>151950</v>
      </c>
      <c r="AF33" s="11">
        <f t="shared" si="42"/>
        <v>5497</v>
      </c>
      <c r="AG33" s="11">
        <f t="shared" si="1"/>
        <v>7800</v>
      </c>
      <c r="AH33" s="11">
        <f t="shared" si="2"/>
        <v>151950</v>
      </c>
      <c r="AI33" s="15">
        <f t="shared" si="3"/>
        <v>5497</v>
      </c>
      <c r="AJ33" s="15">
        <f t="shared" si="4"/>
        <v>146453</v>
      </c>
      <c r="AK33" s="15">
        <v>3000</v>
      </c>
      <c r="AL33" s="15">
        <f t="shared" si="5"/>
        <v>0</v>
      </c>
      <c r="AM33" s="15">
        <f t="shared" si="6"/>
        <v>0</v>
      </c>
      <c r="AN33" s="15">
        <f t="shared" si="7"/>
        <v>2698</v>
      </c>
      <c r="AO33" s="15">
        <f t="shared" si="8"/>
        <v>960</v>
      </c>
      <c r="AP33" s="15">
        <v>3306</v>
      </c>
      <c r="AQ33" s="18">
        <f t="shared" si="9"/>
        <v>0</v>
      </c>
      <c r="AR33" s="18">
        <f t="shared" si="10"/>
        <v>0</v>
      </c>
      <c r="AS33" s="19">
        <f t="shared" si="11"/>
        <v>18.399999999999999</v>
      </c>
      <c r="AT33" s="18">
        <f t="shared" si="12"/>
        <v>6.56</v>
      </c>
    </row>
    <row r="34" spans="1:46">
      <c r="A34" s="6">
        <v>43831</v>
      </c>
      <c r="B34" s="5"/>
      <c r="C34" s="4">
        <v>28605308</v>
      </c>
      <c r="D34" s="4">
        <v>14388475</v>
      </c>
      <c r="E34" s="4">
        <v>10105811</v>
      </c>
      <c r="F34" s="4">
        <v>9857958</v>
      </c>
      <c r="G34" s="4">
        <v>273459899</v>
      </c>
      <c r="H34" s="4">
        <v>105851533</v>
      </c>
      <c r="I34" s="4">
        <v>273459899</v>
      </c>
      <c r="J34" s="4">
        <v>105851533</v>
      </c>
      <c r="K34" s="4"/>
      <c r="L34" s="5">
        <v>4299.8</v>
      </c>
      <c r="M34" s="5">
        <v>4261.28</v>
      </c>
      <c r="N34" s="5">
        <v>73752.649999999994</v>
      </c>
      <c r="O34" s="5"/>
      <c r="P34" s="5"/>
      <c r="Q34" s="9">
        <v>18.5</v>
      </c>
      <c r="R34" s="4" t="s">
        <v>624</v>
      </c>
      <c r="Z34" s="12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6"/>
      <c r="AL34" s="13"/>
      <c r="AM34" s="13"/>
      <c r="AN34" s="13"/>
      <c r="AO34" s="13"/>
      <c r="AP34" s="13"/>
      <c r="AQ34" s="20"/>
      <c r="AR34" s="21"/>
      <c r="AS34" s="20"/>
      <c r="AT34" s="21"/>
    </row>
    <row r="35" spans="1:46">
      <c r="P35" s="2"/>
      <c r="Q35" s="1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6"/>
      <c r="AL35" s="13"/>
      <c r="AM35" s="13"/>
      <c r="AN35" s="13"/>
      <c r="AO35" s="13"/>
      <c r="AP35" s="13"/>
      <c r="AQ35" s="20"/>
      <c r="AR35" s="21"/>
      <c r="AS35" s="20"/>
      <c r="AT35" s="21"/>
    </row>
    <row r="36" spans="1:46">
      <c r="P36" s="2"/>
      <c r="Q36" s="10"/>
      <c r="AA36" s="13" t="str">
        <f t="shared" ref="AA36:AF36" si="43">IF(OR(C37=""),"",C37-C36)</f>
        <v/>
      </c>
      <c r="AB36" s="13" t="str">
        <f t="shared" si="43"/>
        <v/>
      </c>
      <c r="AC36" s="13" t="str">
        <f t="shared" si="43"/>
        <v/>
      </c>
      <c r="AD36" s="13" t="str">
        <f t="shared" si="43"/>
        <v/>
      </c>
      <c r="AE36" s="13" t="str">
        <f t="shared" si="43"/>
        <v/>
      </c>
      <c r="AF36" s="13" t="str">
        <f t="shared" si="43"/>
        <v/>
      </c>
      <c r="AG36" s="13" t="str">
        <f>IF(OR(AA36="",AB36="",AC36=""),"",AA36+AB36+AC36+AD36-AE36)</f>
        <v/>
      </c>
      <c r="AH36" s="17">
        <f t="shared" ref="AH36:AO36" si="44">SUM(AH3:AH34)</f>
        <v>4967529</v>
      </c>
      <c r="AI36" s="17">
        <f t="shared" si="44"/>
        <v>172677</v>
      </c>
      <c r="AJ36" s="17">
        <f t="shared" si="44"/>
        <v>4794852</v>
      </c>
      <c r="AK36" s="17">
        <f t="shared" si="44"/>
        <v>119790</v>
      </c>
      <c r="AL36" s="17">
        <f t="shared" si="44"/>
        <v>148788</v>
      </c>
      <c r="AM36" s="17">
        <f t="shared" si="44"/>
        <v>696</v>
      </c>
      <c r="AN36" s="17">
        <f t="shared" si="44"/>
        <v>101743</v>
      </c>
      <c r="AO36" s="17">
        <f t="shared" si="44"/>
        <v>35376</v>
      </c>
      <c r="AP36" s="17"/>
      <c r="AQ36" s="22">
        <f>IF(OR($AJ36=0),"",ROUND(AL36/$AJ36*1000,1))</f>
        <v>31</v>
      </c>
      <c r="AR36" s="22">
        <f>IF(OR($AJ36=0),"",ROUND(AM36/$AJ36*1000,2))</f>
        <v>0.15</v>
      </c>
      <c r="AS36" s="23">
        <f>IF(OR($AJ36=0),"",ROUND(AN36/$AJ36*1000,1))</f>
        <v>21.2</v>
      </c>
      <c r="AT36" s="22">
        <f>IF(OR($AJ36=0),"",ROUND(AO36/$AJ36*1000,2))</f>
        <v>7.38</v>
      </c>
    </row>
    <row r="37" spans="1:46">
      <c r="C37" s="8"/>
    </row>
    <row r="38" spans="1:46">
      <c r="C38" s="8"/>
    </row>
    <row r="39" spans="1:46">
      <c r="C39" s="8"/>
    </row>
    <row r="40" spans="1:46">
      <c r="C40" s="8"/>
    </row>
    <row r="41" spans="1:46">
      <c r="C41" s="8"/>
    </row>
    <row r="42" spans="1:46">
      <c r="C42" s="8"/>
    </row>
    <row r="43" spans="1:46">
      <c r="C43" s="8"/>
    </row>
  </sheetData>
  <phoneticPr fontId="4" type="noConversion"/>
  <pageMargins left="0.75" right="0.75" top="1" bottom="1" header="0.51180555555555596" footer="0.5118055555555559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图表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2019-01-01T05:54:00Z</dcterms:created>
  <dcterms:modified xsi:type="dcterms:W3CDTF">2022-11-25T01:39:59Z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