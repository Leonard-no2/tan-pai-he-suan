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1"/>
  </bookViews>
  <sheets>
    <sheet name="1" sheetId="1" r:id="rId1"/>
    <sheet name="2" sheetId="26" r:id="rId2"/>
    <sheet name="3" sheetId="27" r:id="rId3"/>
    <sheet name="4" sheetId="28" r:id="rId4"/>
    <sheet name="5" sheetId="29" r:id="rId5"/>
    <sheet name="6" sheetId="30" r:id="rId6"/>
    <sheet name="7" sheetId="31" r:id="rId7"/>
    <sheet name="8" sheetId="32" r:id="rId8"/>
    <sheet name="9" sheetId="33" r:id="rId9"/>
    <sheet name="10" sheetId="34" r:id="rId10"/>
    <sheet name="11" sheetId="35" r:id="rId11"/>
    <sheet name="12" sheetId="36" r:id="rId12"/>
  </sheets>
  <calcPr calcId="144525" concurrentCalc="0"/>
</workbook>
</file>

<file path=xl/sharedStrings.xml><?xml version="1.0" encoding="utf-8"?>
<sst xmlns="http://schemas.openxmlformats.org/spreadsheetml/2006/main" count="937" uniqueCount="46">
  <si>
    <t>高配电
表计数</t>
  </si>
  <si>
    <t>一次提升</t>
  </si>
  <si>
    <t>二次提升</t>
  </si>
  <si>
    <t>三次提升</t>
  </si>
  <si>
    <t>高压鼓风机</t>
  </si>
  <si>
    <t>提标
电表</t>
  </si>
  <si>
    <t>脱水
电表</t>
  </si>
  <si>
    <t>旧除臭
电表</t>
  </si>
  <si>
    <t>新除臭电表</t>
  </si>
  <si>
    <t>除臭
总电表</t>
  </si>
  <si>
    <t>旧除臭
水表</t>
  </si>
  <si>
    <t>新除臭
水表</t>
  </si>
  <si>
    <t>除臭
总水表</t>
  </si>
  <si>
    <t>实际处
理水量</t>
  </si>
  <si>
    <t>一次提升用电</t>
  </si>
  <si>
    <t>提标电量</t>
  </si>
  <si>
    <t>脱水电量</t>
  </si>
  <si>
    <t>除臭电量</t>
  </si>
  <si>
    <t>其他用电量</t>
  </si>
  <si>
    <t>总电量</t>
  </si>
  <si>
    <t>除臭水量</t>
  </si>
  <si>
    <t>总单耗</t>
  </si>
  <si>
    <t>一次提
升单耗</t>
  </si>
  <si>
    <t>二次提
升单耗</t>
  </si>
  <si>
    <t>三次提
升单耗</t>
  </si>
  <si>
    <t>风机
单耗</t>
  </si>
  <si>
    <t>提标
总单耗</t>
  </si>
  <si>
    <t>脱水
单耗</t>
  </si>
  <si>
    <t>除臭
单耗</t>
  </si>
  <si>
    <t>其他
单耗</t>
  </si>
  <si>
    <t>1#泵</t>
  </si>
  <si>
    <t>2#泵</t>
  </si>
  <si>
    <t>3#泵</t>
  </si>
  <si>
    <t>4#泵</t>
  </si>
  <si>
    <t>5#泵</t>
  </si>
  <si>
    <t>1#风机</t>
  </si>
  <si>
    <t>2#风机</t>
  </si>
  <si>
    <t>3#风机</t>
  </si>
  <si>
    <t>4#风机</t>
  </si>
  <si>
    <t>5#风机</t>
  </si>
  <si>
    <t>1#</t>
  </si>
  <si>
    <t>2#</t>
  </si>
  <si>
    <t>提升电量</t>
  </si>
  <si>
    <t>风机电量</t>
  </si>
  <si>
    <t>总水量</t>
  </si>
  <si>
    <t xml:space="preserve">      </t>
  </si>
</sst>
</file>

<file path=xl/styles.xml><?xml version="1.0" encoding="utf-8"?>
<styleSheet xmlns="http://schemas.openxmlformats.org/spreadsheetml/2006/main">
  <numFmts count="10"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0_);[Red]\(0.00\)"/>
    <numFmt numFmtId="42" formatCode="_ &quot;￥&quot;* #,##0_ ;_ &quot;￥&quot;* \-#,##0_ ;_ &quot;￥&quot;* &quot;-&quot;_ ;_ @_ "/>
    <numFmt numFmtId="178" formatCode="m&quot;月&quot;d&quot;日&quot;;@"/>
    <numFmt numFmtId="41" formatCode="_ * #,##0_ ;_ * \-#,##0_ ;_ * &quot;-&quot;_ ;_ @_ "/>
    <numFmt numFmtId="179" formatCode="0_);[Red]\(0\)"/>
    <numFmt numFmtId="180" formatCode="0.0000_);[Red]\(0.0000\)"/>
    <numFmt numFmtId="181" formatCode="0.000_);[Red]\(0.000\)"/>
  </numFmts>
  <fonts count="21">
    <font>
      <sz val="11"/>
      <color theme="1"/>
      <name val="宋体"/>
      <charset val="134"/>
      <scheme val="minor"/>
    </font>
    <font>
      <sz val="9"/>
      <color indexed="8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1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0" fillId="20" borderId="12" applyNumberFormat="0" applyAlignment="0" applyProtection="0">
      <alignment vertical="center"/>
    </xf>
    <xf numFmtId="0" fontId="12" fillId="20" borderId="7" applyNumberFormat="0" applyAlignment="0" applyProtection="0">
      <alignment vertical="center"/>
    </xf>
    <xf numFmtId="0" fontId="16" fillId="29" borderId="10" applyNumberFormat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9" fontId="1" fillId="0" borderId="3" xfId="0" applyNumberFormat="1" applyFont="1" applyFill="1" applyBorder="1" applyAlignment="1">
      <alignment horizontal="center" vertical="center" wrapText="1"/>
    </xf>
    <xf numFmtId="177" fontId="1" fillId="0" borderId="3" xfId="0" applyNumberFormat="1" applyFont="1" applyFill="1" applyBorder="1" applyAlignment="1">
      <alignment horizontal="center" vertical="center" wrapText="1"/>
    </xf>
    <xf numFmtId="176" fontId="1" fillId="0" borderId="3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177" fontId="1" fillId="0" borderId="3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 wrapText="1"/>
    </xf>
    <xf numFmtId="176" fontId="1" fillId="0" borderId="4" xfId="0" applyNumberFormat="1" applyFont="1" applyFill="1" applyBorder="1" applyAlignment="1">
      <alignment horizontal="center" vertical="center" wrapText="1"/>
    </xf>
    <xf numFmtId="177" fontId="1" fillId="3" borderId="3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179" fontId="1" fillId="0" borderId="4" xfId="0" applyNumberFormat="1" applyFont="1" applyFill="1" applyBorder="1" applyAlignment="1">
      <alignment horizontal="center" vertical="center" wrapText="1"/>
    </xf>
    <xf numFmtId="179" fontId="1" fillId="3" borderId="3" xfId="0" applyNumberFormat="1" applyFont="1" applyFill="1" applyBorder="1" applyAlignment="1">
      <alignment horizontal="center" vertical="center" wrapText="1"/>
    </xf>
    <xf numFmtId="180" fontId="1" fillId="0" borderId="0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80" fontId="1" fillId="3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9" fontId="1" fillId="0" borderId="3" xfId="0" applyNumberFormat="1" applyFont="1" applyFill="1" applyBorder="1" applyAlignment="1">
      <alignment horizontal="center" vertical="center"/>
    </xf>
    <xf numFmtId="181" fontId="1" fillId="0" borderId="3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0961371262372"/>
          <c:y val="0.0920863329570157"/>
          <c:w val="0.871518426653678"/>
          <c:h val="0.749640304228206"/>
        </c:manualLayout>
      </c:layout>
      <c:lineChart>
        <c:grouping val="standard"/>
        <c:varyColors val="0"/>
        <c:ser>
          <c:idx val="1"/>
          <c:order val="1"/>
          <c:tx>
            <c:strRef>
              <c:f>'1'!$BJ$2</c:f>
              <c:strCache>
                <c:ptCount val="1"/>
                <c:pt idx="0">
                  <c:v>三次提
升单耗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'1'!$BJ$4:$BJ$32</c:f>
              <c:numCache>
                <c:formatCode>0.0000_);[Red]\(0.0000\)</c:formatCode>
                <c:ptCount val="29"/>
                <c:pt idx="0">
                  <c:v>0.0341683054798369</c:v>
                </c:pt>
                <c:pt idx="1">
                  <c:v>0.0369058059989516</c:v>
                </c:pt>
                <c:pt idx="2">
                  <c:v>0.0371980852851932</c:v>
                </c:pt>
                <c:pt idx="3">
                  <c:v>0.0417615299551142</c:v>
                </c:pt>
                <c:pt idx="4">
                  <c:v>0.0358070580806331</c:v>
                </c:pt>
                <c:pt idx="5">
                  <c:v>0.0376691848195955</c:v>
                </c:pt>
                <c:pt idx="6">
                  <c:v>0.0357305815871689</c:v>
                </c:pt>
                <c:pt idx="7">
                  <c:v>0.0356254816710532</c:v>
                </c:pt>
                <c:pt idx="8">
                  <c:v>0.0361819076598931</c:v>
                </c:pt>
                <c:pt idx="9">
                  <c:v>0.0385178867436516</c:v>
                </c:pt>
                <c:pt idx="10">
                  <c:v>0.0364152045950082</c:v>
                </c:pt>
                <c:pt idx="11">
                  <c:v>0.0378224469848244</c:v>
                </c:pt>
                <c:pt idx="12">
                  <c:v>0.0404550495574408</c:v>
                </c:pt>
                <c:pt idx="13">
                  <c:v>0.0335350043215363</c:v>
                </c:pt>
                <c:pt idx="14">
                  <c:v>0.0375212643362664</c:v>
                </c:pt>
                <c:pt idx="15">
                  <c:v>0.0388876228562091</c:v>
                </c:pt>
                <c:pt idx="16">
                  <c:v>0.0386363476709461</c:v>
                </c:pt>
                <c:pt idx="17">
                  <c:v>0.0386560748515228</c:v>
                </c:pt>
                <c:pt idx="18">
                  <c:v>0.0377571800242041</c:v>
                </c:pt>
                <c:pt idx="19">
                  <c:v>0.0386668976705406</c:v>
                </c:pt>
                <c:pt idx="20">
                  <c:v>0.0386031637500602</c:v>
                </c:pt>
                <c:pt idx="21">
                  <c:v>0.037618752717641</c:v>
                </c:pt>
                <c:pt idx="22">
                  <c:v>0.0361857614332828</c:v>
                </c:pt>
                <c:pt idx="23">
                  <c:v>0.0367811166461353</c:v>
                </c:pt>
                <c:pt idx="24">
                  <c:v>0.0383709937531317</c:v>
                </c:pt>
                <c:pt idx="25">
                  <c:v>0.0391751747454245</c:v>
                </c:pt>
                <c:pt idx="26">
                  <c:v>0.0373378918550736</c:v>
                </c:pt>
                <c:pt idx="27">
                  <c:v>0.0368479267414268</c:v>
                </c:pt>
                <c:pt idx="28">
                  <c:v>0.0391995721311394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'1'!$BK$2</c:f>
              <c:strCache>
                <c:ptCount val="1"/>
                <c:pt idx="0">
                  <c:v>风机
单耗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'1'!$BK$4:$BK$32</c:f>
              <c:numCache>
                <c:formatCode>0.0000_);[Red]\(0.0000\)</c:formatCode>
                <c:ptCount val="29"/>
                <c:pt idx="0">
                  <c:v>0.037205488189153</c:v>
                </c:pt>
                <c:pt idx="1">
                  <c:v>0.0771794422031159</c:v>
                </c:pt>
                <c:pt idx="2">
                  <c:v>0.0708882961230732</c:v>
                </c:pt>
                <c:pt idx="3">
                  <c:v>0.0754569700123617</c:v>
                </c:pt>
                <c:pt idx="4">
                  <c:v>0.0760630893095442</c:v>
                </c:pt>
                <c:pt idx="5">
                  <c:v>0.0728637516583402</c:v>
                </c:pt>
                <c:pt idx="6">
                  <c:v>0.0765153908251703</c:v>
                </c:pt>
                <c:pt idx="7">
                  <c:v>0.0668886594640169</c:v>
                </c:pt>
                <c:pt idx="8">
                  <c:v>0.0568374794657327</c:v>
                </c:pt>
                <c:pt idx="9">
                  <c:v>0.0543377330847988</c:v>
                </c:pt>
                <c:pt idx="10">
                  <c:v>0.0570101050411185</c:v>
                </c:pt>
                <c:pt idx="11">
                  <c:v>0.0602042695451455</c:v>
                </c:pt>
                <c:pt idx="12">
                  <c:v>0.0878851076592531</c:v>
                </c:pt>
                <c:pt idx="13">
                  <c:v>0.0885047536732943</c:v>
                </c:pt>
                <c:pt idx="14">
                  <c:v>0.118668715359712</c:v>
                </c:pt>
                <c:pt idx="15">
                  <c:v>0.118353634779799</c:v>
                </c:pt>
                <c:pt idx="16">
                  <c:v>0.120826396352721</c:v>
                </c:pt>
                <c:pt idx="17">
                  <c:v>0.131385087412854</c:v>
                </c:pt>
                <c:pt idx="18">
                  <c:v>0.115228246139126</c:v>
                </c:pt>
                <c:pt idx="19">
                  <c:v>0.0803263454662995</c:v>
                </c:pt>
                <c:pt idx="20">
                  <c:v>0.107547559525077</c:v>
                </c:pt>
                <c:pt idx="21">
                  <c:v>0.0830116084487274</c:v>
                </c:pt>
                <c:pt idx="22">
                  <c:v>0.0736680810938237</c:v>
                </c:pt>
                <c:pt idx="23">
                  <c:v>0.0767761172710587</c:v>
                </c:pt>
                <c:pt idx="24">
                  <c:v>0.0902119981957679</c:v>
                </c:pt>
                <c:pt idx="25">
                  <c:v>0.0932422823563989</c:v>
                </c:pt>
                <c:pt idx="26">
                  <c:v>0.0861149313008589</c:v>
                </c:pt>
                <c:pt idx="27">
                  <c:v>0.0868144870871489</c:v>
                </c:pt>
                <c:pt idx="28">
                  <c:v>0.0769642181609418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'1'!$BL$2</c:f>
              <c:strCache>
                <c:ptCount val="1"/>
                <c:pt idx="0">
                  <c:v>提标
总单耗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'1'!$BL$4:$BL$32</c:f>
              <c:numCache>
                <c:formatCode>0.0000_);[Red]\(0.0000\)</c:formatCode>
                <c:ptCount val="29"/>
                <c:pt idx="0">
                  <c:v>0.0440391492851452</c:v>
                </c:pt>
                <c:pt idx="1">
                  <c:v>0.0435011401508303</c:v>
                </c:pt>
                <c:pt idx="2">
                  <c:v>0.0482332736507366</c:v>
                </c:pt>
                <c:pt idx="3">
                  <c:v>0.0546412541468904</c:v>
                </c:pt>
                <c:pt idx="4">
                  <c:v>0.0516654946253325</c:v>
                </c:pt>
                <c:pt idx="5">
                  <c:v>0.0508671473841326</c:v>
                </c:pt>
                <c:pt idx="6">
                  <c:v>0.0407146116317638</c:v>
                </c:pt>
                <c:pt idx="7">
                  <c:v>0.0363525323174012</c:v>
                </c:pt>
                <c:pt idx="8">
                  <c:v>0.0374295596481722</c:v>
                </c:pt>
                <c:pt idx="9">
                  <c:v>0.0467717196172673</c:v>
                </c:pt>
                <c:pt idx="10">
                  <c:v>0.0484585892849715</c:v>
                </c:pt>
                <c:pt idx="11">
                  <c:v>0.0495799866842321</c:v>
                </c:pt>
                <c:pt idx="12">
                  <c:v>0.0488250598106983</c:v>
                </c:pt>
                <c:pt idx="13">
                  <c:v>0.0484010371650821</c:v>
                </c:pt>
                <c:pt idx="14">
                  <c:v>0.0521319211984754</c:v>
                </c:pt>
                <c:pt idx="15">
                  <c:v>0.0455771761263597</c:v>
                </c:pt>
                <c:pt idx="16">
                  <c:v>0.0449586591080023</c:v>
                </c:pt>
                <c:pt idx="17">
                  <c:v>0.0470859850844082</c:v>
                </c:pt>
                <c:pt idx="18">
                  <c:v>0.0478305927369864</c:v>
                </c:pt>
                <c:pt idx="19">
                  <c:v>0.0456757650690305</c:v>
                </c:pt>
                <c:pt idx="20">
                  <c:v>0.0427341296126151</c:v>
                </c:pt>
                <c:pt idx="21">
                  <c:v>0.0434822710922339</c:v>
                </c:pt>
                <c:pt idx="22">
                  <c:v>0.0495049504950152</c:v>
                </c:pt>
                <c:pt idx="23">
                  <c:v>0.0476130959820499</c:v>
                </c:pt>
                <c:pt idx="24">
                  <c:v>0.0531385742797302</c:v>
                </c:pt>
                <c:pt idx="25">
                  <c:v>0.0536646229389431</c:v>
                </c:pt>
                <c:pt idx="26">
                  <c:v>0.0514118992840893</c:v>
                </c:pt>
                <c:pt idx="27">
                  <c:v>0.0501594814281024</c:v>
                </c:pt>
                <c:pt idx="28">
                  <c:v>0.043047783039164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'1'!$BO$2</c:f>
              <c:strCache>
                <c:ptCount val="1"/>
                <c:pt idx="0">
                  <c:v>其他
单耗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'1'!$BO$4:$BO$33</c:f>
              <c:numCache>
                <c:formatCode>0.0000_);[Red]\(0.0000\)</c:formatCode>
                <c:ptCount val="30"/>
                <c:pt idx="0">
                  <c:v>0.108226968663854</c:v>
                </c:pt>
                <c:pt idx="1">
                  <c:v>0.0694334327311893</c:v>
                </c:pt>
                <c:pt idx="2">
                  <c:v>0.0848817919391987</c:v>
                </c:pt>
                <c:pt idx="3">
                  <c:v>0.0597775320366585</c:v>
                </c:pt>
                <c:pt idx="4">
                  <c:v>0.0771911192756282</c:v>
                </c:pt>
                <c:pt idx="5">
                  <c:v>0.0775875224261818</c:v>
                </c:pt>
                <c:pt idx="6">
                  <c:v>0.0951739145694677</c:v>
                </c:pt>
                <c:pt idx="7">
                  <c:v>0.116264122958757</c:v>
                </c:pt>
                <c:pt idx="8">
                  <c:v>0.122824406845493</c:v>
                </c:pt>
                <c:pt idx="9">
                  <c:v>0.114860338269561</c:v>
                </c:pt>
                <c:pt idx="10">
                  <c:v>0.137699357211062</c:v>
                </c:pt>
                <c:pt idx="11">
                  <c:v>0.120283880838074</c:v>
                </c:pt>
                <c:pt idx="12">
                  <c:v>0.0777518152459986</c:v>
                </c:pt>
                <c:pt idx="13">
                  <c:v>0.0821849611062547</c:v>
                </c:pt>
                <c:pt idx="14">
                  <c:v>0.0556796356253931</c:v>
                </c:pt>
                <c:pt idx="15">
                  <c:v>0.071467952629103</c:v>
                </c:pt>
                <c:pt idx="16">
                  <c:v>0.0630488995665904</c:v>
                </c:pt>
                <c:pt idx="17">
                  <c:v>0.0691860200191307</c:v>
                </c:pt>
                <c:pt idx="18">
                  <c:v>0.0774652684672715</c:v>
                </c:pt>
                <c:pt idx="19">
                  <c:v>0.115780189318237</c:v>
                </c:pt>
                <c:pt idx="20">
                  <c:v>0.0787105688624267</c:v>
                </c:pt>
                <c:pt idx="21">
                  <c:v>0.0857127798347664</c:v>
                </c:pt>
                <c:pt idx="22">
                  <c:v>0.0679302215936824</c:v>
                </c:pt>
                <c:pt idx="23">
                  <c:v>0.0527315038000423</c:v>
                </c:pt>
                <c:pt idx="24">
                  <c:v>0.0972683065477563</c:v>
                </c:pt>
                <c:pt idx="25">
                  <c:v>0.0810818787985251</c:v>
                </c:pt>
                <c:pt idx="26">
                  <c:v>0.0847859337043206</c:v>
                </c:pt>
                <c:pt idx="27">
                  <c:v>0.0866730116267374</c:v>
                </c:pt>
                <c:pt idx="28">
                  <c:v>0.102362410154018</c:v>
                </c:pt>
                <c:pt idx="29">
                  <c:v>0.122648499537775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'1'!$BG$2</c:f>
              <c:strCache>
                <c:ptCount val="1"/>
                <c:pt idx="0">
                  <c:v>总单耗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'1'!$BG$4:$BG$33</c:f>
              <c:numCache>
                <c:formatCode>0.0000_);[Red]\(0.0000\)</c:formatCode>
                <c:ptCount val="30"/>
                <c:pt idx="0">
                  <c:v>0.278661513580009</c:v>
                </c:pt>
                <c:pt idx="1">
                  <c:v>0.277845991931306</c:v>
                </c:pt>
                <c:pt idx="2">
                  <c:v>0.298169328022796</c:v>
                </c:pt>
                <c:pt idx="3">
                  <c:v>0.28101216418394</c:v>
                </c:pt>
                <c:pt idx="4">
                  <c:v>0.290618407267691</c:v>
                </c:pt>
                <c:pt idx="5">
                  <c:v>0.290767612749752</c:v>
                </c:pt>
                <c:pt idx="6">
                  <c:v>0.302551682987574</c:v>
                </c:pt>
                <c:pt idx="7">
                  <c:v>0.306815372758819</c:v>
                </c:pt>
                <c:pt idx="8">
                  <c:v>0.309140437094145</c:v>
                </c:pt>
                <c:pt idx="9">
                  <c:v>0.306767455136919</c:v>
                </c:pt>
                <c:pt idx="10">
                  <c:v>0.327095477673428</c:v>
                </c:pt>
                <c:pt idx="11">
                  <c:v>0.332185910784391</c:v>
                </c:pt>
                <c:pt idx="12">
                  <c:v>0.3145728853518</c:v>
                </c:pt>
                <c:pt idx="13">
                  <c:v>0.309766637856495</c:v>
                </c:pt>
                <c:pt idx="14">
                  <c:v>0.323080722164363</c:v>
                </c:pt>
                <c:pt idx="15">
                  <c:v>0.333742547764076</c:v>
                </c:pt>
                <c:pt idx="16">
                  <c:v>0.32946267377579</c:v>
                </c:pt>
                <c:pt idx="17">
                  <c:v>0.349347631271197</c:v>
                </c:pt>
                <c:pt idx="18">
                  <c:v>0.34133650271396</c:v>
                </c:pt>
                <c:pt idx="19">
                  <c:v>0.343355751208879</c:v>
                </c:pt>
                <c:pt idx="20">
                  <c:v>0.329052798017064</c:v>
                </c:pt>
                <c:pt idx="21">
                  <c:v>0.314258231984533</c:v>
                </c:pt>
                <c:pt idx="22">
                  <c:v>0.287600188590348</c:v>
                </c:pt>
                <c:pt idx="23">
                  <c:v>0.284488248492679</c:v>
                </c:pt>
                <c:pt idx="24">
                  <c:v>0.32501034966419</c:v>
                </c:pt>
                <c:pt idx="25">
                  <c:v>0.32131692984698</c:v>
                </c:pt>
                <c:pt idx="26">
                  <c:v>0.314897883115024</c:v>
                </c:pt>
                <c:pt idx="27">
                  <c:v>0.315747504887325</c:v>
                </c:pt>
                <c:pt idx="28">
                  <c:v>0.31894493797202</c:v>
                </c:pt>
                <c:pt idx="29">
                  <c:v>0.344272914528576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816704"/>
        <c:axId val="146834048"/>
      </c:lineChart>
      <c:lineChart>
        <c:grouping val="standard"/>
        <c:varyColors val="0"/>
        <c:ser>
          <c:idx val="0"/>
          <c:order val="0"/>
          <c:tx>
            <c:strRef>
              <c:f>'1'!$BH$2</c:f>
              <c:strCache>
                <c:ptCount val="1"/>
                <c:pt idx="0">
                  <c:v>一次提
升单耗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'1'!$BH$4:$BH$33</c:f>
              <c:numCache>
                <c:formatCode>0.0000_);[Red]\(0.0000\)</c:formatCode>
                <c:ptCount val="30"/>
                <c:pt idx="0">
                  <c:v>0.0383170970607656</c:v>
                </c:pt>
                <c:pt idx="1">
                  <c:v>0.0378880898088055</c:v>
                </c:pt>
                <c:pt idx="2">
                  <c:v>0.0453918953484173</c:v>
                </c:pt>
                <c:pt idx="3">
                  <c:v>0.0395134326416406</c:v>
                </c:pt>
                <c:pt idx="4">
                  <c:v>0.0388409707372415</c:v>
                </c:pt>
                <c:pt idx="5">
                  <c:v>0.0413316194312495</c:v>
                </c:pt>
                <c:pt idx="6">
                  <c:v>0.0414727457793622</c:v>
                </c:pt>
                <c:pt idx="7">
                  <c:v>0.0408660627299323</c:v>
                </c:pt>
                <c:pt idx="8">
                  <c:v>0.0452204531749278</c:v>
                </c:pt>
                <c:pt idx="9">
                  <c:v>0.0416323330146468</c:v>
                </c:pt>
                <c:pt idx="10">
                  <c:v>0.0363667460057272</c:v>
                </c:pt>
                <c:pt idx="11">
                  <c:v>0.0531044154519602</c:v>
                </c:pt>
                <c:pt idx="12">
                  <c:v>0.0462917367073701</c:v>
                </c:pt>
                <c:pt idx="13">
                  <c:v>0.0422333621434802</c:v>
                </c:pt>
                <c:pt idx="14">
                  <c:v>0.0441529934697917</c:v>
                </c:pt>
                <c:pt idx="15">
                  <c:v>0.0434306381539746</c:v>
                </c:pt>
                <c:pt idx="16">
                  <c:v>0.0463411378755636</c:v>
                </c:pt>
                <c:pt idx="17">
                  <c:v>0.04644804593162</c:v>
                </c:pt>
                <c:pt idx="18">
                  <c:v>0.0473725785762419</c:v>
                </c:pt>
                <c:pt idx="19">
                  <c:v>0.046022270873037</c:v>
                </c:pt>
                <c:pt idx="20">
                  <c:v>0.0460730896063408</c:v>
                </c:pt>
                <c:pt idx="21">
                  <c:v>0.0505975518163769</c:v>
                </c:pt>
                <c:pt idx="22">
                  <c:v>0.0473927392739317</c:v>
                </c:pt>
                <c:pt idx="23">
                  <c:v>0.0582070098380579</c:v>
                </c:pt>
                <c:pt idx="24">
                  <c:v>0.0326493286620748</c:v>
                </c:pt>
                <c:pt idx="25">
                  <c:v>0.0397976843715233</c:v>
                </c:pt>
                <c:pt idx="26">
                  <c:v>0.040646247574001</c:v>
                </c:pt>
                <c:pt idx="27">
                  <c:v>0.0410278835271104</c:v>
                </c:pt>
                <c:pt idx="28">
                  <c:v>0.0429434247772619</c:v>
                </c:pt>
                <c:pt idx="29">
                  <c:v>0.0463727609523262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98104"/>
        <c:axId val="146798488"/>
      </c:lineChart>
      <c:catAx>
        <c:axId val="14681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6834048"/>
        <c:crosses val="autoZero"/>
        <c:auto val="1"/>
        <c:lblAlgn val="ctr"/>
        <c:lblOffset val="100"/>
        <c:noMultiLvlLbl val="0"/>
      </c:catAx>
      <c:valAx>
        <c:axId val="14683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6816704"/>
        <c:crosses val="autoZero"/>
        <c:crossBetween val="between"/>
      </c:valAx>
      <c:catAx>
        <c:axId val="146798104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6798488"/>
        <c:crosses val="autoZero"/>
        <c:auto val="1"/>
        <c:lblAlgn val="ctr"/>
        <c:lblOffset val="100"/>
        <c:noMultiLvlLbl val="0"/>
      </c:catAx>
      <c:valAx>
        <c:axId val="146798488"/>
        <c:scaling>
          <c:orientation val="minMax"/>
        </c:scaling>
        <c:delete val="0"/>
        <c:axPos val="r"/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6798104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0961371262372"/>
          <c:y val="0.0920863329570157"/>
          <c:w val="0.871518426653678"/>
          <c:h val="0.749640304228206"/>
        </c:manualLayout>
      </c:layout>
      <c:lineChart>
        <c:grouping val="standard"/>
        <c:varyColors val="0"/>
        <c:ser>
          <c:idx val="1"/>
          <c:order val="1"/>
          <c:tx>
            <c:strRef>
              <c:f>'2'!$BJ$2</c:f>
              <c:strCache>
                <c:ptCount val="1"/>
                <c:pt idx="0">
                  <c:v>三次提
升单耗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'2'!$BJ$4:$BJ$32</c:f>
              <c:numCache>
                <c:formatCode>0.0000_);[Red]\(0.0000\)</c:formatCode>
                <c:ptCount val="29"/>
                <c:pt idx="0">
                  <c:v>0.0375561406225783</c:v>
                </c:pt>
                <c:pt idx="1">
                  <c:v>0.0379597326433259</c:v>
                </c:pt>
                <c:pt idx="2">
                  <c:v>0.0378055341485758</c:v>
                </c:pt>
                <c:pt idx="3">
                  <c:v>0.0367044349983358</c:v>
                </c:pt>
                <c:pt idx="4">
                  <c:v>0.0384340944473227</c:v>
                </c:pt>
                <c:pt idx="5">
                  <c:v>0.038689567984655</c:v>
                </c:pt>
                <c:pt idx="6">
                  <c:v>0.0372115653184633</c:v>
                </c:pt>
                <c:pt idx="7">
                  <c:v>0.0372416489202829</c:v>
                </c:pt>
                <c:pt idx="8">
                  <c:v>0.0376158998669273</c:v>
                </c:pt>
                <c:pt idx="9">
                  <c:v>0.035454356415046</c:v>
                </c:pt>
                <c:pt idx="10">
                  <c:v>0.0372472683685556</c:v>
                </c:pt>
                <c:pt idx="11">
                  <c:v>0.0451955197484628</c:v>
                </c:pt>
                <c:pt idx="12">
                  <c:v>0.0425769826251672</c:v>
                </c:pt>
                <c:pt idx="13">
                  <c:v>0.0443815651769336</c:v>
                </c:pt>
                <c:pt idx="14">
                  <c:v>0.0359894664976119</c:v>
                </c:pt>
                <c:pt idx="15">
                  <c:v>0.0373564322206514</c:v>
                </c:pt>
                <c:pt idx="16">
                  <c:v>0.0414381150970074</c:v>
                </c:pt>
                <c:pt idx="17">
                  <c:v>0.0383443639037714</c:v>
                </c:pt>
                <c:pt idx="18">
                  <c:v>0.0434750661310865</c:v>
                </c:pt>
                <c:pt idx="19">
                  <c:v>0.0422915169578312</c:v>
                </c:pt>
                <c:pt idx="20">
                  <c:v>0.0425704897300072</c:v>
                </c:pt>
                <c:pt idx="21">
                  <c:v>0.041362818703759</c:v>
                </c:pt>
                <c:pt idx="22">
                  <c:v>0.0411458333333333</c:v>
                </c:pt>
                <c:pt idx="23">
                  <c:v>0.0379138788814523</c:v>
                </c:pt>
                <c:pt idx="24">
                  <c:v>0.0378830230126345</c:v>
                </c:pt>
                <c:pt idx="25">
                  <c:v>0.0328333706439746</c:v>
                </c:pt>
                <c:pt idx="26">
                  <c:v>0.0414805993847476</c:v>
                </c:pt>
                <c:pt idx="27">
                  <c:v>0.0378237258800766</c:v>
                </c:pt>
                <c:pt idx="28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'2'!$BK$2</c:f>
              <c:strCache>
                <c:ptCount val="1"/>
                <c:pt idx="0">
                  <c:v>风机
单耗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'2'!$BK$4:$BK$32</c:f>
              <c:numCache>
                <c:formatCode>0.0000_);[Red]\(0.0000\)</c:formatCode>
                <c:ptCount val="29"/>
                <c:pt idx="0">
                  <c:v>0.0651747457539645</c:v>
                </c:pt>
                <c:pt idx="1">
                  <c:v>0.0894374995732969</c:v>
                </c:pt>
                <c:pt idx="2">
                  <c:v>0.0930597763657262</c:v>
                </c:pt>
                <c:pt idx="3">
                  <c:v>0.0972014681773973</c:v>
                </c:pt>
                <c:pt idx="4">
                  <c:v>0.0859496626881118</c:v>
                </c:pt>
                <c:pt idx="5">
                  <c:v>0.0926369937660752</c:v>
                </c:pt>
                <c:pt idx="6">
                  <c:v>0.0982097002351676</c:v>
                </c:pt>
                <c:pt idx="7">
                  <c:v>0.122424205014245</c:v>
                </c:pt>
                <c:pt idx="8">
                  <c:v>0.0879904090454241</c:v>
                </c:pt>
                <c:pt idx="9">
                  <c:v>0.0810979413599425</c:v>
                </c:pt>
                <c:pt idx="10">
                  <c:v>0.123827354948636</c:v>
                </c:pt>
                <c:pt idx="11">
                  <c:v>0.186677146787188</c:v>
                </c:pt>
                <c:pt idx="12">
                  <c:v>0.150524686048512</c:v>
                </c:pt>
                <c:pt idx="13">
                  <c:v>0.209310438389088</c:v>
                </c:pt>
                <c:pt idx="14">
                  <c:v>0.128742806983311</c:v>
                </c:pt>
                <c:pt idx="15">
                  <c:v>0.081627165520694</c:v>
                </c:pt>
                <c:pt idx="16">
                  <c:v>0.130158182035517</c:v>
                </c:pt>
                <c:pt idx="17">
                  <c:v>0.108204643344891</c:v>
                </c:pt>
                <c:pt idx="18">
                  <c:v>0.13471147251886</c:v>
                </c:pt>
                <c:pt idx="19">
                  <c:v>0.137830292035281</c:v>
                </c:pt>
                <c:pt idx="20">
                  <c:v>0.135502885082262</c:v>
                </c:pt>
                <c:pt idx="21">
                  <c:v>0.11956439781553</c:v>
                </c:pt>
                <c:pt idx="22">
                  <c:v>0.116666666666665</c:v>
                </c:pt>
                <c:pt idx="23">
                  <c:v>0.101218047692573</c:v>
                </c:pt>
                <c:pt idx="24">
                  <c:v>0.0611652975724683</c:v>
                </c:pt>
                <c:pt idx="25">
                  <c:v>0.048752580653186</c:v>
                </c:pt>
                <c:pt idx="26">
                  <c:v>0.0516026595216812</c:v>
                </c:pt>
                <c:pt idx="27">
                  <c:v>0.0495889465265851</c:v>
                </c:pt>
                <c:pt idx="28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'2'!$BL$2</c:f>
              <c:strCache>
                <c:ptCount val="1"/>
                <c:pt idx="0">
                  <c:v>提标
总单耗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'2'!$BL$4:$BL$32</c:f>
              <c:numCache>
                <c:formatCode>0.0000_);[Red]\(0.0000\)</c:formatCode>
                <c:ptCount val="29"/>
                <c:pt idx="0">
                  <c:v>0.0619482731918754</c:v>
                </c:pt>
                <c:pt idx="1">
                  <c:v>0.0477910303063405</c:v>
                </c:pt>
                <c:pt idx="2">
                  <c:v>0.0538001832114453</c:v>
                </c:pt>
                <c:pt idx="3">
                  <c:v>0.0551291909065745</c:v>
                </c:pt>
                <c:pt idx="4">
                  <c:v>0.051894135962648</c:v>
                </c:pt>
                <c:pt idx="5">
                  <c:v>0.0523126553032272</c:v>
                </c:pt>
                <c:pt idx="6">
                  <c:v>0.048654346905441</c:v>
                </c:pt>
                <c:pt idx="7">
                  <c:v>0.0514387416026254</c:v>
                </c:pt>
                <c:pt idx="8">
                  <c:v>0.0417954442966037</c:v>
                </c:pt>
                <c:pt idx="9">
                  <c:v>0.0415886878768975</c:v>
                </c:pt>
                <c:pt idx="10">
                  <c:v>0.0455684666210838</c:v>
                </c:pt>
                <c:pt idx="11">
                  <c:v>0.0550206327373337</c:v>
                </c:pt>
                <c:pt idx="12">
                  <c:v>0.0516084637880404</c:v>
                </c:pt>
                <c:pt idx="13">
                  <c:v>0.0581417884414125</c:v>
                </c:pt>
                <c:pt idx="14">
                  <c:v>0.0468155661757818</c:v>
                </c:pt>
                <c:pt idx="15">
                  <c:v>0.0422540621518282</c:v>
                </c:pt>
                <c:pt idx="16">
                  <c:v>0.0557820780152785</c:v>
                </c:pt>
                <c:pt idx="17">
                  <c:v>0.0504254648597083</c:v>
                </c:pt>
                <c:pt idx="18">
                  <c:v>0.0612324875085725</c:v>
                </c:pt>
                <c:pt idx="19">
                  <c:v>0.0636139809393836</c:v>
                </c:pt>
                <c:pt idx="20">
                  <c:v>0.0609762982870341</c:v>
                </c:pt>
                <c:pt idx="21">
                  <c:v>0.0581664638021635</c:v>
                </c:pt>
                <c:pt idx="22">
                  <c:v>0.0604166666666212</c:v>
                </c:pt>
                <c:pt idx="23">
                  <c:v>0.0514668039114771</c:v>
                </c:pt>
                <c:pt idx="24">
                  <c:v>0.0473537787658051</c:v>
                </c:pt>
                <c:pt idx="25">
                  <c:v>0.0437778275252873</c:v>
                </c:pt>
                <c:pt idx="26">
                  <c:v>0.0476332241738901</c:v>
                </c:pt>
                <c:pt idx="27">
                  <c:v>0.048616614241751</c:v>
                </c:pt>
                <c:pt idx="28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'2'!$BO$2</c:f>
              <c:strCache>
                <c:ptCount val="1"/>
                <c:pt idx="0">
                  <c:v>其他
单耗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'2'!$BO$4:$BO$33</c:f>
              <c:numCache>
                <c:formatCode>0.0000_);[Red]\(0.0000\)</c:formatCode>
                <c:ptCount val="30"/>
                <c:pt idx="0">
                  <c:v>0.0890661297816754</c:v>
                </c:pt>
                <c:pt idx="1">
                  <c:v>0.102234572031328</c:v>
                </c:pt>
                <c:pt idx="2">
                  <c:v>0.0948395445887564</c:v>
                </c:pt>
                <c:pt idx="3">
                  <c:v>0.0900346733594758</c:v>
                </c:pt>
                <c:pt idx="4">
                  <c:v>0.134833938764941</c:v>
                </c:pt>
                <c:pt idx="5">
                  <c:v>0.167561794324074</c:v>
                </c:pt>
                <c:pt idx="6">
                  <c:v>0.133900366709669</c:v>
                </c:pt>
                <c:pt idx="7">
                  <c:v>0.166406386634106</c:v>
                </c:pt>
                <c:pt idx="8">
                  <c:v>0.169636709598619</c:v>
                </c:pt>
                <c:pt idx="9">
                  <c:v>0.178269910584263</c:v>
                </c:pt>
                <c:pt idx="10">
                  <c:v>0.187401309598202</c:v>
                </c:pt>
                <c:pt idx="11">
                  <c:v>0.269459618785599</c:v>
                </c:pt>
                <c:pt idx="12">
                  <c:v>0.165233098228018</c:v>
                </c:pt>
                <c:pt idx="13">
                  <c:v>0.210434512965726</c:v>
                </c:pt>
                <c:pt idx="14">
                  <c:v>0.14580317955727</c:v>
                </c:pt>
                <c:pt idx="15">
                  <c:v>0.167906119156457</c:v>
                </c:pt>
                <c:pt idx="16">
                  <c:v>0.202611132508859</c:v>
                </c:pt>
                <c:pt idx="17">
                  <c:v>0.148481983401727</c:v>
                </c:pt>
                <c:pt idx="18">
                  <c:v>0.162736357401733</c:v>
                </c:pt>
                <c:pt idx="19">
                  <c:v>0.138890525050993</c:v>
                </c:pt>
                <c:pt idx="20">
                  <c:v>0.139951896475734</c:v>
                </c:pt>
                <c:pt idx="21">
                  <c:v>0.127612912954864</c:v>
                </c:pt>
                <c:pt idx="22">
                  <c:v>0.115312500000159</c:v>
                </c:pt>
                <c:pt idx="23">
                  <c:v>0.101828787098956</c:v>
                </c:pt>
                <c:pt idx="24">
                  <c:v>0.116269311462871</c:v>
                </c:pt>
                <c:pt idx="25">
                  <c:v>0.0711787677536348</c:v>
                </c:pt>
                <c:pt idx="26">
                  <c:v>0.0525513545698274</c:v>
                </c:pt>
                <c:pt idx="27">
                  <c:v>0.0790817293901867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'2'!$BG$2</c:f>
              <c:strCache>
                <c:ptCount val="1"/>
                <c:pt idx="0">
                  <c:v>总单耗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'2'!$BG$4:$BG$33</c:f>
              <c:numCache>
                <c:formatCode>0.0000_);[Red]\(0.0000\)</c:formatCode>
                <c:ptCount val="30"/>
                <c:pt idx="0">
                  <c:v>0.302643126322887</c:v>
                </c:pt>
                <c:pt idx="1">
                  <c:v>0.32497900608313</c:v>
                </c:pt>
                <c:pt idx="2">
                  <c:v>0.329344364794371</c:v>
                </c:pt>
                <c:pt idx="3">
                  <c:v>0.329324377257689</c:v>
                </c:pt>
                <c:pt idx="4">
                  <c:v>0.36569148936172</c:v>
                </c:pt>
                <c:pt idx="5">
                  <c:v>0.437028641178802</c:v>
                </c:pt>
                <c:pt idx="6">
                  <c:v>0.383828736698912</c:v>
                </c:pt>
                <c:pt idx="7">
                  <c:v>0.450603376438916</c:v>
                </c:pt>
                <c:pt idx="8">
                  <c:v>0.41355492251347</c:v>
                </c:pt>
                <c:pt idx="9">
                  <c:v>0.39509253483045</c:v>
                </c:pt>
                <c:pt idx="10">
                  <c:v>0.457665903890239</c:v>
                </c:pt>
                <c:pt idx="11">
                  <c:v>0.640597366869762</c:v>
                </c:pt>
                <c:pt idx="12">
                  <c:v>0.47307758472379</c:v>
                </c:pt>
                <c:pt idx="13">
                  <c:v>0.682196984379324</c:v>
                </c:pt>
                <c:pt idx="14">
                  <c:v>0.418414122695882</c:v>
                </c:pt>
                <c:pt idx="15">
                  <c:v>0.3908500749049</c:v>
                </c:pt>
                <c:pt idx="16">
                  <c:v>0.504694991566184</c:v>
                </c:pt>
                <c:pt idx="17">
                  <c:v>0.413909024057202</c:v>
                </c:pt>
                <c:pt idx="18">
                  <c:v>0.467816204565459</c:v>
                </c:pt>
                <c:pt idx="19">
                  <c:v>0.453544123364044</c:v>
                </c:pt>
                <c:pt idx="20">
                  <c:v>0.458451427861594</c:v>
                </c:pt>
                <c:pt idx="21">
                  <c:v>0.419013970722817</c:v>
                </c:pt>
                <c:pt idx="22">
                  <c:v>0.404166666666773</c:v>
                </c:pt>
                <c:pt idx="23">
                  <c:v>0.355978727054352</c:v>
                </c:pt>
                <c:pt idx="24">
                  <c:v>0.307799561977566</c:v>
                </c:pt>
                <c:pt idx="25">
                  <c:v>0.250727557644905</c:v>
                </c:pt>
                <c:pt idx="26">
                  <c:v>0.250570606331304</c:v>
                </c:pt>
                <c:pt idx="27">
                  <c:v>0.266419046044774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77784"/>
        <c:axId val="147807176"/>
      </c:lineChart>
      <c:lineChart>
        <c:grouping val="standard"/>
        <c:varyColors val="0"/>
        <c:ser>
          <c:idx val="0"/>
          <c:order val="0"/>
          <c:tx>
            <c:strRef>
              <c:f>'2'!$BH$2</c:f>
              <c:strCache>
                <c:ptCount val="1"/>
                <c:pt idx="0">
                  <c:v>一次提
升单耗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'2'!$BH$4:$BH$33</c:f>
              <c:numCache>
                <c:formatCode>0.0000_);[Red]\(0.0000\)</c:formatCode>
                <c:ptCount val="30"/>
                <c:pt idx="0">
                  <c:v>0.0331010273088614</c:v>
                </c:pt>
                <c:pt idx="1">
                  <c:v>0.0349666486881387</c:v>
                </c:pt>
                <c:pt idx="2">
                  <c:v>0.034193651578381</c:v>
                </c:pt>
                <c:pt idx="3">
                  <c:v>0.0342671444529946</c:v>
                </c:pt>
                <c:pt idx="4">
                  <c:v>0.034632848988056</c:v>
                </c:pt>
                <c:pt idx="5">
                  <c:v>0.0591481755961488</c:v>
                </c:pt>
                <c:pt idx="6">
                  <c:v>0.0424986710155306</c:v>
                </c:pt>
                <c:pt idx="7">
                  <c:v>0.0450685678425479</c:v>
                </c:pt>
                <c:pt idx="8">
                  <c:v>0.051615173946045</c:v>
                </c:pt>
                <c:pt idx="9">
                  <c:v>0.0360989810771482</c:v>
                </c:pt>
                <c:pt idx="10">
                  <c:v>0.0426996344616389</c:v>
                </c:pt>
                <c:pt idx="11">
                  <c:v>0.0411711534682857</c:v>
                </c:pt>
                <c:pt idx="12">
                  <c:v>0.03280004587418</c:v>
                </c:pt>
                <c:pt idx="13">
                  <c:v>0.117834024574585</c:v>
                </c:pt>
                <c:pt idx="14">
                  <c:v>0.0395669560128732</c:v>
                </c:pt>
                <c:pt idx="15">
                  <c:v>0.0420389505627517</c:v>
                </c:pt>
                <c:pt idx="16">
                  <c:v>0.0455394259758574</c:v>
                </c:pt>
                <c:pt idx="17">
                  <c:v>0.0454669608151982</c:v>
                </c:pt>
                <c:pt idx="18">
                  <c:v>0.0385225825414031</c:v>
                </c:pt>
                <c:pt idx="19">
                  <c:v>0.045001001331187</c:v>
                </c:pt>
                <c:pt idx="20">
                  <c:v>0.0548786684583065</c:v>
                </c:pt>
                <c:pt idx="21">
                  <c:v>0.046067839331309</c:v>
                </c:pt>
                <c:pt idx="22">
                  <c:v>0.0432083333333295</c:v>
                </c:pt>
                <c:pt idx="23">
                  <c:v>0.0412832389775301</c:v>
                </c:pt>
                <c:pt idx="24">
                  <c:v>0.0306326333304835</c:v>
                </c:pt>
                <c:pt idx="25">
                  <c:v>0.0423251996119645</c:v>
                </c:pt>
                <c:pt idx="26">
                  <c:v>0.0446799642750842</c:v>
                </c:pt>
                <c:pt idx="27">
                  <c:v>0.0401845486676612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807560"/>
        <c:axId val="147184912"/>
      </c:lineChart>
      <c:catAx>
        <c:axId val="147377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7807176"/>
        <c:crosses val="autoZero"/>
        <c:auto val="1"/>
        <c:lblAlgn val="ctr"/>
        <c:lblOffset val="100"/>
        <c:noMultiLvlLbl val="0"/>
      </c:catAx>
      <c:valAx>
        <c:axId val="147807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7377784"/>
        <c:crosses val="autoZero"/>
        <c:crossBetween val="between"/>
      </c:valAx>
      <c:catAx>
        <c:axId val="147807560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7184912"/>
        <c:crosses val="autoZero"/>
        <c:auto val="1"/>
        <c:lblAlgn val="ctr"/>
        <c:lblOffset val="100"/>
        <c:noMultiLvlLbl val="0"/>
      </c:catAx>
      <c:valAx>
        <c:axId val="147184912"/>
        <c:scaling>
          <c:orientation val="minMax"/>
        </c:scaling>
        <c:delete val="0"/>
        <c:axPos val="r"/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7807560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0961371262372"/>
          <c:y val="0.0920863329570157"/>
          <c:w val="0.871518426653678"/>
          <c:h val="0.749640304228206"/>
        </c:manualLayout>
      </c:layout>
      <c:lineChart>
        <c:grouping val="standard"/>
        <c:varyColors val="0"/>
        <c:ser>
          <c:idx val="1"/>
          <c:order val="1"/>
          <c:tx>
            <c:strRef>
              <c:f>'3'!$BJ$2</c:f>
              <c:strCache>
                <c:ptCount val="1"/>
                <c:pt idx="0">
                  <c:v>三次提
升单耗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'3'!$BJ$4:$BJ$32</c:f>
              <c:numCache>
                <c:formatCode>0.0000_);[Red]\(0.0000\)</c:formatCode>
                <c:ptCount val="29"/>
                <c:pt idx="0">
                  <c:v>0.0376628261472024</c:v>
                </c:pt>
                <c:pt idx="1">
                  <c:v>0.0383655105925352</c:v>
                </c:pt>
                <c:pt idx="2">
                  <c:v>0.0387985918657837</c:v>
                </c:pt>
                <c:pt idx="3">
                  <c:v>0.0386158100600414</c:v>
                </c:pt>
                <c:pt idx="4">
                  <c:v>0.0400711241183853</c:v>
                </c:pt>
                <c:pt idx="5">
                  <c:v>0.0360308054848807</c:v>
                </c:pt>
                <c:pt idx="6">
                  <c:v>0.0373248522307926</c:v>
                </c:pt>
                <c:pt idx="7">
                  <c:v>0.0380706202982463</c:v>
                </c:pt>
                <c:pt idx="8">
                  <c:v>0.0365652096523987</c:v>
                </c:pt>
                <c:pt idx="9">
                  <c:v>0.0367628155689173</c:v>
                </c:pt>
                <c:pt idx="10">
                  <c:v>0.0361826704660431</c:v>
                </c:pt>
                <c:pt idx="11">
                  <c:v>0.0378341971946589</c:v>
                </c:pt>
                <c:pt idx="12">
                  <c:v>0.0363619384473443</c:v>
                </c:pt>
                <c:pt idx="13">
                  <c:v>0.0384752740773722</c:v>
                </c:pt>
                <c:pt idx="14">
                  <c:v>0.0375885225499548</c:v>
                </c:pt>
                <c:pt idx="15">
                  <c:v>0.0376945269231533</c:v>
                </c:pt>
                <c:pt idx="16">
                  <c:v>0.0384598817281717</c:v>
                </c:pt>
                <c:pt idx="17">
                  <c:v>0.0375175585730219</c:v>
                </c:pt>
                <c:pt idx="18">
                  <c:v>0.037832542742574</c:v>
                </c:pt>
                <c:pt idx="19">
                  <c:v>0.0358360198192139</c:v>
                </c:pt>
                <c:pt idx="20">
                  <c:v>0.0407335014398516</c:v>
                </c:pt>
                <c:pt idx="21">
                  <c:v>0.0379803618601391</c:v>
                </c:pt>
                <c:pt idx="22">
                  <c:v>0.0369710741263966</c:v>
                </c:pt>
                <c:pt idx="23">
                  <c:v>0.0360099773986073</c:v>
                </c:pt>
                <c:pt idx="24">
                  <c:v>0.0364044223682214</c:v>
                </c:pt>
                <c:pt idx="25">
                  <c:v>0.0358807863975742</c:v>
                </c:pt>
                <c:pt idx="26">
                  <c:v>0.0365867457912651</c:v>
                </c:pt>
                <c:pt idx="27">
                  <c:v>0.0371342127851268</c:v>
                </c:pt>
                <c:pt idx="28">
                  <c:v>0.037189333010833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'3'!$BK$2</c:f>
              <c:strCache>
                <c:ptCount val="1"/>
                <c:pt idx="0">
                  <c:v>风机
单耗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'3'!$BK$4:$BK$32</c:f>
              <c:numCache>
                <c:formatCode>0.0000_);[Red]\(0.0000\)</c:formatCode>
                <c:ptCount val="29"/>
                <c:pt idx="0">
                  <c:v>0.0588945638832781</c:v>
                </c:pt>
                <c:pt idx="1">
                  <c:v>0.0529008973376502</c:v>
                </c:pt>
                <c:pt idx="2">
                  <c:v>0.0719047262377377</c:v>
                </c:pt>
                <c:pt idx="3">
                  <c:v>0.0508233887241826</c:v>
                </c:pt>
                <c:pt idx="4">
                  <c:v>0.0552998528173148</c:v>
                </c:pt>
                <c:pt idx="5">
                  <c:v>0.0626127741443395</c:v>
                </c:pt>
                <c:pt idx="6">
                  <c:v>0.0618080350445569</c:v>
                </c:pt>
                <c:pt idx="7">
                  <c:v>0.0583000273939901</c:v>
                </c:pt>
                <c:pt idx="8">
                  <c:v>0.0483128639357185</c:v>
                </c:pt>
                <c:pt idx="9">
                  <c:v>0.0546300581006736</c:v>
                </c:pt>
                <c:pt idx="10">
                  <c:v>0.0531758096305952</c:v>
                </c:pt>
                <c:pt idx="11">
                  <c:v>0.0527101818501327</c:v>
                </c:pt>
                <c:pt idx="12">
                  <c:v>0.0507783089072147</c:v>
                </c:pt>
                <c:pt idx="13">
                  <c:v>0.0646869756817425</c:v>
                </c:pt>
                <c:pt idx="14">
                  <c:v>0.115608397086417</c:v>
                </c:pt>
                <c:pt idx="15">
                  <c:v>0.0689662433929257</c:v>
                </c:pt>
                <c:pt idx="16">
                  <c:v>0.0806119121022445</c:v>
                </c:pt>
                <c:pt idx="17">
                  <c:v>0.0740868060288879</c:v>
                </c:pt>
                <c:pt idx="18">
                  <c:v>0.062732532608853</c:v>
                </c:pt>
                <c:pt idx="19">
                  <c:v>0.0632114325169334</c:v>
                </c:pt>
                <c:pt idx="20">
                  <c:v>0.0994713099874124</c:v>
                </c:pt>
                <c:pt idx="21">
                  <c:v>0.0712754822309779</c:v>
                </c:pt>
                <c:pt idx="22">
                  <c:v>0.0896640668181505</c:v>
                </c:pt>
                <c:pt idx="23">
                  <c:v>0.0825594603773164</c:v>
                </c:pt>
                <c:pt idx="24">
                  <c:v>0.0922929017785588</c:v>
                </c:pt>
                <c:pt idx="25">
                  <c:v>0.0844253797590175</c:v>
                </c:pt>
                <c:pt idx="26">
                  <c:v>0.0911525453562493</c:v>
                </c:pt>
                <c:pt idx="27">
                  <c:v>0.0815735166099485</c:v>
                </c:pt>
                <c:pt idx="28">
                  <c:v>0.0828445304468756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'3'!$BL$2</c:f>
              <c:strCache>
                <c:ptCount val="1"/>
                <c:pt idx="0">
                  <c:v>提标
总单耗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'3'!$BL$4:$BL$32</c:f>
              <c:numCache>
                <c:formatCode>0.0000_);[Red]\(0.0000\)</c:formatCode>
                <c:ptCount val="29"/>
                <c:pt idx="0">
                  <c:v>0.0504810547570826</c:v>
                </c:pt>
                <c:pt idx="1">
                  <c:v>0.0454848836921716</c:v>
                </c:pt>
                <c:pt idx="2">
                  <c:v>0.0489351609118064</c:v>
                </c:pt>
                <c:pt idx="3">
                  <c:v>0.0468372405889606</c:v>
                </c:pt>
                <c:pt idx="4">
                  <c:v>0.0493444840523361</c:v>
                </c:pt>
                <c:pt idx="5">
                  <c:v>0.0409829067126834</c:v>
                </c:pt>
                <c:pt idx="6">
                  <c:v>0.0444057727504663</c:v>
                </c:pt>
                <c:pt idx="7">
                  <c:v>0.0505735177393433</c:v>
                </c:pt>
                <c:pt idx="8">
                  <c:v>0.0447529686983645</c:v>
                </c:pt>
                <c:pt idx="9">
                  <c:v>0.0475602858758431</c:v>
                </c:pt>
                <c:pt idx="10">
                  <c:v>0.0473958303229527</c:v>
                </c:pt>
                <c:pt idx="11">
                  <c:v>0.0515388444756545</c:v>
                </c:pt>
                <c:pt idx="12">
                  <c:v>0.0466926978457157</c:v>
                </c:pt>
                <c:pt idx="13">
                  <c:v>0.0444722957812355</c:v>
                </c:pt>
                <c:pt idx="14">
                  <c:v>0.0429583114856351</c:v>
                </c:pt>
                <c:pt idx="15">
                  <c:v>0.0452755490976401</c:v>
                </c:pt>
                <c:pt idx="16">
                  <c:v>0.0553822296885673</c:v>
                </c:pt>
                <c:pt idx="17">
                  <c:v>0.0521571114443544</c:v>
                </c:pt>
                <c:pt idx="18">
                  <c:v>0.0463255625419152</c:v>
                </c:pt>
                <c:pt idx="19">
                  <c:v>0.0398718266645484</c:v>
                </c:pt>
                <c:pt idx="20">
                  <c:v>0.0497356549937084</c:v>
                </c:pt>
                <c:pt idx="21">
                  <c:v>0.0528335742411332</c:v>
                </c:pt>
                <c:pt idx="22">
                  <c:v>0.0540440950684495</c:v>
                </c:pt>
                <c:pt idx="23">
                  <c:v>0.0468422470225897</c:v>
                </c:pt>
                <c:pt idx="24">
                  <c:v>0.044864605031245</c:v>
                </c:pt>
                <c:pt idx="25">
                  <c:v>0.0409711401772053</c:v>
                </c:pt>
                <c:pt idx="26">
                  <c:v>0.0452619535561882</c:v>
                </c:pt>
                <c:pt idx="27">
                  <c:v>0.0523531524511536</c:v>
                </c:pt>
                <c:pt idx="28">
                  <c:v>0.0532140049585953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'3'!$BO$2</c:f>
              <c:strCache>
                <c:ptCount val="1"/>
                <c:pt idx="0">
                  <c:v>其他
单耗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'3'!$BO$4:$BO$33</c:f>
              <c:numCache>
                <c:formatCode>0.0000_);[Red]\(0.0000\)</c:formatCode>
                <c:ptCount val="30"/>
                <c:pt idx="0">
                  <c:v>0.0734113315120955</c:v>
                </c:pt>
                <c:pt idx="1">
                  <c:v>0.0780678812449325</c:v>
                </c:pt>
                <c:pt idx="2">
                  <c:v>0.0832437020946363</c:v>
                </c:pt>
                <c:pt idx="3">
                  <c:v>0.0833364059891807</c:v>
                </c:pt>
                <c:pt idx="4">
                  <c:v>0.120662577313621</c:v>
                </c:pt>
                <c:pt idx="5">
                  <c:v>0.0860071833927115</c:v>
                </c:pt>
                <c:pt idx="6">
                  <c:v>0.104432776260931</c:v>
                </c:pt>
                <c:pt idx="7">
                  <c:v>0.122640780517915</c:v>
                </c:pt>
                <c:pt idx="8">
                  <c:v>0.103694662699958</c:v>
                </c:pt>
                <c:pt idx="9">
                  <c:v>0.0933878348501976</c:v>
                </c:pt>
                <c:pt idx="10">
                  <c:v>0.101741507765406</c:v>
                </c:pt>
                <c:pt idx="11">
                  <c:v>0.101662713402975</c:v>
                </c:pt>
                <c:pt idx="12">
                  <c:v>0.101012647884532</c:v>
                </c:pt>
                <c:pt idx="13">
                  <c:v>0.119851489484947</c:v>
                </c:pt>
                <c:pt idx="14">
                  <c:v>0.0936920773502285</c:v>
                </c:pt>
                <c:pt idx="15">
                  <c:v>0.0819129445954052</c:v>
                </c:pt>
                <c:pt idx="16">
                  <c:v>0.0788962936981509</c:v>
                </c:pt>
                <c:pt idx="17">
                  <c:v>0.078935046615365</c:v>
                </c:pt>
                <c:pt idx="18">
                  <c:v>0.0542279314188986</c:v>
                </c:pt>
                <c:pt idx="19">
                  <c:v>0.0529245012374676</c:v>
                </c:pt>
                <c:pt idx="20">
                  <c:v>0.0548146600816369</c:v>
                </c:pt>
                <c:pt idx="21">
                  <c:v>0.0666261276977996</c:v>
                </c:pt>
                <c:pt idx="22">
                  <c:v>0.0782116317631884</c:v>
                </c:pt>
                <c:pt idx="23">
                  <c:v>0.0800885318469044</c:v>
                </c:pt>
                <c:pt idx="24">
                  <c:v>0.0938259894247811</c:v>
                </c:pt>
                <c:pt idx="25">
                  <c:v>0.0878768879313875</c:v>
                </c:pt>
                <c:pt idx="26">
                  <c:v>0.0904182958875437</c:v>
                </c:pt>
                <c:pt idx="27">
                  <c:v>0.0882454997595681</c:v>
                </c:pt>
                <c:pt idx="28">
                  <c:v>0.0854060591400916</c:v>
                </c:pt>
                <c:pt idx="29">
                  <c:v>0.0822120169306311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'3'!$BG$2</c:f>
              <c:strCache>
                <c:ptCount val="1"/>
                <c:pt idx="0">
                  <c:v>总单耗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'3'!$BG$4:$BG$33</c:f>
              <c:numCache>
                <c:formatCode>0.0000_);[Red]\(0.0000\)</c:formatCode>
                <c:ptCount val="30"/>
                <c:pt idx="0">
                  <c:v>0.277150888862512</c:v>
                </c:pt>
                <c:pt idx="1">
                  <c:v>0.272414901243429</c:v>
                </c:pt>
                <c:pt idx="2">
                  <c:v>0.296606995730591</c:v>
                </c:pt>
                <c:pt idx="3">
                  <c:v>0.274047684297068</c:v>
                </c:pt>
                <c:pt idx="4">
                  <c:v>0.346262155333163</c:v>
                </c:pt>
                <c:pt idx="5">
                  <c:v>0.28574193291318</c:v>
                </c:pt>
                <c:pt idx="6">
                  <c:v>0.311440487263375</c:v>
                </c:pt>
                <c:pt idx="7">
                  <c:v>0.337156784929041</c:v>
                </c:pt>
                <c:pt idx="8">
                  <c:v>0.27309482035247</c:v>
                </c:pt>
                <c:pt idx="9">
                  <c:v>0.30657103192969</c:v>
                </c:pt>
                <c:pt idx="10">
                  <c:v>0.290154961245264</c:v>
                </c:pt>
                <c:pt idx="11">
                  <c:v>0.295177018360658</c:v>
                </c:pt>
                <c:pt idx="12">
                  <c:v>0.286576433028071</c:v>
                </c:pt>
                <c:pt idx="13">
                  <c:v>0.320065765091943</c:v>
                </c:pt>
                <c:pt idx="14">
                  <c:v>0.34619345138443</c:v>
                </c:pt>
                <c:pt idx="15">
                  <c:v>0.290605850022134</c:v>
                </c:pt>
                <c:pt idx="16">
                  <c:v>0.319370857870769</c:v>
                </c:pt>
                <c:pt idx="17">
                  <c:v>0.309386501976597</c:v>
                </c:pt>
                <c:pt idx="18">
                  <c:v>0.250447572492292</c:v>
                </c:pt>
                <c:pt idx="19">
                  <c:v>0.243120894295898</c:v>
                </c:pt>
                <c:pt idx="20">
                  <c:v>0.301398069261848</c:v>
                </c:pt>
                <c:pt idx="21">
                  <c:v>0.284603498978266</c:v>
                </c:pt>
                <c:pt idx="22">
                  <c:v>0.32672112018668</c:v>
                </c:pt>
                <c:pt idx="23">
                  <c:v>0.31325752696359</c:v>
                </c:pt>
                <c:pt idx="24">
                  <c:v>0.331998077231232</c:v>
                </c:pt>
                <c:pt idx="25">
                  <c:v>0.306042001626335</c:v>
                </c:pt>
                <c:pt idx="26">
                  <c:v>0.328149163282571</c:v>
                </c:pt>
                <c:pt idx="27">
                  <c:v>0.325076551266529</c:v>
                </c:pt>
                <c:pt idx="28">
                  <c:v>0.318074620547876</c:v>
                </c:pt>
                <c:pt idx="29">
                  <c:v>0.308157172148312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799968"/>
        <c:axId val="147793192"/>
      </c:lineChart>
      <c:lineChart>
        <c:grouping val="standard"/>
        <c:varyColors val="0"/>
        <c:ser>
          <c:idx val="0"/>
          <c:order val="0"/>
          <c:tx>
            <c:strRef>
              <c:f>'3'!$BH$2</c:f>
              <c:strCache>
                <c:ptCount val="1"/>
                <c:pt idx="0">
                  <c:v>一次提
升单耗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'3'!$BH$4:$BH$33</c:f>
              <c:numCache>
                <c:formatCode>0.0000_);[Red]\(0.0000\)</c:formatCode>
                <c:ptCount val="30"/>
                <c:pt idx="0">
                  <c:v>0.0453181296274306</c:v>
                </c:pt>
                <c:pt idx="1">
                  <c:v>0.0451763775245335</c:v>
                </c:pt>
                <c:pt idx="2">
                  <c:v>0.0412613287394197</c:v>
                </c:pt>
                <c:pt idx="3">
                  <c:v>0.0416791649019662</c:v>
                </c:pt>
                <c:pt idx="4">
                  <c:v>0.0597170349069685</c:v>
                </c:pt>
                <c:pt idx="5">
                  <c:v>0.0455593312955722</c:v>
                </c:pt>
                <c:pt idx="6">
                  <c:v>0.0483230820006594</c:v>
                </c:pt>
                <c:pt idx="7">
                  <c:v>0.0498711077707681</c:v>
                </c:pt>
                <c:pt idx="8">
                  <c:v>0.0271162305794994</c:v>
                </c:pt>
                <c:pt idx="9">
                  <c:v>0.0579824155483514</c:v>
                </c:pt>
                <c:pt idx="10">
                  <c:v>0.0371629549566212</c:v>
                </c:pt>
                <c:pt idx="11">
                  <c:v>0.0366019502767352</c:v>
                </c:pt>
                <c:pt idx="12">
                  <c:v>0.0373494890067825</c:v>
                </c:pt>
                <c:pt idx="13">
                  <c:v>0.0359767396416642</c:v>
                </c:pt>
                <c:pt idx="14">
                  <c:v>0.0411338467272747</c:v>
                </c:pt>
                <c:pt idx="15">
                  <c:v>0.0438267315265186</c:v>
                </c:pt>
                <c:pt idx="16">
                  <c:v>0.0508335025568115</c:v>
                </c:pt>
                <c:pt idx="17">
                  <c:v>0.0517777869974747</c:v>
                </c:pt>
                <c:pt idx="18">
                  <c:v>0.0375159847318612</c:v>
                </c:pt>
                <c:pt idx="19">
                  <c:v>0.0394906131022695</c:v>
                </c:pt>
                <c:pt idx="20">
                  <c:v>0.0464172920925318</c:v>
                </c:pt>
                <c:pt idx="21">
                  <c:v>0.0458794796391401</c:v>
                </c:pt>
                <c:pt idx="22">
                  <c:v>0.05436835963889</c:v>
                </c:pt>
                <c:pt idx="23">
                  <c:v>0.0536109517173512</c:v>
                </c:pt>
                <c:pt idx="24">
                  <c:v>0.0509969556160879</c:v>
                </c:pt>
                <c:pt idx="25">
                  <c:v>0.0417160699985715</c:v>
                </c:pt>
                <c:pt idx="26">
                  <c:v>0.0507989992079173</c:v>
                </c:pt>
                <c:pt idx="27">
                  <c:v>0.0513791403125291</c:v>
                </c:pt>
                <c:pt idx="28">
                  <c:v>0.0472056600350792</c:v>
                </c:pt>
                <c:pt idx="29">
                  <c:v>0.0474298252976625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603864"/>
        <c:axId val="147608344"/>
      </c:lineChart>
      <c:catAx>
        <c:axId val="14779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7793192"/>
        <c:crosses val="autoZero"/>
        <c:auto val="1"/>
        <c:lblAlgn val="ctr"/>
        <c:lblOffset val="100"/>
        <c:noMultiLvlLbl val="0"/>
      </c:catAx>
      <c:valAx>
        <c:axId val="14779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7799968"/>
        <c:crosses val="autoZero"/>
        <c:crossBetween val="between"/>
      </c:valAx>
      <c:catAx>
        <c:axId val="147603864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7608344"/>
        <c:crosses val="autoZero"/>
        <c:auto val="1"/>
        <c:lblAlgn val="ctr"/>
        <c:lblOffset val="100"/>
        <c:noMultiLvlLbl val="0"/>
      </c:catAx>
      <c:valAx>
        <c:axId val="147608344"/>
        <c:scaling>
          <c:orientation val="minMax"/>
        </c:scaling>
        <c:delete val="0"/>
        <c:axPos val="r"/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7603864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0961371262372"/>
          <c:y val="0.0920863329570157"/>
          <c:w val="0.871518426653678"/>
          <c:h val="0.749640304228206"/>
        </c:manualLayout>
      </c:layout>
      <c:lineChart>
        <c:grouping val="standard"/>
        <c:varyColors val="0"/>
        <c:ser>
          <c:idx val="1"/>
          <c:order val="1"/>
          <c:tx>
            <c:strRef>
              <c:f>'4'!$BJ$2</c:f>
              <c:strCache>
                <c:ptCount val="1"/>
                <c:pt idx="0">
                  <c:v>三次提
升单耗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'4'!$BJ$4:$BJ$32</c:f>
              <c:numCache>
                <c:formatCode>0.0000_);[Red]\(0.0000\)</c:formatCode>
                <c:ptCount val="29"/>
                <c:pt idx="0">
                  <c:v>0.0416121212724541</c:v>
                </c:pt>
                <c:pt idx="1">
                  <c:v>0.037970793222758</c:v>
                </c:pt>
                <c:pt idx="2">
                  <c:v>0.0384401343858884</c:v>
                </c:pt>
                <c:pt idx="3">
                  <c:v>0.037945663917357</c:v>
                </c:pt>
                <c:pt idx="4">
                  <c:v>0.0382509945258577</c:v>
                </c:pt>
                <c:pt idx="5">
                  <c:v>0.0374747575065373</c:v>
                </c:pt>
                <c:pt idx="6">
                  <c:v>0.0402100713991007</c:v>
                </c:pt>
                <c:pt idx="7">
                  <c:v>0.037155531657484</c:v>
                </c:pt>
                <c:pt idx="8">
                  <c:v>0.0365920745004742</c:v>
                </c:pt>
                <c:pt idx="9">
                  <c:v>0.0366927709978863</c:v>
                </c:pt>
                <c:pt idx="10">
                  <c:v>0.038473081142777</c:v>
                </c:pt>
                <c:pt idx="11">
                  <c:v>0.0369387336862264</c:v>
                </c:pt>
                <c:pt idx="12">
                  <c:v>0.0375030720078658</c:v>
                </c:pt>
                <c:pt idx="13">
                  <c:v>0.0375978498729654</c:v>
                </c:pt>
                <c:pt idx="14">
                  <c:v>0.0370145747896473</c:v>
                </c:pt>
                <c:pt idx="15">
                  <c:v>0.0367710062329577</c:v>
                </c:pt>
                <c:pt idx="16">
                  <c:v>0.0380563330073656</c:v>
                </c:pt>
                <c:pt idx="17">
                  <c:v>0.0372842104251677</c:v>
                </c:pt>
                <c:pt idx="18">
                  <c:v>0.0388326725145259</c:v>
                </c:pt>
                <c:pt idx="19">
                  <c:v>0.0310832513080868</c:v>
                </c:pt>
                <c:pt idx="20">
                  <c:v>0.0418475585194484</c:v>
                </c:pt>
                <c:pt idx="21">
                  <c:v>0.0370821478058965</c:v>
                </c:pt>
                <c:pt idx="22">
                  <c:v>0.038231989376763</c:v>
                </c:pt>
                <c:pt idx="23">
                  <c:v>0.0380343532936098</c:v>
                </c:pt>
                <c:pt idx="24">
                  <c:v>0.0392691689264128</c:v>
                </c:pt>
                <c:pt idx="25">
                  <c:v>0.0377960774330058</c:v>
                </c:pt>
                <c:pt idx="26">
                  <c:v>0.0382996529401572</c:v>
                </c:pt>
                <c:pt idx="27">
                  <c:v>0.0379320380208299</c:v>
                </c:pt>
                <c:pt idx="28">
                  <c:v>0.0393936420722149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'4'!$BK$2</c:f>
              <c:strCache>
                <c:ptCount val="1"/>
                <c:pt idx="0">
                  <c:v>风机
单耗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'4'!$BK$4:$BK$32</c:f>
              <c:numCache>
                <c:formatCode>0.0000_);[Red]\(0.0000\)</c:formatCode>
                <c:ptCount val="29"/>
                <c:pt idx="0">
                  <c:v>0.0681921126115579</c:v>
                </c:pt>
                <c:pt idx="1">
                  <c:v>0.0773295527774171</c:v>
                </c:pt>
                <c:pt idx="2">
                  <c:v>0.0700785291753425</c:v>
                </c:pt>
                <c:pt idx="3">
                  <c:v>0.0909114864686769</c:v>
                </c:pt>
                <c:pt idx="4">
                  <c:v>0.106252762571835</c:v>
                </c:pt>
                <c:pt idx="5">
                  <c:v>0.0840864700235033</c:v>
                </c:pt>
                <c:pt idx="6">
                  <c:v>0.0895111154623408</c:v>
                </c:pt>
                <c:pt idx="7">
                  <c:v>0.070439575211724</c:v>
                </c:pt>
                <c:pt idx="8">
                  <c:v>0.0687636299337905</c:v>
                </c:pt>
                <c:pt idx="9">
                  <c:v>0.0660182841943582</c:v>
                </c:pt>
                <c:pt idx="10">
                  <c:v>0.0713375545486346</c:v>
                </c:pt>
                <c:pt idx="11">
                  <c:v>0.0694788089632644</c:v>
                </c:pt>
                <c:pt idx="12">
                  <c:v>0.0668468911280431</c:v>
                </c:pt>
                <c:pt idx="13">
                  <c:v>0.0665795258167025</c:v>
                </c:pt>
                <c:pt idx="14">
                  <c:v>0.0644987389052525</c:v>
                </c:pt>
                <c:pt idx="15">
                  <c:v>0.0744233415101075</c:v>
                </c:pt>
                <c:pt idx="16">
                  <c:v>0.0809299233574366</c:v>
                </c:pt>
                <c:pt idx="17">
                  <c:v>0.0980151923548089</c:v>
                </c:pt>
                <c:pt idx="18">
                  <c:v>0.0995055340385516</c:v>
                </c:pt>
                <c:pt idx="19">
                  <c:v>0.0874935962746137</c:v>
                </c:pt>
                <c:pt idx="20">
                  <c:v>0.098464843575171</c:v>
                </c:pt>
                <c:pt idx="21">
                  <c:v>0.0838293234973594</c:v>
                </c:pt>
                <c:pt idx="22">
                  <c:v>0.0724753997091238</c:v>
                </c:pt>
                <c:pt idx="23">
                  <c:v>0.0695093715275899</c:v>
                </c:pt>
                <c:pt idx="24">
                  <c:v>0.0764156800730223</c:v>
                </c:pt>
                <c:pt idx="25">
                  <c:v>0.0910630881157792</c:v>
                </c:pt>
                <c:pt idx="26">
                  <c:v>0.0654736997563206</c:v>
                </c:pt>
                <c:pt idx="27">
                  <c:v>0.0577119434126987</c:v>
                </c:pt>
                <c:pt idx="28">
                  <c:v>0.0765306122448997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'4'!$BL$2</c:f>
              <c:strCache>
                <c:ptCount val="1"/>
                <c:pt idx="0">
                  <c:v>提标
总单耗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'4'!$BL$4:$BL$32</c:f>
              <c:numCache>
                <c:formatCode>0.0000_);[Red]\(0.0000\)</c:formatCode>
                <c:ptCount val="29"/>
                <c:pt idx="0">
                  <c:v>0.0547527911479669</c:v>
                </c:pt>
                <c:pt idx="1">
                  <c:v>0.0495702261393716</c:v>
                </c:pt>
                <c:pt idx="2">
                  <c:v>0.0463754972483872</c:v>
                </c:pt>
                <c:pt idx="3">
                  <c:v>0.0513847532214479</c:v>
                </c:pt>
                <c:pt idx="4">
                  <c:v>0.0476012376321661</c:v>
                </c:pt>
                <c:pt idx="5">
                  <c:v>0.0436984804846462</c:v>
                </c:pt>
                <c:pt idx="6">
                  <c:v>0.0503500024476001</c:v>
                </c:pt>
                <c:pt idx="7">
                  <c:v>0.048393601290496</c:v>
                </c:pt>
                <c:pt idx="8">
                  <c:v>0.0412581779602814</c:v>
                </c:pt>
                <c:pt idx="9">
                  <c:v>0.0440121894628938</c:v>
                </c:pt>
                <c:pt idx="10">
                  <c:v>0.0472303809425341</c:v>
                </c:pt>
                <c:pt idx="11">
                  <c:v>0.0519841448358323</c:v>
                </c:pt>
                <c:pt idx="12">
                  <c:v>0.0462029982796828</c:v>
                </c:pt>
                <c:pt idx="13">
                  <c:v>0.0469973123411934</c:v>
                </c:pt>
                <c:pt idx="14">
                  <c:v>0.0423573807736138</c:v>
                </c:pt>
                <c:pt idx="15">
                  <c:v>0.0460249611970122</c:v>
                </c:pt>
                <c:pt idx="16">
                  <c:v>0.0433553160843405</c:v>
                </c:pt>
                <c:pt idx="17">
                  <c:v>0.0451638631438923</c:v>
                </c:pt>
                <c:pt idx="18">
                  <c:v>0.0489873398343541</c:v>
                </c:pt>
                <c:pt idx="19">
                  <c:v>0.0495029557869866</c:v>
                </c:pt>
                <c:pt idx="20">
                  <c:v>0.0481135031105858</c:v>
                </c:pt>
                <c:pt idx="21">
                  <c:v>0.0443802300868373</c:v>
                </c:pt>
                <c:pt idx="22">
                  <c:v>0.0466955595441275</c:v>
                </c:pt>
                <c:pt idx="23">
                  <c:v>0.0430762302424649</c:v>
                </c:pt>
                <c:pt idx="24">
                  <c:v>0.05412777338504</c:v>
                </c:pt>
                <c:pt idx="25">
                  <c:v>0.0479794765341335</c:v>
                </c:pt>
                <c:pt idx="26">
                  <c:v>0.0492283456814434</c:v>
                </c:pt>
                <c:pt idx="27">
                  <c:v>0.0473533894668232</c:v>
                </c:pt>
                <c:pt idx="28">
                  <c:v>0.0500392464678036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'4'!$BO$2</c:f>
              <c:strCache>
                <c:ptCount val="1"/>
                <c:pt idx="0">
                  <c:v>其他
单耗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'4'!$BO$4:$BO$33</c:f>
              <c:numCache>
                <c:formatCode>0.0000_);[Red]\(0.0000\)</c:formatCode>
                <c:ptCount val="30"/>
                <c:pt idx="0">
                  <c:v>0.0575521520335482</c:v>
                </c:pt>
                <c:pt idx="1">
                  <c:v>0.0470401617972576</c:v>
                </c:pt>
                <c:pt idx="2">
                  <c:v>0.0651895211987687</c:v>
                </c:pt>
                <c:pt idx="3">
                  <c:v>0.0985744024875347</c:v>
                </c:pt>
                <c:pt idx="4">
                  <c:v>0.112814933188231</c:v>
                </c:pt>
                <c:pt idx="5">
                  <c:v>0.0891396034031049</c:v>
                </c:pt>
                <c:pt idx="6">
                  <c:v>0.0850998958034688</c:v>
                </c:pt>
                <c:pt idx="7">
                  <c:v>0.0797935206345543</c:v>
                </c:pt>
                <c:pt idx="8">
                  <c:v>0.0642586298355532</c:v>
                </c:pt>
                <c:pt idx="9">
                  <c:v>0.0631881090545242</c:v>
                </c:pt>
                <c:pt idx="10">
                  <c:v>0.0663862362798599</c:v>
                </c:pt>
                <c:pt idx="11">
                  <c:v>0.0598117574139767</c:v>
                </c:pt>
                <c:pt idx="12">
                  <c:v>0.0619021872695918</c:v>
                </c:pt>
                <c:pt idx="13">
                  <c:v>0.0662152966460762</c:v>
                </c:pt>
                <c:pt idx="14">
                  <c:v>0.0646084830281131</c:v>
                </c:pt>
                <c:pt idx="15">
                  <c:v>0.0583772773787328</c:v>
                </c:pt>
                <c:pt idx="16">
                  <c:v>0.0595682773969585</c:v>
                </c:pt>
                <c:pt idx="17">
                  <c:v>0.0525380649687102</c:v>
                </c:pt>
                <c:pt idx="18">
                  <c:v>0.0572172129265129</c:v>
                </c:pt>
                <c:pt idx="19">
                  <c:v>0.0788087056128418</c:v>
                </c:pt>
                <c:pt idx="20">
                  <c:v>0.0660788613883699</c:v>
                </c:pt>
                <c:pt idx="21">
                  <c:v>0.0627635076160927</c:v>
                </c:pt>
                <c:pt idx="22">
                  <c:v>0.0499798138987998</c:v>
                </c:pt>
                <c:pt idx="23">
                  <c:v>0.0640758924856188</c:v>
                </c:pt>
                <c:pt idx="24">
                  <c:v>0.0728623509496725</c:v>
                </c:pt>
                <c:pt idx="25">
                  <c:v>0.0562867801854315</c:v>
                </c:pt>
                <c:pt idx="26">
                  <c:v>0.0621104191793228</c:v>
                </c:pt>
                <c:pt idx="27">
                  <c:v>0.0696864317741709</c:v>
                </c:pt>
                <c:pt idx="28">
                  <c:v>0.0504336734694078</c:v>
                </c:pt>
                <c:pt idx="29">
                  <c:v>0.057844599113203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'4'!$BG$2</c:f>
              <c:strCache>
                <c:ptCount val="1"/>
                <c:pt idx="0">
                  <c:v>总单耗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'4'!$BG$4:$BG$33</c:f>
              <c:numCache>
                <c:formatCode>0.0000_);[Red]\(0.0000\)</c:formatCode>
                <c:ptCount val="30"/>
                <c:pt idx="0">
                  <c:v>0.276750471620608</c:v>
                </c:pt>
                <c:pt idx="1">
                  <c:v>0.270157732459612</c:v>
                </c:pt>
                <c:pt idx="2">
                  <c:v>0.275676566976542</c:v>
                </c:pt>
                <c:pt idx="3">
                  <c:v>0.345858915913463</c:v>
                </c:pt>
                <c:pt idx="4">
                  <c:v>0.3740097242528</c:v>
                </c:pt>
                <c:pt idx="5">
                  <c:v>0.315820836229921</c:v>
                </c:pt>
                <c:pt idx="6">
                  <c:v>0.33916321093157</c:v>
                </c:pt>
                <c:pt idx="7">
                  <c:v>0.294125554510077</c:v>
                </c:pt>
                <c:pt idx="8">
                  <c:v>0.265722312815569</c:v>
                </c:pt>
                <c:pt idx="9">
                  <c:v>0.269335463778408</c:v>
                </c:pt>
                <c:pt idx="10">
                  <c:v>0.280430386846375</c:v>
                </c:pt>
                <c:pt idx="11">
                  <c:v>0.270417522655583</c:v>
                </c:pt>
                <c:pt idx="12">
                  <c:v>0.26640452199558</c:v>
                </c:pt>
                <c:pt idx="13">
                  <c:v>0.270234545961924</c:v>
                </c:pt>
                <c:pt idx="14">
                  <c:v>0.26232696047281</c:v>
                </c:pt>
                <c:pt idx="15">
                  <c:v>0.272232749208003</c:v>
                </c:pt>
                <c:pt idx="16">
                  <c:v>0.27747402293979</c:v>
                </c:pt>
                <c:pt idx="17">
                  <c:v>0.293084643806082</c:v>
                </c:pt>
                <c:pt idx="18">
                  <c:v>0.305150304384855</c:v>
                </c:pt>
                <c:pt idx="19">
                  <c:v>0.313710591905733</c:v>
                </c:pt>
                <c:pt idx="20">
                  <c:v>0.317213444926827</c:v>
                </c:pt>
                <c:pt idx="21">
                  <c:v>0.273678085535461</c:v>
                </c:pt>
                <c:pt idx="22">
                  <c:v>0.269958703614581</c:v>
                </c:pt>
                <c:pt idx="23">
                  <c:v>0.276568978261171</c:v>
                </c:pt>
                <c:pt idx="24">
                  <c:v>0.306724049182016</c:v>
                </c:pt>
                <c:pt idx="25">
                  <c:v>0.289345618690447</c:v>
                </c:pt>
                <c:pt idx="26">
                  <c:v>0.268786767420638</c:v>
                </c:pt>
                <c:pt idx="27">
                  <c:v>0.269322402592645</c:v>
                </c:pt>
                <c:pt idx="28">
                  <c:v>0.274234693877558</c:v>
                </c:pt>
                <c:pt idx="29">
                  <c:v>0.257102519010165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668528"/>
        <c:axId val="148074480"/>
      </c:lineChart>
      <c:lineChart>
        <c:grouping val="standard"/>
        <c:varyColors val="0"/>
        <c:ser>
          <c:idx val="0"/>
          <c:order val="0"/>
          <c:tx>
            <c:strRef>
              <c:f>'4'!$BH$2</c:f>
              <c:strCache>
                <c:ptCount val="1"/>
                <c:pt idx="0">
                  <c:v>一次提
升单耗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'4'!$BH$4:$BH$33</c:f>
              <c:numCache>
                <c:formatCode>0.0000_);[Red]\(0.0000\)</c:formatCode>
                <c:ptCount val="30"/>
                <c:pt idx="0">
                  <c:v>0.0433323544197934</c:v>
                </c:pt>
                <c:pt idx="1">
                  <c:v>0.0464889408825478</c:v>
                </c:pt>
                <c:pt idx="2">
                  <c:v>0.0432879196982494</c:v>
                </c:pt>
                <c:pt idx="3">
                  <c:v>0.0509420538090618</c:v>
                </c:pt>
                <c:pt idx="4">
                  <c:v>0.0488592703410368</c:v>
                </c:pt>
                <c:pt idx="5">
                  <c:v>0.0456635879100871</c:v>
                </c:pt>
                <c:pt idx="6">
                  <c:v>0.0569850138812135</c:v>
                </c:pt>
                <c:pt idx="7">
                  <c:v>0.0454383653716884</c:v>
                </c:pt>
                <c:pt idx="8">
                  <c:v>0.0452228923947403</c:v>
                </c:pt>
                <c:pt idx="9">
                  <c:v>0.0505834007070637</c:v>
                </c:pt>
                <c:pt idx="10">
                  <c:v>0.0477538509979867</c:v>
                </c:pt>
                <c:pt idx="11">
                  <c:v>0.0428469316858382</c:v>
                </c:pt>
                <c:pt idx="12">
                  <c:v>0.0432538707299096</c:v>
                </c:pt>
                <c:pt idx="13">
                  <c:v>0.0411343976266356</c:v>
                </c:pt>
                <c:pt idx="14">
                  <c:v>0.0423920368124169</c:v>
                </c:pt>
                <c:pt idx="15">
                  <c:v>0.0448851089665428</c:v>
                </c:pt>
                <c:pt idx="16">
                  <c:v>0.0455828158796046</c:v>
                </c:pt>
                <c:pt idx="17">
                  <c:v>0.0506796200469908</c:v>
                </c:pt>
                <c:pt idx="18">
                  <c:v>0.0506324979971366</c:v>
                </c:pt>
                <c:pt idx="19">
                  <c:v>0.0557011863440929</c:v>
                </c:pt>
                <c:pt idx="20">
                  <c:v>0.051497113189805</c:v>
                </c:pt>
                <c:pt idx="21">
                  <c:v>0.0360170222838121</c:v>
                </c:pt>
                <c:pt idx="22">
                  <c:v>0.0531784597275094</c:v>
                </c:pt>
                <c:pt idx="23">
                  <c:v>0.0522201391166469</c:v>
                </c:pt>
                <c:pt idx="24">
                  <c:v>0.053563146415627</c:v>
                </c:pt>
                <c:pt idx="25">
                  <c:v>0.0450184574108678</c:v>
                </c:pt>
                <c:pt idx="26">
                  <c:v>0.0416826248553925</c:v>
                </c:pt>
                <c:pt idx="27">
                  <c:v>0.044484563288301</c:v>
                </c:pt>
                <c:pt idx="28">
                  <c:v>0.0462990580847714</c:v>
                </c:pt>
                <c:pt idx="29">
                  <c:v>0.0407757659822134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074872"/>
        <c:axId val="148075264"/>
      </c:lineChart>
      <c:catAx>
        <c:axId val="14766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074480"/>
        <c:crosses val="autoZero"/>
        <c:auto val="1"/>
        <c:lblAlgn val="ctr"/>
        <c:lblOffset val="100"/>
        <c:noMultiLvlLbl val="0"/>
      </c:catAx>
      <c:valAx>
        <c:axId val="14807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7668528"/>
        <c:crosses val="autoZero"/>
        <c:crossBetween val="between"/>
      </c:valAx>
      <c:catAx>
        <c:axId val="148074872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8075264"/>
        <c:crosses val="autoZero"/>
        <c:auto val="1"/>
        <c:lblAlgn val="ctr"/>
        <c:lblOffset val="100"/>
        <c:noMultiLvlLbl val="0"/>
      </c:catAx>
      <c:valAx>
        <c:axId val="148075264"/>
        <c:scaling>
          <c:orientation val="minMax"/>
        </c:scaling>
        <c:delete val="0"/>
        <c:axPos val="r"/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074872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0961371262372"/>
          <c:y val="0.0920863329570157"/>
          <c:w val="0.871518426653678"/>
          <c:h val="0.749640304228206"/>
        </c:manualLayout>
      </c:layout>
      <c:lineChart>
        <c:grouping val="standard"/>
        <c:varyColors val="0"/>
        <c:ser>
          <c:idx val="1"/>
          <c:order val="1"/>
          <c:tx>
            <c:strRef>
              <c:f>'5'!$BJ$2</c:f>
              <c:strCache>
                <c:ptCount val="1"/>
                <c:pt idx="0">
                  <c:v>三次提
升单耗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'5'!$BJ$4:$BJ$32</c:f>
              <c:numCache>
                <c:formatCode>0.0000_);[Red]\(0.0000\)</c:formatCode>
                <c:ptCount val="29"/>
                <c:pt idx="0">
                  <c:v>0.0435737039299004</c:v>
                </c:pt>
                <c:pt idx="1">
                  <c:v>0.0395894321640528</c:v>
                </c:pt>
                <c:pt idx="2">
                  <c:v>0.0353278166772756</c:v>
                </c:pt>
                <c:pt idx="3">
                  <c:v>0.0366488625883814</c:v>
                </c:pt>
                <c:pt idx="4">
                  <c:v>0.037934917906461</c:v>
                </c:pt>
                <c:pt idx="5">
                  <c:v>0.0364075652371544</c:v>
                </c:pt>
                <c:pt idx="6">
                  <c:v>0.0368451610021884</c:v>
                </c:pt>
                <c:pt idx="7">
                  <c:v>0.0357338329403809</c:v>
                </c:pt>
                <c:pt idx="8">
                  <c:v>0.0359687237783821</c:v>
                </c:pt>
                <c:pt idx="9">
                  <c:v>0.0354964681268093</c:v>
                </c:pt>
                <c:pt idx="10">
                  <c:v>0.0373257390548622</c:v>
                </c:pt>
                <c:pt idx="11">
                  <c:v>0.036702371691304</c:v>
                </c:pt>
                <c:pt idx="12">
                  <c:v>0.0385565070842056</c:v>
                </c:pt>
                <c:pt idx="13">
                  <c:v>0.0331383453880068</c:v>
                </c:pt>
                <c:pt idx="14">
                  <c:v>0.0435332387378242</c:v>
                </c:pt>
                <c:pt idx="15">
                  <c:v>0.0380468637692278</c:v>
                </c:pt>
                <c:pt idx="16">
                  <c:v>0.039779125055936</c:v>
                </c:pt>
                <c:pt idx="17">
                  <c:v>0.037190610476251</c:v>
                </c:pt>
                <c:pt idx="18">
                  <c:v>0.0373127133188075</c:v>
                </c:pt>
                <c:pt idx="19">
                  <c:v>0.0369105885161766</c:v>
                </c:pt>
                <c:pt idx="20">
                  <c:v>0.0371772049805019</c:v>
                </c:pt>
                <c:pt idx="21">
                  <c:v>0.0374665223089607</c:v>
                </c:pt>
                <c:pt idx="22">
                  <c:v>0.0372571373129345</c:v>
                </c:pt>
                <c:pt idx="23">
                  <c:v>0.0365920447440703</c:v>
                </c:pt>
                <c:pt idx="24">
                  <c:v>0.0387533378963342</c:v>
                </c:pt>
                <c:pt idx="25">
                  <c:v>0.0384715137892308</c:v>
                </c:pt>
                <c:pt idx="26">
                  <c:v>0.0405037440435614</c:v>
                </c:pt>
                <c:pt idx="27">
                  <c:v>0.0391485892763192</c:v>
                </c:pt>
                <c:pt idx="28">
                  <c:v>0.0401977370511865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'5'!$BK$2</c:f>
              <c:strCache>
                <c:ptCount val="1"/>
                <c:pt idx="0">
                  <c:v>风机
单耗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'5'!$BK$4:$BK$32</c:f>
              <c:numCache>
                <c:formatCode>0.0000_);[Red]\(0.0000\)</c:formatCode>
                <c:ptCount val="29"/>
                <c:pt idx="0">
                  <c:v>0.161750870648792</c:v>
                </c:pt>
                <c:pt idx="1">
                  <c:v>0.103876858705681</c:v>
                </c:pt>
                <c:pt idx="2">
                  <c:v>0.0821133036282657</c:v>
                </c:pt>
                <c:pt idx="3">
                  <c:v>0.0619620350445725</c:v>
                </c:pt>
                <c:pt idx="4">
                  <c:v>0.0661885286388899</c:v>
                </c:pt>
                <c:pt idx="5">
                  <c:v>0.0271532830535786</c:v>
                </c:pt>
                <c:pt idx="6">
                  <c:v>0.125050243401365</c:v>
                </c:pt>
                <c:pt idx="7">
                  <c:v>0.0678890198720089</c:v>
                </c:pt>
                <c:pt idx="8">
                  <c:v>0.0812369392914254</c:v>
                </c:pt>
                <c:pt idx="9">
                  <c:v>0.0695710462571276</c:v>
                </c:pt>
                <c:pt idx="10">
                  <c:v>0.0717198632611112</c:v>
                </c:pt>
                <c:pt idx="11">
                  <c:v>0.0653262322222905</c:v>
                </c:pt>
                <c:pt idx="12">
                  <c:v>0.0651590272198082</c:v>
                </c:pt>
                <c:pt idx="13">
                  <c:v>0.0480265875188548</c:v>
                </c:pt>
                <c:pt idx="14">
                  <c:v>0.0661203293468075</c:v>
                </c:pt>
                <c:pt idx="15">
                  <c:v>0.061334994489435</c:v>
                </c:pt>
                <c:pt idx="16">
                  <c:v>0.0467121987677814</c:v>
                </c:pt>
                <c:pt idx="17">
                  <c:v>0.0461812071964014</c:v>
                </c:pt>
                <c:pt idx="18">
                  <c:v>0.0448331051505051</c:v>
                </c:pt>
                <c:pt idx="19">
                  <c:v>0.0424973140742492</c:v>
                </c:pt>
                <c:pt idx="20">
                  <c:v>0.0419973560755388</c:v>
                </c:pt>
                <c:pt idx="21">
                  <c:v>0.0470112257108693</c:v>
                </c:pt>
                <c:pt idx="22">
                  <c:v>0.0528779683217291</c:v>
                </c:pt>
                <c:pt idx="23">
                  <c:v>0.0411963417648557</c:v>
                </c:pt>
                <c:pt idx="24">
                  <c:v>0.0424165887422482</c:v>
                </c:pt>
                <c:pt idx="25">
                  <c:v>0.0408249522107912</c:v>
                </c:pt>
                <c:pt idx="26">
                  <c:v>0.039385393367696</c:v>
                </c:pt>
                <c:pt idx="27">
                  <c:v>0.0402860785531136</c:v>
                </c:pt>
                <c:pt idx="28">
                  <c:v>0.0414701155979438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'5'!$BL$2</c:f>
              <c:strCache>
                <c:ptCount val="1"/>
                <c:pt idx="0">
                  <c:v>提标
总单耗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'5'!$BL$4:$BL$32</c:f>
              <c:numCache>
                <c:formatCode>0.0000_);[Red]\(0.0000\)</c:formatCode>
                <c:ptCount val="29"/>
                <c:pt idx="0">
                  <c:v>0.0528166108240561</c:v>
                </c:pt>
                <c:pt idx="1">
                  <c:v>0.0552072815499141</c:v>
                </c:pt>
                <c:pt idx="2">
                  <c:v>0.0496499045193866</c:v>
                </c:pt>
                <c:pt idx="3">
                  <c:v>0.0461112818936297</c:v>
                </c:pt>
                <c:pt idx="4">
                  <c:v>0.0474186473831121</c:v>
                </c:pt>
                <c:pt idx="5">
                  <c:v>0.0465484852346774</c:v>
                </c:pt>
                <c:pt idx="6">
                  <c:v>0.0457773212451675</c:v>
                </c:pt>
                <c:pt idx="7">
                  <c:v>0.0442068036375961</c:v>
                </c:pt>
                <c:pt idx="8">
                  <c:v>0.0427562838375903</c:v>
                </c:pt>
                <c:pt idx="9">
                  <c:v>0.0436723356066572</c:v>
                </c:pt>
                <c:pt idx="10">
                  <c:v>0.0481622439417503</c:v>
                </c:pt>
                <c:pt idx="11">
                  <c:v>0.0468753116709625</c:v>
                </c:pt>
                <c:pt idx="12">
                  <c:v>0.048011914793563</c:v>
                </c:pt>
                <c:pt idx="13">
                  <c:v>0.0470660557684525</c:v>
                </c:pt>
                <c:pt idx="14">
                  <c:v>0.0492282744042142</c:v>
                </c:pt>
                <c:pt idx="15">
                  <c:v>0.0469596051559521</c:v>
                </c:pt>
                <c:pt idx="16">
                  <c:v>0.0481873208341467</c:v>
                </c:pt>
                <c:pt idx="17">
                  <c:v>0.0461812071964148</c:v>
                </c:pt>
                <c:pt idx="18">
                  <c:v>0.0482076399467788</c:v>
                </c:pt>
                <c:pt idx="19">
                  <c:v>0.0458397994508705</c:v>
                </c:pt>
                <c:pt idx="20">
                  <c:v>0.0477242682676568</c:v>
                </c:pt>
                <c:pt idx="21">
                  <c:v>0.0455866431135608</c:v>
                </c:pt>
                <c:pt idx="22">
                  <c:v>0.0446309457394285</c:v>
                </c:pt>
                <c:pt idx="23">
                  <c:v>0.0484662844292368</c:v>
                </c:pt>
                <c:pt idx="24">
                  <c:v>0.0510927091668313</c:v>
                </c:pt>
                <c:pt idx="25">
                  <c:v>0.0470687684312442</c:v>
                </c:pt>
                <c:pt idx="26">
                  <c:v>0.0505689001264293</c:v>
                </c:pt>
                <c:pt idx="27">
                  <c:v>0.045499571071745</c:v>
                </c:pt>
                <c:pt idx="28">
                  <c:v>0.0480676339885503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'5'!$BO$2</c:f>
              <c:strCache>
                <c:ptCount val="1"/>
                <c:pt idx="0">
                  <c:v>其他
单耗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'5'!$BO$4:$BO$33</c:f>
              <c:numCache>
                <c:formatCode>0.0000_);[Red]\(0.0000\)</c:formatCode>
                <c:ptCount val="30"/>
                <c:pt idx="0">
                  <c:v>0.225315661775651</c:v>
                </c:pt>
                <c:pt idx="1">
                  <c:v>0.111893537116051</c:v>
                </c:pt>
                <c:pt idx="2">
                  <c:v>0.0758828771482821</c:v>
                </c:pt>
                <c:pt idx="3">
                  <c:v>0.0644232247157054</c:v>
                </c:pt>
                <c:pt idx="4">
                  <c:v>0.0689941319423112</c:v>
                </c:pt>
                <c:pt idx="5">
                  <c:v>0.128994718963559</c:v>
                </c:pt>
                <c:pt idx="6">
                  <c:v>0.0282970836496334</c:v>
                </c:pt>
                <c:pt idx="7">
                  <c:v>0.0713560963287155</c:v>
                </c:pt>
                <c:pt idx="8">
                  <c:v>0.0725467246014772</c:v>
                </c:pt>
                <c:pt idx="9">
                  <c:v>0.0794206813900291</c:v>
                </c:pt>
                <c:pt idx="10">
                  <c:v>0.0774051020567904</c:v>
                </c:pt>
                <c:pt idx="11">
                  <c:v>0.0675443320766653</c:v>
                </c:pt>
                <c:pt idx="12">
                  <c:v>0.0591918320954719</c:v>
                </c:pt>
                <c:pt idx="13">
                  <c:v>0.0779951781306479</c:v>
                </c:pt>
                <c:pt idx="14">
                  <c:v>0.0545873994922607</c:v>
                </c:pt>
                <c:pt idx="15">
                  <c:v>0.0582490775792253</c:v>
                </c:pt>
                <c:pt idx="16">
                  <c:v>0.0819558151769914</c:v>
                </c:pt>
                <c:pt idx="17">
                  <c:v>0.077503856622065</c:v>
                </c:pt>
                <c:pt idx="18">
                  <c:v>0.071960508301353</c:v>
                </c:pt>
                <c:pt idx="19">
                  <c:v>0.0664352393459015</c:v>
                </c:pt>
                <c:pt idx="20">
                  <c:v>0.0703742059874778</c:v>
                </c:pt>
                <c:pt idx="21">
                  <c:v>0.0666609683362453</c:v>
                </c:pt>
                <c:pt idx="22">
                  <c:v>0.0672142042836604</c:v>
                </c:pt>
                <c:pt idx="23">
                  <c:v>0.0658269075117535</c:v>
                </c:pt>
                <c:pt idx="24">
                  <c:v>0.0692894257372186</c:v>
                </c:pt>
                <c:pt idx="25">
                  <c:v>0.0610453108939775</c:v>
                </c:pt>
                <c:pt idx="26">
                  <c:v>0.0607274141788176</c:v>
                </c:pt>
                <c:pt idx="27">
                  <c:v>0.0590546516201847</c:v>
                </c:pt>
                <c:pt idx="28">
                  <c:v>0.0595001908567706</c:v>
                </c:pt>
                <c:pt idx="29">
                  <c:v>0.0517202803804107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'5'!$BG$2</c:f>
              <c:strCache>
                <c:ptCount val="1"/>
                <c:pt idx="0">
                  <c:v>总单耗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'5'!$BG$4:$BG$33</c:f>
              <c:numCache>
                <c:formatCode>0.0000_);[Red]\(0.0000\)</c:formatCode>
                <c:ptCount val="30"/>
                <c:pt idx="0">
                  <c:v>0.604089986300668</c:v>
                </c:pt>
                <c:pt idx="1">
                  <c:v>0.366837857666991</c:v>
                </c:pt>
                <c:pt idx="2">
                  <c:v>0.299809038828716</c:v>
                </c:pt>
                <c:pt idx="3">
                  <c:v>0.254572702121171</c:v>
                </c:pt>
                <c:pt idx="4">
                  <c:v>0.277596664888417</c:v>
                </c:pt>
                <c:pt idx="5">
                  <c:v>0.300902708124389</c:v>
                </c:pt>
                <c:pt idx="6">
                  <c:v>0.296436068063033</c:v>
                </c:pt>
                <c:pt idx="7">
                  <c:v>0.27576625126304</c:v>
                </c:pt>
                <c:pt idx="8">
                  <c:v>0.301431801055077</c:v>
                </c:pt>
                <c:pt idx="9">
                  <c:v>0.288440542146358</c:v>
                </c:pt>
                <c:pt idx="10">
                  <c:v>0.297873008726721</c:v>
                </c:pt>
                <c:pt idx="11">
                  <c:v>0.278259828855241</c:v>
                </c:pt>
                <c:pt idx="12">
                  <c:v>0.273863881322392</c:v>
                </c:pt>
                <c:pt idx="13">
                  <c:v>0.272791017107084</c:v>
                </c:pt>
                <c:pt idx="14">
                  <c:v>0.277994961341336</c:v>
                </c:pt>
                <c:pt idx="15">
                  <c:v>0.256361109780074</c:v>
                </c:pt>
                <c:pt idx="16">
                  <c:v>0.273389289630359</c:v>
                </c:pt>
                <c:pt idx="17">
                  <c:v>0.264805007221926</c:v>
                </c:pt>
                <c:pt idx="18">
                  <c:v>0.265142019707283</c:v>
                </c:pt>
                <c:pt idx="19">
                  <c:v>0.241613942939062</c:v>
                </c:pt>
                <c:pt idx="20">
                  <c:v>0.246257224261102</c:v>
                </c:pt>
                <c:pt idx="21">
                  <c:v>0.255475145782248</c:v>
                </c:pt>
                <c:pt idx="22">
                  <c:v>0.252746986198411</c:v>
                </c:pt>
                <c:pt idx="23">
                  <c:v>0.240877433613275</c:v>
                </c:pt>
                <c:pt idx="24">
                  <c:v>0.254017525763279</c:v>
                </c:pt>
                <c:pt idx="25">
                  <c:v>0.237265016377947</c:v>
                </c:pt>
                <c:pt idx="26">
                  <c:v>0.242633472722046</c:v>
                </c:pt>
                <c:pt idx="27">
                  <c:v>0.235555071069351</c:v>
                </c:pt>
                <c:pt idx="28">
                  <c:v>0.24316567782432</c:v>
                </c:pt>
                <c:pt idx="29">
                  <c:v>0.250171107597143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076048"/>
        <c:axId val="148076440"/>
      </c:lineChart>
      <c:lineChart>
        <c:grouping val="standard"/>
        <c:varyColors val="0"/>
        <c:ser>
          <c:idx val="0"/>
          <c:order val="0"/>
          <c:tx>
            <c:strRef>
              <c:f>'5'!$BH$2</c:f>
              <c:strCache>
                <c:ptCount val="1"/>
                <c:pt idx="0">
                  <c:v>一次提
升单耗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'5'!$BH$4:$BH$33</c:f>
              <c:numCache>
                <c:formatCode>0.0000_);[Red]\(0.0000\)</c:formatCode>
                <c:ptCount val="30"/>
                <c:pt idx="0">
                  <c:v>0.0874246950666153</c:v>
                </c:pt>
                <c:pt idx="1">
                  <c:v>0.0439217509425063</c:v>
                </c:pt>
                <c:pt idx="2">
                  <c:v>0.0482546148949701</c:v>
                </c:pt>
                <c:pt idx="3">
                  <c:v>0.0369927758991712</c:v>
                </c:pt>
                <c:pt idx="4">
                  <c:v>0.045541659257503</c:v>
                </c:pt>
                <c:pt idx="5">
                  <c:v>0.048011437627805</c:v>
                </c:pt>
                <c:pt idx="6">
                  <c:v>0.0469117055959955</c:v>
                </c:pt>
                <c:pt idx="7">
                  <c:v>0.0439499831593134</c:v>
                </c:pt>
                <c:pt idx="8">
                  <c:v>0.0556473034146294</c:v>
                </c:pt>
                <c:pt idx="9">
                  <c:v>0.0479501932246907</c:v>
                </c:pt>
                <c:pt idx="10">
                  <c:v>0.0501306139115605</c:v>
                </c:pt>
                <c:pt idx="11">
                  <c:v>0.0503620369816237</c:v>
                </c:pt>
                <c:pt idx="12">
                  <c:v>0.0531266534715612</c:v>
                </c:pt>
                <c:pt idx="13">
                  <c:v>0.0554418926317537</c:v>
                </c:pt>
                <c:pt idx="14">
                  <c:v>0.0525564918580351</c:v>
                </c:pt>
                <c:pt idx="15">
                  <c:v>0.0400402510901315</c:v>
                </c:pt>
                <c:pt idx="16">
                  <c:v>0.0445801556745526</c:v>
                </c:pt>
                <c:pt idx="17">
                  <c:v>0.0458196181698486</c:v>
                </c:pt>
                <c:pt idx="18">
                  <c:v>0.0530901097205881</c:v>
                </c:pt>
                <c:pt idx="19">
                  <c:v>0.0403619434164968</c:v>
                </c:pt>
                <c:pt idx="20">
                  <c:v>0.0398211294425353</c:v>
                </c:pt>
                <c:pt idx="21">
                  <c:v>0.0491196079548696</c:v>
                </c:pt>
                <c:pt idx="22">
                  <c:v>0.0412389938632387</c:v>
                </c:pt>
                <c:pt idx="23">
                  <c:v>0.0392383038739157</c:v>
                </c:pt>
                <c:pt idx="24">
                  <c:v>0.0424782855986037</c:v>
                </c:pt>
                <c:pt idx="25">
                  <c:v>0.0403254469131512</c:v>
                </c:pt>
                <c:pt idx="26">
                  <c:v>0.0419566274433512</c:v>
                </c:pt>
                <c:pt idx="27">
                  <c:v>0.0407031579546059</c:v>
                </c:pt>
                <c:pt idx="28">
                  <c:v>0.0421110173844571</c:v>
                </c:pt>
                <c:pt idx="29">
                  <c:v>0.0419192372141382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076832"/>
        <c:axId val="148077224"/>
      </c:lineChart>
      <c:catAx>
        <c:axId val="14807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076440"/>
        <c:crosses val="autoZero"/>
        <c:auto val="1"/>
        <c:lblAlgn val="ctr"/>
        <c:lblOffset val="100"/>
        <c:noMultiLvlLbl val="0"/>
      </c:catAx>
      <c:valAx>
        <c:axId val="14807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076048"/>
        <c:crosses val="autoZero"/>
        <c:crossBetween val="between"/>
      </c:valAx>
      <c:catAx>
        <c:axId val="148076832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8077224"/>
        <c:crosses val="autoZero"/>
        <c:auto val="1"/>
        <c:lblAlgn val="ctr"/>
        <c:lblOffset val="100"/>
        <c:noMultiLvlLbl val="0"/>
      </c:catAx>
      <c:valAx>
        <c:axId val="148077224"/>
        <c:scaling>
          <c:orientation val="minMax"/>
        </c:scaling>
        <c:delete val="0"/>
        <c:axPos val="r"/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076832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0961371262372"/>
          <c:y val="0.0920863329570157"/>
          <c:w val="0.871518426653678"/>
          <c:h val="0.749640304228206"/>
        </c:manualLayout>
      </c:layout>
      <c:lineChart>
        <c:grouping val="standard"/>
        <c:varyColors val="0"/>
        <c:ser>
          <c:idx val="1"/>
          <c:order val="1"/>
          <c:tx>
            <c:strRef>
              <c:f>'6'!$BJ$2</c:f>
              <c:strCache>
                <c:ptCount val="1"/>
                <c:pt idx="0">
                  <c:v>三次提
升单耗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'6'!$BJ$4:$BJ$32</c:f>
              <c:numCache>
                <c:formatCode>0.0000_);[Red]\(0.0000\)</c:formatCode>
                <c:ptCount val="29"/>
                <c:pt idx="0">
                  <c:v>0.039281895980377</c:v>
                </c:pt>
                <c:pt idx="1">
                  <c:v>0.0398064615621825</c:v>
                </c:pt>
                <c:pt idx="2">
                  <c:v>0.0393007893544505</c:v>
                </c:pt>
                <c:pt idx="3">
                  <c:v>0.0402816361720499</c:v>
                </c:pt>
                <c:pt idx="4">
                  <c:v>0.0386144670438919</c:v>
                </c:pt>
                <c:pt idx="5">
                  <c:v>0.0401542616960092</c:v>
                </c:pt>
                <c:pt idx="6">
                  <c:v>0.0392044599925293</c:v>
                </c:pt>
                <c:pt idx="7">
                  <c:v>0.0398885467077241</c:v>
                </c:pt>
                <c:pt idx="8">
                  <c:v>0.0393438828940925</c:v>
                </c:pt>
                <c:pt idx="9">
                  <c:v>0.0401929260450161</c:v>
                </c:pt>
                <c:pt idx="10">
                  <c:v>0.0378774715918977</c:v>
                </c:pt>
                <c:pt idx="11">
                  <c:v>0.0373235067044899</c:v>
                </c:pt>
                <c:pt idx="12">
                  <c:v>0.0379706732110599</c:v>
                </c:pt>
                <c:pt idx="13">
                  <c:v>0.0379844961240262</c:v>
                </c:pt>
                <c:pt idx="14">
                  <c:v>0.037836568018352</c:v>
                </c:pt>
                <c:pt idx="15">
                  <c:v>0.0385276452752989</c:v>
                </c:pt>
                <c:pt idx="16">
                  <c:v>0.0381076263429198</c:v>
                </c:pt>
                <c:pt idx="17">
                  <c:v>0.0380474997016337</c:v>
                </c:pt>
                <c:pt idx="18">
                  <c:v>0.0373680486220863</c:v>
                </c:pt>
                <c:pt idx="19">
                  <c:v>0.0378974958312683</c:v>
                </c:pt>
                <c:pt idx="20">
                  <c:v>0.0375151290125119</c:v>
                </c:pt>
                <c:pt idx="21">
                  <c:v>0.0398825950015058</c:v>
                </c:pt>
                <c:pt idx="22">
                  <c:v>0.0407147155307928</c:v>
                </c:pt>
                <c:pt idx="23">
                  <c:v>0.04110208657004</c:v>
                </c:pt>
                <c:pt idx="24">
                  <c:v>0.0410756629102197</c:v>
                </c:pt>
                <c:pt idx="25">
                  <c:v>0.0420569302399224</c:v>
                </c:pt>
                <c:pt idx="26">
                  <c:v>0.040811089562328</c:v>
                </c:pt>
                <c:pt idx="27">
                  <c:v>0.0423229165137695</c:v>
                </c:pt>
                <c:pt idx="28">
                  <c:v>0.0413505217925093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'6'!$BK$2</c:f>
              <c:strCache>
                <c:ptCount val="1"/>
                <c:pt idx="0">
                  <c:v>风机
单耗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'6'!$BK$4:$BK$32</c:f>
              <c:numCache>
                <c:formatCode>0.0000_);[Red]\(0.0000\)</c:formatCode>
                <c:ptCount val="29"/>
                <c:pt idx="0">
                  <c:v>0.0285422643207165</c:v>
                </c:pt>
                <c:pt idx="1">
                  <c:v>0.109877399953737</c:v>
                </c:pt>
                <c:pt idx="2">
                  <c:v>0.0629575751794564</c:v>
                </c:pt>
                <c:pt idx="3">
                  <c:v>0.0617875275409505</c:v>
                </c:pt>
                <c:pt idx="4">
                  <c:v>0.0602156293011225</c:v>
                </c:pt>
                <c:pt idx="5">
                  <c:v>0.0630720417527261</c:v>
                </c:pt>
                <c:pt idx="6">
                  <c:v>0.048520371277881</c:v>
                </c:pt>
                <c:pt idx="7">
                  <c:v>0.0674585716380665</c:v>
                </c:pt>
                <c:pt idx="8">
                  <c:v>0.0612337393082069</c:v>
                </c:pt>
                <c:pt idx="9">
                  <c:v>0.0617598619716119</c:v>
                </c:pt>
                <c:pt idx="10">
                  <c:v>0.066024950481288</c:v>
                </c:pt>
                <c:pt idx="11">
                  <c:v>0.0625216102156556</c:v>
                </c:pt>
                <c:pt idx="12">
                  <c:v>0.0491774597004886</c:v>
                </c:pt>
                <c:pt idx="13">
                  <c:v>0.0514950166112866</c:v>
                </c:pt>
                <c:pt idx="14">
                  <c:v>0.0479829660470551</c:v>
                </c:pt>
                <c:pt idx="15">
                  <c:v>0.0444178366582372</c:v>
                </c:pt>
                <c:pt idx="16">
                  <c:v>0.0558847617671165</c:v>
                </c:pt>
                <c:pt idx="17">
                  <c:v>0.0649242153001525</c:v>
                </c:pt>
                <c:pt idx="18">
                  <c:v>0.0678537847871814</c:v>
                </c:pt>
                <c:pt idx="19">
                  <c:v>0.06943799236182</c:v>
                </c:pt>
                <c:pt idx="20">
                  <c:v>0.0684723434418434</c:v>
                </c:pt>
                <c:pt idx="21">
                  <c:v>0.0468059794638827</c:v>
                </c:pt>
                <c:pt idx="22">
                  <c:v>0.0465865636585955</c:v>
                </c:pt>
                <c:pt idx="23">
                  <c:v>0.0452319612971731</c:v>
                </c:pt>
                <c:pt idx="24">
                  <c:v>0.0606034370806476</c:v>
                </c:pt>
                <c:pt idx="25">
                  <c:v>0.072733749944331</c:v>
                </c:pt>
                <c:pt idx="26">
                  <c:v>0.0483613878731361</c:v>
                </c:pt>
                <c:pt idx="27">
                  <c:v>0.0415889931060128</c:v>
                </c:pt>
                <c:pt idx="28">
                  <c:v>0.05942295887047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'6'!$BL$2</c:f>
              <c:strCache>
                <c:ptCount val="1"/>
                <c:pt idx="0">
                  <c:v>提标
总单耗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'6'!$BL$4:$BL$32</c:f>
              <c:numCache>
                <c:formatCode>0.0000_);[Red]\(0.0000\)</c:formatCode>
                <c:ptCount val="29"/>
                <c:pt idx="0">
                  <c:v>0.0483767191876581</c:v>
                </c:pt>
                <c:pt idx="1">
                  <c:v>0.0443364947181601</c:v>
                </c:pt>
                <c:pt idx="2">
                  <c:v>0.0438795220947563</c:v>
                </c:pt>
                <c:pt idx="3">
                  <c:v>0.0469393620078691</c:v>
                </c:pt>
                <c:pt idx="4">
                  <c:v>0.0449227710659192</c:v>
                </c:pt>
                <c:pt idx="5">
                  <c:v>0.0452578009523467</c:v>
                </c:pt>
                <c:pt idx="6">
                  <c:v>0.0417275192989706</c:v>
                </c:pt>
                <c:pt idx="7">
                  <c:v>0.0449723810920325</c:v>
                </c:pt>
                <c:pt idx="8">
                  <c:v>0.0433939884861284</c:v>
                </c:pt>
                <c:pt idx="9">
                  <c:v>0.046074817661367</c:v>
                </c:pt>
                <c:pt idx="10">
                  <c:v>0.044678537919668</c:v>
                </c:pt>
                <c:pt idx="11">
                  <c:v>0.0464175590995131</c:v>
                </c:pt>
                <c:pt idx="12">
                  <c:v>0.0378288151542234</c:v>
                </c:pt>
                <c:pt idx="13">
                  <c:v>0.0387596899224806</c:v>
                </c:pt>
                <c:pt idx="14">
                  <c:v>0.0419850952911425</c:v>
                </c:pt>
                <c:pt idx="15">
                  <c:v>0.0473146520924804</c:v>
                </c:pt>
                <c:pt idx="16">
                  <c:v>0.0433588668882787</c:v>
                </c:pt>
                <c:pt idx="17">
                  <c:v>0.046783625731008</c:v>
                </c:pt>
                <c:pt idx="18">
                  <c:v>0.0455589697856508</c:v>
                </c:pt>
                <c:pt idx="19">
                  <c:v>0.0459659949437477</c:v>
                </c:pt>
                <c:pt idx="20">
                  <c:v>0.0472555609669207</c:v>
                </c:pt>
                <c:pt idx="21">
                  <c:v>0.0487562286082047</c:v>
                </c:pt>
                <c:pt idx="22">
                  <c:v>0.0485276704777064</c:v>
                </c:pt>
                <c:pt idx="23">
                  <c:v>0.0501484788294612</c:v>
                </c:pt>
                <c:pt idx="24">
                  <c:v>0.0452120879808063</c:v>
                </c:pt>
                <c:pt idx="25">
                  <c:v>0.0474995918003758</c:v>
                </c:pt>
                <c:pt idx="26">
                  <c:v>0.0473744207736763</c:v>
                </c:pt>
                <c:pt idx="27">
                  <c:v>0.0508853562708934</c:v>
                </c:pt>
                <c:pt idx="28">
                  <c:v>0.049109883364027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'6'!$BO$2</c:f>
              <c:strCache>
                <c:ptCount val="1"/>
                <c:pt idx="0">
                  <c:v>其他
单耗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'6'!$BO$4:$BO$33</c:f>
              <c:numCache>
                <c:formatCode>0.0000_);[Red]\(0.0000\)</c:formatCode>
                <c:ptCount val="30"/>
                <c:pt idx="0">
                  <c:v>0.0901548538781179</c:v>
                </c:pt>
                <c:pt idx="1">
                  <c:v>0.00734443673377731</c:v>
                </c:pt>
                <c:pt idx="2">
                  <c:v>0.0495228101971805</c:v>
                </c:pt>
                <c:pt idx="3">
                  <c:v>0.0485161413928578</c:v>
                </c:pt>
                <c:pt idx="4">
                  <c:v>0.0497017892643243</c:v>
                </c:pt>
                <c:pt idx="5">
                  <c:v>0.059389790032693</c:v>
                </c:pt>
                <c:pt idx="6">
                  <c:v>0.0760799421637171</c:v>
                </c:pt>
                <c:pt idx="7">
                  <c:v>0.0668680647212581</c:v>
                </c:pt>
                <c:pt idx="8">
                  <c:v>0.0616001774331096</c:v>
                </c:pt>
                <c:pt idx="9">
                  <c:v>0.0638773429534819</c:v>
                </c:pt>
                <c:pt idx="10">
                  <c:v>0.0573334855714062</c:v>
                </c:pt>
                <c:pt idx="11">
                  <c:v>0.0631240911868213</c:v>
                </c:pt>
                <c:pt idx="12">
                  <c:v>0.0831382785051595</c:v>
                </c:pt>
                <c:pt idx="13">
                  <c:v>0.109271317829379</c:v>
                </c:pt>
                <c:pt idx="14">
                  <c:v>0.0860314588321523</c:v>
                </c:pt>
                <c:pt idx="15">
                  <c:v>0.0742975222571725</c:v>
                </c:pt>
                <c:pt idx="16">
                  <c:v>0.0634060798767205</c:v>
                </c:pt>
                <c:pt idx="17">
                  <c:v>0.047117794486264</c:v>
                </c:pt>
                <c:pt idx="18">
                  <c:v>0.0545835231622417</c:v>
                </c:pt>
                <c:pt idx="19">
                  <c:v>0.0545743499968338</c:v>
                </c:pt>
                <c:pt idx="20">
                  <c:v>0.0552986503233218</c:v>
                </c:pt>
                <c:pt idx="21">
                  <c:v>0.0738754375871454</c:v>
                </c:pt>
                <c:pt idx="22">
                  <c:v>0.074214337015078</c:v>
                </c:pt>
                <c:pt idx="23">
                  <c:v>0.0754587110856989</c:v>
                </c:pt>
                <c:pt idx="24">
                  <c:v>0.0736245184192015</c:v>
                </c:pt>
                <c:pt idx="25">
                  <c:v>0.045144403706834</c:v>
                </c:pt>
                <c:pt idx="26">
                  <c:v>0.0787698442072215</c:v>
                </c:pt>
                <c:pt idx="27">
                  <c:v>0.0727758451129123</c:v>
                </c:pt>
                <c:pt idx="28">
                  <c:v>0.0715629220379819</c:v>
                </c:pt>
                <c:pt idx="29">
                  <c:v>0.0473286248443422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'6'!$BG$2</c:f>
              <c:strCache>
                <c:ptCount val="1"/>
                <c:pt idx="0">
                  <c:v>总单耗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'6'!$BG$4:$BG$33</c:f>
              <c:numCache>
                <c:formatCode>0.0000_);[Red]\(0.0000\)</c:formatCode>
                <c:ptCount val="30"/>
                <c:pt idx="0">
                  <c:v>0.257847913270214</c:v>
                </c:pt>
                <c:pt idx="1">
                  <c:v>0.253489089366962</c:v>
                </c:pt>
                <c:pt idx="2">
                  <c:v>0.248491641427951</c:v>
                </c:pt>
                <c:pt idx="3">
                  <c:v>0.252418814062671</c:v>
                </c:pt>
                <c:pt idx="4">
                  <c:v>0.247553142682294</c:v>
                </c:pt>
                <c:pt idx="5">
                  <c:v>0.264806282167945</c:v>
                </c:pt>
                <c:pt idx="6">
                  <c:v>0.262495208613329</c:v>
                </c:pt>
                <c:pt idx="7">
                  <c:v>0.278144400449838</c:v>
                </c:pt>
                <c:pt idx="8">
                  <c:v>0.261328241771933</c:v>
                </c:pt>
                <c:pt idx="9">
                  <c:v>0.269586699082425</c:v>
                </c:pt>
                <c:pt idx="10">
                  <c:v>0.256653378938631</c:v>
                </c:pt>
                <c:pt idx="11">
                  <c:v>0.257191169296219</c:v>
                </c:pt>
                <c:pt idx="12">
                  <c:v>0.266693146837247</c:v>
                </c:pt>
                <c:pt idx="13">
                  <c:v>0.30011074197111</c:v>
                </c:pt>
                <c:pt idx="14">
                  <c:v>0.279400812711495</c:v>
                </c:pt>
                <c:pt idx="15">
                  <c:v>0.261196191653302</c:v>
                </c:pt>
                <c:pt idx="16">
                  <c:v>0.251481427952072</c:v>
                </c:pt>
                <c:pt idx="17">
                  <c:v>0.253490870032286</c:v>
                </c:pt>
                <c:pt idx="18">
                  <c:v>0.255421032734449</c:v>
                </c:pt>
                <c:pt idx="19">
                  <c:v>0.26112597127615</c:v>
                </c:pt>
                <c:pt idx="20">
                  <c:v>0.270513976555483</c:v>
                </c:pt>
                <c:pt idx="21">
                  <c:v>0.26377119677038</c:v>
                </c:pt>
                <c:pt idx="22">
                  <c:v>0.263990527398836</c:v>
                </c:pt>
                <c:pt idx="23">
                  <c:v>0.266475250250657</c:v>
                </c:pt>
                <c:pt idx="24">
                  <c:v>0.277044283797336</c:v>
                </c:pt>
                <c:pt idx="25">
                  <c:v>0.283018401143826</c:v>
                </c:pt>
                <c:pt idx="26">
                  <c:v>0.265987633302215</c:v>
                </c:pt>
                <c:pt idx="27">
                  <c:v>0.25393749908271</c:v>
                </c:pt>
                <c:pt idx="28">
                  <c:v>0.258317986494703</c:v>
                </c:pt>
                <c:pt idx="29">
                  <c:v>0.262469757325576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078008"/>
        <c:axId val="148414280"/>
      </c:lineChart>
      <c:lineChart>
        <c:grouping val="standard"/>
        <c:varyColors val="0"/>
        <c:ser>
          <c:idx val="0"/>
          <c:order val="0"/>
          <c:tx>
            <c:strRef>
              <c:f>'6'!$BH$2</c:f>
              <c:strCache>
                <c:ptCount val="1"/>
                <c:pt idx="0">
                  <c:v>一次提
升单耗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'6'!$BH$4:$BH$33</c:f>
              <c:numCache>
                <c:formatCode>0.0000_);[Red]\(0.0000\)</c:formatCode>
                <c:ptCount val="30"/>
                <c:pt idx="0">
                  <c:v>0.0420103429425652</c:v>
                </c:pt>
                <c:pt idx="1">
                  <c:v>0.0412522168247359</c:v>
                </c:pt>
                <c:pt idx="2">
                  <c:v>0.0414031908043788</c:v>
                </c:pt>
                <c:pt idx="3">
                  <c:v>0.0430922502155414</c:v>
                </c:pt>
                <c:pt idx="4">
                  <c:v>0.0422656369475483</c:v>
                </c:pt>
                <c:pt idx="5">
                  <c:v>0.044895738544718</c:v>
                </c:pt>
                <c:pt idx="6">
                  <c:v>0.0453568430705616</c:v>
                </c:pt>
                <c:pt idx="7">
                  <c:v>0.046638314513371</c:v>
                </c:pt>
                <c:pt idx="8">
                  <c:v>0.0439532887821696</c:v>
                </c:pt>
                <c:pt idx="9">
                  <c:v>0.0455454474158902</c:v>
                </c:pt>
                <c:pt idx="10">
                  <c:v>0.038645942444114</c:v>
                </c:pt>
                <c:pt idx="11">
                  <c:v>0.0363799987685166</c:v>
                </c:pt>
                <c:pt idx="12">
                  <c:v>0.047304933350356</c:v>
                </c:pt>
                <c:pt idx="13">
                  <c:v>0.0490011074197072</c:v>
                </c:pt>
                <c:pt idx="14">
                  <c:v>0.0535489901085115</c:v>
                </c:pt>
                <c:pt idx="15">
                  <c:v>0.0453023309708152</c:v>
                </c:pt>
                <c:pt idx="16">
                  <c:v>0.0397976586211899</c:v>
                </c:pt>
                <c:pt idx="17">
                  <c:v>0.0448740899868775</c:v>
                </c:pt>
                <c:pt idx="18">
                  <c:v>0.0380562798677844</c:v>
                </c:pt>
                <c:pt idx="19">
                  <c:v>0.0413576594506512</c:v>
                </c:pt>
                <c:pt idx="20">
                  <c:v>0.0498594388161053</c:v>
                </c:pt>
                <c:pt idx="21">
                  <c:v>0.0424569238720234</c:v>
                </c:pt>
                <c:pt idx="22">
                  <c:v>0.041912378438189</c:v>
                </c:pt>
                <c:pt idx="23">
                  <c:v>0.0423017168479191</c:v>
                </c:pt>
                <c:pt idx="24">
                  <c:v>0.0530847630453715</c:v>
                </c:pt>
                <c:pt idx="25">
                  <c:v>0.0538922451968535</c:v>
                </c:pt>
                <c:pt idx="26">
                  <c:v>0.0428738508001859</c:v>
                </c:pt>
                <c:pt idx="27">
                  <c:v>0.0370484536233737</c:v>
                </c:pt>
                <c:pt idx="28">
                  <c:v>0.0375199508901224</c:v>
                </c:pt>
                <c:pt idx="29">
                  <c:v>0.0430548156113239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414672"/>
        <c:axId val="148415064"/>
      </c:lineChart>
      <c:catAx>
        <c:axId val="148078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414280"/>
        <c:crosses val="autoZero"/>
        <c:auto val="1"/>
        <c:lblAlgn val="ctr"/>
        <c:lblOffset val="100"/>
        <c:noMultiLvlLbl val="0"/>
      </c:catAx>
      <c:valAx>
        <c:axId val="148414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078008"/>
        <c:crosses val="autoZero"/>
        <c:crossBetween val="between"/>
      </c:valAx>
      <c:catAx>
        <c:axId val="148414672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8415064"/>
        <c:crosses val="autoZero"/>
        <c:auto val="1"/>
        <c:lblAlgn val="ctr"/>
        <c:lblOffset val="100"/>
        <c:noMultiLvlLbl val="0"/>
      </c:catAx>
      <c:valAx>
        <c:axId val="148415064"/>
        <c:scaling>
          <c:orientation val="minMax"/>
        </c:scaling>
        <c:delete val="0"/>
        <c:axPos val="r"/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414672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0961371262372"/>
          <c:y val="0.0920863329570157"/>
          <c:w val="0.871518426653678"/>
          <c:h val="0.749640304228206"/>
        </c:manualLayout>
      </c:layout>
      <c:lineChart>
        <c:grouping val="standard"/>
        <c:varyColors val="0"/>
        <c:ser>
          <c:idx val="1"/>
          <c:order val="1"/>
          <c:tx>
            <c:strRef>
              <c:f>'7'!$BJ$2</c:f>
              <c:strCache>
                <c:ptCount val="1"/>
                <c:pt idx="0">
                  <c:v>三次提
升单耗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'7'!$BJ$4:$BJ$32</c:f>
              <c:numCache>
                <c:formatCode>0.0000_);[Red]\(0.0000\)</c:formatCode>
                <c:ptCount val="29"/>
                <c:pt idx="0">
                  <c:v>0.0369443684272141</c:v>
                </c:pt>
                <c:pt idx="1">
                  <c:v>0.038263757714668</c:v>
                </c:pt>
                <c:pt idx="2">
                  <c:v>0.0379471317696251</c:v>
                </c:pt>
                <c:pt idx="3">
                  <c:v>0.0373628158758509</c:v>
                </c:pt>
                <c:pt idx="4">
                  <c:v>0.0389138957456119</c:v>
                </c:pt>
                <c:pt idx="5">
                  <c:v>0.0376384971554523</c:v>
                </c:pt>
                <c:pt idx="6">
                  <c:v>0.0385590585083439</c:v>
                </c:pt>
                <c:pt idx="7">
                  <c:v>0.0380625811874365</c:v>
                </c:pt>
                <c:pt idx="8">
                  <c:v>0.0390716345779151</c:v>
                </c:pt>
                <c:pt idx="9">
                  <c:v>0.0379843472640525</c:v>
                </c:pt>
                <c:pt idx="10">
                  <c:v>0.0384297481402634</c:v>
                </c:pt>
                <c:pt idx="11">
                  <c:v>0.0384178114637571</c:v>
                </c:pt>
                <c:pt idx="12">
                  <c:v>0.0391770900022047</c:v>
                </c:pt>
                <c:pt idx="13">
                  <c:v>0.0377411373564661</c:v>
                </c:pt>
                <c:pt idx="14">
                  <c:v>0.0374996448897354</c:v>
                </c:pt>
                <c:pt idx="15">
                  <c:v>0.037887187713795</c:v>
                </c:pt>
                <c:pt idx="16">
                  <c:v>0.0391597595816738</c:v>
                </c:pt>
                <c:pt idx="17">
                  <c:v>0.0394997017561122</c:v>
                </c:pt>
                <c:pt idx="18">
                  <c:v>0.0391441746784996</c:v>
                </c:pt>
                <c:pt idx="19">
                  <c:v>0.0388621022179251</c:v>
                </c:pt>
                <c:pt idx="20">
                  <c:v>0.0385337799895499</c:v>
                </c:pt>
                <c:pt idx="21">
                  <c:v>0.0386259390221348</c:v>
                </c:pt>
                <c:pt idx="22">
                  <c:v>0.0387621405261326</c:v>
                </c:pt>
                <c:pt idx="23">
                  <c:v>0.0394389641833648</c:v>
                </c:pt>
                <c:pt idx="24">
                  <c:v>0.0390242976101164</c:v>
                </c:pt>
                <c:pt idx="25">
                  <c:v>0.0399482629426223</c:v>
                </c:pt>
                <c:pt idx="26">
                  <c:v>0.0392590910810913</c:v>
                </c:pt>
                <c:pt idx="27">
                  <c:v>0.0383980358476817</c:v>
                </c:pt>
                <c:pt idx="28">
                  <c:v>0.038596878645458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'7'!$BK$2</c:f>
              <c:strCache>
                <c:ptCount val="1"/>
                <c:pt idx="0">
                  <c:v>风机
单耗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'7'!$BK$4:$BK$32</c:f>
              <c:numCache>
                <c:formatCode>0.0000_);[Red]\(0.0000\)</c:formatCode>
                <c:ptCount val="29"/>
                <c:pt idx="0">
                  <c:v>0.0703702255756702</c:v>
                </c:pt>
                <c:pt idx="1">
                  <c:v>0.0636110692972253</c:v>
                </c:pt>
                <c:pt idx="2">
                  <c:v>0.0615745911733479</c:v>
                </c:pt>
                <c:pt idx="3">
                  <c:v>0.0396561856482839</c:v>
                </c:pt>
                <c:pt idx="4">
                  <c:v>0.0493683751996506</c:v>
                </c:pt>
                <c:pt idx="5">
                  <c:v>0.0534254882897123</c:v>
                </c:pt>
                <c:pt idx="6">
                  <c:v>0.0497536238817377</c:v>
                </c:pt>
                <c:pt idx="7">
                  <c:v>0.0515779017345466</c:v>
                </c:pt>
                <c:pt idx="8">
                  <c:v>0.0535895237352872</c:v>
                </c:pt>
                <c:pt idx="9">
                  <c:v>0.0566720840807622</c:v>
                </c:pt>
                <c:pt idx="10">
                  <c:v>0.0413274176539362</c:v>
                </c:pt>
                <c:pt idx="11">
                  <c:v>0.0407389862624366</c:v>
                </c:pt>
                <c:pt idx="12">
                  <c:v>0.0382215512216563</c:v>
                </c:pt>
                <c:pt idx="13">
                  <c:v>0.0391425368229764</c:v>
                </c:pt>
                <c:pt idx="14">
                  <c:v>0.0388253899110838</c:v>
                </c:pt>
                <c:pt idx="15">
                  <c:v>0.0372738210384752</c:v>
                </c:pt>
                <c:pt idx="16">
                  <c:v>0.0433016572297286</c:v>
                </c:pt>
                <c:pt idx="17">
                  <c:v>0.0497855931765574</c:v>
                </c:pt>
                <c:pt idx="18">
                  <c:v>0.0405762786301448</c:v>
                </c:pt>
                <c:pt idx="19">
                  <c:v>0.0409836065573814</c:v>
                </c:pt>
                <c:pt idx="20">
                  <c:v>0.0411478806420962</c:v>
                </c:pt>
                <c:pt idx="21">
                  <c:v>0.0402353531480657</c:v>
                </c:pt>
                <c:pt idx="22">
                  <c:v>0.041339798553589</c:v>
                </c:pt>
                <c:pt idx="23">
                  <c:v>0.0420871440326087</c:v>
                </c:pt>
                <c:pt idx="24">
                  <c:v>0.041303088711442</c:v>
                </c:pt>
                <c:pt idx="25">
                  <c:v>0.0467733544608902</c:v>
                </c:pt>
                <c:pt idx="26">
                  <c:v>0.0297990691338413</c:v>
                </c:pt>
                <c:pt idx="27">
                  <c:v>0.021887356245269</c:v>
                </c:pt>
                <c:pt idx="28">
                  <c:v>0.0240030339834955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'7'!$BL$2</c:f>
              <c:strCache>
                <c:ptCount val="1"/>
                <c:pt idx="0">
                  <c:v>提标
总单耗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'7'!$BL$4:$BL$32</c:f>
              <c:numCache>
                <c:formatCode>0.0000_);[Red]\(0.0000\)</c:formatCode>
                <c:ptCount val="29"/>
                <c:pt idx="0">
                  <c:v>0.04495875522892</c:v>
                </c:pt>
                <c:pt idx="1">
                  <c:v>0.0485580681658161</c:v>
                </c:pt>
                <c:pt idx="2">
                  <c:v>0.0477322412196542</c:v>
                </c:pt>
                <c:pt idx="3">
                  <c:v>0.043000683233078</c:v>
                </c:pt>
                <c:pt idx="4">
                  <c:v>0.0454963457722349</c:v>
                </c:pt>
                <c:pt idx="5">
                  <c:v>0.0433179634781437</c:v>
                </c:pt>
                <c:pt idx="6">
                  <c:v>0.0430560206668899</c:v>
                </c:pt>
                <c:pt idx="7">
                  <c:v>0</c:v>
                </c:pt>
                <c:pt idx="8">
                  <c:v>0.0472562163847533</c:v>
                </c:pt>
                <c:pt idx="9">
                  <c:v>0.0477731617871114</c:v>
                </c:pt>
                <c:pt idx="10">
                  <c:v>0.0532031123820605</c:v>
                </c:pt>
                <c:pt idx="11">
                  <c:v>0.0416864045476216</c:v>
                </c:pt>
                <c:pt idx="12">
                  <c:v>0.0458658614659806</c:v>
                </c:pt>
                <c:pt idx="13">
                  <c:v>0.0483241195345421</c:v>
                </c:pt>
                <c:pt idx="14">
                  <c:v>0.0454541150178433</c:v>
                </c:pt>
                <c:pt idx="15">
                  <c:v>0.0462384109085041</c:v>
                </c:pt>
                <c:pt idx="16">
                  <c:v>0.0451843379788412</c:v>
                </c:pt>
                <c:pt idx="17">
                  <c:v>0.047906891547238</c:v>
                </c:pt>
                <c:pt idx="18">
                  <c:v>0.0448725904851083</c:v>
                </c:pt>
                <c:pt idx="19">
                  <c:v>0.0424300867888279</c:v>
                </c:pt>
                <c:pt idx="20">
                  <c:v>0.0455047150630359</c:v>
                </c:pt>
                <c:pt idx="21">
                  <c:v>0.0463889953942148</c:v>
                </c:pt>
                <c:pt idx="22">
                  <c:v>0.0476623559794513</c:v>
                </c:pt>
                <c:pt idx="23">
                  <c:v>0.0482347043969106</c:v>
                </c:pt>
                <c:pt idx="24">
                  <c:v>0.0484243109030867</c:v>
                </c:pt>
                <c:pt idx="25">
                  <c:v>0.0467733544608685</c:v>
                </c:pt>
                <c:pt idx="26">
                  <c:v>0.0444621031520862</c:v>
                </c:pt>
                <c:pt idx="27">
                  <c:v>0.0447263366751272</c:v>
                </c:pt>
                <c:pt idx="28">
                  <c:v>0.0499263106856777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'7'!$BO$2</c:f>
              <c:strCache>
                <c:ptCount val="1"/>
                <c:pt idx="0">
                  <c:v>其他
单耗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'7'!$BO$4:$BO$33</c:f>
              <c:numCache>
                <c:formatCode>0.0000_);[Red]\(0.0000\)</c:formatCode>
                <c:ptCount val="30"/>
                <c:pt idx="0">
                  <c:v>0.0575628445208318</c:v>
                </c:pt>
                <c:pt idx="1">
                  <c:v>0.0604256600254581</c:v>
                </c:pt>
                <c:pt idx="2">
                  <c:v>0.0532405418564234</c:v>
                </c:pt>
                <c:pt idx="3">
                  <c:v>0.0648029852029278</c:v>
                </c:pt>
                <c:pt idx="4">
                  <c:v>0.0493683751996482</c:v>
                </c:pt>
                <c:pt idx="5">
                  <c:v>0.0460864626551215</c:v>
                </c:pt>
                <c:pt idx="6">
                  <c:v>0.0545184901688951</c:v>
                </c:pt>
                <c:pt idx="7">
                  <c:v>0.0871723848094054</c:v>
                </c:pt>
                <c:pt idx="8">
                  <c:v>0.0373723594979415</c:v>
                </c:pt>
                <c:pt idx="9">
                  <c:v>0.0354701675340189</c:v>
                </c:pt>
                <c:pt idx="10">
                  <c:v>0.0597299942046624</c:v>
                </c:pt>
                <c:pt idx="11">
                  <c:v>0.0731653244906353</c:v>
                </c:pt>
                <c:pt idx="12">
                  <c:v>0.0687605706478632</c:v>
                </c:pt>
                <c:pt idx="13">
                  <c:v>0.0708682877796866</c:v>
                </c:pt>
                <c:pt idx="14">
                  <c:v>0.0685410176040674</c:v>
                </c:pt>
                <c:pt idx="15">
                  <c:v>0.0661850951898043</c:v>
                </c:pt>
                <c:pt idx="16">
                  <c:v>0.0393442622950331</c:v>
                </c:pt>
                <c:pt idx="17">
                  <c:v>0.040514200635951</c:v>
                </c:pt>
                <c:pt idx="18">
                  <c:v>0.0583420055184303</c:v>
                </c:pt>
                <c:pt idx="19">
                  <c:v>0.0579517839921645</c:v>
                </c:pt>
                <c:pt idx="20">
                  <c:v>0.0594272215015473</c:v>
                </c:pt>
                <c:pt idx="21">
                  <c:v>0.057802581689525</c:v>
                </c:pt>
                <c:pt idx="22">
                  <c:v>0.0604339219797961</c:v>
                </c:pt>
                <c:pt idx="23">
                  <c:v>0.0618728306204796</c:v>
                </c:pt>
                <c:pt idx="24">
                  <c:v>0.0590206895242187</c:v>
                </c:pt>
                <c:pt idx="25">
                  <c:v>0.0452136062733094</c:v>
                </c:pt>
                <c:pt idx="26">
                  <c:v>0.043251220342797</c:v>
                </c:pt>
                <c:pt idx="27">
                  <c:v>0.0455542497156935</c:v>
                </c:pt>
                <c:pt idx="28">
                  <c:v>0.0377289289366154</c:v>
                </c:pt>
                <c:pt idx="29">
                  <c:v>0.0418059844532172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'7'!$BG$2</c:f>
              <c:strCache>
                <c:ptCount val="1"/>
                <c:pt idx="0">
                  <c:v>总单耗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'7'!$BG$4:$BG$33</c:f>
              <c:numCache>
                <c:formatCode>0.0000_);[Red]\(0.0000\)</c:formatCode>
                <c:ptCount val="30"/>
                <c:pt idx="0">
                  <c:v>0.262422299542544</c:v>
                </c:pt>
                <c:pt idx="1">
                  <c:v>0.259785664687045</c:v>
                </c:pt>
                <c:pt idx="2">
                  <c:v>0.247253009517823</c:v>
                </c:pt>
                <c:pt idx="3">
                  <c:v>0.23602597241261</c:v>
                </c:pt>
                <c:pt idx="4">
                  <c:v>0.234257780359138</c:v>
                </c:pt>
                <c:pt idx="5">
                  <c:v>0.229585206434183</c:v>
                </c:pt>
                <c:pt idx="6">
                  <c:v>0.235851313208644</c:v>
                </c:pt>
                <c:pt idx="7">
                  <c:v>0.225414533506589</c:v>
                </c:pt>
                <c:pt idx="8">
                  <c:v>0.228486242107661</c:v>
                </c:pt>
                <c:pt idx="9">
                  <c:v>0.231371979635628</c:v>
                </c:pt>
                <c:pt idx="10">
                  <c:v>0.245114339188836</c:v>
                </c:pt>
                <c:pt idx="11">
                  <c:v>0.247276172430011</c:v>
                </c:pt>
                <c:pt idx="12">
                  <c:v>0.243662389038163</c:v>
                </c:pt>
                <c:pt idx="13">
                  <c:v>0.247902733212074</c:v>
                </c:pt>
                <c:pt idx="14">
                  <c:v>0.240528025302873</c:v>
                </c:pt>
                <c:pt idx="15">
                  <c:v>0.236853900776165</c:v>
                </c:pt>
                <c:pt idx="16">
                  <c:v>0.217449626523158</c:v>
                </c:pt>
                <c:pt idx="17">
                  <c:v>0.230610624997058</c:v>
                </c:pt>
                <c:pt idx="18">
                  <c:v>0.233910312103257</c:v>
                </c:pt>
                <c:pt idx="19">
                  <c:v>0.231918997106927</c:v>
                </c:pt>
                <c:pt idx="20">
                  <c:v>0.238173615010838</c:v>
                </c:pt>
                <c:pt idx="21">
                  <c:v>0.236205190833817</c:v>
                </c:pt>
                <c:pt idx="22">
                  <c:v>0.238798130468574</c:v>
                </c:pt>
                <c:pt idx="23">
                  <c:v>0.241173521984553</c:v>
                </c:pt>
                <c:pt idx="24">
                  <c:v>0.23927306563872</c:v>
                </c:pt>
                <c:pt idx="25">
                  <c:v>0.231480376668618</c:v>
                </c:pt>
                <c:pt idx="26">
                  <c:v>0.20764748174213</c:v>
                </c:pt>
                <c:pt idx="27">
                  <c:v>0.202220139222618</c:v>
                </c:pt>
                <c:pt idx="28">
                  <c:v>0.204025788859712</c:v>
                </c:pt>
                <c:pt idx="29">
                  <c:v>0.222166290742594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415848"/>
        <c:axId val="148416240"/>
      </c:lineChart>
      <c:lineChart>
        <c:grouping val="standard"/>
        <c:varyColors val="0"/>
        <c:ser>
          <c:idx val="0"/>
          <c:order val="0"/>
          <c:tx>
            <c:strRef>
              <c:f>'7'!$BH$2</c:f>
              <c:strCache>
                <c:ptCount val="1"/>
                <c:pt idx="0">
                  <c:v>一次提
升单耗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'7'!$BH$4:$BH$33</c:f>
              <c:numCache>
                <c:formatCode>0.0000_);[Red]\(0.0000\)</c:formatCode>
                <c:ptCount val="30"/>
                <c:pt idx="0">
                  <c:v>0.0421283083779653</c:v>
                </c:pt>
                <c:pt idx="1">
                  <c:v>0.0394291513506455</c:v>
                </c:pt>
                <c:pt idx="2">
                  <c:v>0.0375366344951372</c:v>
                </c:pt>
                <c:pt idx="3">
                  <c:v>0.0419724891184349</c:v>
                </c:pt>
                <c:pt idx="4">
                  <c:v>0.0416436764919411</c:v>
                </c:pt>
                <c:pt idx="5">
                  <c:v>0.0401066584522969</c:v>
                </c:pt>
                <c:pt idx="6">
                  <c:v>0.040893651628954</c:v>
                </c:pt>
                <c:pt idx="7">
                  <c:v>0.0392412317567072</c:v>
                </c:pt>
                <c:pt idx="8">
                  <c:v>0.0415309065398736</c:v>
                </c:pt>
                <c:pt idx="9">
                  <c:v>0.0421752713000305</c:v>
                </c:pt>
                <c:pt idx="10">
                  <c:v>0.0409473954226367</c:v>
                </c:pt>
                <c:pt idx="11">
                  <c:v>0.0416712458550429</c:v>
                </c:pt>
                <c:pt idx="12">
                  <c:v>0.0416423800559948</c:v>
                </c:pt>
                <c:pt idx="13">
                  <c:v>0.0426257393590279</c:v>
                </c:pt>
                <c:pt idx="14">
                  <c:v>0.041154913305753</c:v>
                </c:pt>
                <c:pt idx="15">
                  <c:v>0.0403614145179106</c:v>
                </c:pt>
                <c:pt idx="16">
                  <c:v>0.0413662614196394</c:v>
                </c:pt>
                <c:pt idx="17">
                  <c:v>0.0438301090116616</c:v>
                </c:pt>
                <c:pt idx="18">
                  <c:v>0.0418861763779193</c:v>
                </c:pt>
                <c:pt idx="19">
                  <c:v>0.0424918032786934</c:v>
                </c:pt>
                <c:pt idx="20">
                  <c:v>0.0442848014251645</c:v>
                </c:pt>
                <c:pt idx="21">
                  <c:v>0.0442532081777157</c:v>
                </c:pt>
                <c:pt idx="22">
                  <c:v>0.0413592525764489</c:v>
                </c:pt>
                <c:pt idx="23">
                  <c:v>0.0401010091456759</c:v>
                </c:pt>
                <c:pt idx="24">
                  <c:v>0.0426703633722343</c:v>
                </c:pt>
                <c:pt idx="25">
                  <c:v>0.0435889481245285</c:v>
                </c:pt>
                <c:pt idx="26">
                  <c:v>0.0418511370946348</c:v>
                </c:pt>
                <c:pt idx="27">
                  <c:v>0.0428230883059718</c:v>
                </c:pt>
                <c:pt idx="28">
                  <c:v>0.0441886254422536</c:v>
                </c:pt>
                <c:pt idx="29">
                  <c:v>0.044998596334983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416632"/>
        <c:axId val="148417024"/>
      </c:lineChart>
      <c:catAx>
        <c:axId val="148415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416240"/>
        <c:crosses val="autoZero"/>
        <c:auto val="1"/>
        <c:lblAlgn val="ctr"/>
        <c:lblOffset val="100"/>
        <c:noMultiLvlLbl val="0"/>
      </c:catAx>
      <c:valAx>
        <c:axId val="14841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415848"/>
        <c:crosses val="autoZero"/>
        <c:crossBetween val="between"/>
      </c:valAx>
      <c:catAx>
        <c:axId val="148416632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8417024"/>
        <c:crosses val="autoZero"/>
        <c:auto val="1"/>
        <c:lblAlgn val="ctr"/>
        <c:lblOffset val="100"/>
        <c:noMultiLvlLbl val="0"/>
      </c:catAx>
      <c:valAx>
        <c:axId val="148417024"/>
        <c:scaling>
          <c:orientation val="minMax"/>
        </c:scaling>
        <c:delete val="0"/>
        <c:axPos val="r"/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416632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0961371262372"/>
          <c:y val="0.0920863329570157"/>
          <c:w val="0.871518426653678"/>
          <c:h val="0.749640304228206"/>
        </c:manualLayout>
      </c:layout>
      <c:lineChart>
        <c:grouping val="standard"/>
        <c:varyColors val="0"/>
        <c:ser>
          <c:idx val="1"/>
          <c:order val="1"/>
          <c:tx>
            <c:strRef>
              <c:f>'8'!$BJ$2</c:f>
              <c:strCache>
                <c:ptCount val="1"/>
                <c:pt idx="0">
                  <c:v>三次提
升单耗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'8'!$BJ$4:$BJ$32</c:f>
              <c:numCache>
                <c:formatCode>0.0000_);[Red]\(0.0000\)</c:formatCode>
                <c:ptCount val="29"/>
                <c:pt idx="0">
                  <c:v>0.0392372395335528</c:v>
                </c:pt>
                <c:pt idx="1">
                  <c:v>0.0379057321678397</c:v>
                </c:pt>
                <c:pt idx="2">
                  <c:v>0.0389121902416472</c:v>
                </c:pt>
                <c:pt idx="3">
                  <c:v>0.0378214086764362</c:v>
                </c:pt>
                <c:pt idx="4">
                  <c:v>0.0403024822341573</c:v>
                </c:pt>
                <c:pt idx="5">
                  <c:v>0.0384426477255526</c:v>
                </c:pt>
                <c:pt idx="6">
                  <c:v>0.0391411209165548</c:v>
                </c:pt>
                <c:pt idx="7">
                  <c:v>0.0383940431060449</c:v>
                </c:pt>
                <c:pt idx="8">
                  <c:v>0.0395752517534522</c:v>
                </c:pt>
                <c:pt idx="9">
                  <c:v>0.0373451690797685</c:v>
                </c:pt>
                <c:pt idx="10">
                  <c:v>0.0396622313203642</c:v>
                </c:pt>
                <c:pt idx="11">
                  <c:v>0.0374793118047846</c:v>
                </c:pt>
                <c:pt idx="12">
                  <c:v>0.0380539752984621</c:v>
                </c:pt>
                <c:pt idx="13">
                  <c:v>0.0392041367123622</c:v>
                </c:pt>
                <c:pt idx="14">
                  <c:v>0.03819503126584</c:v>
                </c:pt>
                <c:pt idx="15">
                  <c:v>0.037302615048608</c:v>
                </c:pt>
                <c:pt idx="16">
                  <c:v>0.0364071786618052</c:v>
                </c:pt>
                <c:pt idx="17">
                  <c:v>0.0387314700623588</c:v>
                </c:pt>
                <c:pt idx="18">
                  <c:v>0.0381794832382152</c:v>
                </c:pt>
                <c:pt idx="19">
                  <c:v>0.0380645037729275</c:v>
                </c:pt>
                <c:pt idx="20">
                  <c:v>0.0384365629595676</c:v>
                </c:pt>
                <c:pt idx="21">
                  <c:v>0.0394459179524907</c:v>
                </c:pt>
                <c:pt idx="22">
                  <c:v>0.0378800822036899</c:v>
                </c:pt>
                <c:pt idx="23">
                  <c:v>0.0364977451654791</c:v>
                </c:pt>
                <c:pt idx="24">
                  <c:v>0.036713013591632</c:v>
                </c:pt>
                <c:pt idx="25">
                  <c:v>0.0364002554403919</c:v>
                </c:pt>
                <c:pt idx="26">
                  <c:v>0.0375515071088182</c:v>
                </c:pt>
                <c:pt idx="27">
                  <c:v>0.0360820977284376</c:v>
                </c:pt>
                <c:pt idx="28">
                  <c:v>0.0377273897988149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'8'!$BK$2</c:f>
              <c:strCache>
                <c:ptCount val="1"/>
                <c:pt idx="0">
                  <c:v>风机
单耗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'8'!$BK$4:$BK$32</c:f>
              <c:numCache>
                <c:formatCode>0.0000_);[Red]\(0.0000\)</c:formatCode>
                <c:ptCount val="29"/>
                <c:pt idx="0">
                  <c:v>0.0559166507359961</c:v>
                </c:pt>
                <c:pt idx="1">
                  <c:v>0.0520368363513133</c:v>
                </c:pt>
                <c:pt idx="2">
                  <c:v>0.0543520086193637</c:v>
                </c:pt>
                <c:pt idx="3">
                  <c:v>0.0449556795637336</c:v>
                </c:pt>
                <c:pt idx="4">
                  <c:v>0.0541164072402039</c:v>
                </c:pt>
                <c:pt idx="5">
                  <c:v>0.0552554027504946</c:v>
                </c:pt>
                <c:pt idx="6">
                  <c:v>0.0580585229911707</c:v>
                </c:pt>
                <c:pt idx="7">
                  <c:v>0.0504164202402563</c:v>
                </c:pt>
                <c:pt idx="8">
                  <c:v>0.0460405156537735</c:v>
                </c:pt>
                <c:pt idx="9">
                  <c:v>0.0581685225195307</c:v>
                </c:pt>
                <c:pt idx="10">
                  <c:v>0.0467482875364145</c:v>
                </c:pt>
                <c:pt idx="11">
                  <c:v>0.0505176860013086</c:v>
                </c:pt>
                <c:pt idx="12">
                  <c:v>0.0508025362926627</c:v>
                </c:pt>
                <c:pt idx="13">
                  <c:v>0.0453840991497662</c:v>
                </c:pt>
                <c:pt idx="14">
                  <c:v>0.0463555373137949</c:v>
                </c:pt>
                <c:pt idx="15">
                  <c:v>0.0483194495448264</c:v>
                </c:pt>
                <c:pt idx="16">
                  <c:v>0.047508701848962</c:v>
                </c:pt>
                <c:pt idx="17">
                  <c:v>0.0525004581407922</c:v>
                </c:pt>
                <c:pt idx="18">
                  <c:v>0.0595004933582619</c:v>
                </c:pt>
                <c:pt idx="19">
                  <c:v>0.0383039031677328</c:v>
                </c:pt>
                <c:pt idx="20">
                  <c:v>0.0539544299929299</c:v>
                </c:pt>
                <c:pt idx="21">
                  <c:v>0.0600158751669823</c:v>
                </c:pt>
                <c:pt idx="22">
                  <c:v>0.0580893013175026</c:v>
                </c:pt>
                <c:pt idx="23">
                  <c:v>0.0530268287090134</c:v>
                </c:pt>
                <c:pt idx="24">
                  <c:v>0.0483322918294043</c:v>
                </c:pt>
                <c:pt idx="25">
                  <c:v>0.0309475855970883</c:v>
                </c:pt>
                <c:pt idx="26">
                  <c:v>0.0504853808761377</c:v>
                </c:pt>
                <c:pt idx="27">
                  <c:v>0.0516154164536331</c:v>
                </c:pt>
                <c:pt idx="28">
                  <c:v>0.0548501874445493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'8'!$BL$2</c:f>
              <c:strCache>
                <c:ptCount val="1"/>
                <c:pt idx="0">
                  <c:v>提标
总单耗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'8'!$BL$4:$BL$32</c:f>
              <c:numCache>
                <c:formatCode>0.0000_);[Red]\(0.0000\)</c:formatCode>
                <c:ptCount val="29"/>
                <c:pt idx="0">
                  <c:v>0.0477920091760658</c:v>
                </c:pt>
                <c:pt idx="1">
                  <c:v>0.0467854124993227</c:v>
                </c:pt>
                <c:pt idx="2">
                  <c:v>0.0471371402185764</c:v>
                </c:pt>
                <c:pt idx="3">
                  <c:v>0.0449556795637202</c:v>
                </c:pt>
                <c:pt idx="4">
                  <c:v>0.0474705326668471</c:v>
                </c:pt>
                <c:pt idx="5">
                  <c:v>0.0462823031585448</c:v>
                </c:pt>
                <c:pt idx="6">
                  <c:v>0.0483821024926459</c:v>
                </c:pt>
                <c:pt idx="7">
                  <c:v>0.0465382340679194</c:v>
                </c:pt>
                <c:pt idx="8">
                  <c:v>0.0421221738960001</c:v>
                </c:pt>
                <c:pt idx="9">
                  <c:v>0.0410601335432033</c:v>
                </c:pt>
                <c:pt idx="10">
                  <c:v>0.0531454216203592</c:v>
                </c:pt>
                <c:pt idx="11">
                  <c:v>0.0442631153535136</c:v>
                </c:pt>
                <c:pt idx="12">
                  <c:v>0.0440927673483682</c:v>
                </c:pt>
                <c:pt idx="13">
                  <c:v>0.0453840991497442</c:v>
                </c:pt>
                <c:pt idx="14">
                  <c:v>0.0473212776745113</c:v>
                </c:pt>
                <c:pt idx="15">
                  <c:v>0.0444538935812303</c:v>
                </c:pt>
                <c:pt idx="16">
                  <c:v>0.0475087018489752</c:v>
                </c:pt>
                <c:pt idx="17">
                  <c:v>0.0465570100493874</c:v>
                </c:pt>
                <c:pt idx="18">
                  <c:v>0.0446253700186931</c:v>
                </c:pt>
                <c:pt idx="19">
                  <c:v>0.0421342934844852</c:v>
                </c:pt>
                <c:pt idx="20">
                  <c:v>0.043927500525241</c:v>
                </c:pt>
                <c:pt idx="21">
                  <c:v>0.0474319013416241</c:v>
                </c:pt>
                <c:pt idx="22">
                  <c:v>0.0468619573654101</c:v>
                </c:pt>
                <c:pt idx="23">
                  <c:v>0.0449056026904866</c:v>
                </c:pt>
                <c:pt idx="24">
                  <c:v>0.0449148570536067</c:v>
                </c:pt>
                <c:pt idx="25">
                  <c:v>0.048140688706566</c:v>
                </c:pt>
                <c:pt idx="26">
                  <c:v>0.0451964362129303</c:v>
                </c:pt>
                <c:pt idx="27">
                  <c:v>0.0438244101964794</c:v>
                </c:pt>
                <c:pt idx="28">
                  <c:v>0.0476958151691771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'8'!$BO$2</c:f>
              <c:strCache>
                <c:ptCount val="1"/>
                <c:pt idx="0">
                  <c:v>其他
单耗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'8'!$BO$4:$BO$33</c:f>
              <c:numCache>
                <c:formatCode>0.0000_);[Red]\(0.0000\)</c:formatCode>
                <c:ptCount val="30"/>
                <c:pt idx="0">
                  <c:v>0.0390613649396856</c:v>
                </c:pt>
                <c:pt idx="1">
                  <c:v>0.0439782877494615</c:v>
                </c:pt>
                <c:pt idx="2">
                  <c:v>0.0410824226566828</c:v>
                </c:pt>
                <c:pt idx="3">
                  <c:v>0.0641537093321875</c:v>
                </c:pt>
                <c:pt idx="4">
                  <c:v>0.0566665242551198</c:v>
                </c:pt>
                <c:pt idx="5">
                  <c:v>0.0535816835423825</c:v>
                </c:pt>
                <c:pt idx="6">
                  <c:v>0.0498858182380338</c:v>
                </c:pt>
                <c:pt idx="7">
                  <c:v>0.0690239574950944</c:v>
                </c:pt>
                <c:pt idx="8">
                  <c:v>0.0825633791778717</c:v>
                </c:pt>
                <c:pt idx="9">
                  <c:v>0.0626538532980341</c:v>
                </c:pt>
                <c:pt idx="10">
                  <c:v>0.0690614912211846</c:v>
                </c:pt>
                <c:pt idx="11">
                  <c:v>0.0461548824141047</c:v>
                </c:pt>
                <c:pt idx="12">
                  <c:v>0.0435176442958962</c:v>
                </c:pt>
                <c:pt idx="13">
                  <c:v>0.031069761154114</c:v>
                </c:pt>
                <c:pt idx="14">
                  <c:v>0.0346179289699042</c:v>
                </c:pt>
                <c:pt idx="15">
                  <c:v>0.0354278204062675</c:v>
                </c:pt>
                <c:pt idx="16">
                  <c:v>0.0352979959083227</c:v>
                </c:pt>
                <c:pt idx="17">
                  <c:v>0.0368890011540564</c:v>
                </c:pt>
                <c:pt idx="18">
                  <c:v>0.0486158697733477</c:v>
                </c:pt>
                <c:pt idx="19">
                  <c:v>0.0682633010303643</c:v>
                </c:pt>
                <c:pt idx="20">
                  <c:v>0.0455833763058288</c:v>
                </c:pt>
                <c:pt idx="21">
                  <c:v>0.051762724333477</c:v>
                </c:pt>
                <c:pt idx="22">
                  <c:v>0.0554259800738588</c:v>
                </c:pt>
                <c:pt idx="23">
                  <c:v>0.0497745165483254</c:v>
                </c:pt>
                <c:pt idx="24">
                  <c:v>0.0422199656302718</c:v>
                </c:pt>
                <c:pt idx="25">
                  <c:v>0.0488775359828538</c:v>
                </c:pt>
                <c:pt idx="26">
                  <c:v>0.0405402416565434</c:v>
                </c:pt>
                <c:pt idx="27">
                  <c:v>0.0432809875100291</c:v>
                </c:pt>
                <c:pt idx="28">
                  <c:v>0.0438477168014005</c:v>
                </c:pt>
                <c:pt idx="29">
                  <c:v>0.0502957439838888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'8'!$BG$2</c:f>
              <c:strCache>
                <c:ptCount val="1"/>
                <c:pt idx="0">
                  <c:v>总单耗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'8'!$BG$4:$BG$33</c:f>
              <c:numCache>
                <c:formatCode>0.0000_);[Red]\(0.0000\)</c:formatCode>
                <c:ptCount val="30"/>
                <c:pt idx="0">
                  <c:v>0.230835404320307</c:v>
                </c:pt>
                <c:pt idx="1">
                  <c:v>0.229630442981535</c:v>
                </c:pt>
                <c:pt idx="2">
                  <c:v>0.236647683546343</c:v>
                </c:pt>
                <c:pt idx="3">
                  <c:v>0.245790291527752</c:v>
                </c:pt>
                <c:pt idx="4">
                  <c:v>0.247796180520997</c:v>
                </c:pt>
                <c:pt idx="5">
                  <c:v>0.240384615384622</c:v>
                </c:pt>
                <c:pt idx="6">
                  <c:v>0.250135469886895</c:v>
                </c:pt>
                <c:pt idx="7">
                  <c:v>0.255475514102076</c:v>
                </c:pt>
                <c:pt idx="8">
                  <c:v>0.2698757885662</c:v>
                </c:pt>
                <c:pt idx="9">
                  <c:v>0.258581079099457</c:v>
                </c:pt>
                <c:pt idx="10">
                  <c:v>0.263758759152851</c:v>
                </c:pt>
                <c:pt idx="11">
                  <c:v>0.22949463069168</c:v>
                </c:pt>
                <c:pt idx="12">
                  <c:v>0.229090682527227</c:v>
                </c:pt>
                <c:pt idx="13">
                  <c:v>0.211953399220717</c:v>
                </c:pt>
                <c:pt idx="14">
                  <c:v>0.218740191699581</c:v>
                </c:pt>
                <c:pt idx="15">
                  <c:v>0.216471133960821</c:v>
                </c:pt>
                <c:pt idx="16">
                  <c:v>0.217667419695652</c:v>
                </c:pt>
                <c:pt idx="17">
                  <c:v>0.229318038860295</c:v>
                </c:pt>
                <c:pt idx="18">
                  <c:v>0.243952022768949</c:v>
                </c:pt>
                <c:pt idx="19">
                  <c:v>0.229823419006362</c:v>
                </c:pt>
                <c:pt idx="20">
                  <c:v>0.224889703775813</c:v>
                </c:pt>
                <c:pt idx="21">
                  <c:v>0.246839486573798</c:v>
                </c:pt>
                <c:pt idx="22">
                  <c:v>0.255300038563464</c:v>
                </c:pt>
                <c:pt idx="23">
                  <c:v>0.231693801116056</c:v>
                </c:pt>
                <c:pt idx="24">
                  <c:v>0.224574285267856</c:v>
                </c:pt>
                <c:pt idx="25">
                  <c:v>0.214668173110115</c:v>
                </c:pt>
                <c:pt idx="26">
                  <c:v>0.221654862703658</c:v>
                </c:pt>
                <c:pt idx="27">
                  <c:v>0.214739609962742</c:v>
                </c:pt>
                <c:pt idx="28">
                  <c:v>0.229416870963804</c:v>
                </c:pt>
                <c:pt idx="29">
                  <c:v>0.233608847272727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417808"/>
        <c:axId val="148864120"/>
      </c:lineChart>
      <c:lineChart>
        <c:grouping val="standard"/>
        <c:varyColors val="0"/>
        <c:ser>
          <c:idx val="0"/>
          <c:order val="0"/>
          <c:tx>
            <c:strRef>
              <c:f>'8'!$BH$2</c:f>
              <c:strCache>
                <c:ptCount val="1"/>
                <c:pt idx="0">
                  <c:v>一次提
升单耗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'8'!$BH$4:$BH$33</c:f>
              <c:numCache>
                <c:formatCode>0.0000_);[Red]\(0.0000\)</c:formatCode>
                <c:ptCount val="30"/>
                <c:pt idx="0">
                  <c:v>0.0391741540814432</c:v>
                </c:pt>
                <c:pt idx="1">
                  <c:v>0.0393952269331157</c:v>
                </c:pt>
                <c:pt idx="2">
                  <c:v>0.0459288902570486</c:v>
                </c:pt>
                <c:pt idx="3">
                  <c:v>0.0444631216832912</c:v>
                </c:pt>
                <c:pt idx="4">
                  <c:v>0.039822080443568</c:v>
                </c:pt>
                <c:pt idx="5">
                  <c:v>0.0374527731600434</c:v>
                </c:pt>
                <c:pt idx="6">
                  <c:v>0.0452043660009279</c:v>
                </c:pt>
                <c:pt idx="7">
                  <c:v>0.0416594758631417</c:v>
                </c:pt>
                <c:pt idx="8">
                  <c:v>0.050033305904938</c:v>
                </c:pt>
                <c:pt idx="9">
                  <c:v>0.0499486748330744</c:v>
                </c:pt>
                <c:pt idx="10">
                  <c:v>0.0454176836469558</c:v>
                </c:pt>
                <c:pt idx="11">
                  <c:v>0.0417074015626761</c:v>
                </c:pt>
                <c:pt idx="12">
                  <c:v>0.0430958873909125</c:v>
                </c:pt>
                <c:pt idx="13">
                  <c:v>0.0415254851029057</c:v>
                </c:pt>
                <c:pt idx="14">
                  <c:v>0.043017938627201</c:v>
                </c:pt>
                <c:pt idx="15">
                  <c:v>0.0416900210672812</c:v>
                </c:pt>
                <c:pt idx="16">
                  <c:v>0.0435761448142782</c:v>
                </c:pt>
                <c:pt idx="17">
                  <c:v>0.0455466238738411</c:v>
                </c:pt>
                <c:pt idx="18">
                  <c:v>0.0435107274431131</c:v>
                </c:pt>
                <c:pt idx="19">
                  <c:v>0.033826176887425</c:v>
                </c:pt>
                <c:pt idx="20">
                  <c:v>0.0334765751828733</c:v>
                </c:pt>
                <c:pt idx="21">
                  <c:v>0.0385224478733112</c:v>
                </c:pt>
                <c:pt idx="22">
                  <c:v>0.0476117486832222</c:v>
                </c:pt>
                <c:pt idx="23">
                  <c:v>0.0383551173278295</c:v>
                </c:pt>
                <c:pt idx="24">
                  <c:v>0.0428448679893769</c:v>
                </c:pt>
                <c:pt idx="25">
                  <c:v>0.0409490592916473</c:v>
                </c:pt>
                <c:pt idx="26">
                  <c:v>0.0385727542419732</c:v>
                </c:pt>
                <c:pt idx="27">
                  <c:v>0.030665400628151</c:v>
                </c:pt>
                <c:pt idx="28">
                  <c:v>0.0357375203899595</c:v>
                </c:pt>
                <c:pt idx="29">
                  <c:v>0.0388224187426532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864512"/>
        <c:axId val="148864904"/>
      </c:lineChart>
      <c:catAx>
        <c:axId val="14841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864120"/>
        <c:crosses val="autoZero"/>
        <c:auto val="1"/>
        <c:lblAlgn val="ctr"/>
        <c:lblOffset val="100"/>
        <c:noMultiLvlLbl val="0"/>
      </c:catAx>
      <c:valAx>
        <c:axId val="148864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417808"/>
        <c:crosses val="autoZero"/>
        <c:crossBetween val="between"/>
      </c:valAx>
      <c:catAx>
        <c:axId val="148864512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8864904"/>
        <c:crosses val="autoZero"/>
        <c:auto val="1"/>
        <c:lblAlgn val="ctr"/>
        <c:lblOffset val="100"/>
        <c:noMultiLvlLbl val="0"/>
      </c:catAx>
      <c:valAx>
        <c:axId val="148864904"/>
        <c:scaling>
          <c:orientation val="minMax"/>
        </c:scaling>
        <c:delete val="0"/>
        <c:axPos val="r"/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864512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0961371262372"/>
          <c:y val="0.0920863329570157"/>
          <c:w val="0.871518426653678"/>
          <c:h val="0.749640304228206"/>
        </c:manualLayout>
      </c:layout>
      <c:lineChart>
        <c:grouping val="standard"/>
        <c:varyColors val="0"/>
        <c:ser>
          <c:idx val="1"/>
          <c:order val="1"/>
          <c:tx>
            <c:strRef>
              <c:f>'9'!$BJ$2</c:f>
              <c:strCache>
                <c:ptCount val="1"/>
                <c:pt idx="0">
                  <c:v>三次提
升单耗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'9'!$BJ$4:$BJ$32</c:f>
              <c:numCache>
                <c:formatCode>0.0000_);[Red]\(0.0000\)</c:formatCode>
                <c:ptCount val="29"/>
                <c:pt idx="0">
                  <c:v>0.038662008133341</c:v>
                </c:pt>
                <c:pt idx="1">
                  <c:v>0.0389626084644603</c:v>
                </c:pt>
                <c:pt idx="2">
                  <c:v>0.038951620262523</c:v>
                </c:pt>
                <c:pt idx="3">
                  <c:v>0.0398024546476988</c:v>
                </c:pt>
                <c:pt idx="4">
                  <c:v>0.0387193596798443</c:v>
                </c:pt>
                <c:pt idx="5">
                  <c:v>0.037331968508668</c:v>
                </c:pt>
                <c:pt idx="6">
                  <c:v>0.0377189129313802</c:v>
                </c:pt>
                <c:pt idx="7">
                  <c:v>0.0384102191786212</c:v>
                </c:pt>
                <c:pt idx="8">
                  <c:v>0.0384503772489914</c:v>
                </c:pt>
                <c:pt idx="9">
                  <c:v>0.0383996276399659</c:v>
                </c:pt>
                <c:pt idx="10">
                  <c:v>0.0389087983617362</c:v>
                </c:pt>
                <c:pt idx="11">
                  <c:v>0.0384529268031573</c:v>
                </c:pt>
                <c:pt idx="12">
                  <c:v>0.0379566661394894</c:v>
                </c:pt>
                <c:pt idx="13">
                  <c:v>0.0377878846525988</c:v>
                </c:pt>
                <c:pt idx="14">
                  <c:v>0.0382392560726532</c:v>
                </c:pt>
                <c:pt idx="15">
                  <c:v>0.039020809488626</c:v>
                </c:pt>
                <c:pt idx="16">
                  <c:v>0.0383191189469465</c:v>
                </c:pt>
                <c:pt idx="17">
                  <c:v>0.0383923215356859</c:v>
                </c:pt>
                <c:pt idx="18">
                  <c:v>0.0388552000971442</c:v>
                </c:pt>
                <c:pt idx="19">
                  <c:v>0.0385943922348083</c:v>
                </c:pt>
                <c:pt idx="20">
                  <c:v>0.0377342370564378</c:v>
                </c:pt>
                <c:pt idx="21">
                  <c:v>0.0369666761327471</c:v>
                </c:pt>
                <c:pt idx="22">
                  <c:v>0.0400662798565736</c:v>
                </c:pt>
                <c:pt idx="23">
                  <c:v>0.0376270996583602</c:v>
                </c:pt>
                <c:pt idx="24">
                  <c:v>0.0371052881277929</c:v>
                </c:pt>
                <c:pt idx="25">
                  <c:v>0.0374485849346298</c:v>
                </c:pt>
                <c:pt idx="26">
                  <c:v>0.0380702126448925</c:v>
                </c:pt>
                <c:pt idx="27">
                  <c:v>0.0395097014180471</c:v>
                </c:pt>
                <c:pt idx="28">
                  <c:v>0.0384695817952753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'9'!$BK$2</c:f>
              <c:strCache>
                <c:ptCount val="1"/>
                <c:pt idx="0">
                  <c:v>风机
单耗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'9'!$BK$4:$BK$32</c:f>
              <c:numCache>
                <c:formatCode>0.0000_);[Red]\(0.0000\)</c:formatCode>
                <c:ptCount val="29"/>
                <c:pt idx="0">
                  <c:v>0.0453443305267579</c:v>
                </c:pt>
                <c:pt idx="1">
                  <c:v>0.0536581828728899</c:v>
                </c:pt>
                <c:pt idx="2">
                  <c:v>0.0557137848391238</c:v>
                </c:pt>
                <c:pt idx="3">
                  <c:v>0.0576988900298283</c:v>
                </c:pt>
                <c:pt idx="4">
                  <c:v>0.0580290145072554</c:v>
                </c:pt>
                <c:pt idx="5">
                  <c:v>0.0491738294872383</c:v>
                </c:pt>
                <c:pt idx="6">
                  <c:v>0.0539523691296966</c:v>
                </c:pt>
                <c:pt idx="7">
                  <c:v>0.0578851323509222</c:v>
                </c:pt>
                <c:pt idx="8">
                  <c:v>0.0536854323853717</c:v>
                </c:pt>
                <c:pt idx="9">
                  <c:v>0.0538176599499659</c:v>
                </c:pt>
                <c:pt idx="10">
                  <c:v>0.0531461030254255</c:v>
                </c:pt>
                <c:pt idx="11">
                  <c:v>0.0574360172502759</c:v>
                </c:pt>
                <c:pt idx="12">
                  <c:v>0.0551138460358767</c:v>
                </c:pt>
                <c:pt idx="13">
                  <c:v>0.0546738920069682</c:v>
                </c:pt>
                <c:pt idx="14">
                  <c:v>0.0574554478869414</c:v>
                </c:pt>
                <c:pt idx="15">
                  <c:v>0.058434628070838</c:v>
                </c:pt>
                <c:pt idx="16">
                  <c:v>0.0539907785661396</c:v>
                </c:pt>
                <c:pt idx="17">
                  <c:v>0.0427114577084566</c:v>
                </c:pt>
                <c:pt idx="18">
                  <c:v>0.0585685001464199</c:v>
                </c:pt>
                <c:pt idx="19">
                  <c:v>0.0434186912641593</c:v>
                </c:pt>
                <c:pt idx="20">
                  <c:v>0.0460405156537745</c:v>
                </c:pt>
                <c:pt idx="21">
                  <c:v>0.0484728600945893</c:v>
                </c:pt>
                <c:pt idx="22">
                  <c:v>0.0447548870738373</c:v>
                </c:pt>
                <c:pt idx="23">
                  <c:v>0.0498979129434177</c:v>
                </c:pt>
                <c:pt idx="24">
                  <c:v>0.0464440349379007</c:v>
                </c:pt>
                <c:pt idx="25">
                  <c:v>0.0479966960413857</c:v>
                </c:pt>
                <c:pt idx="26">
                  <c:v>0.0558638989897954</c:v>
                </c:pt>
                <c:pt idx="27">
                  <c:v>0.0493871267725446</c:v>
                </c:pt>
                <c:pt idx="28">
                  <c:v>0.0520384987622654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'9'!$BL$2</c:f>
              <c:strCache>
                <c:ptCount val="1"/>
                <c:pt idx="0">
                  <c:v>提标
总单耗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'9'!$BL$4:$BL$32</c:f>
              <c:numCache>
                <c:formatCode>0.0000_);[Red]\(0.0000\)</c:formatCode>
                <c:ptCount val="29"/>
                <c:pt idx="0">
                  <c:v>0.044867021784378</c:v>
                </c:pt>
                <c:pt idx="1">
                  <c:v>0.0464070770792476</c:v>
                </c:pt>
                <c:pt idx="2">
                  <c:v>0.0470685423641036</c:v>
                </c:pt>
                <c:pt idx="3">
                  <c:v>0.0469414698547677</c:v>
                </c:pt>
                <c:pt idx="4">
                  <c:v>0.0470235117558852</c:v>
                </c:pt>
                <c:pt idx="5">
                  <c:v>0.0451596393250139</c:v>
                </c:pt>
                <c:pt idx="6">
                  <c:v>0.0381963675254483</c:v>
                </c:pt>
                <c:pt idx="7">
                  <c:v>0.0569040284127629</c:v>
                </c:pt>
                <c:pt idx="8">
                  <c:v>0.0464306442251816</c:v>
                </c:pt>
                <c:pt idx="9">
                  <c:v>0.0465450031999972</c:v>
                </c:pt>
                <c:pt idx="10">
                  <c:v>0.0477827348301794</c:v>
                </c:pt>
                <c:pt idx="11">
                  <c:v>0.0496480827078861</c:v>
                </c:pt>
                <c:pt idx="12">
                  <c:v>0.0488835851796332</c:v>
                </c:pt>
                <c:pt idx="13">
                  <c:v>0.0464486162183015</c:v>
                </c:pt>
                <c:pt idx="14">
                  <c:v>0.049247526760258</c:v>
                </c:pt>
                <c:pt idx="15">
                  <c:v>0.0482930810502779</c:v>
                </c:pt>
                <c:pt idx="16">
                  <c:v>0.0477794500585298</c:v>
                </c:pt>
                <c:pt idx="17">
                  <c:v>0.0431913617276545</c:v>
                </c:pt>
                <c:pt idx="18">
                  <c:v>0.044283500110688</c:v>
                </c:pt>
                <c:pt idx="19">
                  <c:v>0.0530672893228614</c:v>
                </c:pt>
                <c:pt idx="20">
                  <c:v>0.0474644491276034</c:v>
                </c:pt>
                <c:pt idx="21">
                  <c:v>0.0411284873529973</c:v>
                </c:pt>
                <c:pt idx="22">
                  <c:v>0.0436892945244372</c:v>
                </c:pt>
                <c:pt idx="23">
                  <c:v>0.0437879644197257</c:v>
                </c:pt>
                <c:pt idx="24">
                  <c:v>0.0429482473619579</c:v>
                </c:pt>
                <c:pt idx="25">
                  <c:v>0.0435318871072817</c:v>
                </c:pt>
                <c:pt idx="26">
                  <c:v>0.0434496992142921</c:v>
                </c:pt>
                <c:pt idx="27">
                  <c:v>0.0483363368412051</c:v>
                </c:pt>
                <c:pt idx="28">
                  <c:v>0.0466887465530857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'9'!$BO$2</c:f>
              <c:strCache>
                <c:ptCount val="1"/>
                <c:pt idx="0">
                  <c:v>其他
单耗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'9'!$BO$4:$BO$33</c:f>
              <c:numCache>
                <c:formatCode>0.0000_);[Red]\(0.0000\)</c:formatCode>
                <c:ptCount val="30"/>
                <c:pt idx="0">
                  <c:v>0.0559444030776928</c:v>
                </c:pt>
                <c:pt idx="1">
                  <c:v>0.0446165373551586</c:v>
                </c:pt>
                <c:pt idx="2">
                  <c:v>0.042674838021904</c:v>
                </c:pt>
                <c:pt idx="3">
                  <c:v>0.0468045572343544</c:v>
                </c:pt>
                <c:pt idx="4">
                  <c:v>0.0490285142570438</c:v>
                </c:pt>
                <c:pt idx="5">
                  <c:v>0.0668081668698835</c:v>
                </c:pt>
                <c:pt idx="6">
                  <c:v>0.0557514180402085</c:v>
                </c:pt>
                <c:pt idx="7">
                  <c:v>0.0407766418774267</c:v>
                </c:pt>
                <c:pt idx="8">
                  <c:v>0.0480034822983194</c:v>
                </c:pt>
                <c:pt idx="9">
                  <c:v>0.0511801097686381</c:v>
                </c:pt>
                <c:pt idx="10">
                  <c:v>0.0494912113898118</c:v>
                </c:pt>
                <c:pt idx="11">
                  <c:v>0.049539051624202</c:v>
                </c:pt>
                <c:pt idx="12">
                  <c:v>0.0440067286818718</c:v>
                </c:pt>
                <c:pt idx="13">
                  <c:v>0.0437410489644356</c:v>
                </c:pt>
                <c:pt idx="14">
                  <c:v>0.0426078013877133</c:v>
                </c:pt>
                <c:pt idx="15">
                  <c:v>0.0404696019200482</c:v>
                </c:pt>
                <c:pt idx="16">
                  <c:v>0.0413158460546462</c:v>
                </c:pt>
                <c:pt idx="17">
                  <c:v>0.0660155968806297</c:v>
                </c:pt>
                <c:pt idx="18">
                  <c:v>0.0944924182363606</c:v>
                </c:pt>
                <c:pt idx="19">
                  <c:v>0.0621987225254702</c:v>
                </c:pt>
                <c:pt idx="20">
                  <c:v>0.0698277989786345</c:v>
                </c:pt>
                <c:pt idx="21">
                  <c:v>0.0719533093744084</c:v>
                </c:pt>
                <c:pt idx="22">
                  <c:v>0.0813260233684389</c:v>
                </c:pt>
                <c:pt idx="23">
                  <c:v>0.0654069989460366</c:v>
                </c:pt>
                <c:pt idx="24">
                  <c:v>0.0726504562002124</c:v>
                </c:pt>
                <c:pt idx="25">
                  <c:v>0.0833200319234014</c:v>
                </c:pt>
                <c:pt idx="26">
                  <c:v>0.0594847072576337</c:v>
                </c:pt>
                <c:pt idx="27">
                  <c:v>0.072996274949756</c:v>
                </c:pt>
                <c:pt idx="28">
                  <c:v>0.0443056751144432</c:v>
                </c:pt>
                <c:pt idx="29">
                  <c:v>0.0429520631933489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'9'!$BG$2</c:f>
              <c:strCache>
                <c:ptCount val="1"/>
                <c:pt idx="0">
                  <c:v>总单耗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'9'!$BG$4:$BG$33</c:f>
              <c:numCache>
                <c:formatCode>0.0000_);[Red]\(0.0000\)</c:formatCode>
                <c:ptCount val="30"/>
                <c:pt idx="0">
                  <c:v>0.235313209996768</c:v>
                </c:pt>
                <c:pt idx="1">
                  <c:v>0.240253305295605</c:v>
                </c:pt>
                <c:pt idx="2">
                  <c:v>0.23822445931226</c:v>
                </c:pt>
                <c:pt idx="3">
                  <c:v>0.247909637670515</c:v>
                </c:pt>
                <c:pt idx="4">
                  <c:v>0.247123561780825</c:v>
                </c:pt>
                <c:pt idx="5">
                  <c:v>0.254399301530897</c:v>
                </c:pt>
                <c:pt idx="6">
                  <c:v>0.241592024598523</c:v>
                </c:pt>
                <c:pt idx="7">
                  <c:v>0.248709848321317</c:v>
                </c:pt>
                <c:pt idx="8">
                  <c:v>0.241826272006191</c:v>
                </c:pt>
                <c:pt idx="9">
                  <c:v>0.247755173283196</c:v>
                </c:pt>
                <c:pt idx="10">
                  <c:v>0.245252200199851</c:v>
                </c:pt>
                <c:pt idx="11">
                  <c:v>0.253594618537189</c:v>
                </c:pt>
                <c:pt idx="12">
                  <c:v>0.237708414207044</c:v>
                </c:pt>
                <c:pt idx="13">
                  <c:v>0.230791561834565</c:v>
                </c:pt>
                <c:pt idx="14">
                  <c:v>0.24623763380129</c:v>
                </c:pt>
                <c:pt idx="15">
                  <c:v>0.249675229029853</c:v>
                </c:pt>
                <c:pt idx="16">
                  <c:v>0.240808428295032</c:v>
                </c:pt>
                <c:pt idx="17">
                  <c:v>0.251949610077984</c:v>
                </c:pt>
                <c:pt idx="18">
                  <c:v>0.302842000757219</c:v>
                </c:pt>
                <c:pt idx="19">
                  <c:v>0.250863549526113</c:v>
                </c:pt>
                <c:pt idx="20">
                  <c:v>0.252036224867636</c:v>
                </c:pt>
                <c:pt idx="21">
                  <c:v>0.251177547762954</c:v>
                </c:pt>
                <c:pt idx="22">
                  <c:v>0.278652451662035</c:v>
                </c:pt>
                <c:pt idx="23">
                  <c:v>0.263746111272361</c:v>
                </c:pt>
                <c:pt idx="24">
                  <c:v>0.255691891270968</c:v>
                </c:pt>
                <c:pt idx="25">
                  <c:v>0.279050558380167</c:v>
                </c:pt>
                <c:pt idx="26">
                  <c:v>0.262249970257631</c:v>
                </c:pt>
                <c:pt idx="27">
                  <c:v>0.277933936837063</c:v>
                </c:pt>
                <c:pt idx="28">
                  <c:v>0.233930073875278</c:v>
                </c:pt>
                <c:pt idx="29">
                  <c:v>0.238590887919337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865688"/>
        <c:axId val="148866080"/>
      </c:lineChart>
      <c:lineChart>
        <c:grouping val="standard"/>
        <c:varyColors val="0"/>
        <c:ser>
          <c:idx val="0"/>
          <c:order val="0"/>
          <c:tx>
            <c:strRef>
              <c:f>'9'!$BH$2</c:f>
              <c:strCache>
                <c:ptCount val="1"/>
                <c:pt idx="0">
                  <c:v>一次提
升单耗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'9'!$BH$4:$BH$33</c:f>
              <c:numCache>
                <c:formatCode>0.0000_);[Red]\(0.0000\)</c:formatCode>
                <c:ptCount val="30"/>
                <c:pt idx="0">
                  <c:v>0.0416556885655936</c:v>
                </c:pt>
                <c:pt idx="1">
                  <c:v>0.0472888115437624</c:v>
                </c:pt>
                <c:pt idx="2">
                  <c:v>0.0445556585513456</c:v>
                </c:pt>
                <c:pt idx="3">
                  <c:v>0.0471566182582731</c:v>
                </c:pt>
                <c:pt idx="4">
                  <c:v>0.0447583791896</c:v>
                </c:pt>
                <c:pt idx="5">
                  <c:v>0.0462514990491341</c:v>
                </c:pt>
                <c:pt idx="6">
                  <c:v>0.0468631233169721</c:v>
                </c:pt>
                <c:pt idx="7">
                  <c:v>0.0451974962227545</c:v>
                </c:pt>
                <c:pt idx="8">
                  <c:v>0.0459895531050492</c:v>
                </c:pt>
                <c:pt idx="9">
                  <c:v>0.0482710470686334</c:v>
                </c:pt>
                <c:pt idx="10">
                  <c:v>0.0463863087837308</c:v>
                </c:pt>
                <c:pt idx="11">
                  <c:v>0.0487446823009461</c:v>
                </c:pt>
                <c:pt idx="12">
                  <c:v>0.0426034822365678</c:v>
                </c:pt>
                <c:pt idx="13">
                  <c:v>0.0384633249467804</c:v>
                </c:pt>
                <c:pt idx="14">
                  <c:v>0.0492050386979285</c:v>
                </c:pt>
                <c:pt idx="15">
                  <c:v>0.0539530301493668</c:v>
                </c:pt>
                <c:pt idx="16">
                  <c:v>0.0499811271172287</c:v>
                </c:pt>
                <c:pt idx="17">
                  <c:v>0.0521175764847076</c:v>
                </c:pt>
                <c:pt idx="18">
                  <c:v>0.0528716421321764</c:v>
                </c:pt>
                <c:pt idx="19">
                  <c:v>0.0443410972385773</c:v>
                </c:pt>
                <c:pt idx="20">
                  <c:v>0.0417421351407804</c:v>
                </c:pt>
                <c:pt idx="21">
                  <c:v>0.0432945876869131</c:v>
                </c:pt>
                <c:pt idx="22">
                  <c:v>0.0585862783647311</c:v>
                </c:pt>
                <c:pt idx="23">
                  <c:v>0.0572909506570824</c:v>
                </c:pt>
                <c:pt idx="24">
                  <c:v>0.0466757557143623</c:v>
                </c:pt>
                <c:pt idx="25">
                  <c:v>0.0561940852443624</c:v>
                </c:pt>
                <c:pt idx="26">
                  <c:v>0.0553466406658168</c:v>
                </c:pt>
                <c:pt idx="27">
                  <c:v>0.057658945111985</c:v>
                </c:pt>
                <c:pt idx="28">
                  <c:v>0.0435178025163329</c:v>
                </c:pt>
                <c:pt idx="29">
                  <c:v>0.0433303865932754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866472"/>
        <c:axId val="148866864"/>
      </c:lineChart>
      <c:catAx>
        <c:axId val="148865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866080"/>
        <c:crosses val="autoZero"/>
        <c:auto val="1"/>
        <c:lblAlgn val="ctr"/>
        <c:lblOffset val="100"/>
        <c:noMultiLvlLbl val="0"/>
      </c:catAx>
      <c:valAx>
        <c:axId val="14886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865688"/>
        <c:crosses val="autoZero"/>
        <c:crossBetween val="between"/>
      </c:valAx>
      <c:catAx>
        <c:axId val="148866472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8866864"/>
        <c:crosses val="autoZero"/>
        <c:auto val="1"/>
        <c:lblAlgn val="ctr"/>
        <c:lblOffset val="100"/>
        <c:noMultiLvlLbl val="0"/>
      </c:catAx>
      <c:valAx>
        <c:axId val="148866864"/>
        <c:scaling>
          <c:orientation val="minMax"/>
        </c:scaling>
        <c:delete val="0"/>
        <c:axPos val="r"/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866472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0961371262372"/>
          <c:y val="0.0920863329570157"/>
          <c:w val="0.871518426653678"/>
          <c:h val="0.749640304228206"/>
        </c:manualLayout>
      </c:layout>
      <c:lineChart>
        <c:grouping val="standard"/>
        <c:varyColors val="0"/>
        <c:ser>
          <c:idx val="1"/>
          <c:order val="1"/>
          <c:tx>
            <c:strRef>
              <c:f>'10'!$BJ$2</c:f>
              <c:strCache>
                <c:ptCount val="1"/>
                <c:pt idx="0">
                  <c:v>三次提
升单耗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'10'!$BJ$4:$BJ$32</c:f>
              <c:numCache>
                <c:formatCode>0.0000_);[Red]\(0.0000\)</c:formatCode>
                <c:ptCount val="29"/>
                <c:pt idx="0">
                  <c:v>0.038883649732804</c:v>
                </c:pt>
                <c:pt idx="1">
                  <c:v>0.0431654676258953</c:v>
                </c:pt>
                <c:pt idx="2">
                  <c:v>0.0382689530288902</c:v>
                </c:pt>
                <c:pt idx="3">
                  <c:v>0.0365111784600518</c:v>
                </c:pt>
                <c:pt idx="4">
                  <c:v>0.0368555406333587</c:v>
                </c:pt>
                <c:pt idx="5">
                  <c:v>0.0361225512842007</c:v>
                </c:pt>
                <c:pt idx="6">
                  <c:v>0.0377229569104117</c:v>
                </c:pt>
                <c:pt idx="7">
                  <c:v>0.0393700787401589</c:v>
                </c:pt>
                <c:pt idx="8">
                  <c:v>0.039378670533405</c:v>
                </c:pt>
                <c:pt idx="9">
                  <c:v>0.0385501296248179</c:v>
                </c:pt>
                <c:pt idx="10">
                  <c:v>0.0390755142642313</c:v>
                </c:pt>
                <c:pt idx="11">
                  <c:v>0.0386862049600787</c:v>
                </c:pt>
                <c:pt idx="12">
                  <c:v>0.0395680081306887</c:v>
                </c:pt>
                <c:pt idx="13">
                  <c:v>0.0396350991373581</c:v>
                </c:pt>
                <c:pt idx="14">
                  <c:v>0.0394124649627414</c:v>
                </c:pt>
                <c:pt idx="15">
                  <c:v>0.0384706607845955</c:v>
                </c:pt>
                <c:pt idx="16">
                  <c:v>0.0404097081739861</c:v>
                </c:pt>
                <c:pt idx="17">
                  <c:v>0.0390343413935609</c:v>
                </c:pt>
                <c:pt idx="18">
                  <c:v>0.0394495280916125</c:v>
                </c:pt>
                <c:pt idx="19">
                  <c:v>0.0385964747928457</c:v>
                </c:pt>
                <c:pt idx="20">
                  <c:v>0.0410184207438668</c:v>
                </c:pt>
                <c:pt idx="21">
                  <c:v>0.0406573817218153</c:v>
                </c:pt>
                <c:pt idx="22">
                  <c:v>0.0392448175816783</c:v>
                </c:pt>
                <c:pt idx="23">
                  <c:v>0.0411233365371282</c:v>
                </c:pt>
                <c:pt idx="24">
                  <c:v>0.0395964790045421</c:v>
                </c:pt>
                <c:pt idx="25">
                  <c:v>0.0407678018575866</c:v>
                </c:pt>
                <c:pt idx="26">
                  <c:v>0.0399462858195505</c:v>
                </c:pt>
                <c:pt idx="27">
                  <c:v>0.0386692269337312</c:v>
                </c:pt>
                <c:pt idx="28">
                  <c:v>0.0383050392738467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'10'!$BK$2</c:f>
              <c:strCache>
                <c:ptCount val="1"/>
                <c:pt idx="0">
                  <c:v>风机
单耗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'10'!$BK$4:$BK$32</c:f>
              <c:numCache>
                <c:formatCode>0.0000_);[Red]\(0.0000\)</c:formatCode>
                <c:ptCount val="29"/>
                <c:pt idx="0">
                  <c:v>0.0765372367323992</c:v>
                </c:pt>
                <c:pt idx="1">
                  <c:v>0.124515771997786</c:v>
                </c:pt>
                <c:pt idx="2">
                  <c:v>0.0725790488479032</c:v>
                </c:pt>
                <c:pt idx="3">
                  <c:v>0.0455703430403664</c:v>
                </c:pt>
                <c:pt idx="4">
                  <c:v>0.0425453389787078</c:v>
                </c:pt>
                <c:pt idx="5">
                  <c:v>0.0432487688844731</c:v>
                </c:pt>
                <c:pt idx="6">
                  <c:v>0.0417562290329171</c:v>
                </c:pt>
                <c:pt idx="7">
                  <c:v>0.0409102285197235</c:v>
                </c:pt>
                <c:pt idx="8">
                  <c:v>0.0412215147209348</c:v>
                </c:pt>
                <c:pt idx="9">
                  <c:v>0.0438507724482197</c:v>
                </c:pt>
                <c:pt idx="10">
                  <c:v>0.0414076704139806</c:v>
                </c:pt>
                <c:pt idx="11">
                  <c:v>0.0412780846968718</c:v>
                </c:pt>
                <c:pt idx="12">
                  <c:v>0.0350290346294049</c:v>
                </c:pt>
                <c:pt idx="13">
                  <c:v>0.0585349399024803</c:v>
                </c:pt>
                <c:pt idx="14">
                  <c:v>0.0497991434547283</c:v>
                </c:pt>
                <c:pt idx="15">
                  <c:v>0.0464873582847122</c:v>
                </c:pt>
                <c:pt idx="16">
                  <c:v>0.0541421181381018</c:v>
                </c:pt>
                <c:pt idx="17">
                  <c:v>0.0421727809025974</c:v>
                </c:pt>
                <c:pt idx="18">
                  <c:v>0.0364296978731785</c:v>
                </c:pt>
                <c:pt idx="19">
                  <c:v>0.0416879400068327</c:v>
                </c:pt>
                <c:pt idx="20">
                  <c:v>0.052563651296491</c:v>
                </c:pt>
                <c:pt idx="21">
                  <c:v>0.0548135861431298</c:v>
                </c:pt>
                <c:pt idx="22">
                  <c:v>0.0513920230236263</c:v>
                </c:pt>
                <c:pt idx="23">
                  <c:v>0.0530777948328023</c:v>
                </c:pt>
                <c:pt idx="24">
                  <c:v>0.0441596420125021</c:v>
                </c:pt>
                <c:pt idx="25">
                  <c:v>0.0609287925696603</c:v>
                </c:pt>
                <c:pt idx="26">
                  <c:v>0.0615676978044078</c:v>
                </c:pt>
                <c:pt idx="27">
                  <c:v>0.0657748167322676</c:v>
                </c:pt>
                <c:pt idx="28">
                  <c:v>0.0640901435321149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'10'!$BL$2</c:f>
              <c:strCache>
                <c:ptCount val="1"/>
                <c:pt idx="0">
                  <c:v>提标
总单耗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'10'!$BL$4:$BL$32</c:f>
              <c:numCache>
                <c:formatCode>0.0000_);[Red]\(0.0000\)</c:formatCode>
                <c:ptCount val="29"/>
                <c:pt idx="0">
                  <c:v>0.0451023002173011</c:v>
                </c:pt>
                <c:pt idx="1">
                  <c:v>0.0470392916436283</c:v>
                </c:pt>
                <c:pt idx="2">
                  <c:v>0.0498522759763028</c:v>
                </c:pt>
                <c:pt idx="3">
                  <c:v>0.0450213027627946</c:v>
                </c:pt>
                <c:pt idx="4">
                  <c:v>0.0430579334242409</c:v>
                </c:pt>
                <c:pt idx="5">
                  <c:v>0.0452146220155749</c:v>
                </c:pt>
                <c:pt idx="6">
                  <c:v>0.0446032446488038</c:v>
                </c:pt>
                <c:pt idx="7">
                  <c:v>0.0471670869991897</c:v>
                </c:pt>
                <c:pt idx="8">
                  <c:v>0.0465560636848437</c:v>
                </c:pt>
                <c:pt idx="9">
                  <c:v>0.0481876620310136</c:v>
                </c:pt>
                <c:pt idx="10">
                  <c:v>0.0475950234643466</c:v>
                </c:pt>
                <c:pt idx="11">
                  <c:v>0.0460778619871968</c:v>
                </c:pt>
                <c:pt idx="12">
                  <c:v>0.0453897350127392</c:v>
                </c:pt>
                <c:pt idx="13">
                  <c:v>0.046629528396894</c:v>
                </c:pt>
                <c:pt idx="14">
                  <c:v>0.04553064544432</c:v>
                </c:pt>
                <c:pt idx="15">
                  <c:v>0.0436411934917905</c:v>
                </c:pt>
                <c:pt idx="16">
                  <c:v>0.0462669009543492</c:v>
                </c:pt>
                <c:pt idx="17">
                  <c:v>0.0431535432491819</c:v>
                </c:pt>
                <c:pt idx="18">
                  <c:v>0.0460164604713741</c:v>
                </c:pt>
                <c:pt idx="19">
                  <c:v>0.0430931514677638</c:v>
                </c:pt>
                <c:pt idx="20">
                  <c:v>0.0431772849935332</c:v>
                </c:pt>
                <c:pt idx="21">
                  <c:v>0.0486172677095408</c:v>
                </c:pt>
                <c:pt idx="22">
                  <c:v>0.043916819674742</c:v>
                </c:pt>
                <c:pt idx="23">
                  <c:v>0.0439924065281115</c:v>
                </c:pt>
                <c:pt idx="24">
                  <c:v>0.0421969912563837</c:v>
                </c:pt>
                <c:pt idx="25">
                  <c:v>0.0445820433436533</c:v>
                </c:pt>
                <c:pt idx="26">
                  <c:v>0.0426610819431911</c:v>
                </c:pt>
                <c:pt idx="27">
                  <c:v>0.0434962497745853</c:v>
                </c:pt>
                <c:pt idx="28">
                  <c:v>0.0417331167185919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'10'!$BO$2</c:f>
              <c:strCache>
                <c:ptCount val="1"/>
                <c:pt idx="0">
                  <c:v>其他
单耗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'10'!$BO$4:$BO$33</c:f>
              <c:numCache>
                <c:formatCode>0.0000_);[Red]\(0.0000\)</c:formatCode>
                <c:ptCount val="30"/>
                <c:pt idx="0">
                  <c:v>0.0680935394371717</c:v>
                </c:pt>
                <c:pt idx="1">
                  <c:v>0.134864416159202</c:v>
                </c:pt>
                <c:pt idx="2">
                  <c:v>0.109540112754071</c:v>
                </c:pt>
                <c:pt idx="3">
                  <c:v>0.0868998989765257</c:v>
                </c:pt>
                <c:pt idx="4">
                  <c:v>0.0802374337471938</c:v>
                </c:pt>
                <c:pt idx="5">
                  <c:v>0.0763321112280368</c:v>
                </c:pt>
                <c:pt idx="6">
                  <c:v>0.0675217203566695</c:v>
                </c:pt>
                <c:pt idx="7">
                  <c:v>0.0626994975260567</c:v>
                </c:pt>
                <c:pt idx="8">
                  <c:v>0.0626761007356763</c:v>
                </c:pt>
                <c:pt idx="9">
                  <c:v>0.0639700850994866</c:v>
                </c:pt>
                <c:pt idx="10">
                  <c:v>0.0595223363444728</c:v>
                </c:pt>
                <c:pt idx="11">
                  <c:v>0.0628502037505943</c:v>
                </c:pt>
                <c:pt idx="12">
                  <c:v>0.0702948852675178</c:v>
                </c:pt>
                <c:pt idx="13">
                  <c:v>0.0508420598346182</c:v>
                </c:pt>
                <c:pt idx="14">
                  <c:v>0.043225656518655</c:v>
                </c:pt>
                <c:pt idx="15">
                  <c:v>0.0363037806555737</c:v>
                </c:pt>
                <c:pt idx="16">
                  <c:v>0.0396418744986798</c:v>
                </c:pt>
                <c:pt idx="17">
                  <c:v>0.0671979129376141</c:v>
                </c:pt>
                <c:pt idx="18">
                  <c:v>0.0714884886948818</c:v>
                </c:pt>
                <c:pt idx="19">
                  <c:v>0.0633993938853819</c:v>
                </c:pt>
                <c:pt idx="20">
                  <c:v>0.0459218585005686</c:v>
                </c:pt>
                <c:pt idx="21">
                  <c:v>0.0492025814816555</c:v>
                </c:pt>
                <c:pt idx="22">
                  <c:v>0.0485103321326655</c:v>
                </c:pt>
                <c:pt idx="23">
                  <c:v>0.0537663716305878</c:v>
                </c:pt>
                <c:pt idx="24">
                  <c:v>0.0691500740899611</c:v>
                </c:pt>
                <c:pt idx="25">
                  <c:v>0.0592980804954601</c:v>
                </c:pt>
                <c:pt idx="26">
                  <c:v>0.0551452658317992</c:v>
                </c:pt>
                <c:pt idx="27">
                  <c:v>0.066837822641371</c:v>
                </c:pt>
                <c:pt idx="28">
                  <c:v>0.0573432896626648</c:v>
                </c:pt>
                <c:pt idx="29">
                  <c:v>0.0649917779202139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'10'!$BG$2</c:f>
              <c:strCache>
                <c:ptCount val="1"/>
                <c:pt idx="0">
                  <c:v>总单耗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'10'!$BG$4:$BG$33</c:f>
              <c:numCache>
                <c:formatCode>0.0000_);[Red]\(0.0000\)</c:formatCode>
                <c:ptCount val="30"/>
                <c:pt idx="0">
                  <c:v>0.284281165006072</c:v>
                </c:pt>
                <c:pt idx="1">
                  <c:v>0.441339236303084</c:v>
                </c:pt>
                <c:pt idx="2">
                  <c:v>0.338702227956788</c:v>
                </c:pt>
                <c:pt idx="3">
                  <c:v>0.282206702683677</c:v>
                </c:pt>
                <c:pt idx="4">
                  <c:v>0.261935761664116</c:v>
                </c:pt>
                <c:pt idx="5">
                  <c:v>0.264407246134691</c:v>
                </c:pt>
                <c:pt idx="6">
                  <c:v>0.251011876800186</c:v>
                </c:pt>
                <c:pt idx="7">
                  <c:v>0.247867855148808</c:v>
                </c:pt>
                <c:pt idx="8">
                  <c:v>0.247814047322327</c:v>
                </c:pt>
                <c:pt idx="9">
                  <c:v>0.252503349042588</c:v>
                </c:pt>
                <c:pt idx="10">
                  <c:v>0.240354868494916</c:v>
                </c:pt>
                <c:pt idx="11">
                  <c:v>0.245268619536081</c:v>
                </c:pt>
                <c:pt idx="12">
                  <c:v>0.256057309474056</c:v>
                </c:pt>
                <c:pt idx="13">
                  <c:v>0.261422994310227</c:v>
                </c:pt>
                <c:pt idx="14">
                  <c:v>0.230024615005124</c:v>
                </c:pt>
                <c:pt idx="15">
                  <c:v>0.2186803282577</c:v>
                </c:pt>
                <c:pt idx="16">
                  <c:v>0.237733118733751</c:v>
                </c:pt>
                <c:pt idx="17">
                  <c:v>0.256959734801762</c:v>
                </c:pt>
                <c:pt idx="18">
                  <c:v>0.258842590151589</c:v>
                </c:pt>
                <c:pt idx="19">
                  <c:v>0.250596043861266</c:v>
                </c:pt>
                <c:pt idx="20">
                  <c:v>0.22808870116159</c:v>
                </c:pt>
                <c:pt idx="21">
                  <c:v>0.241179779029814</c:v>
                </c:pt>
                <c:pt idx="22">
                  <c:v>0.23546890549011</c:v>
                </c:pt>
                <c:pt idx="23">
                  <c:v>0.253434515868313</c:v>
                </c:pt>
                <c:pt idx="24">
                  <c:v>0.264957852074905</c:v>
                </c:pt>
                <c:pt idx="25">
                  <c:v>0.272941176470689</c:v>
                </c:pt>
                <c:pt idx="26">
                  <c:v>0.262753481968336</c:v>
                </c:pt>
                <c:pt idx="27">
                  <c:v>0.283256065605083</c:v>
                </c:pt>
                <c:pt idx="28">
                  <c:v>0.268284321762402</c:v>
                </c:pt>
                <c:pt idx="29">
                  <c:v>0.29543744251508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867648"/>
        <c:axId val="148164648"/>
      </c:lineChart>
      <c:lineChart>
        <c:grouping val="standard"/>
        <c:varyColors val="0"/>
        <c:ser>
          <c:idx val="0"/>
          <c:order val="0"/>
          <c:tx>
            <c:strRef>
              <c:f>'10'!$BH$2</c:f>
              <c:strCache>
                <c:ptCount val="1"/>
                <c:pt idx="0">
                  <c:v>一次提
升单耗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'10'!$BH$4:$BH$33</c:f>
              <c:numCache>
                <c:formatCode>0.0000_);[Red]\(0.0000\)</c:formatCode>
                <c:ptCount val="30"/>
                <c:pt idx="0">
                  <c:v>0.0426804433692913</c:v>
                </c:pt>
                <c:pt idx="1">
                  <c:v>0.0657443276148117</c:v>
                </c:pt>
                <c:pt idx="2">
                  <c:v>0.0548550984949031</c:v>
                </c:pt>
                <c:pt idx="3">
                  <c:v>0.057464751614186</c:v>
                </c:pt>
                <c:pt idx="4">
                  <c:v>0.0498487846385661</c:v>
                </c:pt>
                <c:pt idx="5">
                  <c:v>0.0542103659435565</c:v>
                </c:pt>
                <c:pt idx="6">
                  <c:v>0.0505440172339396</c:v>
                </c:pt>
                <c:pt idx="7">
                  <c:v>0.0490768727258674</c:v>
                </c:pt>
                <c:pt idx="8">
                  <c:v>0.049330029146038</c:v>
                </c:pt>
                <c:pt idx="9">
                  <c:v>0.0502924991085262</c:v>
                </c:pt>
                <c:pt idx="10">
                  <c:v>0.0442252958030728</c:v>
                </c:pt>
                <c:pt idx="11">
                  <c:v>0.0473718819446735</c:v>
                </c:pt>
                <c:pt idx="12">
                  <c:v>0.0562240674136299</c:v>
                </c:pt>
                <c:pt idx="13">
                  <c:v>0.0562570378344047</c:v>
                </c:pt>
                <c:pt idx="14">
                  <c:v>0.0414139162520686</c:v>
                </c:pt>
                <c:pt idx="15">
                  <c:v>0.0422598548455937</c:v>
                </c:pt>
                <c:pt idx="16">
                  <c:v>0.0454596911930497</c:v>
                </c:pt>
                <c:pt idx="17">
                  <c:v>0.0536123929130109</c:v>
                </c:pt>
                <c:pt idx="18">
                  <c:v>0.0540118204782848</c:v>
                </c:pt>
                <c:pt idx="19">
                  <c:v>0.0524837112571451</c:v>
                </c:pt>
                <c:pt idx="20">
                  <c:v>0.0351200281591009</c:v>
                </c:pt>
                <c:pt idx="21">
                  <c:v>0.0341426678487363</c:v>
                </c:pt>
                <c:pt idx="22">
                  <c:v>0.0390242990828849</c:v>
                </c:pt>
                <c:pt idx="23">
                  <c:v>0.0476265618499697</c:v>
                </c:pt>
                <c:pt idx="24">
                  <c:v>0.0558413393128836</c:v>
                </c:pt>
                <c:pt idx="25">
                  <c:v>0.0529793188854437</c:v>
                </c:pt>
                <c:pt idx="26">
                  <c:v>0.0507123915899562</c:v>
                </c:pt>
                <c:pt idx="27">
                  <c:v>0.0540074898420287</c:v>
                </c:pt>
                <c:pt idx="28">
                  <c:v>0.0522061417236794</c:v>
                </c:pt>
                <c:pt idx="29">
                  <c:v>0.0570629058780882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165040"/>
        <c:axId val="148165432"/>
      </c:lineChart>
      <c:catAx>
        <c:axId val="14886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164648"/>
        <c:crosses val="autoZero"/>
        <c:auto val="1"/>
        <c:lblAlgn val="ctr"/>
        <c:lblOffset val="100"/>
        <c:noMultiLvlLbl val="0"/>
      </c:catAx>
      <c:valAx>
        <c:axId val="148164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867648"/>
        <c:crosses val="autoZero"/>
        <c:crossBetween val="between"/>
      </c:valAx>
      <c:catAx>
        <c:axId val="148165040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8165432"/>
        <c:crosses val="autoZero"/>
        <c:auto val="1"/>
        <c:lblAlgn val="ctr"/>
        <c:lblOffset val="100"/>
        <c:noMultiLvlLbl val="0"/>
      </c:catAx>
      <c:valAx>
        <c:axId val="148165432"/>
        <c:scaling>
          <c:orientation val="minMax"/>
        </c:scaling>
        <c:delete val="0"/>
        <c:axPos val="r"/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165040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0961371262372"/>
          <c:y val="0.0920863329570157"/>
          <c:w val="0.871518426653678"/>
          <c:h val="0.749640304228206"/>
        </c:manualLayout>
      </c:layout>
      <c:lineChart>
        <c:grouping val="standard"/>
        <c:varyColors val="0"/>
        <c:ser>
          <c:idx val="1"/>
          <c:order val="1"/>
          <c:tx>
            <c:strRef>
              <c:f>'11'!$BJ$2</c:f>
              <c:strCache>
                <c:ptCount val="1"/>
                <c:pt idx="0">
                  <c:v>三次提
升单耗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'11'!$BJ$4:$BJ$32</c:f>
              <c:numCache>
                <c:formatCode>0.0000_);[Red]\(0.0000\)</c:formatCode>
                <c:ptCount val="29"/>
                <c:pt idx="0">
                  <c:v>0.0398712883982506</c:v>
                </c:pt>
                <c:pt idx="1">
                  <c:v>0.0403993652472833</c:v>
                </c:pt>
                <c:pt idx="2">
                  <c:v>0.0416909196740523</c:v>
                </c:pt>
                <c:pt idx="3">
                  <c:v>0.0393508046774693</c:v>
                </c:pt>
                <c:pt idx="4">
                  <c:v>0.0411794488511747</c:v>
                </c:pt>
                <c:pt idx="5">
                  <c:v>0.0354116665173526</c:v>
                </c:pt>
                <c:pt idx="6">
                  <c:v>0.0387750521696347</c:v>
                </c:pt>
                <c:pt idx="7">
                  <c:v>0.0378778809456499</c:v>
                </c:pt>
                <c:pt idx="8">
                  <c:v>0.0373719574772946</c:v>
                </c:pt>
                <c:pt idx="9">
                  <c:v>0.0387816576928371</c:v>
                </c:pt>
                <c:pt idx="10">
                  <c:v>0.0361390367304028</c:v>
                </c:pt>
                <c:pt idx="11">
                  <c:v>0.038299450456821</c:v>
                </c:pt>
                <c:pt idx="12">
                  <c:v>0.0353674400137978</c:v>
                </c:pt>
                <c:pt idx="13">
                  <c:v>0.0368221618034234</c:v>
                </c:pt>
                <c:pt idx="14">
                  <c:v>0.0371554258227655</c:v>
                </c:pt>
                <c:pt idx="15">
                  <c:v>0.0371475676691006</c:v>
                </c:pt>
                <c:pt idx="16">
                  <c:v>0.0389145737982947</c:v>
                </c:pt>
                <c:pt idx="17">
                  <c:v>0.0386091365221353</c:v>
                </c:pt>
                <c:pt idx="18">
                  <c:v>0.0389886446271811</c:v>
                </c:pt>
                <c:pt idx="19">
                  <c:v>0.0364587681945871</c:v>
                </c:pt>
                <c:pt idx="20">
                  <c:v>0.038232884482072</c:v>
                </c:pt>
                <c:pt idx="21">
                  <c:v>0.0391072422030943</c:v>
                </c:pt>
                <c:pt idx="22">
                  <c:v>0.039177389705889</c:v>
                </c:pt>
                <c:pt idx="23">
                  <c:v>0.0415695619157349</c:v>
                </c:pt>
                <c:pt idx="24">
                  <c:v>0.0408687110582024</c:v>
                </c:pt>
                <c:pt idx="25">
                  <c:v>0.0371632680569251</c:v>
                </c:pt>
                <c:pt idx="26">
                  <c:v>0.0406532647256261</c:v>
                </c:pt>
                <c:pt idx="27">
                  <c:v>0.0424944077079006</c:v>
                </c:pt>
                <c:pt idx="28">
                  <c:v>0.0399762125016423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'11'!$BK$2</c:f>
              <c:strCache>
                <c:ptCount val="1"/>
                <c:pt idx="0">
                  <c:v>风机
单耗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'11'!$BK$4:$BK$32</c:f>
              <c:numCache>
                <c:formatCode>0.0000_);[Red]\(0.0000\)</c:formatCode>
                <c:ptCount val="29"/>
                <c:pt idx="0">
                  <c:v>0.0879244338338084</c:v>
                </c:pt>
                <c:pt idx="1">
                  <c:v>0.080666490346468</c:v>
                </c:pt>
                <c:pt idx="2">
                  <c:v>0.080034924330617</c:v>
                </c:pt>
                <c:pt idx="3">
                  <c:v>0.0576318871654362</c:v>
                </c:pt>
                <c:pt idx="4">
                  <c:v>0.0612387588301986</c:v>
                </c:pt>
                <c:pt idx="5">
                  <c:v>0.0504533730673285</c:v>
                </c:pt>
                <c:pt idx="6">
                  <c:v>0.0534828305788075</c:v>
                </c:pt>
                <c:pt idx="7">
                  <c:v>0.0550689798830666</c:v>
                </c:pt>
                <c:pt idx="8">
                  <c:v>0.0411478806421006</c:v>
                </c:pt>
                <c:pt idx="9">
                  <c:v>0.0472307062564895</c:v>
                </c:pt>
                <c:pt idx="10">
                  <c:v>0.0633179817094682</c:v>
                </c:pt>
                <c:pt idx="11">
                  <c:v>0.0519200296685933</c:v>
                </c:pt>
                <c:pt idx="12">
                  <c:v>0.0558983173039192</c:v>
                </c:pt>
                <c:pt idx="13">
                  <c:v>0.0524501723362815</c:v>
                </c:pt>
                <c:pt idx="14">
                  <c:v>0.0555018808970758</c:v>
                </c:pt>
                <c:pt idx="15">
                  <c:v>0.0839994156562361</c:v>
                </c:pt>
                <c:pt idx="16">
                  <c:v>0.0708593731849588</c:v>
                </c:pt>
                <c:pt idx="17">
                  <c:v>0.0811901660601721</c:v>
                </c:pt>
                <c:pt idx="18">
                  <c:v>0.0962130111316206</c:v>
                </c:pt>
                <c:pt idx="19">
                  <c:v>0.0762572708803024</c:v>
                </c:pt>
                <c:pt idx="20">
                  <c:v>0.0798269016658604</c:v>
                </c:pt>
                <c:pt idx="21">
                  <c:v>0.0752691690938257</c:v>
                </c:pt>
                <c:pt idx="22">
                  <c:v>0.0809972426470609</c:v>
                </c:pt>
                <c:pt idx="23">
                  <c:v>0.0798659299798359</c:v>
                </c:pt>
                <c:pt idx="24">
                  <c:v>0.0716994930845774</c:v>
                </c:pt>
                <c:pt idx="25">
                  <c:v>0.0802315804337698</c:v>
                </c:pt>
                <c:pt idx="26">
                  <c:v>0.0875707117517327</c:v>
                </c:pt>
                <c:pt idx="27">
                  <c:v>0.0834461141458732</c:v>
                </c:pt>
                <c:pt idx="28">
                  <c:v>0.0746663142592789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'11'!$BL$2</c:f>
              <c:strCache>
                <c:ptCount val="1"/>
                <c:pt idx="0">
                  <c:v>提标
总单耗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'11'!$BL$4:$BL$32</c:f>
              <c:numCache>
                <c:formatCode>0.0000_);[Red]\(0.0000\)</c:formatCode>
                <c:ptCount val="29"/>
                <c:pt idx="0">
                  <c:v>0.0451833896090504</c:v>
                </c:pt>
                <c:pt idx="1">
                  <c:v>0.0423168473948787</c:v>
                </c:pt>
                <c:pt idx="2">
                  <c:v>0.0465657741560059</c:v>
                </c:pt>
                <c:pt idx="3">
                  <c:v>0.0421394443790049</c:v>
                </c:pt>
                <c:pt idx="4">
                  <c:v>0.0414687658220148</c:v>
                </c:pt>
                <c:pt idx="5">
                  <c:v>0.0452665777052949</c:v>
                </c:pt>
                <c:pt idx="6">
                  <c:v>0.0467974767564365</c:v>
                </c:pt>
                <c:pt idx="7">
                  <c:v>0.0421397411279224</c:v>
                </c:pt>
                <c:pt idx="8">
                  <c:v>0.0426001587823889</c:v>
                </c:pt>
                <c:pt idx="9">
                  <c:v>0.0440819925060689</c:v>
                </c:pt>
                <c:pt idx="10">
                  <c:v>0.0406190826060899</c:v>
                </c:pt>
                <c:pt idx="11">
                  <c:v>0.0445028825730659</c:v>
                </c:pt>
                <c:pt idx="12">
                  <c:v>0.0397034777111914</c:v>
                </c:pt>
                <c:pt idx="13">
                  <c:v>0.0406756438526179</c:v>
                </c:pt>
                <c:pt idx="14">
                  <c:v>0.0400846917590135</c:v>
                </c:pt>
                <c:pt idx="15">
                  <c:v>0.0427823110795599</c:v>
                </c:pt>
                <c:pt idx="16">
                  <c:v>0.0441419046070547</c:v>
                </c:pt>
                <c:pt idx="17">
                  <c:v>0.043223541643512</c:v>
                </c:pt>
                <c:pt idx="18">
                  <c:v>0.0458689936790533</c:v>
                </c:pt>
                <c:pt idx="19">
                  <c:v>0.0445297932147728</c:v>
                </c:pt>
                <c:pt idx="20">
                  <c:v>0.0462155746486337</c:v>
                </c:pt>
                <c:pt idx="21">
                  <c:v>0.0479977310163678</c:v>
                </c:pt>
                <c:pt idx="22">
                  <c:v>0.0436580882352858</c:v>
                </c:pt>
                <c:pt idx="23">
                  <c:v>0.0458247139228574</c:v>
                </c:pt>
                <c:pt idx="24">
                  <c:v>0.0487556552975379</c:v>
                </c:pt>
                <c:pt idx="25">
                  <c:v>0.0423622744690181</c:v>
                </c:pt>
                <c:pt idx="26">
                  <c:v>0.0498577774937065</c:v>
                </c:pt>
                <c:pt idx="27">
                  <c:v>0.0575006836971333</c:v>
                </c:pt>
                <c:pt idx="28">
                  <c:v>0.0528611074402009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'11'!$BO$2</c:f>
              <c:strCache>
                <c:ptCount val="1"/>
                <c:pt idx="0">
                  <c:v>其他
单耗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'11'!$BO$4:$BO$33</c:f>
              <c:numCache>
                <c:formatCode>0.0000_);[Red]\(0.0000\)</c:formatCode>
                <c:ptCount val="30"/>
                <c:pt idx="0">
                  <c:v>0.0527229098103337</c:v>
                </c:pt>
                <c:pt idx="1">
                  <c:v>0.0878365511771128</c:v>
                </c:pt>
                <c:pt idx="2">
                  <c:v>0.0281810244469568</c:v>
                </c:pt>
                <c:pt idx="3">
                  <c:v>0.0786247668386176</c:v>
                </c:pt>
                <c:pt idx="4">
                  <c:v>0.0554832798901869</c:v>
                </c:pt>
                <c:pt idx="5">
                  <c:v>0.0478675198157756</c:v>
                </c:pt>
                <c:pt idx="6">
                  <c:v>0.051374078973196</c:v>
                </c:pt>
                <c:pt idx="7">
                  <c:v>0.0521096207902173</c:v>
                </c:pt>
                <c:pt idx="8">
                  <c:v>0.0692213852797647</c:v>
                </c:pt>
                <c:pt idx="9">
                  <c:v>0.0751052195178167</c:v>
                </c:pt>
                <c:pt idx="10">
                  <c:v>0.0589478462926155</c:v>
                </c:pt>
                <c:pt idx="11">
                  <c:v>0.104703145544555</c:v>
                </c:pt>
                <c:pt idx="12">
                  <c:v>0.100008881041152</c:v>
                </c:pt>
                <c:pt idx="13">
                  <c:v>0.0961700670076412</c:v>
                </c:pt>
                <c:pt idx="14">
                  <c:v>0.0998889962381881</c:v>
                </c:pt>
                <c:pt idx="15">
                  <c:v>0.106446563850176</c:v>
                </c:pt>
                <c:pt idx="16">
                  <c:v>0.111725483818376</c:v>
                </c:pt>
                <c:pt idx="17">
                  <c:v>0.0785289977396656</c:v>
                </c:pt>
                <c:pt idx="18">
                  <c:v>0.0516708620013525</c:v>
                </c:pt>
                <c:pt idx="19">
                  <c:v>0.0674960340653432</c:v>
                </c:pt>
                <c:pt idx="20">
                  <c:v>0.0703064932881173</c:v>
                </c:pt>
                <c:pt idx="21">
                  <c:v>0.0737528771367767</c:v>
                </c:pt>
                <c:pt idx="22">
                  <c:v>0.0690441176471674</c:v>
                </c:pt>
                <c:pt idx="23">
                  <c:v>0.0707926366229045</c:v>
                </c:pt>
                <c:pt idx="24">
                  <c:v>0.0881559607373368</c:v>
                </c:pt>
                <c:pt idx="25">
                  <c:v>0.0739748008653519</c:v>
                </c:pt>
                <c:pt idx="26">
                  <c:v>0.0805343731023023</c:v>
                </c:pt>
                <c:pt idx="27">
                  <c:v>0.0821221959650395</c:v>
                </c:pt>
                <c:pt idx="28">
                  <c:v>0.0805101096868452</c:v>
                </c:pt>
                <c:pt idx="29">
                  <c:v>0.0758927534211876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'11'!$BG$2</c:f>
              <c:strCache>
                <c:ptCount val="1"/>
                <c:pt idx="0">
                  <c:v>总单耗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'11'!$BG$4:$BG$33</c:f>
              <c:numCache>
                <c:formatCode>0.0000_);[Red]\(0.0000\)</c:formatCode>
                <c:ptCount val="30"/>
                <c:pt idx="0">
                  <c:v>0.292470859766687</c:v>
                </c:pt>
                <c:pt idx="1">
                  <c:v>0.322004760645505</c:v>
                </c:pt>
                <c:pt idx="2">
                  <c:v>0.337601862630924</c:v>
                </c:pt>
                <c:pt idx="3">
                  <c:v>0.286920040404128</c:v>
                </c:pt>
                <c:pt idx="4">
                  <c:v>0.258938688912053</c:v>
                </c:pt>
                <c:pt idx="5">
                  <c:v>0.226804415377324</c:v>
                </c:pt>
                <c:pt idx="6">
                  <c:v>0.240672737604679</c:v>
                </c:pt>
                <c:pt idx="7">
                  <c:v>0.236078322455229</c:v>
                </c:pt>
                <c:pt idx="8">
                  <c:v>0.239625893151092</c:v>
                </c:pt>
                <c:pt idx="9">
                  <c:v>0.275512453162883</c:v>
                </c:pt>
                <c:pt idx="10">
                  <c:v>0.264621376389578</c:v>
                </c:pt>
                <c:pt idx="11">
                  <c:v>0.30410303091591</c:v>
                </c:pt>
                <c:pt idx="12">
                  <c:v>0.295164011932016</c:v>
                </c:pt>
                <c:pt idx="13">
                  <c:v>0.287940742009237</c:v>
                </c:pt>
                <c:pt idx="14">
                  <c:v>0.295496125146463</c:v>
                </c:pt>
                <c:pt idx="15">
                  <c:v>0.325041217104744</c:v>
                </c:pt>
                <c:pt idx="16">
                  <c:v>0.305508445043236</c:v>
                </c:pt>
                <c:pt idx="17">
                  <c:v>0.282121224511355</c:v>
                </c:pt>
                <c:pt idx="18">
                  <c:v>0.290317167309878</c:v>
                </c:pt>
                <c:pt idx="19">
                  <c:v>0.280537697253117</c:v>
                </c:pt>
                <c:pt idx="20">
                  <c:v>0.290948049492534</c:v>
                </c:pt>
                <c:pt idx="21">
                  <c:v>0.294531531236785</c:v>
                </c:pt>
                <c:pt idx="22">
                  <c:v>0.296989889705991</c:v>
                </c:pt>
                <c:pt idx="23">
                  <c:v>0.295896724187384</c:v>
                </c:pt>
                <c:pt idx="24">
                  <c:v>0.309741810125382</c:v>
                </c:pt>
                <c:pt idx="25">
                  <c:v>0.279205899909639</c:v>
                </c:pt>
                <c:pt idx="26">
                  <c:v>0.306817092268802</c:v>
                </c:pt>
                <c:pt idx="27">
                  <c:v>0.322564810983931</c:v>
                </c:pt>
                <c:pt idx="28">
                  <c:v>0.298665257037164</c:v>
                </c:pt>
                <c:pt idx="29">
                  <c:v>0.306103482725798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166216"/>
        <c:axId val="148166608"/>
      </c:lineChart>
      <c:lineChart>
        <c:grouping val="standard"/>
        <c:varyColors val="0"/>
        <c:ser>
          <c:idx val="0"/>
          <c:order val="0"/>
          <c:tx>
            <c:strRef>
              <c:f>'11'!$BH$2</c:f>
              <c:strCache>
                <c:ptCount val="1"/>
                <c:pt idx="0">
                  <c:v>一次提
升单耗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'11'!$BH$4:$BH$33</c:f>
              <c:numCache>
                <c:formatCode>0.0000_);[Red]\(0.0000\)</c:formatCode>
                <c:ptCount val="30"/>
                <c:pt idx="0">
                  <c:v>0.04962357351765</c:v>
                </c:pt>
                <c:pt idx="1">
                  <c:v>0.0519016133298016</c:v>
                </c:pt>
                <c:pt idx="2">
                  <c:v>0.0606868451688074</c:v>
                </c:pt>
                <c:pt idx="3">
                  <c:v>0.0523173595919895</c:v>
                </c:pt>
                <c:pt idx="4">
                  <c:v>0.0458548111001277</c:v>
                </c:pt>
                <c:pt idx="5">
                  <c:v>0.0366772445856941</c:v>
                </c:pt>
                <c:pt idx="6">
                  <c:v>0.0413231270264941</c:v>
                </c:pt>
                <c:pt idx="7">
                  <c:v>0.0380215391540437</c:v>
                </c:pt>
                <c:pt idx="8">
                  <c:v>0.0385182890227158</c:v>
                </c:pt>
                <c:pt idx="9">
                  <c:v>0.0605308731383262</c:v>
                </c:pt>
                <c:pt idx="10">
                  <c:v>0.052575429039055</c:v>
                </c:pt>
                <c:pt idx="11">
                  <c:v>0.050220828697621</c:v>
                </c:pt>
                <c:pt idx="12">
                  <c:v>0.0491612640333491</c:v>
                </c:pt>
                <c:pt idx="13">
                  <c:v>0.051332662542015</c:v>
                </c:pt>
                <c:pt idx="14">
                  <c:v>0.0505313791189608</c:v>
                </c:pt>
                <c:pt idx="15">
                  <c:v>0.0423315316067306</c:v>
                </c:pt>
                <c:pt idx="16">
                  <c:v>0.0259507933926536</c:v>
                </c:pt>
                <c:pt idx="17">
                  <c:v>0.0264107521480384</c:v>
                </c:pt>
                <c:pt idx="18">
                  <c:v>0.0443967108575232</c:v>
                </c:pt>
                <c:pt idx="19">
                  <c:v>0.042704071692971</c:v>
                </c:pt>
                <c:pt idx="20">
                  <c:v>0.0435728840619251</c:v>
                </c:pt>
                <c:pt idx="21">
                  <c:v>0.0452269529076865</c:v>
                </c:pt>
                <c:pt idx="22">
                  <c:v>0.0448345588235296</c:v>
                </c:pt>
                <c:pt idx="23">
                  <c:v>0.0422372934614668</c:v>
                </c:pt>
                <c:pt idx="24">
                  <c:v>0.0429967520129602</c:v>
                </c:pt>
                <c:pt idx="25">
                  <c:v>0.0302749054872006</c:v>
                </c:pt>
                <c:pt idx="26">
                  <c:v>0.0324254530346118</c:v>
                </c:pt>
                <c:pt idx="27">
                  <c:v>0.0399755972708239</c:v>
                </c:pt>
                <c:pt idx="28">
                  <c:v>0.0350574864543372</c:v>
                </c:pt>
                <c:pt idx="29">
                  <c:v>0.0466299574824019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167000"/>
        <c:axId val="148167392"/>
      </c:lineChart>
      <c:catAx>
        <c:axId val="148166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166608"/>
        <c:crosses val="autoZero"/>
        <c:auto val="1"/>
        <c:lblAlgn val="ctr"/>
        <c:lblOffset val="100"/>
        <c:noMultiLvlLbl val="0"/>
      </c:catAx>
      <c:valAx>
        <c:axId val="14816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166216"/>
        <c:crosses val="autoZero"/>
        <c:crossBetween val="between"/>
      </c:valAx>
      <c:catAx>
        <c:axId val="148167000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8167392"/>
        <c:crosses val="autoZero"/>
        <c:auto val="1"/>
        <c:lblAlgn val="ctr"/>
        <c:lblOffset val="100"/>
        <c:noMultiLvlLbl val="0"/>
      </c:catAx>
      <c:valAx>
        <c:axId val="148167392"/>
        <c:scaling>
          <c:orientation val="minMax"/>
        </c:scaling>
        <c:delete val="0"/>
        <c:axPos val="r"/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167000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0961371262372"/>
          <c:y val="0.0920863329570157"/>
          <c:w val="0.871518426653678"/>
          <c:h val="0.749640304228206"/>
        </c:manualLayout>
      </c:layout>
      <c:lineChart>
        <c:grouping val="standard"/>
        <c:varyColors val="0"/>
        <c:ser>
          <c:idx val="1"/>
          <c:order val="1"/>
          <c:tx>
            <c:strRef>
              <c:f>'12'!$BJ$2</c:f>
              <c:strCache>
                <c:ptCount val="1"/>
                <c:pt idx="0">
                  <c:v>三次提
升单耗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'12'!$BJ$4:$BJ$32</c:f>
              <c:numCache>
                <c:formatCode>0.0000_);[Red]\(0.0000\)</c:formatCode>
                <c:ptCount val="29"/>
                <c:pt idx="0">
                  <c:v>0.0398124148838027</c:v>
                </c:pt>
                <c:pt idx="1">
                  <c:v>0.0388750266173718</c:v>
                </c:pt>
                <c:pt idx="2">
                  <c:v>0.0406809049834254</c:v>
                </c:pt>
                <c:pt idx="3">
                  <c:v>0.0386546650019868</c:v>
                </c:pt>
                <c:pt idx="4">
                  <c:v>0.0404109931223614</c:v>
                </c:pt>
                <c:pt idx="5">
                  <c:v>0.0372305682560386</c:v>
                </c:pt>
                <c:pt idx="6">
                  <c:v>0.0378975838245558</c:v>
                </c:pt>
                <c:pt idx="7">
                  <c:v>0.0380399093668031</c:v>
                </c:pt>
                <c:pt idx="8">
                  <c:v>0.0382412254355117</c:v>
                </c:pt>
                <c:pt idx="9">
                  <c:v>0.0388189484245479</c:v>
                </c:pt>
                <c:pt idx="10">
                  <c:v>0.0386802602592402</c:v>
                </c:pt>
                <c:pt idx="11">
                  <c:v>0.0373842380991426</c:v>
                </c:pt>
                <c:pt idx="12">
                  <c:v>0.0396207538544026</c:v>
                </c:pt>
                <c:pt idx="13">
                  <c:v>0.0374421054150332</c:v>
                </c:pt>
                <c:pt idx="14">
                  <c:v>0.0409325038027387</c:v>
                </c:pt>
                <c:pt idx="15">
                  <c:v>0.0442385914907666</c:v>
                </c:pt>
                <c:pt idx="16">
                  <c:v>0.0411396252007322</c:v>
                </c:pt>
                <c:pt idx="17">
                  <c:v>0.0421377111304298</c:v>
                </c:pt>
                <c:pt idx="18">
                  <c:v>0.0424851404961106</c:v>
                </c:pt>
                <c:pt idx="19">
                  <c:v>0.0439013792225045</c:v>
                </c:pt>
                <c:pt idx="20">
                  <c:v>0.0426554616498797</c:v>
                </c:pt>
                <c:pt idx="21">
                  <c:v>0.0389516527825304</c:v>
                </c:pt>
                <c:pt idx="22">
                  <c:v>0.0399775377045596</c:v>
                </c:pt>
                <c:pt idx="23">
                  <c:v>0.0411003279927613</c:v>
                </c:pt>
                <c:pt idx="24">
                  <c:v>0.0424567188788249</c:v>
                </c:pt>
                <c:pt idx="25">
                  <c:v>0.045162448393462</c:v>
                </c:pt>
                <c:pt idx="26">
                  <c:v>0.0422230752136485</c:v>
                </c:pt>
                <c:pt idx="27">
                  <c:v>0.044498637010242</c:v>
                </c:pt>
                <c:pt idx="28">
                  <c:v>0.0399146184976786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'12'!$BK$2</c:f>
              <c:strCache>
                <c:ptCount val="1"/>
                <c:pt idx="0">
                  <c:v>风机
单耗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'12'!$BK$4:$BK$32</c:f>
              <c:numCache>
                <c:formatCode>0.0000_);[Red]\(0.0000\)</c:formatCode>
                <c:ptCount val="29"/>
                <c:pt idx="0">
                  <c:v>0.0757808724684755</c:v>
                </c:pt>
                <c:pt idx="1">
                  <c:v>0.074255668819724</c:v>
                </c:pt>
                <c:pt idx="2">
                  <c:v>0.0975341369479378</c:v>
                </c:pt>
                <c:pt idx="3">
                  <c:v>0.0785087695385954</c:v>
                </c:pt>
                <c:pt idx="4">
                  <c:v>0.0793787364903507</c:v>
                </c:pt>
                <c:pt idx="5">
                  <c:v>0.0772915305900174</c:v>
                </c:pt>
                <c:pt idx="6">
                  <c:v>0.0719781448178502</c:v>
                </c:pt>
                <c:pt idx="7">
                  <c:v>0.0792744611998819</c:v>
                </c:pt>
                <c:pt idx="8">
                  <c:v>0.071869904745562</c:v>
                </c:pt>
                <c:pt idx="9">
                  <c:v>0.0531520986120711</c:v>
                </c:pt>
                <c:pt idx="10">
                  <c:v>0.0569957477329816</c:v>
                </c:pt>
                <c:pt idx="11">
                  <c:v>0.0781727744400222</c:v>
                </c:pt>
                <c:pt idx="12">
                  <c:v>0.0821567471228611</c:v>
                </c:pt>
                <c:pt idx="13">
                  <c:v>0.0526642330500474</c:v>
                </c:pt>
                <c:pt idx="14">
                  <c:v>0.0874793542195708</c:v>
                </c:pt>
                <c:pt idx="15">
                  <c:v>0.0653187256910505</c:v>
                </c:pt>
                <c:pt idx="16">
                  <c:v>0.0627011394972404</c:v>
                </c:pt>
                <c:pt idx="17">
                  <c:v>0.0777709433615365</c:v>
                </c:pt>
                <c:pt idx="18">
                  <c:v>0.0782440390396549</c:v>
                </c:pt>
                <c:pt idx="19">
                  <c:v>0.0936462867374383</c:v>
                </c:pt>
                <c:pt idx="20">
                  <c:v>0.0811727068710367</c:v>
                </c:pt>
                <c:pt idx="21">
                  <c:v>0.0836851915249724</c:v>
                </c:pt>
                <c:pt idx="22">
                  <c:v>0.059498342068668</c:v>
                </c:pt>
                <c:pt idx="23">
                  <c:v>0.0890844547626488</c:v>
                </c:pt>
                <c:pt idx="24">
                  <c:v>0.0865622423742749</c:v>
                </c:pt>
                <c:pt idx="25">
                  <c:v>0.0962125291689078</c:v>
                </c:pt>
                <c:pt idx="26">
                  <c:v>0.0848501989939215</c:v>
                </c:pt>
                <c:pt idx="27">
                  <c:v>0.0819896146488163</c:v>
                </c:pt>
                <c:pt idx="28">
                  <c:v>0.0832839798637844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'12'!$BL$2</c:f>
              <c:strCache>
                <c:ptCount val="1"/>
                <c:pt idx="0">
                  <c:v>提标
总单耗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'12'!$BL$4:$BL$32</c:f>
              <c:numCache>
                <c:formatCode>0.0000_);[Red]\(0.0000\)</c:formatCode>
                <c:ptCount val="29"/>
                <c:pt idx="0">
                  <c:v>0.0494223081316171</c:v>
                </c:pt>
                <c:pt idx="1">
                  <c:v>0.0480477857068916</c:v>
                </c:pt>
                <c:pt idx="2">
                  <c:v>0.0500175061271445</c:v>
                </c:pt>
                <c:pt idx="3">
                  <c:v>0.0490679809616234</c:v>
                </c:pt>
                <c:pt idx="4">
                  <c:v>0.0499586453435767</c:v>
                </c:pt>
                <c:pt idx="5">
                  <c:v>0.0424559111691467</c:v>
                </c:pt>
                <c:pt idx="6">
                  <c:v>0.0436231180714219</c:v>
                </c:pt>
                <c:pt idx="7">
                  <c:v>0.0449616347104164</c:v>
                </c:pt>
                <c:pt idx="8">
                  <c:v>0.0504162018364058</c:v>
                </c:pt>
                <c:pt idx="9">
                  <c:v>0.0537493132032202</c:v>
                </c:pt>
                <c:pt idx="10">
                  <c:v>0.0550745427532521</c:v>
                </c:pt>
                <c:pt idx="11">
                  <c:v>0.0491731968251492</c:v>
                </c:pt>
                <c:pt idx="12">
                  <c:v>0.0490290265088117</c:v>
                </c:pt>
                <c:pt idx="13">
                  <c:v>0.0389571039000495</c:v>
                </c:pt>
                <c:pt idx="14">
                  <c:v>0.0496151561245245</c:v>
                </c:pt>
                <c:pt idx="15">
                  <c:v>0.0534425937471949</c:v>
                </c:pt>
                <c:pt idx="16">
                  <c:v>0.0473457583958838</c:v>
                </c:pt>
                <c:pt idx="17">
                  <c:v>0.0480765831689744</c:v>
                </c:pt>
                <c:pt idx="18">
                  <c:v>0.0425537756180393</c:v>
                </c:pt>
                <c:pt idx="19">
                  <c:v>0.0524419205729654</c:v>
                </c:pt>
                <c:pt idx="20">
                  <c:v>0.0429737859905573</c:v>
                </c:pt>
                <c:pt idx="21">
                  <c:v>0.0517326638518233</c:v>
                </c:pt>
                <c:pt idx="22">
                  <c:v>0.0494705316076197</c:v>
                </c:pt>
                <c:pt idx="23">
                  <c:v>0.0485915207796534</c:v>
                </c:pt>
                <c:pt idx="24">
                  <c:v>0.0398461115690824</c:v>
                </c:pt>
                <c:pt idx="25">
                  <c:v>0.0387722132471833</c:v>
                </c:pt>
                <c:pt idx="26">
                  <c:v>0.030977056775548</c:v>
                </c:pt>
                <c:pt idx="27">
                  <c:v>0.0308337012354605</c:v>
                </c:pt>
                <c:pt idx="28">
                  <c:v>0.032079755206818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'12'!$BO$2</c:f>
              <c:strCache>
                <c:ptCount val="1"/>
                <c:pt idx="0">
                  <c:v>其他
单耗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'12'!$BO$4:$BO$33</c:f>
              <c:numCache>
                <c:formatCode>0.0000_);[Red]\(0.0000\)</c:formatCode>
                <c:ptCount val="30"/>
                <c:pt idx="0">
                  <c:v>0.0714382989940697</c:v>
                </c:pt>
                <c:pt idx="1">
                  <c:v>0.0708049642098977</c:v>
                </c:pt>
                <c:pt idx="2">
                  <c:v>0.102462528551523</c:v>
                </c:pt>
                <c:pt idx="3">
                  <c:v>0.0690113892234963</c:v>
                </c:pt>
                <c:pt idx="4">
                  <c:v>0.0731572198569177</c:v>
                </c:pt>
                <c:pt idx="5">
                  <c:v>0.0721532767255006</c:v>
                </c:pt>
                <c:pt idx="6">
                  <c:v>0.0704796907120828</c:v>
                </c:pt>
                <c:pt idx="7">
                  <c:v>0.0781693515467975</c:v>
                </c:pt>
                <c:pt idx="8">
                  <c:v>0.063878400411811</c:v>
                </c:pt>
                <c:pt idx="9">
                  <c:v>0.0920379350709037</c:v>
                </c:pt>
                <c:pt idx="10">
                  <c:v>0.099595266150854</c:v>
                </c:pt>
                <c:pt idx="11">
                  <c:v>0.0808785611167675</c:v>
                </c:pt>
                <c:pt idx="12">
                  <c:v>0.0801372812741345</c:v>
                </c:pt>
                <c:pt idx="13">
                  <c:v>0.12632201653503</c:v>
                </c:pt>
                <c:pt idx="14">
                  <c:v>0.0682417302634344</c:v>
                </c:pt>
                <c:pt idx="15">
                  <c:v>0.110115495383098</c:v>
                </c:pt>
                <c:pt idx="16">
                  <c:v>0.101127980703323</c:v>
                </c:pt>
                <c:pt idx="17">
                  <c:v>0.0971373222758073</c:v>
                </c:pt>
                <c:pt idx="18">
                  <c:v>0.09396148196955</c:v>
                </c:pt>
                <c:pt idx="19">
                  <c:v>0.0958878042567566</c:v>
                </c:pt>
                <c:pt idx="20">
                  <c:v>0.0967960655111377</c:v>
                </c:pt>
                <c:pt idx="21">
                  <c:v>0.0944821027805221</c:v>
                </c:pt>
                <c:pt idx="22">
                  <c:v>0.0982992833459715</c:v>
                </c:pt>
                <c:pt idx="23">
                  <c:v>0.0931634429792302</c:v>
                </c:pt>
                <c:pt idx="24">
                  <c:v>0.0993954383071602</c:v>
                </c:pt>
                <c:pt idx="25">
                  <c:v>0.111477293125036</c:v>
                </c:pt>
                <c:pt idx="26">
                  <c:v>0.0997865276741309</c:v>
                </c:pt>
                <c:pt idx="27">
                  <c:v>0.108537431412372</c:v>
                </c:pt>
                <c:pt idx="28">
                  <c:v>0.0959900305991363</c:v>
                </c:pt>
                <c:pt idx="29">
                  <c:v>0.100804318635103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'12'!$BG$2</c:f>
              <c:strCache>
                <c:ptCount val="1"/>
                <c:pt idx="0">
                  <c:v>总单耗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'12'!$BG$4:$BG$33</c:f>
              <c:numCache>
                <c:formatCode>0.0000_);[Red]\(0.0000\)</c:formatCode>
                <c:ptCount val="30"/>
                <c:pt idx="0">
                  <c:v>0.296533848789783</c:v>
                </c:pt>
                <c:pt idx="1">
                  <c:v>0.293746689889819</c:v>
                </c:pt>
                <c:pt idx="2">
                  <c:v>0.37012954534076</c:v>
                </c:pt>
                <c:pt idx="3">
                  <c:v>0.29549828534657</c:v>
                </c:pt>
                <c:pt idx="4">
                  <c:v>0.306413024773961</c:v>
                </c:pt>
                <c:pt idx="5">
                  <c:v>0.29065969954279</c:v>
                </c:pt>
                <c:pt idx="6">
                  <c:v>0.286276712343707</c:v>
                </c:pt>
                <c:pt idx="7">
                  <c:v>0.304674235208596</c:v>
                </c:pt>
                <c:pt idx="8">
                  <c:v>0.284797906118471</c:v>
                </c:pt>
                <c:pt idx="9">
                  <c:v>0.302190583120405</c:v>
                </c:pt>
                <c:pt idx="10">
                  <c:v>0.318920026640681</c:v>
                </c:pt>
                <c:pt idx="11">
                  <c:v>0.310169395358926</c:v>
                </c:pt>
                <c:pt idx="12">
                  <c:v>0.316701009070293</c:v>
                </c:pt>
                <c:pt idx="13">
                  <c:v>0.320313965400226</c:v>
                </c:pt>
                <c:pt idx="14">
                  <c:v>0.310747556780109</c:v>
                </c:pt>
                <c:pt idx="15">
                  <c:v>0.337727502152495</c:v>
                </c:pt>
                <c:pt idx="16">
                  <c:v>0.316064927669673</c:v>
                </c:pt>
                <c:pt idx="17">
                  <c:v>0.328758987846625</c:v>
                </c:pt>
                <c:pt idx="18">
                  <c:v>0.319839668355081</c:v>
                </c:pt>
                <c:pt idx="19">
                  <c:v>0.354357549014434</c:v>
                </c:pt>
                <c:pt idx="20">
                  <c:v>0.325486638335812</c:v>
                </c:pt>
                <c:pt idx="21">
                  <c:v>0.325611472478895</c:v>
                </c:pt>
                <c:pt idx="22">
                  <c:v>0.300165793133062</c:v>
                </c:pt>
                <c:pt idx="23">
                  <c:v>0.323268589631168</c:v>
                </c:pt>
                <c:pt idx="24">
                  <c:v>0.322203902170836</c:v>
                </c:pt>
                <c:pt idx="25">
                  <c:v>0.349667923173504</c:v>
                </c:pt>
                <c:pt idx="26">
                  <c:v>0.311117396311213</c:v>
                </c:pt>
                <c:pt idx="27">
                  <c:v>0.31954926734905</c:v>
                </c:pt>
                <c:pt idx="28">
                  <c:v>0.314011450004944</c:v>
                </c:pt>
                <c:pt idx="29">
                  <c:v>0.322812538147628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168176"/>
        <c:axId val="177101128"/>
      </c:lineChart>
      <c:lineChart>
        <c:grouping val="standard"/>
        <c:varyColors val="0"/>
        <c:ser>
          <c:idx val="0"/>
          <c:order val="0"/>
          <c:tx>
            <c:strRef>
              <c:f>'12'!$BH$2</c:f>
              <c:strCache>
                <c:ptCount val="1"/>
                <c:pt idx="0">
                  <c:v>一次提
升单耗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'12'!$BH$4:$BH$33</c:f>
              <c:numCache>
                <c:formatCode>0.0000_);[Red]\(0.0000\)</c:formatCode>
                <c:ptCount val="30"/>
                <c:pt idx="0">
                  <c:v>0.045472916575138</c:v>
                </c:pt>
                <c:pt idx="1">
                  <c:v>0.0471523497005274</c:v>
                </c:pt>
                <c:pt idx="2">
                  <c:v>0.0570599709898516</c:v>
                </c:pt>
                <c:pt idx="3">
                  <c:v>0.0464728299685357</c:v>
                </c:pt>
                <c:pt idx="4">
                  <c:v>0.0504293668019248</c:v>
                </c:pt>
                <c:pt idx="5">
                  <c:v>0.0475288482473323</c:v>
                </c:pt>
                <c:pt idx="6">
                  <c:v>0.0476189956867602</c:v>
                </c:pt>
                <c:pt idx="7">
                  <c:v>0.0479243697976157</c:v>
                </c:pt>
                <c:pt idx="8">
                  <c:v>0.04576074830516</c:v>
                </c:pt>
                <c:pt idx="9">
                  <c:v>0.0484269367669237</c:v>
                </c:pt>
                <c:pt idx="10">
                  <c:v>0.0511040524617063</c:v>
                </c:pt>
                <c:pt idx="11">
                  <c:v>0.0476904358132104</c:v>
                </c:pt>
                <c:pt idx="12">
                  <c:v>0.0480537464139309</c:v>
                </c:pt>
                <c:pt idx="13">
                  <c:v>0.0460270968300445</c:v>
                </c:pt>
                <c:pt idx="14">
                  <c:v>0.0474529798471087</c:v>
                </c:pt>
                <c:pt idx="15">
                  <c:v>0.0451649297823696</c:v>
                </c:pt>
                <c:pt idx="16">
                  <c:v>0.0471154276793467</c:v>
                </c:pt>
                <c:pt idx="17">
                  <c:v>0.0448865604739845</c:v>
                </c:pt>
                <c:pt idx="18">
                  <c:v>0.0440088402037078</c:v>
                </c:pt>
                <c:pt idx="19">
                  <c:v>0.0486421288423109</c:v>
                </c:pt>
                <c:pt idx="20">
                  <c:v>0.0442852822741093</c:v>
                </c:pt>
                <c:pt idx="21">
                  <c:v>0.0448917798318712</c:v>
                </c:pt>
                <c:pt idx="22">
                  <c:v>0.0420098406246619</c:v>
                </c:pt>
                <c:pt idx="23">
                  <c:v>0.0368863633295974</c:v>
                </c:pt>
                <c:pt idx="24">
                  <c:v>0.0391316295685612</c:v>
                </c:pt>
                <c:pt idx="25">
                  <c:v>0.0419314306228684</c:v>
                </c:pt>
                <c:pt idx="26">
                  <c:v>0.0385731698283538</c:v>
                </c:pt>
                <c:pt idx="27">
                  <c:v>0.0384131856118674</c:v>
                </c:pt>
                <c:pt idx="28">
                  <c:v>0.0491461849768029</c:v>
                </c:pt>
                <c:pt idx="29">
                  <c:v>0.051080336918633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101520"/>
        <c:axId val="177101912"/>
      </c:lineChart>
      <c:catAx>
        <c:axId val="14816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7101128"/>
        <c:crosses val="autoZero"/>
        <c:auto val="1"/>
        <c:lblAlgn val="ctr"/>
        <c:lblOffset val="100"/>
        <c:noMultiLvlLbl val="0"/>
      </c:catAx>
      <c:valAx>
        <c:axId val="177101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168176"/>
        <c:crosses val="autoZero"/>
        <c:crossBetween val="between"/>
      </c:valAx>
      <c:catAx>
        <c:axId val="177101520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7101912"/>
        <c:crosses val="autoZero"/>
        <c:auto val="1"/>
        <c:lblAlgn val="ctr"/>
        <c:lblOffset val="100"/>
        <c:noMultiLvlLbl val="0"/>
      </c:catAx>
      <c:valAx>
        <c:axId val="177101912"/>
        <c:scaling>
          <c:orientation val="minMax"/>
        </c:scaling>
        <c:delete val="0"/>
        <c:axPos val="r"/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7101520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58093</xdr:colOff>
      <xdr:row>34</xdr:row>
      <xdr:rowOff>153192</xdr:rowOff>
    </xdr:from>
    <xdr:to>
      <xdr:col>55</xdr:col>
      <xdr:colOff>286693</xdr:colOff>
      <xdr:row>63</xdr:row>
      <xdr:rowOff>145572</xdr:rowOff>
    </xdr:to>
    <xdr:graphicFrame>
      <xdr:nvGraphicFramePr>
        <xdr:cNvPr id="2" name="图表 1"/>
        <xdr:cNvGraphicFramePr/>
      </xdr:nvGraphicFramePr>
      <xdr:xfrm>
        <a:off x="18526760" y="6306185"/>
        <a:ext cx="8820150" cy="5240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58093</xdr:colOff>
      <xdr:row>34</xdr:row>
      <xdr:rowOff>153192</xdr:rowOff>
    </xdr:from>
    <xdr:to>
      <xdr:col>55</xdr:col>
      <xdr:colOff>286693</xdr:colOff>
      <xdr:row>63</xdr:row>
      <xdr:rowOff>145572</xdr:rowOff>
    </xdr:to>
    <xdr:graphicFrame>
      <xdr:nvGraphicFramePr>
        <xdr:cNvPr id="2" name="图表 1"/>
        <xdr:cNvGraphicFramePr/>
      </xdr:nvGraphicFramePr>
      <xdr:xfrm>
        <a:off x="18707735" y="6306185"/>
        <a:ext cx="8877300" cy="5240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58093</xdr:colOff>
      <xdr:row>34</xdr:row>
      <xdr:rowOff>153192</xdr:rowOff>
    </xdr:from>
    <xdr:to>
      <xdr:col>55</xdr:col>
      <xdr:colOff>286693</xdr:colOff>
      <xdr:row>63</xdr:row>
      <xdr:rowOff>145572</xdr:rowOff>
    </xdr:to>
    <xdr:graphicFrame>
      <xdr:nvGraphicFramePr>
        <xdr:cNvPr id="2" name="图表 1"/>
        <xdr:cNvGraphicFramePr/>
      </xdr:nvGraphicFramePr>
      <xdr:xfrm>
        <a:off x="18955385" y="6306185"/>
        <a:ext cx="8867775" cy="5240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58093</xdr:colOff>
      <xdr:row>34</xdr:row>
      <xdr:rowOff>153192</xdr:rowOff>
    </xdr:from>
    <xdr:to>
      <xdr:col>55</xdr:col>
      <xdr:colOff>286693</xdr:colOff>
      <xdr:row>63</xdr:row>
      <xdr:rowOff>145572</xdr:rowOff>
    </xdr:to>
    <xdr:graphicFrame>
      <xdr:nvGraphicFramePr>
        <xdr:cNvPr id="2" name="图表 1"/>
        <xdr:cNvGraphicFramePr/>
      </xdr:nvGraphicFramePr>
      <xdr:xfrm>
        <a:off x="18802985" y="6306185"/>
        <a:ext cx="8677275" cy="5240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58093</xdr:colOff>
      <xdr:row>34</xdr:row>
      <xdr:rowOff>153192</xdr:rowOff>
    </xdr:from>
    <xdr:to>
      <xdr:col>55</xdr:col>
      <xdr:colOff>286693</xdr:colOff>
      <xdr:row>63</xdr:row>
      <xdr:rowOff>145572</xdr:rowOff>
    </xdr:to>
    <xdr:graphicFrame>
      <xdr:nvGraphicFramePr>
        <xdr:cNvPr id="2" name="图表 1"/>
        <xdr:cNvGraphicFramePr/>
      </xdr:nvGraphicFramePr>
      <xdr:xfrm>
        <a:off x="19917410" y="6306185"/>
        <a:ext cx="8686800" cy="5240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58093</xdr:colOff>
      <xdr:row>34</xdr:row>
      <xdr:rowOff>153192</xdr:rowOff>
    </xdr:from>
    <xdr:to>
      <xdr:col>55</xdr:col>
      <xdr:colOff>286693</xdr:colOff>
      <xdr:row>63</xdr:row>
      <xdr:rowOff>145572</xdr:rowOff>
    </xdr:to>
    <xdr:graphicFrame>
      <xdr:nvGraphicFramePr>
        <xdr:cNvPr id="2" name="图表 1"/>
        <xdr:cNvGraphicFramePr/>
      </xdr:nvGraphicFramePr>
      <xdr:xfrm>
        <a:off x="18650585" y="6306185"/>
        <a:ext cx="8601075" cy="5240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58093</xdr:colOff>
      <xdr:row>34</xdr:row>
      <xdr:rowOff>153192</xdr:rowOff>
    </xdr:from>
    <xdr:to>
      <xdr:col>55</xdr:col>
      <xdr:colOff>286693</xdr:colOff>
      <xdr:row>63</xdr:row>
      <xdr:rowOff>145572</xdr:rowOff>
    </xdr:to>
    <xdr:graphicFrame>
      <xdr:nvGraphicFramePr>
        <xdr:cNvPr id="2" name="图表 1"/>
        <xdr:cNvGraphicFramePr/>
      </xdr:nvGraphicFramePr>
      <xdr:xfrm>
        <a:off x="18555335" y="6306185"/>
        <a:ext cx="8782050" cy="5240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58093</xdr:colOff>
      <xdr:row>34</xdr:row>
      <xdr:rowOff>153192</xdr:rowOff>
    </xdr:from>
    <xdr:to>
      <xdr:col>55</xdr:col>
      <xdr:colOff>286693</xdr:colOff>
      <xdr:row>63</xdr:row>
      <xdr:rowOff>145572</xdr:rowOff>
    </xdr:to>
    <xdr:graphicFrame>
      <xdr:nvGraphicFramePr>
        <xdr:cNvPr id="2" name="图表 1"/>
        <xdr:cNvGraphicFramePr/>
      </xdr:nvGraphicFramePr>
      <xdr:xfrm>
        <a:off x="18526760" y="6306185"/>
        <a:ext cx="8439150" cy="5240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58093</xdr:colOff>
      <xdr:row>34</xdr:row>
      <xdr:rowOff>153192</xdr:rowOff>
    </xdr:from>
    <xdr:to>
      <xdr:col>55</xdr:col>
      <xdr:colOff>286693</xdr:colOff>
      <xdr:row>63</xdr:row>
      <xdr:rowOff>145572</xdr:rowOff>
    </xdr:to>
    <xdr:graphicFrame>
      <xdr:nvGraphicFramePr>
        <xdr:cNvPr id="2" name="图表 1"/>
        <xdr:cNvGraphicFramePr/>
      </xdr:nvGraphicFramePr>
      <xdr:xfrm>
        <a:off x="18707735" y="6306185"/>
        <a:ext cx="8353425" cy="5240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58093</xdr:colOff>
      <xdr:row>34</xdr:row>
      <xdr:rowOff>153192</xdr:rowOff>
    </xdr:from>
    <xdr:to>
      <xdr:col>55</xdr:col>
      <xdr:colOff>286693</xdr:colOff>
      <xdr:row>63</xdr:row>
      <xdr:rowOff>145572</xdr:rowOff>
    </xdr:to>
    <xdr:graphicFrame>
      <xdr:nvGraphicFramePr>
        <xdr:cNvPr id="2" name="图表 1"/>
        <xdr:cNvGraphicFramePr/>
      </xdr:nvGraphicFramePr>
      <xdr:xfrm>
        <a:off x="18793460" y="6306185"/>
        <a:ext cx="8734425" cy="5240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58093</xdr:colOff>
      <xdr:row>34</xdr:row>
      <xdr:rowOff>153192</xdr:rowOff>
    </xdr:from>
    <xdr:to>
      <xdr:col>55</xdr:col>
      <xdr:colOff>286693</xdr:colOff>
      <xdr:row>63</xdr:row>
      <xdr:rowOff>145572</xdr:rowOff>
    </xdr:to>
    <xdr:graphicFrame>
      <xdr:nvGraphicFramePr>
        <xdr:cNvPr id="2" name="图表 1"/>
        <xdr:cNvGraphicFramePr/>
      </xdr:nvGraphicFramePr>
      <xdr:xfrm>
        <a:off x="18679160" y="6306185"/>
        <a:ext cx="8705850" cy="5240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58093</xdr:colOff>
      <xdr:row>34</xdr:row>
      <xdr:rowOff>153192</xdr:rowOff>
    </xdr:from>
    <xdr:to>
      <xdr:col>55</xdr:col>
      <xdr:colOff>286693</xdr:colOff>
      <xdr:row>63</xdr:row>
      <xdr:rowOff>145572</xdr:rowOff>
    </xdr:to>
    <xdr:graphicFrame>
      <xdr:nvGraphicFramePr>
        <xdr:cNvPr id="2" name="图表 1"/>
        <xdr:cNvGraphicFramePr/>
      </xdr:nvGraphicFramePr>
      <xdr:xfrm>
        <a:off x="18574385" y="6306185"/>
        <a:ext cx="8248650" cy="5240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"/>
  <sheetViews>
    <sheetView showGridLines="0" workbookViewId="0">
      <pane xSplit="1" ySplit="3" topLeftCell="B10" activePane="bottomRight" state="frozen"/>
      <selection/>
      <selection pane="topRight"/>
      <selection pane="bottomLeft"/>
      <selection pane="bottomRight" activeCell="BC27" sqref="BC27"/>
    </sheetView>
  </sheetViews>
  <sheetFormatPr defaultColWidth="9" defaultRowHeight="14.25"/>
  <cols>
    <col min="1" max="1" width="7" style="1" customWidth="1"/>
    <col min="2" max="2" width="8.375" style="2" customWidth="1"/>
    <col min="3" max="6" width="7.5" style="3" customWidth="1"/>
    <col min="7" max="7" width="8" style="3" customWidth="1"/>
    <col min="8" max="9" width="6.625" style="3" customWidth="1"/>
    <col min="10" max="10" width="5.75" style="3" customWidth="1"/>
    <col min="11" max="11" width="4.875" style="3" customWidth="1"/>
    <col min="12" max="15" width="7.5" style="3" customWidth="1"/>
    <col min="16" max="20" width="6.625" style="3" customWidth="1"/>
    <col min="21" max="24" width="7.5" style="3" customWidth="1"/>
    <col min="25" max="26" width="8.25" style="3" customWidth="1"/>
    <col min="27" max="28" width="7.5" style="3" customWidth="1"/>
    <col min="29" max="29" width="8.5" style="3" customWidth="1"/>
    <col min="30" max="30" width="6.75" style="3" customWidth="1"/>
    <col min="31" max="31" width="4.625" style="1" customWidth="1"/>
    <col min="32" max="32" width="5.25" style="1" customWidth="1"/>
    <col min="33" max="33" width="5.5" style="1" customWidth="1"/>
    <col min="34" max="34" width="4" style="1" customWidth="1"/>
    <col min="35" max="35" width="5.875" style="1" customWidth="1"/>
    <col min="36" max="36" width="6.625" style="1" customWidth="1"/>
    <col min="37" max="40" width="4" style="1" customWidth="1"/>
    <col min="41" max="41" width="6.625" style="1" customWidth="1"/>
    <col min="42" max="42" width="5.5" style="1" customWidth="1"/>
    <col min="43" max="43" width="4.625" style="1" customWidth="1"/>
    <col min="44" max="45" width="5.5" style="1" customWidth="1"/>
    <col min="46" max="46" width="6.625" style="1" customWidth="1"/>
    <col min="47" max="51" width="5.5" style="1" customWidth="1"/>
    <col min="52" max="54" width="6.625" style="1" customWidth="1"/>
    <col min="55" max="55" width="8.375" style="1" customWidth="1"/>
    <col min="56" max="56" width="8.125" style="1" customWidth="1"/>
    <col min="57" max="57" width="5.875" style="1" customWidth="1"/>
    <col min="58" max="58" width="6.625" style="1" customWidth="1"/>
    <col min="59" max="59" width="6.125" style="1" customWidth="1"/>
    <col min="60" max="60" width="7" style="1" customWidth="1"/>
    <col min="61" max="61" width="6.625" style="1" customWidth="1"/>
    <col min="62" max="67" width="6.75" style="1" customWidth="1"/>
    <col min="68" max="16384" width="9" style="1"/>
  </cols>
  <sheetData>
    <row r="1" spans="1:6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25"/>
    </row>
    <row r="2" spans="1:67">
      <c r="A2" s="6"/>
      <c r="B2" s="7" t="s">
        <v>0</v>
      </c>
      <c r="C2" s="8" t="s">
        <v>1</v>
      </c>
      <c r="D2" s="8"/>
      <c r="E2" s="8"/>
      <c r="F2" s="8"/>
      <c r="G2" s="8"/>
      <c r="H2" s="8" t="s">
        <v>2</v>
      </c>
      <c r="I2" s="8"/>
      <c r="J2" s="8"/>
      <c r="K2" s="8"/>
      <c r="L2" s="8" t="s">
        <v>3</v>
      </c>
      <c r="M2" s="8"/>
      <c r="N2" s="8"/>
      <c r="O2" s="8"/>
      <c r="P2" s="8" t="s">
        <v>4</v>
      </c>
      <c r="Q2" s="8"/>
      <c r="R2" s="8"/>
      <c r="S2" s="8"/>
      <c r="T2" s="8"/>
      <c r="U2" s="8" t="s">
        <v>5</v>
      </c>
      <c r="V2" s="8" t="s">
        <v>6</v>
      </c>
      <c r="W2" s="8" t="s">
        <v>7</v>
      </c>
      <c r="X2" s="12" t="s">
        <v>8</v>
      </c>
      <c r="Y2" s="14"/>
      <c r="Z2" s="8" t="s">
        <v>9</v>
      </c>
      <c r="AA2" s="8" t="s">
        <v>10</v>
      </c>
      <c r="AB2" s="8" t="s">
        <v>11</v>
      </c>
      <c r="AC2" s="8" t="s">
        <v>12</v>
      </c>
      <c r="AD2" s="6" t="s">
        <v>13</v>
      </c>
      <c r="AE2" s="15" t="s">
        <v>14</v>
      </c>
      <c r="AF2" s="15"/>
      <c r="AG2" s="15"/>
      <c r="AH2" s="15"/>
      <c r="AI2" s="15"/>
      <c r="AJ2" s="15"/>
      <c r="AK2" s="15" t="s">
        <v>2</v>
      </c>
      <c r="AL2" s="15"/>
      <c r="AM2" s="15"/>
      <c r="AN2" s="15"/>
      <c r="AO2" s="15"/>
      <c r="AP2" s="15" t="s">
        <v>3</v>
      </c>
      <c r="AQ2" s="15"/>
      <c r="AR2" s="15"/>
      <c r="AS2" s="15"/>
      <c r="AT2" s="15"/>
      <c r="AU2" s="15" t="s">
        <v>4</v>
      </c>
      <c r="AV2" s="15"/>
      <c r="AW2" s="15"/>
      <c r="AX2" s="15"/>
      <c r="AY2" s="15"/>
      <c r="AZ2" s="15"/>
      <c r="BA2" s="15" t="s">
        <v>15</v>
      </c>
      <c r="BB2" s="15" t="s">
        <v>16</v>
      </c>
      <c r="BC2" s="15" t="s">
        <v>17</v>
      </c>
      <c r="BD2" s="15" t="s">
        <v>18</v>
      </c>
      <c r="BE2" s="15" t="s">
        <v>19</v>
      </c>
      <c r="BF2" s="15" t="s">
        <v>20</v>
      </c>
      <c r="BG2" s="21" t="s">
        <v>21</v>
      </c>
      <c r="BH2" s="21" t="s">
        <v>22</v>
      </c>
      <c r="BI2" s="21" t="s">
        <v>23</v>
      </c>
      <c r="BJ2" s="21" t="s">
        <v>24</v>
      </c>
      <c r="BK2" s="21" t="s">
        <v>25</v>
      </c>
      <c r="BL2" s="21" t="s">
        <v>26</v>
      </c>
      <c r="BM2" s="21" t="s">
        <v>27</v>
      </c>
      <c r="BN2" s="21" t="s">
        <v>28</v>
      </c>
      <c r="BO2" s="21" t="s">
        <v>29</v>
      </c>
    </row>
    <row r="3" spans="1:67">
      <c r="A3" s="6"/>
      <c r="B3" s="7"/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/>
      <c r="V3" s="8"/>
      <c r="W3" s="8"/>
      <c r="X3" s="8" t="s">
        <v>40</v>
      </c>
      <c r="Y3" s="8" t="s">
        <v>41</v>
      </c>
      <c r="Z3" s="8"/>
      <c r="AA3" s="8"/>
      <c r="AB3" s="8"/>
      <c r="AC3" s="8"/>
      <c r="AD3" s="6"/>
      <c r="AE3" s="15" t="s">
        <v>30</v>
      </c>
      <c r="AF3" s="15" t="s">
        <v>31</v>
      </c>
      <c r="AG3" s="15" t="s">
        <v>32</v>
      </c>
      <c r="AH3" s="15" t="s">
        <v>33</v>
      </c>
      <c r="AI3" s="15" t="s">
        <v>34</v>
      </c>
      <c r="AJ3" s="15" t="s">
        <v>42</v>
      </c>
      <c r="AK3" s="15" t="s">
        <v>30</v>
      </c>
      <c r="AL3" s="15" t="s">
        <v>31</v>
      </c>
      <c r="AM3" s="15" t="s">
        <v>32</v>
      </c>
      <c r="AN3" s="15" t="s">
        <v>33</v>
      </c>
      <c r="AO3" s="15" t="s">
        <v>42</v>
      </c>
      <c r="AP3" s="15" t="s">
        <v>30</v>
      </c>
      <c r="AQ3" s="15" t="s">
        <v>31</v>
      </c>
      <c r="AR3" s="15" t="s">
        <v>32</v>
      </c>
      <c r="AS3" s="15" t="s">
        <v>33</v>
      </c>
      <c r="AT3" s="15" t="s">
        <v>42</v>
      </c>
      <c r="AU3" s="15" t="s">
        <v>35</v>
      </c>
      <c r="AV3" s="15" t="s">
        <v>36</v>
      </c>
      <c r="AW3" s="15" t="s">
        <v>37</v>
      </c>
      <c r="AX3" s="15" t="s">
        <v>38</v>
      </c>
      <c r="AY3" s="15" t="s">
        <v>39</v>
      </c>
      <c r="AZ3" s="15" t="s">
        <v>43</v>
      </c>
      <c r="BA3" s="20"/>
      <c r="BB3" s="20"/>
      <c r="BC3" s="20"/>
      <c r="BD3" s="20"/>
      <c r="BE3" s="20"/>
      <c r="BF3" s="20"/>
      <c r="BG3" s="21"/>
      <c r="BH3" s="21"/>
      <c r="BI3" s="21"/>
      <c r="BJ3" s="21"/>
      <c r="BK3" s="21"/>
      <c r="BL3" s="21"/>
      <c r="BM3" s="21"/>
      <c r="BN3" s="21"/>
      <c r="BO3" s="21"/>
    </row>
    <row r="4" spans="1:67">
      <c r="A4" s="9">
        <v>44197</v>
      </c>
      <c r="B4" s="10">
        <v>15612.46</v>
      </c>
      <c r="C4" s="11">
        <v>85130.1</v>
      </c>
      <c r="D4" s="11">
        <v>54213.2</v>
      </c>
      <c r="E4" s="11">
        <v>55165.1</v>
      </c>
      <c r="F4" s="8">
        <v>3261.82</v>
      </c>
      <c r="G4" s="11">
        <v>107477.2</v>
      </c>
      <c r="H4" s="8">
        <v>5596.3</v>
      </c>
      <c r="I4" s="8">
        <v>2566.3</v>
      </c>
      <c r="J4" s="8">
        <v>967</v>
      </c>
      <c r="K4" s="8">
        <v>56</v>
      </c>
      <c r="L4" s="11">
        <v>86470.1</v>
      </c>
      <c r="M4" s="8">
        <v>61099.5</v>
      </c>
      <c r="N4" s="11">
        <v>68662.4</v>
      </c>
      <c r="O4" s="11">
        <v>98252.4</v>
      </c>
      <c r="P4" s="11">
        <v>5097.1</v>
      </c>
      <c r="Q4" s="11">
        <v>6873.9</v>
      </c>
      <c r="R4" s="11">
        <v>4172.8</v>
      </c>
      <c r="S4" s="8">
        <v>4857.2</v>
      </c>
      <c r="T4" s="11">
        <v>5879.8</v>
      </c>
      <c r="U4" s="11">
        <v>16509</v>
      </c>
      <c r="V4" s="11">
        <v>48750</v>
      </c>
      <c r="W4" s="11">
        <v>48754</v>
      </c>
      <c r="X4" s="11">
        <v>423</v>
      </c>
      <c r="Y4" s="11">
        <v>425.1</v>
      </c>
      <c r="Z4" s="16">
        <f t="shared" ref="Z4:Z35" si="0">IF(OR(W4=""),"",(W4+X4+Y4))</f>
        <v>49602.1</v>
      </c>
      <c r="AA4" s="11">
        <v>54141.5</v>
      </c>
      <c r="AB4" s="14">
        <v>360</v>
      </c>
      <c r="AC4" s="7">
        <f>IF(OR(AA4=""),"",(AA4+AB4))</f>
        <v>54501.5</v>
      </c>
      <c r="AD4" s="17">
        <v>131701</v>
      </c>
      <c r="AE4" s="18">
        <f t="shared" ref="AE4:AI4" si="1">IF(OR(C5=""),"",(C5-C4)*80)</f>
        <v>0</v>
      </c>
      <c r="AF4" s="18">
        <f t="shared" si="1"/>
        <v>0</v>
      </c>
      <c r="AG4" s="18">
        <f t="shared" si="1"/>
        <v>2752.00000000012</v>
      </c>
      <c r="AH4" s="18">
        <f t="shared" si="1"/>
        <v>-1.59999999999854</v>
      </c>
      <c r="AI4" s="18">
        <f t="shared" si="1"/>
        <v>2295.99999999977</v>
      </c>
      <c r="AJ4" s="18">
        <f t="shared" ref="AJ4:AJ34" si="2">IF(OR(AE4="",AF4="",AG4=""),"",AE4+AF4+AG4+AH4+AI4)</f>
        <v>5046.39999999989</v>
      </c>
      <c r="AK4" s="18">
        <f t="shared" ref="AK4:AN4" si="3">IF(OR(H5=""),"",(H5-H4)*80)</f>
        <v>0</v>
      </c>
      <c r="AL4" s="18">
        <f t="shared" si="3"/>
        <v>0</v>
      </c>
      <c r="AM4" s="18">
        <f t="shared" si="3"/>
        <v>0</v>
      </c>
      <c r="AN4" s="18">
        <f t="shared" si="3"/>
        <v>0</v>
      </c>
      <c r="AO4" s="18">
        <f t="shared" ref="AO4:AO34" si="4">IF(OR(AK4="",AL4=""),"",AK4+AL4+AM4+AN4)</f>
        <v>0</v>
      </c>
      <c r="AP4" s="18">
        <f t="shared" ref="AP4:AS4" si="5">IF(OR(L5=""),"",(L5-L4)*100)</f>
        <v>2229.99999999884</v>
      </c>
      <c r="AQ4" s="18">
        <f t="shared" si="5"/>
        <v>0</v>
      </c>
      <c r="AR4" s="18">
        <f t="shared" si="5"/>
        <v>0</v>
      </c>
      <c r="AS4" s="18">
        <f t="shared" si="5"/>
        <v>2270.00000000116</v>
      </c>
      <c r="AT4" s="18">
        <f t="shared" ref="AT4:AT34" si="6">IF(OR(AP4="",AQ4=""),"",AP4+AQ4+AR4+AS4)</f>
        <v>4500</v>
      </c>
      <c r="AU4" s="18">
        <f t="shared" ref="AU4:AY4" si="7">IF(OR(P5=""),"",(P5-P4)*1000)</f>
        <v>0</v>
      </c>
      <c r="AV4" s="18">
        <f t="shared" si="7"/>
        <v>0</v>
      </c>
      <c r="AW4" s="18">
        <f t="shared" si="7"/>
        <v>4899.99999999964</v>
      </c>
      <c r="AX4" s="18">
        <f t="shared" si="7"/>
        <v>0</v>
      </c>
      <c r="AY4" s="18">
        <f t="shared" si="7"/>
        <v>0</v>
      </c>
      <c r="AZ4" s="18">
        <f t="shared" ref="AZ4:AZ34" si="8">IF(OR(AU4="",AV4="",AW4=""),"",AU4+AV4+AW4+AX4+AY4)</f>
        <v>4899.99999999964</v>
      </c>
      <c r="BA4" s="18">
        <f t="shared" ref="BA4:BA34" si="9">IF(OR(U5=""),"",(U5-U4)*2000)</f>
        <v>5800.00000000291</v>
      </c>
      <c r="BB4" s="18">
        <f t="shared" ref="BB4:BB34" si="10">IF(OR(V5=""),"",(V5-V4)*80)</f>
        <v>647.999999999884</v>
      </c>
      <c r="BC4" s="18">
        <f>IF(OR(Z4=""),"",(Z5-Z4)*40)</f>
        <v>1552.00000000012</v>
      </c>
      <c r="BD4" s="18">
        <f t="shared" ref="BD4:BD34" si="11">IF(OR(BE4="",BC4=""),"",BE4-BC4-BB4-BA4-AZ4-AT4-AO4-AJ4)</f>
        <v>14253.5999999983</v>
      </c>
      <c r="BE4" s="18">
        <f t="shared" ref="BE4:BE34" si="12">IF(OR(B5=""),"",(B5-B4)*10000)</f>
        <v>36700.0000000007</v>
      </c>
      <c r="BF4" s="18">
        <f>IF(OR(AC5=""),"",AC5-AC4)</f>
        <v>67.8000000000029</v>
      </c>
      <c r="BG4" s="21">
        <f t="shared" ref="BG4:BG34" si="13">IF(OR($AD4=0),"",BE4/$AD4)</f>
        <v>0.278661513580009</v>
      </c>
      <c r="BH4" s="21">
        <f t="shared" ref="BH4:BH34" si="14">IF(OR($AD4=0),"",AJ4/$AD4)</f>
        <v>0.0383170970607656</v>
      </c>
      <c r="BI4" s="21">
        <f t="shared" ref="BI4:BI34" si="15">IF(OR($AD4=0),"",AO4/$AD4)</f>
        <v>0</v>
      </c>
      <c r="BJ4" s="21">
        <f t="shared" ref="BJ4:BJ34" si="16">IF(OR($AD4=0),"",AT4/$AD4)</f>
        <v>0.0341683054798369</v>
      </c>
      <c r="BK4" s="21">
        <f t="shared" ref="BK4:BO4" si="17">IF(OR($AD4=0),"",AZ4/$AD4)</f>
        <v>0.037205488189153</v>
      </c>
      <c r="BL4" s="21">
        <f t="shared" si="17"/>
        <v>0.0440391492851452</v>
      </c>
      <c r="BM4" s="21">
        <f t="shared" si="17"/>
        <v>0.00492023598909563</v>
      </c>
      <c r="BN4" s="21">
        <f t="shared" si="17"/>
        <v>0.011784268912158</v>
      </c>
      <c r="BO4" s="21">
        <f t="shared" si="17"/>
        <v>0.108226968663854</v>
      </c>
    </row>
    <row r="5" spans="1:67">
      <c r="A5" s="9">
        <f>A4+1</f>
        <v>44198</v>
      </c>
      <c r="B5" s="10">
        <v>15616.13</v>
      </c>
      <c r="C5" s="8">
        <v>85130.1</v>
      </c>
      <c r="D5" s="8">
        <v>54213.2</v>
      </c>
      <c r="E5" s="8">
        <v>55199.5</v>
      </c>
      <c r="F5" s="8">
        <v>3261.8</v>
      </c>
      <c r="G5" s="8">
        <v>107505.9</v>
      </c>
      <c r="H5" s="8">
        <v>5596.3</v>
      </c>
      <c r="I5" s="8">
        <v>2566.3</v>
      </c>
      <c r="J5" s="8">
        <v>967</v>
      </c>
      <c r="K5" s="8">
        <v>56</v>
      </c>
      <c r="L5" s="8">
        <v>86492.4</v>
      </c>
      <c r="M5" s="8">
        <v>61099.5</v>
      </c>
      <c r="N5" s="8">
        <v>68662.4</v>
      </c>
      <c r="O5" s="8">
        <v>98275.1</v>
      </c>
      <c r="P5" s="11">
        <v>5097.1</v>
      </c>
      <c r="Q5" s="11">
        <v>6873.9</v>
      </c>
      <c r="R5" s="8">
        <v>4177.7</v>
      </c>
      <c r="S5" s="8">
        <v>4857.2</v>
      </c>
      <c r="T5" s="11">
        <v>5879.8</v>
      </c>
      <c r="U5" s="8">
        <v>16511.9</v>
      </c>
      <c r="V5" s="8">
        <v>48758.1</v>
      </c>
      <c r="W5" s="8">
        <v>48771.7</v>
      </c>
      <c r="X5" s="8">
        <v>436.9</v>
      </c>
      <c r="Y5" s="8">
        <v>432.3</v>
      </c>
      <c r="Z5" s="16">
        <f t="shared" si="0"/>
        <v>49640.9</v>
      </c>
      <c r="AA5" s="8">
        <v>54185.3</v>
      </c>
      <c r="AB5" s="14">
        <v>384</v>
      </c>
      <c r="AC5" s="7">
        <f t="shared" ref="AC5:AC35" si="18">IF(OR(AA5=""),"",(AA5+AB5))</f>
        <v>54569.3</v>
      </c>
      <c r="AD5" s="17">
        <v>142525</v>
      </c>
      <c r="AE5" s="18">
        <f t="shared" ref="AE5:AI5" si="19">IF(OR(C6=""),"",(C6-C5)*80)</f>
        <v>0</v>
      </c>
      <c r="AF5" s="18">
        <f t="shared" si="19"/>
        <v>0</v>
      </c>
      <c r="AG5" s="18">
        <f t="shared" si="19"/>
        <v>3135.99999999977</v>
      </c>
      <c r="AH5" s="18">
        <f t="shared" si="19"/>
        <v>0</v>
      </c>
      <c r="AI5" s="18">
        <f t="shared" si="19"/>
        <v>2264.00000000023</v>
      </c>
      <c r="AJ5" s="18">
        <f t="shared" si="2"/>
        <v>5400</v>
      </c>
      <c r="AK5" s="18">
        <f t="shared" ref="AK5:AN5" si="20">IF(OR(H6=""),"",(H6-H5)*80)</f>
        <v>0</v>
      </c>
      <c r="AL5" s="18">
        <f t="shared" si="20"/>
        <v>0</v>
      </c>
      <c r="AM5" s="18">
        <f t="shared" si="20"/>
        <v>0</v>
      </c>
      <c r="AN5" s="18">
        <f t="shared" si="20"/>
        <v>0</v>
      </c>
      <c r="AO5" s="18">
        <f t="shared" si="4"/>
        <v>0</v>
      </c>
      <c r="AP5" s="18">
        <f t="shared" ref="AP5:AS5" si="21">IF(OR(L6=""),"",(L6-L5)*100)</f>
        <v>2760.00000000058</v>
      </c>
      <c r="AQ5" s="18">
        <f t="shared" si="21"/>
        <v>0</v>
      </c>
      <c r="AR5" s="18">
        <f t="shared" si="21"/>
        <v>0</v>
      </c>
      <c r="AS5" s="18">
        <f t="shared" si="21"/>
        <v>2500</v>
      </c>
      <c r="AT5" s="18">
        <f t="shared" si="6"/>
        <v>5260.00000000058</v>
      </c>
      <c r="AU5" s="18">
        <f t="shared" ref="AU5:AY5" si="22">IF(OR(P6=""),"",(P6-P5)*1000)</f>
        <v>3299.99999999927</v>
      </c>
      <c r="AV5" s="18">
        <f t="shared" si="22"/>
        <v>7500</v>
      </c>
      <c r="AW5" s="18">
        <f t="shared" si="22"/>
        <v>199.999999999818</v>
      </c>
      <c r="AX5" s="18">
        <f t="shared" si="22"/>
        <v>0</v>
      </c>
      <c r="AY5" s="18">
        <f t="shared" si="22"/>
        <v>0</v>
      </c>
      <c r="AZ5" s="18">
        <f t="shared" si="8"/>
        <v>10999.9999999991</v>
      </c>
      <c r="BA5" s="18">
        <f t="shared" si="9"/>
        <v>6199.99999999709</v>
      </c>
      <c r="BB5" s="18">
        <f t="shared" si="10"/>
        <v>200</v>
      </c>
      <c r="BC5" s="18">
        <f t="shared" ref="BC5:BC34" si="23">IF(OR(Z5=""),"",(Z6-Z5)*40)</f>
        <v>1643.99999999994</v>
      </c>
      <c r="BD5" s="18">
        <f t="shared" si="11"/>
        <v>9896.00000001275</v>
      </c>
      <c r="BE5" s="18">
        <f t="shared" si="12"/>
        <v>39600.0000000095</v>
      </c>
      <c r="BF5" s="18">
        <f t="shared" ref="BF5:BF34" si="24">IF(OR(AC6=""),"",AC6-AC5)</f>
        <v>77.2999999999956</v>
      </c>
      <c r="BG5" s="21">
        <f t="shared" si="13"/>
        <v>0.277845991931306</v>
      </c>
      <c r="BH5" s="21">
        <f t="shared" si="14"/>
        <v>0.0378880898088055</v>
      </c>
      <c r="BI5" s="21">
        <f t="shared" si="15"/>
        <v>0</v>
      </c>
      <c r="BJ5" s="21">
        <f t="shared" si="16"/>
        <v>0.0369058059989516</v>
      </c>
      <c r="BK5" s="21">
        <f t="shared" ref="BK5:BO5" si="25">IF(OR($AD5=0),"",AZ5/$AD5)</f>
        <v>0.0771794422031159</v>
      </c>
      <c r="BL5" s="21">
        <f t="shared" si="25"/>
        <v>0.0435011401508303</v>
      </c>
      <c r="BM5" s="21">
        <f t="shared" si="25"/>
        <v>0.00140326258551131</v>
      </c>
      <c r="BN5" s="21">
        <f t="shared" si="25"/>
        <v>0.0115348184529026</v>
      </c>
      <c r="BO5" s="21">
        <f t="shared" si="25"/>
        <v>0.0694334327311893</v>
      </c>
    </row>
    <row r="6" spans="1:67">
      <c r="A6" s="9">
        <f t="shared" ref="A6:A35" si="26">A5+1</f>
        <v>44199</v>
      </c>
      <c r="B6" s="10">
        <v>15620.09</v>
      </c>
      <c r="C6" s="8">
        <v>85130.1</v>
      </c>
      <c r="D6" s="8">
        <v>54213.2</v>
      </c>
      <c r="E6" s="8">
        <v>55238.7</v>
      </c>
      <c r="F6" s="8">
        <v>3261.8</v>
      </c>
      <c r="G6" s="8">
        <v>107534.2</v>
      </c>
      <c r="H6" s="8">
        <v>5596.3</v>
      </c>
      <c r="I6" s="8">
        <v>2566.3</v>
      </c>
      <c r="J6" s="8">
        <v>967</v>
      </c>
      <c r="K6" s="8">
        <v>56</v>
      </c>
      <c r="L6" s="8">
        <v>86520</v>
      </c>
      <c r="M6" s="8">
        <v>61099.5</v>
      </c>
      <c r="N6" s="8">
        <v>68662.4</v>
      </c>
      <c r="O6" s="8">
        <v>98300.1</v>
      </c>
      <c r="P6" s="8">
        <v>5100.4</v>
      </c>
      <c r="Q6" s="8">
        <v>6881.4</v>
      </c>
      <c r="R6" s="8">
        <v>4177.9</v>
      </c>
      <c r="S6" s="8">
        <v>4857.2</v>
      </c>
      <c r="T6" s="8">
        <v>5879.8</v>
      </c>
      <c r="U6" s="8">
        <v>16515</v>
      </c>
      <c r="V6" s="8">
        <v>48760.6</v>
      </c>
      <c r="W6" s="8">
        <v>48789.1</v>
      </c>
      <c r="X6" s="8">
        <v>448.6</v>
      </c>
      <c r="Y6" s="8">
        <v>444.3</v>
      </c>
      <c r="Z6" s="16">
        <f t="shared" si="0"/>
        <v>49682</v>
      </c>
      <c r="AA6" s="8">
        <v>54224.6</v>
      </c>
      <c r="AB6" s="14">
        <v>422</v>
      </c>
      <c r="AC6" s="7">
        <f t="shared" si="18"/>
        <v>54646.6</v>
      </c>
      <c r="AD6" s="17">
        <v>136835</v>
      </c>
      <c r="AE6" s="18">
        <f t="shared" ref="AE6:AI6" si="27">IF(OR(C7=""),"",(C7-C6)*80)</f>
        <v>0</v>
      </c>
      <c r="AF6" s="18">
        <f t="shared" si="27"/>
        <v>1464.00000000023</v>
      </c>
      <c r="AG6" s="18">
        <f t="shared" si="27"/>
        <v>2480</v>
      </c>
      <c r="AH6" s="18">
        <f t="shared" si="27"/>
        <v>19.1999999999825</v>
      </c>
      <c r="AI6" s="18">
        <f t="shared" si="27"/>
        <v>2248.00000000047</v>
      </c>
      <c r="AJ6" s="18">
        <f t="shared" si="2"/>
        <v>6211.20000000068</v>
      </c>
      <c r="AK6" s="18">
        <f t="shared" ref="AK6:AN6" si="28">IF(OR(H7=""),"",(H7-H6)*80)</f>
        <v>0</v>
      </c>
      <c r="AL6" s="18">
        <f t="shared" si="28"/>
        <v>0</v>
      </c>
      <c r="AM6" s="18">
        <f t="shared" si="28"/>
        <v>0</v>
      </c>
      <c r="AN6" s="18">
        <f t="shared" si="28"/>
        <v>0</v>
      </c>
      <c r="AO6" s="18">
        <f t="shared" si="4"/>
        <v>0</v>
      </c>
      <c r="AP6" s="18">
        <f t="shared" ref="AP6:AS6" si="29">IF(OR(L7=""),"",(L7-L6)*100)</f>
        <v>2530.00000000029</v>
      </c>
      <c r="AQ6" s="18">
        <f t="shared" si="29"/>
        <v>0</v>
      </c>
      <c r="AR6" s="18">
        <f t="shared" si="29"/>
        <v>0</v>
      </c>
      <c r="AS6" s="18">
        <f t="shared" si="29"/>
        <v>2559.99999999913</v>
      </c>
      <c r="AT6" s="18">
        <f t="shared" si="6"/>
        <v>5089.99999999942</v>
      </c>
      <c r="AU6" s="18">
        <f t="shared" ref="AU6:AY6" si="30">IF(OR(P7=""),"",(P7-P6)*1000)</f>
        <v>3100.00000000036</v>
      </c>
      <c r="AV6" s="18">
        <f t="shared" si="30"/>
        <v>5400.00000000055</v>
      </c>
      <c r="AW6" s="18">
        <f t="shared" si="30"/>
        <v>800.000000000182</v>
      </c>
      <c r="AX6" s="18">
        <f t="shared" si="30"/>
        <v>0</v>
      </c>
      <c r="AY6" s="18">
        <f t="shared" si="30"/>
        <v>399.999999999636</v>
      </c>
      <c r="AZ6" s="18">
        <f t="shared" si="8"/>
        <v>9700.00000000073</v>
      </c>
      <c r="BA6" s="18">
        <f t="shared" si="9"/>
        <v>6599.99999999854</v>
      </c>
      <c r="BB6" s="18">
        <f t="shared" si="10"/>
        <v>7.99999999988358</v>
      </c>
      <c r="BC6" s="18">
        <f t="shared" si="23"/>
        <v>1575.99999999977</v>
      </c>
      <c r="BD6" s="18">
        <f t="shared" si="11"/>
        <v>11614.8000000003</v>
      </c>
      <c r="BE6" s="18">
        <f t="shared" si="12"/>
        <v>40799.9999999993</v>
      </c>
      <c r="BF6" s="18">
        <f t="shared" si="24"/>
        <v>70.5</v>
      </c>
      <c r="BG6" s="21">
        <f t="shared" si="13"/>
        <v>0.298169328022796</v>
      </c>
      <c r="BH6" s="21">
        <f t="shared" si="14"/>
        <v>0.0453918953484173</v>
      </c>
      <c r="BI6" s="21">
        <f t="shared" si="15"/>
        <v>0</v>
      </c>
      <c r="BJ6" s="21">
        <f t="shared" si="16"/>
        <v>0.0371980852851932</v>
      </c>
      <c r="BK6" s="21">
        <f t="shared" ref="BK6:BO6" si="31">IF(OR($AD6=0),"",AZ6/$AD6)</f>
        <v>0.0708882961230732</v>
      </c>
      <c r="BL6" s="21">
        <f t="shared" si="31"/>
        <v>0.0482332736507366</v>
      </c>
      <c r="BM6" s="21">
        <f t="shared" si="31"/>
        <v>5.84645741212671e-5</v>
      </c>
      <c r="BN6" s="21">
        <f t="shared" si="31"/>
        <v>0.0115175211020555</v>
      </c>
      <c r="BO6" s="21">
        <f t="shared" si="31"/>
        <v>0.0848817919391987</v>
      </c>
    </row>
    <row r="7" spans="1:67">
      <c r="A7" s="9">
        <f t="shared" si="26"/>
        <v>44200</v>
      </c>
      <c r="B7" s="10">
        <v>15624.17</v>
      </c>
      <c r="C7" s="8">
        <v>85130.1</v>
      </c>
      <c r="D7" s="8">
        <v>54231.5</v>
      </c>
      <c r="E7" s="8">
        <v>55269.7</v>
      </c>
      <c r="F7" s="8">
        <v>3262.04</v>
      </c>
      <c r="G7" s="8">
        <v>107562.3</v>
      </c>
      <c r="H7" s="8">
        <v>5596.3</v>
      </c>
      <c r="I7" s="8">
        <v>2566.3</v>
      </c>
      <c r="J7" s="8">
        <v>967</v>
      </c>
      <c r="K7" s="8">
        <v>56</v>
      </c>
      <c r="L7" s="8">
        <v>86545.3</v>
      </c>
      <c r="M7" s="8">
        <v>61099.5</v>
      </c>
      <c r="N7" s="8">
        <v>68662.4</v>
      </c>
      <c r="O7" s="8">
        <v>98325.7</v>
      </c>
      <c r="P7" s="8">
        <v>5103.5</v>
      </c>
      <c r="Q7" s="8">
        <v>6886.8</v>
      </c>
      <c r="R7" s="8">
        <v>4178.7</v>
      </c>
      <c r="S7" s="8">
        <v>4857.2</v>
      </c>
      <c r="T7" s="8">
        <v>5880.2</v>
      </c>
      <c r="U7" s="8">
        <v>16518.3</v>
      </c>
      <c r="V7" s="8">
        <v>48760.7</v>
      </c>
      <c r="W7" s="8">
        <v>48807.2</v>
      </c>
      <c r="X7" s="8">
        <v>460.6</v>
      </c>
      <c r="Y7" s="8">
        <v>453.6</v>
      </c>
      <c r="Z7" s="16">
        <f t="shared" si="0"/>
        <v>49721.4</v>
      </c>
      <c r="AA7" s="8">
        <v>54269.1</v>
      </c>
      <c r="AB7" s="14">
        <v>448</v>
      </c>
      <c r="AC7" s="7">
        <f t="shared" si="18"/>
        <v>54717.1</v>
      </c>
      <c r="AD7" s="17">
        <v>153730</v>
      </c>
      <c r="AE7" s="18">
        <f t="shared" ref="AE7:AI7" si="32">IF(OR(C8=""),"",(C8-C7)*80)</f>
        <v>47.9999999993015</v>
      </c>
      <c r="AF7" s="18">
        <f t="shared" si="32"/>
        <v>1464.00000000023</v>
      </c>
      <c r="AG7" s="18">
        <f t="shared" si="32"/>
        <v>1696.00000000035</v>
      </c>
      <c r="AH7" s="18">
        <f t="shared" si="32"/>
        <v>914.399999999987</v>
      </c>
      <c r="AI7" s="18">
        <f t="shared" si="32"/>
        <v>1951.99999999953</v>
      </c>
      <c r="AJ7" s="18">
        <f t="shared" si="2"/>
        <v>6074.3999999994</v>
      </c>
      <c r="AK7" s="18">
        <f t="shared" ref="AK7:AN7" si="33">IF(OR(H8=""),"",(H8-H7)*80)</f>
        <v>0</v>
      </c>
      <c r="AL7" s="18">
        <f t="shared" si="33"/>
        <v>0</v>
      </c>
      <c r="AM7" s="18">
        <f t="shared" si="33"/>
        <v>0</v>
      </c>
      <c r="AN7" s="18">
        <f t="shared" si="33"/>
        <v>0</v>
      </c>
      <c r="AO7" s="18">
        <f t="shared" si="4"/>
        <v>0</v>
      </c>
      <c r="AP7" s="18">
        <f t="shared" ref="AP7:AS7" si="34">IF(OR(L8=""),"",(L8-L7)*100)</f>
        <v>1469.99999999971</v>
      </c>
      <c r="AQ7" s="18">
        <f t="shared" si="34"/>
        <v>2330.00000000029</v>
      </c>
      <c r="AR7" s="18">
        <f t="shared" si="34"/>
        <v>50</v>
      </c>
      <c r="AS7" s="18">
        <f t="shared" si="34"/>
        <v>2569.99999999971</v>
      </c>
      <c r="AT7" s="18">
        <f t="shared" si="6"/>
        <v>6419.99999999971</v>
      </c>
      <c r="AU7" s="18">
        <f t="shared" ref="AU7:AY7" si="35">IF(OR(P8=""),"",(P8-P7)*1000)</f>
        <v>3600.00000000036</v>
      </c>
      <c r="AV7" s="18">
        <f t="shared" si="35"/>
        <v>7199.99999999982</v>
      </c>
      <c r="AW7" s="18">
        <f t="shared" si="35"/>
        <v>100.000000000364</v>
      </c>
      <c r="AX7" s="18">
        <f t="shared" si="35"/>
        <v>0</v>
      </c>
      <c r="AY7" s="18">
        <f t="shared" si="35"/>
        <v>699.999999999818</v>
      </c>
      <c r="AZ7" s="18">
        <f t="shared" si="8"/>
        <v>11600.0000000004</v>
      </c>
      <c r="BA7" s="18">
        <f t="shared" si="9"/>
        <v>8400.00000000146</v>
      </c>
      <c r="BB7" s="18">
        <f t="shared" si="10"/>
        <v>8.00000000046566</v>
      </c>
      <c r="BC7" s="18">
        <f t="shared" si="23"/>
        <v>1508.00000000017</v>
      </c>
      <c r="BD7" s="18">
        <f t="shared" si="11"/>
        <v>9189.59999999552</v>
      </c>
      <c r="BE7" s="18">
        <f t="shared" si="12"/>
        <v>43199.9999999971</v>
      </c>
      <c r="BF7" s="18">
        <f t="shared" si="24"/>
        <v>47.8000000000029</v>
      </c>
      <c r="BG7" s="21">
        <f t="shared" si="13"/>
        <v>0.28101216418394</v>
      </c>
      <c r="BH7" s="21">
        <f t="shared" si="14"/>
        <v>0.0395134326416406</v>
      </c>
      <c r="BI7" s="21">
        <f t="shared" si="15"/>
        <v>0</v>
      </c>
      <c r="BJ7" s="21">
        <f t="shared" si="16"/>
        <v>0.0417615299551142</v>
      </c>
      <c r="BK7" s="21">
        <f t="shared" ref="BK7:BO7" si="36">IF(OR($AD7=0),"",AZ7/$AD7)</f>
        <v>0.0754569700123617</v>
      </c>
      <c r="BL7" s="21">
        <f t="shared" si="36"/>
        <v>0.0546412541468904</v>
      </c>
      <c r="BM7" s="21">
        <f t="shared" si="36"/>
        <v>5.20392896667252e-5</v>
      </c>
      <c r="BN7" s="21">
        <f t="shared" si="36"/>
        <v>0.00980940610160785</v>
      </c>
      <c r="BO7" s="21">
        <f t="shared" si="36"/>
        <v>0.0597775320366585</v>
      </c>
    </row>
    <row r="8" spans="1:67">
      <c r="A8" s="9">
        <f t="shared" si="26"/>
        <v>44201</v>
      </c>
      <c r="B8" s="10">
        <v>15628.49</v>
      </c>
      <c r="C8" s="8">
        <v>85130.7</v>
      </c>
      <c r="D8" s="8">
        <v>54249.8</v>
      </c>
      <c r="E8" s="8">
        <v>55290.9</v>
      </c>
      <c r="F8" s="8">
        <v>3273.47</v>
      </c>
      <c r="G8" s="8">
        <v>107586.7</v>
      </c>
      <c r="H8" s="8">
        <v>5596.3</v>
      </c>
      <c r="I8" s="8">
        <v>2566.3</v>
      </c>
      <c r="J8" s="8">
        <v>967</v>
      </c>
      <c r="K8" s="8">
        <v>56</v>
      </c>
      <c r="L8" s="8">
        <v>86560</v>
      </c>
      <c r="M8" s="8">
        <v>61122.8</v>
      </c>
      <c r="N8" s="8">
        <v>68662.9</v>
      </c>
      <c r="O8" s="8">
        <v>98351.4</v>
      </c>
      <c r="P8" s="8">
        <v>5107.1</v>
      </c>
      <c r="Q8" s="8">
        <v>6894</v>
      </c>
      <c r="R8" s="8">
        <v>4178.8</v>
      </c>
      <c r="S8" s="8">
        <v>4857.2</v>
      </c>
      <c r="T8" s="8">
        <v>5880.9</v>
      </c>
      <c r="U8" s="8">
        <v>16522.5</v>
      </c>
      <c r="V8" s="8">
        <v>48760.8</v>
      </c>
      <c r="W8" s="8">
        <v>48824.7</v>
      </c>
      <c r="X8" s="8">
        <v>472</v>
      </c>
      <c r="Y8" s="8">
        <v>462.4</v>
      </c>
      <c r="Z8" s="16">
        <f t="shared" si="0"/>
        <v>49759.1</v>
      </c>
      <c r="AA8" s="8">
        <v>54311.5</v>
      </c>
      <c r="AB8" s="14">
        <v>453.4</v>
      </c>
      <c r="AC8" s="7">
        <f t="shared" si="18"/>
        <v>54764.9</v>
      </c>
      <c r="AD8" s="17">
        <v>139358</v>
      </c>
      <c r="AE8" s="18">
        <f t="shared" ref="AE8:AI8" si="37">IF(OR(C9=""),"",(C9-C8)*80)</f>
        <v>0</v>
      </c>
      <c r="AF8" s="18">
        <f t="shared" si="37"/>
        <v>0</v>
      </c>
      <c r="AG8" s="18">
        <f t="shared" si="37"/>
        <v>2920</v>
      </c>
      <c r="AH8" s="18">
        <f t="shared" si="37"/>
        <v>4.80000000003201</v>
      </c>
      <c r="AI8" s="18">
        <f t="shared" si="37"/>
        <v>2488.00000000047</v>
      </c>
      <c r="AJ8" s="18">
        <f t="shared" si="2"/>
        <v>5412.8000000005</v>
      </c>
      <c r="AK8" s="18">
        <f t="shared" ref="AK8:AN8" si="38">IF(OR(H9=""),"",(H9-H8)*80)</f>
        <v>0</v>
      </c>
      <c r="AL8" s="18">
        <f t="shared" si="38"/>
        <v>0</v>
      </c>
      <c r="AM8" s="18">
        <f t="shared" si="38"/>
        <v>0</v>
      </c>
      <c r="AN8" s="18">
        <f t="shared" si="38"/>
        <v>0</v>
      </c>
      <c r="AO8" s="18">
        <f t="shared" si="4"/>
        <v>0</v>
      </c>
      <c r="AP8" s="18">
        <f t="shared" ref="AP8:AS8" si="39">IF(OR(L9=""),"",(L9-L8)*100)</f>
        <v>2489.99999999942</v>
      </c>
      <c r="AQ8" s="18">
        <f t="shared" si="39"/>
        <v>0</v>
      </c>
      <c r="AR8" s="18">
        <f t="shared" si="39"/>
        <v>80.000000000291</v>
      </c>
      <c r="AS8" s="18">
        <f t="shared" si="39"/>
        <v>2420.00000000116</v>
      </c>
      <c r="AT8" s="18">
        <f t="shared" si="6"/>
        <v>4990.00000000087</v>
      </c>
      <c r="AU8" s="18">
        <f t="shared" ref="AU8:AY8" si="40">IF(OR(P9=""),"",(P9-P8)*1000)</f>
        <v>3599.99999999945</v>
      </c>
      <c r="AV8" s="18">
        <f t="shared" si="40"/>
        <v>7000</v>
      </c>
      <c r="AW8" s="18">
        <f t="shared" si="40"/>
        <v>0</v>
      </c>
      <c r="AX8" s="18">
        <f t="shared" si="40"/>
        <v>0</v>
      </c>
      <c r="AY8" s="18">
        <f t="shared" si="40"/>
        <v>0</v>
      </c>
      <c r="AZ8" s="18">
        <f t="shared" si="8"/>
        <v>10599.9999999995</v>
      </c>
      <c r="BA8" s="18">
        <f t="shared" si="9"/>
        <v>7199.99999999709</v>
      </c>
      <c r="BB8" s="18">
        <f t="shared" si="10"/>
        <v>7.99999999988358</v>
      </c>
      <c r="BC8" s="18">
        <f t="shared" si="23"/>
        <v>1532.00000000012</v>
      </c>
      <c r="BD8" s="18">
        <f t="shared" si="11"/>
        <v>10757.200000013</v>
      </c>
      <c r="BE8" s="18">
        <f t="shared" si="12"/>
        <v>40500.0000000109</v>
      </c>
      <c r="BF8" s="18">
        <f t="shared" si="24"/>
        <v>49</v>
      </c>
      <c r="BG8" s="21">
        <f t="shared" si="13"/>
        <v>0.290618407267691</v>
      </c>
      <c r="BH8" s="21">
        <f t="shared" si="14"/>
        <v>0.0388409707372415</v>
      </c>
      <c r="BI8" s="21">
        <f t="shared" si="15"/>
        <v>0</v>
      </c>
      <c r="BJ8" s="21">
        <f t="shared" si="16"/>
        <v>0.0358070580806331</v>
      </c>
      <c r="BK8" s="21">
        <f t="shared" ref="BK8:BO8" si="41">IF(OR($AD8=0),"",AZ8/$AD8)</f>
        <v>0.0760630893095442</v>
      </c>
      <c r="BL8" s="21">
        <f t="shared" si="41"/>
        <v>0.0516654946253325</v>
      </c>
      <c r="BM8" s="21">
        <f t="shared" si="41"/>
        <v>5.74061051384462e-5</v>
      </c>
      <c r="BN8" s="21">
        <f t="shared" si="41"/>
        <v>0.0109932691341733</v>
      </c>
      <c r="BO8" s="21">
        <f t="shared" si="41"/>
        <v>0.0771911192756282</v>
      </c>
    </row>
    <row r="9" spans="1:67">
      <c r="A9" s="9">
        <f t="shared" si="26"/>
        <v>44202</v>
      </c>
      <c r="B9" s="10">
        <v>15632.54</v>
      </c>
      <c r="C9" s="8">
        <v>85130.7</v>
      </c>
      <c r="D9" s="8">
        <v>54249.8</v>
      </c>
      <c r="E9" s="8">
        <v>55327.4</v>
      </c>
      <c r="F9" s="8">
        <v>3273.53</v>
      </c>
      <c r="G9" s="8">
        <v>107617.8</v>
      </c>
      <c r="H9" s="8">
        <v>5596.3</v>
      </c>
      <c r="I9" s="8">
        <v>2566.3</v>
      </c>
      <c r="J9" s="8">
        <v>967</v>
      </c>
      <c r="K9" s="8">
        <v>56</v>
      </c>
      <c r="L9" s="8">
        <v>86584.9</v>
      </c>
      <c r="M9" s="8">
        <v>61122.8</v>
      </c>
      <c r="N9" s="8">
        <v>68663.7</v>
      </c>
      <c r="O9" s="8">
        <v>98375.6</v>
      </c>
      <c r="P9" s="8">
        <v>5110.7</v>
      </c>
      <c r="Q9" s="8">
        <v>6901</v>
      </c>
      <c r="R9" s="8">
        <v>4178.8</v>
      </c>
      <c r="S9" s="8">
        <v>4857.2</v>
      </c>
      <c r="T9" s="8">
        <v>5880.9</v>
      </c>
      <c r="U9" s="8">
        <v>16526.1</v>
      </c>
      <c r="V9" s="8">
        <v>48760.9</v>
      </c>
      <c r="W9" s="8">
        <v>48842.3</v>
      </c>
      <c r="X9" s="8">
        <v>483.7</v>
      </c>
      <c r="Y9" s="8">
        <v>471.4</v>
      </c>
      <c r="Z9" s="16">
        <f t="shared" si="0"/>
        <v>49797.4</v>
      </c>
      <c r="AA9" s="8">
        <v>54354.8</v>
      </c>
      <c r="AB9" s="14">
        <v>459.1</v>
      </c>
      <c r="AC9" s="7">
        <f t="shared" si="18"/>
        <v>54813.9</v>
      </c>
      <c r="AD9" s="17">
        <v>145477</v>
      </c>
      <c r="AE9" s="18">
        <f t="shared" ref="AE9:AI9" si="42">IF(OR(C10=""),"",(C10-C9)*80)</f>
        <v>0</v>
      </c>
      <c r="AF9" s="18">
        <f t="shared" si="42"/>
        <v>767.999999999884</v>
      </c>
      <c r="AG9" s="18">
        <f t="shared" si="42"/>
        <v>2855.99999999977</v>
      </c>
      <c r="AH9" s="18">
        <f t="shared" si="42"/>
        <v>4.79999999999563</v>
      </c>
      <c r="AI9" s="18">
        <f t="shared" si="42"/>
        <v>2384.00000000023</v>
      </c>
      <c r="AJ9" s="18">
        <f t="shared" si="2"/>
        <v>6012.79999999988</v>
      </c>
      <c r="AK9" s="18">
        <f t="shared" ref="AK9:AN9" si="43">IF(OR(H10=""),"",(H10-H9)*80)</f>
        <v>0</v>
      </c>
      <c r="AL9" s="18">
        <f t="shared" si="43"/>
        <v>0</v>
      </c>
      <c r="AM9" s="18">
        <f t="shared" si="43"/>
        <v>0</v>
      </c>
      <c r="AN9" s="18">
        <f t="shared" si="43"/>
        <v>0</v>
      </c>
      <c r="AO9" s="18">
        <f t="shared" si="4"/>
        <v>0</v>
      </c>
      <c r="AP9" s="18">
        <f t="shared" ref="AP9:AS9" si="44">IF(OR(L10=""),"",(L10-L9)*100)</f>
        <v>2260.00000000058</v>
      </c>
      <c r="AQ9" s="18">
        <f t="shared" si="44"/>
        <v>0</v>
      </c>
      <c r="AR9" s="18">
        <f t="shared" si="44"/>
        <v>800</v>
      </c>
      <c r="AS9" s="18">
        <f t="shared" si="44"/>
        <v>2419.99999999971</v>
      </c>
      <c r="AT9" s="18">
        <f t="shared" si="6"/>
        <v>5480.00000000029</v>
      </c>
      <c r="AU9" s="18">
        <f t="shared" ref="AU9:AY9" si="45">IF(OR(P10=""),"",(P10-P9)*1000)</f>
        <v>3699.99999999982</v>
      </c>
      <c r="AV9" s="18">
        <f t="shared" si="45"/>
        <v>6600.00000000036</v>
      </c>
      <c r="AW9" s="18">
        <f t="shared" si="45"/>
        <v>300.000000000182</v>
      </c>
      <c r="AX9" s="18">
        <f t="shared" si="45"/>
        <v>0</v>
      </c>
      <c r="AY9" s="18">
        <f t="shared" si="45"/>
        <v>0</v>
      </c>
      <c r="AZ9" s="18">
        <f t="shared" si="8"/>
        <v>10600.0000000004</v>
      </c>
      <c r="BA9" s="18">
        <f t="shared" si="9"/>
        <v>7400.00000000146</v>
      </c>
      <c r="BB9" s="18">
        <f t="shared" si="10"/>
        <v>7.99999999988358</v>
      </c>
      <c r="BC9" s="18">
        <f t="shared" si="23"/>
        <v>1512.00000000012</v>
      </c>
      <c r="BD9" s="18">
        <f t="shared" si="11"/>
        <v>11287.1999999936</v>
      </c>
      <c r="BE9" s="18">
        <f t="shared" si="12"/>
        <v>42299.9999999956</v>
      </c>
      <c r="BF9" s="18">
        <f t="shared" si="24"/>
        <v>49.3000000000029</v>
      </c>
      <c r="BG9" s="21">
        <f t="shared" si="13"/>
        <v>0.290767612749752</v>
      </c>
      <c r="BH9" s="21">
        <f t="shared" si="14"/>
        <v>0.0413316194312495</v>
      </c>
      <c r="BI9" s="21">
        <f t="shared" si="15"/>
        <v>0</v>
      </c>
      <c r="BJ9" s="21">
        <f t="shared" si="16"/>
        <v>0.0376691848195955</v>
      </c>
      <c r="BK9" s="21">
        <f t="shared" ref="BK9:BO9" si="46">IF(OR($AD9=0),"",AZ9/$AD9)</f>
        <v>0.0728637516583402</v>
      </c>
      <c r="BL9" s="21">
        <f t="shared" si="46"/>
        <v>0.0508671473841326</v>
      </c>
      <c r="BM9" s="21">
        <f t="shared" si="46"/>
        <v>5.49915106847377e-5</v>
      </c>
      <c r="BN9" s="21">
        <f t="shared" si="46"/>
        <v>0.0103933955195675</v>
      </c>
      <c r="BO9" s="21">
        <f t="shared" si="46"/>
        <v>0.0775875224261818</v>
      </c>
    </row>
    <row r="10" spans="1:67">
      <c r="A10" s="9">
        <f t="shared" si="26"/>
        <v>44203</v>
      </c>
      <c r="B10" s="10">
        <v>15636.77</v>
      </c>
      <c r="C10" s="8">
        <v>85130.7</v>
      </c>
      <c r="D10" s="8">
        <v>54259.4</v>
      </c>
      <c r="E10" s="8">
        <v>55363.1</v>
      </c>
      <c r="F10" s="8">
        <v>3273.59</v>
      </c>
      <c r="G10" s="8">
        <v>107647.6</v>
      </c>
      <c r="H10" s="8">
        <v>5596.3</v>
      </c>
      <c r="I10" s="8">
        <v>2566.3</v>
      </c>
      <c r="J10" s="8">
        <v>967</v>
      </c>
      <c r="K10" s="8">
        <v>56</v>
      </c>
      <c r="L10" s="8">
        <v>86607.5</v>
      </c>
      <c r="M10" s="8">
        <v>61122.8</v>
      </c>
      <c r="N10" s="8">
        <v>68671.7</v>
      </c>
      <c r="O10" s="8">
        <v>98399.8</v>
      </c>
      <c r="P10" s="8">
        <v>5114.4</v>
      </c>
      <c r="Q10" s="8">
        <v>6907.6</v>
      </c>
      <c r="R10" s="8">
        <v>4179.1</v>
      </c>
      <c r="S10" s="8">
        <v>4857.2</v>
      </c>
      <c r="T10" s="8">
        <v>5880.9</v>
      </c>
      <c r="U10" s="8">
        <v>16529.8</v>
      </c>
      <c r="V10" s="8">
        <v>48761</v>
      </c>
      <c r="W10" s="8">
        <v>48859.9</v>
      </c>
      <c r="X10" s="8">
        <v>495.4</v>
      </c>
      <c r="Y10" s="8">
        <v>479.9</v>
      </c>
      <c r="Z10" s="16">
        <f t="shared" si="0"/>
        <v>49835.2</v>
      </c>
      <c r="AA10" s="8">
        <v>54398.4</v>
      </c>
      <c r="AB10" s="14">
        <v>464.8</v>
      </c>
      <c r="AC10" s="7">
        <f t="shared" si="18"/>
        <v>54863.2</v>
      </c>
      <c r="AD10" s="17">
        <v>142455</v>
      </c>
      <c r="AE10" s="18">
        <f t="shared" ref="AE10:AI10" si="47">IF(OR(C11=""),"",(C11-C10)*80)</f>
        <v>0</v>
      </c>
      <c r="AF10" s="18">
        <f t="shared" si="47"/>
        <v>247.999999999884</v>
      </c>
      <c r="AG10" s="18">
        <f t="shared" si="47"/>
        <v>2927.99999999988</v>
      </c>
      <c r="AH10" s="18">
        <f t="shared" si="47"/>
        <v>3.99999999997817</v>
      </c>
      <c r="AI10" s="18">
        <f t="shared" si="47"/>
        <v>2727.9999999993</v>
      </c>
      <c r="AJ10" s="18">
        <f t="shared" si="2"/>
        <v>5907.99999999905</v>
      </c>
      <c r="AK10" s="18">
        <f t="shared" ref="AK10:AN10" si="48">IF(OR(H11=""),"",(H11-H10)*80)</f>
        <v>0</v>
      </c>
      <c r="AL10" s="18">
        <f t="shared" si="48"/>
        <v>0</v>
      </c>
      <c r="AM10" s="18">
        <f t="shared" si="48"/>
        <v>0</v>
      </c>
      <c r="AN10" s="18">
        <f t="shared" si="48"/>
        <v>0</v>
      </c>
      <c r="AO10" s="18">
        <f t="shared" si="4"/>
        <v>0</v>
      </c>
      <c r="AP10" s="18">
        <f t="shared" ref="AP10:AS10" si="49">IF(OR(L11=""),"",(L11-L10)*100)</f>
        <v>1889.99999999942</v>
      </c>
      <c r="AQ10" s="18">
        <f t="shared" si="49"/>
        <v>9.99999999985448</v>
      </c>
      <c r="AR10" s="18">
        <f t="shared" si="49"/>
        <v>860.000000000582</v>
      </c>
      <c r="AS10" s="18">
        <f t="shared" si="49"/>
        <v>2330.00000000029</v>
      </c>
      <c r="AT10" s="18">
        <f t="shared" si="6"/>
        <v>5090.00000000015</v>
      </c>
      <c r="AU10" s="18">
        <f t="shared" ref="AU10:AY10" si="50">IF(OR(P11=""),"",(P11-P10)*1000)</f>
        <v>3800.00000000018</v>
      </c>
      <c r="AV10" s="18">
        <f t="shared" si="50"/>
        <v>6099.99999999945</v>
      </c>
      <c r="AW10" s="18">
        <f t="shared" si="50"/>
        <v>1000</v>
      </c>
      <c r="AX10" s="18">
        <f t="shared" si="50"/>
        <v>0</v>
      </c>
      <c r="AY10" s="18">
        <f t="shared" si="50"/>
        <v>0</v>
      </c>
      <c r="AZ10" s="18">
        <f t="shared" si="8"/>
        <v>10899.9999999996</v>
      </c>
      <c r="BA10" s="18">
        <f t="shared" si="9"/>
        <v>5800.00000000291</v>
      </c>
      <c r="BB10" s="18">
        <f t="shared" si="10"/>
        <v>7.99999999988358</v>
      </c>
      <c r="BC10" s="18">
        <f t="shared" si="23"/>
        <v>1835.99999999977</v>
      </c>
      <c r="BD10" s="18">
        <f t="shared" si="11"/>
        <v>13557.9999999935</v>
      </c>
      <c r="BE10" s="18">
        <f t="shared" si="12"/>
        <v>43099.9999999949</v>
      </c>
      <c r="BF10" s="18">
        <f t="shared" si="24"/>
        <v>50.9999999999927</v>
      </c>
      <c r="BG10" s="21">
        <f t="shared" si="13"/>
        <v>0.302551682987574</v>
      </c>
      <c r="BH10" s="21">
        <f t="shared" si="14"/>
        <v>0.0414727457793622</v>
      </c>
      <c r="BI10" s="21">
        <f t="shared" si="15"/>
        <v>0</v>
      </c>
      <c r="BJ10" s="21">
        <f t="shared" si="16"/>
        <v>0.0357305815871689</v>
      </c>
      <c r="BK10" s="21">
        <f t="shared" ref="BK10:BO10" si="51">IF(OR($AD10=0),"",AZ10/$AD10)</f>
        <v>0.0765153908251703</v>
      </c>
      <c r="BL10" s="21">
        <f t="shared" si="51"/>
        <v>0.0407146116317638</v>
      </c>
      <c r="BM10" s="21">
        <f t="shared" si="51"/>
        <v>5.6158085008484e-5</v>
      </c>
      <c r="BN10" s="21">
        <f t="shared" si="51"/>
        <v>0.012888280509633</v>
      </c>
      <c r="BO10" s="21">
        <f t="shared" si="51"/>
        <v>0.0951739145694677</v>
      </c>
    </row>
    <row r="11" spans="1:67">
      <c r="A11" s="9">
        <f t="shared" si="26"/>
        <v>44204</v>
      </c>
      <c r="B11" s="10">
        <v>15641.08</v>
      </c>
      <c r="C11" s="8">
        <v>85130.7</v>
      </c>
      <c r="D11" s="8">
        <v>54262.5</v>
      </c>
      <c r="E11" s="8">
        <v>55399.7</v>
      </c>
      <c r="F11" s="8">
        <v>3273.64</v>
      </c>
      <c r="G11" s="8">
        <v>107681.7</v>
      </c>
      <c r="H11" s="8">
        <v>5596.3</v>
      </c>
      <c r="I11" s="8">
        <v>2566.3</v>
      </c>
      <c r="J11" s="8">
        <v>967</v>
      </c>
      <c r="K11" s="8">
        <v>56</v>
      </c>
      <c r="L11" s="8">
        <v>86626.4</v>
      </c>
      <c r="M11" s="8">
        <v>61122.9</v>
      </c>
      <c r="N11" s="8">
        <v>68680.3</v>
      </c>
      <c r="O11" s="8">
        <v>98423.1</v>
      </c>
      <c r="P11" s="8">
        <v>5118.2</v>
      </c>
      <c r="Q11" s="8">
        <v>6913.7</v>
      </c>
      <c r="R11" s="8">
        <v>4180.1</v>
      </c>
      <c r="S11" s="8">
        <v>4857.2</v>
      </c>
      <c r="T11" s="8">
        <v>5880.9</v>
      </c>
      <c r="U11" s="8">
        <v>16532.7</v>
      </c>
      <c r="V11" s="8">
        <v>48761.1</v>
      </c>
      <c r="W11" s="8">
        <v>48878.3</v>
      </c>
      <c r="X11" s="8">
        <v>510.2</v>
      </c>
      <c r="Y11" s="8">
        <v>492.6</v>
      </c>
      <c r="Z11" s="16">
        <f t="shared" si="0"/>
        <v>49881.1</v>
      </c>
      <c r="AA11" s="8">
        <v>54446</v>
      </c>
      <c r="AB11" s="14">
        <v>468.2</v>
      </c>
      <c r="AC11" s="7">
        <f t="shared" si="18"/>
        <v>54914.2</v>
      </c>
      <c r="AD11" s="17">
        <v>137542</v>
      </c>
      <c r="AE11" s="18">
        <f t="shared" ref="AE11:AI11" si="52">IF(OR(C12=""),"",(C12-C11)*80)</f>
        <v>0</v>
      </c>
      <c r="AF11" s="18">
        <f t="shared" si="52"/>
        <v>0</v>
      </c>
      <c r="AG11" s="18">
        <f t="shared" si="52"/>
        <v>2992.00000000012</v>
      </c>
      <c r="AH11" s="18">
        <f t="shared" si="52"/>
        <v>4.79999999999563</v>
      </c>
      <c r="AI11" s="18">
        <f t="shared" si="52"/>
        <v>2624.00000000023</v>
      </c>
      <c r="AJ11" s="18">
        <f t="shared" si="2"/>
        <v>5620.80000000034</v>
      </c>
      <c r="AK11" s="18">
        <f t="shared" ref="AK11:AN11" si="53">IF(OR(H12=""),"",(H12-H11)*80)</f>
        <v>0</v>
      </c>
      <c r="AL11" s="18">
        <f t="shared" si="53"/>
        <v>0</v>
      </c>
      <c r="AM11" s="18">
        <f t="shared" si="53"/>
        <v>0</v>
      </c>
      <c r="AN11" s="18">
        <f t="shared" si="53"/>
        <v>0</v>
      </c>
      <c r="AO11" s="18">
        <f t="shared" si="4"/>
        <v>0</v>
      </c>
      <c r="AP11" s="18">
        <f t="shared" ref="AP11:AS11" si="54">IF(OR(L12=""),"",(L12-L11)*100)</f>
        <v>2560.00000000058</v>
      </c>
      <c r="AQ11" s="18">
        <f t="shared" si="54"/>
        <v>0</v>
      </c>
      <c r="AR11" s="18">
        <f t="shared" si="54"/>
        <v>0</v>
      </c>
      <c r="AS11" s="18">
        <f t="shared" si="54"/>
        <v>2339.99999999942</v>
      </c>
      <c r="AT11" s="18">
        <f t="shared" si="6"/>
        <v>4900</v>
      </c>
      <c r="AU11" s="18">
        <f t="shared" ref="AU11:AY11" si="55">IF(OR(P12=""),"",(P12-P11)*1000)</f>
        <v>2699.99999999982</v>
      </c>
      <c r="AV11" s="18">
        <f t="shared" si="55"/>
        <v>3100.00000000036</v>
      </c>
      <c r="AW11" s="18">
        <f t="shared" si="55"/>
        <v>3399.99999999964</v>
      </c>
      <c r="AX11" s="18">
        <f t="shared" si="55"/>
        <v>0</v>
      </c>
      <c r="AY11" s="18">
        <f t="shared" si="55"/>
        <v>0</v>
      </c>
      <c r="AZ11" s="18">
        <f t="shared" si="8"/>
        <v>9199.99999999982</v>
      </c>
      <c r="BA11" s="18">
        <f t="shared" si="9"/>
        <v>5000</v>
      </c>
      <c r="BB11" s="18">
        <f t="shared" si="10"/>
        <v>7.99999999988358</v>
      </c>
      <c r="BC11" s="18">
        <f t="shared" si="23"/>
        <v>1480</v>
      </c>
      <c r="BD11" s="18">
        <f t="shared" si="11"/>
        <v>15991.1999999934</v>
      </c>
      <c r="BE11" s="18">
        <f t="shared" si="12"/>
        <v>42199.9999999935</v>
      </c>
      <c r="BF11" s="18">
        <f t="shared" si="24"/>
        <v>49.6999999999971</v>
      </c>
      <c r="BG11" s="21">
        <f t="shared" si="13"/>
        <v>0.306815372758819</v>
      </c>
      <c r="BH11" s="21">
        <f t="shared" si="14"/>
        <v>0.0408660627299323</v>
      </c>
      <c r="BI11" s="21">
        <f t="shared" si="15"/>
        <v>0</v>
      </c>
      <c r="BJ11" s="21">
        <f t="shared" si="16"/>
        <v>0.0356254816710532</v>
      </c>
      <c r="BK11" s="21">
        <f t="shared" ref="BK11:BO11" si="56">IF(OR($AD11=0),"",AZ11/$AD11)</f>
        <v>0.0668886594640169</v>
      </c>
      <c r="BL11" s="21">
        <f t="shared" si="56"/>
        <v>0.0363525323174012</v>
      </c>
      <c r="BM11" s="21">
        <f t="shared" si="56"/>
        <v>5.81640517069956e-5</v>
      </c>
      <c r="BN11" s="21">
        <f t="shared" si="56"/>
        <v>0.0107603495659508</v>
      </c>
      <c r="BO11" s="21">
        <f t="shared" si="56"/>
        <v>0.116264122958757</v>
      </c>
    </row>
    <row r="12" spans="1:67">
      <c r="A12" s="9">
        <f t="shared" si="26"/>
        <v>44205</v>
      </c>
      <c r="B12" s="10">
        <v>15645.3</v>
      </c>
      <c r="C12" s="8">
        <v>85130.7</v>
      </c>
      <c r="D12" s="8">
        <v>54262.5</v>
      </c>
      <c r="E12" s="8">
        <v>55437.1</v>
      </c>
      <c r="F12" s="8">
        <v>3273.7</v>
      </c>
      <c r="G12" s="8">
        <v>107714.5</v>
      </c>
      <c r="H12" s="8">
        <v>5596.3</v>
      </c>
      <c r="I12" s="8">
        <v>2566.3</v>
      </c>
      <c r="J12" s="8">
        <v>967</v>
      </c>
      <c r="K12" s="8">
        <v>56</v>
      </c>
      <c r="L12" s="8">
        <v>86652</v>
      </c>
      <c r="M12" s="8">
        <v>61122.9</v>
      </c>
      <c r="N12" s="8">
        <v>68680.3</v>
      </c>
      <c r="O12" s="8">
        <v>98446.5</v>
      </c>
      <c r="P12" s="8">
        <v>5120.9</v>
      </c>
      <c r="Q12" s="8">
        <v>6916.8</v>
      </c>
      <c r="R12" s="8">
        <v>4183.5</v>
      </c>
      <c r="S12" s="8">
        <v>4857.2</v>
      </c>
      <c r="T12" s="8">
        <v>5880.9</v>
      </c>
      <c r="U12" s="8">
        <v>16535.2</v>
      </c>
      <c r="V12" s="8">
        <v>48761.2</v>
      </c>
      <c r="W12" s="8">
        <v>48896</v>
      </c>
      <c r="X12" s="8">
        <v>521.1</v>
      </c>
      <c r="Y12" s="8">
        <v>501</v>
      </c>
      <c r="Z12" s="16">
        <f t="shared" si="0"/>
        <v>49918.1</v>
      </c>
      <c r="AA12" s="8">
        <v>54493.7</v>
      </c>
      <c r="AB12" s="14">
        <v>470.2</v>
      </c>
      <c r="AC12" s="7">
        <f t="shared" si="18"/>
        <v>54963.9</v>
      </c>
      <c r="AD12" s="17">
        <v>144271</v>
      </c>
      <c r="AE12" s="18">
        <f t="shared" ref="AE12:AI12" si="57">IF(OR(C13=""),"",(C13-C12)*80)</f>
        <v>0</v>
      </c>
      <c r="AF12" s="18">
        <f t="shared" si="57"/>
        <v>0</v>
      </c>
      <c r="AG12" s="18">
        <f t="shared" si="57"/>
        <v>3760</v>
      </c>
      <c r="AH12" s="18">
        <f t="shared" si="57"/>
        <v>4.00000000001455</v>
      </c>
      <c r="AI12" s="18">
        <f t="shared" si="57"/>
        <v>2760</v>
      </c>
      <c r="AJ12" s="18">
        <f t="shared" si="2"/>
        <v>6524.00000000001</v>
      </c>
      <c r="AK12" s="18">
        <f t="shared" ref="AK12:AN12" si="58">IF(OR(H13=""),"",(H13-H12)*80)</f>
        <v>0</v>
      </c>
      <c r="AL12" s="18">
        <f t="shared" si="58"/>
        <v>0</v>
      </c>
      <c r="AM12" s="18">
        <f t="shared" si="58"/>
        <v>0</v>
      </c>
      <c r="AN12" s="18">
        <f t="shared" si="58"/>
        <v>0</v>
      </c>
      <c r="AO12" s="18">
        <f t="shared" si="4"/>
        <v>0</v>
      </c>
      <c r="AP12" s="18">
        <f t="shared" ref="AP12:AS12" si="59">IF(OR(L13=""),"",(L13-L12)*100)</f>
        <v>2860.00000000058</v>
      </c>
      <c r="AQ12" s="18">
        <f t="shared" si="59"/>
        <v>9.99999999985448</v>
      </c>
      <c r="AR12" s="18">
        <f t="shared" si="59"/>
        <v>0</v>
      </c>
      <c r="AS12" s="18">
        <f t="shared" si="59"/>
        <v>2350</v>
      </c>
      <c r="AT12" s="18">
        <f t="shared" si="6"/>
        <v>5220.00000000044</v>
      </c>
      <c r="AU12" s="18">
        <f t="shared" ref="AU12:AY12" si="60">IF(OR(P13=""),"",(P13-P12)*1000)</f>
        <v>3700.00000000073</v>
      </c>
      <c r="AV12" s="18">
        <f t="shared" si="60"/>
        <v>0</v>
      </c>
      <c r="AW12" s="18">
        <f t="shared" si="60"/>
        <v>4500</v>
      </c>
      <c r="AX12" s="18">
        <f t="shared" si="60"/>
        <v>0</v>
      </c>
      <c r="AY12" s="18">
        <f t="shared" si="60"/>
        <v>0</v>
      </c>
      <c r="AZ12" s="18">
        <f t="shared" si="8"/>
        <v>8200.00000000073</v>
      </c>
      <c r="BA12" s="18">
        <f t="shared" si="9"/>
        <v>5400.00000000146</v>
      </c>
      <c r="BB12" s="18">
        <f t="shared" si="10"/>
        <v>8.00000000046566</v>
      </c>
      <c r="BC12" s="18">
        <f t="shared" si="23"/>
        <v>1528.00000000017</v>
      </c>
      <c r="BD12" s="18">
        <f t="shared" si="11"/>
        <v>17720.0000000062</v>
      </c>
      <c r="BE12" s="18">
        <f t="shared" si="12"/>
        <v>44600.0000000095</v>
      </c>
      <c r="BF12" s="18">
        <f t="shared" si="24"/>
        <v>297.700000000004</v>
      </c>
      <c r="BG12" s="21">
        <f t="shared" si="13"/>
        <v>0.309140437094145</v>
      </c>
      <c r="BH12" s="21">
        <f t="shared" si="14"/>
        <v>0.0452204531749278</v>
      </c>
      <c r="BI12" s="21">
        <f t="shared" si="15"/>
        <v>0</v>
      </c>
      <c r="BJ12" s="21">
        <f t="shared" si="16"/>
        <v>0.0361819076598931</v>
      </c>
      <c r="BK12" s="21">
        <f t="shared" ref="BK12:BO12" si="61">IF(OR($AD12=0),"",AZ12/$AD12)</f>
        <v>0.0568374794657327</v>
      </c>
      <c r="BL12" s="21">
        <f t="shared" si="61"/>
        <v>0.0374295596481722</v>
      </c>
      <c r="BM12" s="21">
        <f t="shared" si="61"/>
        <v>5.54511994819864e-5</v>
      </c>
      <c r="BN12" s="21">
        <f t="shared" si="61"/>
        <v>0.0105911791004441</v>
      </c>
      <c r="BO12" s="21">
        <f t="shared" si="61"/>
        <v>0.122824406845493</v>
      </c>
    </row>
    <row r="13" spans="1:67">
      <c r="A13" s="9">
        <f t="shared" si="26"/>
        <v>44206</v>
      </c>
      <c r="B13" s="10">
        <v>15649.76</v>
      </c>
      <c r="C13" s="8">
        <v>85130.7</v>
      </c>
      <c r="D13" s="8">
        <v>54262.5</v>
      </c>
      <c r="E13" s="8">
        <v>55484.1</v>
      </c>
      <c r="F13" s="8">
        <v>3273.75</v>
      </c>
      <c r="G13" s="8">
        <v>107749</v>
      </c>
      <c r="H13" s="8">
        <v>5596.3</v>
      </c>
      <c r="I13" s="8">
        <v>2566.3</v>
      </c>
      <c r="J13" s="8">
        <v>967</v>
      </c>
      <c r="K13" s="8">
        <v>56</v>
      </c>
      <c r="L13" s="8">
        <v>86680.6</v>
      </c>
      <c r="M13" s="8">
        <v>61123</v>
      </c>
      <c r="N13" s="8">
        <v>68680.3</v>
      </c>
      <c r="O13" s="8">
        <v>98470</v>
      </c>
      <c r="P13" s="8">
        <v>5124.6</v>
      </c>
      <c r="Q13" s="8">
        <v>6916.8</v>
      </c>
      <c r="R13" s="8">
        <v>4188</v>
      </c>
      <c r="S13" s="8">
        <v>4857.2</v>
      </c>
      <c r="T13" s="8">
        <v>5880.9</v>
      </c>
      <c r="U13" s="8">
        <v>16537.9</v>
      </c>
      <c r="V13" s="8">
        <v>48761.3</v>
      </c>
      <c r="W13" s="8">
        <v>48913.8</v>
      </c>
      <c r="X13" s="8">
        <v>532.9</v>
      </c>
      <c r="Y13" s="8">
        <v>509.6</v>
      </c>
      <c r="Z13" s="16">
        <f t="shared" si="0"/>
        <v>49956.3</v>
      </c>
      <c r="AA13" s="8">
        <v>54540.6</v>
      </c>
      <c r="AB13" s="14">
        <v>721</v>
      </c>
      <c r="AC13" s="7">
        <f t="shared" si="18"/>
        <v>55261.6</v>
      </c>
      <c r="AD13" s="17">
        <v>145387</v>
      </c>
      <c r="AE13" s="18">
        <f t="shared" ref="AE13:AI13" si="62">IF(OR(C14=""),"",(C14-C13)*80)</f>
        <v>0</v>
      </c>
      <c r="AF13" s="18">
        <f t="shared" si="62"/>
        <v>0</v>
      </c>
      <c r="AG13" s="18">
        <f t="shared" si="62"/>
        <v>3360</v>
      </c>
      <c r="AH13" s="18">
        <f t="shared" si="62"/>
        <v>4.79999999999563</v>
      </c>
      <c r="AI13" s="18">
        <f t="shared" si="62"/>
        <v>2688.00000000047</v>
      </c>
      <c r="AJ13" s="18">
        <f t="shared" si="2"/>
        <v>6052.80000000046</v>
      </c>
      <c r="AK13" s="18">
        <f t="shared" ref="AK13:AN13" si="63">IF(OR(H14=""),"",(H14-H13)*80)</f>
        <v>0</v>
      </c>
      <c r="AL13" s="18">
        <f t="shared" si="63"/>
        <v>0</v>
      </c>
      <c r="AM13" s="18">
        <f t="shared" si="63"/>
        <v>0</v>
      </c>
      <c r="AN13" s="18">
        <f t="shared" si="63"/>
        <v>0</v>
      </c>
      <c r="AO13" s="18">
        <f t="shared" si="4"/>
        <v>0</v>
      </c>
      <c r="AP13" s="18">
        <f t="shared" ref="AP13:AS13" si="64">IF(OR(L14=""),"",(L14-L13)*100)</f>
        <v>3019.99999999971</v>
      </c>
      <c r="AQ13" s="18">
        <f t="shared" si="64"/>
        <v>9.99999999985448</v>
      </c>
      <c r="AR13" s="18">
        <f t="shared" si="64"/>
        <v>139.999999999418</v>
      </c>
      <c r="AS13" s="18">
        <f t="shared" si="64"/>
        <v>2430.00000000029</v>
      </c>
      <c r="AT13" s="18">
        <f t="shared" si="6"/>
        <v>5599.99999999927</v>
      </c>
      <c r="AU13" s="18">
        <f t="shared" ref="AU13:AY13" si="65">IF(OR(P14=""),"",(P14-P13)*1000)</f>
        <v>3500</v>
      </c>
      <c r="AV13" s="18">
        <f t="shared" si="65"/>
        <v>0</v>
      </c>
      <c r="AW13" s="18">
        <f t="shared" si="65"/>
        <v>4399.99999999964</v>
      </c>
      <c r="AX13" s="18">
        <f t="shared" si="65"/>
        <v>0</v>
      </c>
      <c r="AY13" s="18">
        <f t="shared" si="65"/>
        <v>0</v>
      </c>
      <c r="AZ13" s="18">
        <f t="shared" si="8"/>
        <v>7899.99999999964</v>
      </c>
      <c r="BA13" s="18">
        <f t="shared" si="9"/>
        <v>6799.99999999563</v>
      </c>
      <c r="BB13" s="18">
        <f t="shared" si="10"/>
        <v>7.99999999988358</v>
      </c>
      <c r="BC13" s="18">
        <f t="shared" si="23"/>
        <v>1539.99999999971</v>
      </c>
      <c r="BD13" s="18">
        <f t="shared" si="11"/>
        <v>16699.1999999967</v>
      </c>
      <c r="BE13" s="18">
        <f t="shared" si="12"/>
        <v>44599.9999999913</v>
      </c>
      <c r="BF13" s="18">
        <f t="shared" si="24"/>
        <v>69.7000000000044</v>
      </c>
      <c r="BG13" s="21">
        <f t="shared" si="13"/>
        <v>0.306767455136919</v>
      </c>
      <c r="BH13" s="21">
        <f t="shared" si="14"/>
        <v>0.0416323330146468</v>
      </c>
      <c r="BI13" s="21">
        <f t="shared" si="15"/>
        <v>0</v>
      </c>
      <c r="BJ13" s="21">
        <f t="shared" si="16"/>
        <v>0.0385178867436516</v>
      </c>
      <c r="BK13" s="21">
        <f t="shared" ref="BK13:BO13" si="66">IF(OR($AD13=0),"",AZ13/$AD13)</f>
        <v>0.0543377330847988</v>
      </c>
      <c r="BL13" s="21">
        <f t="shared" si="66"/>
        <v>0.0467717196172673</v>
      </c>
      <c r="BM13" s="21">
        <f t="shared" si="66"/>
        <v>5.50255524901373e-5</v>
      </c>
      <c r="BN13" s="21">
        <f t="shared" si="66"/>
        <v>0.0105924188545036</v>
      </c>
      <c r="BO13" s="21">
        <f t="shared" si="66"/>
        <v>0.114860338269561</v>
      </c>
    </row>
    <row r="14" spans="1:67">
      <c r="A14" s="9">
        <f t="shared" si="26"/>
        <v>44207</v>
      </c>
      <c r="B14" s="10">
        <v>15654.22</v>
      </c>
      <c r="C14" s="8">
        <v>85130.7</v>
      </c>
      <c r="D14" s="8">
        <v>54262.5</v>
      </c>
      <c r="E14" s="8">
        <v>55526.1</v>
      </c>
      <c r="F14" s="8">
        <v>3273.81</v>
      </c>
      <c r="G14" s="8">
        <v>107782.6</v>
      </c>
      <c r="H14" s="8">
        <v>5596.3</v>
      </c>
      <c r="I14" s="8">
        <v>2566.3</v>
      </c>
      <c r="J14" s="8">
        <v>967</v>
      </c>
      <c r="K14" s="8">
        <v>56</v>
      </c>
      <c r="L14" s="8">
        <v>86710.8</v>
      </c>
      <c r="M14" s="8">
        <v>61123.1</v>
      </c>
      <c r="N14" s="8">
        <v>68681.7</v>
      </c>
      <c r="O14" s="8">
        <v>98494.3</v>
      </c>
      <c r="P14" s="8">
        <v>5128.1</v>
      </c>
      <c r="Q14" s="8">
        <v>6916.8</v>
      </c>
      <c r="R14" s="8">
        <v>4192.4</v>
      </c>
      <c r="S14" s="8">
        <v>4857.2</v>
      </c>
      <c r="T14" s="8">
        <v>5880.9</v>
      </c>
      <c r="U14" s="8">
        <v>16541.3</v>
      </c>
      <c r="V14" s="8">
        <v>48761.4</v>
      </c>
      <c r="W14" s="8">
        <v>48931.6</v>
      </c>
      <c r="X14" s="8">
        <v>544.7</v>
      </c>
      <c r="Y14" s="8">
        <v>518.5</v>
      </c>
      <c r="Z14" s="16">
        <f t="shared" si="0"/>
        <v>49994.8</v>
      </c>
      <c r="AA14" s="8">
        <v>54590.3</v>
      </c>
      <c r="AB14" s="14">
        <v>741</v>
      </c>
      <c r="AC14" s="7">
        <f t="shared" si="18"/>
        <v>55331.3</v>
      </c>
      <c r="AD14" s="17">
        <v>140326</v>
      </c>
      <c r="AE14" s="18">
        <f t="shared" ref="AE14:AI14" si="67">IF(OR(C15=""),"",(C15-C14)*80)</f>
        <v>0</v>
      </c>
      <c r="AF14" s="18">
        <f t="shared" si="67"/>
        <v>0</v>
      </c>
      <c r="AG14" s="18">
        <f t="shared" si="67"/>
        <v>2496.00000000035</v>
      </c>
      <c r="AH14" s="18">
        <f t="shared" si="67"/>
        <v>-0.799999999981083</v>
      </c>
      <c r="AI14" s="18">
        <f t="shared" si="67"/>
        <v>2607.9999999993</v>
      </c>
      <c r="AJ14" s="18">
        <f t="shared" si="2"/>
        <v>5103.19999999967</v>
      </c>
      <c r="AK14" s="18">
        <f t="shared" ref="AK14:AN14" si="68">IF(OR(H15=""),"",(H15-H14)*80)</f>
        <v>0</v>
      </c>
      <c r="AL14" s="18">
        <f t="shared" si="68"/>
        <v>0</v>
      </c>
      <c r="AM14" s="18">
        <f t="shared" si="68"/>
        <v>0</v>
      </c>
      <c r="AN14" s="18">
        <f t="shared" si="68"/>
        <v>0</v>
      </c>
      <c r="AO14" s="18">
        <f t="shared" si="4"/>
        <v>0</v>
      </c>
      <c r="AP14" s="18">
        <f t="shared" ref="AP14:AS14" si="69">IF(OR(L15=""),"",(L15-L14)*100)</f>
        <v>2230.00000000029</v>
      </c>
      <c r="AQ14" s="18">
        <f t="shared" si="69"/>
        <v>0</v>
      </c>
      <c r="AR14" s="18">
        <f t="shared" si="69"/>
        <v>569.999999999709</v>
      </c>
      <c r="AS14" s="18">
        <f t="shared" si="69"/>
        <v>2309.99999999913</v>
      </c>
      <c r="AT14" s="18">
        <f t="shared" si="6"/>
        <v>5109.99999999913</v>
      </c>
      <c r="AU14" s="18">
        <f t="shared" ref="AU14:AY14" si="70">IF(OR(P15=""),"",(P15-P14)*1000)</f>
        <v>3599.99999999945</v>
      </c>
      <c r="AV14" s="18">
        <f t="shared" si="70"/>
        <v>0</v>
      </c>
      <c r="AW14" s="18">
        <f t="shared" si="70"/>
        <v>4400.00000000055</v>
      </c>
      <c r="AX14" s="18">
        <f t="shared" si="70"/>
        <v>0</v>
      </c>
      <c r="AY14" s="18">
        <f t="shared" si="70"/>
        <v>0</v>
      </c>
      <c r="AZ14" s="18">
        <f t="shared" si="8"/>
        <v>8000</v>
      </c>
      <c r="BA14" s="18">
        <f t="shared" si="9"/>
        <v>6800.00000000291</v>
      </c>
      <c r="BB14" s="18">
        <f t="shared" si="10"/>
        <v>0</v>
      </c>
      <c r="BC14" s="18">
        <f t="shared" si="23"/>
        <v>1564.00000000023</v>
      </c>
      <c r="BD14" s="18">
        <f t="shared" si="11"/>
        <v>19322.7999999995</v>
      </c>
      <c r="BE14" s="18">
        <f t="shared" si="12"/>
        <v>45900.0000000015</v>
      </c>
      <c r="BF14" s="18">
        <f t="shared" si="24"/>
        <v>84.8999999999942</v>
      </c>
      <c r="BG14" s="21">
        <f t="shared" si="13"/>
        <v>0.327095477673428</v>
      </c>
      <c r="BH14" s="21">
        <f t="shared" si="14"/>
        <v>0.0363667460057272</v>
      </c>
      <c r="BI14" s="21">
        <f t="shared" si="15"/>
        <v>0</v>
      </c>
      <c r="BJ14" s="21">
        <f t="shared" si="16"/>
        <v>0.0364152045950082</v>
      </c>
      <c r="BK14" s="21">
        <f t="shared" ref="BK14:BO14" si="71">IF(OR($AD14=0),"",AZ14/$AD14)</f>
        <v>0.0570101050411185</v>
      </c>
      <c r="BL14" s="21">
        <f t="shared" si="71"/>
        <v>0.0484585892849715</v>
      </c>
      <c r="BM14" s="21">
        <f t="shared" si="71"/>
        <v>0</v>
      </c>
      <c r="BN14" s="21">
        <f t="shared" si="71"/>
        <v>0.0111454755355403</v>
      </c>
      <c r="BO14" s="21">
        <f t="shared" si="71"/>
        <v>0.137699357211062</v>
      </c>
    </row>
    <row r="15" spans="1:67">
      <c r="A15" s="9">
        <f t="shared" si="26"/>
        <v>44208</v>
      </c>
      <c r="B15" s="10">
        <v>15658.81</v>
      </c>
      <c r="C15" s="8">
        <v>85130.7</v>
      </c>
      <c r="D15" s="8">
        <v>54262.5</v>
      </c>
      <c r="E15" s="8">
        <v>55557.3</v>
      </c>
      <c r="F15" s="8">
        <v>3273.8</v>
      </c>
      <c r="G15" s="8">
        <v>107815.2</v>
      </c>
      <c r="H15" s="8">
        <v>5596.3</v>
      </c>
      <c r="I15" s="8">
        <v>2566.3</v>
      </c>
      <c r="J15" s="8">
        <v>967</v>
      </c>
      <c r="K15" s="8">
        <v>56</v>
      </c>
      <c r="L15" s="8">
        <v>86733.1</v>
      </c>
      <c r="M15" s="8">
        <v>61123.1</v>
      </c>
      <c r="N15" s="8">
        <v>68687.4</v>
      </c>
      <c r="O15" s="8">
        <v>98517.4</v>
      </c>
      <c r="P15" s="8">
        <v>5131.7</v>
      </c>
      <c r="Q15" s="8">
        <v>6916.8</v>
      </c>
      <c r="R15" s="8">
        <v>4196.8</v>
      </c>
      <c r="S15" s="8">
        <v>4857.2</v>
      </c>
      <c r="T15" s="8">
        <v>5880.9</v>
      </c>
      <c r="U15" s="8">
        <v>16544.7</v>
      </c>
      <c r="V15" s="8">
        <v>48761.4</v>
      </c>
      <c r="W15" s="8">
        <v>48949.6</v>
      </c>
      <c r="X15" s="8">
        <v>556.5</v>
      </c>
      <c r="Y15" s="8">
        <v>527.8</v>
      </c>
      <c r="Z15" s="16">
        <f t="shared" si="0"/>
        <v>50033.9</v>
      </c>
      <c r="AA15" s="8">
        <v>54640</v>
      </c>
      <c r="AB15" s="14">
        <v>776.2</v>
      </c>
      <c r="AC15" s="7">
        <f t="shared" si="18"/>
        <v>55416.2</v>
      </c>
      <c r="AD15" s="17">
        <v>141186</v>
      </c>
      <c r="AE15" s="18">
        <f t="shared" ref="AE15:AI15" si="72">IF(OR(C16=""),"",(C16-C15)*80)</f>
        <v>0</v>
      </c>
      <c r="AF15" s="18">
        <f t="shared" si="72"/>
        <v>2912.00000000012</v>
      </c>
      <c r="AG15" s="18">
        <f t="shared" si="72"/>
        <v>2143.99999999965</v>
      </c>
      <c r="AH15" s="18">
        <f t="shared" si="72"/>
        <v>9.59999999999127</v>
      </c>
      <c r="AI15" s="18">
        <f t="shared" si="72"/>
        <v>2432.0000000007</v>
      </c>
      <c r="AJ15" s="18">
        <f t="shared" si="2"/>
        <v>7497.60000000046</v>
      </c>
      <c r="AK15" s="18">
        <f t="shared" ref="AK15:AN15" si="73">IF(OR(H16=""),"",(H16-H15)*80)</f>
        <v>0</v>
      </c>
      <c r="AL15" s="18">
        <f t="shared" si="73"/>
        <v>0</v>
      </c>
      <c r="AM15" s="18">
        <f t="shared" si="73"/>
        <v>0</v>
      </c>
      <c r="AN15" s="18">
        <f t="shared" si="73"/>
        <v>0</v>
      </c>
      <c r="AO15" s="18">
        <f t="shared" si="4"/>
        <v>0</v>
      </c>
      <c r="AP15" s="18">
        <f t="shared" ref="AP15:AS15" si="74">IF(OR(L16=""),"",(L16-L15)*100)</f>
        <v>2429.99999999884</v>
      </c>
      <c r="AQ15" s="18">
        <f t="shared" si="74"/>
        <v>0</v>
      </c>
      <c r="AR15" s="18">
        <f t="shared" si="74"/>
        <v>2150</v>
      </c>
      <c r="AS15" s="18">
        <f t="shared" si="74"/>
        <v>760.000000000582</v>
      </c>
      <c r="AT15" s="18">
        <f t="shared" si="6"/>
        <v>5339.99999999942</v>
      </c>
      <c r="AU15" s="18">
        <f t="shared" ref="AU15:AY15" si="75">IF(OR(P16=""),"",(P16-P15)*1000)</f>
        <v>3900.00000000055</v>
      </c>
      <c r="AV15" s="18">
        <f t="shared" si="75"/>
        <v>0</v>
      </c>
      <c r="AW15" s="18">
        <f t="shared" si="75"/>
        <v>4300.00000000018</v>
      </c>
      <c r="AX15" s="18">
        <f t="shared" si="75"/>
        <v>0</v>
      </c>
      <c r="AY15" s="18">
        <f t="shared" si="75"/>
        <v>300.000000000182</v>
      </c>
      <c r="AZ15" s="18">
        <f t="shared" si="8"/>
        <v>8500.00000000091</v>
      </c>
      <c r="BA15" s="18">
        <f t="shared" si="9"/>
        <v>7000</v>
      </c>
      <c r="BB15" s="18">
        <f t="shared" si="10"/>
        <v>15.9999999997672</v>
      </c>
      <c r="BC15" s="18">
        <f t="shared" si="23"/>
        <v>1564.00000000023</v>
      </c>
      <c r="BD15" s="18">
        <f t="shared" si="11"/>
        <v>16982.4000000043</v>
      </c>
      <c r="BE15" s="18">
        <f t="shared" si="12"/>
        <v>46900.0000000051</v>
      </c>
      <c r="BF15" s="18">
        <f t="shared" si="24"/>
        <v>51.8000000000029</v>
      </c>
      <c r="BG15" s="21">
        <f t="shared" si="13"/>
        <v>0.332185910784391</v>
      </c>
      <c r="BH15" s="21">
        <f t="shared" si="14"/>
        <v>0.0531044154519602</v>
      </c>
      <c r="BI15" s="21">
        <f t="shared" si="15"/>
        <v>0</v>
      </c>
      <c r="BJ15" s="21">
        <f t="shared" si="16"/>
        <v>0.0378224469848244</v>
      </c>
      <c r="BK15" s="21">
        <f t="shared" ref="BK15:BO15" si="76">IF(OR($AD15=0),"",AZ15/$AD15)</f>
        <v>0.0602042695451455</v>
      </c>
      <c r="BL15" s="21">
        <f t="shared" si="76"/>
        <v>0.0495799866842321</v>
      </c>
      <c r="BM15" s="21">
        <f t="shared" si="76"/>
        <v>0.000113325683848024</v>
      </c>
      <c r="BN15" s="21">
        <f t="shared" si="76"/>
        <v>0.0110775855963072</v>
      </c>
      <c r="BO15" s="21">
        <f t="shared" si="76"/>
        <v>0.120283880838074</v>
      </c>
    </row>
    <row r="16" spans="1:67">
      <c r="A16" s="9">
        <f t="shared" si="26"/>
        <v>44209</v>
      </c>
      <c r="B16" s="10">
        <v>15663.5</v>
      </c>
      <c r="C16" s="8">
        <v>85130.7</v>
      </c>
      <c r="D16" s="8">
        <v>54298.9</v>
      </c>
      <c r="E16" s="8">
        <v>55584.1</v>
      </c>
      <c r="F16" s="8">
        <v>3273.92</v>
      </c>
      <c r="G16" s="8">
        <v>107845.6</v>
      </c>
      <c r="H16" s="8">
        <v>5596.3</v>
      </c>
      <c r="I16" s="8">
        <v>2566.3</v>
      </c>
      <c r="J16" s="8">
        <v>967</v>
      </c>
      <c r="K16" s="8">
        <v>56</v>
      </c>
      <c r="L16" s="8">
        <v>86757.4</v>
      </c>
      <c r="M16" s="8">
        <v>61123.1</v>
      </c>
      <c r="N16" s="8">
        <v>68708.9</v>
      </c>
      <c r="O16" s="8">
        <v>98525</v>
      </c>
      <c r="P16" s="8">
        <v>5135.6</v>
      </c>
      <c r="Q16" s="8">
        <v>6916.8</v>
      </c>
      <c r="R16" s="8">
        <v>4201.1</v>
      </c>
      <c r="S16" s="8">
        <v>4857.2</v>
      </c>
      <c r="T16" s="8">
        <v>5881.2</v>
      </c>
      <c r="U16" s="8">
        <v>16548.2</v>
      </c>
      <c r="V16" s="8">
        <v>48761.6</v>
      </c>
      <c r="W16" s="8">
        <v>48967.3</v>
      </c>
      <c r="X16" s="8">
        <v>568.3</v>
      </c>
      <c r="Y16" s="8">
        <v>537.4</v>
      </c>
      <c r="Z16" s="16">
        <f t="shared" si="0"/>
        <v>50073</v>
      </c>
      <c r="AA16" s="8">
        <v>54689.7</v>
      </c>
      <c r="AB16" s="14">
        <v>778.3</v>
      </c>
      <c r="AC16" s="7">
        <f t="shared" si="18"/>
        <v>55468</v>
      </c>
      <c r="AD16" s="17">
        <v>143369</v>
      </c>
      <c r="AE16" s="18">
        <f t="shared" ref="AE16:AI16" si="77">IF(OR(C17=""),"",(C17-C16)*80)</f>
        <v>0</v>
      </c>
      <c r="AF16" s="18">
        <f t="shared" si="77"/>
        <v>1447.99999999988</v>
      </c>
      <c r="AG16" s="18">
        <f t="shared" si="77"/>
        <v>2480</v>
      </c>
      <c r="AH16" s="18">
        <f t="shared" si="77"/>
        <v>4.79999999999563</v>
      </c>
      <c r="AI16" s="18">
        <f t="shared" si="77"/>
        <v>2703.99999999907</v>
      </c>
      <c r="AJ16" s="18">
        <f t="shared" si="2"/>
        <v>6636.79999999895</v>
      </c>
      <c r="AK16" s="18">
        <f t="shared" ref="AK16:AN16" si="78">IF(OR(H17=""),"",(H17-H16)*80)</f>
        <v>0</v>
      </c>
      <c r="AL16" s="18">
        <f t="shared" si="78"/>
        <v>0</v>
      </c>
      <c r="AM16" s="18">
        <f t="shared" si="78"/>
        <v>0</v>
      </c>
      <c r="AN16" s="18">
        <f t="shared" si="78"/>
        <v>0</v>
      </c>
      <c r="AO16" s="18">
        <f t="shared" si="4"/>
        <v>0</v>
      </c>
      <c r="AP16" s="18">
        <f t="shared" ref="AP16:AS16" si="79">IF(OR(L17=""),"",(L17-L16)*100)</f>
        <v>2010.00000000058</v>
      </c>
      <c r="AQ16" s="18">
        <f t="shared" si="79"/>
        <v>9.99999999985448</v>
      </c>
      <c r="AR16" s="18">
        <f t="shared" si="79"/>
        <v>2910.00000000058</v>
      </c>
      <c r="AS16" s="18">
        <f t="shared" si="79"/>
        <v>869.999999999709</v>
      </c>
      <c r="AT16" s="18">
        <f t="shared" si="6"/>
        <v>5800.00000000073</v>
      </c>
      <c r="AU16" s="18">
        <f t="shared" ref="AU16:AY16" si="80">IF(OR(P17=""),"",(P17-P16)*1000)</f>
        <v>3699.99999999982</v>
      </c>
      <c r="AV16" s="18">
        <f t="shared" si="80"/>
        <v>0</v>
      </c>
      <c r="AW16" s="18">
        <f t="shared" si="80"/>
        <v>199.999999999818</v>
      </c>
      <c r="AX16" s="18">
        <f t="shared" si="80"/>
        <v>0</v>
      </c>
      <c r="AY16" s="18">
        <f t="shared" si="80"/>
        <v>8699.99999999982</v>
      </c>
      <c r="AZ16" s="18">
        <f t="shared" si="8"/>
        <v>12599.9999999995</v>
      </c>
      <c r="BA16" s="18">
        <f t="shared" si="9"/>
        <v>7000</v>
      </c>
      <c r="BB16" s="18">
        <f t="shared" si="10"/>
        <v>392.000000000116</v>
      </c>
      <c r="BC16" s="18">
        <f t="shared" si="23"/>
        <v>1523.99999999936</v>
      </c>
      <c r="BD16" s="18">
        <f t="shared" si="11"/>
        <v>11147.2000000036</v>
      </c>
      <c r="BE16" s="18">
        <f t="shared" si="12"/>
        <v>45100.0000000022</v>
      </c>
      <c r="BF16" s="18">
        <f t="shared" si="24"/>
        <v>67.9000000000015</v>
      </c>
      <c r="BG16" s="21">
        <f t="shared" si="13"/>
        <v>0.3145728853518</v>
      </c>
      <c r="BH16" s="21">
        <f t="shared" si="14"/>
        <v>0.0462917367073701</v>
      </c>
      <c r="BI16" s="21">
        <f t="shared" si="15"/>
        <v>0</v>
      </c>
      <c r="BJ16" s="21">
        <f t="shared" si="16"/>
        <v>0.0404550495574408</v>
      </c>
      <c r="BK16" s="21">
        <f t="shared" ref="BK16:BO16" si="81">IF(OR($AD16=0),"",AZ16/$AD16)</f>
        <v>0.0878851076592531</v>
      </c>
      <c r="BL16" s="21">
        <f t="shared" si="81"/>
        <v>0.0488250598106983</v>
      </c>
      <c r="BM16" s="21">
        <f t="shared" si="81"/>
        <v>0.00273420334939991</v>
      </c>
      <c r="BN16" s="21">
        <f t="shared" si="81"/>
        <v>0.010629913021639</v>
      </c>
      <c r="BO16" s="21">
        <f t="shared" si="81"/>
        <v>0.0777518152459986</v>
      </c>
    </row>
    <row r="17" spans="1:67">
      <c r="A17" s="9">
        <f t="shared" si="26"/>
        <v>44210</v>
      </c>
      <c r="B17" s="10">
        <v>15668.01</v>
      </c>
      <c r="C17" s="8">
        <v>85130.7</v>
      </c>
      <c r="D17" s="8">
        <v>54317</v>
      </c>
      <c r="E17" s="8">
        <v>55615.1</v>
      </c>
      <c r="F17" s="8">
        <v>3273.98</v>
      </c>
      <c r="G17" s="8">
        <v>107879.4</v>
      </c>
      <c r="H17" s="8">
        <v>5596.3</v>
      </c>
      <c r="I17" s="8">
        <v>2566.3</v>
      </c>
      <c r="J17" s="8">
        <v>967</v>
      </c>
      <c r="K17" s="8">
        <v>56</v>
      </c>
      <c r="L17" s="8">
        <v>86777.5</v>
      </c>
      <c r="M17" s="8">
        <v>61123.2</v>
      </c>
      <c r="N17" s="8">
        <v>68738</v>
      </c>
      <c r="O17" s="8">
        <v>98533.7</v>
      </c>
      <c r="P17" s="8">
        <v>5139.3</v>
      </c>
      <c r="Q17" s="8">
        <v>6916.8</v>
      </c>
      <c r="R17" s="8">
        <v>4201.3</v>
      </c>
      <c r="S17" s="8">
        <v>4857.2</v>
      </c>
      <c r="T17" s="8">
        <v>5889.9</v>
      </c>
      <c r="U17" s="8">
        <v>16551.7</v>
      </c>
      <c r="V17" s="8">
        <v>48766.5</v>
      </c>
      <c r="W17" s="8">
        <v>48984.7</v>
      </c>
      <c r="X17" s="8">
        <v>579.7</v>
      </c>
      <c r="Y17" s="8">
        <v>546.7</v>
      </c>
      <c r="Z17" s="16">
        <f t="shared" si="0"/>
        <v>50111.1</v>
      </c>
      <c r="AA17" s="8">
        <v>54734.9</v>
      </c>
      <c r="AB17" s="14">
        <v>801</v>
      </c>
      <c r="AC17" s="7">
        <f t="shared" si="18"/>
        <v>55535.9</v>
      </c>
      <c r="AD17" s="17">
        <v>144625</v>
      </c>
      <c r="AE17" s="18">
        <f t="shared" ref="AE17:AI17" si="82">IF(OR(C18=""),"",(C18-C17)*80)</f>
        <v>0</v>
      </c>
      <c r="AF17" s="18">
        <f t="shared" si="82"/>
        <v>3112.00000000012</v>
      </c>
      <c r="AG17" s="18">
        <f t="shared" si="82"/>
        <v>920</v>
      </c>
      <c r="AH17" s="18">
        <f t="shared" si="82"/>
        <v>4.00000000001455</v>
      </c>
      <c r="AI17" s="18">
        <f t="shared" si="82"/>
        <v>2072.0000000007</v>
      </c>
      <c r="AJ17" s="18">
        <f t="shared" si="2"/>
        <v>6108.00000000083</v>
      </c>
      <c r="AK17" s="18">
        <f t="shared" ref="AK17:AN17" si="83">IF(OR(H18=""),"",(H18-H17)*80)</f>
        <v>0</v>
      </c>
      <c r="AL17" s="18">
        <f t="shared" si="83"/>
        <v>0</v>
      </c>
      <c r="AM17" s="18">
        <f t="shared" si="83"/>
        <v>0</v>
      </c>
      <c r="AN17" s="18">
        <f t="shared" si="83"/>
        <v>0</v>
      </c>
      <c r="AO17" s="18">
        <f t="shared" si="4"/>
        <v>0</v>
      </c>
      <c r="AP17" s="18">
        <f t="shared" ref="AP17:AS17" si="84">IF(OR(L18=""),"",(L18-L17)*100)</f>
        <v>2110.00000000058</v>
      </c>
      <c r="AQ17" s="18">
        <f t="shared" si="84"/>
        <v>20.0000000004366</v>
      </c>
      <c r="AR17" s="18">
        <f t="shared" si="84"/>
        <v>1810.00000000058</v>
      </c>
      <c r="AS17" s="18">
        <f t="shared" si="84"/>
        <v>910.000000000582</v>
      </c>
      <c r="AT17" s="18">
        <f t="shared" si="6"/>
        <v>4850.00000000218</v>
      </c>
      <c r="AU17" s="18">
        <f t="shared" ref="AU17:AY17" si="85">IF(OR(P18=""),"",(P18-P17)*1000)</f>
        <v>3699.99999999982</v>
      </c>
      <c r="AV17" s="18">
        <f t="shared" si="85"/>
        <v>6500</v>
      </c>
      <c r="AW17" s="18">
        <f t="shared" si="85"/>
        <v>0</v>
      </c>
      <c r="AX17" s="18">
        <f t="shared" si="85"/>
        <v>0</v>
      </c>
      <c r="AY17" s="18">
        <f t="shared" si="85"/>
        <v>2600.00000000036</v>
      </c>
      <c r="AZ17" s="18">
        <f t="shared" si="8"/>
        <v>12800.0000000002</v>
      </c>
      <c r="BA17" s="18">
        <f t="shared" si="9"/>
        <v>7000</v>
      </c>
      <c r="BB17" s="18">
        <f t="shared" si="10"/>
        <v>632.000000000116</v>
      </c>
      <c r="BC17" s="18">
        <f t="shared" si="23"/>
        <v>1524.00000000023</v>
      </c>
      <c r="BD17" s="18">
        <f t="shared" si="11"/>
        <v>11885.9999999921</v>
      </c>
      <c r="BE17" s="18">
        <f t="shared" si="12"/>
        <v>44799.9999999956</v>
      </c>
      <c r="BF17" s="18">
        <f t="shared" si="24"/>
        <v>67.2999999999956</v>
      </c>
      <c r="BG17" s="21">
        <f t="shared" si="13"/>
        <v>0.309766637856495</v>
      </c>
      <c r="BH17" s="21">
        <f t="shared" si="14"/>
        <v>0.0422333621434802</v>
      </c>
      <c r="BI17" s="21">
        <f t="shared" si="15"/>
        <v>0</v>
      </c>
      <c r="BJ17" s="21">
        <f t="shared" si="16"/>
        <v>0.0335350043215363</v>
      </c>
      <c r="BK17" s="21">
        <f t="shared" ref="BK17:BO17" si="86">IF(OR($AD17=0),"",AZ17/$AD17)</f>
        <v>0.0885047536732943</v>
      </c>
      <c r="BL17" s="21">
        <f t="shared" si="86"/>
        <v>0.0484010371650821</v>
      </c>
      <c r="BM17" s="21">
        <f t="shared" si="86"/>
        <v>0.00436992221261965</v>
      </c>
      <c r="BN17" s="21">
        <f t="shared" si="86"/>
        <v>0.0105375972342281</v>
      </c>
      <c r="BO17" s="21">
        <f t="shared" si="86"/>
        <v>0.0821849611062547</v>
      </c>
    </row>
    <row r="18" spans="1:67">
      <c r="A18" s="9">
        <f t="shared" si="26"/>
        <v>44211</v>
      </c>
      <c r="B18" s="10">
        <v>15672.49</v>
      </c>
      <c r="C18" s="8">
        <v>85130.7</v>
      </c>
      <c r="D18" s="8">
        <v>54355.9</v>
      </c>
      <c r="E18" s="8">
        <v>55626.6</v>
      </c>
      <c r="F18" s="8">
        <v>3274.03</v>
      </c>
      <c r="G18" s="8">
        <v>107905.3</v>
      </c>
      <c r="H18" s="8">
        <v>5596.3</v>
      </c>
      <c r="I18" s="8">
        <v>2566.3</v>
      </c>
      <c r="J18" s="8">
        <v>967</v>
      </c>
      <c r="K18" s="8">
        <v>56</v>
      </c>
      <c r="L18" s="8">
        <v>86798.6</v>
      </c>
      <c r="M18" s="8">
        <v>61123.4</v>
      </c>
      <c r="N18" s="8">
        <v>68756.1</v>
      </c>
      <c r="O18" s="8">
        <v>98542.8</v>
      </c>
      <c r="P18" s="8">
        <v>5143</v>
      </c>
      <c r="Q18" s="8">
        <v>6923.3</v>
      </c>
      <c r="R18" s="8">
        <v>4201.3</v>
      </c>
      <c r="S18" s="8">
        <v>4857.2</v>
      </c>
      <c r="T18" s="8">
        <v>5892.5</v>
      </c>
      <c r="U18" s="8">
        <v>16555.2</v>
      </c>
      <c r="V18" s="8">
        <v>48774.4</v>
      </c>
      <c r="W18" s="8">
        <v>49002</v>
      </c>
      <c r="X18" s="8">
        <v>591.2</v>
      </c>
      <c r="Y18" s="8">
        <v>556</v>
      </c>
      <c r="Z18" s="16">
        <f t="shared" si="0"/>
        <v>50149.2</v>
      </c>
      <c r="AA18" s="8">
        <v>54782.2</v>
      </c>
      <c r="AB18" s="14">
        <v>821</v>
      </c>
      <c r="AC18" s="7">
        <f t="shared" si="18"/>
        <v>55603.2</v>
      </c>
      <c r="AD18" s="17">
        <v>145784</v>
      </c>
      <c r="AE18" s="18">
        <f t="shared" ref="AE18:AI18" si="87">IF(OR(C19=""),"",(C19-C18)*80)</f>
        <v>0</v>
      </c>
      <c r="AF18" s="18">
        <f t="shared" si="87"/>
        <v>2920</v>
      </c>
      <c r="AG18" s="18">
        <f t="shared" si="87"/>
        <v>1712.00000000012</v>
      </c>
      <c r="AH18" s="18">
        <f t="shared" si="87"/>
        <v>4.79999999999563</v>
      </c>
      <c r="AI18" s="18">
        <f t="shared" si="87"/>
        <v>1800</v>
      </c>
      <c r="AJ18" s="18">
        <f t="shared" si="2"/>
        <v>6436.80000000011</v>
      </c>
      <c r="AK18" s="18">
        <f t="shared" ref="AK18:AN18" si="88">IF(OR(H19=""),"",(H19-H18)*80)</f>
        <v>0</v>
      </c>
      <c r="AL18" s="18">
        <f t="shared" si="88"/>
        <v>0</v>
      </c>
      <c r="AM18" s="18">
        <f t="shared" si="88"/>
        <v>0</v>
      </c>
      <c r="AN18" s="18">
        <f t="shared" si="88"/>
        <v>0</v>
      </c>
      <c r="AO18" s="18">
        <f t="shared" si="4"/>
        <v>0</v>
      </c>
      <c r="AP18" s="18">
        <f t="shared" ref="AP18:AS18" si="89">IF(OR(L19=""),"",(L19-L18)*100)</f>
        <v>1459.99999999913</v>
      </c>
      <c r="AQ18" s="18">
        <f t="shared" si="89"/>
        <v>0</v>
      </c>
      <c r="AR18" s="18">
        <f t="shared" si="89"/>
        <v>2400</v>
      </c>
      <c r="AS18" s="18">
        <f t="shared" si="89"/>
        <v>1609.99999999913</v>
      </c>
      <c r="AT18" s="18">
        <f t="shared" si="6"/>
        <v>5469.99999999825</v>
      </c>
      <c r="AU18" s="18">
        <f t="shared" ref="AU18:AY18" si="90">IF(OR(P19=""),"",(P19-P18)*1000)</f>
        <v>0</v>
      </c>
      <c r="AV18" s="18">
        <f t="shared" si="90"/>
        <v>7800.00000000018</v>
      </c>
      <c r="AW18" s="18">
        <f t="shared" si="90"/>
        <v>0</v>
      </c>
      <c r="AX18" s="18">
        <f t="shared" si="90"/>
        <v>0</v>
      </c>
      <c r="AY18" s="18">
        <f t="shared" si="90"/>
        <v>9500</v>
      </c>
      <c r="AZ18" s="18">
        <f t="shared" si="8"/>
        <v>17300.0000000002</v>
      </c>
      <c r="BA18" s="18">
        <f t="shared" si="9"/>
        <v>7599.99999999854</v>
      </c>
      <c r="BB18" s="18">
        <f t="shared" si="10"/>
        <v>632.000000000116</v>
      </c>
      <c r="BC18" s="18">
        <f t="shared" si="23"/>
        <v>1543.99999999994</v>
      </c>
      <c r="BD18" s="18">
        <f t="shared" si="11"/>
        <v>8117.20000001231</v>
      </c>
      <c r="BE18" s="18">
        <f t="shared" si="12"/>
        <v>47100.0000000095</v>
      </c>
      <c r="BF18" s="18">
        <f t="shared" si="24"/>
        <v>61.5</v>
      </c>
      <c r="BG18" s="21">
        <f t="shared" si="13"/>
        <v>0.323080722164363</v>
      </c>
      <c r="BH18" s="21">
        <f t="shared" si="14"/>
        <v>0.0441529934697917</v>
      </c>
      <c r="BI18" s="21">
        <f t="shared" si="15"/>
        <v>0</v>
      </c>
      <c r="BJ18" s="21">
        <f t="shared" si="16"/>
        <v>0.0375212643362664</v>
      </c>
      <c r="BK18" s="21">
        <f t="shared" ref="BK18:BO18" si="91">IF(OR($AD18=0),"",AZ18/$AD18)</f>
        <v>0.118668715359712</v>
      </c>
      <c r="BL18" s="21">
        <f t="shared" si="91"/>
        <v>0.0521319211984754</v>
      </c>
      <c r="BM18" s="21">
        <f t="shared" si="91"/>
        <v>0.0043351808154538</v>
      </c>
      <c r="BN18" s="21">
        <f t="shared" si="91"/>
        <v>0.0105910113592709</v>
      </c>
      <c r="BO18" s="21">
        <f t="shared" si="91"/>
        <v>0.0556796356253931</v>
      </c>
    </row>
    <row r="19" spans="1:67">
      <c r="A19" s="9">
        <f t="shared" si="26"/>
        <v>44212</v>
      </c>
      <c r="B19" s="10">
        <v>15677.2</v>
      </c>
      <c r="C19" s="8">
        <v>85130.7</v>
      </c>
      <c r="D19" s="8">
        <v>54392.4</v>
      </c>
      <c r="E19" s="8">
        <v>55648</v>
      </c>
      <c r="F19" s="8">
        <v>3274.09</v>
      </c>
      <c r="G19" s="8">
        <v>107927.8</v>
      </c>
      <c r="H19" s="8">
        <v>5596.3</v>
      </c>
      <c r="I19" s="8">
        <v>2566.3</v>
      </c>
      <c r="J19" s="8">
        <v>967</v>
      </c>
      <c r="K19" s="8">
        <v>56</v>
      </c>
      <c r="L19" s="8">
        <v>86813.2</v>
      </c>
      <c r="M19" s="8">
        <v>61123.4</v>
      </c>
      <c r="N19" s="8">
        <v>68780.1</v>
      </c>
      <c r="O19" s="8">
        <v>98558.9</v>
      </c>
      <c r="P19" s="8">
        <v>5143</v>
      </c>
      <c r="Q19" s="8">
        <v>6931.1</v>
      </c>
      <c r="R19" s="8">
        <v>4201.3</v>
      </c>
      <c r="S19" s="8">
        <v>4857.2</v>
      </c>
      <c r="T19" s="8">
        <v>5902</v>
      </c>
      <c r="U19" s="8">
        <v>16559</v>
      </c>
      <c r="V19" s="8">
        <v>48782.3</v>
      </c>
      <c r="W19" s="8">
        <v>49019.7</v>
      </c>
      <c r="X19" s="8">
        <v>602.7</v>
      </c>
      <c r="Y19" s="8">
        <v>565.4</v>
      </c>
      <c r="Z19" s="16">
        <f t="shared" si="0"/>
        <v>50187.8</v>
      </c>
      <c r="AA19" s="8">
        <v>54829.7</v>
      </c>
      <c r="AB19" s="14">
        <v>835</v>
      </c>
      <c r="AC19" s="7">
        <f t="shared" si="18"/>
        <v>55664.7</v>
      </c>
      <c r="AD19" s="17">
        <v>136033</v>
      </c>
      <c r="AE19" s="18">
        <f t="shared" ref="AE19:AI19" si="92">IF(OR(C20=""),"",(C20-C19)*80)</f>
        <v>0</v>
      </c>
      <c r="AF19" s="18">
        <f t="shared" si="92"/>
        <v>0</v>
      </c>
      <c r="AG19" s="18">
        <f t="shared" si="92"/>
        <v>3127.99999999988</v>
      </c>
      <c r="AH19" s="18">
        <f t="shared" si="92"/>
        <v>3.99999999997817</v>
      </c>
      <c r="AI19" s="18">
        <f t="shared" si="92"/>
        <v>2775.99999999977</v>
      </c>
      <c r="AJ19" s="18">
        <f t="shared" si="2"/>
        <v>5907.99999999963</v>
      </c>
      <c r="AK19" s="18">
        <f t="shared" ref="AK19:AN19" si="93">IF(OR(H20=""),"",(H20-H19)*80)</f>
        <v>0</v>
      </c>
      <c r="AL19" s="18">
        <f t="shared" si="93"/>
        <v>0</v>
      </c>
      <c r="AM19" s="18">
        <f t="shared" si="93"/>
        <v>0</v>
      </c>
      <c r="AN19" s="18">
        <f t="shared" si="93"/>
        <v>0</v>
      </c>
      <c r="AO19" s="18">
        <f t="shared" si="4"/>
        <v>0</v>
      </c>
      <c r="AP19" s="18">
        <f t="shared" ref="AP19:AS19" si="94">IF(OR(L20=""),"",(L20-L19)*100)</f>
        <v>2869.99999999971</v>
      </c>
      <c r="AQ19" s="18">
        <f t="shared" si="94"/>
        <v>-9.99999999985448</v>
      </c>
      <c r="AR19" s="18">
        <f t="shared" si="94"/>
        <v>2429.99999999884</v>
      </c>
      <c r="AS19" s="18">
        <f t="shared" si="94"/>
        <v>0</v>
      </c>
      <c r="AT19" s="18">
        <f t="shared" si="6"/>
        <v>5289.99999999869</v>
      </c>
      <c r="AU19" s="18">
        <f t="shared" ref="AU19:AY19" si="95">IF(OR(P20=""),"",(P20-P19)*1000)</f>
        <v>0</v>
      </c>
      <c r="AV19" s="18">
        <f t="shared" si="95"/>
        <v>7000</v>
      </c>
      <c r="AW19" s="18">
        <f t="shared" si="95"/>
        <v>500</v>
      </c>
      <c r="AX19" s="18">
        <f t="shared" si="95"/>
        <v>0</v>
      </c>
      <c r="AY19" s="18">
        <f t="shared" si="95"/>
        <v>8600.00000000036</v>
      </c>
      <c r="AZ19" s="18">
        <f t="shared" si="8"/>
        <v>16100.0000000004</v>
      </c>
      <c r="BA19" s="18">
        <f t="shared" si="9"/>
        <v>6199.99999999709</v>
      </c>
      <c r="BB19" s="18">
        <f t="shared" si="10"/>
        <v>655.999999999767</v>
      </c>
      <c r="BC19" s="18">
        <f t="shared" si="23"/>
        <v>1524.00000000023</v>
      </c>
      <c r="BD19" s="18">
        <f t="shared" si="11"/>
        <v>9721.99999999477</v>
      </c>
      <c r="BE19" s="18">
        <f t="shared" si="12"/>
        <v>45399.9999999905</v>
      </c>
      <c r="BF19" s="18">
        <f t="shared" si="24"/>
        <v>62.5</v>
      </c>
      <c r="BG19" s="21">
        <f t="shared" si="13"/>
        <v>0.333742547764076</v>
      </c>
      <c r="BH19" s="21">
        <f t="shared" si="14"/>
        <v>0.0434306381539746</v>
      </c>
      <c r="BI19" s="21">
        <f t="shared" si="15"/>
        <v>0</v>
      </c>
      <c r="BJ19" s="21">
        <f t="shared" si="16"/>
        <v>0.0388876228562091</v>
      </c>
      <c r="BK19" s="21">
        <f t="shared" ref="BK19:BO19" si="96">IF(OR($AD19=0),"",AZ19/$AD19)</f>
        <v>0.118353634779799</v>
      </c>
      <c r="BL19" s="21">
        <f t="shared" si="96"/>
        <v>0.0455771761263597</v>
      </c>
      <c r="BM19" s="21">
        <f t="shared" si="96"/>
        <v>0.004822359280467</v>
      </c>
      <c r="BN19" s="21">
        <f t="shared" si="96"/>
        <v>0.0112031639381638</v>
      </c>
      <c r="BO19" s="21">
        <f t="shared" si="96"/>
        <v>0.071467952629103</v>
      </c>
    </row>
    <row r="20" spans="1:67">
      <c r="A20" s="9">
        <f t="shared" si="26"/>
        <v>44213</v>
      </c>
      <c r="B20" s="10">
        <v>15681.74</v>
      </c>
      <c r="C20" s="8">
        <v>85130.7</v>
      </c>
      <c r="D20" s="8">
        <v>54392.4</v>
      </c>
      <c r="E20" s="8">
        <v>55687.1</v>
      </c>
      <c r="F20" s="8">
        <v>3274.14</v>
      </c>
      <c r="G20" s="8">
        <v>107962.5</v>
      </c>
      <c r="H20" s="8">
        <v>5596.3</v>
      </c>
      <c r="I20" s="8">
        <v>2566.3</v>
      </c>
      <c r="J20" s="8">
        <v>967</v>
      </c>
      <c r="K20" s="8">
        <v>56</v>
      </c>
      <c r="L20" s="8">
        <v>86841.9</v>
      </c>
      <c r="M20" s="8">
        <v>61123.3</v>
      </c>
      <c r="N20" s="8">
        <v>68804.4</v>
      </c>
      <c r="O20" s="8">
        <v>98558.9</v>
      </c>
      <c r="P20" s="8">
        <v>5143</v>
      </c>
      <c r="Q20" s="8">
        <v>6938.1</v>
      </c>
      <c r="R20" s="8">
        <v>4201.8</v>
      </c>
      <c r="S20" s="8">
        <v>4857.2</v>
      </c>
      <c r="T20" s="8">
        <v>5910.6</v>
      </c>
      <c r="U20" s="8">
        <v>16562.1</v>
      </c>
      <c r="V20" s="8">
        <v>48790.5</v>
      </c>
      <c r="W20" s="8">
        <v>49037.5</v>
      </c>
      <c r="X20" s="8">
        <v>613.9</v>
      </c>
      <c r="Y20" s="8">
        <v>574.5</v>
      </c>
      <c r="Z20" s="16">
        <f t="shared" si="0"/>
        <v>50225.9</v>
      </c>
      <c r="AA20" s="8">
        <v>54878.2</v>
      </c>
      <c r="AB20" s="14">
        <v>849</v>
      </c>
      <c r="AC20" s="7">
        <f t="shared" si="18"/>
        <v>55727.2</v>
      </c>
      <c r="AD20" s="17">
        <v>142353</v>
      </c>
      <c r="AE20" s="18">
        <f t="shared" ref="AE20:AI20" si="97">IF(OR(C21=""),"",(C21-C20)*80)</f>
        <v>0</v>
      </c>
      <c r="AF20" s="18">
        <f t="shared" si="97"/>
        <v>743.999999999651</v>
      </c>
      <c r="AG20" s="18">
        <f t="shared" si="97"/>
        <v>3040</v>
      </c>
      <c r="AH20" s="18">
        <f t="shared" si="97"/>
        <v>4.79999999999563</v>
      </c>
      <c r="AI20" s="18">
        <f t="shared" si="97"/>
        <v>2808.00000000047</v>
      </c>
      <c r="AJ20" s="18">
        <f t="shared" si="2"/>
        <v>6596.80000000011</v>
      </c>
      <c r="AK20" s="18">
        <f t="shared" ref="AK20:AN20" si="98">IF(OR(H21=""),"",(H21-H20)*80)</f>
        <v>0</v>
      </c>
      <c r="AL20" s="18">
        <f t="shared" si="98"/>
        <v>0</v>
      </c>
      <c r="AM20" s="18">
        <f t="shared" si="98"/>
        <v>0</v>
      </c>
      <c r="AN20" s="18">
        <f t="shared" si="98"/>
        <v>0</v>
      </c>
      <c r="AO20" s="18">
        <f t="shared" si="4"/>
        <v>0</v>
      </c>
      <c r="AP20" s="18">
        <f t="shared" ref="AP20:AS20" si="99">IF(OR(L21=""),"",(L21-L20)*100)</f>
        <v>2340.00000000087</v>
      </c>
      <c r="AQ20" s="18">
        <f t="shared" si="99"/>
        <v>9.99999999985448</v>
      </c>
      <c r="AR20" s="18">
        <f t="shared" si="99"/>
        <v>2470.00000000116</v>
      </c>
      <c r="AS20" s="18">
        <f t="shared" si="99"/>
        <v>680.000000000291</v>
      </c>
      <c r="AT20" s="18">
        <f t="shared" si="6"/>
        <v>5500.00000000218</v>
      </c>
      <c r="AU20" s="18">
        <f t="shared" ref="AU20:AY20" si="100">IF(OR(P21=""),"",(P21-P20)*1000)</f>
        <v>0</v>
      </c>
      <c r="AV20" s="18">
        <f t="shared" si="100"/>
        <v>8099.99999999945</v>
      </c>
      <c r="AW20" s="18">
        <f t="shared" si="100"/>
        <v>0</v>
      </c>
      <c r="AX20" s="18">
        <f t="shared" si="100"/>
        <v>0</v>
      </c>
      <c r="AY20" s="18">
        <f t="shared" si="100"/>
        <v>9099.99999999945</v>
      </c>
      <c r="AZ20" s="18">
        <f t="shared" si="8"/>
        <v>17199.9999999989</v>
      </c>
      <c r="BA20" s="18">
        <f t="shared" si="9"/>
        <v>6400.00000000146</v>
      </c>
      <c r="BB20" s="18">
        <f t="shared" si="10"/>
        <v>655.999999999767</v>
      </c>
      <c r="BC20" s="18">
        <f t="shared" si="23"/>
        <v>1571.99999999983</v>
      </c>
      <c r="BD20" s="18">
        <f t="shared" si="11"/>
        <v>8975.20000000284</v>
      </c>
      <c r="BE20" s="18">
        <f t="shared" si="12"/>
        <v>46900.0000000051</v>
      </c>
      <c r="BF20" s="18">
        <f t="shared" si="24"/>
        <v>63.2000000000044</v>
      </c>
      <c r="BG20" s="21">
        <f t="shared" si="13"/>
        <v>0.32946267377579</v>
      </c>
      <c r="BH20" s="21">
        <f t="shared" si="14"/>
        <v>0.0463411378755636</v>
      </c>
      <c r="BI20" s="21">
        <f t="shared" si="15"/>
        <v>0</v>
      </c>
      <c r="BJ20" s="21">
        <f t="shared" si="16"/>
        <v>0.0386363476709461</v>
      </c>
      <c r="BK20" s="21">
        <f t="shared" ref="BK20:BO20" si="101">IF(OR($AD20=0),"",AZ20/$AD20)</f>
        <v>0.120826396352721</v>
      </c>
      <c r="BL20" s="21">
        <f t="shared" si="101"/>
        <v>0.0449586591080023</v>
      </c>
      <c r="BM20" s="21">
        <f t="shared" si="101"/>
        <v>0.00460826255856756</v>
      </c>
      <c r="BN20" s="21">
        <f t="shared" si="101"/>
        <v>0.0110429706433993</v>
      </c>
      <c r="BO20" s="21">
        <f t="shared" si="101"/>
        <v>0.0630488995665904</v>
      </c>
    </row>
    <row r="21" spans="1:67">
      <c r="A21" s="9">
        <f t="shared" si="26"/>
        <v>44214</v>
      </c>
      <c r="B21" s="10">
        <v>15686.43</v>
      </c>
      <c r="C21" s="8">
        <v>85130.7</v>
      </c>
      <c r="D21" s="8">
        <v>54401.7</v>
      </c>
      <c r="E21" s="8">
        <v>55725.1</v>
      </c>
      <c r="F21" s="8">
        <v>3274.2</v>
      </c>
      <c r="G21" s="8">
        <v>107997.6</v>
      </c>
      <c r="H21" s="8">
        <v>5596.3</v>
      </c>
      <c r="I21" s="8">
        <v>2566.3</v>
      </c>
      <c r="J21" s="8">
        <v>967</v>
      </c>
      <c r="K21" s="8">
        <v>56</v>
      </c>
      <c r="L21" s="8">
        <v>86865.3</v>
      </c>
      <c r="M21" s="8">
        <v>61123.4</v>
      </c>
      <c r="N21" s="8">
        <v>68829.1</v>
      </c>
      <c r="O21" s="8">
        <v>98565.7</v>
      </c>
      <c r="P21" s="8">
        <v>5143</v>
      </c>
      <c r="Q21" s="8">
        <v>6946.2</v>
      </c>
      <c r="R21" s="8">
        <v>4201.8</v>
      </c>
      <c r="S21" s="8">
        <v>4857.2</v>
      </c>
      <c r="T21" s="8">
        <v>5919.7</v>
      </c>
      <c r="U21" s="8">
        <v>16565.3</v>
      </c>
      <c r="V21" s="8">
        <v>48798.7</v>
      </c>
      <c r="W21" s="8">
        <v>49055.7</v>
      </c>
      <c r="X21" s="8">
        <v>625.6</v>
      </c>
      <c r="Y21" s="8">
        <v>583.9</v>
      </c>
      <c r="Z21" s="16">
        <f t="shared" si="0"/>
        <v>50265.2</v>
      </c>
      <c r="AA21" s="8">
        <v>54927.4</v>
      </c>
      <c r="AB21" s="14">
        <v>863</v>
      </c>
      <c r="AC21" s="7">
        <f t="shared" si="18"/>
        <v>55790.4</v>
      </c>
      <c r="AD21" s="17">
        <v>131674</v>
      </c>
      <c r="AE21" s="18">
        <f t="shared" ref="AE21:AI21" si="102">IF(OR(C22=""),"",(C22-C21)*80)</f>
        <v>0</v>
      </c>
      <c r="AF21" s="18">
        <f t="shared" si="102"/>
        <v>0</v>
      </c>
      <c r="AG21" s="18">
        <f t="shared" si="102"/>
        <v>3352.00000000012</v>
      </c>
      <c r="AH21" s="18">
        <f t="shared" si="102"/>
        <v>4.00000000001455</v>
      </c>
      <c r="AI21" s="18">
        <f t="shared" si="102"/>
        <v>2760</v>
      </c>
      <c r="AJ21" s="18">
        <f t="shared" si="2"/>
        <v>6116.00000000013</v>
      </c>
      <c r="AK21" s="18">
        <f t="shared" ref="AK21:AN21" si="103">IF(OR(H22=""),"",(H22-H21)*80)</f>
        <v>0</v>
      </c>
      <c r="AL21" s="18">
        <f t="shared" si="103"/>
        <v>0</v>
      </c>
      <c r="AM21" s="18">
        <f t="shared" si="103"/>
        <v>0</v>
      </c>
      <c r="AN21" s="18">
        <f t="shared" si="103"/>
        <v>0</v>
      </c>
      <c r="AO21" s="18">
        <f t="shared" si="4"/>
        <v>0</v>
      </c>
      <c r="AP21" s="18">
        <f t="shared" ref="AP21:AS21" si="104">IF(OR(L22=""),"",(L22-L21)*100)</f>
        <v>2159.99999999913</v>
      </c>
      <c r="AQ21" s="18">
        <f t="shared" si="104"/>
        <v>0</v>
      </c>
      <c r="AR21" s="18">
        <f t="shared" si="104"/>
        <v>2450</v>
      </c>
      <c r="AS21" s="18">
        <f t="shared" si="104"/>
        <v>480.000000000291</v>
      </c>
      <c r="AT21" s="18">
        <f t="shared" si="6"/>
        <v>5089.99999999942</v>
      </c>
      <c r="AU21" s="18">
        <f t="shared" ref="AU21:AY21" si="105">IF(OR(P22=""),"",(P22-P21)*1000)</f>
        <v>0</v>
      </c>
      <c r="AV21" s="18">
        <f t="shared" si="105"/>
        <v>8100.00000000036</v>
      </c>
      <c r="AW21" s="18">
        <f t="shared" si="105"/>
        <v>99.9999999994543</v>
      </c>
      <c r="AX21" s="18">
        <f t="shared" si="105"/>
        <v>0</v>
      </c>
      <c r="AY21" s="18">
        <f t="shared" si="105"/>
        <v>9100.00000000036</v>
      </c>
      <c r="AZ21" s="18">
        <f t="shared" si="8"/>
        <v>17300.0000000002</v>
      </c>
      <c r="BA21" s="18">
        <f t="shared" si="9"/>
        <v>6200.00000000437</v>
      </c>
      <c r="BB21" s="18">
        <f t="shared" si="10"/>
        <v>616.000000000349</v>
      </c>
      <c r="BC21" s="18">
        <f t="shared" si="23"/>
        <v>1568.00000000017</v>
      </c>
      <c r="BD21" s="18">
        <f t="shared" si="11"/>
        <v>9109.99999999902</v>
      </c>
      <c r="BE21" s="18">
        <f t="shared" si="12"/>
        <v>46000.0000000036</v>
      </c>
      <c r="BF21" s="18">
        <f t="shared" si="24"/>
        <v>60.5999999999985</v>
      </c>
      <c r="BG21" s="21">
        <f t="shared" si="13"/>
        <v>0.349347631271197</v>
      </c>
      <c r="BH21" s="21">
        <f t="shared" si="14"/>
        <v>0.04644804593162</v>
      </c>
      <c r="BI21" s="21">
        <f t="shared" si="15"/>
        <v>0</v>
      </c>
      <c r="BJ21" s="21">
        <f t="shared" si="16"/>
        <v>0.0386560748515228</v>
      </c>
      <c r="BK21" s="21">
        <f t="shared" ref="BK21:BO21" si="106">IF(OR($AD21=0),"",AZ21/$AD21)</f>
        <v>0.131385087412854</v>
      </c>
      <c r="BL21" s="21">
        <f t="shared" si="106"/>
        <v>0.0470859850844082</v>
      </c>
      <c r="BM21" s="21">
        <f t="shared" si="106"/>
        <v>0.00467822045354701</v>
      </c>
      <c r="BN21" s="21">
        <f t="shared" si="106"/>
        <v>0.0119081975181142</v>
      </c>
      <c r="BO21" s="21">
        <f t="shared" si="106"/>
        <v>0.0691860200191307</v>
      </c>
    </row>
    <row r="22" spans="1:67">
      <c r="A22" s="9">
        <f t="shared" si="26"/>
        <v>44215</v>
      </c>
      <c r="B22" s="10">
        <v>15691.03</v>
      </c>
      <c r="C22" s="8">
        <v>85130.7</v>
      </c>
      <c r="D22" s="8">
        <v>54401.7</v>
      </c>
      <c r="E22" s="8">
        <v>55767</v>
      </c>
      <c r="F22" s="8">
        <v>3274.25</v>
      </c>
      <c r="G22" s="8">
        <v>108032.1</v>
      </c>
      <c r="H22" s="8">
        <v>5596.3</v>
      </c>
      <c r="I22" s="8">
        <v>2566.3</v>
      </c>
      <c r="J22" s="8">
        <v>967</v>
      </c>
      <c r="K22" s="8">
        <v>56</v>
      </c>
      <c r="L22" s="8">
        <v>86886.9</v>
      </c>
      <c r="M22" s="8">
        <v>61123.4</v>
      </c>
      <c r="N22" s="8">
        <v>68853.6</v>
      </c>
      <c r="O22" s="8">
        <v>98570.5</v>
      </c>
      <c r="P22" s="8">
        <v>5143</v>
      </c>
      <c r="Q22" s="8">
        <v>6954.3</v>
      </c>
      <c r="R22" s="8">
        <v>4201.9</v>
      </c>
      <c r="S22" s="8">
        <v>4857.2</v>
      </c>
      <c r="T22" s="8">
        <v>5928.8</v>
      </c>
      <c r="U22" s="8">
        <v>16568.4</v>
      </c>
      <c r="V22" s="8">
        <v>48806.4</v>
      </c>
      <c r="W22" s="8">
        <v>49073.3</v>
      </c>
      <c r="X22" s="8">
        <v>637.6</v>
      </c>
      <c r="Y22" s="8">
        <v>593.5</v>
      </c>
      <c r="Z22" s="16">
        <f t="shared" si="0"/>
        <v>50304.4</v>
      </c>
      <c r="AA22" s="8">
        <v>54974</v>
      </c>
      <c r="AB22" s="14">
        <v>877</v>
      </c>
      <c r="AC22" s="7">
        <f t="shared" si="18"/>
        <v>55851</v>
      </c>
      <c r="AD22" s="17">
        <v>137987</v>
      </c>
      <c r="AE22" s="18">
        <f t="shared" ref="AE22:AI22" si="107">IF(OR(C23=""),"",(C23-C22)*80)</f>
        <v>2784.00000000023</v>
      </c>
      <c r="AF22" s="18">
        <f t="shared" si="107"/>
        <v>104.000000000233</v>
      </c>
      <c r="AG22" s="18">
        <f t="shared" si="107"/>
        <v>1167.99999999988</v>
      </c>
      <c r="AH22" s="18">
        <f t="shared" si="107"/>
        <v>168.80000000001</v>
      </c>
      <c r="AI22" s="18">
        <f t="shared" si="107"/>
        <v>2311.99999999953</v>
      </c>
      <c r="AJ22" s="18">
        <f t="shared" si="2"/>
        <v>6536.79999999989</v>
      </c>
      <c r="AK22" s="18">
        <f t="shared" ref="AK22:AN22" si="108">IF(OR(H23=""),"",(H23-H22)*80)</f>
        <v>0</v>
      </c>
      <c r="AL22" s="18">
        <f t="shared" si="108"/>
        <v>0</v>
      </c>
      <c r="AM22" s="18">
        <f t="shared" si="108"/>
        <v>0</v>
      </c>
      <c r="AN22" s="18">
        <f t="shared" si="108"/>
        <v>0</v>
      </c>
      <c r="AO22" s="18">
        <f t="shared" si="4"/>
        <v>0</v>
      </c>
      <c r="AP22" s="18">
        <f t="shared" ref="AP22:AS22" si="109">IF(OR(L23=""),"",(L23-L22)*100)</f>
        <v>1560.00000000058</v>
      </c>
      <c r="AQ22" s="18">
        <f t="shared" si="109"/>
        <v>9.99999999985448</v>
      </c>
      <c r="AR22" s="18">
        <f t="shared" si="109"/>
        <v>2429.99999999884</v>
      </c>
      <c r="AS22" s="18">
        <f t="shared" si="109"/>
        <v>1210.00000000058</v>
      </c>
      <c r="AT22" s="18">
        <f t="shared" si="6"/>
        <v>5209.99999999985</v>
      </c>
      <c r="AU22" s="18">
        <f t="shared" ref="AU22:AY22" si="110">IF(OR(P23=""),"",(P23-P22)*1000)</f>
        <v>0</v>
      </c>
      <c r="AV22" s="18">
        <f t="shared" si="110"/>
        <v>5500</v>
      </c>
      <c r="AW22" s="18">
        <f t="shared" si="110"/>
        <v>1300.00000000018</v>
      </c>
      <c r="AX22" s="18">
        <f t="shared" si="110"/>
        <v>0</v>
      </c>
      <c r="AY22" s="18">
        <f t="shared" si="110"/>
        <v>9099.99999999945</v>
      </c>
      <c r="AZ22" s="18">
        <f t="shared" si="8"/>
        <v>15899.9999999996</v>
      </c>
      <c r="BA22" s="18">
        <f t="shared" si="9"/>
        <v>6599.99999999854</v>
      </c>
      <c r="BB22" s="18">
        <f t="shared" si="10"/>
        <v>640</v>
      </c>
      <c r="BC22" s="18">
        <f t="shared" si="23"/>
        <v>1523.99999999994</v>
      </c>
      <c r="BD22" s="18">
        <f t="shared" si="11"/>
        <v>10689.1999999934</v>
      </c>
      <c r="BE22" s="18">
        <f t="shared" si="12"/>
        <v>47099.9999999913</v>
      </c>
      <c r="BF22" s="18">
        <f t="shared" si="24"/>
        <v>61.5</v>
      </c>
      <c r="BG22" s="21">
        <f t="shared" si="13"/>
        <v>0.34133650271396</v>
      </c>
      <c r="BH22" s="21">
        <f t="shared" si="14"/>
        <v>0.0473725785762419</v>
      </c>
      <c r="BI22" s="21">
        <f t="shared" si="15"/>
        <v>0</v>
      </c>
      <c r="BJ22" s="21">
        <f t="shared" si="16"/>
        <v>0.0377571800242041</v>
      </c>
      <c r="BK22" s="21">
        <f t="shared" ref="BK22:BO22" si="111">IF(OR($AD22=0),"",AZ22/$AD22)</f>
        <v>0.115228246139126</v>
      </c>
      <c r="BL22" s="21">
        <f t="shared" si="111"/>
        <v>0.0478305927369864</v>
      </c>
      <c r="BM22" s="21">
        <f t="shared" si="111"/>
        <v>0.00463811808358758</v>
      </c>
      <c r="BN22" s="21">
        <f t="shared" si="111"/>
        <v>0.0110445186865425</v>
      </c>
      <c r="BO22" s="21">
        <f t="shared" si="111"/>
        <v>0.0774652684672715</v>
      </c>
    </row>
    <row r="23" spans="1:67">
      <c r="A23" s="9">
        <f t="shared" si="26"/>
        <v>44216</v>
      </c>
      <c r="B23" s="10">
        <v>15695.74</v>
      </c>
      <c r="C23" s="8">
        <v>85165.5</v>
      </c>
      <c r="D23" s="8">
        <v>54403</v>
      </c>
      <c r="E23" s="8">
        <v>55781.6</v>
      </c>
      <c r="F23" s="8">
        <v>3276.36</v>
      </c>
      <c r="G23" s="8">
        <v>108061</v>
      </c>
      <c r="H23" s="8">
        <v>5596.3</v>
      </c>
      <c r="I23" s="8">
        <v>2566.3</v>
      </c>
      <c r="J23" s="8">
        <v>967</v>
      </c>
      <c r="K23" s="8">
        <v>56</v>
      </c>
      <c r="L23" s="8">
        <v>86902.5</v>
      </c>
      <c r="M23" s="8">
        <v>61123.5</v>
      </c>
      <c r="N23" s="8">
        <v>68877.9</v>
      </c>
      <c r="O23" s="8">
        <v>98582.6</v>
      </c>
      <c r="P23" s="8">
        <v>5143</v>
      </c>
      <c r="Q23" s="8">
        <v>6959.8</v>
      </c>
      <c r="R23" s="8">
        <v>4203.2</v>
      </c>
      <c r="S23" s="8">
        <v>4857.2</v>
      </c>
      <c r="T23" s="8">
        <v>5937.9</v>
      </c>
      <c r="U23" s="8">
        <v>16571.7</v>
      </c>
      <c r="V23" s="8">
        <v>48814.4</v>
      </c>
      <c r="W23" s="8">
        <v>49091.3</v>
      </c>
      <c r="X23" s="8">
        <v>648.7</v>
      </c>
      <c r="Y23" s="8">
        <v>602.5</v>
      </c>
      <c r="Z23" s="16">
        <f t="shared" si="0"/>
        <v>50342.5</v>
      </c>
      <c r="AA23" s="8">
        <v>55022.5</v>
      </c>
      <c r="AB23" s="14">
        <v>890</v>
      </c>
      <c r="AC23" s="7">
        <f t="shared" si="18"/>
        <v>55912.5</v>
      </c>
      <c r="AD23" s="17">
        <v>126982</v>
      </c>
      <c r="AE23" s="18">
        <f t="shared" ref="AE23:AI23" si="112">IF(OR(C24=""),"",(C24-C23)*80)</f>
        <v>3840</v>
      </c>
      <c r="AF23" s="18">
        <f t="shared" si="112"/>
        <v>0</v>
      </c>
      <c r="AG23" s="18">
        <f t="shared" si="112"/>
        <v>0</v>
      </c>
      <c r="AH23" s="18">
        <f t="shared" si="112"/>
        <v>3.99999999997817</v>
      </c>
      <c r="AI23" s="18">
        <f t="shared" si="112"/>
        <v>2000</v>
      </c>
      <c r="AJ23" s="18">
        <f t="shared" si="2"/>
        <v>5843.99999999998</v>
      </c>
      <c r="AK23" s="18">
        <f t="shared" ref="AK23:AN23" si="113">IF(OR(H24=""),"",(H24-H23)*80)</f>
        <v>0</v>
      </c>
      <c r="AL23" s="18">
        <f t="shared" si="113"/>
        <v>0</v>
      </c>
      <c r="AM23" s="18">
        <f t="shared" si="113"/>
        <v>0</v>
      </c>
      <c r="AN23" s="18">
        <f t="shared" si="113"/>
        <v>0</v>
      </c>
      <c r="AO23" s="18">
        <f t="shared" si="4"/>
        <v>0</v>
      </c>
      <c r="AP23" s="18">
        <f t="shared" ref="AP23:AS23" si="114">IF(OR(L24=""),"",(L24-L23)*100)</f>
        <v>2489.99999999942</v>
      </c>
      <c r="AQ23" s="18">
        <f t="shared" si="114"/>
        <v>0</v>
      </c>
      <c r="AR23" s="18">
        <f t="shared" si="114"/>
        <v>2420.00000000116</v>
      </c>
      <c r="AS23" s="18">
        <f t="shared" si="114"/>
        <v>0</v>
      </c>
      <c r="AT23" s="18">
        <f t="shared" si="6"/>
        <v>4910.00000000058</v>
      </c>
      <c r="AU23" s="18">
        <f t="shared" ref="AU23:AY23" si="115">IF(OR(P24=""),"",(P24-P23)*1000)</f>
        <v>3600.00000000036</v>
      </c>
      <c r="AV23" s="18">
        <f t="shared" si="115"/>
        <v>1800.00000000018</v>
      </c>
      <c r="AW23" s="18">
        <f t="shared" si="115"/>
        <v>3600.00000000036</v>
      </c>
      <c r="AX23" s="18">
        <f t="shared" si="115"/>
        <v>0</v>
      </c>
      <c r="AY23" s="18">
        <f t="shared" si="115"/>
        <v>1200.00000000073</v>
      </c>
      <c r="AZ23" s="18">
        <f t="shared" si="8"/>
        <v>10200.0000000016</v>
      </c>
      <c r="BA23" s="18">
        <f t="shared" si="9"/>
        <v>5799.99999999563</v>
      </c>
      <c r="BB23" s="18">
        <f t="shared" si="10"/>
        <v>647.999999999884</v>
      </c>
      <c r="BC23" s="18">
        <f t="shared" si="23"/>
        <v>1495.99999999977</v>
      </c>
      <c r="BD23" s="18">
        <f t="shared" si="11"/>
        <v>14702.0000000083</v>
      </c>
      <c r="BE23" s="18">
        <f t="shared" si="12"/>
        <v>43600.0000000058</v>
      </c>
      <c r="BF23" s="18">
        <f t="shared" si="24"/>
        <v>58</v>
      </c>
      <c r="BG23" s="21">
        <f t="shared" si="13"/>
        <v>0.343355751208879</v>
      </c>
      <c r="BH23" s="21">
        <f t="shared" si="14"/>
        <v>0.046022270873037</v>
      </c>
      <c r="BI23" s="21">
        <f t="shared" si="15"/>
        <v>0</v>
      </c>
      <c r="BJ23" s="21">
        <f t="shared" si="16"/>
        <v>0.0386668976705406</v>
      </c>
      <c r="BK23" s="21">
        <f t="shared" ref="BK23:BO23" si="116">IF(OR($AD23=0),"",AZ23/$AD23)</f>
        <v>0.0803263454662995</v>
      </c>
      <c r="BL23" s="21">
        <f t="shared" si="116"/>
        <v>0.0456757650690305</v>
      </c>
      <c r="BM23" s="21">
        <f t="shared" si="116"/>
        <v>0.00510308547668082</v>
      </c>
      <c r="BN23" s="21">
        <f t="shared" si="116"/>
        <v>0.0117811973350535</v>
      </c>
      <c r="BO23" s="21">
        <f t="shared" si="116"/>
        <v>0.115780189318237</v>
      </c>
    </row>
    <row r="24" spans="1:67">
      <c r="A24" s="9">
        <f t="shared" si="26"/>
        <v>44217</v>
      </c>
      <c r="B24" s="10">
        <v>15700.1</v>
      </c>
      <c r="C24" s="8">
        <v>85213.5</v>
      </c>
      <c r="D24" s="8">
        <v>54403</v>
      </c>
      <c r="E24" s="8">
        <v>55781.6</v>
      </c>
      <c r="F24" s="8">
        <v>3276.41</v>
      </c>
      <c r="G24" s="8">
        <v>108086</v>
      </c>
      <c r="H24" s="8">
        <v>5596.3</v>
      </c>
      <c r="I24" s="8">
        <v>2566.3</v>
      </c>
      <c r="J24" s="8">
        <v>967</v>
      </c>
      <c r="K24" s="8">
        <v>56</v>
      </c>
      <c r="L24" s="8">
        <v>86927.4</v>
      </c>
      <c r="M24" s="8">
        <v>61123.5</v>
      </c>
      <c r="N24" s="8">
        <v>68902.1</v>
      </c>
      <c r="O24" s="8">
        <v>98582.6</v>
      </c>
      <c r="P24" s="8">
        <v>5146.6</v>
      </c>
      <c r="Q24" s="8">
        <v>6961.6</v>
      </c>
      <c r="R24" s="8">
        <v>4206.8</v>
      </c>
      <c r="S24" s="8">
        <v>4857.2</v>
      </c>
      <c r="T24" s="8">
        <v>5939.1</v>
      </c>
      <c r="U24" s="8">
        <v>16574.6</v>
      </c>
      <c r="V24" s="8">
        <v>48822.5</v>
      </c>
      <c r="W24" s="8">
        <v>49108.7</v>
      </c>
      <c r="X24" s="8">
        <v>659.7</v>
      </c>
      <c r="Y24" s="8">
        <v>611.5</v>
      </c>
      <c r="Z24" s="16">
        <f t="shared" si="0"/>
        <v>50379.9</v>
      </c>
      <c r="AA24" s="8">
        <v>55070.1</v>
      </c>
      <c r="AB24" s="14">
        <v>900.4</v>
      </c>
      <c r="AC24" s="7">
        <f t="shared" si="18"/>
        <v>55970.5</v>
      </c>
      <c r="AD24" s="17">
        <v>140403</v>
      </c>
      <c r="AE24" s="18">
        <f t="shared" ref="AE24:AI24" si="117">IF(OR(C25=""),"",(C25-C24)*80)</f>
        <v>3935.99999999977</v>
      </c>
      <c r="AF24" s="18">
        <f t="shared" si="117"/>
        <v>295.999999999767</v>
      </c>
      <c r="AG24" s="18">
        <f t="shared" si="117"/>
        <v>0</v>
      </c>
      <c r="AH24" s="18">
        <f t="shared" si="117"/>
        <v>4.79999999999563</v>
      </c>
      <c r="AI24" s="18">
        <f t="shared" si="117"/>
        <v>2231.99999999953</v>
      </c>
      <c r="AJ24" s="18">
        <f t="shared" si="2"/>
        <v>6468.79999999906</v>
      </c>
      <c r="AK24" s="18">
        <f t="shared" ref="AK24:AN24" si="118">IF(OR(H25=""),"",(H25-H24)*80)</f>
        <v>0</v>
      </c>
      <c r="AL24" s="18">
        <f t="shared" si="118"/>
        <v>0</v>
      </c>
      <c r="AM24" s="18">
        <f t="shared" si="118"/>
        <v>0</v>
      </c>
      <c r="AN24" s="18">
        <f t="shared" si="118"/>
        <v>0</v>
      </c>
      <c r="AO24" s="18">
        <f t="shared" si="4"/>
        <v>0</v>
      </c>
      <c r="AP24" s="18">
        <f t="shared" ref="AP24:AS24" si="119">IF(OR(L25=""),"",(L25-L24)*100)</f>
        <v>2980.00000000029</v>
      </c>
      <c r="AQ24" s="18">
        <f t="shared" si="119"/>
        <v>0</v>
      </c>
      <c r="AR24" s="18">
        <f t="shared" si="119"/>
        <v>2439.99999999942</v>
      </c>
      <c r="AS24" s="18">
        <f t="shared" si="119"/>
        <v>0</v>
      </c>
      <c r="AT24" s="18">
        <f t="shared" si="6"/>
        <v>5419.99999999971</v>
      </c>
      <c r="AU24" s="18">
        <f t="shared" ref="AU24:AY24" si="120">IF(OR(P25=""),"",(P25-P24)*1000)</f>
        <v>1199.99999999982</v>
      </c>
      <c r="AV24" s="18">
        <f t="shared" si="120"/>
        <v>5599.99999999945</v>
      </c>
      <c r="AW24" s="18">
        <f t="shared" si="120"/>
        <v>1300.00000000018</v>
      </c>
      <c r="AX24" s="18">
        <f t="shared" si="120"/>
        <v>0</v>
      </c>
      <c r="AY24" s="18">
        <f t="shared" si="120"/>
        <v>7000</v>
      </c>
      <c r="AZ24" s="18">
        <f t="shared" si="8"/>
        <v>15099.9999999995</v>
      </c>
      <c r="BA24" s="18">
        <f t="shared" si="9"/>
        <v>6000</v>
      </c>
      <c r="BB24" s="18">
        <f t="shared" si="10"/>
        <v>640</v>
      </c>
      <c r="BC24" s="18">
        <f t="shared" si="23"/>
        <v>1520.00000000029</v>
      </c>
      <c r="BD24" s="18">
        <f t="shared" si="11"/>
        <v>11051.1999999913</v>
      </c>
      <c r="BE24" s="18">
        <f t="shared" si="12"/>
        <v>46199.9999999898</v>
      </c>
      <c r="BF24" s="18">
        <f t="shared" si="24"/>
        <v>65.6999999999971</v>
      </c>
      <c r="BG24" s="21">
        <f t="shared" si="13"/>
        <v>0.329052798017064</v>
      </c>
      <c r="BH24" s="21">
        <f t="shared" si="14"/>
        <v>0.0460730896063408</v>
      </c>
      <c r="BI24" s="21">
        <f t="shared" si="15"/>
        <v>0</v>
      </c>
      <c r="BJ24" s="21">
        <f t="shared" si="16"/>
        <v>0.0386031637500602</v>
      </c>
      <c r="BK24" s="21">
        <f t="shared" ref="BK24:BO24" si="121">IF(OR($AD24=0),"",AZ24/$AD24)</f>
        <v>0.107547559525077</v>
      </c>
      <c r="BL24" s="21">
        <f t="shared" si="121"/>
        <v>0.0427341296126151</v>
      </c>
      <c r="BM24" s="21">
        <f t="shared" si="121"/>
        <v>0.00455830715867895</v>
      </c>
      <c r="BN24" s="21">
        <f t="shared" si="121"/>
        <v>0.0108259795018646</v>
      </c>
      <c r="BO24" s="21">
        <f t="shared" si="121"/>
        <v>0.0787105688624267</v>
      </c>
    </row>
    <row r="25" spans="1:67">
      <c r="A25" s="9">
        <f t="shared" si="26"/>
        <v>44218</v>
      </c>
      <c r="B25" s="10">
        <v>15704.72</v>
      </c>
      <c r="C25" s="8">
        <v>85262.7</v>
      </c>
      <c r="D25" s="8">
        <v>54406.7</v>
      </c>
      <c r="E25" s="8">
        <v>55781.6</v>
      </c>
      <c r="F25" s="8">
        <v>3276.47</v>
      </c>
      <c r="G25" s="8">
        <v>108113.9</v>
      </c>
      <c r="H25" s="8">
        <v>5596.3</v>
      </c>
      <c r="I25" s="8">
        <v>2566.3</v>
      </c>
      <c r="J25" s="8">
        <v>967</v>
      </c>
      <c r="K25" s="8">
        <v>56</v>
      </c>
      <c r="L25" s="8">
        <v>86957.2</v>
      </c>
      <c r="M25" s="8">
        <v>61123.5</v>
      </c>
      <c r="N25" s="8">
        <v>68926.5</v>
      </c>
      <c r="O25" s="8">
        <v>98582.6</v>
      </c>
      <c r="P25" s="8">
        <v>5147.8</v>
      </c>
      <c r="Q25" s="8">
        <v>6967.2</v>
      </c>
      <c r="R25" s="8">
        <v>4208.1</v>
      </c>
      <c r="S25" s="8">
        <v>4857.2</v>
      </c>
      <c r="T25" s="8">
        <v>5946.1</v>
      </c>
      <c r="U25" s="8">
        <v>16577.6</v>
      </c>
      <c r="V25" s="8">
        <v>48830.5</v>
      </c>
      <c r="W25" s="8">
        <v>49126.3</v>
      </c>
      <c r="X25" s="8">
        <v>671</v>
      </c>
      <c r="Y25" s="8">
        <v>620.6</v>
      </c>
      <c r="Z25" s="16">
        <f t="shared" si="0"/>
        <v>50417.9</v>
      </c>
      <c r="AA25" s="8">
        <v>55118.2</v>
      </c>
      <c r="AB25" s="14">
        <v>918</v>
      </c>
      <c r="AC25" s="7">
        <f t="shared" si="18"/>
        <v>56036.2</v>
      </c>
      <c r="AD25" s="17">
        <v>151786</v>
      </c>
      <c r="AE25" s="18">
        <f t="shared" ref="AE25:AI25" si="122">IF(OR(C26=""),"",(C26-C25)*80)</f>
        <v>3800</v>
      </c>
      <c r="AF25" s="18">
        <f t="shared" si="122"/>
        <v>2632.00000000012</v>
      </c>
      <c r="AG25" s="18">
        <f t="shared" si="122"/>
        <v>0</v>
      </c>
      <c r="AH25" s="18">
        <f t="shared" si="122"/>
        <v>0</v>
      </c>
      <c r="AI25" s="18">
        <f t="shared" si="122"/>
        <v>1248.00000000047</v>
      </c>
      <c r="AJ25" s="18">
        <f t="shared" si="2"/>
        <v>7680.00000000058</v>
      </c>
      <c r="AK25" s="18">
        <f t="shared" ref="AK25:AN25" si="123">IF(OR(H26=""),"",(H26-H25)*80)</f>
        <v>0</v>
      </c>
      <c r="AL25" s="18">
        <f t="shared" si="123"/>
        <v>0</v>
      </c>
      <c r="AM25" s="18">
        <f t="shared" si="123"/>
        <v>0</v>
      </c>
      <c r="AN25" s="18">
        <f t="shared" si="123"/>
        <v>0</v>
      </c>
      <c r="AO25" s="18">
        <f t="shared" si="4"/>
        <v>0</v>
      </c>
      <c r="AP25" s="18">
        <f t="shared" ref="AP25:AS25" si="124">IF(OR(L26=""),"",(L26-L25)*100)</f>
        <v>969.999999999709</v>
      </c>
      <c r="AQ25" s="18">
        <f t="shared" si="124"/>
        <v>9.99999999985448</v>
      </c>
      <c r="AR25" s="18">
        <f t="shared" si="124"/>
        <v>2430.00000000029</v>
      </c>
      <c r="AS25" s="18">
        <f t="shared" si="124"/>
        <v>2300</v>
      </c>
      <c r="AT25" s="18">
        <f t="shared" si="6"/>
        <v>5709.99999999985</v>
      </c>
      <c r="AU25" s="18">
        <f t="shared" ref="AU25:AY25" si="125">IF(OR(P26=""),"",(P26-P25)*1000)</f>
        <v>99.9999999994543</v>
      </c>
      <c r="AV25" s="18">
        <f t="shared" si="125"/>
        <v>0</v>
      </c>
      <c r="AW25" s="18">
        <f t="shared" si="125"/>
        <v>4399.99999999964</v>
      </c>
      <c r="AX25" s="18">
        <f t="shared" si="125"/>
        <v>0</v>
      </c>
      <c r="AY25" s="18">
        <f t="shared" si="125"/>
        <v>8099.99999999945</v>
      </c>
      <c r="AZ25" s="18">
        <f t="shared" si="8"/>
        <v>12599.9999999985</v>
      </c>
      <c r="BA25" s="18">
        <f t="shared" si="9"/>
        <v>6600.00000000582</v>
      </c>
      <c r="BB25" s="18">
        <f t="shared" si="10"/>
        <v>640</v>
      </c>
      <c r="BC25" s="18">
        <f t="shared" si="23"/>
        <v>1459.99999999971</v>
      </c>
      <c r="BD25" s="18">
        <f t="shared" si="11"/>
        <v>13009.9999999999</v>
      </c>
      <c r="BE25" s="18">
        <f t="shared" si="12"/>
        <v>47700.0000000044</v>
      </c>
      <c r="BF25" s="18">
        <f t="shared" si="24"/>
        <v>60.8000000000029</v>
      </c>
      <c r="BG25" s="21">
        <f t="shared" si="13"/>
        <v>0.314258231984533</v>
      </c>
      <c r="BH25" s="21">
        <f t="shared" si="14"/>
        <v>0.0505975518163769</v>
      </c>
      <c r="BI25" s="21">
        <f t="shared" si="15"/>
        <v>0</v>
      </c>
      <c r="BJ25" s="21">
        <f t="shared" si="16"/>
        <v>0.037618752717641</v>
      </c>
      <c r="BK25" s="21">
        <f t="shared" ref="BK25:BO25" si="126">IF(OR($AD25=0),"",AZ25/$AD25)</f>
        <v>0.0830116084487274</v>
      </c>
      <c r="BL25" s="21">
        <f t="shared" si="126"/>
        <v>0.0434822710922339</v>
      </c>
      <c r="BM25" s="21">
        <f t="shared" si="126"/>
        <v>0.00421646265136442</v>
      </c>
      <c r="BN25" s="21">
        <f t="shared" si="126"/>
        <v>0.00961880542342317</v>
      </c>
      <c r="BO25" s="21">
        <f t="shared" si="126"/>
        <v>0.0857127798347664</v>
      </c>
    </row>
    <row r="26" spans="1:67">
      <c r="A26" s="9">
        <f t="shared" si="26"/>
        <v>44219</v>
      </c>
      <c r="B26" s="10">
        <v>15709.49</v>
      </c>
      <c r="C26" s="8">
        <v>85310.2</v>
      </c>
      <c r="D26" s="8">
        <v>54439.6</v>
      </c>
      <c r="E26" s="8">
        <v>55781.6</v>
      </c>
      <c r="F26" s="8">
        <v>3276.47</v>
      </c>
      <c r="G26" s="8">
        <v>108129.5</v>
      </c>
      <c r="H26" s="8">
        <v>5596.3</v>
      </c>
      <c r="I26" s="8">
        <v>2566.3</v>
      </c>
      <c r="J26" s="8">
        <v>967</v>
      </c>
      <c r="K26" s="8">
        <v>56</v>
      </c>
      <c r="L26" s="8">
        <v>86966.9</v>
      </c>
      <c r="M26" s="8">
        <v>61123.6</v>
      </c>
      <c r="N26" s="8">
        <v>68950.8</v>
      </c>
      <c r="O26" s="8">
        <v>98605.6</v>
      </c>
      <c r="P26" s="8">
        <v>5147.9</v>
      </c>
      <c r="Q26" s="8">
        <v>6967.2</v>
      </c>
      <c r="R26" s="8">
        <v>4212.5</v>
      </c>
      <c r="S26" s="8">
        <v>4857.2</v>
      </c>
      <c r="T26" s="8">
        <v>5954.2</v>
      </c>
      <c r="U26" s="8">
        <v>16580.9</v>
      </c>
      <c r="V26" s="8">
        <v>48838.5</v>
      </c>
      <c r="W26" s="8">
        <v>49143.2</v>
      </c>
      <c r="X26" s="8">
        <v>682</v>
      </c>
      <c r="Y26" s="8">
        <v>629.2</v>
      </c>
      <c r="Z26" s="16">
        <f t="shared" si="0"/>
        <v>50454.4</v>
      </c>
      <c r="AA26" s="8">
        <v>55165</v>
      </c>
      <c r="AB26" s="14">
        <v>932</v>
      </c>
      <c r="AC26" s="7">
        <f t="shared" si="18"/>
        <v>56097</v>
      </c>
      <c r="AD26" s="17">
        <v>169680</v>
      </c>
      <c r="AE26" s="18">
        <f t="shared" ref="AE26:AI26" si="127">IF(OR(C27=""),"",(C27-C26)*80)</f>
        <v>3944.00000000023</v>
      </c>
      <c r="AF26" s="18">
        <f t="shared" si="127"/>
        <v>3192.00000000012</v>
      </c>
      <c r="AG26" s="18">
        <f t="shared" si="127"/>
        <v>32.0000000001164</v>
      </c>
      <c r="AH26" s="18">
        <f t="shared" si="127"/>
        <v>9.60000000002765</v>
      </c>
      <c r="AI26" s="18">
        <f t="shared" si="127"/>
        <v>864.000000000233</v>
      </c>
      <c r="AJ26" s="18">
        <f t="shared" si="2"/>
        <v>8041.60000000073</v>
      </c>
      <c r="AK26" s="18">
        <f t="shared" ref="AK26:AN26" si="128">IF(OR(H27=""),"",(H27-H26)*80)</f>
        <v>0</v>
      </c>
      <c r="AL26" s="18">
        <f t="shared" si="128"/>
        <v>0</v>
      </c>
      <c r="AM26" s="18">
        <f t="shared" si="128"/>
        <v>0</v>
      </c>
      <c r="AN26" s="18">
        <f t="shared" si="128"/>
        <v>0</v>
      </c>
      <c r="AO26" s="18">
        <f t="shared" si="4"/>
        <v>0</v>
      </c>
      <c r="AP26" s="18">
        <f t="shared" ref="AP26:AS26" si="129">IF(OR(L27=""),"",(L27-L26)*100)</f>
        <v>1290.00000000087</v>
      </c>
      <c r="AQ26" s="18">
        <f t="shared" si="129"/>
        <v>0</v>
      </c>
      <c r="AR26" s="18">
        <f t="shared" si="129"/>
        <v>2469.99999999971</v>
      </c>
      <c r="AS26" s="18">
        <f t="shared" si="129"/>
        <v>2379.99999999884</v>
      </c>
      <c r="AT26" s="18">
        <f t="shared" si="6"/>
        <v>6139.99999999942</v>
      </c>
      <c r="AU26" s="18">
        <f t="shared" ref="AU26:AY26" si="130">IF(OR(P27=""),"",(P27-P26)*1000)</f>
        <v>3800.00000000018</v>
      </c>
      <c r="AV26" s="18">
        <f t="shared" si="130"/>
        <v>0</v>
      </c>
      <c r="AW26" s="18">
        <f t="shared" si="130"/>
        <v>0</v>
      </c>
      <c r="AX26" s="18">
        <f t="shared" si="130"/>
        <v>0</v>
      </c>
      <c r="AY26" s="18">
        <f t="shared" si="130"/>
        <v>8699.99999999982</v>
      </c>
      <c r="AZ26" s="18">
        <f t="shared" si="8"/>
        <v>12500</v>
      </c>
      <c r="BA26" s="18">
        <f t="shared" si="9"/>
        <v>8399.99999999418</v>
      </c>
      <c r="BB26" s="18">
        <f t="shared" si="10"/>
        <v>647.999999999884</v>
      </c>
      <c r="BC26" s="18">
        <f t="shared" si="23"/>
        <v>1543.99999999994</v>
      </c>
      <c r="BD26" s="18">
        <f t="shared" si="11"/>
        <v>11526.400000016</v>
      </c>
      <c r="BE26" s="18">
        <f t="shared" si="12"/>
        <v>48800.0000000102</v>
      </c>
      <c r="BF26" s="18">
        <f t="shared" si="24"/>
        <v>63</v>
      </c>
      <c r="BG26" s="21">
        <f t="shared" si="13"/>
        <v>0.287600188590348</v>
      </c>
      <c r="BH26" s="21">
        <f t="shared" si="14"/>
        <v>0.0473927392739317</v>
      </c>
      <c r="BI26" s="21">
        <f t="shared" si="15"/>
        <v>0</v>
      </c>
      <c r="BJ26" s="21">
        <f t="shared" si="16"/>
        <v>0.0361857614332828</v>
      </c>
      <c r="BK26" s="21">
        <f t="shared" ref="BK26:BO26" si="131">IF(OR($AD26=0),"",AZ26/$AD26)</f>
        <v>0.0736680810938237</v>
      </c>
      <c r="BL26" s="21">
        <f t="shared" si="131"/>
        <v>0.0495049504950152</v>
      </c>
      <c r="BM26" s="21">
        <f t="shared" si="131"/>
        <v>0.00381895332390313</v>
      </c>
      <c r="BN26" s="21">
        <f t="shared" si="131"/>
        <v>0.00909948137670876</v>
      </c>
      <c r="BO26" s="21">
        <f t="shared" si="131"/>
        <v>0.0679302215936824</v>
      </c>
    </row>
    <row r="27" spans="1:67">
      <c r="A27" s="9">
        <f t="shared" si="26"/>
        <v>44220</v>
      </c>
      <c r="B27" s="10">
        <v>15714.37</v>
      </c>
      <c r="C27" s="8">
        <v>85359.5</v>
      </c>
      <c r="D27" s="8">
        <v>54479.5</v>
      </c>
      <c r="E27" s="8">
        <v>55782</v>
      </c>
      <c r="F27" s="8">
        <v>3276.59</v>
      </c>
      <c r="G27" s="8">
        <v>108140.3</v>
      </c>
      <c r="H27" s="8">
        <v>5596.3</v>
      </c>
      <c r="I27" s="8">
        <v>2566.3</v>
      </c>
      <c r="J27" s="8">
        <v>967</v>
      </c>
      <c r="K27" s="8">
        <v>56</v>
      </c>
      <c r="L27" s="8">
        <v>86979.8</v>
      </c>
      <c r="M27" s="8">
        <v>61123.6</v>
      </c>
      <c r="N27" s="8">
        <v>68975.5</v>
      </c>
      <c r="O27" s="8">
        <v>98629.4</v>
      </c>
      <c r="P27" s="8">
        <v>5151.7</v>
      </c>
      <c r="Q27" s="8">
        <v>6967.2</v>
      </c>
      <c r="R27" s="8">
        <v>4212.5</v>
      </c>
      <c r="S27" s="8">
        <v>4857.2</v>
      </c>
      <c r="T27" s="8">
        <v>5962.9</v>
      </c>
      <c r="U27" s="8">
        <v>16585.1</v>
      </c>
      <c r="V27" s="8">
        <v>48846.6</v>
      </c>
      <c r="W27" s="8">
        <v>49161.2</v>
      </c>
      <c r="X27" s="8">
        <v>693.6</v>
      </c>
      <c r="Y27" s="8">
        <v>638.2</v>
      </c>
      <c r="Z27" s="16">
        <f t="shared" si="0"/>
        <v>50493</v>
      </c>
      <c r="AA27" s="8">
        <v>55214</v>
      </c>
      <c r="AB27" s="14">
        <v>946</v>
      </c>
      <c r="AC27" s="7">
        <f t="shared" si="18"/>
        <v>56160</v>
      </c>
      <c r="AD27" s="17">
        <v>168021</v>
      </c>
      <c r="AE27" s="18">
        <f t="shared" ref="AE27:AI27" si="132">IF(OR(C28=""),"",(C28-C27)*80)</f>
        <v>3584.00000000023</v>
      </c>
      <c r="AF27" s="18">
        <f t="shared" si="132"/>
        <v>5367.99999999988</v>
      </c>
      <c r="AG27" s="18">
        <f t="shared" si="132"/>
        <v>0</v>
      </c>
      <c r="AH27" s="18">
        <f t="shared" si="132"/>
        <v>3.99999999997817</v>
      </c>
      <c r="AI27" s="18">
        <f t="shared" si="132"/>
        <v>824.000000000233</v>
      </c>
      <c r="AJ27" s="18">
        <f t="shared" si="2"/>
        <v>9780.00000000033</v>
      </c>
      <c r="AK27" s="18">
        <f t="shared" ref="AK27:AN27" si="133">IF(OR(H28=""),"",(H28-H27)*80)</f>
        <v>0</v>
      </c>
      <c r="AL27" s="18">
        <f t="shared" si="133"/>
        <v>0</v>
      </c>
      <c r="AM27" s="18">
        <f t="shared" si="133"/>
        <v>0</v>
      </c>
      <c r="AN27" s="18">
        <f t="shared" si="133"/>
        <v>0</v>
      </c>
      <c r="AO27" s="18">
        <f t="shared" si="4"/>
        <v>0</v>
      </c>
      <c r="AP27" s="18">
        <f t="shared" ref="AP27:AS27" si="134">IF(OR(L28=""),"",(L28-L27)*100)</f>
        <v>1430.00000000029</v>
      </c>
      <c r="AQ27" s="18">
        <f t="shared" si="134"/>
        <v>0</v>
      </c>
      <c r="AR27" s="18">
        <f t="shared" si="134"/>
        <v>2419.99999999971</v>
      </c>
      <c r="AS27" s="18">
        <f t="shared" si="134"/>
        <v>2330.00000000029</v>
      </c>
      <c r="AT27" s="18">
        <f t="shared" si="6"/>
        <v>6180.00000000029</v>
      </c>
      <c r="AU27" s="18">
        <f t="shared" ref="AU27:AY27" si="135">IF(OR(P28=""),"",(P28-P27)*1000)</f>
        <v>1500</v>
      </c>
      <c r="AV27" s="18">
        <f t="shared" si="135"/>
        <v>100.000000000364</v>
      </c>
      <c r="AW27" s="18">
        <f t="shared" si="135"/>
        <v>2899.99999999964</v>
      </c>
      <c r="AX27" s="18">
        <f t="shared" si="135"/>
        <v>0</v>
      </c>
      <c r="AY27" s="18">
        <f t="shared" si="135"/>
        <v>8400.00000000055</v>
      </c>
      <c r="AZ27" s="18">
        <f t="shared" si="8"/>
        <v>12900.0000000005</v>
      </c>
      <c r="BA27" s="18">
        <f t="shared" si="9"/>
        <v>8000</v>
      </c>
      <c r="BB27" s="18">
        <f t="shared" si="10"/>
        <v>664.000000000233</v>
      </c>
      <c r="BC27" s="18">
        <f t="shared" si="23"/>
        <v>1416.00000000006</v>
      </c>
      <c r="BD27" s="18">
        <f t="shared" si="11"/>
        <v>8859.9999999869</v>
      </c>
      <c r="BE27" s="18">
        <f t="shared" si="12"/>
        <v>47799.9999999884</v>
      </c>
      <c r="BF27" s="18">
        <f t="shared" si="24"/>
        <v>53.9000000000015</v>
      </c>
      <c r="BG27" s="21">
        <f t="shared" si="13"/>
        <v>0.284488248492679</v>
      </c>
      <c r="BH27" s="21">
        <f t="shared" si="14"/>
        <v>0.0582070098380579</v>
      </c>
      <c r="BI27" s="21">
        <f t="shared" si="15"/>
        <v>0</v>
      </c>
      <c r="BJ27" s="21">
        <f t="shared" si="16"/>
        <v>0.0367811166461353</v>
      </c>
      <c r="BK27" s="21">
        <f t="shared" ref="BK27:BO27" si="136">IF(OR($AD27=0),"",AZ27/$AD27)</f>
        <v>0.0767761172710587</v>
      </c>
      <c r="BL27" s="21">
        <f t="shared" si="136"/>
        <v>0.0476130959820499</v>
      </c>
      <c r="BM27" s="21">
        <f t="shared" si="136"/>
        <v>0.00395188696651152</v>
      </c>
      <c r="BN27" s="21">
        <f t="shared" si="136"/>
        <v>0.00842751798882317</v>
      </c>
      <c r="BO27" s="21">
        <f t="shared" si="136"/>
        <v>0.0527315038000423</v>
      </c>
    </row>
    <row r="28" spans="1:67">
      <c r="A28" s="9">
        <f t="shared" si="26"/>
        <v>44221</v>
      </c>
      <c r="B28" s="10">
        <v>15719.15</v>
      </c>
      <c r="C28" s="8">
        <v>85404.3</v>
      </c>
      <c r="D28" s="8">
        <v>54546.6</v>
      </c>
      <c r="E28" s="8">
        <v>55782</v>
      </c>
      <c r="F28" s="8">
        <v>3276.64</v>
      </c>
      <c r="G28" s="8">
        <v>108150.6</v>
      </c>
      <c r="H28" s="8">
        <v>5596.3</v>
      </c>
      <c r="I28" s="8">
        <v>2566.3</v>
      </c>
      <c r="J28" s="8">
        <v>967</v>
      </c>
      <c r="K28" s="8">
        <v>56</v>
      </c>
      <c r="L28" s="8">
        <v>86994.1</v>
      </c>
      <c r="M28" s="8">
        <v>61123.6</v>
      </c>
      <c r="N28" s="8">
        <v>68999.7</v>
      </c>
      <c r="O28" s="8">
        <v>98652.7</v>
      </c>
      <c r="P28" s="8">
        <v>5153.2</v>
      </c>
      <c r="Q28" s="8">
        <v>6967.3</v>
      </c>
      <c r="R28" s="8">
        <v>4215.4</v>
      </c>
      <c r="S28" s="8">
        <v>4857.2</v>
      </c>
      <c r="T28" s="8">
        <v>5971.3</v>
      </c>
      <c r="U28" s="8">
        <v>16589.1</v>
      </c>
      <c r="V28" s="8">
        <v>48854.9</v>
      </c>
      <c r="W28" s="8">
        <v>49177.7</v>
      </c>
      <c r="X28" s="8">
        <v>704.2</v>
      </c>
      <c r="Y28" s="8">
        <v>646.5</v>
      </c>
      <c r="Z28" s="16">
        <f t="shared" si="0"/>
        <v>50528.4</v>
      </c>
      <c r="AA28" s="8">
        <v>55255.9</v>
      </c>
      <c r="AB28" s="14">
        <v>958</v>
      </c>
      <c r="AC28" s="7">
        <f t="shared" si="18"/>
        <v>56213.9</v>
      </c>
      <c r="AD28" s="17">
        <v>161841</v>
      </c>
      <c r="AE28" s="18">
        <f t="shared" ref="AE28:AI28" si="137">IF(OR(C29=""),"",(C29-C28)*80)</f>
        <v>3911.99999999953</v>
      </c>
      <c r="AF28" s="18">
        <f t="shared" si="137"/>
        <v>584.000000000233</v>
      </c>
      <c r="AG28" s="18">
        <f t="shared" si="137"/>
        <v>0</v>
      </c>
      <c r="AH28" s="18">
        <f t="shared" si="137"/>
        <v>4.00000000001455</v>
      </c>
      <c r="AI28" s="18">
        <f t="shared" si="137"/>
        <v>783.999999999069</v>
      </c>
      <c r="AJ28" s="18">
        <f t="shared" si="2"/>
        <v>5283.99999999885</v>
      </c>
      <c r="AK28" s="18">
        <f t="shared" ref="AK28:AN28" si="138">IF(OR(H29=""),"",(H29-H28)*80)</f>
        <v>0</v>
      </c>
      <c r="AL28" s="18">
        <f t="shared" si="138"/>
        <v>0</v>
      </c>
      <c r="AM28" s="18">
        <f t="shared" si="138"/>
        <v>0</v>
      </c>
      <c r="AN28" s="18">
        <f t="shared" si="138"/>
        <v>0</v>
      </c>
      <c r="AO28" s="18">
        <f t="shared" si="4"/>
        <v>0</v>
      </c>
      <c r="AP28" s="18">
        <f t="shared" ref="AP28:AS28" si="139">IF(OR(L29=""),"",(L29-L28)*100)</f>
        <v>1269.99999999971</v>
      </c>
      <c r="AQ28" s="18">
        <f t="shared" si="139"/>
        <v>0</v>
      </c>
      <c r="AR28" s="18">
        <f t="shared" si="139"/>
        <v>2480.00000000029</v>
      </c>
      <c r="AS28" s="18">
        <f t="shared" si="139"/>
        <v>2460.00000000058</v>
      </c>
      <c r="AT28" s="18">
        <f t="shared" si="6"/>
        <v>6210.00000000058</v>
      </c>
      <c r="AU28" s="18">
        <f t="shared" ref="AU28:AY28" si="140">IF(OR(P29=""),"",(P29-P28)*1000)</f>
        <v>400.000000000546</v>
      </c>
      <c r="AV28" s="18">
        <f t="shared" si="140"/>
        <v>699.999999999818</v>
      </c>
      <c r="AW28" s="18">
        <f t="shared" si="140"/>
        <v>4200.00000000073</v>
      </c>
      <c r="AX28" s="18">
        <f t="shared" si="140"/>
        <v>0</v>
      </c>
      <c r="AY28" s="18">
        <f t="shared" si="140"/>
        <v>9300.00000000018</v>
      </c>
      <c r="AZ28" s="18">
        <f t="shared" si="8"/>
        <v>14600.0000000013</v>
      </c>
      <c r="BA28" s="18">
        <f t="shared" si="9"/>
        <v>8600.00000000582</v>
      </c>
      <c r="BB28" s="18">
        <f t="shared" si="10"/>
        <v>647.999999999884</v>
      </c>
      <c r="BC28" s="18">
        <f t="shared" si="23"/>
        <v>1516.00000000035</v>
      </c>
      <c r="BD28" s="18">
        <f t="shared" si="11"/>
        <v>15741.9999999954</v>
      </c>
      <c r="BE28" s="18">
        <f t="shared" si="12"/>
        <v>52600.0000000022</v>
      </c>
      <c r="BF28" s="18">
        <f t="shared" si="24"/>
        <v>60.4000000000015</v>
      </c>
      <c r="BG28" s="21">
        <f t="shared" si="13"/>
        <v>0.32501034966419</v>
      </c>
      <c r="BH28" s="21">
        <f t="shared" si="14"/>
        <v>0.0326493286620748</v>
      </c>
      <c r="BI28" s="21">
        <f t="shared" si="15"/>
        <v>0</v>
      </c>
      <c r="BJ28" s="21">
        <f t="shared" si="16"/>
        <v>0.0383709937531317</v>
      </c>
      <c r="BK28" s="21">
        <f t="shared" ref="BK28:BO28" si="141">IF(OR($AD28=0),"",AZ28/$AD28)</f>
        <v>0.0902119981957679</v>
      </c>
      <c r="BL28" s="21">
        <f t="shared" si="141"/>
        <v>0.0531385742797302</v>
      </c>
      <c r="BM28" s="21">
        <f t="shared" si="141"/>
        <v>0.00400392978293438</v>
      </c>
      <c r="BN28" s="21">
        <f t="shared" si="141"/>
        <v>0.00936721844279477</v>
      </c>
      <c r="BO28" s="21">
        <f t="shared" si="141"/>
        <v>0.0972683065477563</v>
      </c>
    </row>
    <row r="29" spans="1:67">
      <c r="A29" s="9">
        <f t="shared" si="26"/>
        <v>44222</v>
      </c>
      <c r="B29" s="10">
        <v>15724.41</v>
      </c>
      <c r="C29" s="8">
        <v>85453.2</v>
      </c>
      <c r="D29" s="8">
        <v>54553.9</v>
      </c>
      <c r="E29" s="8">
        <v>55782</v>
      </c>
      <c r="F29" s="8">
        <v>3276.69</v>
      </c>
      <c r="G29" s="8">
        <v>108160.4</v>
      </c>
      <c r="H29" s="8">
        <v>5596.3</v>
      </c>
      <c r="I29" s="8">
        <v>2566.3</v>
      </c>
      <c r="J29" s="8">
        <v>967</v>
      </c>
      <c r="K29" s="8">
        <v>56</v>
      </c>
      <c r="L29" s="8">
        <v>87006.8</v>
      </c>
      <c r="M29" s="8">
        <v>61123.6</v>
      </c>
      <c r="N29" s="8">
        <v>69024.5</v>
      </c>
      <c r="O29" s="8">
        <v>98677.3</v>
      </c>
      <c r="P29" s="8">
        <v>5153.6</v>
      </c>
      <c r="Q29" s="8">
        <v>6968</v>
      </c>
      <c r="R29" s="8">
        <v>4219.6</v>
      </c>
      <c r="S29" s="8">
        <v>4857.2</v>
      </c>
      <c r="T29" s="8">
        <v>5980.6</v>
      </c>
      <c r="U29" s="8">
        <v>16593.4</v>
      </c>
      <c r="V29" s="8">
        <v>48863</v>
      </c>
      <c r="W29" s="8">
        <v>49195.3</v>
      </c>
      <c r="X29" s="8">
        <v>715.6</v>
      </c>
      <c r="Y29" s="8">
        <v>655.4</v>
      </c>
      <c r="Z29" s="16">
        <f t="shared" si="0"/>
        <v>50566.3</v>
      </c>
      <c r="AA29" s="8">
        <v>55302.3</v>
      </c>
      <c r="AB29" s="14">
        <v>972</v>
      </c>
      <c r="AC29" s="7">
        <f t="shared" si="18"/>
        <v>56274.3</v>
      </c>
      <c r="AD29" s="17">
        <v>149074</v>
      </c>
      <c r="AE29" s="18">
        <f t="shared" ref="AE29:AI29" si="142">IF(OR(C30=""),"",(C30-C29)*80)</f>
        <v>3895.99999999977</v>
      </c>
      <c r="AF29" s="18">
        <f t="shared" si="142"/>
        <v>0</v>
      </c>
      <c r="AG29" s="18">
        <f t="shared" si="142"/>
        <v>0</v>
      </c>
      <c r="AH29" s="18">
        <f t="shared" si="142"/>
        <v>4.79999999999563</v>
      </c>
      <c r="AI29" s="18">
        <f t="shared" si="142"/>
        <v>2032.0000000007</v>
      </c>
      <c r="AJ29" s="18">
        <f t="shared" si="2"/>
        <v>5932.80000000046</v>
      </c>
      <c r="AK29" s="18">
        <f t="shared" ref="AK29:AN29" si="143">IF(OR(H30=""),"",(H30-H29)*80)</f>
        <v>0</v>
      </c>
      <c r="AL29" s="18">
        <f t="shared" si="143"/>
        <v>0</v>
      </c>
      <c r="AM29" s="18">
        <f t="shared" si="143"/>
        <v>0</v>
      </c>
      <c r="AN29" s="18">
        <f t="shared" si="143"/>
        <v>0</v>
      </c>
      <c r="AO29" s="18">
        <f t="shared" si="4"/>
        <v>0</v>
      </c>
      <c r="AP29" s="18">
        <f t="shared" ref="AP29:AS29" si="144">IF(OR(L30=""),"",(L30-L29)*100)</f>
        <v>1300</v>
      </c>
      <c r="AQ29" s="18">
        <f t="shared" si="144"/>
        <v>280.000000000291</v>
      </c>
      <c r="AR29" s="18">
        <f t="shared" si="144"/>
        <v>1900</v>
      </c>
      <c r="AS29" s="18">
        <f t="shared" si="144"/>
        <v>2359.99999999913</v>
      </c>
      <c r="AT29" s="18">
        <f t="shared" si="6"/>
        <v>5839.99999999942</v>
      </c>
      <c r="AU29" s="18">
        <f t="shared" ref="AU29:AY29" si="145">IF(OR(P30=""),"",(P30-P29)*1000)</f>
        <v>3299.99999999927</v>
      </c>
      <c r="AV29" s="18">
        <f t="shared" si="145"/>
        <v>0</v>
      </c>
      <c r="AW29" s="18">
        <f t="shared" si="145"/>
        <v>799.999999999272</v>
      </c>
      <c r="AX29" s="18">
        <f t="shared" si="145"/>
        <v>0</v>
      </c>
      <c r="AY29" s="18">
        <f t="shared" si="145"/>
        <v>9799.99999999927</v>
      </c>
      <c r="AZ29" s="18">
        <f t="shared" si="8"/>
        <v>13899.9999999978</v>
      </c>
      <c r="BA29" s="18">
        <f t="shared" si="9"/>
        <v>8000</v>
      </c>
      <c r="BB29" s="18">
        <f t="shared" si="10"/>
        <v>647.999999999884</v>
      </c>
      <c r="BC29" s="18">
        <f t="shared" si="23"/>
        <v>1491.99999999983</v>
      </c>
      <c r="BD29" s="18">
        <f t="shared" si="11"/>
        <v>12087.2000000113</v>
      </c>
      <c r="BE29" s="18">
        <f t="shared" si="12"/>
        <v>47900.0000000087</v>
      </c>
      <c r="BF29" s="18">
        <f t="shared" si="24"/>
        <v>57.3999999999942</v>
      </c>
      <c r="BG29" s="21">
        <f t="shared" si="13"/>
        <v>0.32131692984698</v>
      </c>
      <c r="BH29" s="21">
        <f t="shared" si="14"/>
        <v>0.0397976843715233</v>
      </c>
      <c r="BI29" s="21">
        <f t="shared" si="15"/>
        <v>0</v>
      </c>
      <c r="BJ29" s="21">
        <f t="shared" si="16"/>
        <v>0.0391751747454245</v>
      </c>
      <c r="BK29" s="21">
        <f t="shared" ref="BK29:BO29" si="146">IF(OR($AD29=0),"",AZ29/$AD29)</f>
        <v>0.0932422823563989</v>
      </c>
      <c r="BL29" s="21">
        <f t="shared" si="146"/>
        <v>0.0536646229389431</v>
      </c>
      <c r="BM29" s="21">
        <f t="shared" si="146"/>
        <v>0.00434683445805361</v>
      </c>
      <c r="BN29" s="21">
        <f t="shared" si="146"/>
        <v>0.0100084521781117</v>
      </c>
      <c r="BO29" s="21">
        <f t="shared" si="146"/>
        <v>0.0810818787985251</v>
      </c>
    </row>
    <row r="30" spans="1:67">
      <c r="A30" s="9">
        <f t="shared" si="26"/>
        <v>44223</v>
      </c>
      <c r="B30" s="10">
        <v>15729.2</v>
      </c>
      <c r="C30" s="8">
        <v>85501.9</v>
      </c>
      <c r="D30" s="8">
        <v>54553.9</v>
      </c>
      <c r="E30" s="8">
        <v>55782</v>
      </c>
      <c r="F30" s="8">
        <v>3276.75</v>
      </c>
      <c r="G30" s="8">
        <v>108185.8</v>
      </c>
      <c r="H30" s="8">
        <v>5596.3</v>
      </c>
      <c r="I30" s="8">
        <v>2566.3</v>
      </c>
      <c r="J30" s="8">
        <v>967</v>
      </c>
      <c r="K30" s="8">
        <v>56</v>
      </c>
      <c r="L30" s="8">
        <v>87019.8</v>
      </c>
      <c r="M30" s="8">
        <v>61126.4</v>
      </c>
      <c r="N30" s="8">
        <v>69043.5</v>
      </c>
      <c r="O30" s="8">
        <v>98700.9</v>
      </c>
      <c r="P30" s="8">
        <v>5156.9</v>
      </c>
      <c r="Q30" s="8">
        <v>6968</v>
      </c>
      <c r="R30" s="8">
        <v>4220.4</v>
      </c>
      <c r="S30" s="8">
        <v>4857.2</v>
      </c>
      <c r="T30" s="8">
        <v>5990.4</v>
      </c>
      <c r="U30" s="8">
        <v>16597.4</v>
      </c>
      <c r="V30" s="8">
        <v>48871.1</v>
      </c>
      <c r="W30" s="8">
        <v>49212.6</v>
      </c>
      <c r="X30" s="8">
        <v>726.9</v>
      </c>
      <c r="Y30" s="8">
        <v>664.1</v>
      </c>
      <c r="Z30" s="16">
        <f t="shared" si="0"/>
        <v>50603.6</v>
      </c>
      <c r="AA30" s="8">
        <v>55346.7</v>
      </c>
      <c r="AB30" s="14">
        <v>985</v>
      </c>
      <c r="AC30" s="7">
        <f t="shared" si="18"/>
        <v>56331.7</v>
      </c>
      <c r="AD30" s="17">
        <v>155606</v>
      </c>
      <c r="AE30" s="18">
        <f t="shared" ref="AE30:AI30" si="147">IF(OR(C31=""),"",(C31-C30)*80)</f>
        <v>3768.00000000047</v>
      </c>
      <c r="AF30" s="18">
        <f t="shared" si="147"/>
        <v>0</v>
      </c>
      <c r="AG30" s="18">
        <f t="shared" si="147"/>
        <v>0</v>
      </c>
      <c r="AH30" s="18">
        <f t="shared" si="147"/>
        <v>4.79999999999563</v>
      </c>
      <c r="AI30" s="18">
        <f t="shared" si="147"/>
        <v>2551.99999999953</v>
      </c>
      <c r="AJ30" s="18">
        <f t="shared" si="2"/>
        <v>6324.8</v>
      </c>
      <c r="AK30" s="18">
        <f t="shared" ref="AK30:AN30" si="148">IF(OR(H31=""),"",(H31-H30)*80)</f>
        <v>0</v>
      </c>
      <c r="AL30" s="18">
        <f t="shared" si="148"/>
        <v>0</v>
      </c>
      <c r="AM30" s="18">
        <f t="shared" si="148"/>
        <v>0</v>
      </c>
      <c r="AN30" s="18">
        <f t="shared" si="148"/>
        <v>0</v>
      </c>
      <c r="AO30" s="18">
        <f t="shared" si="4"/>
        <v>0</v>
      </c>
      <c r="AP30" s="18">
        <f t="shared" ref="AP30:AS30" si="149">IF(OR(L31=""),"",(L31-L30)*100)</f>
        <v>1269.99999999971</v>
      </c>
      <c r="AQ30" s="18">
        <f t="shared" si="149"/>
        <v>0</v>
      </c>
      <c r="AR30" s="18">
        <f t="shared" si="149"/>
        <v>2450</v>
      </c>
      <c r="AS30" s="18">
        <f t="shared" si="149"/>
        <v>2090.00000000087</v>
      </c>
      <c r="AT30" s="18">
        <f t="shared" si="6"/>
        <v>5810.00000000058</v>
      </c>
      <c r="AU30" s="18">
        <f t="shared" ref="AU30:AY30" si="150">IF(OR(P31=""),"",(P31-P30)*1000)</f>
        <v>900.000000000546</v>
      </c>
      <c r="AV30" s="18">
        <f t="shared" si="150"/>
        <v>0</v>
      </c>
      <c r="AW30" s="18">
        <f t="shared" si="150"/>
        <v>0</v>
      </c>
      <c r="AX30" s="18">
        <f t="shared" si="150"/>
        <v>3900.00000000055</v>
      </c>
      <c r="AY30" s="18">
        <f t="shared" si="150"/>
        <v>8600.00000000036</v>
      </c>
      <c r="AZ30" s="18">
        <f t="shared" si="8"/>
        <v>13400.0000000015</v>
      </c>
      <c r="BA30" s="18">
        <f t="shared" si="9"/>
        <v>8000</v>
      </c>
      <c r="BB30" s="18">
        <f t="shared" si="10"/>
        <v>687.999999999884</v>
      </c>
      <c r="BC30" s="18">
        <f t="shared" si="23"/>
        <v>1583.99999999994</v>
      </c>
      <c r="BD30" s="18">
        <f t="shared" si="11"/>
        <v>13193.1999999945</v>
      </c>
      <c r="BE30" s="18">
        <f t="shared" si="12"/>
        <v>48999.9999999964</v>
      </c>
      <c r="BF30" s="18">
        <f t="shared" si="24"/>
        <v>53.9000000000015</v>
      </c>
      <c r="BG30" s="21">
        <f t="shared" si="13"/>
        <v>0.314897883115024</v>
      </c>
      <c r="BH30" s="21">
        <f t="shared" si="14"/>
        <v>0.040646247574001</v>
      </c>
      <c r="BI30" s="21">
        <f t="shared" si="15"/>
        <v>0</v>
      </c>
      <c r="BJ30" s="21">
        <f t="shared" si="16"/>
        <v>0.0373378918550736</v>
      </c>
      <c r="BK30" s="21">
        <f t="shared" ref="BK30:BO30" si="151">IF(OR($AD30=0),"",AZ30/$AD30)</f>
        <v>0.0861149313008589</v>
      </c>
      <c r="BL30" s="21">
        <f t="shared" si="151"/>
        <v>0.0514118992840893</v>
      </c>
      <c r="BM30" s="21">
        <f t="shared" si="151"/>
        <v>0.00442142333843093</v>
      </c>
      <c r="BN30" s="21">
        <f t="shared" si="151"/>
        <v>0.0101795560582493</v>
      </c>
      <c r="BO30" s="21">
        <f t="shared" si="151"/>
        <v>0.0847859337043206</v>
      </c>
    </row>
    <row r="31" spans="1:67">
      <c r="A31" s="9">
        <f t="shared" si="26"/>
        <v>44224</v>
      </c>
      <c r="B31" s="10">
        <v>15734.1</v>
      </c>
      <c r="C31" s="8">
        <v>85549</v>
      </c>
      <c r="D31" s="8">
        <v>54553.9</v>
      </c>
      <c r="E31" s="8">
        <v>55782</v>
      </c>
      <c r="F31" s="8">
        <v>3276.81</v>
      </c>
      <c r="G31" s="8">
        <v>108217.7</v>
      </c>
      <c r="H31" s="8">
        <v>5596.3</v>
      </c>
      <c r="I31" s="8">
        <v>2566.3</v>
      </c>
      <c r="J31" s="8">
        <v>967</v>
      </c>
      <c r="K31" s="8">
        <v>56</v>
      </c>
      <c r="L31" s="8">
        <v>87032.5</v>
      </c>
      <c r="M31" s="8">
        <v>61126.4</v>
      </c>
      <c r="N31" s="8">
        <v>69068</v>
      </c>
      <c r="O31" s="8">
        <v>98721.8</v>
      </c>
      <c r="P31" s="8">
        <v>5157.8</v>
      </c>
      <c r="Q31" s="8">
        <v>6968</v>
      </c>
      <c r="R31" s="8">
        <v>4220.4</v>
      </c>
      <c r="S31" s="8">
        <v>4861.1</v>
      </c>
      <c r="T31" s="8">
        <v>5999</v>
      </c>
      <c r="U31" s="8">
        <v>16601.4</v>
      </c>
      <c r="V31" s="8">
        <v>48879.7</v>
      </c>
      <c r="W31" s="8">
        <v>49230.1</v>
      </c>
      <c r="X31" s="8">
        <v>740.4</v>
      </c>
      <c r="Y31" s="8">
        <v>672.7</v>
      </c>
      <c r="Z31" s="16">
        <f t="shared" si="0"/>
        <v>50643.2</v>
      </c>
      <c r="AA31" s="8">
        <v>55392.6</v>
      </c>
      <c r="AB31" s="14">
        <v>993</v>
      </c>
      <c r="AC31" s="7">
        <f t="shared" si="18"/>
        <v>56385.6</v>
      </c>
      <c r="AD31" s="17">
        <v>155504</v>
      </c>
      <c r="AE31" s="18">
        <f t="shared" ref="AE31:AI31" si="152">IF(OR(C32=""),"",(C32-C31)*80)</f>
        <v>3800</v>
      </c>
      <c r="AF31" s="18">
        <f t="shared" si="152"/>
        <v>0</v>
      </c>
      <c r="AG31" s="18">
        <f t="shared" si="152"/>
        <v>0</v>
      </c>
      <c r="AH31" s="18">
        <f t="shared" si="152"/>
        <v>4.00000000001455</v>
      </c>
      <c r="AI31" s="18">
        <f t="shared" si="152"/>
        <v>2575.99999999977</v>
      </c>
      <c r="AJ31" s="18">
        <f t="shared" si="2"/>
        <v>6379.99999999978</v>
      </c>
      <c r="AK31" s="18">
        <f t="shared" ref="AK31:AN31" si="153">IF(OR(H32=""),"",(H32-H31)*80)</f>
        <v>0</v>
      </c>
      <c r="AL31" s="18">
        <f t="shared" si="153"/>
        <v>0</v>
      </c>
      <c r="AM31" s="18">
        <f t="shared" si="153"/>
        <v>0</v>
      </c>
      <c r="AN31" s="18">
        <f t="shared" si="153"/>
        <v>0</v>
      </c>
      <c r="AO31" s="18">
        <f t="shared" si="4"/>
        <v>0</v>
      </c>
      <c r="AP31" s="18">
        <f t="shared" ref="AP31:AS31" si="154">IF(OR(L32=""),"",(L32-L31)*100)</f>
        <v>1000</v>
      </c>
      <c r="AQ31" s="18">
        <f t="shared" si="154"/>
        <v>0</v>
      </c>
      <c r="AR31" s="18">
        <f t="shared" si="154"/>
        <v>2419.99999999971</v>
      </c>
      <c r="AS31" s="18">
        <f t="shared" si="154"/>
        <v>2309.99999999913</v>
      </c>
      <c r="AT31" s="18">
        <f t="shared" si="6"/>
        <v>5729.99999999884</v>
      </c>
      <c r="AU31" s="18">
        <f t="shared" ref="AU31:AY31" si="155">IF(OR(P32=""),"",(P32-P31)*1000)</f>
        <v>99.9999999994543</v>
      </c>
      <c r="AV31" s="18">
        <f t="shared" si="155"/>
        <v>699.999999999818</v>
      </c>
      <c r="AW31" s="18">
        <f t="shared" si="155"/>
        <v>3200.00000000073</v>
      </c>
      <c r="AX31" s="18">
        <f t="shared" si="155"/>
        <v>899.999999999636</v>
      </c>
      <c r="AY31" s="18">
        <f t="shared" si="155"/>
        <v>8600.00000000036</v>
      </c>
      <c r="AZ31" s="18">
        <f t="shared" si="8"/>
        <v>13500</v>
      </c>
      <c r="BA31" s="18">
        <f t="shared" si="9"/>
        <v>7799.99999999563</v>
      </c>
      <c r="BB31" s="18">
        <f t="shared" si="10"/>
        <v>624.000000000233</v>
      </c>
      <c r="BC31" s="18">
        <f t="shared" si="23"/>
        <v>1587.99999999988</v>
      </c>
      <c r="BD31" s="18">
        <f t="shared" si="11"/>
        <v>13478.0000000042</v>
      </c>
      <c r="BE31" s="18">
        <f t="shared" si="12"/>
        <v>49099.9999999985</v>
      </c>
      <c r="BF31" s="18">
        <f t="shared" si="24"/>
        <v>51.9000000000015</v>
      </c>
      <c r="BG31" s="21">
        <f t="shared" si="13"/>
        <v>0.315747504887325</v>
      </c>
      <c r="BH31" s="21">
        <f t="shared" si="14"/>
        <v>0.0410278835271104</v>
      </c>
      <c r="BI31" s="21">
        <f t="shared" si="15"/>
        <v>0</v>
      </c>
      <c r="BJ31" s="21">
        <f t="shared" si="16"/>
        <v>0.0368479267414268</v>
      </c>
      <c r="BK31" s="21">
        <f t="shared" ref="BK31:BO31" si="156">IF(OR($AD31=0),"",AZ31/$AD31)</f>
        <v>0.0868144870871489</v>
      </c>
      <c r="BL31" s="21">
        <f t="shared" si="156"/>
        <v>0.0501594814281024</v>
      </c>
      <c r="BM31" s="21">
        <f t="shared" si="156"/>
        <v>0.00401275851425193</v>
      </c>
      <c r="BN31" s="21">
        <f t="shared" si="156"/>
        <v>0.0102119559625468</v>
      </c>
      <c r="BO31" s="21">
        <f t="shared" si="156"/>
        <v>0.0866730116267374</v>
      </c>
    </row>
    <row r="32" spans="1:67">
      <c r="A32" s="9">
        <f t="shared" si="26"/>
        <v>44225</v>
      </c>
      <c r="B32" s="10">
        <v>15739.01</v>
      </c>
      <c r="C32" s="8">
        <v>85596.5</v>
      </c>
      <c r="D32" s="8">
        <v>54553.9</v>
      </c>
      <c r="E32" s="8">
        <v>55782</v>
      </c>
      <c r="F32" s="8">
        <v>3276.86</v>
      </c>
      <c r="G32" s="8">
        <v>108249.9</v>
      </c>
      <c r="H32" s="8">
        <v>5596.3</v>
      </c>
      <c r="I32" s="8">
        <v>2566.3</v>
      </c>
      <c r="J32" s="8">
        <v>967</v>
      </c>
      <c r="K32" s="8">
        <v>56</v>
      </c>
      <c r="L32" s="8">
        <v>87042.5</v>
      </c>
      <c r="M32" s="8">
        <v>61126.4</v>
      </c>
      <c r="N32" s="8">
        <v>69092.2</v>
      </c>
      <c r="O32" s="8">
        <v>98744.9</v>
      </c>
      <c r="P32" s="8">
        <v>5157.9</v>
      </c>
      <c r="Q32" s="8">
        <v>6968.7</v>
      </c>
      <c r="R32" s="8">
        <v>4223.6</v>
      </c>
      <c r="S32" s="8">
        <v>4862</v>
      </c>
      <c r="T32" s="8">
        <v>6007.6</v>
      </c>
      <c r="U32" s="8">
        <v>16605.3</v>
      </c>
      <c r="V32" s="8">
        <v>48887.5</v>
      </c>
      <c r="W32" s="8">
        <v>49247.6</v>
      </c>
      <c r="X32" s="8">
        <v>754.1</v>
      </c>
      <c r="Y32" s="8">
        <v>681.2</v>
      </c>
      <c r="Z32" s="16">
        <f t="shared" si="0"/>
        <v>50682.9</v>
      </c>
      <c r="AA32" s="8">
        <v>55437.4</v>
      </c>
      <c r="AB32" s="14">
        <v>1000.1</v>
      </c>
      <c r="AC32" s="7">
        <f t="shared" si="18"/>
        <v>56437.5</v>
      </c>
      <c r="AD32" s="17">
        <v>153318</v>
      </c>
      <c r="AE32" s="18">
        <f t="shared" ref="AE32:AI32" si="157">IF(OR(C33=""),"",(C33-C32)*80)</f>
        <v>3831.99999999953</v>
      </c>
      <c r="AF32" s="18">
        <f t="shared" si="157"/>
        <v>0</v>
      </c>
      <c r="AG32" s="18">
        <f t="shared" si="157"/>
        <v>0</v>
      </c>
      <c r="AH32" s="18">
        <f t="shared" si="157"/>
        <v>0</v>
      </c>
      <c r="AI32" s="18">
        <f t="shared" si="157"/>
        <v>2752.0000000007</v>
      </c>
      <c r="AJ32" s="18">
        <f t="shared" si="2"/>
        <v>6584.00000000023</v>
      </c>
      <c r="AK32" s="18">
        <f t="shared" ref="AK32:AN32" si="158">IF(OR(H33=""),"",(H33-H32)*80)</f>
        <v>0</v>
      </c>
      <c r="AL32" s="18">
        <f t="shared" si="158"/>
        <v>0</v>
      </c>
      <c r="AM32" s="18">
        <f t="shared" si="158"/>
        <v>0</v>
      </c>
      <c r="AN32" s="18">
        <f t="shared" si="158"/>
        <v>0</v>
      </c>
      <c r="AO32" s="18">
        <f t="shared" si="4"/>
        <v>0</v>
      </c>
      <c r="AP32" s="18">
        <f t="shared" ref="AP32:AS32" si="159">IF(OR(L33=""),"",(L33-L32)*100)</f>
        <v>1050</v>
      </c>
      <c r="AQ32" s="18">
        <f t="shared" si="159"/>
        <v>0</v>
      </c>
      <c r="AR32" s="18">
        <f t="shared" si="159"/>
        <v>2540.00000000087</v>
      </c>
      <c r="AS32" s="18">
        <f t="shared" si="159"/>
        <v>2420.00000000116</v>
      </c>
      <c r="AT32" s="18">
        <f t="shared" si="6"/>
        <v>6010.00000000204</v>
      </c>
      <c r="AU32" s="18">
        <f t="shared" ref="AU32:AY32" si="160">IF(OR(P33=""),"",(P33-P32)*1000)</f>
        <v>0</v>
      </c>
      <c r="AV32" s="18">
        <f t="shared" si="160"/>
        <v>4400.00000000055</v>
      </c>
      <c r="AW32" s="18">
        <f t="shared" si="160"/>
        <v>4799.99999999927</v>
      </c>
      <c r="AX32" s="18">
        <f t="shared" si="160"/>
        <v>1199.99999999982</v>
      </c>
      <c r="AY32" s="18">
        <f t="shared" si="160"/>
        <v>1399.99999999964</v>
      </c>
      <c r="AZ32" s="18">
        <f t="shared" si="8"/>
        <v>11799.9999999993</v>
      </c>
      <c r="BA32" s="18">
        <f t="shared" si="9"/>
        <v>6599.99999999854</v>
      </c>
      <c r="BB32" s="18">
        <f t="shared" si="10"/>
        <v>672.000000000116</v>
      </c>
      <c r="BC32" s="18">
        <f t="shared" si="23"/>
        <v>1540.00000000029</v>
      </c>
      <c r="BD32" s="18">
        <f t="shared" si="11"/>
        <v>15693.9999999937</v>
      </c>
      <c r="BE32" s="18">
        <f t="shared" si="12"/>
        <v>48899.9999999942</v>
      </c>
      <c r="BF32" s="18">
        <f t="shared" si="24"/>
        <v>59.5999999999985</v>
      </c>
      <c r="BG32" s="21">
        <f t="shared" si="13"/>
        <v>0.31894493797202</v>
      </c>
      <c r="BH32" s="21">
        <f t="shared" si="14"/>
        <v>0.0429434247772619</v>
      </c>
      <c r="BI32" s="21">
        <f t="shared" si="15"/>
        <v>0</v>
      </c>
      <c r="BJ32" s="21">
        <f t="shared" si="16"/>
        <v>0.0391995721311394</v>
      </c>
      <c r="BK32" s="21">
        <f t="shared" ref="BK32:BO32" si="161">IF(OR($AD32=0),"",AZ32/$AD32)</f>
        <v>0.0769642181609418</v>
      </c>
      <c r="BL32" s="21">
        <f t="shared" si="161"/>
        <v>0.043047783039164</v>
      </c>
      <c r="BM32" s="21">
        <f t="shared" si="161"/>
        <v>0.00438304700035297</v>
      </c>
      <c r="BN32" s="21">
        <f t="shared" si="161"/>
        <v>0.0100444827091424</v>
      </c>
      <c r="BO32" s="21">
        <f t="shared" si="161"/>
        <v>0.102362410154018</v>
      </c>
    </row>
    <row r="33" spans="1:67">
      <c r="A33" s="9">
        <f t="shared" si="26"/>
        <v>44226</v>
      </c>
      <c r="B33" s="10">
        <v>15743.9</v>
      </c>
      <c r="C33" s="8">
        <v>85644.4</v>
      </c>
      <c r="D33" s="8">
        <v>54553.9</v>
      </c>
      <c r="E33" s="8">
        <v>55782</v>
      </c>
      <c r="F33" s="8">
        <v>3276.86</v>
      </c>
      <c r="G33" s="8">
        <v>108284.3</v>
      </c>
      <c r="H33" s="8">
        <v>5596.3</v>
      </c>
      <c r="I33" s="8">
        <v>2566.3</v>
      </c>
      <c r="J33" s="8">
        <v>967</v>
      </c>
      <c r="K33" s="8">
        <v>56</v>
      </c>
      <c r="L33" s="8">
        <v>87053</v>
      </c>
      <c r="M33" s="8">
        <v>61126.4</v>
      </c>
      <c r="N33" s="8">
        <v>69117.6</v>
      </c>
      <c r="O33" s="8">
        <v>98769.1</v>
      </c>
      <c r="P33" s="8">
        <v>5157.9</v>
      </c>
      <c r="Q33" s="8">
        <v>6973.1</v>
      </c>
      <c r="R33" s="8">
        <v>4228.4</v>
      </c>
      <c r="S33" s="8">
        <v>4863.2</v>
      </c>
      <c r="T33" s="8">
        <v>6009</v>
      </c>
      <c r="U33" s="8">
        <v>16608.6</v>
      </c>
      <c r="V33" s="8">
        <v>48895.9</v>
      </c>
      <c r="W33" s="8">
        <v>49265</v>
      </c>
      <c r="X33" s="8">
        <v>766.5</v>
      </c>
      <c r="Y33" s="8">
        <v>689.9</v>
      </c>
      <c r="Z33" s="16">
        <f t="shared" si="0"/>
        <v>50721.4</v>
      </c>
      <c r="AA33" s="8">
        <v>55484.1</v>
      </c>
      <c r="AB33" s="14">
        <v>1013</v>
      </c>
      <c r="AC33" s="7">
        <f t="shared" si="18"/>
        <v>56497.1</v>
      </c>
      <c r="AD33" s="17">
        <v>137391</v>
      </c>
      <c r="AE33" s="18">
        <f t="shared" ref="AE33:AI33" si="162">IF(OR(C34=""),"",(C34-C33)*80)</f>
        <v>3776.00000000093</v>
      </c>
      <c r="AF33" s="18">
        <f t="shared" si="162"/>
        <v>-7.99999999988358</v>
      </c>
      <c r="AG33" s="18">
        <f t="shared" si="162"/>
        <v>0</v>
      </c>
      <c r="AH33" s="18">
        <f t="shared" si="162"/>
        <v>3.19999999999709</v>
      </c>
      <c r="AI33" s="18">
        <f t="shared" si="162"/>
        <v>2600</v>
      </c>
      <c r="AJ33" s="18">
        <f t="shared" si="2"/>
        <v>6371.20000000104</v>
      </c>
      <c r="AK33" s="18">
        <f t="shared" ref="AK33:AN33" si="163">IF(OR(H34=""),"",(H34-H33)*80)</f>
        <v>0</v>
      </c>
      <c r="AL33" s="18">
        <f t="shared" si="163"/>
        <v>0</v>
      </c>
      <c r="AM33" s="18">
        <f t="shared" si="163"/>
        <v>0</v>
      </c>
      <c r="AN33" s="18">
        <f t="shared" si="163"/>
        <v>0</v>
      </c>
      <c r="AO33" s="18">
        <f t="shared" si="4"/>
        <v>0</v>
      </c>
      <c r="AP33" s="18">
        <f t="shared" ref="AP33:AS33" si="164">IF(OR(L34=""),"",(L34-L33)*100)</f>
        <v>2219.99999999971</v>
      </c>
      <c r="AQ33" s="18">
        <f t="shared" si="164"/>
        <v>0</v>
      </c>
      <c r="AR33" s="18">
        <f t="shared" si="164"/>
        <v>459.999999999127</v>
      </c>
      <c r="AS33" s="18">
        <f t="shared" si="164"/>
        <v>2289.99999999942</v>
      </c>
      <c r="AT33" s="18">
        <f t="shared" si="6"/>
        <v>4969.99999999825</v>
      </c>
      <c r="AU33" s="18">
        <f t="shared" ref="AU33:AY33" si="165">IF(OR(P34=""),"",(P34-P33)*1000)</f>
        <v>100.000000000364</v>
      </c>
      <c r="AV33" s="18">
        <f t="shared" si="165"/>
        <v>399.999999999636</v>
      </c>
      <c r="AW33" s="18">
        <f t="shared" si="165"/>
        <v>4200.00000000073</v>
      </c>
      <c r="AX33" s="18">
        <f t="shared" si="165"/>
        <v>4800.00000000018</v>
      </c>
      <c r="AY33" s="18">
        <f t="shared" si="165"/>
        <v>0</v>
      </c>
      <c r="AZ33" s="18">
        <f t="shared" si="8"/>
        <v>9500.00000000091</v>
      </c>
      <c r="BA33" s="18">
        <f t="shared" si="9"/>
        <v>7400.00000000146</v>
      </c>
      <c r="BB33" s="18">
        <f t="shared" si="10"/>
        <v>623.999999999651</v>
      </c>
      <c r="BC33" s="18">
        <f t="shared" si="23"/>
        <v>1583.99999999994</v>
      </c>
      <c r="BD33" s="18">
        <f t="shared" si="11"/>
        <v>16850.7999999944</v>
      </c>
      <c r="BE33" s="18">
        <f t="shared" si="12"/>
        <v>47299.9999999956</v>
      </c>
      <c r="BF33" s="18">
        <f t="shared" si="24"/>
        <v>53.2999999999956</v>
      </c>
      <c r="BG33" s="21">
        <f t="shared" si="13"/>
        <v>0.344272914528576</v>
      </c>
      <c r="BH33" s="21">
        <f t="shared" si="14"/>
        <v>0.0463727609523262</v>
      </c>
      <c r="BI33" s="21">
        <f t="shared" si="15"/>
        <v>0</v>
      </c>
      <c r="BJ33" s="21">
        <f t="shared" si="16"/>
        <v>0.0361741307654668</v>
      </c>
      <c r="BK33" s="21">
        <f t="shared" ref="BK33:BO33" si="166">IF(OR($AD33=0),"",AZ33/$AD33)</f>
        <v>0.0691457227911647</v>
      </c>
      <c r="BL33" s="21">
        <f t="shared" si="166"/>
        <v>0.0538608788057548</v>
      </c>
      <c r="BM33" s="21">
        <f t="shared" si="166"/>
        <v>0.00454178221280616</v>
      </c>
      <c r="BN33" s="21">
        <f t="shared" si="166"/>
        <v>0.0115291394632832</v>
      </c>
      <c r="BO33" s="21">
        <f t="shared" si="166"/>
        <v>0.122648499537775</v>
      </c>
    </row>
    <row r="34" spans="1:67">
      <c r="A34" s="9">
        <f t="shared" si="26"/>
        <v>44227</v>
      </c>
      <c r="B34" s="7">
        <v>15748.63</v>
      </c>
      <c r="C34" s="8">
        <v>85691.6</v>
      </c>
      <c r="D34" s="8">
        <v>54553.8</v>
      </c>
      <c r="E34" s="8">
        <v>55782</v>
      </c>
      <c r="F34" s="8">
        <v>3276.9</v>
      </c>
      <c r="G34" s="8">
        <v>108316.8</v>
      </c>
      <c r="H34" s="8">
        <v>5596.3</v>
      </c>
      <c r="I34" s="8">
        <v>2566.3</v>
      </c>
      <c r="J34" s="8">
        <v>967</v>
      </c>
      <c r="K34" s="8">
        <v>56</v>
      </c>
      <c r="L34" s="8">
        <v>87075.2</v>
      </c>
      <c r="M34" s="8">
        <v>61126.4</v>
      </c>
      <c r="N34" s="8">
        <v>69122.2</v>
      </c>
      <c r="O34" s="8">
        <v>98792</v>
      </c>
      <c r="P34" s="8">
        <v>5158</v>
      </c>
      <c r="Q34" s="8">
        <v>6973.5</v>
      </c>
      <c r="R34" s="8">
        <v>4232.6</v>
      </c>
      <c r="S34" s="8">
        <v>4868</v>
      </c>
      <c r="T34" s="8">
        <v>6009</v>
      </c>
      <c r="U34" s="8">
        <v>16612.3</v>
      </c>
      <c r="V34" s="8">
        <v>48903.7</v>
      </c>
      <c r="W34" s="8">
        <v>49282.1</v>
      </c>
      <c r="X34" s="8">
        <v>780.3</v>
      </c>
      <c r="Y34" s="8">
        <v>698.6</v>
      </c>
      <c r="Z34" s="16">
        <f t="shared" si="0"/>
        <v>50761</v>
      </c>
      <c r="AA34" s="8">
        <v>55530.2</v>
      </c>
      <c r="AB34" s="14">
        <v>1020.2</v>
      </c>
      <c r="AC34" s="7">
        <f t="shared" si="18"/>
        <v>56550.4</v>
      </c>
      <c r="AD34" s="17">
        <v>138231</v>
      </c>
      <c r="AE34" s="18">
        <f t="shared" ref="AE34:AI34" si="167">IF(OR(C35=""),"",(C35-C34)*80)</f>
        <v>3871.99999999953</v>
      </c>
      <c r="AF34" s="18">
        <f t="shared" si="167"/>
        <v>935.999999999767</v>
      </c>
      <c r="AG34" s="18">
        <f t="shared" si="167"/>
        <v>0</v>
      </c>
      <c r="AH34" s="18">
        <f t="shared" si="167"/>
        <v>10.4000000000087</v>
      </c>
      <c r="AI34" s="18">
        <f t="shared" si="167"/>
        <v>2120</v>
      </c>
      <c r="AJ34" s="18">
        <f t="shared" si="2"/>
        <v>6938.39999999931</v>
      </c>
      <c r="AK34" s="18">
        <f t="shared" ref="AK34:AN34" si="168">IF(OR(H35=""),"",(H35-H34)*80)</f>
        <v>0</v>
      </c>
      <c r="AL34" s="18">
        <f t="shared" si="168"/>
        <v>0</v>
      </c>
      <c r="AM34" s="18">
        <f t="shared" si="168"/>
        <v>0</v>
      </c>
      <c r="AN34" s="18">
        <f t="shared" si="168"/>
        <v>0</v>
      </c>
      <c r="AO34" s="18">
        <f t="shared" si="4"/>
        <v>0</v>
      </c>
      <c r="AP34" s="18">
        <f t="shared" ref="AP34:AS34" si="169">IF(OR(L35=""),"",(L35-L34)*100)</f>
        <v>1950</v>
      </c>
      <c r="AQ34" s="18">
        <f t="shared" si="169"/>
        <v>9.99999999985448</v>
      </c>
      <c r="AR34" s="18">
        <f t="shared" si="169"/>
        <v>810.000000000582</v>
      </c>
      <c r="AS34" s="18">
        <f t="shared" si="169"/>
        <v>2650</v>
      </c>
      <c r="AT34" s="18">
        <f t="shared" si="6"/>
        <v>5420.00000000044</v>
      </c>
      <c r="AU34" s="18">
        <f t="shared" ref="AU34:AY34" si="170">IF(OR(P35=""),"",(P35-P34)*1000)</f>
        <v>0</v>
      </c>
      <c r="AV34" s="18">
        <f t="shared" si="170"/>
        <v>0</v>
      </c>
      <c r="AW34" s="18">
        <f t="shared" si="170"/>
        <v>4299.99999999927</v>
      </c>
      <c r="AX34" s="18">
        <f t="shared" si="170"/>
        <v>5100.00000000036</v>
      </c>
      <c r="AY34" s="18">
        <f t="shared" si="170"/>
        <v>0</v>
      </c>
      <c r="AZ34" s="18">
        <f t="shared" si="8"/>
        <v>9399.99999999964</v>
      </c>
      <c r="BA34" s="18">
        <f t="shared" si="9"/>
        <v>7400.00000000146</v>
      </c>
      <c r="BB34" s="18">
        <f t="shared" si="10"/>
        <v>640</v>
      </c>
      <c r="BC34" s="18">
        <f t="shared" si="23"/>
        <v>1603.99999999994</v>
      </c>
      <c r="BD34" s="18">
        <f t="shared" si="11"/>
        <v>18697.6000000014</v>
      </c>
      <c r="BE34" s="18">
        <f t="shared" si="12"/>
        <v>50100.0000000022</v>
      </c>
      <c r="BF34" s="18">
        <f t="shared" si="24"/>
        <v>57.8000000000029</v>
      </c>
      <c r="BG34" s="21">
        <f t="shared" si="13"/>
        <v>0.362436790589681</v>
      </c>
      <c r="BH34" s="21">
        <f t="shared" si="14"/>
        <v>0.0501942400763889</v>
      </c>
      <c r="BI34" s="21">
        <f t="shared" si="15"/>
        <v>0</v>
      </c>
      <c r="BJ34" s="21">
        <f t="shared" si="16"/>
        <v>0.0392097286426376</v>
      </c>
      <c r="BK34" s="21">
        <f t="shared" ref="BK34:BO34" si="171">IF(OR($AD34=0),"",AZ34/$AD34)</f>
        <v>0.0680021124060423</v>
      </c>
      <c r="BL34" s="21">
        <f t="shared" si="171"/>
        <v>0.0535335778515778</v>
      </c>
      <c r="BM34" s="21">
        <f t="shared" si="171"/>
        <v>0.00462993105743285</v>
      </c>
      <c r="BN34" s="21">
        <f t="shared" si="171"/>
        <v>0.0116037647126907</v>
      </c>
      <c r="BO34" s="21">
        <f t="shared" si="171"/>
        <v>0.135263435842911</v>
      </c>
    </row>
    <row r="35" spans="1:67">
      <c r="A35" s="9">
        <f t="shared" si="26"/>
        <v>44228</v>
      </c>
      <c r="B35" s="10">
        <v>15753.64</v>
      </c>
      <c r="C35" s="11">
        <v>85740</v>
      </c>
      <c r="D35" s="11">
        <v>54565.5</v>
      </c>
      <c r="E35" s="11">
        <v>55782</v>
      </c>
      <c r="F35" s="11">
        <v>3277.03</v>
      </c>
      <c r="G35" s="11">
        <v>108343.3</v>
      </c>
      <c r="H35" s="8">
        <v>5596.3</v>
      </c>
      <c r="I35" s="8">
        <v>2566.3</v>
      </c>
      <c r="J35" s="8">
        <v>967</v>
      </c>
      <c r="K35" s="8">
        <v>56</v>
      </c>
      <c r="L35" s="11">
        <v>87094.7</v>
      </c>
      <c r="M35" s="11">
        <v>61126.5</v>
      </c>
      <c r="N35" s="11">
        <v>69130.3</v>
      </c>
      <c r="O35" s="11">
        <v>98818.5</v>
      </c>
      <c r="P35" s="11">
        <v>5158</v>
      </c>
      <c r="Q35" s="11">
        <v>6973.5</v>
      </c>
      <c r="R35" s="11">
        <v>4236.9</v>
      </c>
      <c r="S35" s="11">
        <v>4873.1</v>
      </c>
      <c r="T35" s="11">
        <v>6009</v>
      </c>
      <c r="U35" s="11">
        <v>16616</v>
      </c>
      <c r="V35" s="11">
        <v>48911.7</v>
      </c>
      <c r="W35" s="11">
        <v>49299.8</v>
      </c>
      <c r="X35" s="11">
        <v>794.1</v>
      </c>
      <c r="Y35" s="11">
        <v>707.2</v>
      </c>
      <c r="Z35" s="16">
        <f t="shared" si="0"/>
        <v>50801.1</v>
      </c>
      <c r="AA35" s="11">
        <v>55577.2</v>
      </c>
      <c r="AB35" s="14">
        <v>1031</v>
      </c>
      <c r="AC35" s="7">
        <f t="shared" si="18"/>
        <v>56608.2</v>
      </c>
      <c r="BE35" s="22" t="s">
        <v>44</v>
      </c>
      <c r="BF35" s="22" t="s">
        <v>19</v>
      </c>
      <c r="BG35" s="23">
        <f>SUM(BE4:BE34)</f>
        <v>1411800</v>
      </c>
      <c r="BH35" s="23">
        <f>SUM(AJ4:AJ34)</f>
        <v>196832.8</v>
      </c>
      <c r="BI35" s="23">
        <f>SUM(AO4:AO34)</f>
        <v>0</v>
      </c>
      <c r="BJ35" s="23">
        <f>SUM(AT4:AT34)</f>
        <v>168560.000000001</v>
      </c>
      <c r="BK35" s="23">
        <f>SUM(AZ4:AZ34)</f>
        <v>369700</v>
      </c>
      <c r="BL35" s="23">
        <f>SUM(BA4:BA34)</f>
        <v>214000</v>
      </c>
      <c r="BM35" s="23">
        <f>SUM(BB4:BB34)</f>
        <v>12935.9999999998</v>
      </c>
      <c r="BN35" s="23">
        <f>SUM(BC4:BC34)</f>
        <v>47960</v>
      </c>
      <c r="BO35" s="23">
        <f>SUM(BD4:BD34)</f>
        <v>401811.200000002</v>
      </c>
    </row>
    <row r="36" spans="37:67"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22">
        <f>SUM(AD4:AD34)</f>
        <v>4490455</v>
      </c>
      <c r="BF36" s="22" t="s">
        <v>21</v>
      </c>
      <c r="BG36" s="24">
        <f>IF(OR(BG35=0),"",ROUND(BG35/$BE$36,3))</f>
        <v>0.314</v>
      </c>
      <c r="BH36" s="24">
        <f t="shared" ref="BH36:BO36" si="172">IF(OR(BH35=0),"",ROUND(BH35/$BE$36,4))</f>
        <v>0.0438</v>
      </c>
      <c r="BI36" s="24" t="str">
        <f t="shared" si="172"/>
        <v/>
      </c>
      <c r="BJ36" s="24">
        <f t="shared" si="172"/>
        <v>0.0375</v>
      </c>
      <c r="BK36" s="24">
        <f t="shared" si="172"/>
        <v>0.0823</v>
      </c>
      <c r="BL36" s="24">
        <f t="shared" si="172"/>
        <v>0.0477</v>
      </c>
      <c r="BM36" s="24">
        <f t="shared" si="172"/>
        <v>0.0029</v>
      </c>
      <c r="BN36" s="24">
        <f t="shared" si="172"/>
        <v>0.0107</v>
      </c>
      <c r="BO36" s="24">
        <f t="shared" si="172"/>
        <v>0.0895</v>
      </c>
    </row>
  </sheetData>
  <mergeCells count="35">
    <mergeCell ref="A1:BO1"/>
    <mergeCell ref="C2:G2"/>
    <mergeCell ref="H2:K2"/>
    <mergeCell ref="L2:O2"/>
    <mergeCell ref="P2:T2"/>
    <mergeCell ref="X2:Y2"/>
    <mergeCell ref="AE2:AJ2"/>
    <mergeCell ref="AK2:AO2"/>
    <mergeCell ref="AP2:AT2"/>
    <mergeCell ref="AU2:AZ2"/>
    <mergeCell ref="A2:A3"/>
    <mergeCell ref="B2:B3"/>
    <mergeCell ref="U2:U3"/>
    <mergeCell ref="V2:V3"/>
    <mergeCell ref="W2:W3"/>
    <mergeCell ref="Z2:Z3"/>
    <mergeCell ref="AA2:AA3"/>
    <mergeCell ref="AB2:AB3"/>
    <mergeCell ref="AC2:AC3"/>
    <mergeCell ref="AD2:AD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"/>
  <sheetViews>
    <sheetView showGridLines="0" zoomScale="110" zoomScaleNormal="110" workbookViewId="0">
      <pane xSplit="1" ySplit="3" topLeftCell="B4" activePane="bottomRight" state="frozen"/>
      <selection/>
      <selection pane="topRight"/>
      <selection pane="bottomLeft"/>
      <selection pane="bottomRight" activeCell="BG31" sqref="BG31:BO31"/>
    </sheetView>
  </sheetViews>
  <sheetFormatPr defaultColWidth="9" defaultRowHeight="14.25"/>
  <cols>
    <col min="1" max="1" width="7" style="1" customWidth="1"/>
    <col min="2" max="2" width="8.375" style="2" customWidth="1"/>
    <col min="3" max="6" width="7.5" style="3" customWidth="1"/>
    <col min="7" max="7" width="9.125" style="3" customWidth="1"/>
    <col min="8" max="9" width="6.625" style="3" customWidth="1"/>
    <col min="10" max="10" width="5.75" style="3" customWidth="1"/>
    <col min="11" max="11" width="4.875" style="3" customWidth="1"/>
    <col min="12" max="15" width="7.5" style="3" customWidth="1"/>
    <col min="16" max="20" width="6.625" style="3" customWidth="1"/>
    <col min="21" max="24" width="7.5" style="3" customWidth="1"/>
    <col min="25" max="26" width="8.25" style="3" customWidth="1"/>
    <col min="27" max="28" width="7.5" style="3" customWidth="1"/>
    <col min="29" max="29" width="8.5" style="3" customWidth="1"/>
    <col min="30" max="30" width="6.75" style="3" customWidth="1"/>
    <col min="31" max="31" width="5.125" style="1" customWidth="1"/>
    <col min="32" max="32" width="5.25" style="1" customWidth="1"/>
    <col min="33" max="33" width="5.375" style="1" customWidth="1"/>
    <col min="34" max="34" width="5.875" style="1" customWidth="1"/>
    <col min="35" max="35" width="4.875" style="1" customWidth="1"/>
    <col min="36" max="36" width="6.625" style="1" customWidth="1"/>
    <col min="37" max="40" width="4" style="1" customWidth="1"/>
    <col min="41" max="41" width="6.625" style="1" customWidth="1"/>
    <col min="42" max="43" width="5.375" style="1" customWidth="1"/>
    <col min="44" max="44" width="5.875" style="1" customWidth="1"/>
    <col min="45" max="45" width="5.75" style="1" customWidth="1"/>
    <col min="46" max="46" width="6.625" style="1" customWidth="1"/>
    <col min="47" max="51" width="5.5" style="1" customWidth="1"/>
    <col min="52" max="54" width="6.625" style="1" customWidth="1"/>
    <col min="55" max="55" width="7.875" style="1" customWidth="1"/>
    <col min="56" max="56" width="8.125" style="1" customWidth="1"/>
    <col min="57" max="57" width="5.875" style="1" customWidth="1"/>
    <col min="58" max="58" width="6.625" style="1" customWidth="1"/>
    <col min="59" max="59" width="6.125" style="1" customWidth="1"/>
    <col min="60" max="60" width="7" style="1" customWidth="1"/>
    <col min="61" max="61" width="6.5" style="1" customWidth="1"/>
    <col min="62" max="62" width="6.375" style="1" customWidth="1"/>
    <col min="63" max="64" width="6.125" style="1" customWidth="1"/>
    <col min="65" max="65" width="6.375" style="1" customWidth="1"/>
    <col min="66" max="66" width="6.5" style="1" customWidth="1"/>
    <col min="67" max="67" width="6.875" style="1" customWidth="1"/>
    <col min="68" max="16384" width="9" style="1"/>
  </cols>
  <sheetData>
    <row r="1" spans="1:6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25"/>
    </row>
    <row r="2" spans="1:67">
      <c r="A2" s="6"/>
      <c r="B2" s="7" t="s">
        <v>0</v>
      </c>
      <c r="C2" s="8" t="s">
        <v>1</v>
      </c>
      <c r="D2" s="8"/>
      <c r="E2" s="8"/>
      <c r="F2" s="8"/>
      <c r="G2" s="8"/>
      <c r="H2" s="8" t="s">
        <v>2</v>
      </c>
      <c r="I2" s="8"/>
      <c r="J2" s="8"/>
      <c r="K2" s="8"/>
      <c r="L2" s="8" t="s">
        <v>3</v>
      </c>
      <c r="M2" s="8"/>
      <c r="N2" s="8"/>
      <c r="O2" s="8"/>
      <c r="P2" s="8" t="s">
        <v>4</v>
      </c>
      <c r="Q2" s="8"/>
      <c r="R2" s="8"/>
      <c r="S2" s="8"/>
      <c r="T2" s="8"/>
      <c r="U2" s="8" t="s">
        <v>5</v>
      </c>
      <c r="V2" s="8" t="s">
        <v>6</v>
      </c>
      <c r="W2" s="8" t="s">
        <v>7</v>
      </c>
      <c r="X2" s="12" t="s">
        <v>8</v>
      </c>
      <c r="Y2" s="14"/>
      <c r="Z2" s="8" t="s">
        <v>9</v>
      </c>
      <c r="AA2" s="8" t="s">
        <v>10</v>
      </c>
      <c r="AB2" s="8" t="s">
        <v>11</v>
      </c>
      <c r="AC2" s="8" t="s">
        <v>12</v>
      </c>
      <c r="AD2" s="6" t="s">
        <v>13</v>
      </c>
      <c r="AE2" s="15" t="s">
        <v>14</v>
      </c>
      <c r="AF2" s="15"/>
      <c r="AG2" s="15"/>
      <c r="AH2" s="15"/>
      <c r="AI2" s="15"/>
      <c r="AJ2" s="15"/>
      <c r="AK2" s="15" t="s">
        <v>2</v>
      </c>
      <c r="AL2" s="15"/>
      <c r="AM2" s="15"/>
      <c r="AN2" s="15"/>
      <c r="AO2" s="15"/>
      <c r="AP2" s="15" t="s">
        <v>3</v>
      </c>
      <c r="AQ2" s="15"/>
      <c r="AR2" s="15"/>
      <c r="AS2" s="15"/>
      <c r="AT2" s="15"/>
      <c r="AU2" s="15" t="s">
        <v>4</v>
      </c>
      <c r="AV2" s="15"/>
      <c r="AW2" s="15"/>
      <c r="AX2" s="15"/>
      <c r="AY2" s="15"/>
      <c r="AZ2" s="15"/>
      <c r="BA2" s="15" t="s">
        <v>15</v>
      </c>
      <c r="BB2" s="15" t="s">
        <v>16</v>
      </c>
      <c r="BC2" s="15" t="s">
        <v>17</v>
      </c>
      <c r="BD2" s="15" t="s">
        <v>18</v>
      </c>
      <c r="BE2" s="15" t="s">
        <v>19</v>
      </c>
      <c r="BF2" s="15" t="s">
        <v>20</v>
      </c>
      <c r="BG2" s="21" t="s">
        <v>21</v>
      </c>
      <c r="BH2" s="21" t="s">
        <v>22</v>
      </c>
      <c r="BI2" s="21" t="s">
        <v>23</v>
      </c>
      <c r="BJ2" s="21" t="s">
        <v>24</v>
      </c>
      <c r="BK2" s="21" t="s">
        <v>25</v>
      </c>
      <c r="BL2" s="21" t="s">
        <v>26</v>
      </c>
      <c r="BM2" s="21" t="s">
        <v>27</v>
      </c>
      <c r="BN2" s="21" t="s">
        <v>28</v>
      </c>
      <c r="BO2" s="21" t="s">
        <v>29</v>
      </c>
    </row>
    <row r="3" spans="1:67">
      <c r="A3" s="6"/>
      <c r="B3" s="7"/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/>
      <c r="V3" s="8"/>
      <c r="W3" s="8"/>
      <c r="X3" s="8" t="s">
        <v>40</v>
      </c>
      <c r="Y3" s="8" t="s">
        <v>41</v>
      </c>
      <c r="Z3" s="8"/>
      <c r="AA3" s="8"/>
      <c r="AB3" s="8"/>
      <c r="AC3" s="8"/>
      <c r="AD3" s="6"/>
      <c r="AE3" s="15" t="s">
        <v>30</v>
      </c>
      <c r="AF3" s="15" t="s">
        <v>31</v>
      </c>
      <c r="AG3" s="15" t="s">
        <v>32</v>
      </c>
      <c r="AH3" s="15" t="s">
        <v>33</v>
      </c>
      <c r="AI3" s="15" t="s">
        <v>34</v>
      </c>
      <c r="AJ3" s="15" t="s">
        <v>42</v>
      </c>
      <c r="AK3" s="15" t="s">
        <v>30</v>
      </c>
      <c r="AL3" s="15" t="s">
        <v>31</v>
      </c>
      <c r="AM3" s="15" t="s">
        <v>32</v>
      </c>
      <c r="AN3" s="15" t="s">
        <v>33</v>
      </c>
      <c r="AO3" s="15" t="s">
        <v>42</v>
      </c>
      <c r="AP3" s="15" t="s">
        <v>30</v>
      </c>
      <c r="AQ3" s="15" t="s">
        <v>31</v>
      </c>
      <c r="AR3" s="15" t="s">
        <v>32</v>
      </c>
      <c r="AS3" s="15" t="s">
        <v>33</v>
      </c>
      <c r="AT3" s="15" t="s">
        <v>42</v>
      </c>
      <c r="AU3" s="15" t="s">
        <v>35</v>
      </c>
      <c r="AV3" s="15" t="s">
        <v>36</v>
      </c>
      <c r="AW3" s="15" t="s">
        <v>37</v>
      </c>
      <c r="AX3" s="15" t="s">
        <v>38</v>
      </c>
      <c r="AY3" s="15" t="s">
        <v>39</v>
      </c>
      <c r="AZ3" s="15" t="s">
        <v>43</v>
      </c>
      <c r="BA3" s="20"/>
      <c r="BB3" s="20"/>
      <c r="BC3" s="20"/>
      <c r="BD3" s="20"/>
      <c r="BE3" s="20"/>
      <c r="BF3" s="20"/>
      <c r="BG3" s="21"/>
      <c r="BH3" s="21"/>
      <c r="BI3" s="21"/>
      <c r="BJ3" s="21"/>
      <c r="BK3" s="21"/>
      <c r="BL3" s="21"/>
      <c r="BM3" s="21"/>
      <c r="BN3" s="21"/>
      <c r="BO3" s="21"/>
    </row>
    <row r="4" spans="1:67">
      <c r="A4" s="9">
        <f>'1'!A35</f>
        <v>44228</v>
      </c>
      <c r="B4" s="10">
        <v>15753.64</v>
      </c>
      <c r="C4" s="11">
        <v>85740</v>
      </c>
      <c r="D4" s="11">
        <v>54565.5</v>
      </c>
      <c r="E4" s="11">
        <v>55782</v>
      </c>
      <c r="F4" s="11">
        <v>3277.03</v>
      </c>
      <c r="G4" s="11">
        <v>108343.3</v>
      </c>
      <c r="H4" s="8">
        <v>5596.3</v>
      </c>
      <c r="I4" s="8">
        <v>2566.3</v>
      </c>
      <c r="J4" s="8">
        <v>967</v>
      </c>
      <c r="K4" s="8">
        <v>56</v>
      </c>
      <c r="L4" s="11">
        <v>87094.7</v>
      </c>
      <c r="M4" s="11">
        <v>61126.5</v>
      </c>
      <c r="N4" s="11">
        <v>69130.3</v>
      </c>
      <c r="O4" s="11">
        <v>98818.5</v>
      </c>
      <c r="P4" s="11">
        <v>5158</v>
      </c>
      <c r="Q4" s="11">
        <v>6973.5</v>
      </c>
      <c r="R4" s="11">
        <v>4236.9</v>
      </c>
      <c r="S4" s="11">
        <v>4873.1</v>
      </c>
      <c r="T4" s="11">
        <v>6009</v>
      </c>
      <c r="U4" s="11">
        <v>16616</v>
      </c>
      <c r="V4" s="11">
        <v>48911.7</v>
      </c>
      <c r="W4" s="11">
        <v>49299.8</v>
      </c>
      <c r="X4" s="11">
        <v>794.1</v>
      </c>
      <c r="Y4" s="11">
        <v>707.2</v>
      </c>
      <c r="Z4" s="16">
        <f t="shared" ref="Z4" si="0">IF(OR(W4=""),"",(W4+X4+Y4))</f>
        <v>50801.1</v>
      </c>
      <c r="AA4" s="11">
        <v>55577.2</v>
      </c>
      <c r="AB4" s="14">
        <v>1031</v>
      </c>
      <c r="AC4" s="7">
        <f t="shared" ref="AC4" si="1">IF(OR(AA4=""),"",(AA4+AB4))</f>
        <v>56608.2</v>
      </c>
      <c r="AD4" s="17">
        <v>154968</v>
      </c>
      <c r="AE4" s="18">
        <f t="shared" ref="AE4:AI4" si="2">IF(OR(C5=""),"",(C5-C4)*80)</f>
        <v>328.000000000466</v>
      </c>
      <c r="AF4" s="18">
        <f t="shared" si="2"/>
        <v>1047.99999999988</v>
      </c>
      <c r="AG4" s="18">
        <f t="shared" si="2"/>
        <v>0</v>
      </c>
      <c r="AH4" s="18">
        <f t="shared" si="2"/>
        <v>1385.59999999998</v>
      </c>
      <c r="AI4" s="18">
        <f t="shared" si="2"/>
        <v>2367.9999999993</v>
      </c>
      <c r="AJ4" s="18">
        <f t="shared" ref="AJ4:AJ34" si="3">IF(OR(AE4="",AF4="",AG4=""),"",AE4+AF4+AG4+AH4+AI4)</f>
        <v>5129.59999999963</v>
      </c>
      <c r="AK4" s="18">
        <f t="shared" ref="AK4:AN4" si="4">IF(OR(H5=""),"",(H5-H4)*80)</f>
        <v>0</v>
      </c>
      <c r="AL4" s="18">
        <f t="shared" si="4"/>
        <v>0</v>
      </c>
      <c r="AM4" s="18">
        <f t="shared" si="4"/>
        <v>0</v>
      </c>
      <c r="AN4" s="18">
        <f t="shared" si="4"/>
        <v>0</v>
      </c>
      <c r="AO4" s="18">
        <f t="shared" ref="AO4:AO34" si="5">IF(OR(AK4="",AL4=""),"",AK4+AL4+AM4+AN4)</f>
        <v>0</v>
      </c>
      <c r="AP4" s="18">
        <f t="shared" ref="AP4:AS4" si="6">IF(OR(L5=""),"",(L5-L4)*100)</f>
        <v>1330.00000000029</v>
      </c>
      <c r="AQ4" s="18">
        <f t="shared" si="6"/>
        <v>0</v>
      </c>
      <c r="AR4" s="18">
        <f t="shared" si="6"/>
        <v>1939.99999999942</v>
      </c>
      <c r="AS4" s="18">
        <f t="shared" si="6"/>
        <v>2550</v>
      </c>
      <c r="AT4" s="18">
        <f t="shared" ref="AT4:AT34" si="7">IF(OR(AP4="",AQ4=""),"",AP4+AQ4+AR4+AS4)</f>
        <v>5819.99999999971</v>
      </c>
      <c r="AU4" s="18">
        <f t="shared" ref="AU4:AY4" si="8">IF(OR(P5=""),"",(P5-P4)*1000)</f>
        <v>100.000000000364</v>
      </c>
      <c r="AV4" s="18">
        <f t="shared" si="8"/>
        <v>100.000000000364</v>
      </c>
      <c r="AW4" s="18">
        <f t="shared" si="8"/>
        <v>4500</v>
      </c>
      <c r="AX4" s="18">
        <f t="shared" si="8"/>
        <v>5299.99999999927</v>
      </c>
      <c r="AY4" s="18">
        <f t="shared" si="8"/>
        <v>100.000000000364</v>
      </c>
      <c r="AZ4" s="18">
        <f t="shared" ref="AZ4:AZ34" si="9">IF(OR(AU4="",AV4="",AW4=""),"",AU4+AV4+AW4+AX4+AY4)</f>
        <v>10100.0000000004</v>
      </c>
      <c r="BA4" s="18">
        <f t="shared" ref="BA4:BA34" si="10">IF(OR(U5=""),"",(U5-U4)*2000)</f>
        <v>9599.99999999854</v>
      </c>
      <c r="BB4" s="18">
        <f t="shared" ref="BB4:BB34" si="11">IF(OR(V5=""),"",(V5-V4)*80)</f>
        <v>520</v>
      </c>
      <c r="BC4" s="18">
        <f>IF(OR(Z4=""),"",(Z5-Z4)*40)</f>
        <v>1928.00000000017</v>
      </c>
      <c r="BD4" s="18">
        <f t="shared" ref="BD4:BD34" si="12">IF(OR(BE4="",BC4=""),"",BE4-BC4-BB4-BA4-AZ4-AT4-AO4-AJ4)</f>
        <v>13802.4000000067</v>
      </c>
      <c r="BE4" s="18">
        <f t="shared" ref="BE4:BE34" si="13">IF(OR(B5=""),"",(B5-B4)*10000)</f>
        <v>46900.0000000051</v>
      </c>
      <c r="BF4" s="18">
        <f t="shared" ref="BF4:BF34" si="14">IF(OR(AC5=""),"",AC5-AC4)</f>
        <v>53.7000000000044</v>
      </c>
      <c r="BG4" s="21">
        <f t="shared" ref="BG4:BG34" si="15">IF(OR($AD4=0),"",BE4/$AD4)</f>
        <v>0.302643126322887</v>
      </c>
      <c r="BH4" s="21">
        <f t="shared" ref="BH4:BH34" si="16">IF(OR($AD4=0),"",AJ4/$AD4)</f>
        <v>0.0331010273088614</v>
      </c>
      <c r="BI4" s="21">
        <f t="shared" ref="BI4:BI34" si="17">IF(OR($AD4=0),"",AO4/$AD4)</f>
        <v>0</v>
      </c>
      <c r="BJ4" s="21">
        <f t="shared" ref="BJ4:BJ34" si="18">IF(OR($AD4=0),"",AT4/$AD4)</f>
        <v>0.0375561406225783</v>
      </c>
      <c r="BK4" s="21">
        <f t="shared" ref="BK4:BO4" si="19">IF(OR($AD4=0),"",AZ4/$AD4)</f>
        <v>0.0651747457539645</v>
      </c>
      <c r="BL4" s="21">
        <f t="shared" si="19"/>
        <v>0.0619482731918754</v>
      </c>
      <c r="BM4" s="21">
        <f t="shared" si="19"/>
        <v>0.00335553146456043</v>
      </c>
      <c r="BN4" s="21">
        <f t="shared" si="19"/>
        <v>0.0124412781993713</v>
      </c>
      <c r="BO4" s="21">
        <f t="shared" si="19"/>
        <v>0.0890661297816754</v>
      </c>
    </row>
    <row r="5" spans="1:67">
      <c r="A5" s="9">
        <f t="shared" ref="A5:A32" si="20">A4+1</f>
        <v>44229</v>
      </c>
      <c r="B5" s="10">
        <v>15758.33</v>
      </c>
      <c r="C5" s="8">
        <v>85744.1</v>
      </c>
      <c r="D5" s="8">
        <v>54578.6</v>
      </c>
      <c r="E5" s="8">
        <v>55782</v>
      </c>
      <c r="F5" s="8">
        <v>3294.35</v>
      </c>
      <c r="G5" s="8">
        <v>108372.9</v>
      </c>
      <c r="H5" s="8">
        <v>5596.3</v>
      </c>
      <c r="I5" s="8">
        <v>2566.3</v>
      </c>
      <c r="J5" s="8">
        <v>967</v>
      </c>
      <c r="K5" s="8">
        <v>56</v>
      </c>
      <c r="L5" s="8">
        <v>87108</v>
      </c>
      <c r="M5" s="8">
        <v>61126.5</v>
      </c>
      <c r="N5" s="8">
        <v>69149.7</v>
      </c>
      <c r="O5" s="8">
        <v>98844</v>
      </c>
      <c r="P5" s="8">
        <v>5158.1</v>
      </c>
      <c r="Q5" s="8">
        <v>6973.6</v>
      </c>
      <c r="R5" s="8">
        <v>4241.4</v>
      </c>
      <c r="S5" s="8">
        <v>4878.4</v>
      </c>
      <c r="T5" s="8">
        <v>6009.1</v>
      </c>
      <c r="U5" s="8">
        <v>16620.8</v>
      </c>
      <c r="V5" s="8">
        <v>48918.2</v>
      </c>
      <c r="W5" s="8">
        <v>49317.3</v>
      </c>
      <c r="X5" s="8">
        <v>870.6</v>
      </c>
      <c r="Y5" s="8">
        <v>715.5</v>
      </c>
      <c r="Z5" s="16">
        <v>50849.3</v>
      </c>
      <c r="AA5" s="8">
        <v>55621.9</v>
      </c>
      <c r="AB5" s="14">
        <v>1040</v>
      </c>
      <c r="AC5" s="7">
        <f t="shared" ref="AC5:AC34" si="21">IF(OR(AA5=""),"",(AA5+AB5))</f>
        <v>56661.9</v>
      </c>
      <c r="AD5" s="17">
        <v>146471</v>
      </c>
      <c r="AE5" s="18">
        <f t="shared" ref="AE5:AI5" si="22">IF(OR(C6=""),"",(C6-C5)*80)</f>
        <v>0</v>
      </c>
      <c r="AF5" s="18">
        <f t="shared" si="22"/>
        <v>32.0000000001164</v>
      </c>
      <c r="AG5" s="18">
        <f t="shared" si="22"/>
        <v>0</v>
      </c>
      <c r="AH5" s="18">
        <f t="shared" si="22"/>
        <v>2465.60000000001</v>
      </c>
      <c r="AI5" s="18">
        <f t="shared" si="22"/>
        <v>2624.00000000023</v>
      </c>
      <c r="AJ5" s="18">
        <f t="shared" si="3"/>
        <v>5121.60000000036</v>
      </c>
      <c r="AK5" s="18">
        <f t="shared" ref="AK5:AN5" si="23">IF(OR(H6=""),"",(H6-H5)*80)</f>
        <v>0</v>
      </c>
      <c r="AL5" s="18">
        <f t="shared" si="23"/>
        <v>0</v>
      </c>
      <c r="AM5" s="18">
        <f t="shared" si="23"/>
        <v>0</v>
      </c>
      <c r="AN5" s="18">
        <f t="shared" si="23"/>
        <v>0</v>
      </c>
      <c r="AO5" s="18">
        <f t="shared" si="5"/>
        <v>0</v>
      </c>
      <c r="AP5" s="18">
        <f t="shared" ref="AP5:AS5" si="24">IF(OR(L6=""),"",(L6-L5)*100)</f>
        <v>1280.00000000029</v>
      </c>
      <c r="AQ5" s="18">
        <f t="shared" si="24"/>
        <v>0</v>
      </c>
      <c r="AR5" s="18">
        <f t="shared" si="24"/>
        <v>1830.00000000029</v>
      </c>
      <c r="AS5" s="18">
        <f t="shared" si="24"/>
        <v>2450</v>
      </c>
      <c r="AT5" s="18">
        <f t="shared" si="7"/>
        <v>5560.00000000058</v>
      </c>
      <c r="AU5" s="18">
        <f t="shared" ref="AU5:AY5" si="25">IF(OR(P6=""),"",(P6-P5)*1000)</f>
        <v>0</v>
      </c>
      <c r="AV5" s="18">
        <f t="shared" si="25"/>
        <v>7899.99999999964</v>
      </c>
      <c r="AW5" s="18">
        <f t="shared" si="25"/>
        <v>0</v>
      </c>
      <c r="AX5" s="18">
        <f t="shared" si="25"/>
        <v>5200.00000000073</v>
      </c>
      <c r="AY5" s="18">
        <f t="shared" si="25"/>
        <v>0</v>
      </c>
      <c r="AZ5" s="18">
        <f t="shared" si="9"/>
        <v>13100.0000000004</v>
      </c>
      <c r="BA5" s="18">
        <f t="shared" si="10"/>
        <v>7000</v>
      </c>
      <c r="BB5" s="18">
        <f t="shared" si="11"/>
        <v>608.000000000466</v>
      </c>
      <c r="BC5" s="18">
        <f t="shared" ref="BC5:BC31" si="26">IF(OR(Z5=""),"",(Z6-Z5)*40)</f>
        <v>1235.99999999977</v>
      </c>
      <c r="BD5" s="18">
        <f t="shared" si="12"/>
        <v>14974.4000000006</v>
      </c>
      <c r="BE5" s="18">
        <f t="shared" si="13"/>
        <v>47600.0000000022</v>
      </c>
      <c r="BF5" s="18">
        <f t="shared" si="14"/>
        <v>54.4000000000015</v>
      </c>
      <c r="BG5" s="21">
        <f t="shared" si="15"/>
        <v>0.32497900608313</v>
      </c>
      <c r="BH5" s="21">
        <f t="shared" si="16"/>
        <v>0.0349666486881387</v>
      </c>
      <c r="BI5" s="21">
        <f t="shared" si="17"/>
        <v>0</v>
      </c>
      <c r="BJ5" s="21">
        <f t="shared" si="18"/>
        <v>0.0379597326433259</v>
      </c>
      <c r="BK5" s="21">
        <f t="shared" ref="BK5:BO5" si="27">IF(OR($AD5=0),"",AZ5/$AD5)</f>
        <v>0.0894374995732969</v>
      </c>
      <c r="BL5" s="21">
        <f t="shared" si="27"/>
        <v>0.0477910303063405</v>
      </c>
      <c r="BM5" s="21">
        <f t="shared" si="27"/>
        <v>0.00415099234661104</v>
      </c>
      <c r="BN5" s="21">
        <f t="shared" si="27"/>
        <v>0.00843853049408939</v>
      </c>
      <c r="BO5" s="21">
        <f t="shared" si="27"/>
        <v>0.102234572031328</v>
      </c>
    </row>
    <row r="6" spans="1:67">
      <c r="A6" s="9">
        <f t="shared" si="20"/>
        <v>44230</v>
      </c>
      <c r="B6" s="10">
        <v>15763.09</v>
      </c>
      <c r="C6" s="8">
        <v>85744.1</v>
      </c>
      <c r="D6" s="8">
        <v>54579</v>
      </c>
      <c r="E6" s="8">
        <v>55782</v>
      </c>
      <c r="F6" s="8">
        <v>3325.17</v>
      </c>
      <c r="G6" s="8">
        <v>108405.7</v>
      </c>
      <c r="H6" s="8">
        <v>5596.3</v>
      </c>
      <c r="I6" s="8">
        <v>2566.3</v>
      </c>
      <c r="J6" s="8">
        <v>967</v>
      </c>
      <c r="K6" s="8">
        <v>56</v>
      </c>
      <c r="L6" s="8">
        <v>87120.8</v>
      </c>
      <c r="M6" s="8">
        <v>61126.5</v>
      </c>
      <c r="N6" s="8">
        <v>69168</v>
      </c>
      <c r="O6" s="8">
        <v>98868.5</v>
      </c>
      <c r="P6" s="8">
        <v>5158.1</v>
      </c>
      <c r="Q6" s="8">
        <v>6981.5</v>
      </c>
      <c r="R6" s="8">
        <v>4241.4</v>
      </c>
      <c r="S6" s="8">
        <v>4883.6</v>
      </c>
      <c r="T6" s="8">
        <v>6009.1</v>
      </c>
      <c r="U6" s="8">
        <v>16624.3</v>
      </c>
      <c r="V6" s="8">
        <v>48925.8</v>
      </c>
      <c r="W6" s="8">
        <v>49335</v>
      </c>
      <c r="X6" s="8">
        <v>821.2</v>
      </c>
      <c r="Y6" s="8">
        <v>724</v>
      </c>
      <c r="Z6" s="16">
        <f t="shared" ref="Z6:Z35" si="28">IF(OR(W6=""),"",(W6+X6+Y6))</f>
        <v>50880.2</v>
      </c>
      <c r="AA6" s="8">
        <v>55667.3</v>
      </c>
      <c r="AB6" s="14">
        <v>1049</v>
      </c>
      <c r="AC6" s="7">
        <f t="shared" si="21"/>
        <v>56716.3</v>
      </c>
      <c r="AD6" s="17">
        <v>137546</v>
      </c>
      <c r="AE6" s="18">
        <f t="shared" ref="AE6:AI6" si="29">IF(OR(C7=""),"",(C7-C6)*80)</f>
        <v>0</v>
      </c>
      <c r="AF6" s="18">
        <f t="shared" si="29"/>
        <v>855.999999999767</v>
      </c>
      <c r="AG6" s="18">
        <f t="shared" si="29"/>
        <v>0</v>
      </c>
      <c r="AH6" s="18">
        <f t="shared" si="29"/>
        <v>1743.2</v>
      </c>
      <c r="AI6" s="18">
        <f t="shared" si="29"/>
        <v>2104.00000000023</v>
      </c>
      <c r="AJ6" s="18">
        <f t="shared" si="3"/>
        <v>4703.2</v>
      </c>
      <c r="AK6" s="18">
        <f t="shared" ref="AK6:AN6" si="30">IF(OR(H7=""),"",(H7-H6)*80)</f>
        <v>0</v>
      </c>
      <c r="AL6" s="18">
        <f t="shared" si="30"/>
        <v>0</v>
      </c>
      <c r="AM6" s="18">
        <f t="shared" si="30"/>
        <v>0</v>
      </c>
      <c r="AN6" s="18">
        <f t="shared" si="30"/>
        <v>0</v>
      </c>
      <c r="AO6" s="18">
        <f t="shared" si="5"/>
        <v>0</v>
      </c>
      <c r="AP6" s="18">
        <f t="shared" ref="AP6:AS6" si="31">IF(OR(L7=""),"",(L7-L6)*100)</f>
        <v>2689.99999999942</v>
      </c>
      <c r="AQ6" s="18">
        <f t="shared" si="31"/>
        <v>0</v>
      </c>
      <c r="AR6" s="18">
        <f t="shared" si="31"/>
        <v>0</v>
      </c>
      <c r="AS6" s="18">
        <f t="shared" si="31"/>
        <v>2510.00000000058</v>
      </c>
      <c r="AT6" s="18">
        <f t="shared" si="7"/>
        <v>5200</v>
      </c>
      <c r="AU6" s="18">
        <f t="shared" ref="AU6:AY6" si="32">IF(OR(P7=""),"",(P7-P6)*1000)</f>
        <v>0</v>
      </c>
      <c r="AV6" s="18">
        <f t="shared" si="32"/>
        <v>7500</v>
      </c>
      <c r="AW6" s="18">
        <f t="shared" si="32"/>
        <v>300.000000000182</v>
      </c>
      <c r="AX6" s="18">
        <f t="shared" si="32"/>
        <v>5000</v>
      </c>
      <c r="AY6" s="18">
        <f t="shared" si="32"/>
        <v>0</v>
      </c>
      <c r="AZ6" s="18">
        <f t="shared" si="9"/>
        <v>12800.0000000002</v>
      </c>
      <c r="BA6" s="18">
        <f t="shared" si="10"/>
        <v>7400.00000000146</v>
      </c>
      <c r="BB6" s="18">
        <f t="shared" si="11"/>
        <v>607.999999999884</v>
      </c>
      <c r="BC6" s="18">
        <f t="shared" si="26"/>
        <v>1543.99999999994</v>
      </c>
      <c r="BD6" s="18">
        <f t="shared" si="12"/>
        <v>13044.8000000051</v>
      </c>
      <c r="BE6" s="18">
        <f t="shared" si="13"/>
        <v>45300.0000000065</v>
      </c>
      <c r="BF6" s="18">
        <f t="shared" si="14"/>
        <v>57.2999999999956</v>
      </c>
      <c r="BG6" s="21">
        <f t="shared" si="15"/>
        <v>0.329344364794371</v>
      </c>
      <c r="BH6" s="21">
        <f t="shared" si="16"/>
        <v>0.034193651578381</v>
      </c>
      <c r="BI6" s="21">
        <f t="shared" si="17"/>
        <v>0</v>
      </c>
      <c r="BJ6" s="21">
        <f t="shared" si="18"/>
        <v>0.0378055341485758</v>
      </c>
      <c r="BK6" s="21">
        <f t="shared" ref="BK6:BO6" si="33">IF(OR($AD6=0),"",AZ6/$AD6)</f>
        <v>0.0930597763657262</v>
      </c>
      <c r="BL6" s="21">
        <f t="shared" si="33"/>
        <v>0.0538001832114453</v>
      </c>
      <c r="BM6" s="21">
        <f t="shared" si="33"/>
        <v>0.00442033937737109</v>
      </c>
      <c r="BN6" s="21">
        <f t="shared" si="33"/>
        <v>0.0112253355241151</v>
      </c>
      <c r="BO6" s="21">
        <f t="shared" si="33"/>
        <v>0.0948395445887564</v>
      </c>
    </row>
    <row r="7" spans="1:67">
      <c r="A7" s="9">
        <f t="shared" si="20"/>
        <v>44231</v>
      </c>
      <c r="B7" s="10">
        <v>15767.62</v>
      </c>
      <c r="C7" s="8">
        <v>85744.1</v>
      </c>
      <c r="D7" s="8">
        <v>54589.7</v>
      </c>
      <c r="E7" s="8">
        <v>55782</v>
      </c>
      <c r="F7" s="8">
        <v>3346.96</v>
      </c>
      <c r="G7" s="8">
        <v>108432</v>
      </c>
      <c r="H7" s="8">
        <v>5596.3</v>
      </c>
      <c r="I7" s="8">
        <v>2566.3</v>
      </c>
      <c r="J7" s="8">
        <v>967</v>
      </c>
      <c r="K7" s="8">
        <v>56</v>
      </c>
      <c r="L7" s="8">
        <v>87147.7</v>
      </c>
      <c r="M7" s="8">
        <v>61126.5</v>
      </c>
      <c r="N7" s="8">
        <v>69168</v>
      </c>
      <c r="O7" s="8">
        <v>98893.6</v>
      </c>
      <c r="P7" s="8">
        <v>5158.1</v>
      </c>
      <c r="Q7" s="8">
        <v>6989</v>
      </c>
      <c r="R7" s="8">
        <v>4241.7</v>
      </c>
      <c r="S7" s="8">
        <v>4888.6</v>
      </c>
      <c r="T7" s="8">
        <v>6009.1</v>
      </c>
      <c r="U7" s="8">
        <v>16628</v>
      </c>
      <c r="V7" s="8">
        <v>48933.4</v>
      </c>
      <c r="W7" s="8">
        <v>49352.6</v>
      </c>
      <c r="X7" s="8">
        <v>833.5</v>
      </c>
      <c r="Y7" s="8">
        <v>732.7</v>
      </c>
      <c r="Z7" s="16">
        <f t="shared" si="28"/>
        <v>50918.8</v>
      </c>
      <c r="AA7" s="8">
        <v>55712.6</v>
      </c>
      <c r="AB7" s="14">
        <v>1061</v>
      </c>
      <c r="AC7" s="7">
        <f t="shared" si="21"/>
        <v>56773.6</v>
      </c>
      <c r="AD7" s="17">
        <v>137858</v>
      </c>
      <c r="AE7" s="18">
        <f t="shared" ref="AE7:AI7" si="34">IF(OR(C8=""),"",(C8-C7)*80)</f>
        <v>0</v>
      </c>
      <c r="AF7" s="18">
        <f t="shared" si="34"/>
        <v>248.000000000466</v>
      </c>
      <c r="AG7" s="18">
        <f t="shared" si="34"/>
        <v>0</v>
      </c>
      <c r="AH7" s="18">
        <f t="shared" si="34"/>
        <v>2227.99999999999</v>
      </c>
      <c r="AI7" s="18">
        <f t="shared" si="34"/>
        <v>2248.00000000047</v>
      </c>
      <c r="AJ7" s="18">
        <f t="shared" si="3"/>
        <v>4724.00000000092</v>
      </c>
      <c r="AK7" s="18">
        <f t="shared" ref="AK7:AN7" si="35">IF(OR(H8=""),"",(H8-H7)*80)</f>
        <v>0</v>
      </c>
      <c r="AL7" s="18">
        <f t="shared" si="35"/>
        <v>0</v>
      </c>
      <c r="AM7" s="18">
        <f t="shared" si="35"/>
        <v>0</v>
      </c>
      <c r="AN7" s="18">
        <f t="shared" si="35"/>
        <v>0</v>
      </c>
      <c r="AO7" s="18">
        <f t="shared" si="5"/>
        <v>0</v>
      </c>
      <c r="AP7" s="18">
        <f t="shared" ref="AP7:AS7" si="36">IF(OR(L8=""),"",(L8-L7)*100)</f>
        <v>2000</v>
      </c>
      <c r="AQ7" s="18">
        <f t="shared" si="36"/>
        <v>0</v>
      </c>
      <c r="AR7" s="18">
        <f t="shared" si="36"/>
        <v>710.000000000582</v>
      </c>
      <c r="AS7" s="18">
        <f t="shared" si="36"/>
        <v>2350</v>
      </c>
      <c r="AT7" s="18">
        <f t="shared" si="7"/>
        <v>5060.00000000058</v>
      </c>
      <c r="AU7" s="18">
        <f t="shared" ref="AU7:AY7" si="37">IF(OR(P8=""),"",(P8-P7)*1000)</f>
        <v>0</v>
      </c>
      <c r="AV7" s="18">
        <f t="shared" si="37"/>
        <v>8100.00000000036</v>
      </c>
      <c r="AW7" s="18">
        <f t="shared" si="37"/>
        <v>0</v>
      </c>
      <c r="AX7" s="18">
        <f t="shared" si="37"/>
        <v>5299.99999999927</v>
      </c>
      <c r="AY7" s="18">
        <f t="shared" si="37"/>
        <v>0</v>
      </c>
      <c r="AZ7" s="18">
        <f t="shared" si="9"/>
        <v>13399.9999999996</v>
      </c>
      <c r="BA7" s="18">
        <f t="shared" si="10"/>
        <v>7599.99999999854</v>
      </c>
      <c r="BB7" s="18">
        <f t="shared" si="11"/>
        <v>607.999999999884</v>
      </c>
      <c r="BC7" s="18">
        <f t="shared" si="26"/>
        <v>1596.00000000035</v>
      </c>
      <c r="BD7" s="18">
        <f t="shared" si="12"/>
        <v>12411.9999999906</v>
      </c>
      <c r="BE7" s="18">
        <f t="shared" si="13"/>
        <v>45399.9999999905</v>
      </c>
      <c r="BF7" s="18">
        <f t="shared" si="14"/>
        <v>51.2000000000044</v>
      </c>
      <c r="BG7" s="21">
        <f t="shared" si="15"/>
        <v>0.329324377257689</v>
      </c>
      <c r="BH7" s="21">
        <f t="shared" si="16"/>
        <v>0.0342671444529946</v>
      </c>
      <c r="BI7" s="21">
        <f t="shared" si="17"/>
        <v>0</v>
      </c>
      <c r="BJ7" s="21">
        <f t="shared" si="18"/>
        <v>0.0367044349983358</v>
      </c>
      <c r="BK7" s="21">
        <f t="shared" ref="BK7:BO7" si="38">IF(OR($AD7=0),"",AZ7/$AD7)</f>
        <v>0.0972014681773973</v>
      </c>
      <c r="BL7" s="21">
        <f t="shared" si="38"/>
        <v>0.0551291909065745</v>
      </c>
      <c r="BM7" s="21">
        <f t="shared" si="38"/>
        <v>0.00441033527252596</v>
      </c>
      <c r="BN7" s="21">
        <f t="shared" si="38"/>
        <v>0.0115771300903854</v>
      </c>
      <c r="BO7" s="21">
        <f t="shared" si="38"/>
        <v>0.0900346733594758</v>
      </c>
    </row>
    <row r="8" spans="1:67">
      <c r="A8" s="9">
        <f t="shared" si="20"/>
        <v>44232</v>
      </c>
      <c r="B8" s="10">
        <v>15772.16</v>
      </c>
      <c r="C8" s="8">
        <v>85744.1</v>
      </c>
      <c r="D8" s="8">
        <v>54592.8</v>
      </c>
      <c r="E8" s="8">
        <v>55782</v>
      </c>
      <c r="F8" s="8">
        <v>3374.81</v>
      </c>
      <c r="G8" s="8">
        <v>108460.1</v>
      </c>
      <c r="H8" s="8">
        <v>5596.3</v>
      </c>
      <c r="I8" s="8">
        <v>2566.3</v>
      </c>
      <c r="J8" s="8">
        <v>967</v>
      </c>
      <c r="K8" s="8">
        <v>56</v>
      </c>
      <c r="L8" s="8">
        <v>87167.7</v>
      </c>
      <c r="M8" s="8">
        <v>61126.5</v>
      </c>
      <c r="N8" s="8">
        <v>69175.1</v>
      </c>
      <c r="O8" s="8">
        <v>98917.1</v>
      </c>
      <c r="P8" s="8">
        <v>5158.1</v>
      </c>
      <c r="Q8" s="8">
        <v>6997.1</v>
      </c>
      <c r="R8" s="8">
        <v>4241.7</v>
      </c>
      <c r="S8" s="8">
        <v>4893.9</v>
      </c>
      <c r="T8" s="8">
        <v>6009.1</v>
      </c>
      <c r="U8" s="8">
        <v>16631.8</v>
      </c>
      <c r="V8" s="8">
        <v>48941</v>
      </c>
      <c r="W8" s="8">
        <v>49370.3</v>
      </c>
      <c r="X8" s="8">
        <v>847.1</v>
      </c>
      <c r="Y8" s="8">
        <v>741.3</v>
      </c>
      <c r="Z8" s="16">
        <f t="shared" si="28"/>
        <v>50958.7</v>
      </c>
      <c r="AA8" s="8">
        <v>55755.8</v>
      </c>
      <c r="AB8" s="14">
        <v>1069</v>
      </c>
      <c r="AC8" s="7">
        <f t="shared" si="21"/>
        <v>56824.8</v>
      </c>
      <c r="AD8" s="17">
        <v>123328</v>
      </c>
      <c r="AE8" s="18">
        <f t="shared" ref="AE8:AI8" si="39">IF(OR(C9=""),"",(C9-C8)*80)</f>
        <v>0</v>
      </c>
      <c r="AF8" s="18">
        <f t="shared" si="39"/>
        <v>423.999999999651</v>
      </c>
      <c r="AG8" s="18">
        <f t="shared" si="39"/>
        <v>0</v>
      </c>
      <c r="AH8" s="18">
        <f t="shared" si="39"/>
        <v>1599.20000000002</v>
      </c>
      <c r="AI8" s="18">
        <f t="shared" si="39"/>
        <v>2247.9999999993</v>
      </c>
      <c r="AJ8" s="18">
        <f t="shared" si="3"/>
        <v>4271.19999999897</v>
      </c>
      <c r="AK8" s="18">
        <f t="shared" ref="AK8:AN8" si="40">IF(OR(H9=""),"",(H9-H8)*80)</f>
        <v>0</v>
      </c>
      <c r="AL8" s="18">
        <f t="shared" si="40"/>
        <v>0</v>
      </c>
      <c r="AM8" s="18">
        <f t="shared" si="40"/>
        <v>0</v>
      </c>
      <c r="AN8" s="18">
        <f t="shared" si="40"/>
        <v>0</v>
      </c>
      <c r="AO8" s="18">
        <f t="shared" si="5"/>
        <v>0</v>
      </c>
      <c r="AP8" s="18">
        <f t="shared" ref="AP8:AS8" si="41">IF(OR(L9=""),"",(L9-L8)*100)</f>
        <v>2219.99999999971</v>
      </c>
      <c r="AQ8" s="18">
        <f t="shared" si="41"/>
        <v>0</v>
      </c>
      <c r="AR8" s="18">
        <f t="shared" si="41"/>
        <v>0</v>
      </c>
      <c r="AS8" s="18">
        <f t="shared" si="41"/>
        <v>2519.99999999971</v>
      </c>
      <c r="AT8" s="18">
        <f t="shared" si="7"/>
        <v>4739.99999999942</v>
      </c>
      <c r="AU8" s="18">
        <f t="shared" ref="AU8:AY8" si="42">IF(OR(P9=""),"",(P9-P8)*1000)</f>
        <v>1899.99999999964</v>
      </c>
      <c r="AV8" s="18">
        <f t="shared" si="42"/>
        <v>2500</v>
      </c>
      <c r="AW8" s="18">
        <f t="shared" si="42"/>
        <v>2699.99999999982</v>
      </c>
      <c r="AX8" s="18">
        <f t="shared" si="42"/>
        <v>3500</v>
      </c>
      <c r="AY8" s="18">
        <f t="shared" si="42"/>
        <v>0</v>
      </c>
      <c r="AZ8" s="18">
        <f t="shared" si="9"/>
        <v>10599.9999999995</v>
      </c>
      <c r="BA8" s="18">
        <f t="shared" si="10"/>
        <v>6400.00000000146</v>
      </c>
      <c r="BB8" s="18">
        <f t="shared" si="11"/>
        <v>904.000000000233</v>
      </c>
      <c r="BC8" s="18">
        <f t="shared" si="26"/>
        <v>1556.00000000006</v>
      </c>
      <c r="BD8" s="18">
        <f t="shared" si="12"/>
        <v>16628.8000000026</v>
      </c>
      <c r="BE8" s="18">
        <f t="shared" si="13"/>
        <v>45100.0000000022</v>
      </c>
      <c r="BF8" s="18">
        <f t="shared" si="14"/>
        <v>52.2999999999956</v>
      </c>
      <c r="BG8" s="21">
        <f t="shared" si="15"/>
        <v>0.36569148936172</v>
      </c>
      <c r="BH8" s="21">
        <f t="shared" si="16"/>
        <v>0.034632848988056</v>
      </c>
      <c r="BI8" s="21">
        <f t="shared" si="17"/>
        <v>0</v>
      </c>
      <c r="BJ8" s="21">
        <f t="shared" si="18"/>
        <v>0.0384340944473227</v>
      </c>
      <c r="BK8" s="21">
        <f t="shared" ref="BK8:BO8" si="43">IF(OR($AD8=0),"",AZ8/$AD8)</f>
        <v>0.0859496626881118</v>
      </c>
      <c r="BL8" s="21">
        <f t="shared" si="43"/>
        <v>0.051894135962648</v>
      </c>
      <c r="BM8" s="21">
        <f t="shared" si="43"/>
        <v>0.00733004670472425</v>
      </c>
      <c r="BN8" s="21">
        <f t="shared" si="43"/>
        <v>0.0126167618059164</v>
      </c>
      <c r="BO8" s="21">
        <f t="shared" si="43"/>
        <v>0.134833938764941</v>
      </c>
    </row>
    <row r="9" spans="1:67">
      <c r="A9" s="9">
        <f t="shared" si="20"/>
        <v>44233</v>
      </c>
      <c r="B9" s="10">
        <v>15776.67</v>
      </c>
      <c r="C9" s="8">
        <v>85744.1</v>
      </c>
      <c r="D9" s="8">
        <v>54598.1</v>
      </c>
      <c r="E9" s="8">
        <v>55782</v>
      </c>
      <c r="F9" s="8">
        <v>3394.8</v>
      </c>
      <c r="G9" s="8">
        <v>108488.2</v>
      </c>
      <c r="H9" s="8">
        <v>5596.3</v>
      </c>
      <c r="I9" s="8">
        <v>2566.3</v>
      </c>
      <c r="J9" s="8">
        <v>967</v>
      </c>
      <c r="K9" s="8">
        <v>56</v>
      </c>
      <c r="L9" s="8">
        <v>87189.9</v>
      </c>
      <c r="M9" s="8">
        <v>61126.5</v>
      </c>
      <c r="N9" s="8">
        <v>69175.1</v>
      </c>
      <c r="O9" s="8">
        <v>98942.3</v>
      </c>
      <c r="P9" s="8">
        <v>5160</v>
      </c>
      <c r="Q9" s="8">
        <v>6999.6</v>
      </c>
      <c r="R9" s="8">
        <v>4244.4</v>
      </c>
      <c r="S9" s="8">
        <v>4897.4</v>
      </c>
      <c r="T9" s="8">
        <v>6009.1</v>
      </c>
      <c r="U9" s="8">
        <v>16635</v>
      </c>
      <c r="V9" s="8">
        <v>48952.3</v>
      </c>
      <c r="W9" s="8">
        <v>49387.8</v>
      </c>
      <c r="X9" s="8">
        <v>860.3</v>
      </c>
      <c r="Y9" s="8">
        <v>749.5</v>
      </c>
      <c r="Z9" s="16">
        <f t="shared" si="28"/>
        <v>50997.6</v>
      </c>
      <c r="AA9" s="8">
        <v>55800.1</v>
      </c>
      <c r="AB9" s="14">
        <v>1077</v>
      </c>
      <c r="AC9" s="7">
        <f t="shared" si="21"/>
        <v>56877.1</v>
      </c>
      <c r="AD9" s="17">
        <v>91756</v>
      </c>
      <c r="AE9" s="18">
        <f t="shared" ref="AE9:AI9" si="44">IF(OR(C10=""),"",(C10-C9)*80)</f>
        <v>3520</v>
      </c>
      <c r="AF9" s="18">
        <f t="shared" si="44"/>
        <v>0</v>
      </c>
      <c r="AG9" s="18">
        <f t="shared" si="44"/>
        <v>0</v>
      </c>
      <c r="AH9" s="18">
        <f t="shared" si="44"/>
        <v>3.19999999999709</v>
      </c>
      <c r="AI9" s="18">
        <f t="shared" si="44"/>
        <v>1904.00000000023</v>
      </c>
      <c r="AJ9" s="18">
        <f t="shared" si="3"/>
        <v>5427.20000000023</v>
      </c>
      <c r="AK9" s="18">
        <f t="shared" ref="AK9:AN9" si="45">IF(OR(H10=""),"",(H10-H9)*80)</f>
        <v>0</v>
      </c>
      <c r="AL9" s="18">
        <f t="shared" si="45"/>
        <v>0</v>
      </c>
      <c r="AM9" s="18">
        <f t="shared" si="45"/>
        <v>0</v>
      </c>
      <c r="AN9" s="18">
        <f t="shared" si="45"/>
        <v>0</v>
      </c>
      <c r="AO9" s="18">
        <f t="shared" si="5"/>
        <v>0</v>
      </c>
      <c r="AP9" s="18">
        <f t="shared" ref="AP9:AS9" si="46">IF(OR(L10=""),"",(L10-L9)*100)</f>
        <v>1790.00000000087</v>
      </c>
      <c r="AQ9" s="18">
        <f t="shared" si="46"/>
        <v>0</v>
      </c>
      <c r="AR9" s="18">
        <f t="shared" si="46"/>
        <v>109.999999999127</v>
      </c>
      <c r="AS9" s="18">
        <f t="shared" si="46"/>
        <v>1650</v>
      </c>
      <c r="AT9" s="18">
        <f t="shared" si="7"/>
        <v>3550</v>
      </c>
      <c r="AU9" s="18">
        <f t="shared" ref="AU9:AY9" si="47">IF(OR(P10=""),"",(P10-P9)*1000)</f>
        <v>1100.00000000036</v>
      </c>
      <c r="AV9" s="18">
        <f t="shared" si="47"/>
        <v>99.9999999994543</v>
      </c>
      <c r="AW9" s="18">
        <f t="shared" si="47"/>
        <v>3000</v>
      </c>
      <c r="AX9" s="18">
        <f t="shared" si="47"/>
        <v>4300.00000000018</v>
      </c>
      <c r="AY9" s="18">
        <f t="shared" si="47"/>
        <v>0</v>
      </c>
      <c r="AZ9" s="18">
        <f t="shared" si="9"/>
        <v>8500</v>
      </c>
      <c r="BA9" s="18">
        <f t="shared" si="10"/>
        <v>4800.00000000291</v>
      </c>
      <c r="BB9" s="18">
        <f t="shared" si="11"/>
        <v>1111.99999999953</v>
      </c>
      <c r="BC9" s="18">
        <f t="shared" si="26"/>
        <v>1335.99999999977</v>
      </c>
      <c r="BD9" s="18">
        <f t="shared" si="12"/>
        <v>15374.7999999997</v>
      </c>
      <c r="BE9" s="18">
        <f t="shared" si="13"/>
        <v>40100.0000000022</v>
      </c>
      <c r="BF9" s="18">
        <f t="shared" si="14"/>
        <v>53.0999999999985</v>
      </c>
      <c r="BG9" s="21">
        <f t="shared" si="15"/>
        <v>0.437028641178802</v>
      </c>
      <c r="BH9" s="21">
        <f t="shared" si="16"/>
        <v>0.0591481755961488</v>
      </c>
      <c r="BI9" s="21">
        <f t="shared" si="17"/>
        <v>0</v>
      </c>
      <c r="BJ9" s="21">
        <f t="shared" si="18"/>
        <v>0.038689567984655</v>
      </c>
      <c r="BK9" s="21">
        <f t="shared" ref="BK9:BO9" si="48">IF(OR($AD9=0),"",AZ9/$AD9)</f>
        <v>0.0926369937660752</v>
      </c>
      <c r="BL9" s="21">
        <f t="shared" si="48"/>
        <v>0.0523126553032272</v>
      </c>
      <c r="BM9" s="21">
        <f t="shared" si="48"/>
        <v>0.0121190984785685</v>
      </c>
      <c r="BN9" s="21">
        <f t="shared" si="48"/>
        <v>0.0145603557260535</v>
      </c>
      <c r="BO9" s="21">
        <f t="shared" si="48"/>
        <v>0.167561794324074</v>
      </c>
    </row>
    <row r="10" spans="1:67">
      <c r="A10" s="9">
        <f t="shared" si="20"/>
        <v>44234</v>
      </c>
      <c r="B10" s="10">
        <v>15780.68</v>
      </c>
      <c r="C10" s="8">
        <v>85788.1</v>
      </c>
      <c r="D10" s="8">
        <v>54598.1</v>
      </c>
      <c r="E10" s="8">
        <v>55782</v>
      </c>
      <c r="F10" s="8">
        <v>3394.84</v>
      </c>
      <c r="G10" s="8">
        <v>108512</v>
      </c>
      <c r="H10" s="8">
        <v>5596.3</v>
      </c>
      <c r="I10" s="8">
        <v>2566.3</v>
      </c>
      <c r="J10" s="8">
        <v>967</v>
      </c>
      <c r="K10" s="8">
        <v>56</v>
      </c>
      <c r="L10" s="8">
        <v>87207.8</v>
      </c>
      <c r="M10" s="8">
        <v>61126.5</v>
      </c>
      <c r="N10" s="8">
        <v>69176.2</v>
      </c>
      <c r="O10" s="8">
        <v>98958.8</v>
      </c>
      <c r="P10" s="8">
        <v>5161.1</v>
      </c>
      <c r="Q10" s="8">
        <v>6999.7</v>
      </c>
      <c r="R10" s="8">
        <v>4247.4</v>
      </c>
      <c r="S10" s="8">
        <v>4901.7</v>
      </c>
      <c r="T10" s="8">
        <v>6009.1</v>
      </c>
      <c r="U10" s="8">
        <v>16637.4</v>
      </c>
      <c r="V10" s="8">
        <v>48966.2</v>
      </c>
      <c r="W10" s="8">
        <v>49405.3</v>
      </c>
      <c r="X10" s="8">
        <v>873.6</v>
      </c>
      <c r="Y10" s="8">
        <v>752.1</v>
      </c>
      <c r="Z10" s="16">
        <f t="shared" si="28"/>
        <v>51031</v>
      </c>
      <c r="AA10" s="8">
        <v>55844.2</v>
      </c>
      <c r="AB10" s="14">
        <v>1086</v>
      </c>
      <c r="AC10" s="7">
        <f t="shared" si="21"/>
        <v>56930.2</v>
      </c>
      <c r="AD10" s="17">
        <v>110987</v>
      </c>
      <c r="AE10" s="18">
        <f t="shared" ref="AE10:AI10" si="49">IF(OR(C11=""),"",(C11-C10)*80)</f>
        <v>40</v>
      </c>
      <c r="AF10" s="18">
        <f t="shared" si="49"/>
        <v>2664.00000000023</v>
      </c>
      <c r="AG10" s="18">
        <f t="shared" si="49"/>
        <v>0</v>
      </c>
      <c r="AH10" s="18">
        <f t="shared" si="49"/>
        <v>4.79999999999563</v>
      </c>
      <c r="AI10" s="18">
        <f t="shared" si="49"/>
        <v>2008.00000000047</v>
      </c>
      <c r="AJ10" s="18">
        <f t="shared" si="3"/>
        <v>4716.80000000069</v>
      </c>
      <c r="AK10" s="18">
        <f t="shared" ref="AK10:AN10" si="50">IF(OR(H11=""),"",(H11-H10)*80)</f>
        <v>0</v>
      </c>
      <c r="AL10" s="18">
        <f t="shared" si="50"/>
        <v>0</v>
      </c>
      <c r="AM10" s="18">
        <f t="shared" si="50"/>
        <v>0</v>
      </c>
      <c r="AN10" s="18">
        <f t="shared" si="50"/>
        <v>0</v>
      </c>
      <c r="AO10" s="18">
        <f t="shared" si="5"/>
        <v>0</v>
      </c>
      <c r="AP10" s="18">
        <f t="shared" ref="AP10:AS10" si="51">IF(OR(L11=""),"",(L11-L10)*100)</f>
        <v>2000</v>
      </c>
      <c r="AQ10" s="18">
        <f t="shared" si="51"/>
        <v>0</v>
      </c>
      <c r="AR10" s="18">
        <f t="shared" si="51"/>
        <v>0</v>
      </c>
      <c r="AS10" s="18">
        <f t="shared" si="51"/>
        <v>2130.00000000029</v>
      </c>
      <c r="AT10" s="18">
        <f t="shared" si="7"/>
        <v>4130.00000000029</v>
      </c>
      <c r="AU10" s="18">
        <f t="shared" ref="AU10:AY10" si="52">IF(OR(P11=""),"",(P11-P10)*1000)</f>
        <v>3599.99999999945</v>
      </c>
      <c r="AV10" s="18">
        <f t="shared" si="52"/>
        <v>4600.00000000036</v>
      </c>
      <c r="AW10" s="18">
        <f t="shared" si="52"/>
        <v>400.000000000546</v>
      </c>
      <c r="AX10" s="18">
        <f t="shared" si="52"/>
        <v>2300.00000000018</v>
      </c>
      <c r="AY10" s="18">
        <f t="shared" si="52"/>
        <v>0</v>
      </c>
      <c r="AZ10" s="18">
        <f t="shared" si="9"/>
        <v>10900.0000000005</v>
      </c>
      <c r="BA10" s="18">
        <f t="shared" si="10"/>
        <v>5399.99999999418</v>
      </c>
      <c r="BB10" s="18">
        <f t="shared" si="11"/>
        <v>1088.00000000047</v>
      </c>
      <c r="BC10" s="18">
        <f t="shared" si="26"/>
        <v>1503.99999999994</v>
      </c>
      <c r="BD10" s="18">
        <f t="shared" si="12"/>
        <v>14861.2000000061</v>
      </c>
      <c r="BE10" s="18">
        <f t="shared" si="13"/>
        <v>42600.0000000022</v>
      </c>
      <c r="BF10" s="18">
        <f t="shared" si="14"/>
        <v>68.6000000000058</v>
      </c>
      <c r="BG10" s="21">
        <f t="shared" si="15"/>
        <v>0.383828736698912</v>
      </c>
      <c r="BH10" s="21">
        <f t="shared" si="16"/>
        <v>0.0424986710155306</v>
      </c>
      <c r="BI10" s="21">
        <f t="shared" si="17"/>
        <v>0</v>
      </c>
      <c r="BJ10" s="21">
        <f t="shared" si="18"/>
        <v>0.0372115653184633</v>
      </c>
      <c r="BK10" s="21">
        <f t="shared" ref="BK10:BO10" si="53">IF(OR($AD10=0),"",AZ10/$AD10)</f>
        <v>0.0982097002351676</v>
      </c>
      <c r="BL10" s="21">
        <f t="shared" si="53"/>
        <v>0.048654346905441</v>
      </c>
      <c r="BM10" s="21">
        <f t="shared" si="53"/>
        <v>0.00980294989503695</v>
      </c>
      <c r="BN10" s="21">
        <f t="shared" si="53"/>
        <v>0.0135511366196036</v>
      </c>
      <c r="BO10" s="21">
        <f t="shared" si="53"/>
        <v>0.133900366709669</v>
      </c>
    </row>
    <row r="11" spans="1:67">
      <c r="A11" s="9">
        <f t="shared" si="20"/>
        <v>44235</v>
      </c>
      <c r="B11" s="10">
        <v>15784.94</v>
      </c>
      <c r="C11" s="8">
        <v>85788.6</v>
      </c>
      <c r="D11" s="8">
        <v>54631.4</v>
      </c>
      <c r="E11" s="8">
        <v>55782</v>
      </c>
      <c r="F11" s="8">
        <v>3394.9</v>
      </c>
      <c r="G11" s="8">
        <v>108537.1</v>
      </c>
      <c r="H11" s="8">
        <v>5596.3</v>
      </c>
      <c r="I11" s="8">
        <v>2566.3</v>
      </c>
      <c r="J11" s="8">
        <v>967</v>
      </c>
      <c r="K11" s="8">
        <v>56</v>
      </c>
      <c r="L11" s="8">
        <v>87227.8</v>
      </c>
      <c r="M11" s="8">
        <v>61126.5</v>
      </c>
      <c r="N11" s="8">
        <v>69176.2</v>
      </c>
      <c r="O11" s="8">
        <v>98980.1</v>
      </c>
      <c r="P11" s="8">
        <v>5164.7</v>
      </c>
      <c r="Q11" s="8">
        <v>7004.3</v>
      </c>
      <c r="R11" s="8">
        <v>4247.8</v>
      </c>
      <c r="S11" s="8">
        <v>4904</v>
      </c>
      <c r="T11" s="8">
        <v>6009.1</v>
      </c>
      <c r="U11" s="8">
        <v>16640.1</v>
      </c>
      <c r="V11" s="8">
        <v>48979.8</v>
      </c>
      <c r="W11" s="8">
        <v>49422.6</v>
      </c>
      <c r="X11" s="8">
        <v>887.1</v>
      </c>
      <c r="Y11" s="8">
        <v>758.9</v>
      </c>
      <c r="Z11" s="16">
        <f t="shared" si="28"/>
        <v>51068.6</v>
      </c>
      <c r="AA11" s="8">
        <v>55886.8</v>
      </c>
      <c r="AB11" s="14">
        <v>1112</v>
      </c>
      <c r="AC11" s="7">
        <f t="shared" si="21"/>
        <v>56998.8</v>
      </c>
      <c r="AD11" s="17">
        <v>97203</v>
      </c>
      <c r="AE11" s="18">
        <f t="shared" ref="AE11:AI11" si="54">IF(OR(C12=""),"",(C12-C11)*80)</f>
        <v>0</v>
      </c>
      <c r="AF11" s="18">
        <f t="shared" si="54"/>
        <v>2527.99999999988</v>
      </c>
      <c r="AG11" s="18">
        <f t="shared" si="54"/>
        <v>0</v>
      </c>
      <c r="AH11" s="18">
        <f t="shared" si="54"/>
        <v>4.79999999999563</v>
      </c>
      <c r="AI11" s="18">
        <f t="shared" si="54"/>
        <v>1847.9999999993</v>
      </c>
      <c r="AJ11" s="18">
        <f t="shared" si="3"/>
        <v>4380.79999999918</v>
      </c>
      <c r="AK11" s="18">
        <f t="shared" ref="AK11:AN11" si="55">IF(OR(H12=""),"",(H12-H11)*80)</f>
        <v>0</v>
      </c>
      <c r="AL11" s="18">
        <f t="shared" si="55"/>
        <v>0</v>
      </c>
      <c r="AM11" s="18">
        <f t="shared" si="55"/>
        <v>0</v>
      </c>
      <c r="AN11" s="18">
        <f t="shared" si="55"/>
        <v>0</v>
      </c>
      <c r="AO11" s="18">
        <f t="shared" si="5"/>
        <v>0</v>
      </c>
      <c r="AP11" s="18">
        <f t="shared" ref="AP11:AS11" si="56">IF(OR(L12=""),"",(L12-L11)*100)</f>
        <v>1539.99999999942</v>
      </c>
      <c r="AQ11" s="18">
        <f t="shared" si="56"/>
        <v>0</v>
      </c>
      <c r="AR11" s="18">
        <f t="shared" si="56"/>
        <v>0</v>
      </c>
      <c r="AS11" s="18">
        <f t="shared" si="56"/>
        <v>2079.99999999884</v>
      </c>
      <c r="AT11" s="18">
        <f t="shared" si="7"/>
        <v>3619.99999999825</v>
      </c>
      <c r="AU11" s="18">
        <f t="shared" ref="AU11:AY11" si="57">IF(OR(P12=""),"",(P12-P11)*1000)</f>
        <v>2199.99999999982</v>
      </c>
      <c r="AV11" s="18">
        <f t="shared" si="57"/>
        <v>5300.00000000018</v>
      </c>
      <c r="AW11" s="18">
        <f t="shared" si="57"/>
        <v>2699.99999999982</v>
      </c>
      <c r="AX11" s="18">
        <f t="shared" si="57"/>
        <v>1699.99999999982</v>
      </c>
      <c r="AY11" s="18">
        <f t="shared" si="57"/>
        <v>0</v>
      </c>
      <c r="AZ11" s="18">
        <f t="shared" si="9"/>
        <v>11899.9999999996</v>
      </c>
      <c r="BA11" s="18">
        <f t="shared" si="10"/>
        <v>5000</v>
      </c>
      <c r="BB11" s="18">
        <f t="shared" si="11"/>
        <v>1120</v>
      </c>
      <c r="BC11" s="18">
        <f t="shared" si="26"/>
        <v>1603.99999999994</v>
      </c>
      <c r="BD11" s="18">
        <f t="shared" si="12"/>
        <v>16175.199999995</v>
      </c>
      <c r="BE11" s="18">
        <f t="shared" si="13"/>
        <v>43799.999999992</v>
      </c>
      <c r="BF11" s="18">
        <f t="shared" si="14"/>
        <v>75</v>
      </c>
      <c r="BG11" s="21">
        <f t="shared" si="15"/>
        <v>0.450603376438916</v>
      </c>
      <c r="BH11" s="21">
        <f t="shared" si="16"/>
        <v>0.0450685678425479</v>
      </c>
      <c r="BI11" s="21">
        <f t="shared" si="17"/>
        <v>0</v>
      </c>
      <c r="BJ11" s="21">
        <f t="shared" si="18"/>
        <v>0.0372416489202829</v>
      </c>
      <c r="BK11" s="21">
        <f t="shared" ref="BK11:BO11" si="58">IF(OR($AD11=0),"",AZ11/$AD11)</f>
        <v>0.122424205014245</v>
      </c>
      <c r="BL11" s="21">
        <f t="shared" si="58"/>
        <v>0.0514387416026254</v>
      </c>
      <c r="BM11" s="21">
        <f t="shared" si="58"/>
        <v>0.0115222781189881</v>
      </c>
      <c r="BN11" s="21">
        <f t="shared" si="58"/>
        <v>0.0165015483061216</v>
      </c>
      <c r="BO11" s="21">
        <f t="shared" si="58"/>
        <v>0.166406386634106</v>
      </c>
    </row>
    <row r="12" spans="1:67">
      <c r="A12" s="9">
        <f t="shared" si="20"/>
        <v>44236</v>
      </c>
      <c r="B12" s="10">
        <v>15789.32</v>
      </c>
      <c r="C12" s="8">
        <v>85788.6</v>
      </c>
      <c r="D12" s="8">
        <v>54663</v>
      </c>
      <c r="E12" s="8">
        <v>55782</v>
      </c>
      <c r="F12" s="8">
        <v>3394.96</v>
      </c>
      <c r="G12" s="8">
        <v>108560.2</v>
      </c>
      <c r="H12" s="8">
        <v>5596.3</v>
      </c>
      <c r="I12" s="8">
        <v>2566.3</v>
      </c>
      <c r="J12" s="8">
        <v>967</v>
      </c>
      <c r="K12" s="8">
        <v>56</v>
      </c>
      <c r="L12" s="8">
        <v>87243.2</v>
      </c>
      <c r="M12" s="8">
        <v>61126.5</v>
      </c>
      <c r="N12" s="8">
        <v>69176.2</v>
      </c>
      <c r="O12" s="8">
        <v>99000.9</v>
      </c>
      <c r="P12" s="8">
        <v>5166.9</v>
      </c>
      <c r="Q12" s="8">
        <v>7009.6</v>
      </c>
      <c r="R12" s="8">
        <v>4250.5</v>
      </c>
      <c r="S12" s="8">
        <v>4905.7</v>
      </c>
      <c r="T12" s="8">
        <v>6009.1</v>
      </c>
      <c r="U12" s="8">
        <v>16642.6</v>
      </c>
      <c r="V12" s="8">
        <v>48993.8</v>
      </c>
      <c r="W12" s="8">
        <v>49440.6</v>
      </c>
      <c r="X12" s="8">
        <v>900.7</v>
      </c>
      <c r="Y12" s="8">
        <v>767.4</v>
      </c>
      <c r="Z12" s="16">
        <f t="shared" si="28"/>
        <v>51108.7</v>
      </c>
      <c r="AA12" s="8">
        <v>55929.8</v>
      </c>
      <c r="AB12" s="14">
        <v>1144</v>
      </c>
      <c r="AC12" s="7">
        <f t="shared" si="21"/>
        <v>57073.8</v>
      </c>
      <c r="AD12" s="17">
        <v>90919</v>
      </c>
      <c r="AE12" s="18">
        <f t="shared" ref="AE12:AI12" si="59">IF(OR(C13=""),"",(C13-C12)*80)</f>
        <v>0</v>
      </c>
      <c r="AF12" s="18">
        <f t="shared" si="59"/>
        <v>2960</v>
      </c>
      <c r="AG12" s="18">
        <f t="shared" si="59"/>
        <v>0</v>
      </c>
      <c r="AH12" s="18">
        <f t="shared" si="59"/>
        <v>4.79999999999563</v>
      </c>
      <c r="AI12" s="18">
        <f t="shared" si="59"/>
        <v>1728.00000000047</v>
      </c>
      <c r="AJ12" s="18">
        <f t="shared" si="3"/>
        <v>4692.80000000046</v>
      </c>
      <c r="AK12" s="18">
        <f t="shared" ref="AK12:AN12" si="60">IF(OR(H13=""),"",(H13-H12)*80)</f>
        <v>0</v>
      </c>
      <c r="AL12" s="18">
        <f t="shared" si="60"/>
        <v>0</v>
      </c>
      <c r="AM12" s="18">
        <f t="shared" si="60"/>
        <v>0</v>
      </c>
      <c r="AN12" s="18">
        <f t="shared" si="60"/>
        <v>0</v>
      </c>
      <c r="AO12" s="18">
        <f t="shared" si="5"/>
        <v>0</v>
      </c>
      <c r="AP12" s="18">
        <f t="shared" ref="AP12:AS12" si="61">IF(OR(L13=""),"",(L13-L12)*100)</f>
        <v>1690.00000000087</v>
      </c>
      <c r="AQ12" s="18">
        <f t="shared" si="61"/>
        <v>0</v>
      </c>
      <c r="AR12" s="18">
        <f t="shared" si="61"/>
        <v>0</v>
      </c>
      <c r="AS12" s="18">
        <f t="shared" si="61"/>
        <v>1730.00000000029</v>
      </c>
      <c r="AT12" s="18">
        <f t="shared" si="7"/>
        <v>3420.00000000116</v>
      </c>
      <c r="AU12" s="18">
        <f t="shared" ref="AU12:AY12" si="62">IF(OR(P13=""),"",(P13-P12)*1000)</f>
        <v>2200.00000000073</v>
      </c>
      <c r="AV12" s="18">
        <f t="shared" si="62"/>
        <v>1199.99999999982</v>
      </c>
      <c r="AW12" s="18">
        <f t="shared" si="62"/>
        <v>4199.99999999982</v>
      </c>
      <c r="AX12" s="18">
        <f t="shared" si="62"/>
        <v>400.000000000546</v>
      </c>
      <c r="AY12" s="18">
        <f t="shared" si="62"/>
        <v>0</v>
      </c>
      <c r="AZ12" s="18">
        <f t="shared" si="9"/>
        <v>8000.00000000091</v>
      </c>
      <c r="BA12" s="18">
        <f t="shared" si="10"/>
        <v>3800.00000000291</v>
      </c>
      <c r="BB12" s="18">
        <f t="shared" si="11"/>
        <v>720</v>
      </c>
      <c r="BC12" s="18">
        <f t="shared" si="26"/>
        <v>1543.99999999994</v>
      </c>
      <c r="BD12" s="18">
        <f t="shared" si="12"/>
        <v>15423.1999999968</v>
      </c>
      <c r="BE12" s="18">
        <f t="shared" si="13"/>
        <v>37600.0000000022</v>
      </c>
      <c r="BF12" s="18">
        <f t="shared" si="14"/>
        <v>77.0999999999985</v>
      </c>
      <c r="BG12" s="21">
        <f t="shared" si="15"/>
        <v>0.41355492251347</v>
      </c>
      <c r="BH12" s="21">
        <f t="shared" si="16"/>
        <v>0.051615173946045</v>
      </c>
      <c r="BI12" s="21">
        <f t="shared" si="17"/>
        <v>0</v>
      </c>
      <c r="BJ12" s="21">
        <f t="shared" si="18"/>
        <v>0.0376158998669273</v>
      </c>
      <c r="BK12" s="21">
        <f t="shared" ref="BK12:BO12" si="63">IF(OR($AD12=0),"",AZ12/$AD12)</f>
        <v>0.0879904090454241</v>
      </c>
      <c r="BL12" s="21">
        <f t="shared" si="63"/>
        <v>0.0417954442966037</v>
      </c>
      <c r="BM12" s="21">
        <f t="shared" si="63"/>
        <v>0.00791913681408726</v>
      </c>
      <c r="BN12" s="21">
        <f t="shared" si="63"/>
        <v>0.0169821489457643</v>
      </c>
      <c r="BO12" s="21">
        <f t="shared" si="63"/>
        <v>0.169636709598619</v>
      </c>
    </row>
    <row r="13" spans="1:67">
      <c r="A13" s="9">
        <f t="shared" si="20"/>
        <v>44237</v>
      </c>
      <c r="B13" s="10">
        <v>15793.08</v>
      </c>
      <c r="C13" s="8">
        <v>85788.6</v>
      </c>
      <c r="D13" s="8">
        <v>54700</v>
      </c>
      <c r="E13" s="8">
        <v>55782</v>
      </c>
      <c r="F13" s="8">
        <v>3395.02</v>
      </c>
      <c r="G13" s="8">
        <v>108581.8</v>
      </c>
      <c r="H13" s="8">
        <v>5596.3</v>
      </c>
      <c r="I13" s="8">
        <v>2566.3</v>
      </c>
      <c r="J13" s="8">
        <v>967</v>
      </c>
      <c r="K13" s="8">
        <v>56</v>
      </c>
      <c r="L13" s="8">
        <v>87260.1</v>
      </c>
      <c r="M13" s="8">
        <v>61126.5</v>
      </c>
      <c r="N13" s="8">
        <v>69176.2</v>
      </c>
      <c r="O13" s="8">
        <v>99018.2</v>
      </c>
      <c r="P13" s="8">
        <v>5169.1</v>
      </c>
      <c r="Q13" s="8">
        <v>7010.8</v>
      </c>
      <c r="R13" s="8">
        <v>4254.7</v>
      </c>
      <c r="S13" s="8">
        <v>4906.1</v>
      </c>
      <c r="T13" s="8">
        <v>6009.1</v>
      </c>
      <c r="U13" s="8">
        <v>16644.5</v>
      </c>
      <c r="V13" s="8">
        <v>49002.8</v>
      </c>
      <c r="W13" s="8">
        <v>49457.7</v>
      </c>
      <c r="X13" s="8">
        <v>913.9</v>
      </c>
      <c r="Y13" s="8">
        <v>775.7</v>
      </c>
      <c r="Z13" s="16">
        <f t="shared" si="28"/>
        <v>51147.3</v>
      </c>
      <c r="AA13" s="8">
        <v>55973.9</v>
      </c>
      <c r="AB13" s="14">
        <v>1177</v>
      </c>
      <c r="AC13" s="7">
        <f t="shared" si="21"/>
        <v>57150.9</v>
      </c>
      <c r="AD13" s="17">
        <v>96180</v>
      </c>
      <c r="AE13" s="18">
        <f t="shared" ref="AE13:AI13" si="64">IF(OR(C14=""),"",(C14-C13)*80)</f>
        <v>0</v>
      </c>
      <c r="AF13" s="18">
        <f t="shared" si="64"/>
        <v>2007.99999999988</v>
      </c>
      <c r="AG13" s="18">
        <f t="shared" si="64"/>
        <v>0</v>
      </c>
      <c r="AH13" s="18">
        <f t="shared" si="64"/>
        <v>0</v>
      </c>
      <c r="AI13" s="18">
        <f t="shared" si="64"/>
        <v>1464.00000000023</v>
      </c>
      <c r="AJ13" s="18">
        <f t="shared" si="3"/>
        <v>3472.00000000012</v>
      </c>
      <c r="AK13" s="18">
        <f t="shared" ref="AK13:AN13" si="65">IF(OR(H14=""),"",(H14-H13)*80)</f>
        <v>0</v>
      </c>
      <c r="AL13" s="18">
        <f t="shared" si="65"/>
        <v>0</v>
      </c>
      <c r="AM13" s="18">
        <f t="shared" si="65"/>
        <v>0</v>
      </c>
      <c r="AN13" s="18">
        <f t="shared" si="65"/>
        <v>0</v>
      </c>
      <c r="AO13" s="18">
        <f t="shared" si="5"/>
        <v>0</v>
      </c>
      <c r="AP13" s="18">
        <f t="shared" ref="AP13:AS13" si="66">IF(OR(L14=""),"",(L14-L13)*100)</f>
        <v>1739.99999999942</v>
      </c>
      <c r="AQ13" s="18">
        <f t="shared" si="66"/>
        <v>0</v>
      </c>
      <c r="AR13" s="18">
        <f t="shared" si="66"/>
        <v>0</v>
      </c>
      <c r="AS13" s="18">
        <f t="shared" si="66"/>
        <v>1669.99999999971</v>
      </c>
      <c r="AT13" s="18">
        <f t="shared" si="7"/>
        <v>3409.99999999913</v>
      </c>
      <c r="AU13" s="18">
        <f t="shared" ref="AU13:AY13" si="67">IF(OR(P14=""),"",(P14-P13)*1000)</f>
        <v>299.999999999272</v>
      </c>
      <c r="AV13" s="18">
        <f t="shared" si="67"/>
        <v>0</v>
      </c>
      <c r="AW13" s="18">
        <f t="shared" si="67"/>
        <v>2000</v>
      </c>
      <c r="AX13" s="18">
        <f t="shared" si="67"/>
        <v>5500</v>
      </c>
      <c r="AY13" s="18">
        <f t="shared" si="67"/>
        <v>0</v>
      </c>
      <c r="AZ13" s="18">
        <f t="shared" si="9"/>
        <v>7799.99999999927</v>
      </c>
      <c r="BA13" s="18">
        <f t="shared" si="10"/>
        <v>4000</v>
      </c>
      <c r="BB13" s="18">
        <f t="shared" si="11"/>
        <v>607.999999999884</v>
      </c>
      <c r="BC13" s="18">
        <f t="shared" si="26"/>
        <v>1563.99999999994</v>
      </c>
      <c r="BD13" s="18">
        <f t="shared" si="12"/>
        <v>17145.9999999944</v>
      </c>
      <c r="BE13" s="18">
        <f t="shared" si="13"/>
        <v>37999.9999999927</v>
      </c>
      <c r="BF13" s="18">
        <f t="shared" si="14"/>
        <v>78.2999999999956</v>
      </c>
      <c r="BG13" s="21">
        <f t="shared" si="15"/>
        <v>0.39509253483045</v>
      </c>
      <c r="BH13" s="21">
        <f t="shared" si="16"/>
        <v>0.0360989810771482</v>
      </c>
      <c r="BI13" s="21">
        <f t="shared" si="17"/>
        <v>0</v>
      </c>
      <c r="BJ13" s="21">
        <f t="shared" si="18"/>
        <v>0.035454356415046</v>
      </c>
      <c r="BK13" s="21">
        <f t="shared" ref="BK13:BO13" si="68">IF(OR($AD13=0),"",AZ13/$AD13)</f>
        <v>0.0810979413599425</v>
      </c>
      <c r="BL13" s="21">
        <f t="shared" si="68"/>
        <v>0.0415886878768975</v>
      </c>
      <c r="BM13" s="21">
        <f t="shared" si="68"/>
        <v>0.00632148055728721</v>
      </c>
      <c r="BN13" s="21">
        <f t="shared" si="68"/>
        <v>0.0162611769598663</v>
      </c>
      <c r="BO13" s="21">
        <f t="shared" si="68"/>
        <v>0.178269910584263</v>
      </c>
    </row>
    <row r="14" spans="1:67">
      <c r="A14" s="9">
        <f t="shared" si="20"/>
        <v>44238</v>
      </c>
      <c r="B14" s="10">
        <v>15796.88</v>
      </c>
      <c r="C14" s="8">
        <v>85788.6</v>
      </c>
      <c r="D14" s="8">
        <v>54725.1</v>
      </c>
      <c r="E14" s="8">
        <v>55782</v>
      </c>
      <c r="F14" s="8">
        <v>3395.02</v>
      </c>
      <c r="G14" s="8">
        <v>108600.1</v>
      </c>
      <c r="H14" s="8">
        <v>5596.3</v>
      </c>
      <c r="I14" s="8">
        <v>2566.3</v>
      </c>
      <c r="J14" s="8">
        <v>967</v>
      </c>
      <c r="K14" s="8">
        <v>56</v>
      </c>
      <c r="L14" s="8">
        <v>87277.5</v>
      </c>
      <c r="M14" s="8">
        <v>61126.5</v>
      </c>
      <c r="N14" s="8">
        <v>69176.2</v>
      </c>
      <c r="O14" s="8">
        <v>99034.9</v>
      </c>
      <c r="P14" s="8">
        <v>5169.4</v>
      </c>
      <c r="Q14" s="8">
        <v>7010.8</v>
      </c>
      <c r="R14" s="8">
        <v>4256.7</v>
      </c>
      <c r="S14" s="8">
        <v>4911.6</v>
      </c>
      <c r="T14" s="8">
        <v>6009.1</v>
      </c>
      <c r="U14" s="8">
        <v>16646.5</v>
      </c>
      <c r="V14" s="8">
        <v>49010.4</v>
      </c>
      <c r="W14" s="8">
        <v>49475.1</v>
      </c>
      <c r="X14" s="8">
        <v>927.2</v>
      </c>
      <c r="Y14" s="8">
        <v>784.1</v>
      </c>
      <c r="Z14" s="16">
        <f t="shared" si="28"/>
        <v>51186.4</v>
      </c>
      <c r="AA14" s="8">
        <v>56019.2</v>
      </c>
      <c r="AB14" s="14">
        <v>1210</v>
      </c>
      <c r="AC14" s="7">
        <f t="shared" si="21"/>
        <v>57229.2</v>
      </c>
      <c r="AD14" s="17">
        <v>100947</v>
      </c>
      <c r="AE14" s="18">
        <f t="shared" ref="AE14:AI14" si="69">IF(OR(C15=""),"",(C15-C14)*80)</f>
        <v>0</v>
      </c>
      <c r="AF14" s="18">
        <f t="shared" si="69"/>
        <v>2440</v>
      </c>
      <c r="AG14" s="18">
        <f t="shared" si="69"/>
        <v>0</v>
      </c>
      <c r="AH14" s="18">
        <f t="shared" si="69"/>
        <v>6.39999999999418</v>
      </c>
      <c r="AI14" s="18">
        <f t="shared" si="69"/>
        <v>1863.99999999907</v>
      </c>
      <c r="AJ14" s="18">
        <f t="shared" si="3"/>
        <v>4310.39999999906</v>
      </c>
      <c r="AK14" s="18">
        <f t="shared" ref="AK14:AN14" si="70">IF(OR(H15=""),"",(H15-H14)*80)</f>
        <v>0</v>
      </c>
      <c r="AL14" s="18">
        <f t="shared" si="70"/>
        <v>0</v>
      </c>
      <c r="AM14" s="18">
        <f t="shared" si="70"/>
        <v>0</v>
      </c>
      <c r="AN14" s="18">
        <f t="shared" si="70"/>
        <v>0</v>
      </c>
      <c r="AO14" s="18">
        <f t="shared" si="5"/>
        <v>0</v>
      </c>
      <c r="AP14" s="18">
        <f t="shared" ref="AP14:AS14" si="71">IF(OR(L15=""),"",(L15-L14)*100)</f>
        <v>1619.99999999971</v>
      </c>
      <c r="AQ14" s="18">
        <f t="shared" si="71"/>
        <v>0</v>
      </c>
      <c r="AR14" s="18">
        <f t="shared" si="71"/>
        <v>0</v>
      </c>
      <c r="AS14" s="18">
        <f t="shared" si="71"/>
        <v>2140.00000000087</v>
      </c>
      <c r="AT14" s="18">
        <f t="shared" si="7"/>
        <v>3760.00000000058</v>
      </c>
      <c r="AU14" s="18">
        <f t="shared" ref="AU14:AY14" si="72">IF(OR(P15=""),"",(P15-P14)*1000)</f>
        <v>2200.00000000073</v>
      </c>
      <c r="AV14" s="18">
        <f t="shared" si="72"/>
        <v>1399.99999999964</v>
      </c>
      <c r="AW14" s="18">
        <f t="shared" si="72"/>
        <v>3800.00000000018</v>
      </c>
      <c r="AX14" s="18">
        <f t="shared" si="72"/>
        <v>5099.99999999945</v>
      </c>
      <c r="AY14" s="18">
        <f t="shared" si="72"/>
        <v>0</v>
      </c>
      <c r="AZ14" s="18">
        <f t="shared" si="9"/>
        <v>12500</v>
      </c>
      <c r="BA14" s="18">
        <f t="shared" si="10"/>
        <v>4599.99999999854</v>
      </c>
      <c r="BB14" s="18">
        <f t="shared" si="11"/>
        <v>607.999999999884</v>
      </c>
      <c r="BC14" s="18">
        <f t="shared" si="26"/>
        <v>1504.00000000023</v>
      </c>
      <c r="BD14" s="18">
        <f t="shared" si="12"/>
        <v>18917.6000000097</v>
      </c>
      <c r="BE14" s="18">
        <f t="shared" si="13"/>
        <v>46200.000000008</v>
      </c>
      <c r="BF14" s="18">
        <f t="shared" si="14"/>
        <v>82</v>
      </c>
      <c r="BG14" s="21">
        <f t="shared" si="15"/>
        <v>0.457665903890239</v>
      </c>
      <c r="BH14" s="21">
        <f t="shared" si="16"/>
        <v>0.0426996344616389</v>
      </c>
      <c r="BI14" s="21">
        <f t="shared" si="17"/>
        <v>0</v>
      </c>
      <c r="BJ14" s="21">
        <f t="shared" si="18"/>
        <v>0.0372472683685556</v>
      </c>
      <c r="BK14" s="21">
        <f t="shared" ref="BK14:BO14" si="73">IF(OR($AD14=0),"",AZ14/$AD14)</f>
        <v>0.123827354948636</v>
      </c>
      <c r="BL14" s="21">
        <f t="shared" si="73"/>
        <v>0.0455684666210838</v>
      </c>
      <c r="BM14" s="21">
        <f t="shared" si="73"/>
        <v>0.00602296254470052</v>
      </c>
      <c r="BN14" s="21">
        <f t="shared" si="73"/>
        <v>0.0148989073474222</v>
      </c>
      <c r="BO14" s="21">
        <f t="shared" si="73"/>
        <v>0.187401309598202</v>
      </c>
    </row>
    <row r="15" spans="1:67">
      <c r="A15" s="9">
        <f t="shared" si="20"/>
        <v>44239</v>
      </c>
      <c r="B15" s="10">
        <v>15801.5</v>
      </c>
      <c r="C15" s="8">
        <v>85788.6</v>
      </c>
      <c r="D15" s="8">
        <v>54755.6</v>
      </c>
      <c r="E15" s="8">
        <v>55782</v>
      </c>
      <c r="F15" s="8">
        <v>3395.1</v>
      </c>
      <c r="G15" s="8">
        <v>108623.4</v>
      </c>
      <c r="H15" s="8">
        <v>5596.3</v>
      </c>
      <c r="I15" s="8">
        <v>2566.3</v>
      </c>
      <c r="J15" s="8">
        <v>967</v>
      </c>
      <c r="K15" s="8">
        <v>56</v>
      </c>
      <c r="L15" s="8">
        <v>87293.7</v>
      </c>
      <c r="M15" s="8">
        <v>61126.5</v>
      </c>
      <c r="N15" s="8">
        <v>69176.2</v>
      </c>
      <c r="O15" s="8">
        <v>99056.3</v>
      </c>
      <c r="P15" s="8">
        <v>5171.6</v>
      </c>
      <c r="Q15" s="8">
        <v>7012.2</v>
      </c>
      <c r="R15" s="8">
        <v>4260.5</v>
      </c>
      <c r="S15" s="8">
        <v>4916.7</v>
      </c>
      <c r="T15" s="8">
        <v>6009.1</v>
      </c>
      <c r="U15" s="8">
        <v>16648.8</v>
      </c>
      <c r="V15" s="8">
        <v>49018</v>
      </c>
      <c r="W15" s="8">
        <v>49492.6</v>
      </c>
      <c r="X15" s="8">
        <v>939</v>
      </c>
      <c r="Y15" s="8">
        <v>792.4</v>
      </c>
      <c r="Z15" s="16">
        <f t="shared" si="28"/>
        <v>51224</v>
      </c>
      <c r="AA15" s="8">
        <v>56064.2</v>
      </c>
      <c r="AB15" s="14">
        <v>1247</v>
      </c>
      <c r="AC15" s="7">
        <f t="shared" si="21"/>
        <v>57311.2</v>
      </c>
      <c r="AD15" s="17">
        <v>50890</v>
      </c>
      <c r="AE15" s="18">
        <f t="shared" ref="AE15:AI15" si="74">IF(OR(C16=""),"",(C16-C15)*80)</f>
        <v>0</v>
      </c>
      <c r="AF15" s="18">
        <f t="shared" si="74"/>
        <v>552.000000000116</v>
      </c>
      <c r="AG15" s="18">
        <f t="shared" si="74"/>
        <v>0</v>
      </c>
      <c r="AH15" s="18">
        <f t="shared" si="74"/>
        <v>7.20000000001164</v>
      </c>
      <c r="AI15" s="18">
        <f t="shared" si="74"/>
        <v>1536.00000000093</v>
      </c>
      <c r="AJ15" s="18">
        <f t="shared" si="3"/>
        <v>2095.20000000106</v>
      </c>
      <c r="AK15" s="18">
        <f t="shared" ref="AK15:AN15" si="75">IF(OR(H16=""),"",(H16-H15)*80)</f>
        <v>0</v>
      </c>
      <c r="AL15" s="18">
        <f t="shared" si="75"/>
        <v>0</v>
      </c>
      <c r="AM15" s="18">
        <f t="shared" si="75"/>
        <v>0</v>
      </c>
      <c r="AN15" s="18">
        <f t="shared" si="75"/>
        <v>0</v>
      </c>
      <c r="AO15" s="18">
        <f t="shared" si="5"/>
        <v>0</v>
      </c>
      <c r="AP15" s="18">
        <f t="shared" ref="AP15:AS15" si="76">IF(OR(L16=""),"",(L16-L15)*100)</f>
        <v>2230.00000000029</v>
      </c>
      <c r="AQ15" s="18">
        <f t="shared" si="76"/>
        <v>9.99999999985448</v>
      </c>
      <c r="AR15" s="18">
        <f t="shared" si="76"/>
        <v>0</v>
      </c>
      <c r="AS15" s="18">
        <f t="shared" si="76"/>
        <v>59.9999999991269</v>
      </c>
      <c r="AT15" s="18">
        <f t="shared" si="7"/>
        <v>2299.99999999927</v>
      </c>
      <c r="AU15" s="18">
        <f t="shared" ref="AU15:AY15" si="77">IF(OR(P16=""),"",(P16-P15)*1000)</f>
        <v>3799.99999999927</v>
      </c>
      <c r="AV15" s="18">
        <f t="shared" si="77"/>
        <v>4600.00000000036</v>
      </c>
      <c r="AW15" s="18">
        <f t="shared" si="77"/>
        <v>1000</v>
      </c>
      <c r="AX15" s="18">
        <f t="shared" si="77"/>
        <v>100.000000000364</v>
      </c>
      <c r="AY15" s="18">
        <f t="shared" si="77"/>
        <v>0</v>
      </c>
      <c r="AZ15" s="18">
        <f t="shared" si="9"/>
        <v>9500</v>
      </c>
      <c r="BA15" s="18">
        <f t="shared" si="10"/>
        <v>2800.00000000291</v>
      </c>
      <c r="BB15" s="18">
        <f t="shared" si="11"/>
        <v>615.999999999767</v>
      </c>
      <c r="BC15" s="18">
        <f t="shared" si="26"/>
        <v>1576.00000000006</v>
      </c>
      <c r="BD15" s="18">
        <f t="shared" si="12"/>
        <v>13712.7999999991</v>
      </c>
      <c r="BE15" s="18">
        <f t="shared" si="13"/>
        <v>32600.0000000022</v>
      </c>
      <c r="BF15" s="18">
        <f t="shared" si="14"/>
        <v>81.5</v>
      </c>
      <c r="BG15" s="21">
        <f t="shared" si="15"/>
        <v>0.640597366869762</v>
      </c>
      <c r="BH15" s="21">
        <f t="shared" si="16"/>
        <v>0.0411711534682857</v>
      </c>
      <c r="BI15" s="21">
        <f t="shared" si="17"/>
        <v>0</v>
      </c>
      <c r="BJ15" s="21">
        <f t="shared" si="18"/>
        <v>0.0451955197484628</v>
      </c>
      <c r="BK15" s="21">
        <f t="shared" ref="BK15:BO15" si="78">IF(OR($AD15=0),"",AZ15/$AD15)</f>
        <v>0.186677146787188</v>
      </c>
      <c r="BL15" s="21">
        <f t="shared" si="78"/>
        <v>0.0550206327373337</v>
      </c>
      <c r="BM15" s="21">
        <f t="shared" si="78"/>
        <v>0.0121045392021963</v>
      </c>
      <c r="BN15" s="21">
        <f t="shared" si="78"/>
        <v>0.0309687561406968</v>
      </c>
      <c r="BO15" s="21">
        <f t="shared" si="78"/>
        <v>0.269459618785599</v>
      </c>
    </row>
    <row r="16" spans="1:67">
      <c r="A16" s="9">
        <f t="shared" si="20"/>
        <v>44240</v>
      </c>
      <c r="B16" s="10">
        <v>15804.76</v>
      </c>
      <c r="C16" s="8">
        <v>85788.6</v>
      </c>
      <c r="D16" s="8">
        <v>54762.5</v>
      </c>
      <c r="E16" s="8">
        <v>55782</v>
      </c>
      <c r="F16" s="8">
        <v>3395.19</v>
      </c>
      <c r="G16" s="8">
        <v>108642.6</v>
      </c>
      <c r="H16" s="8">
        <v>5596.3</v>
      </c>
      <c r="I16" s="8">
        <v>2566.3</v>
      </c>
      <c r="J16" s="8">
        <v>967</v>
      </c>
      <c r="K16" s="8">
        <v>56</v>
      </c>
      <c r="L16" s="8">
        <v>87316</v>
      </c>
      <c r="M16" s="8">
        <v>61126.6</v>
      </c>
      <c r="N16" s="8">
        <v>69176.2</v>
      </c>
      <c r="O16" s="8">
        <v>99056.9</v>
      </c>
      <c r="P16" s="8">
        <v>5175.4</v>
      </c>
      <c r="Q16" s="8">
        <v>7016.8</v>
      </c>
      <c r="R16" s="8">
        <v>4261.5</v>
      </c>
      <c r="S16" s="8">
        <v>4916.8</v>
      </c>
      <c r="T16" s="8">
        <v>6009.1</v>
      </c>
      <c r="U16" s="8">
        <v>16650.2</v>
      </c>
      <c r="V16" s="8">
        <v>49025.7</v>
      </c>
      <c r="W16" s="8">
        <v>49510.3</v>
      </c>
      <c r="X16" s="8">
        <v>952.4</v>
      </c>
      <c r="Y16" s="8">
        <v>800.7</v>
      </c>
      <c r="Z16" s="16">
        <f t="shared" si="28"/>
        <v>51263.4</v>
      </c>
      <c r="AA16" s="8">
        <v>56111.7</v>
      </c>
      <c r="AB16" s="14">
        <v>1281</v>
      </c>
      <c r="AC16" s="7">
        <f t="shared" si="21"/>
        <v>57392.7</v>
      </c>
      <c r="AD16" s="17">
        <v>69756</v>
      </c>
      <c r="AE16" s="18">
        <f t="shared" ref="AE16:AI16" si="79">IF(OR(C17=""),"",(C17-C16)*80)</f>
        <v>0</v>
      </c>
      <c r="AF16" s="18">
        <f t="shared" si="79"/>
        <v>0</v>
      </c>
      <c r="AG16" s="18">
        <f t="shared" si="79"/>
        <v>0</v>
      </c>
      <c r="AH16" s="18">
        <f t="shared" si="79"/>
        <v>0</v>
      </c>
      <c r="AI16" s="18">
        <f t="shared" si="79"/>
        <v>2287.9999999993</v>
      </c>
      <c r="AJ16" s="18">
        <f t="shared" si="3"/>
        <v>2287.9999999993</v>
      </c>
      <c r="AK16" s="18">
        <f t="shared" ref="AK16:AN16" si="80">IF(OR(H17=""),"",(H17-H16)*80)</f>
        <v>0</v>
      </c>
      <c r="AL16" s="18">
        <f t="shared" si="80"/>
        <v>0</v>
      </c>
      <c r="AM16" s="18">
        <f t="shared" si="80"/>
        <v>0</v>
      </c>
      <c r="AN16" s="18">
        <f t="shared" si="80"/>
        <v>0</v>
      </c>
      <c r="AO16" s="18">
        <f t="shared" si="5"/>
        <v>0</v>
      </c>
      <c r="AP16" s="18">
        <f t="shared" ref="AP16:AS16" si="81">IF(OR(L17=""),"",(L17-L16)*100)</f>
        <v>1210.00000000058</v>
      </c>
      <c r="AQ16" s="18">
        <f t="shared" si="81"/>
        <v>0</v>
      </c>
      <c r="AR16" s="18">
        <f t="shared" si="81"/>
        <v>0</v>
      </c>
      <c r="AS16" s="18">
        <f t="shared" si="81"/>
        <v>1760.00000000058</v>
      </c>
      <c r="AT16" s="18">
        <f t="shared" si="7"/>
        <v>2970.00000000116</v>
      </c>
      <c r="AU16" s="18">
        <f t="shared" ref="AU16:AY16" si="82">IF(OR(P17=""),"",(P17-P16)*1000)</f>
        <v>3600.00000000036</v>
      </c>
      <c r="AV16" s="18">
        <f t="shared" si="82"/>
        <v>6899.99999999964</v>
      </c>
      <c r="AW16" s="18">
        <f t="shared" si="82"/>
        <v>0</v>
      </c>
      <c r="AX16" s="18">
        <f t="shared" si="82"/>
        <v>0</v>
      </c>
      <c r="AY16" s="18">
        <f t="shared" si="82"/>
        <v>0</v>
      </c>
      <c r="AZ16" s="18">
        <f t="shared" si="9"/>
        <v>10500</v>
      </c>
      <c r="BA16" s="18">
        <f t="shared" si="10"/>
        <v>3599.99999999854</v>
      </c>
      <c r="BB16" s="18">
        <f t="shared" si="11"/>
        <v>616.000000000349</v>
      </c>
      <c r="BC16" s="18">
        <f t="shared" si="26"/>
        <v>1499.99999999971</v>
      </c>
      <c r="BD16" s="18">
        <f t="shared" si="12"/>
        <v>11525.9999999937</v>
      </c>
      <c r="BE16" s="18">
        <f t="shared" si="13"/>
        <v>32999.9999999927</v>
      </c>
      <c r="BF16" s="18">
        <f t="shared" si="14"/>
        <v>79.8000000000029</v>
      </c>
      <c r="BG16" s="21">
        <f t="shared" si="15"/>
        <v>0.47307758472379</v>
      </c>
      <c r="BH16" s="21">
        <f t="shared" si="16"/>
        <v>0.03280004587418</v>
      </c>
      <c r="BI16" s="21">
        <f t="shared" si="17"/>
        <v>0</v>
      </c>
      <c r="BJ16" s="21">
        <f t="shared" si="18"/>
        <v>0.0425769826251672</v>
      </c>
      <c r="BK16" s="21">
        <f t="shared" ref="BK16:BO16" si="83">IF(OR($AD16=0),"",AZ16/$AD16)</f>
        <v>0.150524686048512</v>
      </c>
      <c r="BL16" s="21">
        <f t="shared" si="83"/>
        <v>0.0516084637880404</v>
      </c>
      <c r="BM16" s="21">
        <f t="shared" si="83"/>
        <v>0.00883078158151771</v>
      </c>
      <c r="BN16" s="21">
        <f t="shared" si="83"/>
        <v>0.0215035265783547</v>
      </c>
      <c r="BO16" s="21">
        <f t="shared" si="83"/>
        <v>0.165233098228018</v>
      </c>
    </row>
    <row r="17" spans="1:67">
      <c r="A17" s="9">
        <f t="shared" si="20"/>
        <v>44241</v>
      </c>
      <c r="B17" s="10">
        <v>15808.06</v>
      </c>
      <c r="C17" s="8">
        <v>85788.6</v>
      </c>
      <c r="D17" s="8">
        <v>54762.5</v>
      </c>
      <c r="E17" s="8">
        <v>55782</v>
      </c>
      <c r="F17" s="8">
        <v>3395.19</v>
      </c>
      <c r="G17" s="8">
        <v>108671.2</v>
      </c>
      <c r="H17" s="8">
        <v>5596.3</v>
      </c>
      <c r="I17" s="8">
        <v>2566.3</v>
      </c>
      <c r="J17" s="8">
        <v>967</v>
      </c>
      <c r="K17" s="8">
        <v>56</v>
      </c>
      <c r="L17" s="8">
        <v>87328.1</v>
      </c>
      <c r="M17" s="8">
        <v>61126.6</v>
      </c>
      <c r="N17" s="8">
        <v>69176.2</v>
      </c>
      <c r="O17" s="8">
        <v>99074.5</v>
      </c>
      <c r="P17" s="8">
        <v>5179</v>
      </c>
      <c r="Q17" s="8">
        <v>7023.7</v>
      </c>
      <c r="R17" s="8">
        <v>4261.5</v>
      </c>
      <c r="S17" s="8">
        <v>4916.8</v>
      </c>
      <c r="T17" s="8">
        <v>6009.1</v>
      </c>
      <c r="U17" s="8">
        <v>16652</v>
      </c>
      <c r="V17" s="8">
        <v>49033.4</v>
      </c>
      <c r="W17" s="8">
        <v>49527.2</v>
      </c>
      <c r="X17" s="8">
        <v>965</v>
      </c>
      <c r="Y17" s="8">
        <v>808.7</v>
      </c>
      <c r="Z17" s="16">
        <f t="shared" si="28"/>
        <v>51300.9</v>
      </c>
      <c r="AA17" s="8">
        <v>56156.5</v>
      </c>
      <c r="AB17" s="14">
        <v>1316</v>
      </c>
      <c r="AC17" s="7">
        <f t="shared" si="21"/>
        <v>57472.5</v>
      </c>
      <c r="AD17" s="17">
        <v>51598</v>
      </c>
      <c r="AE17" s="18">
        <f t="shared" ref="AE17:AI17" si="84">IF(OR(C18=""),"",(C18-C17)*80)</f>
        <v>287.999999999302</v>
      </c>
      <c r="AF17" s="18">
        <f t="shared" si="84"/>
        <v>1960</v>
      </c>
      <c r="AG17" s="18">
        <f t="shared" si="84"/>
        <v>1447.99999999988</v>
      </c>
      <c r="AH17" s="18">
        <f t="shared" si="84"/>
        <v>0</v>
      </c>
      <c r="AI17" s="18">
        <f t="shared" si="84"/>
        <v>2384.00000000023</v>
      </c>
      <c r="AJ17" s="18">
        <f t="shared" si="3"/>
        <v>6079.99999999942</v>
      </c>
      <c r="AK17" s="18">
        <f t="shared" ref="AK17:AN17" si="85">IF(OR(H18=""),"",(H18-H17)*80)</f>
        <v>0</v>
      </c>
      <c r="AL17" s="18">
        <f t="shared" si="85"/>
        <v>0</v>
      </c>
      <c r="AM17" s="18">
        <f t="shared" si="85"/>
        <v>0</v>
      </c>
      <c r="AN17" s="18">
        <f t="shared" si="85"/>
        <v>0</v>
      </c>
      <c r="AO17" s="18">
        <f t="shared" si="5"/>
        <v>0</v>
      </c>
      <c r="AP17" s="18">
        <f t="shared" ref="AP17:AS17" si="86">IF(OR(L18=""),"",(L18-L17)*100)</f>
        <v>1789.99999999942</v>
      </c>
      <c r="AQ17" s="18">
        <f t="shared" si="86"/>
        <v>0</v>
      </c>
      <c r="AR17" s="18">
        <f t="shared" si="86"/>
        <v>150</v>
      </c>
      <c r="AS17" s="18">
        <f t="shared" si="86"/>
        <v>350</v>
      </c>
      <c r="AT17" s="18">
        <f t="shared" si="7"/>
        <v>2289.99999999942</v>
      </c>
      <c r="AU17" s="18">
        <f t="shared" ref="AU17:AY17" si="87">IF(OR(P18=""),"",(P18-P17)*1000)</f>
        <v>3800.00000000018</v>
      </c>
      <c r="AV17" s="18">
        <f t="shared" si="87"/>
        <v>7000</v>
      </c>
      <c r="AW17" s="18">
        <f t="shared" si="87"/>
        <v>0</v>
      </c>
      <c r="AX17" s="18">
        <f t="shared" si="87"/>
        <v>0</v>
      </c>
      <c r="AY17" s="18">
        <f t="shared" si="87"/>
        <v>0</v>
      </c>
      <c r="AZ17" s="18">
        <f t="shared" si="9"/>
        <v>10800.0000000002</v>
      </c>
      <c r="BA17" s="18">
        <f t="shared" si="10"/>
        <v>3000</v>
      </c>
      <c r="BB17" s="18">
        <f t="shared" si="11"/>
        <v>615.999999999767</v>
      </c>
      <c r="BC17" s="18">
        <f t="shared" si="26"/>
        <v>1556.00000000006</v>
      </c>
      <c r="BD17" s="18">
        <f t="shared" si="12"/>
        <v>10858.0000000055</v>
      </c>
      <c r="BE17" s="18">
        <f t="shared" si="13"/>
        <v>35200.0000000044</v>
      </c>
      <c r="BF17" s="18">
        <f t="shared" si="14"/>
        <v>79.8000000000029</v>
      </c>
      <c r="BG17" s="21">
        <f t="shared" si="15"/>
        <v>0.682196984379324</v>
      </c>
      <c r="BH17" s="21">
        <f t="shared" si="16"/>
        <v>0.117834024574585</v>
      </c>
      <c r="BI17" s="21">
        <f t="shared" si="17"/>
        <v>0</v>
      </c>
      <c r="BJ17" s="21">
        <f t="shared" si="18"/>
        <v>0.0443815651769336</v>
      </c>
      <c r="BK17" s="21">
        <f t="shared" ref="BK17:BO17" si="88">IF(OR($AD17=0),"",AZ17/$AD17)</f>
        <v>0.209310438389088</v>
      </c>
      <c r="BL17" s="21">
        <f t="shared" si="88"/>
        <v>0.0581417884414125</v>
      </c>
      <c r="BM17" s="21">
        <f t="shared" si="88"/>
        <v>0.0119384472266322</v>
      </c>
      <c r="BN17" s="21">
        <f t="shared" si="88"/>
        <v>0.0301562076049471</v>
      </c>
      <c r="BO17" s="21">
        <f t="shared" si="88"/>
        <v>0.210434512965726</v>
      </c>
    </row>
    <row r="18" spans="1:67">
      <c r="A18" s="9">
        <f t="shared" si="20"/>
        <v>44242</v>
      </c>
      <c r="B18" s="10">
        <v>15811.58</v>
      </c>
      <c r="C18" s="8">
        <v>85792.2</v>
      </c>
      <c r="D18" s="8">
        <v>54787</v>
      </c>
      <c r="E18" s="8">
        <v>55800.1</v>
      </c>
      <c r="F18" s="8">
        <v>3395.19</v>
      </c>
      <c r="G18" s="8">
        <v>108701</v>
      </c>
      <c r="H18" s="8">
        <v>5596.3</v>
      </c>
      <c r="I18" s="8">
        <v>2566.3</v>
      </c>
      <c r="J18" s="8">
        <v>967</v>
      </c>
      <c r="K18" s="8">
        <v>56</v>
      </c>
      <c r="L18" s="8">
        <v>87346</v>
      </c>
      <c r="M18" s="8">
        <v>61126.6</v>
      </c>
      <c r="N18" s="8">
        <v>69177.7</v>
      </c>
      <c r="O18" s="8">
        <v>99078</v>
      </c>
      <c r="P18" s="8">
        <v>5182.8</v>
      </c>
      <c r="Q18" s="8">
        <v>7030.7</v>
      </c>
      <c r="R18" s="8">
        <v>4261.5</v>
      </c>
      <c r="S18" s="8">
        <v>4916.8</v>
      </c>
      <c r="T18" s="8">
        <v>6009.1</v>
      </c>
      <c r="U18" s="8">
        <v>16653.5</v>
      </c>
      <c r="V18" s="8">
        <v>49041.1</v>
      </c>
      <c r="W18" s="8">
        <v>49544.5</v>
      </c>
      <c r="X18" s="8">
        <v>978.2</v>
      </c>
      <c r="Y18" s="8">
        <v>817.1</v>
      </c>
      <c r="Z18" s="16">
        <f t="shared" si="28"/>
        <v>51339.8</v>
      </c>
      <c r="AA18" s="8">
        <v>56202.3</v>
      </c>
      <c r="AB18" s="14">
        <v>1350</v>
      </c>
      <c r="AC18" s="7">
        <f t="shared" si="21"/>
        <v>57552.3</v>
      </c>
      <c r="AD18" s="17">
        <v>102530</v>
      </c>
      <c r="AE18" s="18">
        <f t="shared" ref="AE18:AI18" si="89">IF(OR(C19=""),"",(C19-C18)*80)</f>
        <v>0</v>
      </c>
      <c r="AF18" s="18">
        <f t="shared" si="89"/>
        <v>2032.00000000012</v>
      </c>
      <c r="AG18" s="18">
        <f t="shared" si="89"/>
        <v>0</v>
      </c>
      <c r="AH18" s="18">
        <f t="shared" si="89"/>
        <v>8.80000000001019</v>
      </c>
      <c r="AI18" s="18">
        <f t="shared" si="89"/>
        <v>2015.99999999977</v>
      </c>
      <c r="AJ18" s="18">
        <f t="shared" si="3"/>
        <v>4056.79999999989</v>
      </c>
      <c r="AK18" s="18">
        <f t="shared" ref="AK18:AN18" si="90">IF(OR(H19=""),"",(H19-H18)*80)</f>
        <v>0</v>
      </c>
      <c r="AL18" s="18">
        <f t="shared" si="90"/>
        <v>0</v>
      </c>
      <c r="AM18" s="18">
        <f t="shared" si="90"/>
        <v>0</v>
      </c>
      <c r="AN18" s="18">
        <f t="shared" si="90"/>
        <v>0</v>
      </c>
      <c r="AO18" s="18">
        <f t="shared" si="5"/>
        <v>0</v>
      </c>
      <c r="AP18" s="18">
        <f t="shared" ref="AP18:AS18" si="91">IF(OR(L19=""),"",(L19-L18)*100)</f>
        <v>1750</v>
      </c>
      <c r="AQ18" s="18">
        <f t="shared" si="91"/>
        <v>20.0000000004366</v>
      </c>
      <c r="AR18" s="18">
        <f t="shared" si="91"/>
        <v>0</v>
      </c>
      <c r="AS18" s="18">
        <f t="shared" si="91"/>
        <v>1919.99999999971</v>
      </c>
      <c r="AT18" s="18">
        <f t="shared" si="7"/>
        <v>3690.00000000015</v>
      </c>
      <c r="AU18" s="18">
        <f t="shared" ref="AU18:AY18" si="92">IF(OR(P19=""),"",(P19-P18)*1000)</f>
        <v>1899.99999999964</v>
      </c>
      <c r="AV18" s="18">
        <f t="shared" si="92"/>
        <v>6000</v>
      </c>
      <c r="AW18" s="18">
        <f t="shared" si="92"/>
        <v>4699.99999999982</v>
      </c>
      <c r="AX18" s="18">
        <f t="shared" si="92"/>
        <v>599.999999999454</v>
      </c>
      <c r="AY18" s="18">
        <f t="shared" si="92"/>
        <v>0</v>
      </c>
      <c r="AZ18" s="18">
        <f t="shared" si="9"/>
        <v>13199.9999999989</v>
      </c>
      <c r="BA18" s="18">
        <f t="shared" si="10"/>
        <v>4800.00000000291</v>
      </c>
      <c r="BB18" s="18">
        <f t="shared" si="11"/>
        <v>647.999999999884</v>
      </c>
      <c r="BC18" s="18">
        <f t="shared" si="26"/>
        <v>1556.00000000006</v>
      </c>
      <c r="BD18" s="18">
        <f t="shared" si="12"/>
        <v>14949.2000000069</v>
      </c>
      <c r="BE18" s="18">
        <f t="shared" si="13"/>
        <v>42900.0000000087</v>
      </c>
      <c r="BF18" s="18">
        <f t="shared" si="14"/>
        <v>80.0999999999985</v>
      </c>
      <c r="BG18" s="21">
        <f t="shared" si="15"/>
        <v>0.418414122695882</v>
      </c>
      <c r="BH18" s="21">
        <f t="shared" si="16"/>
        <v>0.0395669560128732</v>
      </c>
      <c r="BI18" s="21">
        <f t="shared" si="17"/>
        <v>0</v>
      </c>
      <c r="BJ18" s="21">
        <f t="shared" si="18"/>
        <v>0.0359894664976119</v>
      </c>
      <c r="BK18" s="21">
        <f t="shared" ref="BK18:BO18" si="93">IF(OR($AD18=0),"",AZ18/$AD18)</f>
        <v>0.128742806983311</v>
      </c>
      <c r="BL18" s="21">
        <f t="shared" si="93"/>
        <v>0.0468155661757818</v>
      </c>
      <c r="BM18" s="21">
        <f t="shared" si="93"/>
        <v>0.00632010143372558</v>
      </c>
      <c r="BN18" s="21">
        <f t="shared" si="93"/>
        <v>0.0151760460353073</v>
      </c>
      <c r="BO18" s="21">
        <f t="shared" si="93"/>
        <v>0.14580317955727</v>
      </c>
    </row>
    <row r="19" spans="1:67">
      <c r="A19" s="9">
        <f t="shared" si="20"/>
        <v>44243</v>
      </c>
      <c r="B19" s="10">
        <v>15815.87</v>
      </c>
      <c r="C19" s="8">
        <v>85792.2</v>
      </c>
      <c r="D19" s="8">
        <v>54812.4</v>
      </c>
      <c r="E19" s="8">
        <v>55800.1</v>
      </c>
      <c r="F19" s="8">
        <v>3395.3</v>
      </c>
      <c r="G19" s="8">
        <v>108726.2</v>
      </c>
      <c r="H19" s="8">
        <v>5596.3</v>
      </c>
      <c r="I19" s="8">
        <v>2566.3</v>
      </c>
      <c r="J19" s="8">
        <v>967</v>
      </c>
      <c r="K19" s="8">
        <v>56</v>
      </c>
      <c r="L19" s="8">
        <v>87363.5</v>
      </c>
      <c r="M19" s="8">
        <v>61126.8</v>
      </c>
      <c r="N19" s="8">
        <v>69177.7</v>
      </c>
      <c r="O19" s="8">
        <v>99097.2</v>
      </c>
      <c r="P19" s="8">
        <v>5184.7</v>
      </c>
      <c r="Q19" s="8">
        <v>7036.7</v>
      </c>
      <c r="R19" s="8">
        <v>4266.2</v>
      </c>
      <c r="S19" s="8">
        <v>4917.4</v>
      </c>
      <c r="T19" s="8">
        <v>6009.1</v>
      </c>
      <c r="U19" s="8">
        <v>16655.9</v>
      </c>
      <c r="V19" s="8">
        <v>49049.2</v>
      </c>
      <c r="W19" s="8">
        <v>49562.2</v>
      </c>
      <c r="X19" s="8">
        <v>991.2</v>
      </c>
      <c r="Y19" s="8">
        <v>825.3</v>
      </c>
      <c r="Z19" s="16">
        <f t="shared" si="28"/>
        <v>51378.7</v>
      </c>
      <c r="AA19" s="8">
        <v>56248.4</v>
      </c>
      <c r="AB19" s="14">
        <v>1384</v>
      </c>
      <c r="AC19" s="7">
        <f t="shared" si="21"/>
        <v>57632.4</v>
      </c>
      <c r="AD19" s="17">
        <v>104132</v>
      </c>
      <c r="AE19" s="18">
        <f t="shared" ref="AE19:AI19" si="94">IF(OR(C20=""),"",(C20-C19)*80)</f>
        <v>0</v>
      </c>
      <c r="AF19" s="18">
        <f t="shared" si="94"/>
        <v>2440</v>
      </c>
      <c r="AG19" s="18">
        <f t="shared" si="94"/>
        <v>0</v>
      </c>
      <c r="AH19" s="18">
        <f t="shared" si="94"/>
        <v>9.59999999999127</v>
      </c>
      <c r="AI19" s="18">
        <f t="shared" si="94"/>
        <v>1928.00000000047</v>
      </c>
      <c r="AJ19" s="18">
        <f t="shared" si="3"/>
        <v>4377.60000000046</v>
      </c>
      <c r="AK19" s="18">
        <f t="shared" ref="AK19:AN19" si="95">IF(OR(H20=""),"",(H20-H19)*80)</f>
        <v>0</v>
      </c>
      <c r="AL19" s="18">
        <f t="shared" si="95"/>
        <v>0</v>
      </c>
      <c r="AM19" s="18">
        <f t="shared" si="95"/>
        <v>0</v>
      </c>
      <c r="AN19" s="18">
        <f t="shared" si="95"/>
        <v>0</v>
      </c>
      <c r="AO19" s="18">
        <f t="shared" si="5"/>
        <v>0</v>
      </c>
      <c r="AP19" s="18">
        <f t="shared" ref="AP19:AS19" si="96">IF(OR(L20=""),"",(L20-L19)*100)</f>
        <v>1550</v>
      </c>
      <c r="AQ19" s="18">
        <f t="shared" si="96"/>
        <v>0</v>
      </c>
      <c r="AR19" s="18">
        <f t="shared" si="96"/>
        <v>0</v>
      </c>
      <c r="AS19" s="18">
        <f t="shared" si="96"/>
        <v>2340.00000000087</v>
      </c>
      <c r="AT19" s="18">
        <f t="shared" si="7"/>
        <v>3890.00000000087</v>
      </c>
      <c r="AU19" s="18">
        <f t="shared" ref="AU19:AY19" si="97">IF(OR(P20=""),"",(P20-P19)*1000)</f>
        <v>3400.00000000055</v>
      </c>
      <c r="AV19" s="18">
        <f t="shared" si="97"/>
        <v>0</v>
      </c>
      <c r="AW19" s="18">
        <f t="shared" si="97"/>
        <v>4300.00000000018</v>
      </c>
      <c r="AX19" s="18">
        <f t="shared" si="97"/>
        <v>800.000000000182</v>
      </c>
      <c r="AY19" s="18">
        <f t="shared" si="97"/>
        <v>0</v>
      </c>
      <c r="AZ19" s="18">
        <f t="shared" si="9"/>
        <v>8500.00000000091</v>
      </c>
      <c r="BA19" s="18">
        <f t="shared" si="10"/>
        <v>4399.99999999418</v>
      </c>
      <c r="BB19" s="18">
        <f t="shared" si="11"/>
        <v>576.000000000349</v>
      </c>
      <c r="BC19" s="18">
        <f t="shared" si="26"/>
        <v>1472.00000000012</v>
      </c>
      <c r="BD19" s="18">
        <f t="shared" si="12"/>
        <v>17484.4000000002</v>
      </c>
      <c r="BE19" s="18">
        <f t="shared" si="13"/>
        <v>40699.9999999971</v>
      </c>
      <c r="BF19" s="18">
        <f t="shared" si="14"/>
        <v>81.2999999999956</v>
      </c>
      <c r="BG19" s="21">
        <f t="shared" si="15"/>
        <v>0.3908500749049</v>
      </c>
      <c r="BH19" s="21">
        <f t="shared" si="16"/>
        <v>0.0420389505627517</v>
      </c>
      <c r="BI19" s="21">
        <f t="shared" si="17"/>
        <v>0</v>
      </c>
      <c r="BJ19" s="21">
        <f t="shared" si="18"/>
        <v>0.0373564322206514</v>
      </c>
      <c r="BK19" s="21">
        <f t="shared" ref="BK19:BO19" si="98">IF(OR($AD19=0),"",AZ19/$AD19)</f>
        <v>0.081627165520694</v>
      </c>
      <c r="BL19" s="21">
        <f t="shared" si="98"/>
        <v>0.0422540621518282</v>
      </c>
      <c r="BM19" s="21">
        <f t="shared" si="98"/>
        <v>0.00553144086352273</v>
      </c>
      <c r="BN19" s="21">
        <f t="shared" si="98"/>
        <v>0.0141359044289951</v>
      </c>
      <c r="BO19" s="21">
        <f t="shared" si="98"/>
        <v>0.167906119156457</v>
      </c>
    </row>
    <row r="20" spans="1:67">
      <c r="A20" s="9">
        <f t="shared" si="20"/>
        <v>44244</v>
      </c>
      <c r="B20" s="10">
        <v>15819.94</v>
      </c>
      <c r="C20" s="8">
        <v>85792.2</v>
      </c>
      <c r="D20" s="8">
        <v>54842.9</v>
      </c>
      <c r="E20" s="8">
        <v>55800.1</v>
      </c>
      <c r="F20" s="8">
        <v>3395.42</v>
      </c>
      <c r="G20" s="8">
        <v>108750.3</v>
      </c>
      <c r="H20" s="8">
        <v>5596.3</v>
      </c>
      <c r="I20" s="8">
        <v>2566.3</v>
      </c>
      <c r="J20" s="8">
        <v>967</v>
      </c>
      <c r="K20" s="8">
        <v>56</v>
      </c>
      <c r="L20" s="8">
        <v>87379</v>
      </c>
      <c r="M20" s="8">
        <v>61126.8</v>
      </c>
      <c r="N20" s="8">
        <v>69177.7</v>
      </c>
      <c r="O20" s="8">
        <v>99120.6</v>
      </c>
      <c r="P20" s="8">
        <v>5188.1</v>
      </c>
      <c r="Q20" s="8">
        <v>7036.7</v>
      </c>
      <c r="R20" s="8">
        <v>4270.5</v>
      </c>
      <c r="S20" s="8">
        <v>4918.2</v>
      </c>
      <c r="T20" s="8">
        <v>6009.1</v>
      </c>
      <c r="U20" s="8">
        <v>16658.1</v>
      </c>
      <c r="V20" s="8">
        <v>49056.4</v>
      </c>
      <c r="W20" s="8">
        <v>49579.6</v>
      </c>
      <c r="X20" s="8">
        <v>1002.4</v>
      </c>
      <c r="Y20" s="8">
        <v>833.5</v>
      </c>
      <c r="Z20" s="16">
        <f t="shared" si="28"/>
        <v>51415.5</v>
      </c>
      <c r="AA20" s="8">
        <v>56292.7</v>
      </c>
      <c r="AB20" s="14">
        <v>1421</v>
      </c>
      <c r="AC20" s="7">
        <f t="shared" si="21"/>
        <v>57713.7</v>
      </c>
      <c r="AD20" s="17">
        <v>75293</v>
      </c>
      <c r="AE20" s="18">
        <f t="shared" ref="AE20:AI20" si="99">IF(OR(C21=""),"",(C21-C20)*80)</f>
        <v>0</v>
      </c>
      <c r="AF20" s="18">
        <f t="shared" si="99"/>
        <v>1872.00000000012</v>
      </c>
      <c r="AG20" s="18">
        <f t="shared" si="99"/>
        <v>7.99999999988358</v>
      </c>
      <c r="AH20" s="18">
        <f t="shared" si="99"/>
        <v>4.79999999999563</v>
      </c>
      <c r="AI20" s="18">
        <f t="shared" si="99"/>
        <v>1544.00000000023</v>
      </c>
      <c r="AJ20" s="18">
        <f t="shared" si="3"/>
        <v>3428.80000000023</v>
      </c>
      <c r="AK20" s="18">
        <f t="shared" ref="AK20:AN20" si="100">IF(OR(H21=""),"",(H21-H20)*80)</f>
        <v>0</v>
      </c>
      <c r="AL20" s="18">
        <f t="shared" si="100"/>
        <v>0</v>
      </c>
      <c r="AM20" s="18">
        <f t="shared" si="100"/>
        <v>0</v>
      </c>
      <c r="AN20" s="18">
        <f t="shared" si="100"/>
        <v>0</v>
      </c>
      <c r="AO20" s="18">
        <f t="shared" si="5"/>
        <v>0</v>
      </c>
      <c r="AP20" s="18">
        <f t="shared" ref="AP20:AS20" si="101">IF(OR(L21=""),"",(L21-L20)*100)</f>
        <v>1650</v>
      </c>
      <c r="AQ20" s="18">
        <f t="shared" si="101"/>
        <v>9.99999999985448</v>
      </c>
      <c r="AR20" s="18">
        <f t="shared" si="101"/>
        <v>0</v>
      </c>
      <c r="AS20" s="18">
        <f t="shared" si="101"/>
        <v>1459.99999999913</v>
      </c>
      <c r="AT20" s="18">
        <f t="shared" si="7"/>
        <v>3119.99999999898</v>
      </c>
      <c r="AU20" s="18">
        <f t="shared" ref="AU20:AY20" si="102">IF(OR(P21=""),"",(P21-P20)*1000)</f>
        <v>4000</v>
      </c>
      <c r="AV20" s="18">
        <f t="shared" si="102"/>
        <v>3000</v>
      </c>
      <c r="AW20" s="18">
        <f t="shared" si="102"/>
        <v>2800.00000000018</v>
      </c>
      <c r="AX20" s="18">
        <f t="shared" si="102"/>
        <v>0</v>
      </c>
      <c r="AY20" s="18">
        <f t="shared" si="102"/>
        <v>0</v>
      </c>
      <c r="AZ20" s="18">
        <f t="shared" si="9"/>
        <v>9800.00000000018</v>
      </c>
      <c r="BA20" s="18">
        <f t="shared" si="10"/>
        <v>4200.00000000437</v>
      </c>
      <c r="BB20" s="18">
        <f t="shared" si="11"/>
        <v>623.999999999651</v>
      </c>
      <c r="BC20" s="18">
        <f t="shared" si="26"/>
        <v>1571.99999999983</v>
      </c>
      <c r="BD20" s="18">
        <f t="shared" si="12"/>
        <v>15255.1999999895</v>
      </c>
      <c r="BE20" s="18">
        <f t="shared" si="13"/>
        <v>37999.9999999927</v>
      </c>
      <c r="BF20" s="18">
        <f t="shared" si="14"/>
        <v>78</v>
      </c>
      <c r="BG20" s="21">
        <f t="shared" si="15"/>
        <v>0.504694991566184</v>
      </c>
      <c r="BH20" s="21">
        <f t="shared" si="16"/>
        <v>0.0455394259758574</v>
      </c>
      <c r="BI20" s="21">
        <f t="shared" si="17"/>
        <v>0</v>
      </c>
      <c r="BJ20" s="21">
        <f t="shared" si="18"/>
        <v>0.0414381150970074</v>
      </c>
      <c r="BK20" s="21">
        <f t="shared" ref="BK20:BO20" si="103">IF(OR($AD20=0),"",AZ20/$AD20)</f>
        <v>0.130158182035517</v>
      </c>
      <c r="BL20" s="21">
        <f t="shared" si="103"/>
        <v>0.0557820780152785</v>
      </c>
      <c r="BM20" s="21">
        <f t="shared" si="103"/>
        <v>0.00828762301939956</v>
      </c>
      <c r="BN20" s="21">
        <f t="shared" si="103"/>
        <v>0.0208784349142659</v>
      </c>
      <c r="BO20" s="21">
        <f t="shared" si="103"/>
        <v>0.202611132508859</v>
      </c>
    </row>
    <row r="21" spans="1:67">
      <c r="A21" s="9">
        <f t="shared" si="20"/>
        <v>44245</v>
      </c>
      <c r="B21" s="10">
        <v>15823.74</v>
      </c>
      <c r="C21" s="8">
        <v>85792.2</v>
      </c>
      <c r="D21" s="8">
        <v>54866.3</v>
      </c>
      <c r="E21" s="8">
        <v>55800.2</v>
      </c>
      <c r="F21" s="8">
        <v>3395.48</v>
      </c>
      <c r="G21" s="8">
        <v>108769.6</v>
      </c>
      <c r="H21" s="8">
        <v>5596.3</v>
      </c>
      <c r="I21" s="8">
        <v>2566.3</v>
      </c>
      <c r="J21" s="8">
        <v>967</v>
      </c>
      <c r="K21" s="8">
        <v>56</v>
      </c>
      <c r="L21" s="8">
        <v>87395.5</v>
      </c>
      <c r="M21" s="8">
        <v>61126.9</v>
      </c>
      <c r="N21" s="8">
        <v>69177.7</v>
      </c>
      <c r="O21" s="8">
        <v>99135.2</v>
      </c>
      <c r="P21" s="8">
        <v>5192.1</v>
      </c>
      <c r="Q21" s="8">
        <v>7039.7</v>
      </c>
      <c r="R21" s="8">
        <v>4273.3</v>
      </c>
      <c r="S21" s="8">
        <v>4918.2</v>
      </c>
      <c r="T21" s="8">
        <v>6009.1</v>
      </c>
      <c r="U21" s="8">
        <v>16660.2</v>
      </c>
      <c r="V21" s="8">
        <v>49064.2</v>
      </c>
      <c r="W21" s="8">
        <v>49597.6</v>
      </c>
      <c r="X21" s="8">
        <v>1015.6</v>
      </c>
      <c r="Y21" s="8">
        <v>841.6</v>
      </c>
      <c r="Z21" s="16">
        <f t="shared" si="28"/>
        <v>51454.8</v>
      </c>
      <c r="AA21" s="8">
        <v>56337.7</v>
      </c>
      <c r="AB21" s="14">
        <v>1454</v>
      </c>
      <c r="AC21" s="7">
        <f t="shared" si="21"/>
        <v>57791.7</v>
      </c>
      <c r="AD21" s="17">
        <v>95190</v>
      </c>
      <c r="AE21" s="18">
        <f t="shared" ref="AE21:AI21" si="104">IF(OR(C22=""),"",(C22-C21)*80)</f>
        <v>0</v>
      </c>
      <c r="AF21" s="18">
        <f t="shared" si="104"/>
        <v>3063.99999999965</v>
      </c>
      <c r="AG21" s="18">
        <f t="shared" si="104"/>
        <v>0</v>
      </c>
      <c r="AH21" s="18">
        <f t="shared" si="104"/>
        <v>0</v>
      </c>
      <c r="AI21" s="18">
        <f t="shared" si="104"/>
        <v>1263.99999999907</v>
      </c>
      <c r="AJ21" s="18">
        <f t="shared" si="3"/>
        <v>4327.99999999872</v>
      </c>
      <c r="AK21" s="18">
        <f t="shared" ref="AK21:AN21" si="105">IF(OR(H22=""),"",(H22-H21)*80)</f>
        <v>0</v>
      </c>
      <c r="AL21" s="18">
        <f t="shared" si="105"/>
        <v>0</v>
      </c>
      <c r="AM21" s="18">
        <f t="shared" si="105"/>
        <v>0</v>
      </c>
      <c r="AN21" s="18">
        <f t="shared" si="105"/>
        <v>0</v>
      </c>
      <c r="AO21" s="18">
        <f t="shared" si="5"/>
        <v>0</v>
      </c>
      <c r="AP21" s="18">
        <f t="shared" ref="AP21:AS21" si="106">IF(OR(L22=""),"",(L22-L21)*100)</f>
        <v>1300</v>
      </c>
      <c r="AQ21" s="18">
        <f t="shared" si="106"/>
        <v>0</v>
      </c>
      <c r="AR21" s="18">
        <f t="shared" si="106"/>
        <v>0</v>
      </c>
      <c r="AS21" s="18">
        <f t="shared" si="106"/>
        <v>2350</v>
      </c>
      <c r="AT21" s="18">
        <f t="shared" si="7"/>
        <v>3650</v>
      </c>
      <c r="AU21" s="18">
        <f t="shared" ref="AU21:AY21" si="107">IF(OR(P22=""),"",(P22-P21)*1000)</f>
        <v>3899.99999999964</v>
      </c>
      <c r="AV21" s="18">
        <f t="shared" si="107"/>
        <v>4600.00000000036</v>
      </c>
      <c r="AW21" s="18">
        <f t="shared" si="107"/>
        <v>0</v>
      </c>
      <c r="AX21" s="18">
        <f t="shared" si="107"/>
        <v>1800.00000000018</v>
      </c>
      <c r="AY21" s="18">
        <f t="shared" si="107"/>
        <v>0</v>
      </c>
      <c r="AZ21" s="18">
        <f t="shared" si="9"/>
        <v>10300.0000000002</v>
      </c>
      <c r="BA21" s="18">
        <f t="shared" si="10"/>
        <v>4799.99999999563</v>
      </c>
      <c r="BB21" s="18">
        <f t="shared" si="11"/>
        <v>624.000000000233</v>
      </c>
      <c r="BC21" s="18">
        <f t="shared" si="26"/>
        <v>1563.99999999994</v>
      </c>
      <c r="BD21" s="18">
        <f t="shared" si="12"/>
        <v>14134.0000000104</v>
      </c>
      <c r="BE21" s="18">
        <f t="shared" si="13"/>
        <v>39400.0000000051</v>
      </c>
      <c r="BF21" s="18">
        <f t="shared" si="14"/>
        <v>72.6000000000058</v>
      </c>
      <c r="BG21" s="21">
        <f t="shared" si="15"/>
        <v>0.413909024057202</v>
      </c>
      <c r="BH21" s="21">
        <f t="shared" si="16"/>
        <v>0.0454669608151982</v>
      </c>
      <c r="BI21" s="21">
        <f t="shared" si="17"/>
        <v>0</v>
      </c>
      <c r="BJ21" s="21">
        <f t="shared" si="18"/>
        <v>0.0383443639037714</v>
      </c>
      <c r="BK21" s="21">
        <f t="shared" ref="BK21:BO21" si="108">IF(OR($AD21=0),"",AZ21/$AD21)</f>
        <v>0.108204643344891</v>
      </c>
      <c r="BL21" s="21">
        <f t="shared" si="108"/>
        <v>0.0504254648597083</v>
      </c>
      <c r="BM21" s="21">
        <f t="shared" si="108"/>
        <v>0.00655531043177049</v>
      </c>
      <c r="BN21" s="21">
        <f t="shared" si="108"/>
        <v>0.016430297300136</v>
      </c>
      <c r="BO21" s="21">
        <f t="shared" si="108"/>
        <v>0.148481983401727</v>
      </c>
    </row>
    <row r="22" spans="1:67">
      <c r="A22" s="9">
        <f t="shared" si="20"/>
        <v>44246</v>
      </c>
      <c r="B22" s="10">
        <v>15827.68</v>
      </c>
      <c r="C22" s="8">
        <v>85792.2</v>
      </c>
      <c r="D22" s="8">
        <v>54904.6</v>
      </c>
      <c r="E22" s="8">
        <v>55800.2</v>
      </c>
      <c r="F22" s="8">
        <v>3395.48</v>
      </c>
      <c r="G22" s="8">
        <v>108785.4</v>
      </c>
      <c r="H22" s="8">
        <v>5596.3</v>
      </c>
      <c r="I22" s="8">
        <v>2566.3</v>
      </c>
      <c r="J22" s="8">
        <v>967</v>
      </c>
      <c r="K22" s="8">
        <v>56</v>
      </c>
      <c r="L22" s="8">
        <v>87408.5</v>
      </c>
      <c r="M22" s="8">
        <v>61126.9</v>
      </c>
      <c r="N22" s="8">
        <v>69177.7</v>
      </c>
      <c r="O22" s="8">
        <v>99158.7</v>
      </c>
      <c r="P22" s="8">
        <v>5196</v>
      </c>
      <c r="Q22" s="8">
        <v>7044.3</v>
      </c>
      <c r="R22" s="8">
        <v>4273.3</v>
      </c>
      <c r="S22" s="8">
        <v>4920</v>
      </c>
      <c r="T22" s="8">
        <v>6009.1</v>
      </c>
      <c r="U22" s="8">
        <v>16662.6</v>
      </c>
      <c r="V22" s="8">
        <v>49072</v>
      </c>
      <c r="W22" s="8">
        <v>49615.2</v>
      </c>
      <c r="X22" s="8">
        <v>1028.6</v>
      </c>
      <c r="Y22" s="8">
        <v>850.1</v>
      </c>
      <c r="Z22" s="16">
        <f t="shared" si="28"/>
        <v>51493.9</v>
      </c>
      <c r="AA22" s="8">
        <v>56379.3</v>
      </c>
      <c r="AB22" s="14">
        <v>1485</v>
      </c>
      <c r="AC22" s="7">
        <f t="shared" si="21"/>
        <v>57864.3</v>
      </c>
      <c r="AD22" s="17">
        <v>81656</v>
      </c>
      <c r="AE22" s="18">
        <f t="shared" ref="AE22:AI22" si="109">IF(OR(C23=""),"",(C23-C22)*80)</f>
        <v>8.00000000046566</v>
      </c>
      <c r="AF22" s="18">
        <f t="shared" si="109"/>
        <v>1392.00000000012</v>
      </c>
      <c r="AG22" s="18">
        <f t="shared" si="109"/>
        <v>0</v>
      </c>
      <c r="AH22" s="18">
        <f t="shared" si="109"/>
        <v>1.59999999999854</v>
      </c>
      <c r="AI22" s="18">
        <f t="shared" si="109"/>
        <v>1744.00000000023</v>
      </c>
      <c r="AJ22" s="18">
        <f t="shared" si="3"/>
        <v>3145.60000000081</v>
      </c>
      <c r="AK22" s="18">
        <f t="shared" ref="AK22:AN22" si="110">IF(OR(H23=""),"",(H23-H22)*80)</f>
        <v>0</v>
      </c>
      <c r="AL22" s="18">
        <f t="shared" si="110"/>
        <v>0</v>
      </c>
      <c r="AM22" s="18">
        <f t="shared" si="110"/>
        <v>0</v>
      </c>
      <c r="AN22" s="18">
        <f t="shared" si="110"/>
        <v>0</v>
      </c>
      <c r="AO22" s="18">
        <f t="shared" si="5"/>
        <v>0</v>
      </c>
      <c r="AP22" s="18">
        <f t="shared" ref="AP22:AS22" si="111">IF(OR(L23=""),"",(L23-L22)*100)</f>
        <v>1030.00000000029</v>
      </c>
      <c r="AQ22" s="18">
        <f t="shared" si="111"/>
        <v>0</v>
      </c>
      <c r="AR22" s="18">
        <f t="shared" si="111"/>
        <v>0</v>
      </c>
      <c r="AS22" s="18">
        <f t="shared" si="111"/>
        <v>2519.99999999971</v>
      </c>
      <c r="AT22" s="18">
        <f t="shared" si="7"/>
        <v>3550</v>
      </c>
      <c r="AU22" s="18">
        <f t="shared" ref="AU22:AY22" si="112">IF(OR(P23=""),"",(P23-P22)*1000)</f>
        <v>2600.00000000036</v>
      </c>
      <c r="AV22" s="18">
        <f t="shared" si="112"/>
        <v>5300.00000000018</v>
      </c>
      <c r="AW22" s="18">
        <f t="shared" si="112"/>
        <v>3099.99999999945</v>
      </c>
      <c r="AX22" s="18">
        <f t="shared" si="112"/>
        <v>0</v>
      </c>
      <c r="AY22" s="18">
        <f t="shared" si="112"/>
        <v>0</v>
      </c>
      <c r="AZ22" s="18">
        <f t="shared" si="9"/>
        <v>11000</v>
      </c>
      <c r="BA22" s="18">
        <f t="shared" si="10"/>
        <v>5000</v>
      </c>
      <c r="BB22" s="18">
        <f t="shared" si="11"/>
        <v>680</v>
      </c>
      <c r="BC22" s="18">
        <f t="shared" si="26"/>
        <v>1536.00000000035</v>
      </c>
      <c r="BD22" s="18">
        <f t="shared" si="12"/>
        <v>13288.3999999959</v>
      </c>
      <c r="BE22" s="18">
        <f t="shared" si="13"/>
        <v>38199.9999999971</v>
      </c>
      <c r="BF22" s="18">
        <f t="shared" si="14"/>
        <v>76.8999999999942</v>
      </c>
      <c r="BG22" s="21">
        <f t="shared" si="15"/>
        <v>0.467816204565459</v>
      </c>
      <c r="BH22" s="21">
        <f t="shared" si="16"/>
        <v>0.0385225825414031</v>
      </c>
      <c r="BI22" s="21">
        <f t="shared" si="17"/>
        <v>0</v>
      </c>
      <c r="BJ22" s="21">
        <f t="shared" si="18"/>
        <v>0.0434750661310865</v>
      </c>
      <c r="BK22" s="21">
        <f t="shared" ref="BK22:BO22" si="113">IF(OR($AD22=0),"",AZ22/$AD22)</f>
        <v>0.13471147251886</v>
      </c>
      <c r="BL22" s="21">
        <f t="shared" si="113"/>
        <v>0.0612324875085725</v>
      </c>
      <c r="BM22" s="21">
        <f t="shared" si="113"/>
        <v>0.00832761830116587</v>
      </c>
      <c r="BN22" s="21">
        <f t="shared" si="113"/>
        <v>0.0188106201626378</v>
      </c>
      <c r="BO22" s="21">
        <f t="shared" si="113"/>
        <v>0.162736357401733</v>
      </c>
    </row>
    <row r="23" spans="1:67">
      <c r="A23" s="9">
        <f t="shared" si="20"/>
        <v>44247</v>
      </c>
      <c r="B23" s="10">
        <v>15831.5</v>
      </c>
      <c r="C23" s="8">
        <v>85792.3</v>
      </c>
      <c r="D23" s="8">
        <v>54922</v>
      </c>
      <c r="E23" s="8">
        <v>55800.2</v>
      </c>
      <c r="F23" s="8">
        <v>3395.5</v>
      </c>
      <c r="G23" s="8">
        <v>108807.2</v>
      </c>
      <c r="H23" s="8">
        <v>5596.3</v>
      </c>
      <c r="I23" s="8">
        <v>2566.3</v>
      </c>
      <c r="J23" s="8">
        <v>967</v>
      </c>
      <c r="K23" s="8">
        <v>56</v>
      </c>
      <c r="L23" s="8">
        <v>87418.8</v>
      </c>
      <c r="M23" s="8">
        <v>61126.9</v>
      </c>
      <c r="N23" s="8">
        <v>69177.7</v>
      </c>
      <c r="O23" s="8">
        <v>99183.9</v>
      </c>
      <c r="P23" s="8">
        <v>5198.6</v>
      </c>
      <c r="Q23" s="8">
        <v>7049.6</v>
      </c>
      <c r="R23" s="8">
        <v>4276.4</v>
      </c>
      <c r="S23" s="8">
        <v>4920</v>
      </c>
      <c r="T23" s="8">
        <v>6009.1</v>
      </c>
      <c r="U23" s="8">
        <v>16665.1</v>
      </c>
      <c r="V23" s="8">
        <v>49080.5</v>
      </c>
      <c r="W23" s="8">
        <v>49632.6</v>
      </c>
      <c r="X23" s="8">
        <v>1041.3</v>
      </c>
      <c r="Y23" s="8">
        <v>858.4</v>
      </c>
      <c r="Z23" s="16">
        <f t="shared" si="28"/>
        <v>51532.3</v>
      </c>
      <c r="AA23" s="8">
        <v>56423.2</v>
      </c>
      <c r="AB23" s="14">
        <v>1518</v>
      </c>
      <c r="AC23" s="7">
        <f t="shared" si="21"/>
        <v>57941.2</v>
      </c>
      <c r="AD23" s="17">
        <v>84887</v>
      </c>
      <c r="AE23" s="18">
        <f t="shared" ref="AE23:AI23" si="114">IF(OR(C24=""),"",(C24-C23)*80)</f>
        <v>0</v>
      </c>
      <c r="AF23" s="18">
        <f t="shared" si="114"/>
        <v>1520</v>
      </c>
      <c r="AG23" s="18">
        <f t="shared" si="114"/>
        <v>0</v>
      </c>
      <c r="AH23" s="18">
        <f t="shared" si="114"/>
        <v>12.0000000000073</v>
      </c>
      <c r="AI23" s="18">
        <f t="shared" si="114"/>
        <v>2288.00000000047</v>
      </c>
      <c r="AJ23" s="18">
        <f t="shared" si="3"/>
        <v>3820.00000000047</v>
      </c>
      <c r="AK23" s="18">
        <f t="shared" ref="AK23:AN23" si="115">IF(OR(H24=""),"",(H24-H23)*80)</f>
        <v>0</v>
      </c>
      <c r="AL23" s="18">
        <f t="shared" si="115"/>
        <v>0</v>
      </c>
      <c r="AM23" s="18">
        <f t="shared" si="115"/>
        <v>0</v>
      </c>
      <c r="AN23" s="18">
        <f t="shared" si="115"/>
        <v>0</v>
      </c>
      <c r="AO23" s="18">
        <f t="shared" si="5"/>
        <v>0</v>
      </c>
      <c r="AP23" s="18">
        <f t="shared" ref="AP23:AS23" si="116">IF(OR(L24=""),"",(L24-L23)*100)</f>
        <v>1439.99999999942</v>
      </c>
      <c r="AQ23" s="18">
        <f t="shared" si="116"/>
        <v>0</v>
      </c>
      <c r="AR23" s="18">
        <f t="shared" si="116"/>
        <v>0</v>
      </c>
      <c r="AS23" s="18">
        <f t="shared" si="116"/>
        <v>2150</v>
      </c>
      <c r="AT23" s="18">
        <f t="shared" si="7"/>
        <v>3589.99999999942</v>
      </c>
      <c r="AU23" s="18">
        <f t="shared" ref="AU23:AY23" si="117">IF(OR(P24=""),"",(P24-P23)*1000)</f>
        <v>3599.99999999945</v>
      </c>
      <c r="AV23" s="18">
        <f t="shared" si="117"/>
        <v>7599.99999999945</v>
      </c>
      <c r="AW23" s="18">
        <f t="shared" si="117"/>
        <v>300.000000000182</v>
      </c>
      <c r="AX23" s="18">
        <f t="shared" si="117"/>
        <v>199.999999999818</v>
      </c>
      <c r="AY23" s="18">
        <f t="shared" si="117"/>
        <v>0</v>
      </c>
      <c r="AZ23" s="18">
        <f t="shared" si="9"/>
        <v>11699.9999999989</v>
      </c>
      <c r="BA23" s="18">
        <f t="shared" si="10"/>
        <v>5400.00000000146</v>
      </c>
      <c r="BB23" s="18">
        <f t="shared" si="11"/>
        <v>695.999999999767</v>
      </c>
      <c r="BC23" s="18">
        <f t="shared" si="26"/>
        <v>1503.99999999994</v>
      </c>
      <c r="BD23" s="18">
        <f t="shared" si="12"/>
        <v>11790.0000000037</v>
      </c>
      <c r="BE23" s="18">
        <f t="shared" si="13"/>
        <v>38500.0000000036</v>
      </c>
      <c r="BF23" s="18">
        <f t="shared" si="14"/>
        <v>78.1000000000058</v>
      </c>
      <c r="BG23" s="21">
        <f t="shared" si="15"/>
        <v>0.453544123364044</v>
      </c>
      <c r="BH23" s="21">
        <f t="shared" si="16"/>
        <v>0.045001001331187</v>
      </c>
      <c r="BI23" s="21">
        <f t="shared" si="17"/>
        <v>0</v>
      </c>
      <c r="BJ23" s="21">
        <f t="shared" si="18"/>
        <v>0.0422915169578312</v>
      </c>
      <c r="BK23" s="21">
        <f t="shared" ref="BK23:BO23" si="118">IF(OR($AD23=0),"",AZ23/$AD23)</f>
        <v>0.137830292035281</v>
      </c>
      <c r="BL23" s="21">
        <f t="shared" si="118"/>
        <v>0.0636139809393836</v>
      </c>
      <c r="BM23" s="21">
        <f t="shared" si="118"/>
        <v>0.00819913532107116</v>
      </c>
      <c r="BN23" s="21">
        <f t="shared" si="118"/>
        <v>0.0177176717282969</v>
      </c>
      <c r="BO23" s="21">
        <f t="shared" si="118"/>
        <v>0.138890525050993</v>
      </c>
    </row>
    <row r="24" spans="1:67">
      <c r="A24" s="9">
        <f t="shared" si="20"/>
        <v>44248</v>
      </c>
      <c r="B24" s="10">
        <v>15835.35</v>
      </c>
      <c r="C24" s="8">
        <v>85792.3</v>
      </c>
      <c r="D24" s="8">
        <v>54941</v>
      </c>
      <c r="E24" s="8">
        <v>55800.2</v>
      </c>
      <c r="F24" s="8">
        <v>3395.65</v>
      </c>
      <c r="G24" s="8">
        <v>108835.8</v>
      </c>
      <c r="H24" s="8">
        <v>5596.3</v>
      </c>
      <c r="I24" s="8">
        <v>2566.3</v>
      </c>
      <c r="J24" s="8">
        <v>967</v>
      </c>
      <c r="K24" s="8">
        <v>56</v>
      </c>
      <c r="L24" s="8">
        <v>87433.2</v>
      </c>
      <c r="M24" s="8">
        <v>61126.9</v>
      </c>
      <c r="N24" s="8">
        <v>69177.7</v>
      </c>
      <c r="O24" s="8">
        <v>99205.4</v>
      </c>
      <c r="P24" s="8">
        <v>5202.2</v>
      </c>
      <c r="Q24" s="8">
        <v>7057.2</v>
      </c>
      <c r="R24" s="8">
        <v>4276.7</v>
      </c>
      <c r="S24" s="8">
        <v>4920.2</v>
      </c>
      <c r="T24" s="8">
        <v>6009.1</v>
      </c>
      <c r="U24" s="8">
        <v>16667.8</v>
      </c>
      <c r="V24" s="8">
        <v>49089.2</v>
      </c>
      <c r="W24" s="8">
        <v>49649</v>
      </c>
      <c r="X24" s="8">
        <v>1054</v>
      </c>
      <c r="Y24" s="8">
        <v>866.9</v>
      </c>
      <c r="Z24" s="16">
        <f t="shared" si="28"/>
        <v>51569.9</v>
      </c>
      <c r="AA24" s="8">
        <v>56467.3</v>
      </c>
      <c r="AB24" s="14">
        <v>1552</v>
      </c>
      <c r="AC24" s="7">
        <f t="shared" si="21"/>
        <v>58019.3</v>
      </c>
      <c r="AD24" s="17">
        <v>88559</v>
      </c>
      <c r="AE24" s="18">
        <f t="shared" ref="AE24:AI24" si="119">IF(OR(C25=""),"",(C25-C24)*80)</f>
        <v>0</v>
      </c>
      <c r="AF24" s="18">
        <f t="shared" si="119"/>
        <v>3047.99999999988</v>
      </c>
      <c r="AG24" s="18">
        <f t="shared" si="119"/>
        <v>0</v>
      </c>
      <c r="AH24" s="18">
        <f t="shared" si="119"/>
        <v>3.99999999997817</v>
      </c>
      <c r="AI24" s="18">
        <f t="shared" si="119"/>
        <v>1807.9999999993</v>
      </c>
      <c r="AJ24" s="18">
        <f t="shared" si="3"/>
        <v>4859.99999999916</v>
      </c>
      <c r="AK24" s="18">
        <f t="shared" ref="AK24:AN24" si="120">IF(OR(H25=""),"",(H25-H24)*80)</f>
        <v>0</v>
      </c>
      <c r="AL24" s="18">
        <f t="shared" si="120"/>
        <v>0</v>
      </c>
      <c r="AM24" s="18">
        <f t="shared" si="120"/>
        <v>0</v>
      </c>
      <c r="AN24" s="18">
        <f t="shared" si="120"/>
        <v>0</v>
      </c>
      <c r="AO24" s="18">
        <f t="shared" si="5"/>
        <v>0</v>
      </c>
      <c r="AP24" s="18">
        <f t="shared" ref="AP24:AS24" si="121">IF(OR(L25=""),"",(L25-L24)*100)</f>
        <v>1069.99999999971</v>
      </c>
      <c r="AQ24" s="18">
        <f t="shared" si="121"/>
        <v>0</v>
      </c>
      <c r="AR24" s="18">
        <f t="shared" si="121"/>
        <v>0</v>
      </c>
      <c r="AS24" s="18">
        <f t="shared" si="121"/>
        <v>2700</v>
      </c>
      <c r="AT24" s="18">
        <f t="shared" si="7"/>
        <v>3769.99999999971</v>
      </c>
      <c r="AU24" s="18">
        <f t="shared" ref="AU24:AY24" si="122">IF(OR(P25=""),"",(P25-P24)*1000)</f>
        <v>3000</v>
      </c>
      <c r="AV24" s="18">
        <f t="shared" si="122"/>
        <v>7800.00000000018</v>
      </c>
      <c r="AW24" s="18">
        <f t="shared" si="122"/>
        <v>1199.99999999982</v>
      </c>
      <c r="AX24" s="18">
        <f t="shared" si="122"/>
        <v>0</v>
      </c>
      <c r="AY24" s="18">
        <f t="shared" si="122"/>
        <v>0</v>
      </c>
      <c r="AZ24" s="18">
        <f t="shared" si="9"/>
        <v>12000</v>
      </c>
      <c r="BA24" s="18">
        <f t="shared" si="10"/>
        <v>5400.00000000146</v>
      </c>
      <c r="BB24" s="18">
        <f t="shared" si="11"/>
        <v>688.000000000466</v>
      </c>
      <c r="BC24" s="18">
        <f t="shared" si="26"/>
        <v>1487.99999999959</v>
      </c>
      <c r="BD24" s="18">
        <f t="shared" si="12"/>
        <v>12393.9999999945</v>
      </c>
      <c r="BE24" s="18">
        <f t="shared" si="13"/>
        <v>40599.9999999949</v>
      </c>
      <c r="BF24" s="18">
        <f t="shared" si="14"/>
        <v>79.1999999999971</v>
      </c>
      <c r="BG24" s="21">
        <f t="shared" si="15"/>
        <v>0.458451427861594</v>
      </c>
      <c r="BH24" s="21">
        <f t="shared" si="16"/>
        <v>0.0548786684583065</v>
      </c>
      <c r="BI24" s="21">
        <f t="shared" si="17"/>
        <v>0</v>
      </c>
      <c r="BJ24" s="21">
        <f t="shared" si="18"/>
        <v>0.0425704897300072</v>
      </c>
      <c r="BK24" s="21">
        <f t="shared" ref="BK24:BO24" si="123">IF(OR($AD24=0),"",AZ24/$AD24)</f>
        <v>0.135502885082262</v>
      </c>
      <c r="BL24" s="21">
        <f t="shared" si="123"/>
        <v>0.0609762982870341</v>
      </c>
      <c r="BM24" s="21">
        <f t="shared" si="123"/>
        <v>0.00776883207805492</v>
      </c>
      <c r="BN24" s="21">
        <f t="shared" si="123"/>
        <v>0.0168023577501958</v>
      </c>
      <c r="BO24" s="21">
        <f t="shared" si="123"/>
        <v>0.139951896475734</v>
      </c>
    </row>
    <row r="25" spans="1:67">
      <c r="A25" s="9">
        <f t="shared" si="20"/>
        <v>44249</v>
      </c>
      <c r="B25" s="10">
        <v>15839.41</v>
      </c>
      <c r="C25" s="8">
        <v>85792.3</v>
      </c>
      <c r="D25" s="8">
        <v>54979.1</v>
      </c>
      <c r="E25" s="8">
        <v>55800.2</v>
      </c>
      <c r="F25" s="8">
        <v>3395.7</v>
      </c>
      <c r="G25" s="8">
        <v>108858.4</v>
      </c>
      <c r="H25" s="8">
        <v>5596.3</v>
      </c>
      <c r="I25" s="8">
        <v>2566.3</v>
      </c>
      <c r="J25" s="8">
        <v>967</v>
      </c>
      <c r="K25" s="8">
        <v>56</v>
      </c>
      <c r="L25" s="8">
        <v>87443.9</v>
      </c>
      <c r="M25" s="8">
        <v>61126.9</v>
      </c>
      <c r="N25" s="8">
        <v>69177.7</v>
      </c>
      <c r="O25" s="8">
        <v>99232.4</v>
      </c>
      <c r="P25" s="8">
        <v>5205.2</v>
      </c>
      <c r="Q25" s="8">
        <v>7065</v>
      </c>
      <c r="R25" s="8">
        <v>4277.9</v>
      </c>
      <c r="S25" s="8">
        <v>4920.2</v>
      </c>
      <c r="T25" s="8">
        <v>6009.1</v>
      </c>
      <c r="U25" s="8">
        <v>16670.5</v>
      </c>
      <c r="V25" s="8">
        <v>49097.8</v>
      </c>
      <c r="W25" s="8">
        <v>49667.2</v>
      </c>
      <c r="X25" s="8">
        <v>1064.7</v>
      </c>
      <c r="Y25" s="8">
        <v>875.2</v>
      </c>
      <c r="Z25" s="16">
        <f t="shared" si="28"/>
        <v>51607.1</v>
      </c>
      <c r="AA25" s="8">
        <v>56511.5</v>
      </c>
      <c r="AB25" s="14">
        <v>1587</v>
      </c>
      <c r="AC25" s="7">
        <f t="shared" si="21"/>
        <v>58098.5</v>
      </c>
      <c r="AD25" s="17">
        <v>92837</v>
      </c>
      <c r="AE25" s="18">
        <f t="shared" ref="AE25:AI26" si="124">IF(OR(C26=""),"",(C26-C25)*80)</f>
        <v>0</v>
      </c>
      <c r="AF25" s="18">
        <f t="shared" si="124"/>
        <v>3064.00000000023</v>
      </c>
      <c r="AG25" s="18">
        <f t="shared" si="124"/>
        <v>0</v>
      </c>
      <c r="AH25" s="18">
        <f t="shared" si="124"/>
        <v>4.80000000003201</v>
      </c>
      <c r="AI25" s="18">
        <f t="shared" si="124"/>
        <v>1208.00000000047</v>
      </c>
      <c r="AJ25" s="18">
        <f t="shared" si="3"/>
        <v>4276.80000000073</v>
      </c>
      <c r="AK25" s="18">
        <f t="shared" ref="AK25:AN25" si="125">IF(OR(H26=""),"",(H26-H25)*80)</f>
        <v>0</v>
      </c>
      <c r="AL25" s="18">
        <f t="shared" si="125"/>
        <v>0</v>
      </c>
      <c r="AM25" s="18">
        <f t="shared" si="125"/>
        <v>0</v>
      </c>
      <c r="AN25" s="18">
        <f t="shared" si="125"/>
        <v>0</v>
      </c>
      <c r="AO25" s="18">
        <f t="shared" si="5"/>
        <v>0</v>
      </c>
      <c r="AP25" s="18">
        <f t="shared" ref="AP25:AS25" si="126">IF(OR(L26=""),"",(L26-L25)*100)</f>
        <v>1180.00000000029</v>
      </c>
      <c r="AQ25" s="18">
        <f t="shared" si="126"/>
        <v>0</v>
      </c>
      <c r="AR25" s="18">
        <f t="shared" si="126"/>
        <v>0</v>
      </c>
      <c r="AS25" s="18">
        <f t="shared" si="126"/>
        <v>2660.00000000058</v>
      </c>
      <c r="AT25" s="18">
        <f t="shared" si="7"/>
        <v>3840.00000000087</v>
      </c>
      <c r="AU25" s="18">
        <f t="shared" ref="AU25:AY25" si="127">IF(OR(P26=""),"",(P26-P25)*1000)</f>
        <v>2800.00000000018</v>
      </c>
      <c r="AV25" s="18">
        <f t="shared" si="127"/>
        <v>6699.99999999982</v>
      </c>
      <c r="AW25" s="18">
        <f t="shared" si="127"/>
        <v>1600.00000000036</v>
      </c>
      <c r="AX25" s="18">
        <f t="shared" si="127"/>
        <v>0</v>
      </c>
      <c r="AY25" s="18">
        <f t="shared" si="127"/>
        <v>0</v>
      </c>
      <c r="AZ25" s="18">
        <f t="shared" si="9"/>
        <v>11100.0000000004</v>
      </c>
      <c r="BA25" s="18">
        <f t="shared" si="10"/>
        <v>5400.00000000146</v>
      </c>
      <c r="BB25" s="18">
        <f t="shared" si="11"/>
        <v>951.999999999534</v>
      </c>
      <c r="BC25" s="18">
        <f t="shared" si="26"/>
        <v>1484.00000000052</v>
      </c>
      <c r="BD25" s="18">
        <f t="shared" si="12"/>
        <v>11847.1999999907</v>
      </c>
      <c r="BE25" s="18">
        <f t="shared" si="13"/>
        <v>38899.9999999942</v>
      </c>
      <c r="BF25" s="18">
        <f t="shared" si="14"/>
        <v>74.3000000000029</v>
      </c>
      <c r="BG25" s="21">
        <f t="shared" si="15"/>
        <v>0.419013970722817</v>
      </c>
      <c r="BH25" s="21">
        <f t="shared" si="16"/>
        <v>0.046067839331309</v>
      </c>
      <c r="BI25" s="21">
        <f t="shared" si="17"/>
        <v>0</v>
      </c>
      <c r="BJ25" s="21">
        <f t="shared" si="18"/>
        <v>0.041362818703759</v>
      </c>
      <c r="BK25" s="21">
        <f t="shared" ref="BK25:BO25" si="128">IF(OR($AD25=0),"",AZ25/$AD25)</f>
        <v>0.11956439781553</v>
      </c>
      <c r="BL25" s="21">
        <f t="shared" si="128"/>
        <v>0.0581664638021635</v>
      </c>
      <c r="BM25" s="21">
        <f t="shared" si="128"/>
        <v>0.0102545321369662</v>
      </c>
      <c r="BN25" s="21">
        <f t="shared" si="128"/>
        <v>0.0159850059782255</v>
      </c>
      <c r="BO25" s="21">
        <f t="shared" si="128"/>
        <v>0.127612912954864</v>
      </c>
    </row>
    <row r="26" spans="1:67">
      <c r="A26" s="9">
        <f t="shared" si="20"/>
        <v>44250</v>
      </c>
      <c r="B26" s="10">
        <v>15843.3</v>
      </c>
      <c r="C26" s="8">
        <v>85792.3</v>
      </c>
      <c r="D26" s="8">
        <v>55017.4</v>
      </c>
      <c r="E26" s="8">
        <v>55800.2</v>
      </c>
      <c r="F26" s="8">
        <v>3395.76</v>
      </c>
      <c r="G26" s="8">
        <v>108873.5</v>
      </c>
      <c r="H26" s="8">
        <v>5596.3</v>
      </c>
      <c r="I26" s="8">
        <v>2566.3</v>
      </c>
      <c r="J26" s="8">
        <v>967</v>
      </c>
      <c r="K26" s="8">
        <v>56</v>
      </c>
      <c r="L26" s="8">
        <v>87455.7</v>
      </c>
      <c r="M26" s="8">
        <v>61126.9</v>
      </c>
      <c r="N26" s="8">
        <v>69177.7</v>
      </c>
      <c r="O26" s="8">
        <v>99259</v>
      </c>
      <c r="P26" s="8">
        <v>5208</v>
      </c>
      <c r="Q26" s="8">
        <v>7071.7</v>
      </c>
      <c r="R26" s="8">
        <v>4279.5</v>
      </c>
      <c r="S26" s="8">
        <v>4920.2</v>
      </c>
      <c r="T26" s="8">
        <v>6009.1</v>
      </c>
      <c r="U26" s="8">
        <v>16673.2</v>
      </c>
      <c r="V26" s="8">
        <v>49109.7</v>
      </c>
      <c r="W26" s="8">
        <v>49684.4</v>
      </c>
      <c r="X26" s="8">
        <v>1076.5</v>
      </c>
      <c r="Y26" s="8">
        <v>883.3</v>
      </c>
      <c r="Z26" s="16">
        <f t="shared" si="28"/>
        <v>51644.2</v>
      </c>
      <c r="AA26" s="8">
        <v>56553.8</v>
      </c>
      <c r="AB26" s="14">
        <v>1619</v>
      </c>
      <c r="AC26" s="7">
        <f t="shared" si="21"/>
        <v>58172.8</v>
      </c>
      <c r="AD26" s="17">
        <v>96000</v>
      </c>
      <c r="AE26" s="18">
        <f t="shared" si="124"/>
        <v>0</v>
      </c>
      <c r="AF26" s="18">
        <f t="shared" ref="AF26:AI26" si="129">IF(OR(D27=""),"",(D27-D26)*80)</f>
        <v>3167.99999999988</v>
      </c>
      <c r="AG26" s="18">
        <f t="shared" si="129"/>
        <v>0</v>
      </c>
      <c r="AH26" s="18">
        <f t="shared" si="129"/>
        <v>3.99999999997817</v>
      </c>
      <c r="AI26" s="18">
        <f t="shared" si="129"/>
        <v>975.999999999767</v>
      </c>
      <c r="AJ26" s="18">
        <f t="shared" si="3"/>
        <v>4147.99999999963</v>
      </c>
      <c r="AK26" s="18">
        <f t="shared" ref="AK26:AN26" si="130">IF(OR(H27=""),"",(H27-H26)*80)</f>
        <v>0</v>
      </c>
      <c r="AL26" s="18">
        <f t="shared" si="130"/>
        <v>0</v>
      </c>
      <c r="AM26" s="18">
        <f t="shared" si="130"/>
        <v>0</v>
      </c>
      <c r="AN26" s="18">
        <f t="shared" si="130"/>
        <v>0</v>
      </c>
      <c r="AO26" s="18">
        <f t="shared" si="5"/>
        <v>0</v>
      </c>
      <c r="AP26" s="18">
        <f t="shared" ref="AP26:AS26" si="131">IF(OR(L27=""),"",(L27-L26)*100)</f>
        <v>1260.00000000058</v>
      </c>
      <c r="AQ26" s="18">
        <f t="shared" si="131"/>
        <v>0</v>
      </c>
      <c r="AR26" s="18">
        <f t="shared" si="131"/>
        <v>0</v>
      </c>
      <c r="AS26" s="18">
        <f t="shared" si="131"/>
        <v>2689.99999999942</v>
      </c>
      <c r="AT26" s="18">
        <f t="shared" si="7"/>
        <v>3950</v>
      </c>
      <c r="AU26" s="18">
        <f t="shared" ref="AU26:AY26" si="132">IF(OR(P27=""),"",(P27-P26)*1000)</f>
        <v>3899.99999999964</v>
      </c>
      <c r="AV26" s="18">
        <f t="shared" si="132"/>
        <v>7300.00000000018</v>
      </c>
      <c r="AW26" s="18">
        <f t="shared" si="132"/>
        <v>0</v>
      </c>
      <c r="AX26" s="18">
        <f t="shared" si="132"/>
        <v>0</v>
      </c>
      <c r="AY26" s="18">
        <f t="shared" si="132"/>
        <v>0</v>
      </c>
      <c r="AZ26" s="18">
        <f t="shared" si="9"/>
        <v>11199.9999999998</v>
      </c>
      <c r="BA26" s="18">
        <f t="shared" si="10"/>
        <v>5799.99999999563</v>
      </c>
      <c r="BB26" s="18">
        <f t="shared" si="11"/>
        <v>1112.00000000012</v>
      </c>
      <c r="BC26" s="18">
        <f t="shared" si="26"/>
        <v>1519.99999999971</v>
      </c>
      <c r="BD26" s="18">
        <f t="shared" si="12"/>
        <v>11070.0000000153</v>
      </c>
      <c r="BE26" s="18">
        <f t="shared" si="13"/>
        <v>38800.0000000102</v>
      </c>
      <c r="BF26" s="18">
        <f t="shared" si="14"/>
        <v>72.6999999999971</v>
      </c>
      <c r="BG26" s="21">
        <f t="shared" si="15"/>
        <v>0.404166666666773</v>
      </c>
      <c r="BH26" s="21">
        <f t="shared" si="16"/>
        <v>0.0432083333333295</v>
      </c>
      <c r="BI26" s="21">
        <f t="shared" si="17"/>
        <v>0</v>
      </c>
      <c r="BJ26" s="21">
        <f t="shared" si="18"/>
        <v>0.0411458333333333</v>
      </c>
      <c r="BK26" s="21">
        <f t="shared" ref="BK26:BO26" si="133">IF(OR($AD26=0),"",AZ26/$AD26)</f>
        <v>0.116666666666665</v>
      </c>
      <c r="BL26" s="21">
        <f t="shared" si="133"/>
        <v>0.0604166666666212</v>
      </c>
      <c r="BM26" s="21">
        <f t="shared" si="133"/>
        <v>0.0115833333333345</v>
      </c>
      <c r="BN26" s="21">
        <f t="shared" si="133"/>
        <v>0.0158333333333303</v>
      </c>
      <c r="BO26" s="21">
        <f t="shared" si="133"/>
        <v>0.115312500000159</v>
      </c>
    </row>
    <row r="27" spans="1:67">
      <c r="A27" s="9">
        <f t="shared" si="20"/>
        <v>44251</v>
      </c>
      <c r="B27" s="10">
        <v>15847.18</v>
      </c>
      <c r="C27" s="8">
        <v>85792.3</v>
      </c>
      <c r="D27" s="8">
        <v>55057</v>
      </c>
      <c r="E27" s="8">
        <v>55800.2</v>
      </c>
      <c r="F27" s="8">
        <v>3395.81</v>
      </c>
      <c r="G27" s="8">
        <v>108885.7</v>
      </c>
      <c r="H27" s="8">
        <v>5596.3</v>
      </c>
      <c r="I27" s="8">
        <v>2566.3</v>
      </c>
      <c r="J27" s="8">
        <v>967</v>
      </c>
      <c r="K27" s="8">
        <v>56</v>
      </c>
      <c r="L27" s="8">
        <v>87468.3</v>
      </c>
      <c r="M27" s="8">
        <v>61126.9</v>
      </c>
      <c r="N27" s="8">
        <v>69177.7</v>
      </c>
      <c r="O27" s="8">
        <v>99285.9</v>
      </c>
      <c r="P27" s="8">
        <v>5211.9</v>
      </c>
      <c r="Q27" s="8">
        <v>7079</v>
      </c>
      <c r="R27" s="8">
        <v>4279.5</v>
      </c>
      <c r="S27" s="8">
        <v>4920.2</v>
      </c>
      <c r="T27" s="8">
        <v>6009.1</v>
      </c>
      <c r="U27" s="8">
        <v>16676.1</v>
      </c>
      <c r="V27" s="8">
        <v>49123.6</v>
      </c>
      <c r="W27" s="8">
        <v>49702</v>
      </c>
      <c r="X27" s="8">
        <v>1088.6</v>
      </c>
      <c r="Y27" s="8">
        <v>891.6</v>
      </c>
      <c r="Z27" s="16">
        <f t="shared" si="28"/>
        <v>51682.2</v>
      </c>
      <c r="AA27" s="8">
        <v>56594.5</v>
      </c>
      <c r="AB27" s="14">
        <v>1651</v>
      </c>
      <c r="AC27" s="7">
        <f t="shared" si="21"/>
        <v>58245.5</v>
      </c>
      <c r="AD27" s="17">
        <v>116580</v>
      </c>
      <c r="AE27" s="18">
        <f t="shared" ref="AE27:AI27" si="134">IF(OR(C28=""),"",(C28-C27)*80)</f>
        <v>0</v>
      </c>
      <c r="AF27" s="18">
        <f t="shared" si="134"/>
        <v>3120</v>
      </c>
      <c r="AG27" s="18">
        <f t="shared" si="134"/>
        <v>0</v>
      </c>
      <c r="AH27" s="18">
        <f t="shared" si="134"/>
        <v>4.79999999999563</v>
      </c>
      <c r="AI27" s="18">
        <f t="shared" si="134"/>
        <v>1688.00000000047</v>
      </c>
      <c r="AJ27" s="18">
        <f t="shared" si="3"/>
        <v>4812.80000000046</v>
      </c>
      <c r="AK27" s="18">
        <f t="shared" ref="AK27:AN27" si="135">IF(OR(H28=""),"",(H28-H27)*80)</f>
        <v>0</v>
      </c>
      <c r="AL27" s="18">
        <f t="shared" si="135"/>
        <v>0</v>
      </c>
      <c r="AM27" s="18">
        <f t="shared" si="135"/>
        <v>0</v>
      </c>
      <c r="AN27" s="18">
        <f t="shared" si="135"/>
        <v>0</v>
      </c>
      <c r="AO27" s="18">
        <f t="shared" si="5"/>
        <v>0</v>
      </c>
      <c r="AP27" s="18">
        <f t="shared" ref="AP27:AS27" si="136">IF(OR(L28=""),"",(L28-L27)*100)</f>
        <v>1789.99999999942</v>
      </c>
      <c r="AQ27" s="18">
        <f t="shared" si="136"/>
        <v>0</v>
      </c>
      <c r="AR27" s="18">
        <f t="shared" si="136"/>
        <v>0</v>
      </c>
      <c r="AS27" s="18">
        <f t="shared" si="136"/>
        <v>2630.00000000029</v>
      </c>
      <c r="AT27" s="18">
        <f t="shared" si="7"/>
        <v>4419.99999999971</v>
      </c>
      <c r="AU27" s="18">
        <f t="shared" ref="AU27:AY27" si="137">IF(OR(P28=""),"",(P28-P27)*1000)</f>
        <v>3800.00000000018</v>
      </c>
      <c r="AV27" s="18">
        <f t="shared" si="137"/>
        <v>7899.99999999964</v>
      </c>
      <c r="AW27" s="18">
        <f t="shared" si="137"/>
        <v>100.000000000364</v>
      </c>
      <c r="AX27" s="18">
        <f t="shared" si="137"/>
        <v>0</v>
      </c>
      <c r="AY27" s="18">
        <f t="shared" si="137"/>
        <v>0</v>
      </c>
      <c r="AZ27" s="18">
        <f t="shared" si="9"/>
        <v>11800.0000000002</v>
      </c>
      <c r="BA27" s="18">
        <f t="shared" si="10"/>
        <v>6000</v>
      </c>
      <c r="BB27" s="18">
        <f t="shared" si="11"/>
        <v>1120</v>
      </c>
      <c r="BC27" s="18">
        <f t="shared" si="26"/>
        <v>1475.99999999977</v>
      </c>
      <c r="BD27" s="18">
        <f t="shared" si="12"/>
        <v>11871.1999999962</v>
      </c>
      <c r="BE27" s="18">
        <f t="shared" si="13"/>
        <v>41499.9999999964</v>
      </c>
      <c r="BF27" s="18">
        <f t="shared" si="14"/>
        <v>69.5</v>
      </c>
      <c r="BG27" s="21">
        <f t="shared" si="15"/>
        <v>0.355978727054352</v>
      </c>
      <c r="BH27" s="21">
        <f t="shared" si="16"/>
        <v>0.0412832389775301</v>
      </c>
      <c r="BI27" s="21">
        <f t="shared" si="17"/>
        <v>0</v>
      </c>
      <c r="BJ27" s="21">
        <f t="shared" si="18"/>
        <v>0.0379138788814523</v>
      </c>
      <c r="BK27" s="21">
        <f t="shared" ref="BK27:BO27" si="138">IF(OR($AD27=0),"",AZ27/$AD27)</f>
        <v>0.101218047692573</v>
      </c>
      <c r="BL27" s="21">
        <f t="shared" si="138"/>
        <v>0.0514668039114771</v>
      </c>
      <c r="BM27" s="21">
        <f t="shared" si="138"/>
        <v>0.00960713673014239</v>
      </c>
      <c r="BN27" s="21">
        <f t="shared" si="138"/>
        <v>0.0126608337622214</v>
      </c>
      <c r="BO27" s="21">
        <f t="shared" si="138"/>
        <v>0.101828787098956</v>
      </c>
    </row>
    <row r="28" spans="1:67">
      <c r="A28" s="9">
        <f t="shared" si="20"/>
        <v>44252</v>
      </c>
      <c r="B28" s="10">
        <v>15851.33</v>
      </c>
      <c r="C28" s="8">
        <v>85792.3</v>
      </c>
      <c r="D28" s="8">
        <v>55096</v>
      </c>
      <c r="E28" s="8">
        <v>55800.2</v>
      </c>
      <c r="F28" s="8">
        <v>3395.87</v>
      </c>
      <c r="G28" s="8">
        <v>108906.8</v>
      </c>
      <c r="H28" s="8">
        <v>5596.3</v>
      </c>
      <c r="I28" s="8">
        <v>2566.3</v>
      </c>
      <c r="J28" s="8">
        <v>967</v>
      </c>
      <c r="K28" s="8">
        <v>56</v>
      </c>
      <c r="L28" s="8">
        <v>87486.2</v>
      </c>
      <c r="M28" s="8">
        <v>61126.9</v>
      </c>
      <c r="N28" s="8">
        <v>69177.7</v>
      </c>
      <c r="O28" s="8">
        <v>99312.2</v>
      </c>
      <c r="P28" s="8">
        <v>5215.7</v>
      </c>
      <c r="Q28" s="8">
        <v>7086.9</v>
      </c>
      <c r="R28" s="8">
        <v>4279.6</v>
      </c>
      <c r="S28" s="8">
        <v>4920.2</v>
      </c>
      <c r="T28" s="8">
        <v>6009.1</v>
      </c>
      <c r="U28" s="8">
        <v>16679.1</v>
      </c>
      <c r="V28" s="8">
        <v>49137.6</v>
      </c>
      <c r="W28" s="8">
        <v>49719.2</v>
      </c>
      <c r="X28" s="8">
        <v>1100.2</v>
      </c>
      <c r="Y28" s="8">
        <v>899.7</v>
      </c>
      <c r="Z28" s="16">
        <f t="shared" si="28"/>
        <v>51719.1</v>
      </c>
      <c r="AA28" s="8">
        <v>56635</v>
      </c>
      <c r="AB28" s="14">
        <v>1680</v>
      </c>
      <c r="AC28" s="7">
        <f t="shared" si="21"/>
        <v>58315</v>
      </c>
      <c r="AD28" s="17">
        <v>152047</v>
      </c>
      <c r="AE28" s="18">
        <f t="shared" ref="AE28:AI28" si="139">IF(OR(C29=""),"",(C29-C28)*80)</f>
        <v>80</v>
      </c>
      <c r="AF28" s="18">
        <f t="shared" si="139"/>
        <v>520</v>
      </c>
      <c r="AG28" s="18">
        <f t="shared" si="139"/>
        <v>0</v>
      </c>
      <c r="AH28" s="18">
        <f t="shared" si="139"/>
        <v>2097.60000000002</v>
      </c>
      <c r="AI28" s="18">
        <f t="shared" si="139"/>
        <v>1960</v>
      </c>
      <c r="AJ28" s="18">
        <f t="shared" si="3"/>
        <v>4657.60000000002</v>
      </c>
      <c r="AK28" s="18">
        <f t="shared" ref="AK28:AN28" si="140">IF(OR(H29=""),"",(H29-H28)*80)</f>
        <v>0</v>
      </c>
      <c r="AL28" s="18">
        <f t="shared" si="140"/>
        <v>0</v>
      </c>
      <c r="AM28" s="18">
        <f t="shared" si="140"/>
        <v>0</v>
      </c>
      <c r="AN28" s="18">
        <f t="shared" si="140"/>
        <v>0</v>
      </c>
      <c r="AO28" s="18">
        <f t="shared" si="5"/>
        <v>0</v>
      </c>
      <c r="AP28" s="18">
        <f t="shared" ref="AP28:AS28" si="141">IF(OR(L29=""),"",(L29-L28)*100)</f>
        <v>1260.00000000058</v>
      </c>
      <c r="AQ28" s="18">
        <f t="shared" si="141"/>
        <v>0</v>
      </c>
      <c r="AR28" s="18">
        <f t="shared" si="141"/>
        <v>1940.00000000087</v>
      </c>
      <c r="AS28" s="18">
        <f t="shared" si="141"/>
        <v>2560.00000000058</v>
      </c>
      <c r="AT28" s="18">
        <f t="shared" si="7"/>
        <v>5760.00000000204</v>
      </c>
      <c r="AU28" s="18">
        <f t="shared" ref="AU28:AY28" si="142">IF(OR(P29=""),"",(P29-P28)*1000)</f>
        <v>1100.00000000036</v>
      </c>
      <c r="AV28" s="18">
        <f t="shared" si="142"/>
        <v>200.000000000728</v>
      </c>
      <c r="AW28" s="18">
        <f t="shared" si="142"/>
        <v>4399.99999999964</v>
      </c>
      <c r="AX28" s="18">
        <f t="shared" si="142"/>
        <v>3600.00000000036</v>
      </c>
      <c r="AY28" s="18">
        <f t="shared" si="142"/>
        <v>0</v>
      </c>
      <c r="AZ28" s="18">
        <f t="shared" si="9"/>
        <v>9300.00000000109</v>
      </c>
      <c r="BA28" s="18">
        <f t="shared" si="10"/>
        <v>7200.00000000437</v>
      </c>
      <c r="BB28" s="18">
        <f t="shared" si="11"/>
        <v>727.999999999884</v>
      </c>
      <c r="BC28" s="18">
        <f t="shared" si="26"/>
        <v>1476.00000000035</v>
      </c>
      <c r="BD28" s="18">
        <f t="shared" si="12"/>
        <v>17678.3999999952</v>
      </c>
      <c r="BE28" s="18">
        <f t="shared" si="13"/>
        <v>46800.0000000029</v>
      </c>
      <c r="BF28" s="18">
        <f t="shared" si="14"/>
        <v>76.6999999999971</v>
      </c>
      <c r="BG28" s="21">
        <f t="shared" si="15"/>
        <v>0.307799561977566</v>
      </c>
      <c r="BH28" s="21">
        <f t="shared" si="16"/>
        <v>0.0306326333304835</v>
      </c>
      <c r="BI28" s="21">
        <f t="shared" si="17"/>
        <v>0</v>
      </c>
      <c r="BJ28" s="21">
        <f t="shared" si="18"/>
        <v>0.0378830230126345</v>
      </c>
      <c r="BK28" s="21">
        <f t="shared" ref="BK28:BO28" si="143">IF(OR($AD28=0),"",AZ28/$AD28)</f>
        <v>0.0611652975724683</v>
      </c>
      <c r="BL28" s="21">
        <f t="shared" si="143"/>
        <v>0.0473537787658051</v>
      </c>
      <c r="BM28" s="21">
        <f t="shared" si="143"/>
        <v>0.00478799318631662</v>
      </c>
      <c r="BN28" s="21">
        <f t="shared" si="143"/>
        <v>0.00970752464698645</v>
      </c>
      <c r="BO28" s="21">
        <f t="shared" si="143"/>
        <v>0.116269311462871</v>
      </c>
    </row>
    <row r="29" spans="1:67">
      <c r="A29" s="9">
        <f t="shared" si="20"/>
        <v>44253</v>
      </c>
      <c r="B29" s="10">
        <v>15856.01</v>
      </c>
      <c r="C29" s="8">
        <v>85793.3</v>
      </c>
      <c r="D29" s="8">
        <v>55102.5</v>
      </c>
      <c r="E29" s="8">
        <v>55800.2</v>
      </c>
      <c r="F29" s="8">
        <v>3422.09</v>
      </c>
      <c r="G29" s="8">
        <v>108931.3</v>
      </c>
      <c r="H29" s="8">
        <v>5596.3</v>
      </c>
      <c r="I29" s="8">
        <v>2566.3</v>
      </c>
      <c r="J29" s="8">
        <v>967</v>
      </c>
      <c r="K29" s="8">
        <v>56</v>
      </c>
      <c r="L29" s="8">
        <v>87498.8</v>
      </c>
      <c r="M29" s="8">
        <v>61126.9</v>
      </c>
      <c r="N29" s="8">
        <v>69197.1</v>
      </c>
      <c r="O29" s="8">
        <v>99337.8</v>
      </c>
      <c r="P29" s="8">
        <v>5216.8</v>
      </c>
      <c r="Q29" s="8">
        <v>7087.1</v>
      </c>
      <c r="R29" s="8">
        <v>4284</v>
      </c>
      <c r="S29" s="8">
        <v>4923.8</v>
      </c>
      <c r="T29" s="8">
        <v>6009.1</v>
      </c>
      <c r="U29" s="8">
        <v>16682.7</v>
      </c>
      <c r="V29" s="8">
        <v>49146.7</v>
      </c>
      <c r="W29" s="8">
        <v>49736.6</v>
      </c>
      <c r="X29" s="8">
        <v>1111.6</v>
      </c>
      <c r="Y29" s="8">
        <v>907.8</v>
      </c>
      <c r="Z29" s="16">
        <f t="shared" si="28"/>
        <v>51756</v>
      </c>
      <c r="AA29" s="8">
        <v>56678.7</v>
      </c>
      <c r="AB29" s="14">
        <v>1713</v>
      </c>
      <c r="AC29" s="7">
        <f t="shared" si="21"/>
        <v>58391.7</v>
      </c>
      <c r="AD29" s="17">
        <v>201015</v>
      </c>
      <c r="AE29" s="18">
        <f t="shared" ref="AE29:AI29" si="144">IF(OR(C30=""),"",(C30-C29)*80)</f>
        <v>3695.99999999977</v>
      </c>
      <c r="AF29" s="18">
        <f t="shared" si="144"/>
        <v>3055.99999999977</v>
      </c>
      <c r="AG29" s="18">
        <f t="shared" si="144"/>
        <v>0</v>
      </c>
      <c r="AH29" s="18">
        <f t="shared" si="144"/>
        <v>3.99999999997817</v>
      </c>
      <c r="AI29" s="18">
        <f t="shared" si="144"/>
        <v>1751.99999999953</v>
      </c>
      <c r="AJ29" s="18">
        <f t="shared" si="3"/>
        <v>8507.99999999905</v>
      </c>
      <c r="AK29" s="18">
        <f t="shared" ref="AK29:AN29" si="145">IF(OR(H30=""),"",(H30-H29)*80)</f>
        <v>0</v>
      </c>
      <c r="AL29" s="18">
        <f t="shared" si="145"/>
        <v>0</v>
      </c>
      <c r="AM29" s="18">
        <f t="shared" si="145"/>
        <v>0</v>
      </c>
      <c r="AN29" s="18">
        <f t="shared" si="145"/>
        <v>0</v>
      </c>
      <c r="AO29" s="18">
        <f t="shared" si="5"/>
        <v>0</v>
      </c>
      <c r="AP29" s="18">
        <f t="shared" ref="AP29:AS29" si="146">IF(OR(L30=""),"",(L30-L29)*100)</f>
        <v>2589.99999999942</v>
      </c>
      <c r="AQ29" s="18">
        <f t="shared" si="146"/>
        <v>0</v>
      </c>
      <c r="AR29" s="18">
        <f t="shared" si="146"/>
        <v>1479.99999999884</v>
      </c>
      <c r="AS29" s="18">
        <f t="shared" si="146"/>
        <v>2530.00000000029</v>
      </c>
      <c r="AT29" s="18">
        <f t="shared" si="7"/>
        <v>6599.99999999854</v>
      </c>
      <c r="AU29" s="18">
        <f t="shared" ref="AU29:AY29" si="147">IF(OR(P30=""),"",(P30-P29)*1000)</f>
        <v>3800.00000000018</v>
      </c>
      <c r="AV29" s="18">
        <f t="shared" si="147"/>
        <v>3199.99999999982</v>
      </c>
      <c r="AW29" s="18">
        <f t="shared" si="147"/>
        <v>0</v>
      </c>
      <c r="AX29" s="18">
        <f t="shared" si="147"/>
        <v>2800.00000000018</v>
      </c>
      <c r="AY29" s="18">
        <f t="shared" si="147"/>
        <v>0</v>
      </c>
      <c r="AZ29" s="18">
        <f t="shared" si="9"/>
        <v>9800.00000000018</v>
      </c>
      <c r="BA29" s="18">
        <f t="shared" si="10"/>
        <v>8799.99999999563</v>
      </c>
      <c r="BB29" s="18">
        <f t="shared" si="11"/>
        <v>960</v>
      </c>
      <c r="BC29" s="18">
        <f t="shared" si="26"/>
        <v>1424.00000000023</v>
      </c>
      <c r="BD29" s="18">
        <f t="shared" si="12"/>
        <v>14307.9999999969</v>
      </c>
      <c r="BE29" s="18">
        <f t="shared" si="13"/>
        <v>50399.9999999905</v>
      </c>
      <c r="BF29" s="18">
        <f t="shared" si="14"/>
        <v>72.7000000000044</v>
      </c>
      <c r="BG29" s="21">
        <f t="shared" si="15"/>
        <v>0.250727557644905</v>
      </c>
      <c r="BH29" s="21">
        <f t="shared" si="16"/>
        <v>0.0423251996119645</v>
      </c>
      <c r="BI29" s="21">
        <f t="shared" si="17"/>
        <v>0</v>
      </c>
      <c r="BJ29" s="21">
        <f t="shared" si="18"/>
        <v>0.0328333706439746</v>
      </c>
      <c r="BK29" s="21">
        <f t="shared" ref="BK29:BO29" si="148">IF(OR($AD29=0),"",AZ29/$AD29)</f>
        <v>0.048752580653186</v>
      </c>
      <c r="BL29" s="21">
        <f t="shared" si="148"/>
        <v>0.0437778275252873</v>
      </c>
      <c r="BM29" s="21">
        <f t="shared" si="148"/>
        <v>0.00477576300276099</v>
      </c>
      <c r="BN29" s="21">
        <f t="shared" si="148"/>
        <v>0.00708404845409662</v>
      </c>
      <c r="BO29" s="21">
        <f t="shared" si="148"/>
        <v>0.0711787677536348</v>
      </c>
    </row>
    <row r="30" spans="1:67">
      <c r="A30" s="9">
        <f t="shared" si="20"/>
        <v>44254</v>
      </c>
      <c r="B30" s="10">
        <v>15861.05</v>
      </c>
      <c r="C30" s="8">
        <v>85839.5</v>
      </c>
      <c r="D30" s="8">
        <v>55140.7</v>
      </c>
      <c r="E30" s="8">
        <v>55800.2</v>
      </c>
      <c r="F30" s="8">
        <v>3422.14</v>
      </c>
      <c r="G30" s="8">
        <v>108953.2</v>
      </c>
      <c r="H30" s="8">
        <v>5596.3</v>
      </c>
      <c r="I30" s="8">
        <v>2566.3</v>
      </c>
      <c r="J30" s="8">
        <v>967</v>
      </c>
      <c r="K30" s="8">
        <v>56</v>
      </c>
      <c r="L30" s="8">
        <v>87524.7</v>
      </c>
      <c r="M30" s="8">
        <v>61126.9</v>
      </c>
      <c r="N30" s="8">
        <v>69211.9</v>
      </c>
      <c r="O30" s="8">
        <v>99363.1</v>
      </c>
      <c r="P30" s="8">
        <v>5220.6</v>
      </c>
      <c r="Q30" s="8">
        <v>7090.3</v>
      </c>
      <c r="R30" s="8">
        <v>4284</v>
      </c>
      <c r="S30" s="8">
        <v>4926.6</v>
      </c>
      <c r="T30" s="8">
        <v>6009.1</v>
      </c>
      <c r="U30" s="8">
        <v>16687.1</v>
      </c>
      <c r="V30" s="8">
        <v>49158.7</v>
      </c>
      <c r="W30" s="8">
        <v>49754</v>
      </c>
      <c r="X30" s="8">
        <v>1121.8</v>
      </c>
      <c r="Y30" s="8">
        <v>915.8</v>
      </c>
      <c r="Z30" s="16">
        <f t="shared" si="28"/>
        <v>51791.6</v>
      </c>
      <c r="AA30" s="8">
        <v>56718.4</v>
      </c>
      <c r="AB30" s="14">
        <v>1746</v>
      </c>
      <c r="AC30" s="7">
        <f t="shared" si="21"/>
        <v>58464.4</v>
      </c>
      <c r="AD30" s="17">
        <v>201540</v>
      </c>
      <c r="AE30" s="18">
        <f t="shared" ref="AE30:AI30" si="149">IF(OR(C31=""),"",(C31-C30)*80)</f>
        <v>3704.00000000023</v>
      </c>
      <c r="AF30" s="18">
        <f t="shared" si="149"/>
        <v>3064.00000000023</v>
      </c>
      <c r="AG30" s="18">
        <f t="shared" si="149"/>
        <v>0</v>
      </c>
      <c r="AH30" s="18">
        <f t="shared" si="149"/>
        <v>-3.19999999999709</v>
      </c>
      <c r="AI30" s="18">
        <f t="shared" si="149"/>
        <v>2240</v>
      </c>
      <c r="AJ30" s="18">
        <f t="shared" si="3"/>
        <v>9004.80000000047</v>
      </c>
      <c r="AK30" s="18">
        <f t="shared" ref="AK30:AN30" si="150">IF(OR(H31=""),"",(H31-H30)*80)</f>
        <v>0</v>
      </c>
      <c r="AL30" s="18">
        <f t="shared" si="150"/>
        <v>0</v>
      </c>
      <c r="AM30" s="18">
        <f t="shared" si="150"/>
        <v>0</v>
      </c>
      <c r="AN30" s="18">
        <f t="shared" si="150"/>
        <v>0</v>
      </c>
      <c r="AO30" s="18">
        <f t="shared" si="5"/>
        <v>0</v>
      </c>
      <c r="AP30" s="18">
        <f t="shared" ref="AP30:AS30" si="151">IF(OR(L31=""),"",(L31-L30)*100)</f>
        <v>2640.00000000087</v>
      </c>
      <c r="AQ30" s="18">
        <f t="shared" si="151"/>
        <v>0</v>
      </c>
      <c r="AR30" s="18">
        <f t="shared" si="151"/>
        <v>3220.00000000116</v>
      </c>
      <c r="AS30" s="18">
        <f t="shared" si="151"/>
        <v>2500</v>
      </c>
      <c r="AT30" s="18">
        <f t="shared" si="7"/>
        <v>8360.00000000204</v>
      </c>
      <c r="AU30" s="18">
        <f t="shared" ref="AU30:AY30" si="152">IF(OR(P31=""),"",(P31-P30)*1000)</f>
        <v>4000</v>
      </c>
      <c r="AV30" s="18">
        <f t="shared" si="152"/>
        <v>5199.99999999982</v>
      </c>
      <c r="AW30" s="18">
        <f t="shared" si="152"/>
        <v>1199.99999999982</v>
      </c>
      <c r="AX30" s="18">
        <f t="shared" si="152"/>
        <v>0</v>
      </c>
      <c r="AY30" s="18">
        <f t="shared" si="152"/>
        <v>0</v>
      </c>
      <c r="AZ30" s="18">
        <f t="shared" si="9"/>
        <v>10399.9999999996</v>
      </c>
      <c r="BA30" s="18">
        <f t="shared" si="10"/>
        <v>9600.00000000582</v>
      </c>
      <c r="BB30" s="18">
        <f t="shared" si="11"/>
        <v>1096.00000000035</v>
      </c>
      <c r="BC30" s="18">
        <f t="shared" si="26"/>
        <v>1447.99999999959</v>
      </c>
      <c r="BD30" s="18">
        <f t="shared" si="12"/>
        <v>10591.200000003</v>
      </c>
      <c r="BE30" s="18">
        <f t="shared" si="13"/>
        <v>50500.0000000109</v>
      </c>
      <c r="BF30" s="18">
        <f t="shared" si="14"/>
        <v>71</v>
      </c>
      <c r="BG30" s="21">
        <f t="shared" si="15"/>
        <v>0.250570606331304</v>
      </c>
      <c r="BH30" s="21">
        <f t="shared" si="16"/>
        <v>0.0446799642750842</v>
      </c>
      <c r="BI30" s="21">
        <f t="shared" si="17"/>
        <v>0</v>
      </c>
      <c r="BJ30" s="21">
        <f t="shared" si="18"/>
        <v>0.0414805993847476</v>
      </c>
      <c r="BK30" s="21">
        <f t="shared" ref="BK30:BO30" si="153">IF(OR($AD30=0),"",AZ30/$AD30)</f>
        <v>0.0516026595216812</v>
      </c>
      <c r="BL30" s="21">
        <f t="shared" si="153"/>
        <v>0.0476332241738901</v>
      </c>
      <c r="BM30" s="21">
        <f t="shared" si="153"/>
        <v>0.00543812642651756</v>
      </c>
      <c r="BN30" s="21">
        <f t="shared" si="153"/>
        <v>0.00718467797955539</v>
      </c>
      <c r="BO30" s="21">
        <f t="shared" si="153"/>
        <v>0.0525513545698274</v>
      </c>
    </row>
    <row r="31" spans="1:67">
      <c r="A31" s="9">
        <f t="shared" si="20"/>
        <v>44255</v>
      </c>
      <c r="B31" s="10">
        <v>15866.1</v>
      </c>
      <c r="C31" s="8">
        <v>85885.8</v>
      </c>
      <c r="D31" s="8">
        <v>55179</v>
      </c>
      <c r="E31" s="8">
        <v>55800.2</v>
      </c>
      <c r="F31" s="8">
        <v>3422.1</v>
      </c>
      <c r="G31" s="8">
        <v>108981.2</v>
      </c>
      <c r="H31" s="8">
        <v>5596.3</v>
      </c>
      <c r="I31" s="8">
        <v>2566.3</v>
      </c>
      <c r="J31" s="8">
        <v>967</v>
      </c>
      <c r="K31" s="8">
        <v>56</v>
      </c>
      <c r="L31" s="8">
        <v>87551.1</v>
      </c>
      <c r="M31" s="8">
        <v>61126.9</v>
      </c>
      <c r="N31" s="8">
        <v>69244.1</v>
      </c>
      <c r="O31" s="8">
        <v>99388.1</v>
      </c>
      <c r="P31" s="8">
        <v>5224.6</v>
      </c>
      <c r="Q31" s="8">
        <v>7095.5</v>
      </c>
      <c r="R31" s="8">
        <v>4285.2</v>
      </c>
      <c r="S31" s="8">
        <v>4926.6</v>
      </c>
      <c r="T31" s="8">
        <v>6009.1</v>
      </c>
      <c r="U31" s="8">
        <v>16691.9</v>
      </c>
      <c r="V31" s="8">
        <v>49172.4</v>
      </c>
      <c r="W31" s="8">
        <v>49771</v>
      </c>
      <c r="X31" s="8">
        <v>1133.1</v>
      </c>
      <c r="Y31" s="8">
        <v>923.7</v>
      </c>
      <c r="Z31" s="16">
        <f t="shared" si="28"/>
        <v>51827.8</v>
      </c>
      <c r="AA31" s="8">
        <v>56758.4</v>
      </c>
      <c r="AB31" s="14">
        <v>1777</v>
      </c>
      <c r="AC31" s="7">
        <f t="shared" si="21"/>
        <v>58535.4</v>
      </c>
      <c r="AD31" s="17">
        <v>205691</v>
      </c>
      <c r="AE31" s="18">
        <f t="shared" ref="AE31:AI31" si="154">IF(OR(C32=""),"",(C32-C31)*80)</f>
        <v>3791.99999999953</v>
      </c>
      <c r="AF31" s="18">
        <f t="shared" si="154"/>
        <v>192.000000000116</v>
      </c>
      <c r="AG31" s="18">
        <f t="shared" si="154"/>
        <v>0</v>
      </c>
      <c r="AH31" s="18">
        <f t="shared" si="154"/>
        <v>2137.60000000002</v>
      </c>
      <c r="AI31" s="18">
        <f t="shared" si="154"/>
        <v>2144.00000000023</v>
      </c>
      <c r="AJ31" s="18">
        <f t="shared" si="3"/>
        <v>8265.5999999999</v>
      </c>
      <c r="AK31" s="18">
        <f t="shared" ref="AK31:AN31" si="155">IF(OR(H32=""),"",(H32-H31)*80)</f>
        <v>0</v>
      </c>
      <c r="AL31" s="18">
        <f t="shared" si="155"/>
        <v>0</v>
      </c>
      <c r="AM31" s="18">
        <f t="shared" si="155"/>
        <v>0</v>
      </c>
      <c r="AN31" s="18">
        <f t="shared" si="155"/>
        <v>0</v>
      </c>
      <c r="AO31" s="18">
        <f t="shared" si="5"/>
        <v>0</v>
      </c>
      <c r="AP31" s="18">
        <f t="shared" ref="AP31:AS31" si="156">IF(OR(L32=""),"",(L32-L31)*100)</f>
        <v>2859.99999999913</v>
      </c>
      <c r="AQ31" s="18">
        <f t="shared" si="156"/>
        <v>0</v>
      </c>
      <c r="AR31" s="18">
        <f t="shared" si="156"/>
        <v>2319.99999999971</v>
      </c>
      <c r="AS31" s="18">
        <f t="shared" si="156"/>
        <v>2600</v>
      </c>
      <c r="AT31" s="18">
        <f t="shared" si="7"/>
        <v>7779.99999999884</v>
      </c>
      <c r="AU31" s="18">
        <f t="shared" ref="AU31:AY31" si="157">IF(OR(P32=""),"",(P32-P31)*1000)</f>
        <v>1299.99999999927</v>
      </c>
      <c r="AV31" s="18">
        <f t="shared" si="157"/>
        <v>0</v>
      </c>
      <c r="AW31" s="18">
        <f t="shared" si="157"/>
        <v>4900.00000000055</v>
      </c>
      <c r="AX31" s="18">
        <f t="shared" si="157"/>
        <v>4000</v>
      </c>
      <c r="AY31" s="18">
        <f t="shared" si="157"/>
        <v>0</v>
      </c>
      <c r="AZ31" s="18">
        <f t="shared" si="9"/>
        <v>10199.9999999998</v>
      </c>
      <c r="BA31" s="18">
        <f t="shared" si="10"/>
        <v>10000</v>
      </c>
      <c r="BB31" s="18">
        <f t="shared" si="11"/>
        <v>832.000000000116</v>
      </c>
      <c r="BC31" s="18">
        <f t="shared" si="26"/>
        <v>1456.00000000006</v>
      </c>
      <c r="BD31" s="18">
        <f t="shared" si="12"/>
        <v>16266.3999999969</v>
      </c>
      <c r="BE31" s="18">
        <f t="shared" si="13"/>
        <v>54799.9999999956</v>
      </c>
      <c r="BF31" s="18">
        <f t="shared" si="14"/>
        <v>55.5999999999985</v>
      </c>
      <c r="BG31" s="21">
        <f t="shared" si="15"/>
        <v>0.266419046044774</v>
      </c>
      <c r="BH31" s="21">
        <f t="shared" si="16"/>
        <v>0.0401845486676612</v>
      </c>
      <c r="BI31" s="21">
        <f t="shared" si="17"/>
        <v>0</v>
      </c>
      <c r="BJ31" s="21">
        <f t="shared" si="18"/>
        <v>0.0378237258800766</v>
      </c>
      <c r="BK31" s="21">
        <f t="shared" ref="BK31:BO31" si="158">IF(OR($AD31=0),"",AZ31/$AD31)</f>
        <v>0.0495889465265851</v>
      </c>
      <c r="BL31" s="21">
        <f t="shared" si="158"/>
        <v>0.048616614241751</v>
      </c>
      <c r="BM31" s="21">
        <f t="shared" si="158"/>
        <v>0.00404490230491425</v>
      </c>
      <c r="BN31" s="21">
        <f t="shared" si="158"/>
        <v>0.00707857903359922</v>
      </c>
      <c r="BO31" s="21">
        <f t="shared" si="158"/>
        <v>0.0790817293901867</v>
      </c>
    </row>
    <row r="32" spans="1:67">
      <c r="A32" s="9">
        <f t="shared" si="20"/>
        <v>44256</v>
      </c>
      <c r="B32" s="10">
        <v>15871.58</v>
      </c>
      <c r="C32" s="8">
        <v>85933.2</v>
      </c>
      <c r="D32" s="8">
        <v>55181.4</v>
      </c>
      <c r="E32" s="8">
        <v>55800.2</v>
      </c>
      <c r="F32" s="8">
        <v>3448.82</v>
      </c>
      <c r="G32" s="8">
        <v>109008</v>
      </c>
      <c r="H32" s="8">
        <v>5596.3</v>
      </c>
      <c r="I32" s="8">
        <v>2566.3</v>
      </c>
      <c r="J32" s="8">
        <v>967</v>
      </c>
      <c r="K32" s="8">
        <v>56</v>
      </c>
      <c r="L32" s="8">
        <v>87579.7</v>
      </c>
      <c r="M32" s="8">
        <v>61126.9</v>
      </c>
      <c r="N32" s="8">
        <v>69267.3</v>
      </c>
      <c r="O32" s="8">
        <v>99414.1</v>
      </c>
      <c r="P32" s="8">
        <v>5225.9</v>
      </c>
      <c r="Q32" s="8">
        <v>7095.5</v>
      </c>
      <c r="R32" s="8">
        <v>4290.1</v>
      </c>
      <c r="S32" s="8">
        <v>4930.6</v>
      </c>
      <c r="T32" s="8">
        <v>6009.1</v>
      </c>
      <c r="U32" s="8">
        <v>16696.9</v>
      </c>
      <c r="V32" s="8">
        <v>49182.8</v>
      </c>
      <c r="W32" s="8">
        <v>49788.2</v>
      </c>
      <c r="X32" s="8">
        <v>1144.3</v>
      </c>
      <c r="Y32" s="8">
        <v>931.7</v>
      </c>
      <c r="Z32" s="16">
        <f t="shared" si="28"/>
        <v>51864.2</v>
      </c>
      <c r="AA32" s="8">
        <v>56799</v>
      </c>
      <c r="AB32" s="14">
        <v>1792</v>
      </c>
      <c r="AC32" s="7">
        <f t="shared" si="21"/>
        <v>58591</v>
      </c>
      <c r="AD32" s="17"/>
      <c r="AE32" s="18" t="str">
        <f t="shared" ref="AE32:AI32" si="159">IF(OR(C33=""),"",(C33-C32)*80)</f>
        <v/>
      </c>
      <c r="AF32" s="18" t="str">
        <f t="shared" si="159"/>
        <v/>
      </c>
      <c r="AG32" s="18" t="str">
        <f t="shared" si="159"/>
        <v/>
      </c>
      <c r="AH32" s="18" t="str">
        <f t="shared" si="159"/>
        <v/>
      </c>
      <c r="AI32" s="18" t="str">
        <f t="shared" si="159"/>
        <v/>
      </c>
      <c r="AJ32" s="18" t="str">
        <f t="shared" si="3"/>
        <v/>
      </c>
      <c r="AK32" s="18" t="str">
        <f t="shared" ref="AK32:AN32" si="160">IF(OR(H33=""),"",(H33-H32)*80)</f>
        <v/>
      </c>
      <c r="AL32" s="18" t="str">
        <f t="shared" si="160"/>
        <v/>
      </c>
      <c r="AM32" s="18" t="str">
        <f t="shared" si="160"/>
        <v/>
      </c>
      <c r="AN32" s="18" t="str">
        <f t="shared" si="160"/>
        <v/>
      </c>
      <c r="AO32" s="18" t="str">
        <f t="shared" si="5"/>
        <v/>
      </c>
      <c r="AP32" s="18" t="str">
        <f t="shared" ref="AP32:AS32" si="161">IF(OR(L33=""),"",(L33-L32)*100)</f>
        <v/>
      </c>
      <c r="AQ32" s="18" t="str">
        <f t="shared" si="161"/>
        <v/>
      </c>
      <c r="AR32" s="18" t="str">
        <f t="shared" si="161"/>
        <v/>
      </c>
      <c r="AS32" s="18" t="str">
        <f t="shared" si="161"/>
        <v/>
      </c>
      <c r="AT32" s="18" t="str">
        <f t="shared" si="7"/>
        <v/>
      </c>
      <c r="AU32" s="18" t="str">
        <f t="shared" ref="AU32:AY32" si="162">IF(OR(P33=""),"",(P33-P32)*1000)</f>
        <v/>
      </c>
      <c r="AV32" s="18" t="str">
        <f t="shared" si="162"/>
        <v/>
      </c>
      <c r="AW32" s="18" t="str">
        <f t="shared" si="162"/>
        <v/>
      </c>
      <c r="AX32" s="18" t="str">
        <f t="shared" si="162"/>
        <v/>
      </c>
      <c r="AY32" s="18" t="str">
        <f t="shared" si="162"/>
        <v/>
      </c>
      <c r="AZ32" s="18" t="str">
        <f t="shared" si="9"/>
        <v/>
      </c>
      <c r="BA32" s="18" t="str">
        <f t="shared" si="10"/>
        <v/>
      </c>
      <c r="BB32" s="18" t="str">
        <f t="shared" si="11"/>
        <v/>
      </c>
      <c r="BC32" s="18" t="str">
        <f t="shared" ref="BC32:BC34" si="163">IF(OR(W33=""),"",(W33-W32)*40)</f>
        <v/>
      </c>
      <c r="BD32" s="18" t="str">
        <f t="shared" si="12"/>
        <v/>
      </c>
      <c r="BE32" s="18" t="str">
        <f t="shared" si="13"/>
        <v/>
      </c>
      <c r="BF32" s="18" t="str">
        <f t="shared" si="14"/>
        <v/>
      </c>
      <c r="BG32" s="21" t="str">
        <f t="shared" si="15"/>
        <v/>
      </c>
      <c r="BH32" s="21" t="str">
        <f t="shared" si="16"/>
        <v/>
      </c>
      <c r="BI32" s="21" t="str">
        <f t="shared" si="17"/>
        <v/>
      </c>
      <c r="BJ32" s="21" t="str">
        <f t="shared" si="18"/>
        <v/>
      </c>
      <c r="BK32" s="21" t="str">
        <f t="shared" ref="BK32:BO32" si="164">IF(OR($AD32=0),"",AZ32/$AD32)</f>
        <v/>
      </c>
      <c r="BL32" s="21" t="str">
        <f t="shared" si="164"/>
        <v/>
      </c>
      <c r="BM32" s="21" t="str">
        <f t="shared" si="164"/>
        <v/>
      </c>
      <c r="BN32" s="21" t="str">
        <f t="shared" si="164"/>
        <v/>
      </c>
      <c r="BO32" s="21" t="str">
        <f t="shared" si="164"/>
        <v/>
      </c>
    </row>
    <row r="33" spans="1:67">
      <c r="A33" s="9"/>
      <c r="B33" s="10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16" t="str">
        <f t="shared" si="28"/>
        <v/>
      </c>
      <c r="AA33" s="8"/>
      <c r="AB33" s="14"/>
      <c r="AC33" s="7" t="str">
        <f t="shared" si="21"/>
        <v/>
      </c>
      <c r="AD33" s="17"/>
      <c r="AE33" s="18" t="str">
        <f t="shared" ref="AE33:AI33" si="165">IF(OR(C34=""),"",(C34-C33)*80)</f>
        <v/>
      </c>
      <c r="AF33" s="18" t="str">
        <f t="shared" si="165"/>
        <v/>
      </c>
      <c r="AG33" s="18" t="str">
        <f t="shared" si="165"/>
        <v/>
      </c>
      <c r="AH33" s="18" t="str">
        <f t="shared" si="165"/>
        <v/>
      </c>
      <c r="AI33" s="18" t="str">
        <f t="shared" si="165"/>
        <v/>
      </c>
      <c r="AJ33" s="18" t="str">
        <f t="shared" si="3"/>
        <v/>
      </c>
      <c r="AK33" s="18" t="str">
        <f t="shared" ref="AK33:AN33" si="166">IF(OR(H34=""),"",(H34-H33)*80)</f>
        <v/>
      </c>
      <c r="AL33" s="18" t="str">
        <f t="shared" si="166"/>
        <v/>
      </c>
      <c r="AM33" s="18" t="str">
        <f t="shared" si="166"/>
        <v/>
      </c>
      <c r="AN33" s="18" t="str">
        <f t="shared" si="166"/>
        <v/>
      </c>
      <c r="AO33" s="18" t="str">
        <f t="shared" si="5"/>
        <v/>
      </c>
      <c r="AP33" s="18" t="str">
        <f t="shared" ref="AP33:AS33" si="167">IF(OR(L34=""),"",(L34-L33)*100)</f>
        <v/>
      </c>
      <c r="AQ33" s="18" t="str">
        <f t="shared" si="167"/>
        <v/>
      </c>
      <c r="AR33" s="18" t="str">
        <f t="shared" si="167"/>
        <v/>
      </c>
      <c r="AS33" s="18" t="str">
        <f t="shared" si="167"/>
        <v/>
      </c>
      <c r="AT33" s="18" t="str">
        <f t="shared" si="7"/>
        <v/>
      </c>
      <c r="AU33" s="18" t="str">
        <f t="shared" ref="AU33:AY33" si="168">IF(OR(P34=""),"",(P34-P33)*1000)</f>
        <v/>
      </c>
      <c r="AV33" s="18" t="str">
        <f t="shared" si="168"/>
        <v/>
      </c>
      <c r="AW33" s="18" t="str">
        <f t="shared" si="168"/>
        <v/>
      </c>
      <c r="AX33" s="18" t="str">
        <f t="shared" si="168"/>
        <v/>
      </c>
      <c r="AY33" s="18" t="str">
        <f t="shared" si="168"/>
        <v/>
      </c>
      <c r="AZ33" s="18" t="str">
        <f t="shared" si="9"/>
        <v/>
      </c>
      <c r="BA33" s="18" t="str">
        <f t="shared" si="10"/>
        <v/>
      </c>
      <c r="BB33" s="18" t="str">
        <f t="shared" si="11"/>
        <v/>
      </c>
      <c r="BC33" s="18" t="str">
        <f t="shared" si="163"/>
        <v/>
      </c>
      <c r="BD33" s="18" t="str">
        <f t="shared" si="12"/>
        <v/>
      </c>
      <c r="BE33" s="18" t="str">
        <f t="shared" si="13"/>
        <v/>
      </c>
      <c r="BF33" s="18" t="str">
        <f t="shared" si="14"/>
        <v/>
      </c>
      <c r="BG33" s="21" t="str">
        <f t="shared" si="15"/>
        <v/>
      </c>
      <c r="BH33" s="21" t="str">
        <f t="shared" si="16"/>
        <v/>
      </c>
      <c r="BI33" s="21" t="str">
        <f t="shared" si="17"/>
        <v/>
      </c>
      <c r="BJ33" s="21" t="str">
        <f t="shared" si="18"/>
        <v/>
      </c>
      <c r="BK33" s="21" t="str">
        <f t="shared" ref="BK33:BO33" si="169">IF(OR($AD33=0),"",AZ33/$AD33)</f>
        <v/>
      </c>
      <c r="BL33" s="21" t="str">
        <f t="shared" si="169"/>
        <v/>
      </c>
      <c r="BM33" s="21" t="str">
        <f t="shared" si="169"/>
        <v/>
      </c>
      <c r="BN33" s="21" t="str">
        <f t="shared" si="169"/>
        <v/>
      </c>
      <c r="BO33" s="21" t="str">
        <f t="shared" si="169"/>
        <v/>
      </c>
    </row>
    <row r="34" spans="1:67">
      <c r="A34" s="9"/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16" t="str">
        <f t="shared" si="28"/>
        <v/>
      </c>
      <c r="AA34" s="8"/>
      <c r="AB34" s="14"/>
      <c r="AC34" s="7" t="str">
        <f t="shared" si="21"/>
        <v/>
      </c>
      <c r="AD34" s="17"/>
      <c r="AE34" s="18" t="str">
        <f t="shared" ref="AE34:AI34" si="170">IF(OR(C35=""),"",(C35-C34)*80)</f>
        <v/>
      </c>
      <c r="AF34" s="18" t="str">
        <f t="shared" si="170"/>
        <v/>
      </c>
      <c r="AG34" s="18" t="str">
        <f t="shared" si="170"/>
        <v/>
      </c>
      <c r="AH34" s="18" t="str">
        <f t="shared" si="170"/>
        <v/>
      </c>
      <c r="AI34" s="18" t="str">
        <f t="shared" si="170"/>
        <v/>
      </c>
      <c r="AJ34" s="18" t="str">
        <f t="shared" si="3"/>
        <v/>
      </c>
      <c r="AK34" s="18" t="str">
        <f t="shared" ref="AK34:AN34" si="171">IF(OR(H35=""),"",(H35-H34)*80)</f>
        <v/>
      </c>
      <c r="AL34" s="18" t="str">
        <f t="shared" si="171"/>
        <v/>
      </c>
      <c r="AM34" s="18" t="str">
        <f t="shared" si="171"/>
        <v/>
      </c>
      <c r="AN34" s="18" t="str">
        <f t="shared" si="171"/>
        <v/>
      </c>
      <c r="AO34" s="18" t="str">
        <f t="shared" si="5"/>
        <v/>
      </c>
      <c r="AP34" s="18" t="str">
        <f t="shared" ref="AP34:AS34" si="172">IF(OR(L35=""),"",(L35-L34)*100)</f>
        <v/>
      </c>
      <c r="AQ34" s="18" t="str">
        <f t="shared" si="172"/>
        <v/>
      </c>
      <c r="AR34" s="18" t="str">
        <f t="shared" si="172"/>
        <v/>
      </c>
      <c r="AS34" s="18" t="str">
        <f t="shared" si="172"/>
        <v/>
      </c>
      <c r="AT34" s="18" t="str">
        <f t="shared" si="7"/>
        <v/>
      </c>
      <c r="AU34" s="18" t="str">
        <f t="shared" ref="AU34:AY34" si="173">IF(OR(P35=""),"",(P35-P34)*1000)</f>
        <v/>
      </c>
      <c r="AV34" s="18" t="str">
        <f t="shared" si="173"/>
        <v/>
      </c>
      <c r="AW34" s="18" t="str">
        <f t="shared" si="173"/>
        <v/>
      </c>
      <c r="AX34" s="18" t="str">
        <f t="shared" si="173"/>
        <v/>
      </c>
      <c r="AY34" s="18" t="str">
        <f t="shared" si="173"/>
        <v/>
      </c>
      <c r="AZ34" s="18" t="str">
        <f t="shared" si="9"/>
        <v/>
      </c>
      <c r="BA34" s="18" t="str">
        <f t="shared" si="10"/>
        <v/>
      </c>
      <c r="BB34" s="18" t="str">
        <f t="shared" si="11"/>
        <v/>
      </c>
      <c r="BC34" s="18" t="str">
        <f t="shared" si="163"/>
        <v/>
      </c>
      <c r="BD34" s="18" t="str">
        <f t="shared" si="12"/>
        <v/>
      </c>
      <c r="BE34" s="18" t="str">
        <f t="shared" si="13"/>
        <v/>
      </c>
      <c r="BF34" s="18" t="str">
        <f t="shared" si="14"/>
        <v/>
      </c>
      <c r="BG34" s="21" t="str">
        <f t="shared" si="15"/>
        <v/>
      </c>
      <c r="BH34" s="21" t="str">
        <f t="shared" si="16"/>
        <v/>
      </c>
      <c r="BI34" s="21" t="str">
        <f t="shared" si="17"/>
        <v/>
      </c>
      <c r="BJ34" s="21" t="str">
        <f t="shared" si="18"/>
        <v/>
      </c>
      <c r="BK34" s="21" t="str">
        <f t="shared" ref="BK34:BO34" si="174">IF(OR($AD34=0),"",AZ34/$AD34)</f>
        <v/>
      </c>
      <c r="BL34" s="21" t="str">
        <f t="shared" si="174"/>
        <v/>
      </c>
      <c r="BM34" s="21" t="str">
        <f t="shared" si="174"/>
        <v/>
      </c>
      <c r="BN34" s="21" t="str">
        <f t="shared" si="174"/>
        <v/>
      </c>
      <c r="BO34" s="21" t="str">
        <f t="shared" si="174"/>
        <v/>
      </c>
    </row>
    <row r="35" spans="1:67">
      <c r="A35" s="9"/>
      <c r="B35" s="10"/>
      <c r="C35" s="11"/>
      <c r="D35" s="11"/>
      <c r="E35" s="11"/>
      <c r="F35" s="11"/>
      <c r="G35" s="11"/>
      <c r="H35" s="8"/>
      <c r="I35" s="8"/>
      <c r="J35" s="8"/>
      <c r="K35" s="8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6" t="str">
        <f t="shared" si="28"/>
        <v/>
      </c>
      <c r="AA35" s="11"/>
      <c r="BE35" s="22" t="s">
        <v>44</v>
      </c>
      <c r="BF35" s="22" t="s">
        <v>19</v>
      </c>
      <c r="BG35" s="23">
        <f>SUM(BE4:BE34)</f>
        <v>1179400.00000001</v>
      </c>
      <c r="BH35" s="23">
        <f>SUM(AJ4:AJ34)</f>
        <v>133103.199999999</v>
      </c>
      <c r="BI35" s="23">
        <f>SUM(AO4:AO34)</f>
        <v>0</v>
      </c>
      <c r="BJ35" s="23">
        <f>SUM(AT4:AT34)</f>
        <v>121800.000000001</v>
      </c>
      <c r="BK35" s="23">
        <f t="shared" ref="BK35:BO35" si="175">SUM(AZ4:AZ34)</f>
        <v>300700.000000001</v>
      </c>
      <c r="BL35" s="23">
        <f t="shared" si="175"/>
        <v>161800.000000003</v>
      </c>
      <c r="BM35" s="23">
        <f t="shared" si="175"/>
        <v>21688.0000000005</v>
      </c>
      <c r="BN35" s="23">
        <f t="shared" si="175"/>
        <v>42523.9999999999</v>
      </c>
      <c r="BO35" s="23">
        <f t="shared" si="175"/>
        <v>397784.800000001</v>
      </c>
    </row>
    <row r="36" spans="37:67"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22">
        <f>SUM(AD4:AD34)</f>
        <v>3158364</v>
      </c>
      <c r="BF36" s="22" t="s">
        <v>21</v>
      </c>
      <c r="BG36" s="24">
        <f>IF(OR(BG35=0),"",ROUND(BG35/$BE$36,3))</f>
        <v>0.373</v>
      </c>
      <c r="BH36" s="24">
        <f t="shared" ref="BH36:BO36" si="176">IF(OR(BH35=0),"",ROUND(BH35/$BE$36,4))</f>
        <v>0.0421</v>
      </c>
      <c r="BI36" s="24" t="str">
        <f t="shared" si="176"/>
        <v/>
      </c>
      <c r="BJ36" s="24">
        <f t="shared" si="176"/>
        <v>0.0386</v>
      </c>
      <c r="BK36" s="24">
        <f t="shared" si="176"/>
        <v>0.0952</v>
      </c>
      <c r="BL36" s="24">
        <f t="shared" si="176"/>
        <v>0.0512</v>
      </c>
      <c r="BM36" s="24">
        <f t="shared" si="176"/>
        <v>0.0069</v>
      </c>
      <c r="BN36" s="24">
        <f t="shared" si="176"/>
        <v>0.0135</v>
      </c>
      <c r="BO36" s="24">
        <f t="shared" si="176"/>
        <v>0.1259</v>
      </c>
    </row>
  </sheetData>
  <mergeCells count="35">
    <mergeCell ref="A1:BO1"/>
    <mergeCell ref="C2:G2"/>
    <mergeCell ref="H2:K2"/>
    <mergeCell ref="L2:O2"/>
    <mergeCell ref="P2:T2"/>
    <mergeCell ref="X2:Y2"/>
    <mergeCell ref="AE2:AJ2"/>
    <mergeCell ref="AK2:AO2"/>
    <mergeCell ref="AP2:AT2"/>
    <mergeCell ref="AU2:AZ2"/>
    <mergeCell ref="A2:A3"/>
    <mergeCell ref="B2:B3"/>
    <mergeCell ref="U2:U3"/>
    <mergeCell ref="V2:V3"/>
    <mergeCell ref="W2:W3"/>
    <mergeCell ref="Z2:Z3"/>
    <mergeCell ref="AA2:AA3"/>
    <mergeCell ref="AB2:AB3"/>
    <mergeCell ref="AC2:AC3"/>
    <mergeCell ref="AD2:AD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"/>
  <sheetViews>
    <sheetView showGridLines="0" zoomScale="120" zoomScaleNormal="120" workbookViewId="0">
      <pane xSplit="1" ySplit="3" topLeftCell="G13" activePane="bottomRight" state="frozen"/>
      <selection/>
      <selection pane="topRight"/>
      <selection pane="bottomLeft"/>
      <selection pane="bottomRight" activeCell="B35" sqref="B35:AC35"/>
    </sheetView>
  </sheetViews>
  <sheetFormatPr defaultColWidth="9" defaultRowHeight="14.25"/>
  <cols>
    <col min="1" max="1" width="7" style="1" customWidth="1"/>
    <col min="2" max="2" width="8.375" style="2" customWidth="1"/>
    <col min="3" max="6" width="7.5" style="3" customWidth="1"/>
    <col min="7" max="7" width="8.5" style="3" customWidth="1"/>
    <col min="8" max="9" width="6.625" style="3" customWidth="1"/>
    <col min="10" max="10" width="5.75" style="3" customWidth="1"/>
    <col min="11" max="11" width="4.875" style="3" customWidth="1"/>
    <col min="12" max="15" width="7.5" style="3" customWidth="1"/>
    <col min="16" max="20" width="6.625" style="3" customWidth="1"/>
    <col min="21" max="24" width="7.5" style="3" customWidth="1"/>
    <col min="25" max="26" width="8.25" style="3" customWidth="1"/>
    <col min="27" max="28" width="7.5" style="3" customWidth="1"/>
    <col min="29" max="29" width="8.375" style="3" customWidth="1"/>
    <col min="30" max="30" width="8.625" style="3" customWidth="1"/>
    <col min="31" max="31" width="6.25" style="1" customWidth="1"/>
    <col min="32" max="32" width="5.875" style="1" customWidth="1"/>
    <col min="33" max="33" width="5.5" style="1" customWidth="1"/>
    <col min="34" max="34" width="5.375" style="1" customWidth="1"/>
    <col min="35" max="35" width="5.625" style="1" customWidth="1"/>
    <col min="36" max="36" width="6.625" style="1" customWidth="1"/>
    <col min="37" max="40" width="4" style="1" customWidth="1"/>
    <col min="41" max="41" width="6.625" style="1" customWidth="1"/>
    <col min="42" max="42" width="5.75" style="1" customWidth="1"/>
    <col min="43" max="43" width="5.125" style="1" customWidth="1"/>
    <col min="44" max="44" width="5.375" style="1" customWidth="1"/>
    <col min="45" max="45" width="5.5" style="1" customWidth="1"/>
    <col min="46" max="46" width="6.625" style="1" customWidth="1"/>
    <col min="47" max="47" width="6.375" style="1" customWidth="1"/>
    <col min="48" max="51" width="5.5" style="1" customWidth="1"/>
    <col min="52" max="54" width="6.625" style="1" customWidth="1"/>
    <col min="55" max="55" width="7.5" style="1" customWidth="1"/>
    <col min="56" max="56" width="8.125" style="1" customWidth="1"/>
    <col min="57" max="57" width="5.875" style="1" customWidth="1"/>
    <col min="58" max="58" width="6.625" style="1" customWidth="1"/>
    <col min="59" max="60" width="6.375" style="1" customWidth="1"/>
    <col min="61" max="61" width="7" style="1" customWidth="1"/>
    <col min="62" max="62" width="6.25" style="1" customWidth="1"/>
    <col min="63" max="63" width="6.75" style="1" customWidth="1"/>
    <col min="64" max="64" width="7" style="1" customWidth="1"/>
    <col min="65" max="65" width="6.25" style="1" customWidth="1"/>
    <col min="66" max="66" width="6.375" style="1" customWidth="1"/>
    <col min="67" max="67" width="6.875" style="1" customWidth="1"/>
    <col min="68" max="16384" width="9" style="1"/>
  </cols>
  <sheetData>
    <row r="1" spans="1:6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25"/>
    </row>
    <row r="2" spans="1:67">
      <c r="A2" s="6"/>
      <c r="B2" s="7" t="s">
        <v>0</v>
      </c>
      <c r="C2" s="8" t="s">
        <v>1</v>
      </c>
      <c r="D2" s="8"/>
      <c r="E2" s="8"/>
      <c r="F2" s="8"/>
      <c r="G2" s="8"/>
      <c r="H2" s="8" t="s">
        <v>2</v>
      </c>
      <c r="I2" s="8"/>
      <c r="J2" s="8"/>
      <c r="K2" s="8"/>
      <c r="L2" s="8" t="s">
        <v>3</v>
      </c>
      <c r="M2" s="8"/>
      <c r="N2" s="8"/>
      <c r="O2" s="8"/>
      <c r="P2" s="8" t="s">
        <v>4</v>
      </c>
      <c r="Q2" s="8"/>
      <c r="R2" s="8"/>
      <c r="S2" s="8"/>
      <c r="T2" s="8"/>
      <c r="U2" s="8" t="s">
        <v>5</v>
      </c>
      <c r="V2" s="8" t="s">
        <v>6</v>
      </c>
      <c r="W2" s="8" t="s">
        <v>7</v>
      </c>
      <c r="X2" s="12" t="s">
        <v>8</v>
      </c>
      <c r="Y2" s="14"/>
      <c r="Z2" s="8" t="s">
        <v>9</v>
      </c>
      <c r="AA2" s="8" t="s">
        <v>10</v>
      </c>
      <c r="AB2" s="8" t="s">
        <v>11</v>
      </c>
      <c r="AC2" s="8" t="s">
        <v>12</v>
      </c>
      <c r="AD2" s="6" t="s">
        <v>13</v>
      </c>
      <c r="AE2" s="15" t="s">
        <v>14</v>
      </c>
      <c r="AF2" s="15"/>
      <c r="AG2" s="15"/>
      <c r="AH2" s="15"/>
      <c r="AI2" s="15"/>
      <c r="AJ2" s="15"/>
      <c r="AK2" s="15" t="s">
        <v>2</v>
      </c>
      <c r="AL2" s="15"/>
      <c r="AM2" s="15"/>
      <c r="AN2" s="15"/>
      <c r="AO2" s="15"/>
      <c r="AP2" s="15" t="s">
        <v>3</v>
      </c>
      <c r="AQ2" s="15"/>
      <c r="AR2" s="15"/>
      <c r="AS2" s="15"/>
      <c r="AT2" s="15"/>
      <c r="AU2" s="15" t="s">
        <v>4</v>
      </c>
      <c r="AV2" s="15"/>
      <c r="AW2" s="15"/>
      <c r="AX2" s="15"/>
      <c r="AY2" s="15"/>
      <c r="AZ2" s="15"/>
      <c r="BA2" s="15" t="s">
        <v>15</v>
      </c>
      <c r="BB2" s="15" t="s">
        <v>16</v>
      </c>
      <c r="BC2" s="15" t="s">
        <v>17</v>
      </c>
      <c r="BD2" s="15" t="s">
        <v>18</v>
      </c>
      <c r="BE2" s="15" t="s">
        <v>19</v>
      </c>
      <c r="BF2" s="15" t="s">
        <v>20</v>
      </c>
      <c r="BG2" s="21" t="s">
        <v>21</v>
      </c>
      <c r="BH2" s="21" t="s">
        <v>22</v>
      </c>
      <c r="BI2" s="21" t="s">
        <v>23</v>
      </c>
      <c r="BJ2" s="21" t="s">
        <v>24</v>
      </c>
      <c r="BK2" s="21" t="s">
        <v>25</v>
      </c>
      <c r="BL2" s="21" t="s">
        <v>26</v>
      </c>
      <c r="BM2" s="21" t="s">
        <v>27</v>
      </c>
      <c r="BN2" s="21" t="s">
        <v>28</v>
      </c>
      <c r="BO2" s="21" t="s">
        <v>29</v>
      </c>
    </row>
    <row r="3" spans="1:67">
      <c r="A3" s="6"/>
      <c r="B3" s="7"/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/>
      <c r="V3" s="8"/>
      <c r="W3" s="8"/>
      <c r="X3" s="8" t="s">
        <v>40</v>
      </c>
      <c r="Y3" s="8" t="s">
        <v>41</v>
      </c>
      <c r="Z3" s="8"/>
      <c r="AA3" s="8"/>
      <c r="AB3" s="8"/>
      <c r="AC3" s="8"/>
      <c r="AD3" s="6"/>
      <c r="AE3" s="15" t="s">
        <v>30</v>
      </c>
      <c r="AF3" s="15" t="s">
        <v>31</v>
      </c>
      <c r="AG3" s="15" t="s">
        <v>32</v>
      </c>
      <c r="AH3" s="15" t="s">
        <v>33</v>
      </c>
      <c r="AI3" s="15" t="s">
        <v>34</v>
      </c>
      <c r="AJ3" s="15" t="s">
        <v>42</v>
      </c>
      <c r="AK3" s="15" t="s">
        <v>30</v>
      </c>
      <c r="AL3" s="15" t="s">
        <v>31</v>
      </c>
      <c r="AM3" s="15" t="s">
        <v>32</v>
      </c>
      <c r="AN3" s="15" t="s">
        <v>33</v>
      </c>
      <c r="AO3" s="15" t="s">
        <v>42</v>
      </c>
      <c r="AP3" s="15" t="s">
        <v>30</v>
      </c>
      <c r="AQ3" s="15" t="s">
        <v>31</v>
      </c>
      <c r="AR3" s="15" t="s">
        <v>32</v>
      </c>
      <c r="AS3" s="15" t="s">
        <v>33</v>
      </c>
      <c r="AT3" s="15" t="s">
        <v>42</v>
      </c>
      <c r="AU3" s="15" t="s">
        <v>35</v>
      </c>
      <c r="AV3" s="15" t="s">
        <v>36</v>
      </c>
      <c r="AW3" s="15" t="s">
        <v>37</v>
      </c>
      <c r="AX3" s="15" t="s">
        <v>38</v>
      </c>
      <c r="AY3" s="15" t="s">
        <v>39</v>
      </c>
      <c r="AZ3" s="15" t="s">
        <v>43</v>
      </c>
      <c r="BA3" s="20"/>
      <c r="BB3" s="20"/>
      <c r="BC3" s="20"/>
      <c r="BD3" s="20"/>
      <c r="BE3" s="20"/>
      <c r="BF3" s="20"/>
      <c r="BG3" s="21"/>
      <c r="BH3" s="21"/>
      <c r="BI3" s="21"/>
      <c r="BJ3" s="21"/>
      <c r="BK3" s="21"/>
      <c r="BL3" s="21"/>
      <c r="BM3" s="21"/>
      <c r="BN3" s="21"/>
      <c r="BO3" s="21"/>
    </row>
    <row r="4" spans="1:67">
      <c r="A4" s="9">
        <f>'2'!A32</f>
        <v>44256</v>
      </c>
      <c r="B4" s="10">
        <v>15871.58</v>
      </c>
      <c r="C4" s="8">
        <v>85933.2</v>
      </c>
      <c r="D4" s="8">
        <v>55181.4</v>
      </c>
      <c r="E4" s="8">
        <v>55800.2</v>
      </c>
      <c r="F4" s="8">
        <v>3448.82</v>
      </c>
      <c r="G4" s="8">
        <v>109008</v>
      </c>
      <c r="H4" s="8">
        <v>5596.3</v>
      </c>
      <c r="I4" s="8">
        <v>2566.3</v>
      </c>
      <c r="J4" s="8">
        <v>967</v>
      </c>
      <c r="K4" s="8">
        <v>56</v>
      </c>
      <c r="L4" s="8">
        <v>87579.7</v>
      </c>
      <c r="M4" s="8">
        <v>61126.9</v>
      </c>
      <c r="N4" s="8">
        <v>69267.3</v>
      </c>
      <c r="O4" s="8">
        <v>99414.1</v>
      </c>
      <c r="P4" s="8">
        <v>5225.9</v>
      </c>
      <c r="Q4" s="8">
        <v>7095.5</v>
      </c>
      <c r="R4" s="8">
        <v>4290.1</v>
      </c>
      <c r="S4" s="8">
        <v>4930.6</v>
      </c>
      <c r="T4" s="8">
        <v>6009.1</v>
      </c>
      <c r="U4" s="8">
        <v>16696.9</v>
      </c>
      <c r="V4" s="8">
        <v>49182.8</v>
      </c>
      <c r="W4" s="8">
        <v>49788.2</v>
      </c>
      <c r="X4" s="8">
        <v>1144.3</v>
      </c>
      <c r="Y4" s="8">
        <v>931.7</v>
      </c>
      <c r="Z4" s="16">
        <f t="shared" ref="Z4" si="0">IF(OR(W4=""),"",(W4+X4+Y4))</f>
        <v>51864.2</v>
      </c>
      <c r="AA4" s="8">
        <v>56799</v>
      </c>
      <c r="AB4" s="14">
        <v>1792</v>
      </c>
      <c r="AC4" s="7">
        <f t="shared" ref="AC4:AC5" si="1">IF(OR(AA4=""),"",(AA4+AB4))</f>
        <v>58591</v>
      </c>
      <c r="AD4" s="17">
        <v>202056</v>
      </c>
      <c r="AE4" s="18">
        <f t="shared" ref="AE4:AI4" si="2">IF(OR(C5=""),"",(C5-C4)*80)</f>
        <v>3752.0000000007</v>
      </c>
      <c r="AF4" s="18">
        <f t="shared" si="2"/>
        <v>3047.99999999988</v>
      </c>
      <c r="AG4" s="18">
        <f t="shared" si="2"/>
        <v>0</v>
      </c>
      <c r="AH4" s="18">
        <f t="shared" si="2"/>
        <v>4.79999999999563</v>
      </c>
      <c r="AI4" s="18">
        <f t="shared" si="2"/>
        <v>2351.99999999953</v>
      </c>
      <c r="AJ4" s="18">
        <f t="shared" ref="AJ4:AJ34" si="3">IF(OR(AE4="",AF4="",AG4=""),"",AE4+AF4+AG4+AH4+AI4)</f>
        <v>9156.80000000011</v>
      </c>
      <c r="AK4" s="18">
        <f t="shared" ref="AK4:AN4" si="4">IF(OR(H5=""),"",(H5-H4)*80)</f>
        <v>0</v>
      </c>
      <c r="AL4" s="18">
        <f t="shared" si="4"/>
        <v>0</v>
      </c>
      <c r="AM4" s="18">
        <f t="shared" si="4"/>
        <v>0</v>
      </c>
      <c r="AN4" s="18">
        <f t="shared" si="4"/>
        <v>0</v>
      </c>
      <c r="AO4" s="18">
        <f t="shared" ref="AO4:AO34" si="5">IF(OR(AK4="",AL4=""),"",AK4+AL4+AM4+AN4)</f>
        <v>0</v>
      </c>
      <c r="AP4" s="18">
        <f t="shared" ref="AP4:AS4" si="6">IF(OR(L5=""),"",(L5-L4)*100)</f>
        <v>2760.00000000058</v>
      </c>
      <c r="AQ4" s="18">
        <f t="shared" si="6"/>
        <v>0</v>
      </c>
      <c r="AR4" s="18">
        <f t="shared" si="6"/>
        <v>2319.99999999971</v>
      </c>
      <c r="AS4" s="18">
        <f t="shared" si="6"/>
        <v>2529.99999999884</v>
      </c>
      <c r="AT4" s="18">
        <f t="shared" ref="AT4:AT34" si="7">IF(OR(AP4="",AQ4=""),"",AP4+AQ4+AR4+AS4)</f>
        <v>7609.99999999913</v>
      </c>
      <c r="AU4" s="18">
        <f t="shared" ref="AU4:AY4" si="8">IF(OR(P5=""),"",(P5-P4)*1000)</f>
        <v>1000</v>
      </c>
      <c r="AV4" s="18">
        <f t="shared" si="8"/>
        <v>2699.99999999982</v>
      </c>
      <c r="AW4" s="18">
        <f t="shared" si="8"/>
        <v>3000</v>
      </c>
      <c r="AX4" s="18">
        <f t="shared" si="8"/>
        <v>5199.99999999982</v>
      </c>
      <c r="AY4" s="18">
        <f t="shared" si="8"/>
        <v>0</v>
      </c>
      <c r="AZ4" s="18">
        <f t="shared" ref="AZ4:AZ34" si="9">IF(OR(AU4="",AV4="",AW4=""),"",AU4+AV4+AW4+AX4+AY4)</f>
        <v>11899.9999999996</v>
      </c>
      <c r="BA4" s="18">
        <f t="shared" ref="BA4:BA34" si="10">IF(OR(U5=""),"",(U5-U4)*2000)</f>
        <v>10199.9999999971</v>
      </c>
      <c r="BB4" s="18">
        <f t="shared" ref="BB4:BB34" si="11">IF(OR(V5=""),"",(V5-V4)*80)</f>
        <v>855.999999999767</v>
      </c>
      <c r="BC4" s="18">
        <f>IF(OR(Z4=""),"",(Z5-Z4)*40)</f>
        <v>1443.99999999994</v>
      </c>
      <c r="BD4" s="18">
        <f t="shared" ref="BD4:BD34" si="12">IF(OR(BE4="",BC4=""),"",BE4-BC4-BB4-BA4-AZ4-AT4-AO4-AJ4)</f>
        <v>14833.200000008</v>
      </c>
      <c r="BE4" s="18">
        <f t="shared" ref="BE4:BE34" si="13">IF(OR(B5=""),"",(B5-B4)*10000)</f>
        <v>56000.0000000036</v>
      </c>
      <c r="BF4" s="18">
        <f t="shared" ref="BF4:BF34" si="14">IF(OR(AC5=""),"",AC5-AC4)</f>
        <v>63.5999999999985</v>
      </c>
      <c r="BG4" s="21">
        <f t="shared" ref="BG4" si="15">IF(OR($AD4=0),"",BE4/$AD4)</f>
        <v>0.277150888862512</v>
      </c>
      <c r="BH4" s="21">
        <f t="shared" ref="BH4" si="16">IF(OR($AD4=0),"",AJ4/$AD4)</f>
        <v>0.0453181296274306</v>
      </c>
      <c r="BI4" s="21">
        <f t="shared" ref="BI4" si="17">IF(OR($AD4=0),"",AO4/$AD4)</f>
        <v>0</v>
      </c>
      <c r="BJ4" s="21">
        <f t="shared" ref="BJ4" si="18">IF(OR($AD4=0),"",AT4/$AD4)</f>
        <v>0.0376628261472024</v>
      </c>
      <c r="BK4" s="21">
        <f t="shared" ref="BK4:BO4" si="19">IF(OR($AD4=0),"",AZ4/$AD4)</f>
        <v>0.0588945638832781</v>
      </c>
      <c r="BL4" s="21">
        <f t="shared" si="19"/>
        <v>0.0504810547570826</v>
      </c>
      <c r="BM4" s="21">
        <f t="shared" si="19"/>
        <v>0.00423644930118268</v>
      </c>
      <c r="BN4" s="21">
        <f t="shared" si="19"/>
        <v>0.00714653363423972</v>
      </c>
      <c r="BO4" s="21">
        <f t="shared" si="19"/>
        <v>0.0734113315120955</v>
      </c>
    </row>
    <row r="5" spans="1:67">
      <c r="A5" s="9">
        <f t="shared" ref="A5:A35" si="20">A4+1</f>
        <v>44257</v>
      </c>
      <c r="B5" s="10">
        <v>15877.18</v>
      </c>
      <c r="C5" s="8">
        <v>85980.1</v>
      </c>
      <c r="D5" s="8">
        <v>55219.5</v>
      </c>
      <c r="E5" s="8">
        <v>55800.2</v>
      </c>
      <c r="F5" s="8">
        <v>3448.88</v>
      </c>
      <c r="G5" s="8">
        <v>109037.4</v>
      </c>
      <c r="H5" s="8">
        <v>5596.3</v>
      </c>
      <c r="I5" s="8">
        <v>2566.3</v>
      </c>
      <c r="J5" s="8">
        <v>967</v>
      </c>
      <c r="K5" s="8">
        <v>56</v>
      </c>
      <c r="L5" s="8">
        <v>87607.3</v>
      </c>
      <c r="M5" s="8">
        <v>61126.9</v>
      </c>
      <c r="N5" s="8">
        <v>69290.5</v>
      </c>
      <c r="O5" s="8">
        <v>99439.4</v>
      </c>
      <c r="P5" s="8">
        <v>5226.9</v>
      </c>
      <c r="Q5" s="8">
        <v>7098.2</v>
      </c>
      <c r="R5" s="8">
        <v>4293.1</v>
      </c>
      <c r="S5" s="8">
        <v>4935.8</v>
      </c>
      <c r="T5" s="8">
        <v>6009.1</v>
      </c>
      <c r="U5" s="8">
        <v>16702</v>
      </c>
      <c r="V5" s="8">
        <v>49193.5</v>
      </c>
      <c r="W5" s="8">
        <v>49805.5</v>
      </c>
      <c r="X5" s="8">
        <v>1155.2</v>
      </c>
      <c r="Y5" s="8">
        <v>939.6</v>
      </c>
      <c r="Z5" s="16">
        <f t="shared" ref="Z5:Z35" si="21">IF(OR(W5=""),"",(W5+X5+Y5))</f>
        <v>51900.3</v>
      </c>
      <c r="AA5" s="8">
        <v>56838.6</v>
      </c>
      <c r="AB5" s="14">
        <v>1816</v>
      </c>
      <c r="AC5" s="7">
        <f t="shared" si="1"/>
        <v>58654.6</v>
      </c>
      <c r="AD5" s="17">
        <v>202265</v>
      </c>
      <c r="AE5" s="18">
        <f t="shared" ref="AE5:AI5" si="22">IF(OR(C6=""),"",(C6-C5)*80)</f>
        <v>3751.99999999953</v>
      </c>
      <c r="AF5" s="18">
        <f t="shared" si="22"/>
        <v>3064.00000000023</v>
      </c>
      <c r="AG5" s="18">
        <f t="shared" si="22"/>
        <v>0</v>
      </c>
      <c r="AH5" s="18">
        <f t="shared" si="22"/>
        <v>1.59999999999854</v>
      </c>
      <c r="AI5" s="18">
        <f t="shared" si="22"/>
        <v>2320</v>
      </c>
      <c r="AJ5" s="18">
        <f t="shared" si="3"/>
        <v>9137.59999999977</v>
      </c>
      <c r="AK5" s="18">
        <f t="shared" ref="AK5:AN5" si="23">IF(OR(H6=""),"",(H6-H5)*80)</f>
        <v>0</v>
      </c>
      <c r="AL5" s="18">
        <f t="shared" si="23"/>
        <v>0</v>
      </c>
      <c r="AM5" s="18">
        <f t="shared" si="23"/>
        <v>0</v>
      </c>
      <c r="AN5" s="18">
        <f t="shared" si="23"/>
        <v>0</v>
      </c>
      <c r="AO5" s="18">
        <f t="shared" si="5"/>
        <v>0</v>
      </c>
      <c r="AP5" s="18">
        <f t="shared" ref="AP5:AS5" si="24">IF(OR(L6=""),"",(L6-L5)*100)</f>
        <v>2859.99999999913</v>
      </c>
      <c r="AQ5" s="18">
        <f t="shared" si="24"/>
        <v>0</v>
      </c>
      <c r="AR5" s="18">
        <f t="shared" si="24"/>
        <v>2389.99999999942</v>
      </c>
      <c r="AS5" s="18">
        <f t="shared" si="24"/>
        <v>2510.00000000058</v>
      </c>
      <c r="AT5" s="18">
        <f t="shared" si="7"/>
        <v>7759.99999999913</v>
      </c>
      <c r="AU5" s="18">
        <f t="shared" ref="AU5:AY5" si="25">IF(OR(P6=""),"",(P6-P5)*1000)</f>
        <v>0</v>
      </c>
      <c r="AV5" s="18">
        <f t="shared" si="25"/>
        <v>2100.00000000036</v>
      </c>
      <c r="AW5" s="18">
        <f t="shared" si="25"/>
        <v>3500</v>
      </c>
      <c r="AX5" s="18">
        <f t="shared" si="25"/>
        <v>5099.99999999945</v>
      </c>
      <c r="AY5" s="18">
        <f t="shared" si="25"/>
        <v>0</v>
      </c>
      <c r="AZ5" s="18">
        <f t="shared" si="9"/>
        <v>10699.9999999998</v>
      </c>
      <c r="BA5" s="18">
        <f t="shared" si="10"/>
        <v>9199.99999999709</v>
      </c>
      <c r="BB5" s="18">
        <f t="shared" si="11"/>
        <v>1055.99999999977</v>
      </c>
      <c r="BC5" s="18">
        <f>IF(OR(Z5=""),"",(Z6-Z5)*40)</f>
        <v>1456.00000000035</v>
      </c>
      <c r="BD5" s="18">
        <f t="shared" si="12"/>
        <v>15790.4000000063</v>
      </c>
      <c r="BE5" s="18">
        <f t="shared" si="13"/>
        <v>55100.0000000022</v>
      </c>
      <c r="BF5" s="18">
        <f t="shared" si="14"/>
        <v>62.0999999999985</v>
      </c>
      <c r="BG5" s="21">
        <f t="shared" ref="BG5:BG34" si="26">IF(OR($AD5=0),"",BE5/$AD5)</f>
        <v>0.272414901243429</v>
      </c>
      <c r="BH5" s="21">
        <f t="shared" ref="BH5:BH34" si="27">IF(OR($AD5=0),"",AJ5/$AD5)</f>
        <v>0.0451763775245335</v>
      </c>
      <c r="BI5" s="21">
        <f t="shared" ref="BI5:BI34" si="28">IF(OR($AD5=0),"",AO5/$AD5)</f>
        <v>0</v>
      </c>
      <c r="BJ5" s="21">
        <f t="shared" ref="BJ5:BJ34" si="29">IF(OR($AD5=0),"",AT5/$AD5)</f>
        <v>0.0383655105925352</v>
      </c>
      <c r="BK5" s="21">
        <f t="shared" ref="BK5:BO5" si="30">IF(OR($AD5=0),"",AZ5/$AD5)</f>
        <v>0.0529008973376502</v>
      </c>
      <c r="BL5" s="21">
        <f t="shared" si="30"/>
        <v>0.0454848836921716</v>
      </c>
      <c r="BM5" s="21">
        <f t="shared" si="30"/>
        <v>0.00522087360640628</v>
      </c>
      <c r="BN5" s="21">
        <f t="shared" si="30"/>
        <v>0.00719847724519986</v>
      </c>
      <c r="BO5" s="21">
        <f t="shared" si="30"/>
        <v>0.0780678812449325</v>
      </c>
    </row>
    <row r="6" spans="1:67">
      <c r="A6" s="9">
        <f t="shared" si="20"/>
        <v>44258</v>
      </c>
      <c r="B6" s="10">
        <v>15882.69</v>
      </c>
      <c r="C6" s="8">
        <v>86027</v>
      </c>
      <c r="D6" s="8">
        <v>55257.8</v>
      </c>
      <c r="E6" s="8">
        <v>55800.2</v>
      </c>
      <c r="F6" s="8">
        <v>3448.9</v>
      </c>
      <c r="G6" s="8">
        <v>109066.4</v>
      </c>
      <c r="H6" s="8">
        <v>5596.3</v>
      </c>
      <c r="I6" s="8">
        <v>2566.3</v>
      </c>
      <c r="J6" s="8">
        <v>967</v>
      </c>
      <c r="K6" s="8">
        <v>56</v>
      </c>
      <c r="L6" s="8">
        <v>87635.9</v>
      </c>
      <c r="M6" s="8">
        <v>61126.9</v>
      </c>
      <c r="N6" s="8">
        <v>69314.4</v>
      </c>
      <c r="O6" s="8">
        <v>99464.5</v>
      </c>
      <c r="P6" s="8">
        <v>5226.9</v>
      </c>
      <c r="Q6" s="8">
        <v>7100.3</v>
      </c>
      <c r="R6" s="8">
        <v>4296.6</v>
      </c>
      <c r="S6" s="8">
        <v>4940.9</v>
      </c>
      <c r="T6" s="8">
        <v>6009.1</v>
      </c>
      <c r="U6" s="8">
        <v>16706.6</v>
      </c>
      <c r="V6" s="8">
        <v>49206.7</v>
      </c>
      <c r="W6" s="8">
        <v>49822.9</v>
      </c>
      <c r="X6" s="8">
        <v>1166.3</v>
      </c>
      <c r="Y6" s="8">
        <v>947.5</v>
      </c>
      <c r="Z6" s="16">
        <f t="shared" si="21"/>
        <v>51936.7</v>
      </c>
      <c r="AA6" s="8">
        <v>56873.7</v>
      </c>
      <c r="AB6" s="14">
        <v>1843</v>
      </c>
      <c r="AC6" s="7">
        <f t="shared" ref="AC6:AC35" si="31">IF(OR(AA6=""),"",(AA6+AB6))</f>
        <v>58716.7</v>
      </c>
      <c r="AD6" s="17">
        <v>200265</v>
      </c>
      <c r="AE6" s="18">
        <f t="shared" ref="AE6:AI6" si="32">IF(OR(C7=""),"",(C7-C6)*80)</f>
        <v>3864.00000000023</v>
      </c>
      <c r="AF6" s="18">
        <f t="shared" si="32"/>
        <v>863.999999999651</v>
      </c>
      <c r="AG6" s="18">
        <f t="shared" si="32"/>
        <v>0</v>
      </c>
      <c r="AH6" s="18">
        <f t="shared" si="32"/>
        <v>1535.2</v>
      </c>
      <c r="AI6" s="18">
        <f t="shared" si="32"/>
        <v>2000</v>
      </c>
      <c r="AJ6" s="18">
        <f t="shared" si="3"/>
        <v>8263.19999999989</v>
      </c>
      <c r="AK6" s="18">
        <f t="shared" ref="AK6:AN6" si="33">IF(OR(H7=""),"",(H7-H6)*80)</f>
        <v>0</v>
      </c>
      <c r="AL6" s="18">
        <f t="shared" si="33"/>
        <v>0</v>
      </c>
      <c r="AM6" s="18">
        <f t="shared" si="33"/>
        <v>0</v>
      </c>
      <c r="AN6" s="18">
        <f t="shared" si="33"/>
        <v>0</v>
      </c>
      <c r="AO6" s="18">
        <f t="shared" si="5"/>
        <v>0</v>
      </c>
      <c r="AP6" s="18">
        <f t="shared" ref="AP6:AS6" si="34">IF(OR(L7=""),"",(L7-L6)*100)</f>
        <v>2830.00000000029</v>
      </c>
      <c r="AQ6" s="18">
        <f t="shared" si="34"/>
        <v>0</v>
      </c>
      <c r="AR6" s="18">
        <f t="shared" si="34"/>
        <v>2410.00000000058</v>
      </c>
      <c r="AS6" s="18">
        <f t="shared" si="34"/>
        <v>2530.00000000029</v>
      </c>
      <c r="AT6" s="18">
        <f t="shared" si="7"/>
        <v>7770.00000000116</v>
      </c>
      <c r="AU6" s="18">
        <f t="shared" ref="AU6:AY6" si="35">IF(OR(P7=""),"",(P7-P6)*1000)</f>
        <v>2500</v>
      </c>
      <c r="AV6" s="18">
        <f t="shared" si="35"/>
        <v>3800.00000000018</v>
      </c>
      <c r="AW6" s="18">
        <f t="shared" si="35"/>
        <v>3199.99999999982</v>
      </c>
      <c r="AX6" s="18">
        <f t="shared" si="35"/>
        <v>4900.00000000055</v>
      </c>
      <c r="AY6" s="18">
        <f t="shared" si="35"/>
        <v>0</v>
      </c>
      <c r="AZ6" s="18">
        <f t="shared" si="9"/>
        <v>14400.0000000005</v>
      </c>
      <c r="BA6" s="18">
        <f t="shared" si="10"/>
        <v>9800.00000000291</v>
      </c>
      <c r="BB6" s="18">
        <f t="shared" si="11"/>
        <v>1064.00000000023</v>
      </c>
      <c r="BC6" s="18">
        <f t="shared" ref="BC6:BC34" si="36">IF(OR(Z6=""),"",(Z7-Z6)*40)</f>
        <v>1431.99999999983</v>
      </c>
      <c r="BD6" s="18">
        <f t="shared" si="12"/>
        <v>16670.7999999823</v>
      </c>
      <c r="BE6" s="18">
        <f t="shared" si="13"/>
        <v>59399.9999999869</v>
      </c>
      <c r="BF6" s="18">
        <f t="shared" si="14"/>
        <v>66.9000000000015</v>
      </c>
      <c r="BG6" s="21">
        <f t="shared" si="26"/>
        <v>0.296606995730591</v>
      </c>
      <c r="BH6" s="21">
        <f t="shared" si="27"/>
        <v>0.0412613287394197</v>
      </c>
      <c r="BI6" s="21">
        <f t="shared" si="28"/>
        <v>0</v>
      </c>
      <c r="BJ6" s="21">
        <f t="shared" si="29"/>
        <v>0.0387985918657837</v>
      </c>
      <c r="BK6" s="21">
        <f t="shared" ref="BK6:BO6" si="37">IF(OR($AD6=0),"",AZ6/$AD6)</f>
        <v>0.0719047262377377</v>
      </c>
      <c r="BL6" s="21">
        <f t="shared" si="37"/>
        <v>0.0489351609118064</v>
      </c>
      <c r="BM6" s="21">
        <f t="shared" si="37"/>
        <v>0.00531296032756714</v>
      </c>
      <c r="BN6" s="21">
        <f t="shared" si="37"/>
        <v>0.00715052555364055</v>
      </c>
      <c r="BO6" s="21">
        <f t="shared" si="37"/>
        <v>0.0832437020946363</v>
      </c>
    </row>
    <row r="7" spans="1:67">
      <c r="A7" s="9">
        <f t="shared" si="20"/>
        <v>44259</v>
      </c>
      <c r="B7" s="10">
        <v>15888.63</v>
      </c>
      <c r="C7" s="8">
        <v>86075.3</v>
      </c>
      <c r="D7" s="8">
        <v>55268.6</v>
      </c>
      <c r="E7" s="8">
        <v>55800.2</v>
      </c>
      <c r="F7" s="8">
        <v>3468.09</v>
      </c>
      <c r="G7" s="8">
        <v>109091.4</v>
      </c>
      <c r="H7" s="8">
        <v>5596.3</v>
      </c>
      <c r="I7" s="8">
        <v>2566.3</v>
      </c>
      <c r="J7" s="8">
        <v>967</v>
      </c>
      <c r="K7" s="8">
        <v>56</v>
      </c>
      <c r="L7" s="8">
        <v>87664.2</v>
      </c>
      <c r="M7" s="8">
        <v>61126.9</v>
      </c>
      <c r="N7" s="8">
        <v>69338.5</v>
      </c>
      <c r="O7" s="8">
        <v>99489.8</v>
      </c>
      <c r="P7" s="8">
        <v>5229.4</v>
      </c>
      <c r="Q7" s="8">
        <v>7104.1</v>
      </c>
      <c r="R7" s="8">
        <v>4299.8</v>
      </c>
      <c r="S7" s="8">
        <v>4945.8</v>
      </c>
      <c r="T7" s="8">
        <v>6009.1</v>
      </c>
      <c r="U7" s="8">
        <v>16711.5</v>
      </c>
      <c r="V7" s="8">
        <v>49220</v>
      </c>
      <c r="W7" s="8">
        <v>49840.4</v>
      </c>
      <c r="X7" s="8">
        <v>1176.4</v>
      </c>
      <c r="Y7" s="8">
        <v>955.7</v>
      </c>
      <c r="Z7" s="16">
        <f t="shared" si="21"/>
        <v>51972.5</v>
      </c>
      <c r="AA7" s="8">
        <v>56910.6</v>
      </c>
      <c r="AB7" s="14">
        <v>1873</v>
      </c>
      <c r="AC7" s="7">
        <f t="shared" si="31"/>
        <v>58783.6</v>
      </c>
      <c r="AD7" s="17">
        <v>200695</v>
      </c>
      <c r="AE7" s="18">
        <f t="shared" ref="AE7:AI7" si="38">IF(OR(C8=""),"",(C8-C7)*80)</f>
        <v>3760</v>
      </c>
      <c r="AF7" s="18">
        <f t="shared" si="38"/>
        <v>432.000000000116</v>
      </c>
      <c r="AG7" s="18">
        <f t="shared" si="38"/>
        <v>0</v>
      </c>
      <c r="AH7" s="18">
        <f t="shared" si="38"/>
        <v>2012.79999999999</v>
      </c>
      <c r="AI7" s="18">
        <f t="shared" si="38"/>
        <v>2160</v>
      </c>
      <c r="AJ7" s="18">
        <f t="shared" si="3"/>
        <v>8364.8000000001</v>
      </c>
      <c r="AK7" s="18">
        <f t="shared" ref="AK7:AN7" si="39">IF(OR(H8=""),"",(H8-H7)*80)</f>
        <v>0</v>
      </c>
      <c r="AL7" s="18">
        <f t="shared" si="39"/>
        <v>0</v>
      </c>
      <c r="AM7" s="18">
        <f t="shared" si="39"/>
        <v>0</v>
      </c>
      <c r="AN7" s="18">
        <f t="shared" si="39"/>
        <v>0</v>
      </c>
      <c r="AO7" s="18">
        <f t="shared" si="5"/>
        <v>0</v>
      </c>
      <c r="AP7" s="18">
        <f t="shared" ref="AP7:AS7" si="40">IF(OR(L8=""),"",(L8-L7)*100)</f>
        <v>2810.00000000058</v>
      </c>
      <c r="AQ7" s="18">
        <f t="shared" si="40"/>
        <v>0</v>
      </c>
      <c r="AR7" s="18">
        <f t="shared" si="40"/>
        <v>2400</v>
      </c>
      <c r="AS7" s="18">
        <f t="shared" si="40"/>
        <v>2539.99999999942</v>
      </c>
      <c r="AT7" s="18">
        <f t="shared" si="7"/>
        <v>7750</v>
      </c>
      <c r="AU7" s="18">
        <f t="shared" ref="AU7:AY7" si="41">IF(OR(P8=""),"",(P8-P7)*1000)</f>
        <v>500</v>
      </c>
      <c r="AV7" s="18">
        <f t="shared" si="41"/>
        <v>899.999999999636</v>
      </c>
      <c r="AW7" s="18">
        <f t="shared" si="41"/>
        <v>4300.00000000018</v>
      </c>
      <c r="AX7" s="18">
        <f t="shared" si="41"/>
        <v>4500</v>
      </c>
      <c r="AY7" s="18">
        <f t="shared" si="41"/>
        <v>0</v>
      </c>
      <c r="AZ7" s="18">
        <f t="shared" si="9"/>
        <v>10199.9999999998</v>
      </c>
      <c r="BA7" s="18">
        <f t="shared" si="10"/>
        <v>9400.00000000146</v>
      </c>
      <c r="BB7" s="18">
        <f t="shared" si="11"/>
        <v>1112.00000000012</v>
      </c>
      <c r="BC7" s="18">
        <f t="shared" si="36"/>
        <v>1447.99999999988</v>
      </c>
      <c r="BD7" s="18">
        <f t="shared" si="12"/>
        <v>16725.1999999986</v>
      </c>
      <c r="BE7" s="18">
        <f t="shared" si="13"/>
        <v>55000</v>
      </c>
      <c r="BF7" s="18">
        <f t="shared" si="14"/>
        <v>70.5999999999985</v>
      </c>
      <c r="BG7" s="21">
        <f t="shared" si="26"/>
        <v>0.274047684297068</v>
      </c>
      <c r="BH7" s="21">
        <f t="shared" si="27"/>
        <v>0.0416791649019662</v>
      </c>
      <c r="BI7" s="21">
        <f t="shared" si="28"/>
        <v>0</v>
      </c>
      <c r="BJ7" s="21">
        <f t="shared" si="29"/>
        <v>0.0386158100600414</v>
      </c>
      <c r="BK7" s="21">
        <f t="shared" ref="BK7:BO7" si="42">IF(OR($AD7=0),"",AZ7/$AD7)</f>
        <v>0.0508233887241826</v>
      </c>
      <c r="BL7" s="21">
        <f t="shared" si="42"/>
        <v>0.0468372405889606</v>
      </c>
      <c r="BM7" s="21">
        <f t="shared" si="42"/>
        <v>0.00554074590797039</v>
      </c>
      <c r="BN7" s="21">
        <f t="shared" si="42"/>
        <v>0.00721492812476586</v>
      </c>
      <c r="BO7" s="21">
        <f t="shared" si="42"/>
        <v>0.0833364059891807</v>
      </c>
    </row>
    <row r="8" spans="1:67">
      <c r="A8" s="9">
        <f t="shared" si="20"/>
        <v>44260</v>
      </c>
      <c r="B8" s="10">
        <v>15894.13</v>
      </c>
      <c r="C8" s="8">
        <v>86122.3</v>
      </c>
      <c r="D8" s="8">
        <v>55274</v>
      </c>
      <c r="E8" s="8">
        <v>55800.2</v>
      </c>
      <c r="F8" s="8">
        <v>3493.25</v>
      </c>
      <c r="G8" s="8">
        <v>109118.4</v>
      </c>
      <c r="H8" s="8">
        <v>5596.3</v>
      </c>
      <c r="I8" s="8">
        <v>2566.3</v>
      </c>
      <c r="J8" s="8">
        <v>967</v>
      </c>
      <c r="K8" s="8">
        <v>56</v>
      </c>
      <c r="L8" s="8">
        <v>87692.3</v>
      </c>
      <c r="M8" s="8">
        <v>61126.9</v>
      </c>
      <c r="N8" s="8">
        <v>69362.5</v>
      </c>
      <c r="O8" s="8">
        <v>99515.2</v>
      </c>
      <c r="P8" s="8">
        <v>5229.9</v>
      </c>
      <c r="Q8" s="8">
        <v>7105</v>
      </c>
      <c r="R8" s="8">
        <v>4304.1</v>
      </c>
      <c r="S8" s="8">
        <v>4950.3</v>
      </c>
      <c r="T8" s="8">
        <v>6009.1</v>
      </c>
      <c r="U8" s="8">
        <v>16716.2</v>
      </c>
      <c r="V8" s="8">
        <v>49233.9</v>
      </c>
      <c r="W8" s="8">
        <v>49857.7</v>
      </c>
      <c r="X8" s="8">
        <v>1187.3</v>
      </c>
      <c r="Y8" s="8">
        <v>963.7</v>
      </c>
      <c r="Z8" s="16">
        <f t="shared" si="21"/>
        <v>52008.7</v>
      </c>
      <c r="AA8" s="8">
        <v>56949.2</v>
      </c>
      <c r="AB8" s="14">
        <v>1905</v>
      </c>
      <c r="AC8" s="7">
        <f t="shared" si="31"/>
        <v>58854.2</v>
      </c>
      <c r="AD8" s="17">
        <v>117541</v>
      </c>
      <c r="AE8" s="18">
        <f t="shared" ref="AE8:AI8" si="43">IF(OR(C9=""),"",(C9-C8)*80)</f>
        <v>3680</v>
      </c>
      <c r="AF8" s="18">
        <f t="shared" si="43"/>
        <v>455.999999999767</v>
      </c>
      <c r="AG8" s="18">
        <f t="shared" si="43"/>
        <v>0</v>
      </c>
      <c r="AH8" s="18">
        <f t="shared" si="43"/>
        <v>819.199999999983</v>
      </c>
      <c r="AI8" s="18">
        <f t="shared" si="43"/>
        <v>2064.00000000023</v>
      </c>
      <c r="AJ8" s="18">
        <f t="shared" si="3"/>
        <v>7019.19999999998</v>
      </c>
      <c r="AK8" s="18">
        <f t="shared" ref="AK8:AN8" si="44">IF(OR(H9=""),"",(H9-H8)*80)</f>
        <v>0</v>
      </c>
      <c r="AL8" s="18">
        <f t="shared" si="44"/>
        <v>0</v>
      </c>
      <c r="AM8" s="18">
        <f t="shared" si="44"/>
        <v>0</v>
      </c>
      <c r="AN8" s="18">
        <f t="shared" si="44"/>
        <v>0</v>
      </c>
      <c r="AO8" s="18">
        <f t="shared" si="5"/>
        <v>0</v>
      </c>
      <c r="AP8" s="18">
        <f t="shared" ref="AP8:AS8" si="45">IF(OR(L9=""),"",(L9-L8)*100)</f>
        <v>1789.99999999942</v>
      </c>
      <c r="AQ8" s="18">
        <f t="shared" si="45"/>
        <v>0</v>
      </c>
      <c r="AR8" s="18">
        <f t="shared" si="45"/>
        <v>1289.99999999942</v>
      </c>
      <c r="AS8" s="18">
        <f t="shared" si="45"/>
        <v>1630.00000000029</v>
      </c>
      <c r="AT8" s="18">
        <f t="shared" si="7"/>
        <v>4709.99999999913</v>
      </c>
      <c r="AU8" s="18">
        <f t="shared" ref="AU8:AY8" si="46">IF(OR(P9=""),"",(P9-P8)*1000)</f>
        <v>300.000000000182</v>
      </c>
      <c r="AV8" s="18">
        <f t="shared" si="46"/>
        <v>0</v>
      </c>
      <c r="AW8" s="18">
        <f t="shared" si="46"/>
        <v>2899.99999999964</v>
      </c>
      <c r="AX8" s="18">
        <f t="shared" si="46"/>
        <v>3300.00000000018</v>
      </c>
      <c r="AY8" s="18">
        <f t="shared" si="46"/>
        <v>0</v>
      </c>
      <c r="AZ8" s="18">
        <f t="shared" si="9"/>
        <v>6500</v>
      </c>
      <c r="BA8" s="18">
        <f t="shared" si="10"/>
        <v>5799.99999999563</v>
      </c>
      <c r="BB8" s="18">
        <f t="shared" si="11"/>
        <v>1087.99999999988</v>
      </c>
      <c r="BC8" s="18">
        <f t="shared" si="36"/>
        <v>1400.00000000029</v>
      </c>
      <c r="BD8" s="18">
        <f t="shared" si="12"/>
        <v>14182.8000000204</v>
      </c>
      <c r="BE8" s="18">
        <f t="shared" si="13"/>
        <v>40700.0000000153</v>
      </c>
      <c r="BF8" s="18">
        <f t="shared" si="14"/>
        <v>70.3000000000029</v>
      </c>
      <c r="BG8" s="21">
        <f t="shared" si="26"/>
        <v>0.346262155333163</v>
      </c>
      <c r="BH8" s="21">
        <f t="shared" si="27"/>
        <v>0.0597170349069685</v>
      </c>
      <c r="BI8" s="21">
        <f t="shared" si="28"/>
        <v>0</v>
      </c>
      <c r="BJ8" s="21">
        <f t="shared" si="29"/>
        <v>0.0400711241183853</v>
      </c>
      <c r="BK8" s="21">
        <f t="shared" ref="BK8:BO8" si="47">IF(OR($AD8=0),"",AZ8/$AD8)</f>
        <v>0.0552998528173148</v>
      </c>
      <c r="BL8" s="21">
        <f t="shared" si="47"/>
        <v>0.0493444840523361</v>
      </c>
      <c r="BM8" s="21">
        <f t="shared" si="47"/>
        <v>0.00925634459465109</v>
      </c>
      <c r="BN8" s="21">
        <f t="shared" si="47"/>
        <v>0.0119107375298857</v>
      </c>
      <c r="BO8" s="21">
        <f t="shared" si="47"/>
        <v>0.120662577313621</v>
      </c>
    </row>
    <row r="9" spans="1:67">
      <c r="A9" s="9">
        <f t="shared" si="20"/>
        <v>44261</v>
      </c>
      <c r="B9" s="10">
        <v>15898.2</v>
      </c>
      <c r="C9" s="8">
        <v>86168.3</v>
      </c>
      <c r="D9" s="8">
        <v>55279.7</v>
      </c>
      <c r="E9" s="8">
        <v>55800.2</v>
      </c>
      <c r="F9" s="8">
        <v>3503.49</v>
      </c>
      <c r="G9" s="8">
        <v>109144.2</v>
      </c>
      <c r="H9" s="8">
        <v>5596.3</v>
      </c>
      <c r="I9" s="8">
        <v>2566.3</v>
      </c>
      <c r="J9" s="8">
        <v>967</v>
      </c>
      <c r="K9" s="8">
        <v>56</v>
      </c>
      <c r="L9" s="8">
        <v>87710.2</v>
      </c>
      <c r="M9" s="8">
        <v>61126.9</v>
      </c>
      <c r="N9" s="8">
        <v>69375.4</v>
      </c>
      <c r="O9" s="8">
        <v>99531.5</v>
      </c>
      <c r="P9" s="8">
        <v>5230.2</v>
      </c>
      <c r="Q9" s="8">
        <v>7105</v>
      </c>
      <c r="R9" s="8">
        <v>4307</v>
      </c>
      <c r="S9" s="8">
        <v>4953.6</v>
      </c>
      <c r="T9" s="8">
        <v>6009.1</v>
      </c>
      <c r="U9" s="8">
        <v>16719.1</v>
      </c>
      <c r="V9" s="8">
        <v>49247.5</v>
      </c>
      <c r="W9" s="8">
        <v>49874.8</v>
      </c>
      <c r="X9" s="8">
        <v>1197.5</v>
      </c>
      <c r="Y9" s="8">
        <v>971.4</v>
      </c>
      <c r="Z9" s="16">
        <f t="shared" si="21"/>
        <v>52043.7</v>
      </c>
      <c r="AA9" s="8">
        <v>56989.5</v>
      </c>
      <c r="AB9" s="14">
        <v>1935</v>
      </c>
      <c r="AC9" s="7">
        <f t="shared" si="31"/>
        <v>58924.5</v>
      </c>
      <c r="AD9" s="17">
        <v>175683</v>
      </c>
      <c r="AE9" s="18">
        <f t="shared" ref="AE9:AI9" si="48">IF(OR(C10=""),"",(C10-C9)*80)</f>
        <v>3784.00000000023</v>
      </c>
      <c r="AF9" s="18">
        <f t="shared" si="48"/>
        <v>1960</v>
      </c>
      <c r="AG9" s="18">
        <f t="shared" si="48"/>
        <v>0</v>
      </c>
      <c r="AH9" s="18">
        <f t="shared" si="48"/>
        <v>4.00000000001455</v>
      </c>
      <c r="AI9" s="18">
        <f t="shared" si="48"/>
        <v>2255.99999999977</v>
      </c>
      <c r="AJ9" s="18">
        <f t="shared" si="3"/>
        <v>8004.00000000001</v>
      </c>
      <c r="AK9" s="18">
        <f t="shared" ref="AK9:AN9" si="49">IF(OR(H10=""),"",(H10-H9)*80)</f>
        <v>0</v>
      </c>
      <c r="AL9" s="18">
        <f t="shared" si="49"/>
        <v>0</v>
      </c>
      <c r="AM9" s="18">
        <f t="shared" si="49"/>
        <v>0</v>
      </c>
      <c r="AN9" s="18">
        <f t="shared" si="49"/>
        <v>0</v>
      </c>
      <c r="AO9" s="18">
        <f t="shared" si="5"/>
        <v>0</v>
      </c>
      <c r="AP9" s="18">
        <f t="shared" ref="AP9:AS9" si="50">IF(OR(L10=""),"",(L10-L9)*100)</f>
        <v>2250</v>
      </c>
      <c r="AQ9" s="18">
        <f t="shared" si="50"/>
        <v>0</v>
      </c>
      <c r="AR9" s="18">
        <f t="shared" si="50"/>
        <v>1660.00000000058</v>
      </c>
      <c r="AS9" s="18">
        <f t="shared" si="50"/>
        <v>2419.99999999971</v>
      </c>
      <c r="AT9" s="18">
        <f t="shared" si="7"/>
        <v>6330.00000000029</v>
      </c>
      <c r="AU9" s="18">
        <f t="shared" ref="AU9:AY9" si="51">IF(OR(P10=""),"",(P10-P9)*1000)</f>
        <v>0</v>
      </c>
      <c r="AV9" s="18">
        <f t="shared" si="51"/>
        <v>3899.99999999964</v>
      </c>
      <c r="AW9" s="18">
        <f t="shared" si="51"/>
        <v>2100.00000000036</v>
      </c>
      <c r="AX9" s="18">
        <f t="shared" si="51"/>
        <v>5000</v>
      </c>
      <c r="AY9" s="18">
        <f t="shared" si="51"/>
        <v>0</v>
      </c>
      <c r="AZ9" s="18">
        <f t="shared" si="9"/>
        <v>11000</v>
      </c>
      <c r="BA9" s="18">
        <f t="shared" si="10"/>
        <v>7200.00000000437</v>
      </c>
      <c r="BB9" s="18">
        <f t="shared" si="11"/>
        <v>1127.99999999988</v>
      </c>
      <c r="BC9" s="18">
        <f t="shared" si="36"/>
        <v>1427.99999999988</v>
      </c>
      <c r="BD9" s="18">
        <f t="shared" si="12"/>
        <v>15109.9999999817</v>
      </c>
      <c r="BE9" s="18">
        <f t="shared" si="13"/>
        <v>50199.9999999862</v>
      </c>
      <c r="BF9" s="18">
        <f t="shared" si="14"/>
        <v>72.0999999999985</v>
      </c>
      <c r="BG9" s="21">
        <f t="shared" si="26"/>
        <v>0.28574193291318</v>
      </c>
      <c r="BH9" s="21">
        <f t="shared" si="27"/>
        <v>0.0455593312955722</v>
      </c>
      <c r="BI9" s="21">
        <f t="shared" si="28"/>
        <v>0</v>
      </c>
      <c r="BJ9" s="21">
        <f t="shared" si="29"/>
        <v>0.0360308054848807</v>
      </c>
      <c r="BK9" s="21">
        <f t="shared" ref="BK9:BO9" si="52">IF(OR($AD9=0),"",AZ9/$AD9)</f>
        <v>0.0626127741443395</v>
      </c>
      <c r="BL9" s="21">
        <f t="shared" si="52"/>
        <v>0.0409829067126834</v>
      </c>
      <c r="BM9" s="21">
        <f t="shared" si="52"/>
        <v>0.00642065538498252</v>
      </c>
      <c r="BN9" s="21">
        <f t="shared" si="52"/>
        <v>0.00812827649800996</v>
      </c>
      <c r="BO9" s="21">
        <f t="shared" si="52"/>
        <v>0.0860071833927115</v>
      </c>
    </row>
    <row r="10" spans="1:67">
      <c r="A10" s="9">
        <f t="shared" si="20"/>
        <v>44262</v>
      </c>
      <c r="B10" s="10">
        <v>15903.22</v>
      </c>
      <c r="C10" s="8">
        <v>86215.6</v>
      </c>
      <c r="D10" s="8">
        <v>55304.2</v>
      </c>
      <c r="E10" s="8">
        <v>55800.2</v>
      </c>
      <c r="F10" s="8">
        <v>3503.54</v>
      </c>
      <c r="G10" s="8">
        <v>109172.4</v>
      </c>
      <c r="H10" s="8">
        <v>5596.3</v>
      </c>
      <c r="I10" s="8">
        <v>2566.3</v>
      </c>
      <c r="J10" s="8">
        <v>967</v>
      </c>
      <c r="K10" s="8">
        <v>56</v>
      </c>
      <c r="L10" s="8">
        <v>87732.7</v>
      </c>
      <c r="M10" s="8">
        <v>61126.9</v>
      </c>
      <c r="N10" s="8">
        <v>69392</v>
      </c>
      <c r="O10" s="8">
        <v>99555.7</v>
      </c>
      <c r="P10" s="8">
        <v>5230.2</v>
      </c>
      <c r="Q10" s="8">
        <v>7108.9</v>
      </c>
      <c r="R10" s="8">
        <v>4309.1</v>
      </c>
      <c r="S10" s="8">
        <v>4958.6</v>
      </c>
      <c r="T10" s="8">
        <v>6009.1</v>
      </c>
      <c r="U10" s="8">
        <v>16722.7</v>
      </c>
      <c r="V10" s="8">
        <v>49261.6</v>
      </c>
      <c r="W10" s="8">
        <v>49892.2</v>
      </c>
      <c r="X10" s="8">
        <v>1207.9</v>
      </c>
      <c r="Y10" s="8">
        <v>979.3</v>
      </c>
      <c r="Z10" s="16">
        <f t="shared" si="21"/>
        <v>52079.4</v>
      </c>
      <c r="AA10" s="8">
        <v>57030.6</v>
      </c>
      <c r="AB10" s="14">
        <v>1966</v>
      </c>
      <c r="AC10" s="7">
        <f t="shared" si="31"/>
        <v>58996.6</v>
      </c>
      <c r="AD10" s="17">
        <v>166645</v>
      </c>
      <c r="AE10" s="18">
        <f t="shared" ref="AE10:AI10" si="53">IF(OR(C11=""),"",(C11-C10)*80)</f>
        <v>3871.99999999953</v>
      </c>
      <c r="AF10" s="18">
        <f t="shared" si="53"/>
        <v>2144.00000000023</v>
      </c>
      <c r="AG10" s="18">
        <f t="shared" si="53"/>
        <v>-7.99999999988358</v>
      </c>
      <c r="AH10" s="18">
        <f t="shared" si="53"/>
        <v>4.79999999999563</v>
      </c>
      <c r="AI10" s="18">
        <f t="shared" si="53"/>
        <v>2040</v>
      </c>
      <c r="AJ10" s="18">
        <f t="shared" si="3"/>
        <v>8052.79999999988</v>
      </c>
      <c r="AK10" s="18">
        <f t="shared" ref="AK10:AN10" si="54">IF(OR(H11=""),"",(H11-H10)*80)</f>
        <v>0</v>
      </c>
      <c r="AL10" s="18">
        <f t="shared" si="54"/>
        <v>0</v>
      </c>
      <c r="AM10" s="18">
        <f t="shared" si="54"/>
        <v>0</v>
      </c>
      <c r="AN10" s="18">
        <f t="shared" si="54"/>
        <v>0</v>
      </c>
      <c r="AO10" s="18">
        <f t="shared" si="5"/>
        <v>0</v>
      </c>
      <c r="AP10" s="18">
        <f t="shared" ref="AP10:AS10" si="55">IF(OR(L11=""),"",(L11-L10)*100)</f>
        <v>1800</v>
      </c>
      <c r="AQ10" s="18">
        <f t="shared" si="55"/>
        <v>9.99999999985448</v>
      </c>
      <c r="AR10" s="18">
        <f t="shared" si="55"/>
        <v>1910.00000000058</v>
      </c>
      <c r="AS10" s="18">
        <f t="shared" si="55"/>
        <v>2500</v>
      </c>
      <c r="AT10" s="18">
        <f t="shared" si="7"/>
        <v>6220.00000000044</v>
      </c>
      <c r="AU10" s="18">
        <f t="shared" ref="AU10:AY10" si="56">IF(OR(P11=""),"",(P11-P10)*1000)</f>
        <v>100.000000000364</v>
      </c>
      <c r="AV10" s="18">
        <f t="shared" si="56"/>
        <v>1400.00000000055</v>
      </c>
      <c r="AW10" s="18">
        <f t="shared" si="56"/>
        <v>3699.99999999982</v>
      </c>
      <c r="AX10" s="18">
        <f t="shared" si="56"/>
        <v>5099.99999999945</v>
      </c>
      <c r="AY10" s="18">
        <f t="shared" si="56"/>
        <v>0</v>
      </c>
      <c r="AZ10" s="18">
        <f t="shared" si="9"/>
        <v>10300.0000000002</v>
      </c>
      <c r="BA10" s="18">
        <f t="shared" si="10"/>
        <v>7400.00000000146</v>
      </c>
      <c r="BB10" s="18">
        <f t="shared" si="11"/>
        <v>1096.00000000035</v>
      </c>
      <c r="BC10" s="18">
        <f t="shared" si="36"/>
        <v>1427.99999999988</v>
      </c>
      <c r="BD10" s="18">
        <f t="shared" si="12"/>
        <v>17403.2000000029</v>
      </c>
      <c r="BE10" s="18">
        <f t="shared" si="13"/>
        <v>51900.0000000051</v>
      </c>
      <c r="BF10" s="18">
        <f t="shared" si="14"/>
        <v>71</v>
      </c>
      <c r="BG10" s="21">
        <f t="shared" si="26"/>
        <v>0.311440487263375</v>
      </c>
      <c r="BH10" s="21">
        <f t="shared" si="27"/>
        <v>0.0483230820006594</v>
      </c>
      <c r="BI10" s="21">
        <f t="shared" si="28"/>
        <v>0</v>
      </c>
      <c r="BJ10" s="21">
        <f t="shared" si="29"/>
        <v>0.0373248522307926</v>
      </c>
      <c r="BK10" s="21">
        <f t="shared" ref="BK10:BO10" si="57">IF(OR($AD10=0),"",AZ10/$AD10)</f>
        <v>0.0618080350445569</v>
      </c>
      <c r="BL10" s="21">
        <f t="shared" si="57"/>
        <v>0.0444057727504663</v>
      </c>
      <c r="BM10" s="21">
        <f t="shared" si="57"/>
        <v>0.00657685499115095</v>
      </c>
      <c r="BN10" s="21">
        <f t="shared" si="57"/>
        <v>0.00856911398481733</v>
      </c>
      <c r="BO10" s="21">
        <f t="shared" si="57"/>
        <v>0.104432776260931</v>
      </c>
    </row>
    <row r="11" spans="1:67">
      <c r="A11" s="9">
        <f t="shared" si="20"/>
        <v>44263</v>
      </c>
      <c r="B11" s="10">
        <v>15908.41</v>
      </c>
      <c r="C11" s="8">
        <v>86264</v>
      </c>
      <c r="D11" s="8">
        <v>55331</v>
      </c>
      <c r="E11" s="8">
        <v>55800.1</v>
      </c>
      <c r="F11" s="8">
        <v>3503.6</v>
      </c>
      <c r="G11" s="8">
        <v>109197.9</v>
      </c>
      <c r="H11" s="8">
        <v>5596.3</v>
      </c>
      <c r="I11" s="8">
        <v>2566.3</v>
      </c>
      <c r="J11" s="8">
        <v>967</v>
      </c>
      <c r="K11" s="8">
        <v>56</v>
      </c>
      <c r="L11" s="8">
        <v>87750.7</v>
      </c>
      <c r="M11" s="8">
        <v>61127</v>
      </c>
      <c r="N11" s="8">
        <v>69411.1</v>
      </c>
      <c r="O11" s="8">
        <v>99580.7</v>
      </c>
      <c r="P11" s="8">
        <v>5230.3</v>
      </c>
      <c r="Q11" s="8">
        <v>7110.3</v>
      </c>
      <c r="R11" s="8">
        <v>4312.8</v>
      </c>
      <c r="S11" s="8">
        <v>4963.7</v>
      </c>
      <c r="T11" s="8">
        <v>6009.1</v>
      </c>
      <c r="U11" s="8">
        <v>16726.4</v>
      </c>
      <c r="V11" s="8">
        <v>49275.3</v>
      </c>
      <c r="W11" s="8">
        <v>49909.7</v>
      </c>
      <c r="X11" s="8">
        <v>1218.3</v>
      </c>
      <c r="Y11" s="8">
        <v>987.1</v>
      </c>
      <c r="Z11" s="16">
        <f t="shared" si="21"/>
        <v>52115.1</v>
      </c>
      <c r="AA11" s="8">
        <v>57072.6</v>
      </c>
      <c r="AB11" s="14">
        <v>1995</v>
      </c>
      <c r="AC11" s="7">
        <f t="shared" si="31"/>
        <v>59067.6</v>
      </c>
      <c r="AD11" s="17">
        <v>142367</v>
      </c>
      <c r="AE11" s="18">
        <f t="shared" ref="AE11:AI11" si="58">IF(OR(C12=""),"",(C12-C11)*80)</f>
        <v>3808.00000000047</v>
      </c>
      <c r="AF11" s="18">
        <f t="shared" si="58"/>
        <v>1152.00000000012</v>
      </c>
      <c r="AG11" s="18">
        <f t="shared" si="58"/>
        <v>7.99999999988358</v>
      </c>
      <c r="AH11" s="18">
        <f t="shared" si="58"/>
        <v>4.00000000001455</v>
      </c>
      <c r="AI11" s="18">
        <f t="shared" si="58"/>
        <v>2128.00000000047</v>
      </c>
      <c r="AJ11" s="18">
        <f t="shared" si="3"/>
        <v>7100.00000000095</v>
      </c>
      <c r="AK11" s="18">
        <f t="shared" ref="AK11:AN11" si="59">IF(OR(H12=""),"",(H12-H11)*80)</f>
        <v>0</v>
      </c>
      <c r="AL11" s="18">
        <f t="shared" si="59"/>
        <v>0</v>
      </c>
      <c r="AM11" s="18">
        <f t="shared" si="59"/>
        <v>0</v>
      </c>
      <c r="AN11" s="18">
        <f t="shared" si="59"/>
        <v>0</v>
      </c>
      <c r="AO11" s="18">
        <f t="shared" si="5"/>
        <v>0</v>
      </c>
      <c r="AP11" s="18">
        <f t="shared" ref="AP11:AS11" si="60">IF(OR(L12=""),"",(L12-L11)*100)</f>
        <v>1780.00000000029</v>
      </c>
      <c r="AQ11" s="18">
        <f t="shared" si="60"/>
        <v>9.99999999985448</v>
      </c>
      <c r="AR11" s="18">
        <f t="shared" si="60"/>
        <v>2019.99999999971</v>
      </c>
      <c r="AS11" s="18">
        <f t="shared" si="60"/>
        <v>1610.00000000058</v>
      </c>
      <c r="AT11" s="18">
        <f t="shared" si="7"/>
        <v>5420.00000000044</v>
      </c>
      <c r="AU11" s="18">
        <f t="shared" ref="AU11:AY11" si="61">IF(OR(P12=""),"",(P12-P11)*1000)</f>
        <v>3300.00000000018</v>
      </c>
      <c r="AV11" s="18">
        <f t="shared" si="61"/>
        <v>0</v>
      </c>
      <c r="AW11" s="18">
        <f t="shared" si="61"/>
        <v>4599.99999999945</v>
      </c>
      <c r="AX11" s="18">
        <f t="shared" si="61"/>
        <v>400.000000000546</v>
      </c>
      <c r="AY11" s="18">
        <f t="shared" si="61"/>
        <v>0</v>
      </c>
      <c r="AZ11" s="18">
        <f t="shared" si="9"/>
        <v>8300.00000000018</v>
      </c>
      <c r="BA11" s="18">
        <f t="shared" si="10"/>
        <v>7199.99999999709</v>
      </c>
      <c r="BB11" s="18">
        <f t="shared" si="11"/>
        <v>1127.99999999988</v>
      </c>
      <c r="BC11" s="18">
        <f t="shared" si="36"/>
        <v>1392.00000000012</v>
      </c>
      <c r="BD11" s="18">
        <f t="shared" si="12"/>
        <v>17459.9999999941</v>
      </c>
      <c r="BE11" s="18">
        <f t="shared" si="13"/>
        <v>47999.9999999927</v>
      </c>
      <c r="BF11" s="18">
        <f t="shared" si="14"/>
        <v>73.5999999999985</v>
      </c>
      <c r="BG11" s="21">
        <f t="shared" si="26"/>
        <v>0.337156784929041</v>
      </c>
      <c r="BH11" s="21">
        <f t="shared" si="27"/>
        <v>0.0498711077707681</v>
      </c>
      <c r="BI11" s="21">
        <f t="shared" si="28"/>
        <v>0</v>
      </c>
      <c r="BJ11" s="21">
        <f t="shared" si="29"/>
        <v>0.0380706202982463</v>
      </c>
      <c r="BK11" s="21">
        <f t="shared" ref="BK11:BO11" si="62">IF(OR($AD11=0),"",AZ11/$AD11)</f>
        <v>0.0583000273939901</v>
      </c>
      <c r="BL11" s="21">
        <f t="shared" si="62"/>
        <v>0.0505735177393433</v>
      </c>
      <c r="BM11" s="21">
        <f t="shared" si="62"/>
        <v>0.00792318444583284</v>
      </c>
      <c r="BN11" s="21">
        <f t="shared" si="62"/>
        <v>0.00977754676294448</v>
      </c>
      <c r="BO11" s="21">
        <f t="shared" si="62"/>
        <v>0.122640780517915</v>
      </c>
    </row>
    <row r="12" spans="1:67">
      <c r="A12" s="9">
        <f t="shared" si="20"/>
        <v>44264</v>
      </c>
      <c r="B12" s="10">
        <v>15913.21</v>
      </c>
      <c r="C12" s="8">
        <v>86311.6</v>
      </c>
      <c r="D12" s="8">
        <v>55345.4</v>
      </c>
      <c r="E12" s="8">
        <v>55800.2</v>
      </c>
      <c r="F12" s="8">
        <v>3503.65</v>
      </c>
      <c r="G12" s="8">
        <v>109224.5</v>
      </c>
      <c r="H12" s="8">
        <v>5596.3</v>
      </c>
      <c r="I12" s="8">
        <v>2566.3</v>
      </c>
      <c r="J12" s="8">
        <v>967</v>
      </c>
      <c r="K12" s="8">
        <v>56</v>
      </c>
      <c r="L12" s="8">
        <v>87768.5</v>
      </c>
      <c r="M12" s="8">
        <v>61127.1</v>
      </c>
      <c r="N12" s="8">
        <v>69431.3</v>
      </c>
      <c r="O12" s="8">
        <v>99596.8</v>
      </c>
      <c r="P12" s="8">
        <v>5233.6</v>
      </c>
      <c r="Q12" s="8">
        <v>7110.3</v>
      </c>
      <c r="R12" s="8">
        <v>4317.4</v>
      </c>
      <c r="S12" s="8">
        <v>4964.1</v>
      </c>
      <c r="T12" s="8">
        <v>6009.1</v>
      </c>
      <c r="U12" s="8">
        <v>16730</v>
      </c>
      <c r="V12" s="8">
        <v>49289.4</v>
      </c>
      <c r="W12" s="8">
        <v>49927.4</v>
      </c>
      <c r="X12" s="8">
        <v>1227.5</v>
      </c>
      <c r="Y12" s="8">
        <v>995</v>
      </c>
      <c r="Z12" s="16">
        <f t="shared" si="21"/>
        <v>52149.9</v>
      </c>
      <c r="AA12" s="8">
        <v>57115.2</v>
      </c>
      <c r="AB12" s="14">
        <v>2026</v>
      </c>
      <c r="AC12" s="7">
        <f t="shared" si="31"/>
        <v>59141.2</v>
      </c>
      <c r="AD12" s="17">
        <v>196635</v>
      </c>
      <c r="AE12" s="18">
        <f t="shared" ref="AE12:AI12" si="63">IF(OR(C13=""),"",(C13-C12)*80)</f>
        <v>3335.99999999977</v>
      </c>
      <c r="AF12" s="18">
        <f t="shared" si="63"/>
        <v>32.0000000001164</v>
      </c>
      <c r="AG12" s="18">
        <f t="shared" si="63"/>
        <v>0</v>
      </c>
      <c r="AH12" s="18">
        <f t="shared" si="63"/>
        <v>3.99999999997817</v>
      </c>
      <c r="AI12" s="18">
        <f t="shared" si="63"/>
        <v>1960</v>
      </c>
      <c r="AJ12" s="18">
        <f t="shared" si="3"/>
        <v>5331.99999999986</v>
      </c>
      <c r="AK12" s="18">
        <f t="shared" ref="AK12:AN12" si="64">IF(OR(H13=""),"",(H13-H12)*80)</f>
        <v>0</v>
      </c>
      <c r="AL12" s="18">
        <f t="shared" si="64"/>
        <v>0</v>
      </c>
      <c r="AM12" s="18">
        <f t="shared" si="64"/>
        <v>0</v>
      </c>
      <c r="AN12" s="18">
        <f t="shared" si="64"/>
        <v>0</v>
      </c>
      <c r="AO12" s="18">
        <f t="shared" si="5"/>
        <v>0</v>
      </c>
      <c r="AP12" s="18">
        <f t="shared" ref="AP12:AS12" si="65">IF(OR(L13=""),"",(L13-L12)*100)</f>
        <v>2330.00000000029</v>
      </c>
      <c r="AQ12" s="18">
        <f t="shared" si="65"/>
        <v>0</v>
      </c>
      <c r="AR12" s="18">
        <f t="shared" si="65"/>
        <v>2439.99999999942</v>
      </c>
      <c r="AS12" s="18">
        <f t="shared" si="65"/>
        <v>2419.99999999971</v>
      </c>
      <c r="AT12" s="18">
        <f t="shared" si="7"/>
        <v>7189.99999999942</v>
      </c>
      <c r="AU12" s="18">
        <f t="shared" ref="AU12:AY12" si="66">IF(OR(P13=""),"",(P13-P12)*1000)</f>
        <v>0</v>
      </c>
      <c r="AV12" s="18">
        <f t="shared" si="66"/>
        <v>0</v>
      </c>
      <c r="AW12" s="18">
        <f t="shared" si="66"/>
        <v>4500</v>
      </c>
      <c r="AX12" s="18">
        <f t="shared" si="66"/>
        <v>5000</v>
      </c>
      <c r="AY12" s="18">
        <f t="shared" si="66"/>
        <v>0</v>
      </c>
      <c r="AZ12" s="18">
        <f t="shared" si="9"/>
        <v>9500</v>
      </c>
      <c r="BA12" s="18">
        <f t="shared" si="10"/>
        <v>8800.00000000291</v>
      </c>
      <c r="BB12" s="18">
        <f t="shared" si="11"/>
        <v>1103.99999999965</v>
      </c>
      <c r="BC12" s="18">
        <f t="shared" si="36"/>
        <v>1383.99999999994</v>
      </c>
      <c r="BD12" s="18">
        <f t="shared" si="12"/>
        <v>20390.0000000062</v>
      </c>
      <c r="BE12" s="18">
        <f t="shared" si="13"/>
        <v>53700.000000008</v>
      </c>
      <c r="BF12" s="18">
        <f t="shared" si="14"/>
        <v>72.7000000000044</v>
      </c>
      <c r="BG12" s="21">
        <f t="shared" si="26"/>
        <v>0.27309482035247</v>
      </c>
      <c r="BH12" s="21">
        <f t="shared" si="27"/>
        <v>0.0271162305794994</v>
      </c>
      <c r="BI12" s="21">
        <f t="shared" si="28"/>
        <v>0</v>
      </c>
      <c r="BJ12" s="21">
        <f t="shared" si="29"/>
        <v>0.0365652096523987</v>
      </c>
      <c r="BK12" s="21">
        <f t="shared" ref="BK12:BO12" si="67">IF(OR($AD12=0),"",AZ12/$AD12)</f>
        <v>0.0483128639357185</v>
      </c>
      <c r="BL12" s="21">
        <f t="shared" si="67"/>
        <v>0.0447529686983645</v>
      </c>
      <c r="BM12" s="21">
        <f t="shared" si="67"/>
        <v>0.00561446334579119</v>
      </c>
      <c r="BN12" s="21">
        <f t="shared" si="67"/>
        <v>0.00703842144074016</v>
      </c>
      <c r="BO12" s="21">
        <f t="shared" si="67"/>
        <v>0.103694662699958</v>
      </c>
    </row>
    <row r="13" spans="1:67">
      <c r="A13" s="9">
        <f t="shared" si="20"/>
        <v>44265</v>
      </c>
      <c r="B13" s="10">
        <v>15918.58</v>
      </c>
      <c r="C13" s="8">
        <v>86353.3</v>
      </c>
      <c r="D13" s="8">
        <v>55345.8</v>
      </c>
      <c r="E13" s="8">
        <v>55800.2</v>
      </c>
      <c r="F13" s="8">
        <v>3503.7</v>
      </c>
      <c r="G13" s="8">
        <v>109249</v>
      </c>
      <c r="H13" s="8">
        <v>5596.3</v>
      </c>
      <c r="I13" s="8">
        <v>2566.3</v>
      </c>
      <c r="J13" s="8">
        <v>967</v>
      </c>
      <c r="K13" s="8">
        <v>56</v>
      </c>
      <c r="L13" s="8">
        <v>87791.8</v>
      </c>
      <c r="M13" s="8">
        <v>61127.1</v>
      </c>
      <c r="N13" s="8">
        <v>69455.7</v>
      </c>
      <c r="O13" s="8">
        <v>99621</v>
      </c>
      <c r="P13" s="8">
        <v>5233.6</v>
      </c>
      <c r="Q13" s="8">
        <v>7110.3</v>
      </c>
      <c r="R13" s="8">
        <v>4321.9</v>
      </c>
      <c r="S13" s="8">
        <v>4969.1</v>
      </c>
      <c r="T13" s="8">
        <v>6009.1</v>
      </c>
      <c r="U13" s="8">
        <v>16734.4</v>
      </c>
      <c r="V13" s="8">
        <v>49303.2</v>
      </c>
      <c r="W13" s="8">
        <v>49944.8</v>
      </c>
      <c r="X13" s="8">
        <v>1237</v>
      </c>
      <c r="Y13" s="8">
        <v>1002.7</v>
      </c>
      <c r="Z13" s="16">
        <f t="shared" si="21"/>
        <v>52184.5</v>
      </c>
      <c r="AA13" s="8">
        <v>57155.9</v>
      </c>
      <c r="AB13" s="14">
        <v>2058</v>
      </c>
      <c r="AC13" s="7">
        <f t="shared" si="31"/>
        <v>59213.9</v>
      </c>
      <c r="AD13" s="17">
        <v>155592</v>
      </c>
      <c r="AE13" s="18">
        <f t="shared" ref="AE13:AI13" si="68">IF(OR(C14=""),"",(C14-C13)*80)</f>
        <v>400</v>
      </c>
      <c r="AF13" s="18">
        <f t="shared" si="68"/>
        <v>2791.99999999953</v>
      </c>
      <c r="AG13" s="18">
        <f t="shared" si="68"/>
        <v>0</v>
      </c>
      <c r="AH13" s="18">
        <f t="shared" si="68"/>
        <v>4357.60000000002</v>
      </c>
      <c r="AI13" s="18">
        <f t="shared" si="68"/>
        <v>1471.99999999953</v>
      </c>
      <c r="AJ13" s="18">
        <f t="shared" si="3"/>
        <v>9021.59999999909</v>
      </c>
      <c r="AK13" s="18">
        <f t="shared" ref="AK13:AN13" si="69">IF(OR(H14=""),"",(H14-H13)*80)</f>
        <v>0</v>
      </c>
      <c r="AL13" s="18">
        <f t="shared" si="69"/>
        <v>0</v>
      </c>
      <c r="AM13" s="18">
        <f t="shared" si="69"/>
        <v>0</v>
      </c>
      <c r="AN13" s="18">
        <f t="shared" si="69"/>
        <v>0</v>
      </c>
      <c r="AO13" s="18">
        <f t="shared" si="5"/>
        <v>0</v>
      </c>
      <c r="AP13" s="18">
        <f t="shared" ref="AP13:AS13" si="70">IF(OR(L14=""),"",(L14-L13)*100)</f>
        <v>1489.99999999942</v>
      </c>
      <c r="AQ13" s="18">
        <f t="shared" si="70"/>
        <v>9.99999999985448</v>
      </c>
      <c r="AR13" s="18">
        <f t="shared" si="70"/>
        <v>1969.99999999971</v>
      </c>
      <c r="AS13" s="18">
        <f t="shared" si="70"/>
        <v>2250</v>
      </c>
      <c r="AT13" s="18">
        <f t="shared" si="7"/>
        <v>5719.99999999898</v>
      </c>
      <c r="AU13" s="18">
        <f t="shared" ref="AU13:AY13" si="71">IF(OR(P14=""),"",(P14-P13)*1000)</f>
        <v>3099.99999999945</v>
      </c>
      <c r="AV13" s="18">
        <f t="shared" si="71"/>
        <v>1699.99999999982</v>
      </c>
      <c r="AW13" s="18">
        <f t="shared" si="71"/>
        <v>3700.00000000073</v>
      </c>
      <c r="AX13" s="18">
        <f t="shared" si="71"/>
        <v>0</v>
      </c>
      <c r="AY13" s="18">
        <f t="shared" si="71"/>
        <v>0</v>
      </c>
      <c r="AZ13" s="18">
        <f t="shared" si="9"/>
        <v>8500</v>
      </c>
      <c r="BA13" s="18">
        <f t="shared" si="10"/>
        <v>7399.99999999418</v>
      </c>
      <c r="BB13" s="18">
        <f t="shared" si="11"/>
        <v>1136.00000000035</v>
      </c>
      <c r="BC13" s="18">
        <f t="shared" si="36"/>
        <v>1391.99999999983</v>
      </c>
      <c r="BD13" s="18">
        <f t="shared" si="12"/>
        <v>14530.4000000119</v>
      </c>
      <c r="BE13" s="18">
        <f t="shared" si="13"/>
        <v>47700.0000000044</v>
      </c>
      <c r="BF13" s="18">
        <f t="shared" si="14"/>
        <v>72.5999999999985</v>
      </c>
      <c r="BG13" s="21">
        <f t="shared" si="26"/>
        <v>0.30657103192969</v>
      </c>
      <c r="BH13" s="21">
        <f t="shared" si="27"/>
        <v>0.0579824155483514</v>
      </c>
      <c r="BI13" s="21">
        <f t="shared" si="28"/>
        <v>0</v>
      </c>
      <c r="BJ13" s="21">
        <f t="shared" si="29"/>
        <v>0.0367628155689173</v>
      </c>
      <c r="BK13" s="21">
        <f t="shared" ref="BK13:BO13" si="72">IF(OR($AD13=0),"",AZ13/$AD13)</f>
        <v>0.0546300581006736</v>
      </c>
      <c r="BL13" s="21">
        <f t="shared" si="72"/>
        <v>0.0475602858758431</v>
      </c>
      <c r="BM13" s="21">
        <f t="shared" si="72"/>
        <v>0.00730114658851579</v>
      </c>
      <c r="BN13" s="21">
        <f t="shared" si="72"/>
        <v>0.00894647539719154</v>
      </c>
      <c r="BO13" s="21">
        <f t="shared" si="72"/>
        <v>0.0933878348501976</v>
      </c>
    </row>
    <row r="14" spans="1:67">
      <c r="A14" s="9">
        <f t="shared" si="20"/>
        <v>44266</v>
      </c>
      <c r="B14" s="10">
        <v>15923.35</v>
      </c>
      <c r="C14" s="8">
        <v>86358.3</v>
      </c>
      <c r="D14" s="8">
        <v>55380.7</v>
      </c>
      <c r="E14" s="8">
        <v>55800.2</v>
      </c>
      <c r="F14" s="8">
        <v>3558.17</v>
      </c>
      <c r="G14" s="8">
        <v>109267.4</v>
      </c>
      <c r="H14" s="8">
        <v>5596.3</v>
      </c>
      <c r="I14" s="8">
        <v>2566.3</v>
      </c>
      <c r="J14" s="8">
        <v>967</v>
      </c>
      <c r="K14" s="8">
        <v>56</v>
      </c>
      <c r="L14" s="8">
        <v>87806.7</v>
      </c>
      <c r="M14" s="8">
        <v>61127.2</v>
      </c>
      <c r="N14" s="8">
        <v>69475.4</v>
      </c>
      <c r="O14" s="8">
        <v>99643.5</v>
      </c>
      <c r="P14" s="8">
        <v>5236.7</v>
      </c>
      <c r="Q14" s="8">
        <v>7112</v>
      </c>
      <c r="R14" s="8">
        <v>4325.6</v>
      </c>
      <c r="S14" s="8">
        <v>4969.1</v>
      </c>
      <c r="T14" s="8">
        <v>6009.1</v>
      </c>
      <c r="U14" s="8">
        <v>16738.1</v>
      </c>
      <c r="V14" s="8">
        <v>49317.4</v>
      </c>
      <c r="W14" s="8">
        <v>49962.1</v>
      </c>
      <c r="X14" s="8">
        <v>1246.7</v>
      </c>
      <c r="Y14" s="8">
        <v>1010.5</v>
      </c>
      <c r="Z14" s="16">
        <f t="shared" si="21"/>
        <v>52219.3</v>
      </c>
      <c r="AA14" s="8">
        <v>57197.5</v>
      </c>
      <c r="AB14" s="14">
        <v>2089</v>
      </c>
      <c r="AC14" s="7">
        <f t="shared" si="31"/>
        <v>59286.5</v>
      </c>
      <c r="AD14" s="17">
        <v>173011</v>
      </c>
      <c r="AE14" s="18">
        <f t="shared" ref="AE14:AI14" si="73">IF(OR(C15=""),"",(C15-C14)*80)</f>
        <v>0</v>
      </c>
      <c r="AF14" s="18">
        <f t="shared" si="73"/>
        <v>2680</v>
      </c>
      <c r="AG14" s="18">
        <f t="shared" si="73"/>
        <v>0</v>
      </c>
      <c r="AH14" s="18">
        <f t="shared" si="73"/>
        <v>2229.59999999999</v>
      </c>
      <c r="AI14" s="18">
        <f t="shared" si="73"/>
        <v>1520</v>
      </c>
      <c r="AJ14" s="18">
        <f t="shared" si="3"/>
        <v>6429.59999999999</v>
      </c>
      <c r="AK14" s="18">
        <f t="shared" ref="AK14:AN14" si="74">IF(OR(H15=""),"",(H15-H14)*80)</f>
        <v>0</v>
      </c>
      <c r="AL14" s="18">
        <f t="shared" si="74"/>
        <v>0</v>
      </c>
      <c r="AM14" s="18">
        <f t="shared" si="74"/>
        <v>0</v>
      </c>
      <c r="AN14" s="18">
        <f t="shared" si="74"/>
        <v>0</v>
      </c>
      <c r="AO14" s="18">
        <f t="shared" si="5"/>
        <v>0</v>
      </c>
      <c r="AP14" s="18">
        <f t="shared" ref="AP14:AS14" si="75">IF(OR(L15=""),"",(L15-L14)*100)</f>
        <v>1680.00000000029</v>
      </c>
      <c r="AQ14" s="18">
        <f t="shared" si="75"/>
        <v>10.0000000005821</v>
      </c>
      <c r="AR14" s="18">
        <f t="shared" si="75"/>
        <v>2100</v>
      </c>
      <c r="AS14" s="18">
        <f t="shared" si="75"/>
        <v>2469.99999999971</v>
      </c>
      <c r="AT14" s="18">
        <f t="shared" si="7"/>
        <v>6260.00000000058</v>
      </c>
      <c r="AU14" s="18">
        <f t="shared" ref="AU14:AY14" si="76">IF(OR(P15=""),"",(P15-P14)*1000)</f>
        <v>2100.00000000036</v>
      </c>
      <c r="AV14" s="18">
        <f t="shared" si="76"/>
        <v>0</v>
      </c>
      <c r="AW14" s="18">
        <f t="shared" si="76"/>
        <v>4799.99999999927</v>
      </c>
      <c r="AX14" s="18">
        <f t="shared" si="76"/>
        <v>2299.99999999927</v>
      </c>
      <c r="AY14" s="18">
        <f t="shared" si="76"/>
        <v>0</v>
      </c>
      <c r="AZ14" s="18">
        <f t="shared" si="9"/>
        <v>9199.99999999891</v>
      </c>
      <c r="BA14" s="18">
        <f t="shared" si="10"/>
        <v>8200.00000000437</v>
      </c>
      <c r="BB14" s="18">
        <f t="shared" si="11"/>
        <v>1127.99999999988</v>
      </c>
      <c r="BC14" s="18">
        <f t="shared" si="36"/>
        <v>1380</v>
      </c>
      <c r="BD14" s="18">
        <f t="shared" si="12"/>
        <v>17602.4000000006</v>
      </c>
      <c r="BE14" s="18">
        <f t="shared" si="13"/>
        <v>50200.0000000044</v>
      </c>
      <c r="BF14" s="18">
        <f t="shared" si="14"/>
        <v>60.5999999999985</v>
      </c>
      <c r="BG14" s="21">
        <f t="shared" si="26"/>
        <v>0.290154961245264</v>
      </c>
      <c r="BH14" s="21">
        <f t="shared" si="27"/>
        <v>0.0371629549566212</v>
      </c>
      <c r="BI14" s="21">
        <f t="shared" si="28"/>
        <v>0</v>
      </c>
      <c r="BJ14" s="21">
        <f t="shared" si="29"/>
        <v>0.0361826704660431</v>
      </c>
      <c r="BK14" s="21">
        <f t="shared" ref="BK14:BO14" si="77">IF(OR($AD14=0),"",AZ14/$AD14)</f>
        <v>0.0531758096305952</v>
      </c>
      <c r="BL14" s="21">
        <f t="shared" si="77"/>
        <v>0.0473958303229527</v>
      </c>
      <c r="BM14" s="21">
        <f t="shared" si="77"/>
        <v>0.00651981665905569</v>
      </c>
      <c r="BN14" s="21">
        <f t="shared" si="77"/>
        <v>0.00797637144459023</v>
      </c>
      <c r="BO14" s="21">
        <f t="shared" si="77"/>
        <v>0.101741507765406</v>
      </c>
    </row>
    <row r="15" spans="1:67">
      <c r="A15" s="9">
        <f t="shared" si="20"/>
        <v>44267</v>
      </c>
      <c r="B15" s="10">
        <v>15928.37</v>
      </c>
      <c r="C15" s="8">
        <v>86358.3</v>
      </c>
      <c r="D15" s="8">
        <v>55414.2</v>
      </c>
      <c r="E15" s="8">
        <v>55800.2</v>
      </c>
      <c r="F15" s="8">
        <v>3586.04</v>
      </c>
      <c r="G15" s="8">
        <v>109286.4</v>
      </c>
      <c r="H15" s="8">
        <v>5596.3</v>
      </c>
      <c r="I15" s="8">
        <v>2566.3</v>
      </c>
      <c r="J15" s="8">
        <v>967</v>
      </c>
      <c r="K15" s="8">
        <v>56</v>
      </c>
      <c r="L15" s="8">
        <v>87823.5</v>
      </c>
      <c r="M15" s="8">
        <v>61127.3</v>
      </c>
      <c r="N15" s="8">
        <v>69496.4</v>
      </c>
      <c r="O15" s="8">
        <v>99668.2</v>
      </c>
      <c r="P15" s="8">
        <v>5238.8</v>
      </c>
      <c r="Q15" s="8">
        <v>7112</v>
      </c>
      <c r="R15" s="8">
        <v>4330.4</v>
      </c>
      <c r="S15" s="8">
        <v>4971.4</v>
      </c>
      <c r="T15" s="8">
        <v>6009.1</v>
      </c>
      <c r="U15" s="8">
        <v>16742.2</v>
      </c>
      <c r="V15" s="8">
        <v>49331.5</v>
      </c>
      <c r="W15" s="8">
        <v>49979.4</v>
      </c>
      <c r="X15" s="8">
        <v>1256.2</v>
      </c>
      <c r="Y15" s="8">
        <v>1018.2</v>
      </c>
      <c r="Z15" s="16">
        <f t="shared" si="21"/>
        <v>52253.8</v>
      </c>
      <c r="AA15" s="8">
        <v>57234.1</v>
      </c>
      <c r="AB15" s="14">
        <v>2113</v>
      </c>
      <c r="AC15" s="7">
        <f t="shared" si="31"/>
        <v>59347.1</v>
      </c>
      <c r="AD15" s="17">
        <v>170745</v>
      </c>
      <c r="AE15" s="18">
        <f t="shared" ref="AE15:AI15" si="78">IF(OR(C16=""),"",(C16-C15)*80)</f>
        <v>0</v>
      </c>
      <c r="AF15" s="18">
        <f t="shared" si="78"/>
        <v>1688.00000000047</v>
      </c>
      <c r="AG15" s="18">
        <f t="shared" si="78"/>
        <v>0</v>
      </c>
      <c r="AH15" s="18">
        <f t="shared" si="78"/>
        <v>2409.59999999999</v>
      </c>
      <c r="AI15" s="18">
        <f t="shared" si="78"/>
        <v>2152.0000000007</v>
      </c>
      <c r="AJ15" s="18">
        <f t="shared" si="3"/>
        <v>6249.60000000116</v>
      </c>
      <c r="AK15" s="18">
        <f t="shared" ref="AK15:AN15" si="79">IF(OR(H16=""),"",(H16-H15)*80)</f>
        <v>0</v>
      </c>
      <c r="AL15" s="18">
        <f t="shared" si="79"/>
        <v>0</v>
      </c>
      <c r="AM15" s="18">
        <f t="shared" si="79"/>
        <v>0</v>
      </c>
      <c r="AN15" s="18">
        <f t="shared" si="79"/>
        <v>0</v>
      </c>
      <c r="AO15" s="18">
        <f t="shared" si="5"/>
        <v>0</v>
      </c>
      <c r="AP15" s="18">
        <f t="shared" ref="AP15:AS15" si="80">IF(OR(L16=""),"",(L16-L15)*100)</f>
        <v>1510.00000000058</v>
      </c>
      <c r="AQ15" s="18">
        <f t="shared" si="80"/>
        <v>-10.0000000005821</v>
      </c>
      <c r="AR15" s="18">
        <f t="shared" si="80"/>
        <v>2470.00000000116</v>
      </c>
      <c r="AS15" s="18">
        <f t="shared" si="80"/>
        <v>2490.00000000087</v>
      </c>
      <c r="AT15" s="18">
        <f t="shared" si="7"/>
        <v>6460.00000000204</v>
      </c>
      <c r="AU15" s="18">
        <f t="shared" ref="AU15:AY15" si="81">IF(OR(P16=""),"",(P16-P15)*1000)</f>
        <v>3699.99999999982</v>
      </c>
      <c r="AV15" s="18">
        <f t="shared" si="81"/>
        <v>0</v>
      </c>
      <c r="AW15" s="18">
        <f t="shared" si="81"/>
        <v>200.000000000728</v>
      </c>
      <c r="AX15" s="18">
        <f t="shared" si="81"/>
        <v>5100.00000000036</v>
      </c>
      <c r="AY15" s="18">
        <f t="shared" si="81"/>
        <v>0</v>
      </c>
      <c r="AZ15" s="18">
        <f t="shared" si="9"/>
        <v>9000.00000000091</v>
      </c>
      <c r="BA15" s="18">
        <f t="shared" si="10"/>
        <v>8799.99999999563</v>
      </c>
      <c r="BB15" s="18">
        <f t="shared" si="11"/>
        <v>1127.99999999988</v>
      </c>
      <c r="BC15" s="18">
        <f t="shared" si="36"/>
        <v>1403.99999999994</v>
      </c>
      <c r="BD15" s="18">
        <f t="shared" si="12"/>
        <v>17358.399999991</v>
      </c>
      <c r="BE15" s="18">
        <f t="shared" si="13"/>
        <v>50399.9999999905</v>
      </c>
      <c r="BF15" s="18">
        <f t="shared" si="14"/>
        <v>46.9000000000015</v>
      </c>
      <c r="BG15" s="21">
        <f t="shared" si="26"/>
        <v>0.295177018360658</v>
      </c>
      <c r="BH15" s="21">
        <f t="shared" si="27"/>
        <v>0.0366019502767352</v>
      </c>
      <c r="BI15" s="21">
        <f t="shared" si="28"/>
        <v>0</v>
      </c>
      <c r="BJ15" s="21">
        <f t="shared" si="29"/>
        <v>0.0378341971946589</v>
      </c>
      <c r="BK15" s="21">
        <f t="shared" ref="BK15:BO15" si="82">IF(OR($AD15=0),"",AZ15/$AD15)</f>
        <v>0.0527101818501327</v>
      </c>
      <c r="BL15" s="21">
        <f t="shared" si="82"/>
        <v>0.0515388444756545</v>
      </c>
      <c r="BM15" s="21">
        <f t="shared" si="82"/>
        <v>0.00660634279188195</v>
      </c>
      <c r="BN15" s="21">
        <f t="shared" si="82"/>
        <v>0.00822278836861953</v>
      </c>
      <c r="BO15" s="21">
        <f t="shared" si="82"/>
        <v>0.101662713402975</v>
      </c>
    </row>
    <row r="16" spans="1:67">
      <c r="A16" s="9">
        <f t="shared" si="20"/>
        <v>44268</v>
      </c>
      <c r="B16" s="10">
        <v>15933.41</v>
      </c>
      <c r="C16" s="8">
        <v>86358.3</v>
      </c>
      <c r="D16" s="8">
        <v>55435.3</v>
      </c>
      <c r="E16" s="8">
        <v>55800.2</v>
      </c>
      <c r="F16" s="8">
        <v>3616.16</v>
      </c>
      <c r="G16" s="8">
        <v>109313.3</v>
      </c>
      <c r="H16" s="8">
        <v>5596.3</v>
      </c>
      <c r="I16" s="8">
        <v>2566.3</v>
      </c>
      <c r="J16" s="8">
        <v>967</v>
      </c>
      <c r="K16" s="8">
        <v>56</v>
      </c>
      <c r="L16" s="8">
        <v>87838.6</v>
      </c>
      <c r="M16" s="8">
        <v>61127.2</v>
      </c>
      <c r="N16" s="8">
        <v>69521.1</v>
      </c>
      <c r="O16" s="8">
        <v>99693.1</v>
      </c>
      <c r="P16" s="8">
        <v>5242.5</v>
      </c>
      <c r="Q16" s="8">
        <v>7112</v>
      </c>
      <c r="R16" s="8">
        <v>4330.6</v>
      </c>
      <c r="S16" s="8">
        <v>4976.5</v>
      </c>
      <c r="T16" s="8">
        <v>6009.1</v>
      </c>
      <c r="U16" s="8">
        <v>16746.6</v>
      </c>
      <c r="V16" s="8">
        <v>49345.6</v>
      </c>
      <c r="W16" s="8">
        <v>49997.2</v>
      </c>
      <c r="X16" s="8">
        <v>1265.7</v>
      </c>
      <c r="Y16" s="8">
        <v>1026</v>
      </c>
      <c r="Z16" s="16">
        <f t="shared" si="21"/>
        <v>52288.9</v>
      </c>
      <c r="AA16" s="8">
        <v>57277</v>
      </c>
      <c r="AB16" s="14">
        <v>2117</v>
      </c>
      <c r="AC16" s="7">
        <f t="shared" si="31"/>
        <v>59394</v>
      </c>
      <c r="AD16" s="17">
        <v>171333</v>
      </c>
      <c r="AE16" s="18">
        <f t="shared" ref="AE16:AI16" si="83">IF(OR(C17=""),"",(C17-C16)*80)</f>
        <v>0</v>
      </c>
      <c r="AF16" s="18">
        <f t="shared" si="83"/>
        <v>2231.99999999953</v>
      </c>
      <c r="AG16" s="18">
        <f t="shared" si="83"/>
        <v>0</v>
      </c>
      <c r="AH16" s="18">
        <f t="shared" si="83"/>
        <v>2455.2</v>
      </c>
      <c r="AI16" s="18">
        <f t="shared" si="83"/>
        <v>1711.99999999953</v>
      </c>
      <c r="AJ16" s="18">
        <f t="shared" si="3"/>
        <v>6399.19999999907</v>
      </c>
      <c r="AK16" s="18">
        <f t="shared" ref="AK16:AN16" si="84">IF(OR(H17=""),"",(H17-H16)*80)</f>
        <v>0</v>
      </c>
      <c r="AL16" s="18">
        <f t="shared" si="84"/>
        <v>0</v>
      </c>
      <c r="AM16" s="18">
        <f t="shared" si="84"/>
        <v>0</v>
      </c>
      <c r="AN16" s="18">
        <f t="shared" si="84"/>
        <v>0</v>
      </c>
      <c r="AO16" s="18">
        <f t="shared" si="5"/>
        <v>0</v>
      </c>
      <c r="AP16" s="18">
        <f t="shared" ref="AP16:AS16" si="85">IF(OR(L17=""),"",(L17-L16)*100)</f>
        <v>1400</v>
      </c>
      <c r="AQ16" s="18">
        <f t="shared" si="85"/>
        <v>0</v>
      </c>
      <c r="AR16" s="18">
        <f t="shared" si="85"/>
        <v>2419.99999999971</v>
      </c>
      <c r="AS16" s="18">
        <f t="shared" si="85"/>
        <v>2409.99999999913</v>
      </c>
      <c r="AT16" s="18">
        <f t="shared" si="7"/>
        <v>6229.99999999884</v>
      </c>
      <c r="AU16" s="18">
        <f t="shared" ref="AU16:AY16" si="86">IF(OR(P17=""),"",(P17-P16)*1000)</f>
        <v>1199.99999999982</v>
      </c>
      <c r="AV16" s="18">
        <f t="shared" si="86"/>
        <v>100.000000000364</v>
      </c>
      <c r="AW16" s="18">
        <f t="shared" si="86"/>
        <v>2699.99999999982</v>
      </c>
      <c r="AX16" s="18">
        <f t="shared" si="86"/>
        <v>4699.99999999982</v>
      </c>
      <c r="AY16" s="18">
        <f t="shared" si="86"/>
        <v>0</v>
      </c>
      <c r="AZ16" s="18">
        <f t="shared" si="9"/>
        <v>8699.99999999982</v>
      </c>
      <c r="BA16" s="18">
        <f t="shared" si="10"/>
        <v>8000</v>
      </c>
      <c r="BB16" s="18">
        <f t="shared" si="11"/>
        <v>1120</v>
      </c>
      <c r="BC16" s="18">
        <f t="shared" si="36"/>
        <v>1344.00000000023</v>
      </c>
      <c r="BD16" s="18">
        <f t="shared" si="12"/>
        <v>17306.8000000006</v>
      </c>
      <c r="BE16" s="18">
        <f t="shared" si="13"/>
        <v>49099.9999999985</v>
      </c>
      <c r="BF16" s="18">
        <f t="shared" si="14"/>
        <v>44.0999999999985</v>
      </c>
      <c r="BG16" s="21">
        <f t="shared" si="26"/>
        <v>0.286576433028071</v>
      </c>
      <c r="BH16" s="21">
        <f t="shared" si="27"/>
        <v>0.0373494890067825</v>
      </c>
      <c r="BI16" s="21">
        <f t="shared" si="28"/>
        <v>0</v>
      </c>
      <c r="BJ16" s="21">
        <f t="shared" si="29"/>
        <v>0.0363619384473443</v>
      </c>
      <c r="BK16" s="21">
        <f t="shared" ref="BK16:BO16" si="87">IF(OR($AD16=0),"",AZ16/$AD16)</f>
        <v>0.0507783089072147</v>
      </c>
      <c r="BL16" s="21">
        <f t="shared" si="87"/>
        <v>0.0466926978457157</v>
      </c>
      <c r="BM16" s="21">
        <f t="shared" si="87"/>
        <v>0.00653697769840019</v>
      </c>
      <c r="BN16" s="21">
        <f t="shared" si="87"/>
        <v>0.00784437323808159</v>
      </c>
      <c r="BO16" s="21">
        <f t="shared" si="87"/>
        <v>0.101012647884532</v>
      </c>
    </row>
    <row r="17" spans="1:67">
      <c r="A17" s="9">
        <f t="shared" si="20"/>
        <v>44269</v>
      </c>
      <c r="B17" s="10">
        <v>15938.32</v>
      </c>
      <c r="C17" s="8">
        <v>86358.3</v>
      </c>
      <c r="D17" s="8">
        <v>55463.2</v>
      </c>
      <c r="E17" s="8">
        <v>55800.2</v>
      </c>
      <c r="F17" s="8">
        <v>3646.85</v>
      </c>
      <c r="G17" s="8">
        <v>109334.7</v>
      </c>
      <c r="H17" s="8">
        <v>5596.3</v>
      </c>
      <c r="I17" s="8">
        <v>2566.3</v>
      </c>
      <c r="J17" s="8">
        <v>967</v>
      </c>
      <c r="K17" s="8">
        <v>56</v>
      </c>
      <c r="L17" s="8">
        <v>87852.6</v>
      </c>
      <c r="M17" s="8">
        <v>61127.2</v>
      </c>
      <c r="N17" s="8">
        <v>69545.3</v>
      </c>
      <c r="O17" s="8">
        <v>99717.2</v>
      </c>
      <c r="P17" s="8">
        <v>5243.7</v>
      </c>
      <c r="Q17" s="8">
        <v>7112.1</v>
      </c>
      <c r="R17" s="8">
        <v>4333.3</v>
      </c>
      <c r="S17" s="8">
        <v>4981.2</v>
      </c>
      <c r="T17" s="8">
        <v>6009.1</v>
      </c>
      <c r="U17" s="8">
        <v>16750.6</v>
      </c>
      <c r="V17" s="8">
        <v>49359.6</v>
      </c>
      <c r="W17" s="8">
        <v>50014.2</v>
      </c>
      <c r="X17" s="8">
        <v>1274.8</v>
      </c>
      <c r="Y17" s="8">
        <v>1033.5</v>
      </c>
      <c r="Z17" s="16">
        <f t="shared" si="21"/>
        <v>52322.5</v>
      </c>
      <c r="AA17" s="8">
        <v>57320.1</v>
      </c>
      <c r="AB17" s="14">
        <v>2118</v>
      </c>
      <c r="AC17" s="7">
        <f t="shared" si="31"/>
        <v>59438.1</v>
      </c>
      <c r="AD17" s="17">
        <v>148407</v>
      </c>
      <c r="AE17" s="18">
        <f t="shared" ref="AE17:AI17" si="88">IF(OR(C18=""),"",(C18-C17)*80)</f>
        <v>0</v>
      </c>
      <c r="AF17" s="18">
        <f t="shared" si="88"/>
        <v>824.000000000233</v>
      </c>
      <c r="AG17" s="18">
        <f t="shared" si="88"/>
        <v>0</v>
      </c>
      <c r="AH17" s="18">
        <f t="shared" si="88"/>
        <v>2491.19999999999</v>
      </c>
      <c r="AI17" s="18">
        <f t="shared" si="88"/>
        <v>2024.00000000023</v>
      </c>
      <c r="AJ17" s="18">
        <f t="shared" si="3"/>
        <v>5339.20000000046</v>
      </c>
      <c r="AK17" s="18">
        <f t="shared" ref="AK17:AN17" si="89">IF(OR(H18=""),"",(H18-H17)*80)</f>
        <v>0</v>
      </c>
      <c r="AL17" s="18">
        <f t="shared" si="89"/>
        <v>0</v>
      </c>
      <c r="AM17" s="18">
        <f t="shared" si="89"/>
        <v>0</v>
      </c>
      <c r="AN17" s="18">
        <f t="shared" si="89"/>
        <v>0</v>
      </c>
      <c r="AO17" s="18">
        <f t="shared" si="5"/>
        <v>0</v>
      </c>
      <c r="AP17" s="18">
        <f t="shared" ref="AP17:AS17" si="90">IF(OR(L18=""),"",(L18-L17)*100)</f>
        <v>1919.99999999971</v>
      </c>
      <c r="AQ17" s="18">
        <f t="shared" si="90"/>
        <v>0</v>
      </c>
      <c r="AR17" s="18">
        <f t="shared" si="90"/>
        <v>1280.00000000029</v>
      </c>
      <c r="AS17" s="18">
        <f t="shared" si="90"/>
        <v>2510.00000000058</v>
      </c>
      <c r="AT17" s="18">
        <f t="shared" si="7"/>
        <v>5710.00000000058</v>
      </c>
      <c r="AU17" s="18">
        <f t="shared" ref="AU17:AY17" si="91">IF(OR(P18=""),"",(P18-P17)*1000)</f>
        <v>3600.00000000036</v>
      </c>
      <c r="AV17" s="18">
        <f t="shared" si="91"/>
        <v>0</v>
      </c>
      <c r="AW17" s="18">
        <f t="shared" si="91"/>
        <v>1099.99999999945</v>
      </c>
      <c r="AX17" s="18">
        <f t="shared" si="91"/>
        <v>4900.00000000055</v>
      </c>
      <c r="AY17" s="18">
        <f t="shared" si="91"/>
        <v>0</v>
      </c>
      <c r="AZ17" s="18">
        <f t="shared" si="9"/>
        <v>9600.00000000036</v>
      </c>
      <c r="BA17" s="18">
        <f t="shared" si="10"/>
        <v>6600.00000000582</v>
      </c>
      <c r="BB17" s="18">
        <f t="shared" si="11"/>
        <v>1120</v>
      </c>
      <c r="BC17" s="18">
        <f t="shared" si="36"/>
        <v>1344.00000000023</v>
      </c>
      <c r="BD17" s="18">
        <f t="shared" si="12"/>
        <v>17786.7999999925</v>
      </c>
      <c r="BE17" s="18">
        <f t="shared" si="13"/>
        <v>47500</v>
      </c>
      <c r="BF17" s="18">
        <f t="shared" si="14"/>
        <v>51.2000000000044</v>
      </c>
      <c r="BG17" s="21">
        <f t="shared" si="26"/>
        <v>0.320065765091943</v>
      </c>
      <c r="BH17" s="21">
        <f t="shared" si="27"/>
        <v>0.0359767396416642</v>
      </c>
      <c r="BI17" s="21">
        <f t="shared" si="28"/>
        <v>0</v>
      </c>
      <c r="BJ17" s="21">
        <f t="shared" si="29"/>
        <v>0.0384752740773722</v>
      </c>
      <c r="BK17" s="21">
        <f t="shared" ref="BK17:BO17" si="92">IF(OR($AD17=0),"",AZ17/$AD17)</f>
        <v>0.0646869756817425</v>
      </c>
      <c r="BL17" s="21">
        <f t="shared" si="92"/>
        <v>0.0444722957812355</v>
      </c>
      <c r="BM17" s="21">
        <f t="shared" si="92"/>
        <v>0.00754681382953634</v>
      </c>
      <c r="BN17" s="21">
        <f t="shared" si="92"/>
        <v>0.00905617659544518</v>
      </c>
      <c r="BO17" s="21">
        <f t="shared" si="92"/>
        <v>0.119851489484947</v>
      </c>
    </row>
    <row r="18" spans="1:67">
      <c r="A18" s="9">
        <f t="shared" si="20"/>
        <v>44270</v>
      </c>
      <c r="B18" s="10">
        <v>15943.07</v>
      </c>
      <c r="C18" s="8">
        <v>86358.3</v>
      </c>
      <c r="D18" s="8">
        <v>55473.5</v>
      </c>
      <c r="E18" s="8">
        <v>55800.2</v>
      </c>
      <c r="F18" s="8">
        <v>3677.99</v>
      </c>
      <c r="G18" s="8">
        <v>109360</v>
      </c>
      <c r="H18" s="8">
        <v>5596.3</v>
      </c>
      <c r="I18" s="8">
        <v>2566.3</v>
      </c>
      <c r="J18" s="8">
        <v>967</v>
      </c>
      <c r="K18" s="8">
        <v>56</v>
      </c>
      <c r="L18" s="8">
        <v>87871.8</v>
      </c>
      <c r="M18" s="8">
        <v>61127.2</v>
      </c>
      <c r="N18" s="8">
        <v>69558.1</v>
      </c>
      <c r="O18" s="8">
        <v>99742.3</v>
      </c>
      <c r="P18" s="8">
        <v>5247.3</v>
      </c>
      <c r="Q18" s="8">
        <v>7112.1</v>
      </c>
      <c r="R18" s="8">
        <v>4334.4</v>
      </c>
      <c r="S18" s="8">
        <v>4986.1</v>
      </c>
      <c r="T18" s="8">
        <v>6009.1</v>
      </c>
      <c r="U18" s="8">
        <v>16753.9</v>
      </c>
      <c r="V18" s="8">
        <v>49373.6</v>
      </c>
      <c r="W18" s="8">
        <v>50031.8</v>
      </c>
      <c r="X18" s="8">
        <v>1283</v>
      </c>
      <c r="Y18" s="8">
        <v>1041.3</v>
      </c>
      <c r="Z18" s="16">
        <f t="shared" si="21"/>
        <v>52356.1</v>
      </c>
      <c r="AA18" s="8">
        <v>57364.3</v>
      </c>
      <c r="AB18" s="14">
        <v>2125</v>
      </c>
      <c r="AC18" s="7">
        <f t="shared" si="31"/>
        <v>59489.3</v>
      </c>
      <c r="AD18" s="17">
        <v>158293</v>
      </c>
      <c r="AE18" s="18">
        <f t="shared" ref="AE18:AI18" si="93">IF(OR(C19=""),"",(C19-C18)*80)</f>
        <v>0</v>
      </c>
      <c r="AF18" s="18">
        <f t="shared" si="93"/>
        <v>2600</v>
      </c>
      <c r="AG18" s="18">
        <f t="shared" si="93"/>
        <v>0</v>
      </c>
      <c r="AH18" s="18">
        <f t="shared" si="93"/>
        <v>2183.20000000003</v>
      </c>
      <c r="AI18" s="18">
        <f t="shared" si="93"/>
        <v>1728.00000000047</v>
      </c>
      <c r="AJ18" s="18">
        <f t="shared" si="3"/>
        <v>6511.2000000005</v>
      </c>
      <c r="AK18" s="18">
        <f t="shared" ref="AK18:AN18" si="94">IF(OR(H19=""),"",(H19-H18)*80)</f>
        <v>0</v>
      </c>
      <c r="AL18" s="18">
        <f t="shared" si="94"/>
        <v>0</v>
      </c>
      <c r="AM18" s="18">
        <f t="shared" si="94"/>
        <v>0</v>
      </c>
      <c r="AN18" s="18">
        <f t="shared" si="94"/>
        <v>0</v>
      </c>
      <c r="AO18" s="18">
        <f t="shared" si="5"/>
        <v>0</v>
      </c>
      <c r="AP18" s="18">
        <f t="shared" ref="AP18:AS18" si="95">IF(OR(L19=""),"",(L19-L18)*100)</f>
        <v>1480.00000000029</v>
      </c>
      <c r="AQ18" s="18">
        <f t="shared" si="95"/>
        <v>0</v>
      </c>
      <c r="AR18" s="18">
        <f t="shared" si="95"/>
        <v>1969.99999999971</v>
      </c>
      <c r="AS18" s="18">
        <f t="shared" si="95"/>
        <v>2500</v>
      </c>
      <c r="AT18" s="18">
        <f t="shared" si="7"/>
        <v>5950</v>
      </c>
      <c r="AU18" s="18">
        <f t="shared" ref="AU18:AY18" si="96">IF(OR(P19=""),"",(P19-P18)*1000)</f>
        <v>3000</v>
      </c>
      <c r="AV18" s="18">
        <f t="shared" si="96"/>
        <v>4399.99999999964</v>
      </c>
      <c r="AW18" s="18">
        <f t="shared" si="96"/>
        <v>1700.00000000073</v>
      </c>
      <c r="AX18" s="18">
        <f t="shared" si="96"/>
        <v>199.999999999818</v>
      </c>
      <c r="AY18" s="18">
        <f t="shared" si="96"/>
        <v>9000</v>
      </c>
      <c r="AZ18" s="18">
        <f t="shared" si="9"/>
        <v>18300.0000000002</v>
      </c>
      <c r="BA18" s="18">
        <f t="shared" si="10"/>
        <v>6799.99999999563</v>
      </c>
      <c r="BB18" s="18">
        <f t="shared" si="11"/>
        <v>1047.99999999988</v>
      </c>
      <c r="BC18" s="18">
        <f t="shared" si="36"/>
        <v>1359.99999999971</v>
      </c>
      <c r="BD18" s="18">
        <f t="shared" si="12"/>
        <v>14830.7999999997</v>
      </c>
      <c r="BE18" s="18">
        <f t="shared" si="13"/>
        <v>54799.9999999956</v>
      </c>
      <c r="BF18" s="18">
        <f t="shared" si="14"/>
        <v>47</v>
      </c>
      <c r="BG18" s="21">
        <f t="shared" si="26"/>
        <v>0.34619345138443</v>
      </c>
      <c r="BH18" s="21">
        <f t="shared" si="27"/>
        <v>0.0411338467272747</v>
      </c>
      <c r="BI18" s="21">
        <f t="shared" si="28"/>
        <v>0</v>
      </c>
      <c r="BJ18" s="21">
        <f t="shared" si="29"/>
        <v>0.0375885225499548</v>
      </c>
      <c r="BK18" s="21">
        <f t="shared" ref="BK18:BO18" si="97">IF(OR($AD18=0),"",AZ18/$AD18)</f>
        <v>0.115608397086417</v>
      </c>
      <c r="BL18" s="21">
        <f t="shared" si="97"/>
        <v>0.0429583114856351</v>
      </c>
      <c r="BM18" s="21">
        <f t="shared" si="97"/>
        <v>0.00662063388778963</v>
      </c>
      <c r="BN18" s="21">
        <f t="shared" si="97"/>
        <v>0.00859166229713069</v>
      </c>
      <c r="BO18" s="21">
        <f t="shared" si="97"/>
        <v>0.0936920773502285</v>
      </c>
    </row>
    <row r="19" spans="1:67">
      <c r="A19" s="9">
        <f t="shared" si="20"/>
        <v>44271</v>
      </c>
      <c r="B19" s="10">
        <v>15948.55</v>
      </c>
      <c r="C19" s="8">
        <v>86358.3</v>
      </c>
      <c r="D19" s="8">
        <v>55506</v>
      </c>
      <c r="E19" s="8">
        <v>55800.2</v>
      </c>
      <c r="F19" s="8">
        <v>3705.28</v>
      </c>
      <c r="G19" s="8">
        <v>109381.6</v>
      </c>
      <c r="H19" s="8">
        <v>5596.3</v>
      </c>
      <c r="I19" s="8">
        <v>2566.3</v>
      </c>
      <c r="J19" s="8">
        <v>967</v>
      </c>
      <c r="K19" s="8">
        <v>56</v>
      </c>
      <c r="L19" s="8">
        <v>87886.6</v>
      </c>
      <c r="M19" s="8">
        <v>61127.2</v>
      </c>
      <c r="N19" s="8">
        <v>69577.8</v>
      </c>
      <c r="O19" s="8">
        <v>99767.3</v>
      </c>
      <c r="P19" s="8">
        <v>5250.3</v>
      </c>
      <c r="Q19" s="8">
        <v>7116.5</v>
      </c>
      <c r="R19" s="8">
        <v>4336.1</v>
      </c>
      <c r="S19" s="8">
        <v>4986.3</v>
      </c>
      <c r="T19" s="8">
        <v>6018.1</v>
      </c>
      <c r="U19" s="8">
        <v>16757.3</v>
      </c>
      <c r="V19" s="8">
        <v>49386.7</v>
      </c>
      <c r="W19" s="8">
        <v>50049.1</v>
      </c>
      <c r="X19" s="8">
        <v>1292</v>
      </c>
      <c r="Y19" s="8">
        <v>1049</v>
      </c>
      <c r="Z19" s="16">
        <f t="shared" si="21"/>
        <v>52390.1</v>
      </c>
      <c r="AA19" s="8">
        <v>57409.3</v>
      </c>
      <c r="AB19" s="14">
        <v>2127</v>
      </c>
      <c r="AC19" s="7">
        <f t="shared" si="31"/>
        <v>59536.3</v>
      </c>
      <c r="AD19" s="17">
        <v>189948</v>
      </c>
      <c r="AE19" s="18">
        <f t="shared" ref="AE19:AI19" si="98">IF(OR(C20=""),"",(C20-C19)*80)</f>
        <v>2751.99999999953</v>
      </c>
      <c r="AF19" s="18">
        <f t="shared" si="98"/>
        <v>1087.99999999988</v>
      </c>
      <c r="AG19" s="18">
        <f t="shared" si="98"/>
        <v>0</v>
      </c>
      <c r="AH19" s="18">
        <f t="shared" si="98"/>
        <v>2268.79999999997</v>
      </c>
      <c r="AI19" s="18">
        <f t="shared" si="98"/>
        <v>2215.99999999977</v>
      </c>
      <c r="AJ19" s="18">
        <f t="shared" si="3"/>
        <v>8324.79999999916</v>
      </c>
      <c r="AK19" s="18">
        <f t="shared" ref="AK19:AN19" si="99">IF(OR(H20=""),"",(H20-H19)*80)</f>
        <v>0</v>
      </c>
      <c r="AL19" s="18">
        <f t="shared" si="99"/>
        <v>0</v>
      </c>
      <c r="AM19" s="18">
        <f t="shared" si="99"/>
        <v>0</v>
      </c>
      <c r="AN19" s="18">
        <f t="shared" si="99"/>
        <v>0</v>
      </c>
      <c r="AO19" s="18">
        <f t="shared" si="5"/>
        <v>0</v>
      </c>
      <c r="AP19" s="18">
        <f t="shared" ref="AP19:AS19" si="100">IF(OR(L20=""),"",(L20-L19)*100)</f>
        <v>2209.99999999913</v>
      </c>
      <c r="AQ19" s="18">
        <f t="shared" si="100"/>
        <v>0</v>
      </c>
      <c r="AR19" s="18">
        <f t="shared" si="100"/>
        <v>2480.00000000029</v>
      </c>
      <c r="AS19" s="18">
        <f t="shared" si="100"/>
        <v>2469.99999999971</v>
      </c>
      <c r="AT19" s="18">
        <f t="shared" si="7"/>
        <v>7159.99999999913</v>
      </c>
      <c r="AU19" s="18">
        <f t="shared" ref="AU19:AY19" si="101">IF(OR(P20=""),"",(P20-P19)*1000)</f>
        <v>0</v>
      </c>
      <c r="AV19" s="18">
        <f t="shared" si="101"/>
        <v>0</v>
      </c>
      <c r="AW19" s="18">
        <f t="shared" si="101"/>
        <v>4399.99999999964</v>
      </c>
      <c r="AX19" s="18">
        <f t="shared" si="101"/>
        <v>0</v>
      </c>
      <c r="AY19" s="18">
        <f t="shared" si="101"/>
        <v>8699.99999999982</v>
      </c>
      <c r="AZ19" s="18">
        <f t="shared" si="9"/>
        <v>13099.9999999995</v>
      </c>
      <c r="BA19" s="18">
        <f t="shared" si="10"/>
        <v>8599.99999999854</v>
      </c>
      <c r="BB19" s="18">
        <f t="shared" si="11"/>
        <v>1080</v>
      </c>
      <c r="BC19" s="18">
        <f t="shared" si="36"/>
        <v>1376.00000000006</v>
      </c>
      <c r="BD19" s="18">
        <f t="shared" si="12"/>
        <v>15559.200000008</v>
      </c>
      <c r="BE19" s="18">
        <f t="shared" si="13"/>
        <v>55200.0000000044</v>
      </c>
      <c r="BF19" s="18">
        <f t="shared" si="14"/>
        <v>47.5999999999985</v>
      </c>
      <c r="BG19" s="21">
        <f t="shared" si="26"/>
        <v>0.290605850022134</v>
      </c>
      <c r="BH19" s="21">
        <f t="shared" si="27"/>
        <v>0.0438267315265186</v>
      </c>
      <c r="BI19" s="21">
        <f t="shared" si="28"/>
        <v>0</v>
      </c>
      <c r="BJ19" s="21">
        <f t="shared" si="29"/>
        <v>0.0376945269231533</v>
      </c>
      <c r="BK19" s="21">
        <f t="shared" ref="BK19:BO19" si="102">IF(OR($AD19=0),"",AZ19/$AD19)</f>
        <v>0.0689662433929257</v>
      </c>
      <c r="BL19" s="21">
        <f t="shared" si="102"/>
        <v>0.0452755490976401</v>
      </c>
      <c r="BM19" s="21">
        <f t="shared" si="102"/>
        <v>0.00568576663086739</v>
      </c>
      <c r="BN19" s="21">
        <f t="shared" si="102"/>
        <v>0.00724408785562395</v>
      </c>
      <c r="BO19" s="21">
        <f t="shared" si="102"/>
        <v>0.0819129445954052</v>
      </c>
    </row>
    <row r="20" spans="1:67">
      <c r="A20" s="9">
        <f t="shared" si="20"/>
        <v>44272</v>
      </c>
      <c r="B20" s="10">
        <v>15954.07</v>
      </c>
      <c r="C20" s="8">
        <v>86392.7</v>
      </c>
      <c r="D20" s="8">
        <v>55519.6</v>
      </c>
      <c r="E20" s="8">
        <v>55800.2</v>
      </c>
      <c r="F20" s="8">
        <v>3733.64</v>
      </c>
      <c r="G20" s="8">
        <v>109409.3</v>
      </c>
      <c r="H20" s="8">
        <v>5596.3</v>
      </c>
      <c r="I20" s="8">
        <v>2566.3</v>
      </c>
      <c r="J20" s="8">
        <v>967</v>
      </c>
      <c r="K20" s="8">
        <v>56</v>
      </c>
      <c r="L20" s="8">
        <v>87908.7</v>
      </c>
      <c r="M20" s="8">
        <v>61127.2</v>
      </c>
      <c r="N20" s="8">
        <v>69602.6</v>
      </c>
      <c r="O20" s="8">
        <v>99792</v>
      </c>
      <c r="P20" s="8">
        <v>5250.3</v>
      </c>
      <c r="Q20" s="8">
        <v>7116.5</v>
      </c>
      <c r="R20" s="8">
        <v>4340.5</v>
      </c>
      <c r="S20" s="8">
        <v>4986.3</v>
      </c>
      <c r="T20" s="8">
        <v>6026.8</v>
      </c>
      <c r="U20" s="8">
        <v>16761.6</v>
      </c>
      <c r="V20" s="8">
        <v>49400.2</v>
      </c>
      <c r="W20" s="8">
        <v>50066.9</v>
      </c>
      <c r="X20" s="8">
        <v>1301</v>
      </c>
      <c r="Y20" s="8">
        <v>1056.6</v>
      </c>
      <c r="Z20" s="16">
        <f t="shared" si="21"/>
        <v>52424.5</v>
      </c>
      <c r="AA20" s="8">
        <v>57455.9</v>
      </c>
      <c r="AB20" s="14">
        <v>2128</v>
      </c>
      <c r="AC20" s="7">
        <f t="shared" si="31"/>
        <v>59583.9</v>
      </c>
      <c r="AD20" s="17">
        <v>162507</v>
      </c>
      <c r="AE20" s="18">
        <f t="shared" ref="AE20:AI20" si="103">IF(OR(C21=""),"",(C21-C20)*80)</f>
        <v>3840</v>
      </c>
      <c r="AF20" s="18">
        <f t="shared" si="103"/>
        <v>2560</v>
      </c>
      <c r="AG20" s="18">
        <f t="shared" si="103"/>
        <v>0</v>
      </c>
      <c r="AH20" s="18">
        <f t="shared" si="103"/>
        <v>4.79999999999563</v>
      </c>
      <c r="AI20" s="18">
        <f t="shared" si="103"/>
        <v>1855.99999999977</v>
      </c>
      <c r="AJ20" s="18">
        <f t="shared" si="3"/>
        <v>8260.79999999976</v>
      </c>
      <c r="AK20" s="18">
        <f t="shared" ref="AK20:AN20" si="104">IF(OR(H21=""),"",(H21-H20)*80)</f>
        <v>0</v>
      </c>
      <c r="AL20" s="18">
        <f t="shared" si="104"/>
        <v>0</v>
      </c>
      <c r="AM20" s="18">
        <f t="shared" si="104"/>
        <v>0</v>
      </c>
      <c r="AN20" s="18">
        <f t="shared" si="104"/>
        <v>0</v>
      </c>
      <c r="AO20" s="18">
        <f t="shared" si="5"/>
        <v>0</v>
      </c>
      <c r="AP20" s="18">
        <f t="shared" ref="AP20:AS20" si="105">IF(OR(L21=""),"",(L21-L20)*100)</f>
        <v>1510.00000000058</v>
      </c>
      <c r="AQ20" s="18">
        <f t="shared" si="105"/>
        <v>0</v>
      </c>
      <c r="AR20" s="18">
        <f t="shared" si="105"/>
        <v>2269.99999999971</v>
      </c>
      <c r="AS20" s="18">
        <f t="shared" si="105"/>
        <v>2469.99999999971</v>
      </c>
      <c r="AT20" s="18">
        <f t="shared" si="7"/>
        <v>6250</v>
      </c>
      <c r="AU20" s="18">
        <f t="shared" ref="AU20:AY20" si="106">IF(OR(P21=""),"",(P21-P20)*1000)</f>
        <v>0</v>
      </c>
      <c r="AV20" s="18">
        <f t="shared" si="106"/>
        <v>0</v>
      </c>
      <c r="AW20" s="18">
        <f t="shared" si="106"/>
        <v>4399.99999999964</v>
      </c>
      <c r="AX20" s="18">
        <f t="shared" si="106"/>
        <v>0</v>
      </c>
      <c r="AY20" s="18">
        <f t="shared" si="106"/>
        <v>8699.99999999982</v>
      </c>
      <c r="AZ20" s="18">
        <f t="shared" si="9"/>
        <v>13099.9999999995</v>
      </c>
      <c r="BA20" s="18">
        <f t="shared" si="10"/>
        <v>9000</v>
      </c>
      <c r="BB20" s="18">
        <f t="shared" si="11"/>
        <v>1128.00000000047</v>
      </c>
      <c r="BC20" s="18">
        <f t="shared" si="36"/>
        <v>1340</v>
      </c>
      <c r="BD20" s="18">
        <f t="shared" si="12"/>
        <v>12821.2000000054</v>
      </c>
      <c r="BE20" s="18">
        <f t="shared" si="13"/>
        <v>51900.0000000051</v>
      </c>
      <c r="BF20" s="18">
        <f t="shared" si="14"/>
        <v>45.1999999999971</v>
      </c>
      <c r="BG20" s="21">
        <f t="shared" si="26"/>
        <v>0.319370857870769</v>
      </c>
      <c r="BH20" s="21">
        <f t="shared" si="27"/>
        <v>0.0508335025568115</v>
      </c>
      <c r="BI20" s="21">
        <f t="shared" si="28"/>
        <v>0</v>
      </c>
      <c r="BJ20" s="21">
        <f t="shared" si="29"/>
        <v>0.0384598817281717</v>
      </c>
      <c r="BK20" s="21">
        <f t="shared" ref="BK20:BO20" si="107">IF(OR($AD20=0),"",AZ20/$AD20)</f>
        <v>0.0806119121022445</v>
      </c>
      <c r="BL20" s="21">
        <f t="shared" si="107"/>
        <v>0.0553822296885673</v>
      </c>
      <c r="BM20" s="21">
        <f t="shared" si="107"/>
        <v>0.0069412394543033</v>
      </c>
      <c r="BN20" s="21">
        <f t="shared" si="107"/>
        <v>0.00824579864252001</v>
      </c>
      <c r="BO20" s="21">
        <f t="shared" si="107"/>
        <v>0.0788962936981509</v>
      </c>
    </row>
    <row r="21" spans="1:67">
      <c r="A21" s="9">
        <f t="shared" si="20"/>
        <v>44273</v>
      </c>
      <c r="B21" s="10">
        <v>15959.26</v>
      </c>
      <c r="C21" s="8">
        <v>86440.7</v>
      </c>
      <c r="D21" s="8">
        <v>55551.6</v>
      </c>
      <c r="E21" s="8">
        <v>55800.2</v>
      </c>
      <c r="F21" s="8">
        <v>3733.7</v>
      </c>
      <c r="G21" s="8">
        <v>109432.5</v>
      </c>
      <c r="H21" s="8">
        <v>5596.3</v>
      </c>
      <c r="I21" s="8">
        <v>2566.3</v>
      </c>
      <c r="J21" s="8">
        <v>967</v>
      </c>
      <c r="K21" s="8">
        <v>56</v>
      </c>
      <c r="L21" s="8">
        <v>87923.8</v>
      </c>
      <c r="M21" s="8">
        <v>61127.2</v>
      </c>
      <c r="N21" s="8">
        <v>69625.3</v>
      </c>
      <c r="O21" s="8">
        <v>99816.7</v>
      </c>
      <c r="P21" s="8">
        <v>5250.3</v>
      </c>
      <c r="Q21" s="8">
        <v>7116.5</v>
      </c>
      <c r="R21" s="8">
        <v>4344.9</v>
      </c>
      <c r="S21" s="8">
        <v>4986.3</v>
      </c>
      <c r="T21" s="8">
        <v>6035.5</v>
      </c>
      <c r="U21" s="8">
        <v>16766.1</v>
      </c>
      <c r="V21" s="8">
        <v>49414.3</v>
      </c>
      <c r="W21" s="8">
        <v>50084.2</v>
      </c>
      <c r="X21" s="8">
        <v>1309.8</v>
      </c>
      <c r="Y21" s="8">
        <v>1064</v>
      </c>
      <c r="Z21" s="16">
        <f t="shared" si="21"/>
        <v>52458</v>
      </c>
      <c r="AA21" s="8">
        <v>57499.1</v>
      </c>
      <c r="AB21" s="14">
        <v>2130</v>
      </c>
      <c r="AC21" s="7">
        <f t="shared" si="31"/>
        <v>59629.1</v>
      </c>
      <c r="AD21" s="17">
        <v>168721</v>
      </c>
      <c r="AE21" s="18">
        <f t="shared" ref="AE21:AI21" si="108">IF(OR(C22=""),"",(C22-C21)*80)</f>
        <v>3832.0000000007</v>
      </c>
      <c r="AF21" s="18">
        <f t="shared" si="108"/>
        <v>2504.00000000023</v>
      </c>
      <c r="AG21" s="18">
        <f t="shared" si="108"/>
        <v>0</v>
      </c>
      <c r="AH21" s="18">
        <f t="shared" si="108"/>
        <v>40</v>
      </c>
      <c r="AI21" s="18">
        <f t="shared" si="108"/>
        <v>2360</v>
      </c>
      <c r="AJ21" s="18">
        <f t="shared" si="3"/>
        <v>8736.00000000093</v>
      </c>
      <c r="AK21" s="18">
        <f t="shared" ref="AK21:AN21" si="109">IF(OR(H22=""),"",(H22-H21)*80)</f>
        <v>0</v>
      </c>
      <c r="AL21" s="18">
        <f t="shared" si="109"/>
        <v>0</v>
      </c>
      <c r="AM21" s="18">
        <f t="shared" si="109"/>
        <v>0</v>
      </c>
      <c r="AN21" s="18">
        <f t="shared" si="109"/>
        <v>0</v>
      </c>
      <c r="AO21" s="18">
        <f t="shared" si="5"/>
        <v>0</v>
      </c>
      <c r="AP21" s="18">
        <f t="shared" ref="AP21:AS21" si="110">IF(OR(L22=""),"",(L22-L21)*100)</f>
        <v>1789.99999999942</v>
      </c>
      <c r="AQ21" s="18">
        <f t="shared" si="110"/>
        <v>0</v>
      </c>
      <c r="AR21" s="18">
        <f t="shared" si="110"/>
        <v>2069.99999999971</v>
      </c>
      <c r="AS21" s="18">
        <f t="shared" si="110"/>
        <v>2469.99999999971</v>
      </c>
      <c r="AT21" s="18">
        <f t="shared" si="7"/>
        <v>6329.99999999884</v>
      </c>
      <c r="AU21" s="18">
        <f t="shared" ref="AU21:AY21" si="111">IF(OR(P22=""),"",(P22-P21)*1000)</f>
        <v>899.999999999636</v>
      </c>
      <c r="AV21" s="18">
        <f t="shared" si="111"/>
        <v>0</v>
      </c>
      <c r="AW21" s="18">
        <f t="shared" si="111"/>
        <v>3500</v>
      </c>
      <c r="AX21" s="18">
        <f t="shared" si="111"/>
        <v>0</v>
      </c>
      <c r="AY21" s="18">
        <f t="shared" si="111"/>
        <v>8100.00000000036</v>
      </c>
      <c r="AZ21" s="18">
        <f t="shared" si="9"/>
        <v>12500</v>
      </c>
      <c r="BA21" s="18">
        <f t="shared" si="10"/>
        <v>8800.00000000291</v>
      </c>
      <c r="BB21" s="18">
        <f t="shared" si="11"/>
        <v>1183.99999999965</v>
      </c>
      <c r="BC21" s="18">
        <f t="shared" si="36"/>
        <v>1332.00000000012</v>
      </c>
      <c r="BD21" s="18">
        <f t="shared" si="12"/>
        <v>13317.999999991</v>
      </c>
      <c r="BE21" s="18">
        <f t="shared" si="13"/>
        <v>52199.9999999935</v>
      </c>
      <c r="BF21" s="18">
        <f t="shared" si="14"/>
        <v>45.2000000000044</v>
      </c>
      <c r="BG21" s="21">
        <f t="shared" si="26"/>
        <v>0.309386501976597</v>
      </c>
      <c r="BH21" s="21">
        <f t="shared" si="27"/>
        <v>0.0517777869974747</v>
      </c>
      <c r="BI21" s="21">
        <f t="shared" si="28"/>
        <v>0</v>
      </c>
      <c r="BJ21" s="21">
        <f t="shared" si="29"/>
        <v>0.0375175585730219</v>
      </c>
      <c r="BK21" s="21">
        <f t="shared" ref="BK21:BO21" si="112">IF(OR($AD21=0),"",AZ21/$AD21)</f>
        <v>0.0740868060288879</v>
      </c>
      <c r="BL21" s="21">
        <f t="shared" si="112"/>
        <v>0.0521571114443544</v>
      </c>
      <c r="BM21" s="21">
        <f t="shared" si="112"/>
        <v>0.00701750226705419</v>
      </c>
      <c r="BN21" s="21">
        <f t="shared" si="112"/>
        <v>0.00789469005043899</v>
      </c>
      <c r="BO21" s="21">
        <f t="shared" si="112"/>
        <v>0.078935046615365</v>
      </c>
    </row>
    <row r="22" spans="1:67">
      <c r="A22" s="9">
        <f t="shared" si="20"/>
        <v>44274</v>
      </c>
      <c r="B22" s="10">
        <v>15964.48</v>
      </c>
      <c r="C22" s="8">
        <v>86488.6</v>
      </c>
      <c r="D22" s="8">
        <v>55582.9</v>
      </c>
      <c r="E22" s="8">
        <v>55800.2</v>
      </c>
      <c r="F22" s="8">
        <v>3734.2</v>
      </c>
      <c r="G22" s="8">
        <v>109462</v>
      </c>
      <c r="H22" s="8">
        <v>5596.3</v>
      </c>
      <c r="I22" s="8">
        <v>2566.3</v>
      </c>
      <c r="J22" s="8">
        <v>967</v>
      </c>
      <c r="K22" s="8">
        <v>56</v>
      </c>
      <c r="L22" s="8">
        <v>87941.7</v>
      </c>
      <c r="M22" s="8">
        <v>61127.2</v>
      </c>
      <c r="N22" s="8">
        <v>69646</v>
      </c>
      <c r="O22" s="8">
        <v>99841.4</v>
      </c>
      <c r="P22" s="8">
        <v>5251.2</v>
      </c>
      <c r="Q22" s="8">
        <v>7116.5</v>
      </c>
      <c r="R22" s="8">
        <v>4348.4</v>
      </c>
      <c r="S22" s="8">
        <v>4986.3</v>
      </c>
      <c r="T22" s="8">
        <v>6043.6</v>
      </c>
      <c r="U22" s="8">
        <v>16770.5</v>
      </c>
      <c r="V22" s="8">
        <v>49429.1</v>
      </c>
      <c r="W22" s="8">
        <v>50101.5</v>
      </c>
      <c r="X22" s="8">
        <v>1318.5</v>
      </c>
      <c r="Y22" s="8">
        <v>1071.3</v>
      </c>
      <c r="Z22" s="16">
        <f t="shared" si="21"/>
        <v>52491.3</v>
      </c>
      <c r="AA22" s="8">
        <v>57543.3</v>
      </c>
      <c r="AB22" s="14">
        <v>2131</v>
      </c>
      <c r="AC22" s="7">
        <f t="shared" si="31"/>
        <v>59674.3</v>
      </c>
      <c r="AD22" s="17">
        <v>207229</v>
      </c>
      <c r="AE22" s="18">
        <f t="shared" ref="AE22:AI22" si="113">IF(OR(C23=""),"",(C23-C22)*80)</f>
        <v>3863.99999999907</v>
      </c>
      <c r="AF22" s="18">
        <f t="shared" si="113"/>
        <v>0</v>
      </c>
      <c r="AG22" s="18">
        <f t="shared" si="113"/>
        <v>0</v>
      </c>
      <c r="AH22" s="18">
        <f t="shared" si="113"/>
        <v>2334.40000000002</v>
      </c>
      <c r="AI22" s="18">
        <f t="shared" si="113"/>
        <v>1575.99999999977</v>
      </c>
      <c r="AJ22" s="18">
        <f t="shared" si="3"/>
        <v>7774.39999999886</v>
      </c>
      <c r="AK22" s="18">
        <f t="shared" ref="AK22:AN22" si="114">IF(OR(H23=""),"",(H23-H22)*80)</f>
        <v>0</v>
      </c>
      <c r="AL22" s="18">
        <f t="shared" si="114"/>
        <v>0</v>
      </c>
      <c r="AM22" s="18">
        <f t="shared" si="114"/>
        <v>0</v>
      </c>
      <c r="AN22" s="18">
        <f t="shared" si="114"/>
        <v>0</v>
      </c>
      <c r="AO22" s="18">
        <f t="shared" si="5"/>
        <v>0</v>
      </c>
      <c r="AP22" s="18">
        <f t="shared" ref="AP22:AS22" si="115">IF(OR(L23=""),"",(L23-L22)*100)</f>
        <v>2900</v>
      </c>
      <c r="AQ22" s="18">
        <f t="shared" si="115"/>
        <v>0</v>
      </c>
      <c r="AR22" s="18">
        <f t="shared" si="115"/>
        <v>2469.99999999971</v>
      </c>
      <c r="AS22" s="18">
        <f t="shared" si="115"/>
        <v>2470.00000000116</v>
      </c>
      <c r="AT22" s="18">
        <f t="shared" si="7"/>
        <v>7840.00000000087</v>
      </c>
      <c r="AU22" s="18">
        <f t="shared" ref="AU22:AY22" si="116">IF(OR(P23=""),"",(P23-P22)*1000)</f>
        <v>3500</v>
      </c>
      <c r="AV22" s="18">
        <f t="shared" si="116"/>
        <v>0</v>
      </c>
      <c r="AW22" s="18">
        <f t="shared" si="116"/>
        <v>200.000000000728</v>
      </c>
      <c r="AX22" s="18">
        <f t="shared" si="116"/>
        <v>99.9999999994543</v>
      </c>
      <c r="AY22" s="18">
        <f t="shared" si="116"/>
        <v>9199.99999999982</v>
      </c>
      <c r="AZ22" s="18">
        <f t="shared" si="9"/>
        <v>13000</v>
      </c>
      <c r="BA22" s="18">
        <f t="shared" si="10"/>
        <v>9599.99999999854</v>
      </c>
      <c r="BB22" s="18">
        <f t="shared" si="11"/>
        <v>1152.00000000012</v>
      </c>
      <c r="BC22" s="18">
        <f t="shared" si="36"/>
        <v>1295.99999999977</v>
      </c>
      <c r="BD22" s="18">
        <f t="shared" si="12"/>
        <v>11237.6000000069</v>
      </c>
      <c r="BE22" s="18">
        <f t="shared" si="13"/>
        <v>51900.0000000051</v>
      </c>
      <c r="BF22" s="18">
        <f t="shared" si="14"/>
        <v>49.7999999999956</v>
      </c>
      <c r="BG22" s="21">
        <f t="shared" si="26"/>
        <v>0.250447572492292</v>
      </c>
      <c r="BH22" s="21">
        <f t="shared" si="27"/>
        <v>0.0375159847318612</v>
      </c>
      <c r="BI22" s="21">
        <f t="shared" si="28"/>
        <v>0</v>
      </c>
      <c r="BJ22" s="21">
        <f t="shared" si="29"/>
        <v>0.037832542742574</v>
      </c>
      <c r="BK22" s="21">
        <f t="shared" ref="BK22:BO22" si="117">IF(OR($AD22=0),"",AZ22/$AD22)</f>
        <v>0.062732532608853</v>
      </c>
      <c r="BL22" s="21">
        <f t="shared" si="117"/>
        <v>0.0463255625419152</v>
      </c>
      <c r="BM22" s="21">
        <f t="shared" si="117"/>
        <v>0.00555906750503123</v>
      </c>
      <c r="BN22" s="21">
        <f t="shared" si="117"/>
        <v>0.00625395094315838</v>
      </c>
      <c r="BO22" s="21">
        <f t="shared" si="117"/>
        <v>0.0542279314188986</v>
      </c>
    </row>
    <row r="23" spans="1:67">
      <c r="A23" s="9">
        <f t="shared" si="20"/>
        <v>44275</v>
      </c>
      <c r="B23" s="10">
        <v>15969.67</v>
      </c>
      <c r="C23" s="8">
        <v>86536.9</v>
      </c>
      <c r="D23" s="8">
        <v>55582.9</v>
      </c>
      <c r="E23" s="8">
        <v>55800.2</v>
      </c>
      <c r="F23" s="8">
        <v>3763.38</v>
      </c>
      <c r="G23" s="8">
        <v>109481.7</v>
      </c>
      <c r="H23" s="8">
        <v>5596.3</v>
      </c>
      <c r="I23" s="8">
        <v>2566.3</v>
      </c>
      <c r="J23" s="8">
        <v>967</v>
      </c>
      <c r="K23" s="8">
        <v>56</v>
      </c>
      <c r="L23" s="8">
        <v>87970.7</v>
      </c>
      <c r="M23" s="8">
        <v>61127.2</v>
      </c>
      <c r="N23" s="8">
        <v>69670.7</v>
      </c>
      <c r="O23" s="8">
        <v>99866.1</v>
      </c>
      <c r="P23" s="8">
        <v>5254.7</v>
      </c>
      <c r="Q23" s="8">
        <v>7116.5</v>
      </c>
      <c r="R23" s="8">
        <v>4348.6</v>
      </c>
      <c r="S23" s="8">
        <v>4986.4</v>
      </c>
      <c r="T23" s="8">
        <v>6052.8</v>
      </c>
      <c r="U23" s="8">
        <v>16775.3</v>
      </c>
      <c r="V23" s="8">
        <v>49443.5</v>
      </c>
      <c r="W23" s="8">
        <v>50118.6</v>
      </c>
      <c r="X23" s="8">
        <v>1326.4</v>
      </c>
      <c r="Y23" s="8">
        <v>1078.7</v>
      </c>
      <c r="Z23" s="16">
        <f t="shared" si="21"/>
        <v>52523.7</v>
      </c>
      <c r="AA23" s="8">
        <v>57587.1</v>
      </c>
      <c r="AB23" s="14">
        <v>2137</v>
      </c>
      <c r="AC23" s="7">
        <f t="shared" si="31"/>
        <v>59724.1</v>
      </c>
      <c r="AD23" s="17">
        <v>205659</v>
      </c>
      <c r="AE23" s="18">
        <f t="shared" ref="AE23:AI23" si="118">IF(OR(C24=""),"",(C24-C23)*80)</f>
        <v>3720</v>
      </c>
      <c r="AF23" s="18">
        <f t="shared" si="118"/>
        <v>2047.99999999988</v>
      </c>
      <c r="AG23" s="18">
        <f t="shared" si="118"/>
        <v>0</v>
      </c>
      <c r="AH23" s="18">
        <f t="shared" si="118"/>
        <v>777.599999999984</v>
      </c>
      <c r="AI23" s="18">
        <f t="shared" si="118"/>
        <v>1575.99999999977</v>
      </c>
      <c r="AJ23" s="18">
        <f t="shared" si="3"/>
        <v>8121.59999999963</v>
      </c>
      <c r="AK23" s="18">
        <f t="shared" ref="AK23:AN23" si="119">IF(OR(H24=""),"",(H24-H23)*80)</f>
        <v>0</v>
      </c>
      <c r="AL23" s="18">
        <f t="shared" si="119"/>
        <v>0</v>
      </c>
      <c r="AM23" s="18">
        <f t="shared" si="119"/>
        <v>0</v>
      </c>
      <c r="AN23" s="18">
        <f t="shared" si="119"/>
        <v>0</v>
      </c>
      <c r="AO23" s="18">
        <f t="shared" si="5"/>
        <v>0</v>
      </c>
      <c r="AP23" s="18">
        <f t="shared" ref="AP23:AS23" si="120">IF(OR(L24=""),"",(L24-L23)*100)</f>
        <v>2669.99999999971</v>
      </c>
      <c r="AQ23" s="18">
        <f t="shared" si="120"/>
        <v>0</v>
      </c>
      <c r="AR23" s="18">
        <f t="shared" si="120"/>
        <v>2400</v>
      </c>
      <c r="AS23" s="18">
        <f t="shared" si="120"/>
        <v>2300</v>
      </c>
      <c r="AT23" s="18">
        <f t="shared" si="7"/>
        <v>7369.99999999971</v>
      </c>
      <c r="AU23" s="18">
        <f t="shared" ref="AU23:AY23" si="121">IF(OR(P24=""),"",(P24-P23)*1000)</f>
        <v>3699.99999999982</v>
      </c>
      <c r="AV23" s="18">
        <f t="shared" si="121"/>
        <v>300.000000000182</v>
      </c>
      <c r="AW23" s="18">
        <f t="shared" si="121"/>
        <v>0</v>
      </c>
      <c r="AX23" s="18">
        <f t="shared" si="121"/>
        <v>300.000000000182</v>
      </c>
      <c r="AY23" s="18">
        <f t="shared" si="121"/>
        <v>8699.99999999982</v>
      </c>
      <c r="AZ23" s="18">
        <f t="shared" si="9"/>
        <v>13000</v>
      </c>
      <c r="BA23" s="18">
        <f t="shared" si="10"/>
        <v>8200.00000000437</v>
      </c>
      <c r="BB23" s="18">
        <f t="shared" si="11"/>
        <v>1095.99999999977</v>
      </c>
      <c r="BC23" s="18">
        <f t="shared" si="36"/>
        <v>1328.00000000017</v>
      </c>
      <c r="BD23" s="18">
        <f t="shared" si="12"/>
        <v>10884.3999999963</v>
      </c>
      <c r="BE23" s="18">
        <f t="shared" si="13"/>
        <v>50000</v>
      </c>
      <c r="BF23" s="18">
        <f t="shared" si="14"/>
        <v>46</v>
      </c>
      <c r="BG23" s="21">
        <f t="shared" si="26"/>
        <v>0.243120894295898</v>
      </c>
      <c r="BH23" s="21">
        <f t="shared" si="27"/>
        <v>0.0394906131022695</v>
      </c>
      <c r="BI23" s="21">
        <f t="shared" si="28"/>
        <v>0</v>
      </c>
      <c r="BJ23" s="21">
        <f t="shared" si="29"/>
        <v>0.0358360198192139</v>
      </c>
      <c r="BK23" s="21">
        <f t="shared" ref="BK23:BO23" si="122">IF(OR($AD23=0),"",AZ23/$AD23)</f>
        <v>0.0632114325169334</v>
      </c>
      <c r="BL23" s="21">
        <f t="shared" si="122"/>
        <v>0.0398718266645484</v>
      </c>
      <c r="BM23" s="21">
        <f t="shared" si="122"/>
        <v>0.00532921000296494</v>
      </c>
      <c r="BN23" s="21">
        <f t="shared" si="122"/>
        <v>0.00645729095249989</v>
      </c>
      <c r="BO23" s="21">
        <f t="shared" si="122"/>
        <v>0.0529245012374676</v>
      </c>
    </row>
    <row r="24" spans="1:67">
      <c r="A24" s="9">
        <f t="shared" si="20"/>
        <v>44276</v>
      </c>
      <c r="B24" s="10">
        <v>15974.67</v>
      </c>
      <c r="C24" s="8">
        <v>86583.4</v>
      </c>
      <c r="D24" s="8">
        <v>55608.5</v>
      </c>
      <c r="E24" s="8">
        <v>55800.2</v>
      </c>
      <c r="F24" s="8">
        <v>3773.1</v>
      </c>
      <c r="G24" s="8">
        <v>109501.4</v>
      </c>
      <c r="H24" s="8">
        <v>5596.3</v>
      </c>
      <c r="I24" s="8">
        <v>2566.3</v>
      </c>
      <c r="J24" s="8">
        <v>967</v>
      </c>
      <c r="K24" s="8">
        <v>56</v>
      </c>
      <c r="L24" s="8">
        <v>87997.4</v>
      </c>
      <c r="M24" s="8">
        <v>61127.2</v>
      </c>
      <c r="N24" s="8">
        <v>69694.7</v>
      </c>
      <c r="O24" s="8">
        <v>99889.1</v>
      </c>
      <c r="P24" s="8">
        <v>5258.4</v>
      </c>
      <c r="Q24" s="8">
        <v>7116.8</v>
      </c>
      <c r="R24" s="8">
        <v>4348.6</v>
      </c>
      <c r="S24" s="8">
        <v>4986.7</v>
      </c>
      <c r="T24" s="8">
        <v>6061.5</v>
      </c>
      <c r="U24" s="8">
        <v>16779.4</v>
      </c>
      <c r="V24" s="8">
        <v>49457.2</v>
      </c>
      <c r="W24" s="8">
        <v>50136</v>
      </c>
      <c r="X24" s="8">
        <v>1335</v>
      </c>
      <c r="Y24" s="8">
        <v>1085.9</v>
      </c>
      <c r="Z24" s="16">
        <f t="shared" si="21"/>
        <v>52556.9</v>
      </c>
      <c r="AA24" s="8">
        <v>57631.1</v>
      </c>
      <c r="AB24" s="14">
        <v>2139</v>
      </c>
      <c r="AC24" s="7">
        <f t="shared" si="31"/>
        <v>59770.1</v>
      </c>
      <c r="AD24" s="17">
        <v>201063</v>
      </c>
      <c r="AE24" s="18">
        <f t="shared" ref="AE24:AI24" si="123">IF(OR(C25=""),"",(C25-C24)*80)</f>
        <v>3888.00000000047</v>
      </c>
      <c r="AF24" s="18">
        <f t="shared" si="123"/>
        <v>3144.00000000023</v>
      </c>
      <c r="AG24" s="18">
        <f t="shared" si="123"/>
        <v>0</v>
      </c>
      <c r="AH24" s="18">
        <f t="shared" si="123"/>
        <v>20.8000000000175</v>
      </c>
      <c r="AI24" s="18">
        <f t="shared" si="123"/>
        <v>2280</v>
      </c>
      <c r="AJ24" s="18">
        <f t="shared" si="3"/>
        <v>9332.80000000072</v>
      </c>
      <c r="AK24" s="18">
        <f t="shared" ref="AK24:AN24" si="124">IF(OR(H25=""),"",(H25-H24)*80)</f>
        <v>0</v>
      </c>
      <c r="AL24" s="18">
        <f t="shared" si="124"/>
        <v>0</v>
      </c>
      <c r="AM24" s="18">
        <f t="shared" si="124"/>
        <v>0</v>
      </c>
      <c r="AN24" s="18">
        <f t="shared" si="124"/>
        <v>0</v>
      </c>
      <c r="AO24" s="18">
        <f t="shared" si="5"/>
        <v>0</v>
      </c>
      <c r="AP24" s="18">
        <f t="shared" ref="AP24:AS24" si="125">IF(OR(L25=""),"",(L25-L24)*100)</f>
        <v>2940.00000000087</v>
      </c>
      <c r="AQ24" s="18">
        <f t="shared" si="125"/>
        <v>0</v>
      </c>
      <c r="AR24" s="18">
        <f t="shared" si="125"/>
        <v>2580.00000000029</v>
      </c>
      <c r="AS24" s="18">
        <f t="shared" si="125"/>
        <v>2669.99999999971</v>
      </c>
      <c r="AT24" s="18">
        <f t="shared" si="7"/>
        <v>8190.00000000087</v>
      </c>
      <c r="AU24" s="18">
        <f t="shared" ref="AU24:AY24" si="126">IF(OR(P25=""),"",(P25-P24)*1000)</f>
        <v>2800.00000000018</v>
      </c>
      <c r="AV24" s="18">
        <f t="shared" si="126"/>
        <v>5500</v>
      </c>
      <c r="AW24" s="18">
        <f t="shared" si="126"/>
        <v>1099.99999999945</v>
      </c>
      <c r="AX24" s="18">
        <f t="shared" si="126"/>
        <v>699.999999999818</v>
      </c>
      <c r="AY24" s="18">
        <f t="shared" si="126"/>
        <v>9899.99999999964</v>
      </c>
      <c r="AZ24" s="18">
        <f t="shared" si="9"/>
        <v>19999.9999999991</v>
      </c>
      <c r="BA24" s="18">
        <f t="shared" si="10"/>
        <v>10000</v>
      </c>
      <c r="BB24" s="18">
        <f t="shared" si="11"/>
        <v>664.000000000233</v>
      </c>
      <c r="BC24" s="18">
        <f t="shared" si="36"/>
        <v>1391.99999999983</v>
      </c>
      <c r="BD24" s="18">
        <f t="shared" si="12"/>
        <v>11021.1999999942</v>
      </c>
      <c r="BE24" s="18">
        <f t="shared" si="13"/>
        <v>60599.9999999949</v>
      </c>
      <c r="BF24" s="18">
        <f t="shared" si="14"/>
        <v>43.4000000000015</v>
      </c>
      <c r="BG24" s="21">
        <f t="shared" si="26"/>
        <v>0.301398069261848</v>
      </c>
      <c r="BH24" s="21">
        <f t="shared" si="27"/>
        <v>0.0464172920925318</v>
      </c>
      <c r="BI24" s="21">
        <f t="shared" si="28"/>
        <v>0</v>
      </c>
      <c r="BJ24" s="21">
        <f t="shared" si="29"/>
        <v>0.0407335014398516</v>
      </c>
      <c r="BK24" s="21">
        <f t="shared" ref="BK24:BO24" si="127">IF(OR($AD24=0),"",AZ24/$AD24)</f>
        <v>0.0994713099874124</v>
      </c>
      <c r="BL24" s="21">
        <f t="shared" si="127"/>
        <v>0.0497356549937084</v>
      </c>
      <c r="BM24" s="21">
        <f t="shared" si="127"/>
        <v>0.0033024474915834</v>
      </c>
      <c r="BN24" s="21">
        <f t="shared" si="127"/>
        <v>0.00692320317512335</v>
      </c>
      <c r="BO24" s="21">
        <f t="shared" si="127"/>
        <v>0.0548146600816369</v>
      </c>
    </row>
    <row r="25" spans="1:67">
      <c r="A25" s="9">
        <f t="shared" si="20"/>
        <v>44277</v>
      </c>
      <c r="B25" s="10">
        <v>15980.73</v>
      </c>
      <c r="C25" s="8">
        <v>86632</v>
      </c>
      <c r="D25" s="8">
        <v>55647.8</v>
      </c>
      <c r="E25" s="8">
        <v>55800.2</v>
      </c>
      <c r="F25" s="8">
        <v>3773.36</v>
      </c>
      <c r="G25" s="8">
        <v>109529.9</v>
      </c>
      <c r="H25" s="8">
        <v>5596.3</v>
      </c>
      <c r="I25" s="8">
        <v>2566.3</v>
      </c>
      <c r="J25" s="8">
        <v>967</v>
      </c>
      <c r="K25" s="8">
        <v>56</v>
      </c>
      <c r="L25" s="8">
        <v>88026.8</v>
      </c>
      <c r="M25" s="8">
        <v>61127.2</v>
      </c>
      <c r="N25" s="8">
        <v>69720.5</v>
      </c>
      <c r="O25" s="8">
        <v>99915.8</v>
      </c>
      <c r="P25" s="8">
        <v>5261.2</v>
      </c>
      <c r="Q25" s="8">
        <v>7122.3</v>
      </c>
      <c r="R25" s="8">
        <v>4349.7</v>
      </c>
      <c r="S25" s="8">
        <v>4987.4</v>
      </c>
      <c r="T25" s="8">
        <v>6071.4</v>
      </c>
      <c r="U25" s="8">
        <v>16784.4</v>
      </c>
      <c r="V25" s="8">
        <v>49465.5</v>
      </c>
      <c r="W25" s="8">
        <v>50154</v>
      </c>
      <c r="X25" s="8">
        <v>1344.2</v>
      </c>
      <c r="Y25" s="8">
        <v>1093.5</v>
      </c>
      <c r="Z25" s="16">
        <f t="shared" si="21"/>
        <v>52591.7</v>
      </c>
      <c r="AA25" s="8">
        <v>57673.5</v>
      </c>
      <c r="AB25" s="14">
        <v>2140</v>
      </c>
      <c r="AC25" s="7">
        <f t="shared" si="31"/>
        <v>59813.5</v>
      </c>
      <c r="AD25" s="17">
        <v>200630</v>
      </c>
      <c r="AE25" s="18">
        <f t="shared" ref="AE25:AI25" si="128">IF(OR(C26=""),"",(C26-C25)*80)</f>
        <v>3735.99999999977</v>
      </c>
      <c r="AF25" s="18">
        <f t="shared" si="128"/>
        <v>1920</v>
      </c>
      <c r="AG25" s="18">
        <f t="shared" si="128"/>
        <v>768.000000000466</v>
      </c>
      <c r="AH25" s="18">
        <f t="shared" si="128"/>
        <v>572.799999999988</v>
      </c>
      <c r="AI25" s="18">
        <f t="shared" si="128"/>
        <v>2208.00000000047</v>
      </c>
      <c r="AJ25" s="18">
        <f t="shared" si="3"/>
        <v>9204.80000000069</v>
      </c>
      <c r="AK25" s="18">
        <f t="shared" ref="AK25:AN25" si="129">IF(OR(H26=""),"",(H26-H25)*80)</f>
        <v>0</v>
      </c>
      <c r="AL25" s="18">
        <f t="shared" si="129"/>
        <v>0</v>
      </c>
      <c r="AM25" s="18">
        <f t="shared" si="129"/>
        <v>0</v>
      </c>
      <c r="AN25" s="18">
        <f t="shared" si="129"/>
        <v>0</v>
      </c>
      <c r="AO25" s="18">
        <f t="shared" si="5"/>
        <v>0</v>
      </c>
      <c r="AP25" s="18">
        <f t="shared" ref="AP25:AS25" si="130">IF(OR(L26=""),"",(L26-L25)*100)</f>
        <v>2809.99999999913</v>
      </c>
      <c r="AQ25" s="18">
        <f t="shared" si="130"/>
        <v>10.0000000005821</v>
      </c>
      <c r="AR25" s="18">
        <f t="shared" si="130"/>
        <v>2469.99999999971</v>
      </c>
      <c r="AS25" s="18">
        <f t="shared" si="130"/>
        <v>2330.00000000029</v>
      </c>
      <c r="AT25" s="18">
        <f t="shared" si="7"/>
        <v>7619.99999999971</v>
      </c>
      <c r="AU25" s="18">
        <f t="shared" ref="AU25:AY25" si="131">IF(OR(P26=""),"",(P26-P25)*1000)</f>
        <v>300.000000000182</v>
      </c>
      <c r="AV25" s="18">
        <f t="shared" si="131"/>
        <v>0</v>
      </c>
      <c r="AW25" s="18">
        <f t="shared" si="131"/>
        <v>0</v>
      </c>
      <c r="AX25" s="18">
        <f t="shared" si="131"/>
        <v>4700.00000000073</v>
      </c>
      <c r="AY25" s="18">
        <f t="shared" si="131"/>
        <v>9300.00000000018</v>
      </c>
      <c r="AZ25" s="18">
        <f t="shared" si="9"/>
        <v>14300.0000000011</v>
      </c>
      <c r="BA25" s="18">
        <f t="shared" si="10"/>
        <v>10599.9999999985</v>
      </c>
      <c r="BB25" s="18">
        <f t="shared" si="11"/>
        <v>655.999999999767</v>
      </c>
      <c r="BC25" s="18">
        <f t="shared" si="36"/>
        <v>1352.00000000012</v>
      </c>
      <c r="BD25" s="18">
        <f t="shared" si="12"/>
        <v>13367.2000000095</v>
      </c>
      <c r="BE25" s="18">
        <f t="shared" si="13"/>
        <v>57100.0000000095</v>
      </c>
      <c r="BF25" s="18">
        <f t="shared" si="14"/>
        <v>48.0999999999985</v>
      </c>
      <c r="BG25" s="21">
        <f t="shared" si="26"/>
        <v>0.284603498978266</v>
      </c>
      <c r="BH25" s="21">
        <f t="shared" si="27"/>
        <v>0.0458794796391401</v>
      </c>
      <c r="BI25" s="21">
        <f t="shared" si="28"/>
        <v>0</v>
      </c>
      <c r="BJ25" s="21">
        <f t="shared" si="29"/>
        <v>0.0379803618601391</v>
      </c>
      <c r="BK25" s="21">
        <f t="shared" ref="BK25:BO25" si="132">IF(OR($AD25=0),"",AZ25/$AD25)</f>
        <v>0.0712754822309779</v>
      </c>
      <c r="BL25" s="21">
        <f t="shared" si="132"/>
        <v>0.0528335742411332</v>
      </c>
      <c r="BM25" s="21">
        <f t="shared" si="132"/>
        <v>0.00326970044360149</v>
      </c>
      <c r="BN25" s="21">
        <f t="shared" si="132"/>
        <v>0.00673877286547434</v>
      </c>
      <c r="BO25" s="21">
        <f t="shared" si="132"/>
        <v>0.0666261276977996</v>
      </c>
    </row>
    <row r="26" spans="1:67">
      <c r="A26" s="9">
        <f t="shared" si="20"/>
        <v>44278</v>
      </c>
      <c r="B26" s="10">
        <v>15986.44</v>
      </c>
      <c r="C26" s="8">
        <v>86678.7</v>
      </c>
      <c r="D26" s="8">
        <v>55671.8</v>
      </c>
      <c r="E26" s="8">
        <v>55809.8</v>
      </c>
      <c r="F26" s="8">
        <v>3780.52</v>
      </c>
      <c r="G26" s="8">
        <v>109557.5</v>
      </c>
      <c r="H26" s="8">
        <v>5596.3</v>
      </c>
      <c r="I26" s="8">
        <v>2566.3</v>
      </c>
      <c r="J26" s="8">
        <v>967</v>
      </c>
      <c r="K26" s="8">
        <v>56</v>
      </c>
      <c r="L26" s="8">
        <v>88054.9</v>
      </c>
      <c r="M26" s="8">
        <v>61127.3</v>
      </c>
      <c r="N26" s="8">
        <v>69745.2</v>
      </c>
      <c r="O26" s="8">
        <v>99939.1</v>
      </c>
      <c r="P26" s="8">
        <v>5261.5</v>
      </c>
      <c r="Q26" s="8">
        <v>7122.3</v>
      </c>
      <c r="R26" s="8">
        <v>4349.7</v>
      </c>
      <c r="S26" s="8">
        <v>4992.1</v>
      </c>
      <c r="T26" s="8">
        <v>6080.7</v>
      </c>
      <c r="U26" s="8">
        <v>16789.7</v>
      </c>
      <c r="V26" s="8">
        <v>49473.7</v>
      </c>
      <c r="W26" s="8">
        <v>50171.5</v>
      </c>
      <c r="X26" s="8">
        <v>1353</v>
      </c>
      <c r="Y26" s="8">
        <v>1101</v>
      </c>
      <c r="Z26" s="16">
        <f t="shared" si="21"/>
        <v>52625.5</v>
      </c>
      <c r="AA26" s="8">
        <v>57719.6</v>
      </c>
      <c r="AB26" s="14">
        <v>2142</v>
      </c>
      <c r="AC26" s="7">
        <f t="shared" si="31"/>
        <v>59861.6</v>
      </c>
      <c r="AD26" s="17">
        <v>162830</v>
      </c>
      <c r="AE26" s="18">
        <f t="shared" ref="AE26:AI26" si="133">IF(OR(C27=""),"",(C27-C26)*80)</f>
        <v>3872.0000000007</v>
      </c>
      <c r="AF26" s="18">
        <f t="shared" si="133"/>
        <v>280</v>
      </c>
      <c r="AG26" s="18">
        <f t="shared" si="133"/>
        <v>2671.99999999953</v>
      </c>
      <c r="AH26" s="18">
        <f t="shared" si="133"/>
        <v>4.79999999999563</v>
      </c>
      <c r="AI26" s="18">
        <f t="shared" si="133"/>
        <v>2024.00000000023</v>
      </c>
      <c r="AJ26" s="18">
        <f t="shared" si="3"/>
        <v>8852.80000000046</v>
      </c>
      <c r="AK26" s="18">
        <f t="shared" ref="AK26:AN26" si="134">IF(OR(H27=""),"",(H27-H26)*80)</f>
        <v>0</v>
      </c>
      <c r="AL26" s="18">
        <f t="shared" si="134"/>
        <v>0</v>
      </c>
      <c r="AM26" s="18">
        <f t="shared" si="134"/>
        <v>0</v>
      </c>
      <c r="AN26" s="18">
        <f t="shared" si="134"/>
        <v>0</v>
      </c>
      <c r="AO26" s="18">
        <f t="shared" si="5"/>
        <v>0</v>
      </c>
      <c r="AP26" s="18">
        <f t="shared" ref="AP26:AS26" si="135">IF(OR(L27=""),"",(L27-L26)*100)</f>
        <v>1680.00000000029</v>
      </c>
      <c r="AQ26" s="18">
        <f t="shared" si="135"/>
        <v>0</v>
      </c>
      <c r="AR26" s="18">
        <f t="shared" si="135"/>
        <v>2040.00000000087</v>
      </c>
      <c r="AS26" s="18">
        <f t="shared" si="135"/>
        <v>2300</v>
      </c>
      <c r="AT26" s="18">
        <f t="shared" si="7"/>
        <v>6020.00000000116</v>
      </c>
      <c r="AU26" s="18">
        <f t="shared" ref="AU26:AY26" si="136">IF(OR(P27=""),"",(P27-P26)*1000)</f>
        <v>1399.99999999964</v>
      </c>
      <c r="AV26" s="18">
        <f t="shared" si="136"/>
        <v>0</v>
      </c>
      <c r="AW26" s="18">
        <f t="shared" si="136"/>
        <v>3000</v>
      </c>
      <c r="AX26" s="18">
        <f t="shared" si="136"/>
        <v>899.999999999636</v>
      </c>
      <c r="AY26" s="18">
        <f t="shared" si="136"/>
        <v>9300.00000000018</v>
      </c>
      <c r="AZ26" s="18">
        <f t="shared" si="9"/>
        <v>14599.9999999995</v>
      </c>
      <c r="BA26" s="18">
        <f t="shared" si="10"/>
        <v>8799.99999999563</v>
      </c>
      <c r="BB26" s="18">
        <f t="shared" si="11"/>
        <v>912.000000000116</v>
      </c>
      <c r="BC26" s="18">
        <f t="shared" si="36"/>
        <v>1280.00000000029</v>
      </c>
      <c r="BD26" s="18">
        <f t="shared" si="12"/>
        <v>12735.2</v>
      </c>
      <c r="BE26" s="18">
        <f t="shared" si="13"/>
        <v>53199.9999999971</v>
      </c>
      <c r="BF26" s="18">
        <f t="shared" si="14"/>
        <v>46.5999999999985</v>
      </c>
      <c r="BG26" s="21">
        <f t="shared" si="26"/>
        <v>0.32672112018668</v>
      </c>
      <c r="BH26" s="21">
        <f t="shared" si="27"/>
        <v>0.05436835963889</v>
      </c>
      <c r="BI26" s="21">
        <f t="shared" si="28"/>
        <v>0</v>
      </c>
      <c r="BJ26" s="21">
        <f t="shared" si="29"/>
        <v>0.0369710741263966</v>
      </c>
      <c r="BK26" s="21">
        <f t="shared" ref="BK26:BO26" si="137">IF(OR($AD26=0),"",AZ26/$AD26)</f>
        <v>0.0896640668181505</v>
      </c>
      <c r="BL26" s="21">
        <f t="shared" si="137"/>
        <v>0.0540440950684495</v>
      </c>
      <c r="BM26" s="21">
        <f t="shared" si="137"/>
        <v>0.00560093348891553</v>
      </c>
      <c r="BN26" s="21">
        <f t="shared" si="137"/>
        <v>0.00786095928268925</v>
      </c>
      <c r="BO26" s="21">
        <f t="shared" si="137"/>
        <v>0.0782116317631884</v>
      </c>
    </row>
    <row r="27" spans="1:67">
      <c r="A27" s="9">
        <f t="shared" si="20"/>
        <v>44279</v>
      </c>
      <c r="B27" s="10">
        <v>15991.76</v>
      </c>
      <c r="C27" s="8">
        <v>86727.1</v>
      </c>
      <c r="D27" s="8">
        <v>55675.3</v>
      </c>
      <c r="E27" s="8">
        <v>55843.2</v>
      </c>
      <c r="F27" s="8">
        <v>3780.58</v>
      </c>
      <c r="G27" s="8">
        <v>109582.8</v>
      </c>
      <c r="H27" s="8">
        <v>5596.3</v>
      </c>
      <c r="I27" s="8">
        <v>2566.3</v>
      </c>
      <c r="J27" s="8">
        <v>967</v>
      </c>
      <c r="K27" s="8">
        <v>56</v>
      </c>
      <c r="L27" s="8">
        <v>88071.7</v>
      </c>
      <c r="M27" s="8">
        <v>61127.3</v>
      </c>
      <c r="N27" s="8">
        <v>69765.6</v>
      </c>
      <c r="O27" s="8">
        <v>99962.1</v>
      </c>
      <c r="P27" s="8">
        <v>5262.9</v>
      </c>
      <c r="Q27" s="8">
        <v>7122.3</v>
      </c>
      <c r="R27" s="8">
        <v>4352.7</v>
      </c>
      <c r="S27" s="8">
        <v>4993</v>
      </c>
      <c r="T27" s="8">
        <v>6090</v>
      </c>
      <c r="U27" s="8">
        <v>16794.1</v>
      </c>
      <c r="V27" s="8">
        <v>49485.1</v>
      </c>
      <c r="W27" s="8">
        <v>50188.8</v>
      </c>
      <c r="X27" s="8">
        <v>1361.9</v>
      </c>
      <c r="Y27" s="8">
        <v>1106.8</v>
      </c>
      <c r="Z27" s="16">
        <f t="shared" si="21"/>
        <v>52657.5</v>
      </c>
      <c r="AA27" s="8">
        <v>57764.2</v>
      </c>
      <c r="AB27" s="14">
        <v>2144</v>
      </c>
      <c r="AC27" s="7">
        <f t="shared" si="31"/>
        <v>59908.2</v>
      </c>
      <c r="AD27" s="17">
        <v>170786</v>
      </c>
      <c r="AE27" s="18">
        <f t="shared" ref="AE27:AI27" si="138">IF(OR(C28=""),"",(C28-C27)*80)</f>
        <v>3935.99999999977</v>
      </c>
      <c r="AF27" s="18">
        <f t="shared" si="138"/>
        <v>471.999999999534</v>
      </c>
      <c r="AG27" s="18">
        <f t="shared" si="138"/>
        <v>2528.00000000047</v>
      </c>
      <c r="AH27" s="18">
        <f t="shared" si="138"/>
        <v>4.00000000001455</v>
      </c>
      <c r="AI27" s="18">
        <f t="shared" si="138"/>
        <v>2215.99999999977</v>
      </c>
      <c r="AJ27" s="18">
        <f t="shared" si="3"/>
        <v>9155.99999999955</v>
      </c>
      <c r="AK27" s="18">
        <f t="shared" ref="AK27:AN27" si="139">IF(OR(H28=""),"",(H28-H27)*80)</f>
        <v>0</v>
      </c>
      <c r="AL27" s="18">
        <f t="shared" si="139"/>
        <v>0</v>
      </c>
      <c r="AM27" s="18">
        <f t="shared" si="139"/>
        <v>0</v>
      </c>
      <c r="AN27" s="18">
        <f t="shared" si="139"/>
        <v>0</v>
      </c>
      <c r="AO27" s="18">
        <f t="shared" si="5"/>
        <v>0</v>
      </c>
      <c r="AP27" s="18">
        <f t="shared" ref="AP27:AS27" si="140">IF(OR(L28=""),"",(L28-L27)*100)</f>
        <v>1690.00000000087</v>
      </c>
      <c r="AQ27" s="18">
        <f t="shared" si="140"/>
        <v>0</v>
      </c>
      <c r="AR27" s="18">
        <f t="shared" si="140"/>
        <v>2129.99999999884</v>
      </c>
      <c r="AS27" s="18">
        <f t="shared" si="140"/>
        <v>2329.99999999884</v>
      </c>
      <c r="AT27" s="18">
        <f t="shared" si="7"/>
        <v>6149.99999999854</v>
      </c>
      <c r="AU27" s="18">
        <f t="shared" ref="AU27:AY27" si="141">IF(OR(P28=""),"",(P28-P27)*1000)</f>
        <v>1100.00000000036</v>
      </c>
      <c r="AV27" s="18">
        <f t="shared" si="141"/>
        <v>1000</v>
      </c>
      <c r="AW27" s="18">
        <f t="shared" si="141"/>
        <v>3100.00000000036</v>
      </c>
      <c r="AX27" s="18">
        <f t="shared" si="141"/>
        <v>0</v>
      </c>
      <c r="AY27" s="18">
        <f t="shared" si="141"/>
        <v>8899.99999999964</v>
      </c>
      <c r="AZ27" s="18">
        <f t="shared" si="9"/>
        <v>14100.0000000004</v>
      </c>
      <c r="BA27" s="18">
        <f t="shared" si="10"/>
        <v>8000</v>
      </c>
      <c r="BB27" s="18">
        <f t="shared" si="11"/>
        <v>1127.99999999988</v>
      </c>
      <c r="BC27" s="18">
        <f t="shared" si="36"/>
        <v>1287.99999999988</v>
      </c>
      <c r="BD27" s="18">
        <f t="shared" si="12"/>
        <v>13678.0000000054</v>
      </c>
      <c r="BE27" s="18">
        <f t="shared" si="13"/>
        <v>53500.0000000036</v>
      </c>
      <c r="BF27" s="18">
        <f t="shared" si="14"/>
        <v>89.2000000000044</v>
      </c>
      <c r="BG27" s="21">
        <f t="shared" si="26"/>
        <v>0.31325752696359</v>
      </c>
      <c r="BH27" s="21">
        <f t="shared" si="27"/>
        <v>0.0536109517173512</v>
      </c>
      <c r="BI27" s="21">
        <f t="shared" si="28"/>
        <v>0</v>
      </c>
      <c r="BJ27" s="21">
        <f t="shared" si="29"/>
        <v>0.0360099773986073</v>
      </c>
      <c r="BK27" s="21">
        <f t="shared" ref="BK27:BO27" si="142">IF(OR($AD27=0),"",AZ27/$AD27)</f>
        <v>0.0825594603773164</v>
      </c>
      <c r="BL27" s="21">
        <f t="shared" si="142"/>
        <v>0.0468422470225897</v>
      </c>
      <c r="BM27" s="21">
        <f t="shared" si="142"/>
        <v>0.00660475683018446</v>
      </c>
      <c r="BN27" s="21">
        <f t="shared" si="142"/>
        <v>0.00754160177063626</v>
      </c>
      <c r="BO27" s="21">
        <f t="shared" si="142"/>
        <v>0.0800885318469044</v>
      </c>
    </row>
    <row r="28" spans="1:67">
      <c r="A28" s="9">
        <f t="shared" si="20"/>
        <v>44280</v>
      </c>
      <c r="B28" s="10">
        <v>15997.11</v>
      </c>
      <c r="C28" s="8">
        <v>86776.3</v>
      </c>
      <c r="D28" s="8">
        <v>55681.2</v>
      </c>
      <c r="E28" s="8">
        <v>55874.8</v>
      </c>
      <c r="F28" s="8">
        <v>3780.63</v>
      </c>
      <c r="G28" s="8">
        <v>109610.5</v>
      </c>
      <c r="H28" s="8">
        <v>5596.3</v>
      </c>
      <c r="I28" s="8">
        <v>2566.3</v>
      </c>
      <c r="J28" s="8">
        <v>967</v>
      </c>
      <c r="K28" s="8">
        <v>56</v>
      </c>
      <c r="L28" s="8">
        <v>88088.6</v>
      </c>
      <c r="M28" s="8">
        <v>61127.3</v>
      </c>
      <c r="N28" s="8">
        <v>69786.9</v>
      </c>
      <c r="O28" s="8">
        <v>99985.4</v>
      </c>
      <c r="P28" s="8">
        <v>5264</v>
      </c>
      <c r="Q28" s="8">
        <v>7123.3</v>
      </c>
      <c r="R28" s="8">
        <v>4355.8</v>
      </c>
      <c r="S28" s="8">
        <v>4993</v>
      </c>
      <c r="T28" s="8">
        <v>6098.9</v>
      </c>
      <c r="U28" s="8">
        <v>16798.1</v>
      </c>
      <c r="V28" s="8">
        <v>49499.2</v>
      </c>
      <c r="W28" s="8">
        <v>50206.3</v>
      </c>
      <c r="X28" s="8">
        <v>1369.6</v>
      </c>
      <c r="Y28" s="8">
        <v>1113.8</v>
      </c>
      <c r="Z28" s="16">
        <f t="shared" si="21"/>
        <v>52689.7</v>
      </c>
      <c r="AA28" s="8">
        <v>57805.4</v>
      </c>
      <c r="AB28" s="14">
        <v>2192</v>
      </c>
      <c r="AC28" s="7">
        <f t="shared" si="31"/>
        <v>59997.4</v>
      </c>
      <c r="AD28" s="17">
        <v>156025</v>
      </c>
      <c r="AE28" s="18">
        <f t="shared" ref="AE28:AI28" si="143">IF(OR(C29=""),"",(C29-C28)*80)</f>
        <v>3455.99999999977</v>
      </c>
      <c r="AF28" s="18">
        <f t="shared" si="143"/>
        <v>2312.00000000012</v>
      </c>
      <c r="AG28" s="18">
        <f t="shared" si="143"/>
        <v>0</v>
      </c>
      <c r="AH28" s="18">
        <f t="shared" si="143"/>
        <v>4.79999999999563</v>
      </c>
      <c r="AI28" s="18">
        <f t="shared" si="143"/>
        <v>2184.00000000023</v>
      </c>
      <c r="AJ28" s="18">
        <f t="shared" si="3"/>
        <v>7956.80000000011</v>
      </c>
      <c r="AK28" s="18">
        <f t="shared" ref="AK28:AN28" si="144">IF(OR(H29=""),"",(H29-H28)*80)</f>
        <v>0</v>
      </c>
      <c r="AL28" s="18">
        <f t="shared" si="144"/>
        <v>0</v>
      </c>
      <c r="AM28" s="18">
        <f t="shared" si="144"/>
        <v>0</v>
      </c>
      <c r="AN28" s="18">
        <f t="shared" si="144"/>
        <v>0</v>
      </c>
      <c r="AO28" s="18">
        <f t="shared" si="5"/>
        <v>0</v>
      </c>
      <c r="AP28" s="18">
        <f t="shared" ref="AP28:AS28" si="145">IF(OR(L29=""),"",(L29-L28)*100)</f>
        <v>1569.99999999971</v>
      </c>
      <c r="AQ28" s="18">
        <f t="shared" si="145"/>
        <v>0</v>
      </c>
      <c r="AR28" s="18">
        <f t="shared" si="145"/>
        <v>1870.00000000116</v>
      </c>
      <c r="AS28" s="18">
        <f t="shared" si="145"/>
        <v>2240.00000000087</v>
      </c>
      <c r="AT28" s="18">
        <f t="shared" si="7"/>
        <v>5680.00000000175</v>
      </c>
      <c r="AU28" s="18">
        <f t="shared" ref="AU28:AY28" si="146">IF(OR(P29=""),"",(P29-P28)*1000)</f>
        <v>399.999999999636</v>
      </c>
      <c r="AV28" s="18">
        <f t="shared" si="146"/>
        <v>199.999999999818</v>
      </c>
      <c r="AW28" s="18">
        <f t="shared" si="146"/>
        <v>4300.00000000018</v>
      </c>
      <c r="AX28" s="18">
        <f t="shared" si="146"/>
        <v>0</v>
      </c>
      <c r="AY28" s="18">
        <f t="shared" si="146"/>
        <v>9500</v>
      </c>
      <c r="AZ28" s="18">
        <f t="shared" si="9"/>
        <v>14399.9999999996</v>
      </c>
      <c r="BA28" s="18">
        <f t="shared" si="10"/>
        <v>7000</v>
      </c>
      <c r="BB28" s="18">
        <f t="shared" si="11"/>
        <v>784.000000000233</v>
      </c>
      <c r="BC28" s="18">
        <f t="shared" si="36"/>
        <v>1339.99999999971</v>
      </c>
      <c r="BD28" s="18">
        <f t="shared" si="12"/>
        <v>14639.2000000015</v>
      </c>
      <c r="BE28" s="18">
        <f t="shared" si="13"/>
        <v>51800.0000000029</v>
      </c>
      <c r="BF28" s="18">
        <f t="shared" si="14"/>
        <v>55.4000000000015</v>
      </c>
      <c r="BG28" s="21">
        <f t="shared" si="26"/>
        <v>0.331998077231232</v>
      </c>
      <c r="BH28" s="21">
        <f t="shared" si="27"/>
        <v>0.0509969556160879</v>
      </c>
      <c r="BI28" s="21">
        <f t="shared" si="28"/>
        <v>0</v>
      </c>
      <c r="BJ28" s="21">
        <f t="shared" si="29"/>
        <v>0.0364044223682214</v>
      </c>
      <c r="BK28" s="21">
        <f t="shared" ref="BK28:BO28" si="147">IF(OR($AD28=0),"",AZ28/$AD28)</f>
        <v>0.0922929017785588</v>
      </c>
      <c r="BL28" s="21">
        <f t="shared" si="147"/>
        <v>0.044864605031245</v>
      </c>
      <c r="BM28" s="21">
        <f t="shared" si="147"/>
        <v>0.00502483576350093</v>
      </c>
      <c r="BN28" s="21">
        <f t="shared" si="147"/>
        <v>0.00858836724883646</v>
      </c>
      <c r="BO28" s="21">
        <f t="shared" si="147"/>
        <v>0.0938259894247811</v>
      </c>
    </row>
    <row r="29" spans="1:67">
      <c r="A29" s="9">
        <f t="shared" si="20"/>
        <v>44281</v>
      </c>
      <c r="B29" s="10">
        <v>16002.29</v>
      </c>
      <c r="C29" s="8">
        <v>86819.5</v>
      </c>
      <c r="D29" s="8">
        <v>55710.1</v>
      </c>
      <c r="E29" s="8">
        <v>55874.8</v>
      </c>
      <c r="F29" s="8">
        <v>3780.69</v>
      </c>
      <c r="G29" s="8">
        <v>109637.8</v>
      </c>
      <c r="H29" s="8">
        <v>5596.3</v>
      </c>
      <c r="I29" s="8">
        <v>2566.3</v>
      </c>
      <c r="J29" s="8">
        <v>967</v>
      </c>
      <c r="K29" s="8">
        <v>56</v>
      </c>
      <c r="L29" s="8">
        <v>88104.3</v>
      </c>
      <c r="M29" s="8">
        <v>61127.3</v>
      </c>
      <c r="N29" s="8">
        <v>69805.6</v>
      </c>
      <c r="O29" s="8">
        <v>100007.8</v>
      </c>
      <c r="P29" s="8">
        <v>5264.4</v>
      </c>
      <c r="Q29" s="8">
        <v>7123.5</v>
      </c>
      <c r="R29" s="8">
        <v>4360.1</v>
      </c>
      <c r="S29" s="8">
        <v>4993</v>
      </c>
      <c r="T29" s="8">
        <v>6108.4</v>
      </c>
      <c r="U29" s="8">
        <v>16801.6</v>
      </c>
      <c r="V29" s="8">
        <v>49509</v>
      </c>
      <c r="W29" s="8">
        <v>50223.6</v>
      </c>
      <c r="X29" s="8">
        <v>1378.4</v>
      </c>
      <c r="Y29" s="8">
        <v>1121.2</v>
      </c>
      <c r="Z29" s="16">
        <f t="shared" si="21"/>
        <v>52723.2</v>
      </c>
      <c r="AA29" s="8">
        <v>57848.8</v>
      </c>
      <c r="AB29" s="14">
        <v>2204</v>
      </c>
      <c r="AC29" s="7">
        <f t="shared" si="31"/>
        <v>60052.8</v>
      </c>
      <c r="AD29" s="17">
        <v>161089</v>
      </c>
      <c r="AE29" s="18">
        <f t="shared" ref="AE29:AI29" si="148">IF(OR(C30=""),"",(C30-C29)*80)</f>
        <v>0</v>
      </c>
      <c r="AF29" s="18">
        <f t="shared" si="148"/>
        <v>2647.99999999988</v>
      </c>
      <c r="AG29" s="18">
        <f t="shared" si="148"/>
        <v>0</v>
      </c>
      <c r="AH29" s="18">
        <f t="shared" si="148"/>
        <v>1952.00000000001</v>
      </c>
      <c r="AI29" s="18">
        <f t="shared" si="148"/>
        <v>2120</v>
      </c>
      <c r="AJ29" s="18">
        <f t="shared" si="3"/>
        <v>6719.99999999989</v>
      </c>
      <c r="AK29" s="18">
        <f t="shared" ref="AK29:AN29" si="149">IF(OR(H30=""),"",(H30-H29)*80)</f>
        <v>0</v>
      </c>
      <c r="AL29" s="18">
        <f t="shared" si="149"/>
        <v>0</v>
      </c>
      <c r="AM29" s="18">
        <f t="shared" si="149"/>
        <v>0</v>
      </c>
      <c r="AN29" s="18">
        <f t="shared" si="149"/>
        <v>0</v>
      </c>
      <c r="AO29" s="18">
        <f t="shared" si="5"/>
        <v>0</v>
      </c>
      <c r="AP29" s="18">
        <f t="shared" ref="AP29:AS29" si="150">IF(OR(L30=""),"",(L30-L29)*100)</f>
        <v>1650</v>
      </c>
      <c r="AQ29" s="18">
        <f t="shared" si="150"/>
        <v>0</v>
      </c>
      <c r="AR29" s="18">
        <f t="shared" si="150"/>
        <v>1879.99999999884</v>
      </c>
      <c r="AS29" s="18">
        <f t="shared" si="150"/>
        <v>2250</v>
      </c>
      <c r="AT29" s="18">
        <f t="shared" si="7"/>
        <v>5779.99999999884</v>
      </c>
      <c r="AU29" s="18">
        <f t="shared" ref="AU29:AY29" si="151">IF(OR(P30=""),"",(P30-P29)*1000)</f>
        <v>2100.00000000036</v>
      </c>
      <c r="AV29" s="18">
        <f t="shared" si="151"/>
        <v>0</v>
      </c>
      <c r="AW29" s="18">
        <f t="shared" si="151"/>
        <v>2199.99999999982</v>
      </c>
      <c r="AX29" s="18">
        <f t="shared" si="151"/>
        <v>0</v>
      </c>
      <c r="AY29" s="18">
        <f t="shared" si="151"/>
        <v>9300.00000000018</v>
      </c>
      <c r="AZ29" s="18">
        <f t="shared" si="9"/>
        <v>13600.0000000004</v>
      </c>
      <c r="BA29" s="18">
        <f t="shared" si="10"/>
        <v>6600.00000000582</v>
      </c>
      <c r="BB29" s="18">
        <f t="shared" si="11"/>
        <v>1112.00000000012</v>
      </c>
      <c r="BC29" s="18">
        <f t="shared" si="36"/>
        <v>1332.00000000041</v>
      </c>
      <c r="BD29" s="18">
        <f t="shared" si="12"/>
        <v>14155.9999999793</v>
      </c>
      <c r="BE29" s="18">
        <f t="shared" si="13"/>
        <v>49299.9999999847</v>
      </c>
      <c r="BF29" s="18">
        <f t="shared" si="14"/>
        <v>65.3999999999942</v>
      </c>
      <c r="BG29" s="21">
        <f t="shared" si="26"/>
        <v>0.306042001626335</v>
      </c>
      <c r="BH29" s="21">
        <f t="shared" si="27"/>
        <v>0.0417160699985715</v>
      </c>
      <c r="BI29" s="21">
        <f t="shared" si="28"/>
        <v>0</v>
      </c>
      <c r="BJ29" s="21">
        <f t="shared" si="29"/>
        <v>0.0358807863975742</v>
      </c>
      <c r="BK29" s="21">
        <f t="shared" ref="BK29:BO29" si="152">IF(OR($AD29=0),"",AZ29/$AD29)</f>
        <v>0.0844253797590175</v>
      </c>
      <c r="BL29" s="21">
        <f t="shared" si="152"/>
        <v>0.0409711401772053</v>
      </c>
      <c r="BM29" s="21">
        <f t="shared" si="152"/>
        <v>0.00690301634500255</v>
      </c>
      <c r="BN29" s="21">
        <f t="shared" si="152"/>
        <v>0.00826872101757667</v>
      </c>
      <c r="BO29" s="21">
        <f t="shared" si="152"/>
        <v>0.0878768879313875</v>
      </c>
    </row>
    <row r="30" spans="1:67">
      <c r="A30" s="9">
        <f t="shared" si="20"/>
        <v>44282</v>
      </c>
      <c r="B30" s="10">
        <v>16007.22</v>
      </c>
      <c r="C30" s="8">
        <v>86819.5</v>
      </c>
      <c r="D30" s="8">
        <v>55743.2</v>
      </c>
      <c r="E30" s="8">
        <v>55874.8</v>
      </c>
      <c r="F30" s="8">
        <v>3805.09</v>
      </c>
      <c r="G30" s="8">
        <v>109664.3</v>
      </c>
      <c r="H30" s="8">
        <v>5596.3</v>
      </c>
      <c r="I30" s="8">
        <v>2566.3</v>
      </c>
      <c r="J30" s="8">
        <v>967</v>
      </c>
      <c r="K30" s="8">
        <v>56</v>
      </c>
      <c r="L30" s="8">
        <v>88120.8</v>
      </c>
      <c r="M30" s="8">
        <v>61127.3</v>
      </c>
      <c r="N30" s="8">
        <v>69824.4</v>
      </c>
      <c r="O30" s="8">
        <v>100030.3</v>
      </c>
      <c r="P30" s="8">
        <v>5266.5</v>
      </c>
      <c r="Q30" s="8">
        <v>7123.5</v>
      </c>
      <c r="R30" s="8">
        <v>4362.3</v>
      </c>
      <c r="S30" s="8">
        <v>4993</v>
      </c>
      <c r="T30" s="8">
        <v>6117.7</v>
      </c>
      <c r="U30" s="8">
        <v>16804.9</v>
      </c>
      <c r="V30" s="8">
        <v>49522.9</v>
      </c>
      <c r="W30" s="8">
        <v>50241.3</v>
      </c>
      <c r="X30" s="8">
        <v>1386.8</v>
      </c>
      <c r="Y30" s="8">
        <v>1128.4</v>
      </c>
      <c r="Z30" s="16">
        <f t="shared" si="21"/>
        <v>52756.5</v>
      </c>
      <c r="AA30" s="8">
        <v>57891.2</v>
      </c>
      <c r="AB30" s="14">
        <v>2227</v>
      </c>
      <c r="AC30" s="7">
        <f t="shared" si="31"/>
        <v>60118.2</v>
      </c>
      <c r="AD30" s="17">
        <v>159074</v>
      </c>
      <c r="AE30" s="18">
        <f t="shared" ref="AE30:AI30" si="153">IF(OR(C31=""),"",(C31-C30)*80)</f>
        <v>3920</v>
      </c>
      <c r="AF30" s="18">
        <f t="shared" si="153"/>
        <v>960</v>
      </c>
      <c r="AG30" s="18">
        <f t="shared" si="153"/>
        <v>0</v>
      </c>
      <c r="AH30" s="18">
        <f t="shared" si="153"/>
        <v>1376.8</v>
      </c>
      <c r="AI30" s="18">
        <f t="shared" si="153"/>
        <v>1824.00000000023</v>
      </c>
      <c r="AJ30" s="18">
        <f t="shared" si="3"/>
        <v>8080.80000000024</v>
      </c>
      <c r="AK30" s="18">
        <f t="shared" ref="AK30:AN30" si="154">IF(OR(H31=""),"",(H31-H30)*80)</f>
        <v>0</v>
      </c>
      <c r="AL30" s="18">
        <f t="shared" si="154"/>
        <v>0</v>
      </c>
      <c r="AM30" s="18">
        <f t="shared" si="154"/>
        <v>0</v>
      </c>
      <c r="AN30" s="18">
        <f t="shared" si="154"/>
        <v>0</v>
      </c>
      <c r="AO30" s="18">
        <f t="shared" si="5"/>
        <v>0</v>
      </c>
      <c r="AP30" s="18">
        <f t="shared" ref="AP30:AS30" si="155">IF(OR(L31=""),"",(L31-L30)*100)</f>
        <v>1730.00000000029</v>
      </c>
      <c r="AQ30" s="18">
        <f t="shared" si="155"/>
        <v>0</v>
      </c>
      <c r="AR30" s="18">
        <f t="shared" si="155"/>
        <v>1680.00000000029</v>
      </c>
      <c r="AS30" s="18">
        <f t="shared" si="155"/>
        <v>2409.99999999913</v>
      </c>
      <c r="AT30" s="18">
        <f t="shared" si="7"/>
        <v>5819.99999999971</v>
      </c>
      <c r="AU30" s="18">
        <f t="shared" ref="AU30:AY30" si="156">IF(OR(P31=""),"",(P31-P30)*1000)</f>
        <v>600.000000000364</v>
      </c>
      <c r="AV30" s="18">
        <f t="shared" si="156"/>
        <v>1199.99999999982</v>
      </c>
      <c r="AW30" s="18">
        <f t="shared" si="156"/>
        <v>4000</v>
      </c>
      <c r="AX30" s="18">
        <f t="shared" si="156"/>
        <v>0</v>
      </c>
      <c r="AY30" s="18">
        <f t="shared" si="156"/>
        <v>8699.99999999982</v>
      </c>
      <c r="AZ30" s="18">
        <f t="shared" si="9"/>
        <v>14500</v>
      </c>
      <c r="BA30" s="18">
        <f t="shared" si="10"/>
        <v>7199.99999999709</v>
      </c>
      <c r="BB30" s="18">
        <f t="shared" si="11"/>
        <v>920</v>
      </c>
      <c r="BC30" s="18">
        <f t="shared" si="36"/>
        <v>1295.99999999948</v>
      </c>
      <c r="BD30" s="18">
        <f t="shared" si="12"/>
        <v>14383.2000000151</v>
      </c>
      <c r="BE30" s="18">
        <f t="shared" si="13"/>
        <v>52200.0000000116</v>
      </c>
      <c r="BF30" s="18">
        <f t="shared" si="14"/>
        <v>68.1000000000058</v>
      </c>
      <c r="BG30" s="21">
        <f t="shared" si="26"/>
        <v>0.328149163282571</v>
      </c>
      <c r="BH30" s="21">
        <f t="shared" si="27"/>
        <v>0.0507989992079173</v>
      </c>
      <c r="BI30" s="21">
        <f t="shared" si="28"/>
        <v>0</v>
      </c>
      <c r="BJ30" s="21">
        <f t="shared" si="29"/>
        <v>0.0365867457912651</v>
      </c>
      <c r="BK30" s="21">
        <f t="shared" ref="BK30:BO30" si="157">IF(OR($AD30=0),"",AZ30/$AD30)</f>
        <v>0.0911525453562493</v>
      </c>
      <c r="BL30" s="21">
        <f t="shared" si="157"/>
        <v>0.0452619535561882</v>
      </c>
      <c r="BM30" s="21">
        <f t="shared" si="157"/>
        <v>0.00578347184329306</v>
      </c>
      <c r="BN30" s="21">
        <f t="shared" si="157"/>
        <v>0.00814715164011389</v>
      </c>
      <c r="BO30" s="21">
        <f t="shared" si="157"/>
        <v>0.0904182958875437</v>
      </c>
    </row>
    <row r="31" spans="1:67">
      <c r="A31" s="9">
        <f t="shared" si="20"/>
        <v>44283</v>
      </c>
      <c r="B31" s="10">
        <v>16012.44</v>
      </c>
      <c r="C31" s="8">
        <v>86868.5</v>
      </c>
      <c r="D31" s="8">
        <v>55755.2</v>
      </c>
      <c r="E31" s="8">
        <v>55874.8</v>
      </c>
      <c r="F31" s="8">
        <v>3822.3</v>
      </c>
      <c r="G31" s="8">
        <v>109687.1</v>
      </c>
      <c r="H31" s="8">
        <v>5596.3</v>
      </c>
      <c r="I31" s="8">
        <v>2566.3</v>
      </c>
      <c r="J31" s="8">
        <v>967</v>
      </c>
      <c r="K31" s="8">
        <v>56</v>
      </c>
      <c r="L31" s="8">
        <v>88138.1</v>
      </c>
      <c r="M31" s="8">
        <v>61127.3</v>
      </c>
      <c r="N31" s="8">
        <v>69841.2</v>
      </c>
      <c r="O31" s="8">
        <v>100054.4</v>
      </c>
      <c r="P31" s="8">
        <v>5267.1</v>
      </c>
      <c r="Q31" s="8">
        <v>7124.7</v>
      </c>
      <c r="R31" s="8">
        <v>4366.3</v>
      </c>
      <c r="S31" s="8">
        <v>4993</v>
      </c>
      <c r="T31" s="8">
        <v>6126.4</v>
      </c>
      <c r="U31" s="8">
        <v>16808.5</v>
      </c>
      <c r="V31" s="8">
        <v>49534.4</v>
      </c>
      <c r="W31" s="8">
        <v>50257.7</v>
      </c>
      <c r="X31" s="8">
        <v>1395.5</v>
      </c>
      <c r="Y31" s="8">
        <v>1135.7</v>
      </c>
      <c r="Z31" s="16">
        <f t="shared" si="21"/>
        <v>52788.9</v>
      </c>
      <c r="AA31" s="8">
        <v>57934.3</v>
      </c>
      <c r="AB31" s="14">
        <v>2252</v>
      </c>
      <c r="AC31" s="7">
        <f t="shared" si="31"/>
        <v>60186.3</v>
      </c>
      <c r="AD31" s="17">
        <v>164269</v>
      </c>
      <c r="AE31" s="18">
        <f t="shared" ref="AE31:AI31" si="158">IF(OR(C32=""),"",(C32-C31)*80)</f>
        <v>3951.99999999953</v>
      </c>
      <c r="AF31" s="18">
        <f t="shared" si="158"/>
        <v>1704.00000000023</v>
      </c>
      <c r="AG31" s="18">
        <f t="shared" si="158"/>
        <v>0</v>
      </c>
      <c r="AH31" s="18">
        <f t="shared" si="158"/>
        <v>520</v>
      </c>
      <c r="AI31" s="18">
        <f t="shared" si="158"/>
        <v>2263.99999999907</v>
      </c>
      <c r="AJ31" s="18">
        <f t="shared" si="3"/>
        <v>8439.99999999884</v>
      </c>
      <c r="AK31" s="18">
        <f t="shared" ref="AK31:AN31" si="159">IF(OR(H32=""),"",(H32-H31)*80)</f>
        <v>0</v>
      </c>
      <c r="AL31" s="18">
        <f t="shared" si="159"/>
        <v>0</v>
      </c>
      <c r="AM31" s="18"/>
      <c r="AN31" s="18">
        <f t="shared" si="159"/>
        <v>0</v>
      </c>
      <c r="AO31" s="18">
        <f t="shared" si="5"/>
        <v>0</v>
      </c>
      <c r="AP31" s="18">
        <f t="shared" ref="AP31:AS31" si="160">IF(OR(L32=""),"",(L32-L31)*100)</f>
        <v>1739.99999999942</v>
      </c>
      <c r="AQ31" s="18">
        <f t="shared" si="160"/>
        <v>0</v>
      </c>
      <c r="AR31" s="18">
        <f t="shared" si="160"/>
        <v>1919.99999999971</v>
      </c>
      <c r="AS31" s="18">
        <f t="shared" si="160"/>
        <v>2440.00000000087</v>
      </c>
      <c r="AT31" s="18">
        <f t="shared" si="7"/>
        <v>6100</v>
      </c>
      <c r="AU31" s="18">
        <f t="shared" ref="AU31:AY31" si="161">IF(OR(P32=""),"",(P32-P31)*1000)</f>
        <v>0</v>
      </c>
      <c r="AV31" s="18">
        <f t="shared" si="161"/>
        <v>0</v>
      </c>
      <c r="AW31" s="18">
        <f t="shared" si="161"/>
        <v>4599.99999999945</v>
      </c>
      <c r="AX31" s="18">
        <f t="shared" si="161"/>
        <v>0</v>
      </c>
      <c r="AY31" s="18">
        <f t="shared" si="161"/>
        <v>8800.00000000018</v>
      </c>
      <c r="AZ31" s="18">
        <f t="shared" si="9"/>
        <v>13399.9999999996</v>
      </c>
      <c r="BA31" s="18">
        <f t="shared" si="10"/>
        <v>8599.99999999854</v>
      </c>
      <c r="BB31" s="18">
        <f t="shared" si="11"/>
        <v>1015.99999999977</v>
      </c>
      <c r="BC31" s="18">
        <f t="shared" si="36"/>
        <v>1348.00000000017</v>
      </c>
      <c r="BD31" s="18">
        <f t="shared" si="12"/>
        <v>14496.0000000045</v>
      </c>
      <c r="BE31" s="18">
        <f t="shared" si="13"/>
        <v>53400.0000000015</v>
      </c>
      <c r="BF31" s="18">
        <f t="shared" si="14"/>
        <v>64.3999999999942</v>
      </c>
      <c r="BG31" s="21">
        <f t="shared" si="26"/>
        <v>0.325076551266529</v>
      </c>
      <c r="BH31" s="21">
        <f t="shared" si="27"/>
        <v>0.0513791403125291</v>
      </c>
      <c r="BI31" s="21">
        <f t="shared" si="28"/>
        <v>0</v>
      </c>
      <c r="BJ31" s="21">
        <f t="shared" si="29"/>
        <v>0.0371342127851268</v>
      </c>
      <c r="BK31" s="21">
        <f t="shared" ref="BK31:BO31" si="162">IF(OR($AD31=0),"",AZ31/$AD31)</f>
        <v>0.0815735166099485</v>
      </c>
      <c r="BL31" s="21">
        <f t="shared" si="162"/>
        <v>0.0523531524511536</v>
      </c>
      <c r="BM31" s="21">
        <f t="shared" si="162"/>
        <v>0.00618497708027545</v>
      </c>
      <c r="BN31" s="21">
        <f t="shared" si="162"/>
        <v>0.00820605226792745</v>
      </c>
      <c r="BO31" s="21">
        <f t="shared" si="162"/>
        <v>0.0882454997595681</v>
      </c>
    </row>
    <row r="32" spans="1:67">
      <c r="A32" s="9">
        <f t="shared" si="20"/>
        <v>44284</v>
      </c>
      <c r="B32" s="10">
        <v>16017.78</v>
      </c>
      <c r="C32" s="8">
        <v>86917.9</v>
      </c>
      <c r="D32" s="8">
        <v>55776.5</v>
      </c>
      <c r="E32" s="8">
        <v>55874.8</v>
      </c>
      <c r="F32" s="8">
        <v>3828.8</v>
      </c>
      <c r="G32" s="8">
        <v>109715.4</v>
      </c>
      <c r="H32" s="8">
        <v>5596.3</v>
      </c>
      <c r="I32" s="8">
        <v>2566.3</v>
      </c>
      <c r="J32" s="8">
        <v>967</v>
      </c>
      <c r="K32" s="8">
        <v>56</v>
      </c>
      <c r="L32" s="8">
        <v>88155.5</v>
      </c>
      <c r="M32" s="8">
        <v>61127.3</v>
      </c>
      <c r="N32" s="8">
        <v>69860.4</v>
      </c>
      <c r="O32" s="8">
        <v>100078.8</v>
      </c>
      <c r="P32" s="8">
        <v>5267.1</v>
      </c>
      <c r="Q32" s="8">
        <v>7124.7</v>
      </c>
      <c r="R32" s="8">
        <v>4370.9</v>
      </c>
      <c r="S32" s="8">
        <v>4993</v>
      </c>
      <c r="T32" s="8">
        <v>6135.2</v>
      </c>
      <c r="U32" s="8">
        <v>16812.8</v>
      </c>
      <c r="V32" s="8">
        <v>49547.1</v>
      </c>
      <c r="W32" s="8">
        <v>50275.1</v>
      </c>
      <c r="X32" s="8">
        <v>1404.3</v>
      </c>
      <c r="Y32" s="8">
        <v>1143.2</v>
      </c>
      <c r="Z32" s="16">
        <f t="shared" si="21"/>
        <v>52822.6</v>
      </c>
      <c r="AA32" s="8">
        <v>57975.7</v>
      </c>
      <c r="AB32" s="14">
        <v>2275</v>
      </c>
      <c r="AC32" s="7">
        <f t="shared" si="31"/>
        <v>60250.7</v>
      </c>
      <c r="AD32" s="17">
        <v>165370</v>
      </c>
      <c r="AE32" s="18">
        <f t="shared" ref="AE32:AI32" si="163">IF(OR(C33=""),"",(C33-C32)*80)</f>
        <v>3888.00000000047</v>
      </c>
      <c r="AF32" s="18">
        <f t="shared" si="163"/>
        <v>247.999999999884</v>
      </c>
      <c r="AG32" s="18">
        <f t="shared" si="163"/>
        <v>0</v>
      </c>
      <c r="AH32" s="18">
        <f t="shared" si="163"/>
        <v>1798.4</v>
      </c>
      <c r="AI32" s="18">
        <f t="shared" si="163"/>
        <v>1872.0000000007</v>
      </c>
      <c r="AJ32" s="18">
        <f t="shared" si="3"/>
        <v>7806.40000000105</v>
      </c>
      <c r="AK32" s="18">
        <f t="shared" ref="AK32:AN32" si="164">IF(OR(H33=""),"",(H33-H32)*80)</f>
        <v>0</v>
      </c>
      <c r="AL32" s="18">
        <f t="shared" si="164"/>
        <v>0</v>
      </c>
      <c r="AM32" s="18">
        <f t="shared" si="164"/>
        <v>0</v>
      </c>
      <c r="AN32" s="18">
        <f t="shared" si="164"/>
        <v>0</v>
      </c>
      <c r="AO32" s="18">
        <f t="shared" si="5"/>
        <v>0</v>
      </c>
      <c r="AP32" s="18">
        <f t="shared" ref="AP32:AS32" si="165">IF(OR(L33=""),"",(L33-L32)*100)</f>
        <v>1800</v>
      </c>
      <c r="AQ32" s="18">
        <f t="shared" si="165"/>
        <v>0</v>
      </c>
      <c r="AR32" s="18">
        <f t="shared" si="165"/>
        <v>2020.00000000116</v>
      </c>
      <c r="AS32" s="18">
        <f t="shared" si="165"/>
        <v>2330.00000000029</v>
      </c>
      <c r="AT32" s="18">
        <f t="shared" si="7"/>
        <v>6150.00000000146</v>
      </c>
      <c r="AU32" s="18">
        <f t="shared" ref="AU32:AY32" si="166">IF(OR(P33=""),"",(P33-P32)*1000)</f>
        <v>1099.99999999945</v>
      </c>
      <c r="AV32" s="18">
        <f t="shared" si="166"/>
        <v>0</v>
      </c>
      <c r="AW32" s="18">
        <f t="shared" si="166"/>
        <v>3500</v>
      </c>
      <c r="AX32" s="18">
        <f t="shared" si="166"/>
        <v>0</v>
      </c>
      <c r="AY32" s="18">
        <f t="shared" si="166"/>
        <v>9100.00000000036</v>
      </c>
      <c r="AZ32" s="18">
        <f t="shared" si="9"/>
        <v>13699.9999999998</v>
      </c>
      <c r="BA32" s="18">
        <f t="shared" si="10"/>
        <v>8800.00000000291</v>
      </c>
      <c r="BB32" s="18">
        <f t="shared" si="11"/>
        <v>712.000000000116</v>
      </c>
      <c r="BC32" s="18">
        <f t="shared" si="36"/>
        <v>1307.99999999988</v>
      </c>
      <c r="BD32" s="18">
        <f t="shared" si="12"/>
        <v>14123.5999999969</v>
      </c>
      <c r="BE32" s="18">
        <f t="shared" si="13"/>
        <v>52600.0000000022</v>
      </c>
      <c r="BF32" s="18">
        <f t="shared" si="14"/>
        <v>68.3000000000029</v>
      </c>
      <c r="BG32" s="21">
        <f t="shared" si="26"/>
        <v>0.318074620547876</v>
      </c>
      <c r="BH32" s="21">
        <f t="shared" si="27"/>
        <v>0.0472056600350792</v>
      </c>
      <c r="BI32" s="21">
        <f t="shared" si="28"/>
        <v>0</v>
      </c>
      <c r="BJ32" s="21">
        <f t="shared" si="29"/>
        <v>0.037189333010833</v>
      </c>
      <c r="BK32" s="21">
        <f t="shared" ref="BK32:BO32" si="167">IF(OR($AD32=0),"",AZ32/$AD32)</f>
        <v>0.0828445304468756</v>
      </c>
      <c r="BL32" s="21">
        <f t="shared" si="167"/>
        <v>0.0532140049585953</v>
      </c>
      <c r="BM32" s="21">
        <f t="shared" si="167"/>
        <v>0.00430549676483108</v>
      </c>
      <c r="BN32" s="21">
        <f t="shared" si="167"/>
        <v>0.00790953619156971</v>
      </c>
      <c r="BO32" s="21">
        <f t="shared" si="167"/>
        <v>0.0854060591400916</v>
      </c>
    </row>
    <row r="33" spans="1:67">
      <c r="A33" s="9">
        <f t="shared" si="20"/>
        <v>44285</v>
      </c>
      <c r="B33" s="10">
        <v>16023.04</v>
      </c>
      <c r="C33" s="8">
        <v>86966.5</v>
      </c>
      <c r="D33" s="8">
        <v>55779.6</v>
      </c>
      <c r="E33" s="8">
        <v>55874.8</v>
      </c>
      <c r="F33" s="8">
        <v>3851.28</v>
      </c>
      <c r="G33" s="8">
        <v>109738.8</v>
      </c>
      <c r="H33" s="8">
        <v>5596.3</v>
      </c>
      <c r="I33" s="8">
        <v>2566.3</v>
      </c>
      <c r="J33" s="8">
        <v>967</v>
      </c>
      <c r="K33" s="8">
        <v>56</v>
      </c>
      <c r="L33" s="8">
        <v>88173.5</v>
      </c>
      <c r="M33" s="8">
        <v>61127.3</v>
      </c>
      <c r="N33" s="8">
        <v>69880.6</v>
      </c>
      <c r="O33" s="8">
        <v>100102.1</v>
      </c>
      <c r="P33" s="8">
        <v>5268.2</v>
      </c>
      <c r="Q33" s="8">
        <v>7124.7</v>
      </c>
      <c r="R33" s="8">
        <v>4374.4</v>
      </c>
      <c r="S33" s="8">
        <v>4993</v>
      </c>
      <c r="T33" s="8">
        <v>6144.3</v>
      </c>
      <c r="U33" s="8">
        <v>16817.2</v>
      </c>
      <c r="V33" s="8">
        <v>49556</v>
      </c>
      <c r="W33" s="8">
        <v>50292.2</v>
      </c>
      <c r="X33" s="8">
        <v>1412.7</v>
      </c>
      <c r="Y33" s="8">
        <v>1150.4</v>
      </c>
      <c r="Z33" s="16">
        <f t="shared" si="21"/>
        <v>52855.3</v>
      </c>
      <c r="AA33" s="8">
        <v>58017</v>
      </c>
      <c r="AB33" s="14">
        <v>2302</v>
      </c>
      <c r="AC33" s="7">
        <f t="shared" si="31"/>
        <v>60319</v>
      </c>
      <c r="AD33" s="17">
        <v>166798</v>
      </c>
      <c r="AE33" s="18">
        <f t="shared" ref="AE33:AI33" si="168">IF(OR(C34=""),"",(C34-C33)*80)</f>
        <v>3815.99999999977</v>
      </c>
      <c r="AF33" s="18">
        <f t="shared" si="168"/>
        <v>104.000000000233</v>
      </c>
      <c r="AG33" s="18">
        <f t="shared" si="168"/>
        <v>0</v>
      </c>
      <c r="AH33" s="18">
        <f t="shared" si="168"/>
        <v>1839.19999999998</v>
      </c>
      <c r="AI33" s="18">
        <f t="shared" si="168"/>
        <v>2151.99999999953</v>
      </c>
      <c r="AJ33" s="18">
        <f t="shared" si="3"/>
        <v>7911.19999999952</v>
      </c>
      <c r="AK33" s="18">
        <f t="shared" ref="AK33:AN33" si="169">IF(OR(H34=""),"",(H34-H33)*80)</f>
        <v>0</v>
      </c>
      <c r="AL33" s="18">
        <f t="shared" si="169"/>
        <v>0</v>
      </c>
      <c r="AM33" s="18">
        <f t="shared" si="169"/>
        <v>0</v>
      </c>
      <c r="AN33" s="18">
        <f t="shared" si="169"/>
        <v>0</v>
      </c>
      <c r="AO33" s="18">
        <f t="shared" si="5"/>
        <v>0</v>
      </c>
      <c r="AP33" s="18">
        <f t="shared" ref="AP33:AS33" si="170">IF(OR(L34=""),"",(L34-L33)*100)</f>
        <v>1919.99999999971</v>
      </c>
      <c r="AQ33" s="18">
        <f t="shared" si="170"/>
        <v>0</v>
      </c>
      <c r="AR33" s="18">
        <f t="shared" si="170"/>
        <v>2019.99999999971</v>
      </c>
      <c r="AS33" s="18">
        <f t="shared" si="170"/>
        <v>2339.99999999942</v>
      </c>
      <c r="AT33" s="18">
        <f t="shared" si="7"/>
        <v>6279.99999999884</v>
      </c>
      <c r="AU33" s="18">
        <f t="shared" ref="AU33:AY33" si="171">IF(OR(P34=""),"",(P34-P33)*1000)</f>
        <v>900.000000000546</v>
      </c>
      <c r="AV33" s="18">
        <f t="shared" si="171"/>
        <v>0</v>
      </c>
      <c r="AW33" s="18">
        <f t="shared" si="171"/>
        <v>3300.00000000018</v>
      </c>
      <c r="AX33" s="18">
        <f t="shared" si="171"/>
        <v>0</v>
      </c>
      <c r="AY33" s="18">
        <f t="shared" si="171"/>
        <v>8399.99999999964</v>
      </c>
      <c r="AZ33" s="18">
        <f t="shared" si="9"/>
        <v>12600.0000000004</v>
      </c>
      <c r="BA33" s="18">
        <f t="shared" si="10"/>
        <v>9000</v>
      </c>
      <c r="BB33" s="18">
        <f t="shared" si="11"/>
        <v>592.000000000116</v>
      </c>
      <c r="BC33" s="18">
        <f t="shared" si="36"/>
        <v>1303.99999999994</v>
      </c>
      <c r="BD33" s="18">
        <f t="shared" si="12"/>
        <v>13712.7999999954</v>
      </c>
      <c r="BE33" s="18">
        <f t="shared" si="13"/>
        <v>51399.9999999942</v>
      </c>
      <c r="BF33" s="18">
        <f t="shared" si="14"/>
        <v>67.3000000000029</v>
      </c>
      <c r="BG33" s="21">
        <f t="shared" si="26"/>
        <v>0.308157172148312</v>
      </c>
      <c r="BH33" s="21">
        <f t="shared" si="27"/>
        <v>0.0474298252976625</v>
      </c>
      <c r="BI33" s="21">
        <f t="shared" si="28"/>
        <v>0</v>
      </c>
      <c r="BJ33" s="21">
        <f t="shared" si="29"/>
        <v>0.0376503315387405</v>
      </c>
      <c r="BK33" s="21">
        <f t="shared" ref="BK33:BO33" si="172">IF(OR($AD33=0),"",AZ33/$AD33)</f>
        <v>0.0755404741064063</v>
      </c>
      <c r="BL33" s="21">
        <f t="shared" si="172"/>
        <v>0.0539574815045744</v>
      </c>
      <c r="BM33" s="21">
        <f t="shared" si="172"/>
        <v>0.00354920322785715</v>
      </c>
      <c r="BN33" s="21">
        <f t="shared" si="172"/>
        <v>0.00781783954244021</v>
      </c>
      <c r="BO33" s="21">
        <f t="shared" si="172"/>
        <v>0.0822120169306311</v>
      </c>
    </row>
    <row r="34" spans="1:67">
      <c r="A34" s="9">
        <f t="shared" si="20"/>
        <v>44286</v>
      </c>
      <c r="B34" s="7">
        <v>16028.18</v>
      </c>
      <c r="C34" s="8">
        <v>87014.2</v>
      </c>
      <c r="D34" s="8">
        <v>55780.9</v>
      </c>
      <c r="E34" s="8">
        <v>55874.8</v>
      </c>
      <c r="F34" s="8">
        <v>3874.27</v>
      </c>
      <c r="G34" s="8">
        <v>109765.7</v>
      </c>
      <c r="H34" s="8">
        <v>5596.3</v>
      </c>
      <c r="I34" s="8">
        <v>2566.3</v>
      </c>
      <c r="J34" s="8">
        <v>967</v>
      </c>
      <c r="K34" s="8">
        <v>56</v>
      </c>
      <c r="L34" s="8">
        <v>88192.7</v>
      </c>
      <c r="M34" s="8">
        <v>61127.3</v>
      </c>
      <c r="N34" s="8">
        <v>69900.8</v>
      </c>
      <c r="O34" s="8">
        <v>100125.5</v>
      </c>
      <c r="P34" s="8">
        <v>5269.1</v>
      </c>
      <c r="Q34" s="8">
        <v>7124.7</v>
      </c>
      <c r="R34" s="8">
        <v>4377.7</v>
      </c>
      <c r="S34" s="8">
        <v>4993</v>
      </c>
      <c r="T34" s="8">
        <v>6152.7</v>
      </c>
      <c r="U34" s="8">
        <v>16821.7</v>
      </c>
      <c r="V34" s="8">
        <v>49563.4</v>
      </c>
      <c r="W34" s="8">
        <v>50309.2</v>
      </c>
      <c r="X34" s="8">
        <v>1421.2</v>
      </c>
      <c r="Y34" s="8">
        <v>1157.5</v>
      </c>
      <c r="Z34" s="16">
        <f t="shared" si="21"/>
        <v>52887.9</v>
      </c>
      <c r="AA34" s="8">
        <v>58060.3</v>
      </c>
      <c r="AB34" s="14">
        <v>2326</v>
      </c>
      <c r="AC34" s="7">
        <f t="shared" si="31"/>
        <v>60386.3</v>
      </c>
      <c r="AD34" s="17">
        <v>176179</v>
      </c>
      <c r="AE34" s="18">
        <f t="shared" ref="AE34:AI34" si="173">IF(OR(C35=""),"",(C35-C34)*80)</f>
        <v>3848.00000000047</v>
      </c>
      <c r="AF34" s="18">
        <f t="shared" si="173"/>
        <v>287.999999999884</v>
      </c>
      <c r="AG34" s="18">
        <f t="shared" si="173"/>
        <v>0</v>
      </c>
      <c r="AH34" s="18">
        <f t="shared" si="173"/>
        <v>1888.80000000001</v>
      </c>
      <c r="AI34" s="18">
        <f t="shared" si="173"/>
        <v>2175.99999999977</v>
      </c>
      <c r="AJ34" s="18">
        <f t="shared" si="3"/>
        <v>8200.80000000013</v>
      </c>
      <c r="AK34" s="18">
        <f t="shared" ref="AK34:AN34" si="174">IF(OR(H35=""),"",(H35-H34)*80)</f>
        <v>0</v>
      </c>
      <c r="AL34" s="18">
        <f t="shared" si="174"/>
        <v>0</v>
      </c>
      <c r="AM34" s="18">
        <f t="shared" si="174"/>
        <v>0</v>
      </c>
      <c r="AN34" s="18">
        <f t="shared" si="174"/>
        <v>0</v>
      </c>
      <c r="AO34" s="18">
        <f t="shared" si="5"/>
        <v>0</v>
      </c>
      <c r="AP34" s="18">
        <f t="shared" ref="AP34:AS34" si="175">IF(OR(L35=""),"",(L35-L34)*100)</f>
        <v>1930.00000000029</v>
      </c>
      <c r="AQ34" s="18">
        <f t="shared" si="175"/>
        <v>2629.99999999956</v>
      </c>
      <c r="AR34" s="18">
        <f t="shared" si="175"/>
        <v>200</v>
      </c>
      <c r="AS34" s="18">
        <f t="shared" si="175"/>
        <v>2450</v>
      </c>
      <c r="AT34" s="18">
        <f t="shared" si="7"/>
        <v>7209.99999999985</v>
      </c>
      <c r="AU34" s="18">
        <f t="shared" ref="AU34:AY34" si="176">IF(OR(P35=""),"",(P35-P34)*1000)</f>
        <v>1000</v>
      </c>
      <c r="AV34" s="18">
        <f t="shared" si="176"/>
        <v>0</v>
      </c>
      <c r="AW34" s="18">
        <f t="shared" si="176"/>
        <v>2900.00000000055</v>
      </c>
      <c r="AX34" s="18">
        <f t="shared" si="176"/>
        <v>0</v>
      </c>
      <c r="AY34" s="18">
        <f t="shared" si="176"/>
        <v>8400.00000000055</v>
      </c>
      <c r="AZ34" s="18">
        <f t="shared" si="9"/>
        <v>12300.0000000011</v>
      </c>
      <c r="BA34" s="18">
        <f t="shared" si="10"/>
        <v>9799.99999999563</v>
      </c>
      <c r="BB34" s="18">
        <f t="shared" si="11"/>
        <v>567.999999999884</v>
      </c>
      <c r="BC34" s="18">
        <f t="shared" si="36"/>
        <v>1300.00000000029</v>
      </c>
      <c r="BD34" s="18">
        <f t="shared" si="12"/>
        <v>13121.2000000031</v>
      </c>
      <c r="BE34" s="18">
        <f t="shared" si="13"/>
        <v>52500</v>
      </c>
      <c r="BF34" s="18">
        <f t="shared" si="14"/>
        <v>67</v>
      </c>
      <c r="BG34" s="21">
        <f t="shared" si="26"/>
        <v>0.297992382747092</v>
      </c>
      <c r="BH34" s="21">
        <f t="shared" si="27"/>
        <v>0.0465481129987123</v>
      </c>
      <c r="BI34" s="21">
        <f t="shared" si="28"/>
        <v>0</v>
      </c>
      <c r="BJ34" s="21">
        <f t="shared" si="29"/>
        <v>0.0409242872305999</v>
      </c>
      <c r="BK34" s="21">
        <f t="shared" ref="BK34:BO34" si="177">IF(OR($AD34=0),"",AZ34/$AD34)</f>
        <v>0.0698153582436107</v>
      </c>
      <c r="BL34" s="21">
        <f t="shared" si="177"/>
        <v>0.0556252447794325</v>
      </c>
      <c r="BM34" s="21">
        <f t="shared" si="177"/>
        <v>0.0032239937790536</v>
      </c>
      <c r="BN34" s="21">
        <f t="shared" si="177"/>
        <v>0.00737885900135823</v>
      </c>
      <c r="BO34" s="21">
        <f t="shared" si="177"/>
        <v>0.0744765267143253</v>
      </c>
    </row>
    <row r="35" spans="1:67">
      <c r="A35" s="9">
        <f t="shared" si="20"/>
        <v>44287</v>
      </c>
      <c r="B35" s="10">
        <v>16033.43</v>
      </c>
      <c r="C35" s="11">
        <v>87062.3</v>
      </c>
      <c r="D35" s="11">
        <v>55784.5</v>
      </c>
      <c r="E35" s="11">
        <v>55874.8</v>
      </c>
      <c r="F35" s="11">
        <v>3897.88</v>
      </c>
      <c r="G35" s="11">
        <v>109792.9</v>
      </c>
      <c r="H35" s="8">
        <v>5596.3</v>
      </c>
      <c r="I35" s="8">
        <v>2566.3</v>
      </c>
      <c r="J35" s="8">
        <v>967</v>
      </c>
      <c r="K35" s="8">
        <v>56</v>
      </c>
      <c r="L35" s="11">
        <v>88212</v>
      </c>
      <c r="M35" s="11">
        <v>61153.6</v>
      </c>
      <c r="N35" s="11">
        <v>69902.8</v>
      </c>
      <c r="O35" s="11">
        <v>100150</v>
      </c>
      <c r="P35" s="11">
        <v>5270.1</v>
      </c>
      <c r="Q35" s="11">
        <v>7124.7</v>
      </c>
      <c r="R35" s="11">
        <v>4380.6</v>
      </c>
      <c r="S35" s="11">
        <v>4993</v>
      </c>
      <c r="T35" s="11">
        <v>6161.1</v>
      </c>
      <c r="U35" s="11">
        <v>16826.6</v>
      </c>
      <c r="V35" s="11">
        <v>49570.5</v>
      </c>
      <c r="W35" s="11">
        <v>50326.3</v>
      </c>
      <c r="X35" s="11">
        <v>1429.6</v>
      </c>
      <c r="Y35" s="11">
        <v>1164.5</v>
      </c>
      <c r="Z35" s="16">
        <f t="shared" si="21"/>
        <v>52920.4</v>
      </c>
      <c r="AA35" s="11">
        <v>58103.3</v>
      </c>
      <c r="AB35" s="3">
        <v>2350</v>
      </c>
      <c r="AC35" s="3">
        <f t="shared" si="31"/>
        <v>60453.3</v>
      </c>
      <c r="BE35" s="22" t="s">
        <v>44</v>
      </c>
      <c r="BF35" s="22" t="s">
        <v>19</v>
      </c>
      <c r="BG35" s="23">
        <f>SUM(BE4:BE34)</f>
        <v>1618500</v>
      </c>
      <c r="BH35" s="23">
        <f>SUM(AJ4:AJ34)</f>
        <v>243260.8</v>
      </c>
      <c r="BI35" s="23">
        <f>SUM(AO4:AO34)</f>
        <v>0</v>
      </c>
      <c r="BJ35" s="23">
        <f>SUM(AT4:AT34)</f>
        <v>203039.999999999</v>
      </c>
      <c r="BK35" s="23">
        <f t="shared" ref="BK35:BO35" si="178">SUM(AZ4:AZ34)</f>
        <v>378300</v>
      </c>
      <c r="BL35" s="23">
        <f t="shared" si="178"/>
        <v>259399.999999994</v>
      </c>
      <c r="BM35" s="23">
        <f t="shared" si="178"/>
        <v>31015.9999999998</v>
      </c>
      <c r="BN35" s="23">
        <f t="shared" si="178"/>
        <v>42248.0000000002</v>
      </c>
      <c r="BO35" s="23">
        <f t="shared" si="178"/>
        <v>461235.20000001</v>
      </c>
    </row>
    <row r="36" spans="37:67"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22">
        <f>SUM(AD4:AD34)</f>
        <v>5399710</v>
      </c>
      <c r="BF36" s="22" t="s">
        <v>21</v>
      </c>
      <c r="BG36" s="24">
        <f>IF(OR(BG35=0),"",ROUND(BG35/$BE$36,3))</f>
        <v>0.3</v>
      </c>
      <c r="BH36" s="24">
        <f t="shared" ref="BH36:BO36" si="179">IF(OR(BH35=0),"",ROUND(BH35/$BE$36,4))</f>
        <v>0.0451</v>
      </c>
      <c r="BI36" s="24" t="str">
        <f t="shared" si="179"/>
        <v/>
      </c>
      <c r="BJ36" s="24">
        <f t="shared" si="179"/>
        <v>0.0376</v>
      </c>
      <c r="BK36" s="24">
        <f t="shared" si="179"/>
        <v>0.0701</v>
      </c>
      <c r="BL36" s="24">
        <f t="shared" si="179"/>
        <v>0.048</v>
      </c>
      <c r="BM36" s="24">
        <f t="shared" si="179"/>
        <v>0.0057</v>
      </c>
      <c r="BN36" s="24">
        <f t="shared" si="179"/>
        <v>0.0078</v>
      </c>
      <c r="BO36" s="24">
        <f t="shared" si="179"/>
        <v>0.0854</v>
      </c>
    </row>
  </sheetData>
  <mergeCells count="35">
    <mergeCell ref="A1:BO1"/>
    <mergeCell ref="C2:G2"/>
    <mergeCell ref="H2:K2"/>
    <mergeCell ref="L2:O2"/>
    <mergeCell ref="P2:T2"/>
    <mergeCell ref="X2:Y2"/>
    <mergeCell ref="AE2:AJ2"/>
    <mergeCell ref="AK2:AO2"/>
    <mergeCell ref="AP2:AT2"/>
    <mergeCell ref="AU2:AZ2"/>
    <mergeCell ref="A2:A3"/>
    <mergeCell ref="B2:B3"/>
    <mergeCell ref="U2:U3"/>
    <mergeCell ref="V2:V3"/>
    <mergeCell ref="W2:W3"/>
    <mergeCell ref="Z2:Z3"/>
    <mergeCell ref="AA2:AA3"/>
    <mergeCell ref="AB2:AB3"/>
    <mergeCell ref="AC2:AC3"/>
    <mergeCell ref="AD2:AD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"/>
  <sheetViews>
    <sheetView showGridLines="0" zoomScale="120" zoomScaleNormal="120" workbookViewId="0">
      <pane xSplit="1" ySplit="3" topLeftCell="AJ7" activePane="bottomRight" state="frozen"/>
      <selection/>
      <selection pane="topRight"/>
      <selection pane="bottomLeft"/>
      <selection pane="bottomRight" activeCell="BC7" sqref="BC7:BC33"/>
    </sheetView>
  </sheetViews>
  <sheetFormatPr defaultColWidth="9" defaultRowHeight="14.25"/>
  <cols>
    <col min="1" max="1" width="7" style="1" customWidth="1"/>
    <col min="2" max="2" width="8.375" style="2" customWidth="1"/>
    <col min="3" max="6" width="7.5" style="3" customWidth="1"/>
    <col min="7" max="7" width="9" style="3" customWidth="1"/>
    <col min="8" max="9" width="6.625" style="3" customWidth="1"/>
    <col min="10" max="10" width="5.75" style="3" customWidth="1"/>
    <col min="11" max="11" width="4.875" style="3" customWidth="1"/>
    <col min="12" max="12" width="7.75" style="3" customWidth="1"/>
    <col min="13" max="14" width="7.5" style="3" customWidth="1"/>
    <col min="15" max="15" width="8.625" style="3" customWidth="1"/>
    <col min="16" max="20" width="6.625" style="3" customWidth="1"/>
    <col min="21" max="24" width="7.5" style="3" customWidth="1"/>
    <col min="25" max="26" width="8.25" style="3" customWidth="1"/>
    <col min="27" max="28" width="7.5" style="3" customWidth="1"/>
    <col min="29" max="29" width="8.375" style="3" customWidth="1"/>
    <col min="30" max="30" width="9.375" style="3" customWidth="1"/>
    <col min="31" max="31" width="5.125" style="1" customWidth="1"/>
    <col min="32" max="32" width="4.625" style="1" customWidth="1"/>
    <col min="33" max="33" width="4" style="1" customWidth="1"/>
    <col min="34" max="34" width="4.75" style="1" customWidth="1"/>
    <col min="35" max="35" width="5.5" style="1" customWidth="1"/>
    <col min="36" max="36" width="6.625" style="1" customWidth="1"/>
    <col min="37" max="40" width="4" style="1" customWidth="1"/>
    <col min="41" max="41" width="6.625" style="1" customWidth="1"/>
    <col min="42" max="42" width="5" style="1" customWidth="1"/>
    <col min="43" max="43" width="5.75" style="1" customWidth="1"/>
    <col min="44" max="44" width="5.5" style="1" customWidth="1"/>
    <col min="45" max="45" width="4.75" style="1" customWidth="1"/>
    <col min="46" max="46" width="6.625" style="1" customWidth="1"/>
    <col min="47" max="51" width="5.5" style="1" customWidth="1"/>
    <col min="52" max="55" width="6.625" style="1" customWidth="1"/>
    <col min="56" max="56" width="8.125" style="1" customWidth="1"/>
    <col min="57" max="57" width="5.875" style="1" customWidth="1"/>
    <col min="58" max="58" width="6.625" style="1" customWidth="1"/>
    <col min="59" max="59" width="6" style="1" customWidth="1"/>
    <col min="60" max="60" width="7" style="1" customWidth="1"/>
    <col min="61" max="61" width="7.25" style="1" customWidth="1"/>
    <col min="62" max="62" width="6.625" style="1" customWidth="1"/>
    <col min="63" max="64" width="6.875" style="1" customWidth="1"/>
    <col min="65" max="65" width="7.5" style="1" customWidth="1"/>
    <col min="66" max="66" width="6.625" style="1" customWidth="1"/>
    <col min="67" max="67" width="6.75" style="1" customWidth="1"/>
    <col min="68" max="16384" width="9" style="1"/>
  </cols>
  <sheetData>
    <row r="1" spans="1:6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25"/>
    </row>
    <row r="2" spans="1:67">
      <c r="A2" s="6"/>
      <c r="B2" s="7" t="s">
        <v>0</v>
      </c>
      <c r="C2" s="8" t="s">
        <v>1</v>
      </c>
      <c r="D2" s="8"/>
      <c r="E2" s="8"/>
      <c r="F2" s="8"/>
      <c r="G2" s="8"/>
      <c r="H2" s="8" t="s">
        <v>2</v>
      </c>
      <c r="I2" s="8"/>
      <c r="J2" s="8"/>
      <c r="K2" s="8"/>
      <c r="L2" s="8" t="s">
        <v>3</v>
      </c>
      <c r="M2" s="8"/>
      <c r="N2" s="8"/>
      <c r="O2" s="8"/>
      <c r="P2" s="8" t="s">
        <v>4</v>
      </c>
      <c r="Q2" s="8"/>
      <c r="R2" s="8"/>
      <c r="S2" s="8"/>
      <c r="T2" s="8"/>
      <c r="U2" s="8" t="s">
        <v>5</v>
      </c>
      <c r="V2" s="8" t="s">
        <v>6</v>
      </c>
      <c r="W2" s="8" t="s">
        <v>7</v>
      </c>
      <c r="X2" s="12" t="s">
        <v>8</v>
      </c>
      <c r="Y2" s="14"/>
      <c r="Z2" s="8" t="s">
        <v>9</v>
      </c>
      <c r="AA2" s="8" t="s">
        <v>10</v>
      </c>
      <c r="AB2" s="8" t="s">
        <v>11</v>
      </c>
      <c r="AC2" s="8" t="s">
        <v>12</v>
      </c>
      <c r="AD2" s="6" t="s">
        <v>13</v>
      </c>
      <c r="AE2" s="15" t="s">
        <v>14</v>
      </c>
      <c r="AF2" s="15"/>
      <c r="AG2" s="15"/>
      <c r="AH2" s="15"/>
      <c r="AI2" s="15"/>
      <c r="AJ2" s="15"/>
      <c r="AK2" s="15" t="s">
        <v>2</v>
      </c>
      <c r="AL2" s="15"/>
      <c r="AM2" s="15"/>
      <c r="AN2" s="15"/>
      <c r="AO2" s="15"/>
      <c r="AP2" s="15" t="s">
        <v>3</v>
      </c>
      <c r="AQ2" s="15"/>
      <c r="AR2" s="15"/>
      <c r="AS2" s="15"/>
      <c r="AT2" s="15"/>
      <c r="AU2" s="15" t="s">
        <v>4</v>
      </c>
      <c r="AV2" s="15"/>
      <c r="AW2" s="15"/>
      <c r="AX2" s="15"/>
      <c r="AY2" s="15"/>
      <c r="AZ2" s="15"/>
      <c r="BA2" s="15" t="s">
        <v>15</v>
      </c>
      <c r="BB2" s="15" t="s">
        <v>16</v>
      </c>
      <c r="BC2" s="15" t="s">
        <v>17</v>
      </c>
      <c r="BD2" s="15" t="s">
        <v>18</v>
      </c>
      <c r="BE2" s="15" t="s">
        <v>19</v>
      </c>
      <c r="BF2" s="15" t="s">
        <v>20</v>
      </c>
      <c r="BG2" s="21" t="s">
        <v>21</v>
      </c>
      <c r="BH2" s="21" t="s">
        <v>22</v>
      </c>
      <c r="BI2" s="21" t="s">
        <v>23</v>
      </c>
      <c r="BJ2" s="21" t="s">
        <v>24</v>
      </c>
      <c r="BK2" s="21" t="s">
        <v>25</v>
      </c>
      <c r="BL2" s="21" t="s">
        <v>26</v>
      </c>
      <c r="BM2" s="21" t="s">
        <v>27</v>
      </c>
      <c r="BN2" s="21" t="s">
        <v>28</v>
      </c>
      <c r="BO2" s="21" t="s">
        <v>29</v>
      </c>
    </row>
    <row r="3" spans="1:67">
      <c r="A3" s="6"/>
      <c r="B3" s="7"/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/>
      <c r="V3" s="8"/>
      <c r="W3" s="8"/>
      <c r="X3" s="8" t="s">
        <v>40</v>
      </c>
      <c r="Y3" s="8" t="s">
        <v>41</v>
      </c>
      <c r="Z3" s="8"/>
      <c r="AA3" s="8"/>
      <c r="AB3" s="8"/>
      <c r="AC3" s="8"/>
      <c r="AD3" s="6"/>
      <c r="AE3" s="15" t="s">
        <v>30</v>
      </c>
      <c r="AF3" s="15" t="s">
        <v>31</v>
      </c>
      <c r="AG3" s="15" t="s">
        <v>32</v>
      </c>
      <c r="AH3" s="15" t="s">
        <v>33</v>
      </c>
      <c r="AI3" s="15" t="s">
        <v>34</v>
      </c>
      <c r="AJ3" s="15" t="s">
        <v>42</v>
      </c>
      <c r="AK3" s="15" t="s">
        <v>30</v>
      </c>
      <c r="AL3" s="15" t="s">
        <v>31</v>
      </c>
      <c r="AM3" s="15" t="s">
        <v>32</v>
      </c>
      <c r="AN3" s="15" t="s">
        <v>33</v>
      </c>
      <c r="AO3" s="15" t="s">
        <v>42</v>
      </c>
      <c r="AP3" s="15" t="s">
        <v>30</v>
      </c>
      <c r="AQ3" s="15" t="s">
        <v>31</v>
      </c>
      <c r="AR3" s="15" t="s">
        <v>32</v>
      </c>
      <c r="AS3" s="15" t="s">
        <v>33</v>
      </c>
      <c r="AT3" s="15" t="s">
        <v>42</v>
      </c>
      <c r="AU3" s="15" t="s">
        <v>35</v>
      </c>
      <c r="AV3" s="15" t="s">
        <v>36</v>
      </c>
      <c r="AW3" s="15" t="s">
        <v>37</v>
      </c>
      <c r="AX3" s="15" t="s">
        <v>38</v>
      </c>
      <c r="AY3" s="15" t="s">
        <v>39</v>
      </c>
      <c r="AZ3" s="15" t="s">
        <v>43</v>
      </c>
      <c r="BA3" s="20"/>
      <c r="BB3" s="20"/>
      <c r="BC3" s="20"/>
      <c r="BD3" s="20"/>
      <c r="BE3" s="20"/>
      <c r="BF3" s="20"/>
      <c r="BG3" s="21"/>
      <c r="BH3" s="21"/>
      <c r="BI3" s="21"/>
      <c r="BJ3" s="21"/>
      <c r="BK3" s="21"/>
      <c r="BL3" s="21"/>
      <c r="BM3" s="21"/>
      <c r="BN3" s="21"/>
      <c r="BO3" s="21"/>
    </row>
    <row r="4" spans="1:67">
      <c r="A4" s="9">
        <f>'3'!A35</f>
        <v>44287</v>
      </c>
      <c r="B4" s="10">
        <v>16033.43</v>
      </c>
      <c r="C4" s="11">
        <v>87062.3</v>
      </c>
      <c r="D4" s="11">
        <v>55784.5</v>
      </c>
      <c r="E4" s="11">
        <v>55874.8</v>
      </c>
      <c r="F4" s="11">
        <v>3897.88</v>
      </c>
      <c r="G4" s="11">
        <v>109792.9</v>
      </c>
      <c r="H4" s="8">
        <v>5596.3</v>
      </c>
      <c r="I4" s="8">
        <v>2566.3</v>
      </c>
      <c r="J4" s="8">
        <v>967</v>
      </c>
      <c r="K4" s="8">
        <v>56</v>
      </c>
      <c r="L4" s="11">
        <v>88212</v>
      </c>
      <c r="M4" s="11">
        <v>61153.6</v>
      </c>
      <c r="N4" s="11">
        <v>69902.8</v>
      </c>
      <c r="O4" s="11">
        <v>100150</v>
      </c>
      <c r="P4" s="11">
        <v>5270.1</v>
      </c>
      <c r="Q4" s="11">
        <v>7124.7</v>
      </c>
      <c r="R4" s="11">
        <v>4380.6</v>
      </c>
      <c r="S4" s="11">
        <v>4993</v>
      </c>
      <c r="T4" s="11">
        <v>6161.1</v>
      </c>
      <c r="U4" s="11">
        <v>16826.6</v>
      </c>
      <c r="V4" s="11">
        <v>49570.5</v>
      </c>
      <c r="W4" s="11">
        <v>50326.3</v>
      </c>
      <c r="X4" s="11">
        <v>1429.6</v>
      </c>
      <c r="Y4" s="11">
        <v>1164.5</v>
      </c>
      <c r="Z4" s="16">
        <f t="shared" ref="Z4" si="0">IF(OR(W4=""),"",(W4+X4+Y4))</f>
        <v>52920.4</v>
      </c>
      <c r="AA4" s="11">
        <v>58103.3</v>
      </c>
      <c r="AB4" s="11">
        <v>2350</v>
      </c>
      <c r="AC4" s="11">
        <v>60453.3</v>
      </c>
      <c r="AD4" s="17">
        <v>200903</v>
      </c>
      <c r="AE4" s="18">
        <f t="shared" ref="AE4:AI4" si="1">IF(OR(C5=""),"",(C5-C4)*80)</f>
        <v>3935.99999999977</v>
      </c>
      <c r="AF4" s="18">
        <f t="shared" si="1"/>
        <v>1520</v>
      </c>
      <c r="AG4" s="18">
        <f t="shared" si="1"/>
        <v>0</v>
      </c>
      <c r="AH4" s="18">
        <f t="shared" si="1"/>
        <v>1249.59999999999</v>
      </c>
      <c r="AI4" s="18">
        <f t="shared" si="1"/>
        <v>2000</v>
      </c>
      <c r="AJ4" s="18">
        <f t="shared" ref="AJ4:AJ34" si="2">IF(OR(AE4="",AF4="",AG4=""),"",AE4+AF4+AG4+AH4+AI4)</f>
        <v>8705.59999999976</v>
      </c>
      <c r="AK4" s="18">
        <f t="shared" ref="AK4:AN4" si="3">IF(OR(H5=""),"",(H5-H4)*80)</f>
        <v>0</v>
      </c>
      <c r="AL4" s="18">
        <f t="shared" si="3"/>
        <v>0</v>
      </c>
      <c r="AM4" s="18">
        <f t="shared" si="3"/>
        <v>0</v>
      </c>
      <c r="AN4" s="18">
        <f t="shared" si="3"/>
        <v>0</v>
      </c>
      <c r="AO4" s="18">
        <f t="shared" ref="AO4:AO34" si="4">IF(OR(AK4="",AL4=""),"",AK4+AL4+AM4+AN4)</f>
        <v>0</v>
      </c>
      <c r="AP4" s="18">
        <f t="shared" ref="AP4:AS4" si="5">IF(OR(L5=""),"",(L5-L4)*100)</f>
        <v>2489.99999999942</v>
      </c>
      <c r="AQ4" s="18">
        <f t="shared" si="5"/>
        <v>3440.00000000015</v>
      </c>
      <c r="AR4" s="18">
        <f t="shared" si="5"/>
        <v>0</v>
      </c>
      <c r="AS4" s="18">
        <f t="shared" si="5"/>
        <v>2430.00000000029</v>
      </c>
      <c r="AT4" s="18">
        <f t="shared" ref="AT4:AT34" si="6">IF(OR(AP4="",AQ4=""),"",AP4+AQ4+AR4+AS4)</f>
        <v>8359.99999999985</v>
      </c>
      <c r="AU4" s="18">
        <f t="shared" ref="AU4:AY4" si="7">IF(OR(P5=""),"",(P5-P4)*1000)</f>
        <v>3000</v>
      </c>
      <c r="AV4" s="18">
        <f t="shared" si="7"/>
        <v>0</v>
      </c>
      <c r="AW4" s="18">
        <f t="shared" si="7"/>
        <v>1500</v>
      </c>
      <c r="AX4" s="18">
        <f t="shared" si="7"/>
        <v>0</v>
      </c>
      <c r="AY4" s="18">
        <f t="shared" si="7"/>
        <v>9199.99999999982</v>
      </c>
      <c r="AZ4" s="18">
        <f t="shared" ref="AZ4:AZ34" si="8">IF(OR(AU4="",AV4="",AW4=""),"",AU4+AV4+AW4+AX4+AY4)</f>
        <v>13699.9999999998</v>
      </c>
      <c r="BA4" s="18">
        <f t="shared" ref="BA4:BA34" si="9">IF(OR(U5=""),"",(U5-U4)*2000)</f>
        <v>11000</v>
      </c>
      <c r="BB4" s="18">
        <f t="shared" ref="BB4:BB34" si="10">IF(OR(V5=""),"",(V5-V4)*80)</f>
        <v>935.999999999767</v>
      </c>
      <c r="BC4" s="18">
        <f>IF(OR(Z4=""),"",(Z5-Z4)*40)</f>
        <v>1335.99999999977</v>
      </c>
      <c r="BD4" s="18">
        <f t="shared" ref="BD4:BD34" si="11">IF(OR(BE4="",BC4=""),"",BE4-BC4-BB4-BA4-AZ4-AT4-AO4-AJ4)</f>
        <v>11562.3999999959</v>
      </c>
      <c r="BE4" s="18">
        <f t="shared" ref="BE4:BE34" si="12">IF(OR(B5=""),"",(B5-B4)*10000)</f>
        <v>55599.9999999949</v>
      </c>
      <c r="BF4" s="18">
        <f t="shared" ref="BF4:BF34" si="13">IF(OR(AC5=""),"",AC5-AC4)</f>
        <v>62.5</v>
      </c>
      <c r="BG4" s="21">
        <f t="shared" ref="BG4:BG34" si="14">IF(OR($AD4=0),"",BE4/$AD4)</f>
        <v>0.276750471620608</v>
      </c>
      <c r="BH4" s="21">
        <f t="shared" ref="BH4:BH34" si="15">IF(OR($AD4=0),"",AJ4/$AD4)</f>
        <v>0.0433323544197934</v>
      </c>
      <c r="BI4" s="21">
        <f t="shared" ref="BI4:BI34" si="16">IF(OR($AD4=0),"",AO4/$AD4)</f>
        <v>0</v>
      </c>
      <c r="BJ4" s="21">
        <f t="shared" ref="BJ4:BJ34" si="17">IF(OR($AD4=0),"",AT4/$AD4)</f>
        <v>0.0416121212724541</v>
      </c>
      <c r="BK4" s="21">
        <f t="shared" ref="BK4:BO4" si="18">IF(OR($AD4=0),"",AZ4/$AD4)</f>
        <v>0.0681921126115579</v>
      </c>
      <c r="BL4" s="21">
        <f t="shared" si="18"/>
        <v>0.0547527911479669</v>
      </c>
      <c r="BM4" s="21">
        <f t="shared" si="18"/>
        <v>0.00465896477404403</v>
      </c>
      <c r="BN4" s="21">
        <f t="shared" si="18"/>
        <v>0.00664997536124282</v>
      </c>
      <c r="BO4" s="21">
        <f t="shared" si="18"/>
        <v>0.0575521520335482</v>
      </c>
    </row>
    <row r="5" spans="1:67">
      <c r="A5" s="9">
        <f t="shared" ref="A5:A34" si="19">A4+1</f>
        <v>44288</v>
      </c>
      <c r="B5" s="10">
        <v>16038.99</v>
      </c>
      <c r="C5" s="8">
        <v>87111.5</v>
      </c>
      <c r="D5" s="8">
        <v>55803.5</v>
      </c>
      <c r="E5" s="8">
        <v>55874.8</v>
      </c>
      <c r="F5" s="8">
        <v>3913.5</v>
      </c>
      <c r="G5" s="8">
        <v>109817.9</v>
      </c>
      <c r="H5" s="8">
        <v>5596.3</v>
      </c>
      <c r="I5" s="8">
        <v>2566.3</v>
      </c>
      <c r="J5" s="8">
        <v>967</v>
      </c>
      <c r="K5" s="8">
        <v>56</v>
      </c>
      <c r="L5" s="8">
        <v>88236.9</v>
      </c>
      <c r="M5" s="8">
        <v>61188</v>
      </c>
      <c r="N5" s="11">
        <v>69902.8</v>
      </c>
      <c r="O5" s="8">
        <v>100174.3</v>
      </c>
      <c r="P5" s="8">
        <v>5273.1</v>
      </c>
      <c r="Q5" s="8">
        <v>7124.7</v>
      </c>
      <c r="R5" s="8">
        <v>4382.1</v>
      </c>
      <c r="S5" s="8">
        <v>4993</v>
      </c>
      <c r="T5" s="8">
        <v>6170.3</v>
      </c>
      <c r="U5" s="8">
        <v>16832.1</v>
      </c>
      <c r="V5" s="8">
        <v>49582.2</v>
      </c>
      <c r="W5" s="8">
        <v>50343.7</v>
      </c>
      <c r="X5" s="8">
        <v>1438.4</v>
      </c>
      <c r="Y5" s="8">
        <v>1171.7</v>
      </c>
      <c r="Z5" s="16">
        <f t="shared" ref="Z5:Z35" si="20">IF(OR(W5=""),"",(W5+X5+Y5))</f>
        <v>52953.8</v>
      </c>
      <c r="AA5" s="8">
        <v>58142.8</v>
      </c>
      <c r="AB5" s="14">
        <v>2373</v>
      </c>
      <c r="AC5" s="7">
        <f t="shared" ref="AC5:AC34" si="21">IF(OR(AA5=""),"",(AA5+AB5))</f>
        <v>60515.8</v>
      </c>
      <c r="AD5" s="17">
        <v>201734</v>
      </c>
      <c r="AE5" s="18">
        <f t="shared" ref="AE5:AI5" si="22">IF(OR(C6=""),"",(C6-C5)*80)</f>
        <v>3800</v>
      </c>
      <c r="AF5" s="18">
        <f t="shared" si="22"/>
        <v>3047.99999999988</v>
      </c>
      <c r="AG5" s="18">
        <f t="shared" si="22"/>
        <v>0</v>
      </c>
      <c r="AH5" s="18">
        <f t="shared" si="22"/>
        <v>10.4000000000087</v>
      </c>
      <c r="AI5" s="18">
        <f t="shared" si="22"/>
        <v>2520</v>
      </c>
      <c r="AJ5" s="18">
        <f t="shared" si="2"/>
        <v>9378.39999999989</v>
      </c>
      <c r="AK5" s="18">
        <f t="shared" ref="AK5:AN5" si="23">IF(OR(H6=""),"",(H6-H5)*80)</f>
        <v>0</v>
      </c>
      <c r="AL5" s="18">
        <f t="shared" si="23"/>
        <v>0</v>
      </c>
      <c r="AM5" s="18">
        <f t="shared" si="23"/>
        <v>0</v>
      </c>
      <c r="AN5" s="18">
        <f t="shared" si="23"/>
        <v>0</v>
      </c>
      <c r="AO5" s="18">
        <f t="shared" si="4"/>
        <v>0</v>
      </c>
      <c r="AP5" s="18">
        <f t="shared" ref="AP5:AS5" si="24">IF(OR(L6=""),"",(L6-L5)*100)</f>
        <v>2740.00000000087</v>
      </c>
      <c r="AQ5" s="18">
        <f t="shared" si="24"/>
        <v>59.9999999998545</v>
      </c>
      <c r="AR5" s="18">
        <f t="shared" si="24"/>
        <v>2450</v>
      </c>
      <c r="AS5" s="18">
        <f t="shared" si="24"/>
        <v>2409.99999999913</v>
      </c>
      <c r="AT5" s="18">
        <f t="shared" si="6"/>
        <v>7659.99999999985</v>
      </c>
      <c r="AU5" s="18">
        <f t="shared" ref="AU5:AY5" si="25">IF(OR(P6=""),"",(P6-P5)*1000)</f>
        <v>0</v>
      </c>
      <c r="AV5" s="18">
        <f t="shared" si="25"/>
        <v>4800.00000000018</v>
      </c>
      <c r="AW5" s="18">
        <f t="shared" si="25"/>
        <v>1599.99999999945</v>
      </c>
      <c r="AX5" s="18">
        <f t="shared" si="25"/>
        <v>0</v>
      </c>
      <c r="AY5" s="18">
        <f t="shared" si="25"/>
        <v>9199.99999999982</v>
      </c>
      <c r="AZ5" s="18">
        <f t="shared" si="8"/>
        <v>15599.9999999995</v>
      </c>
      <c r="BA5" s="18">
        <f t="shared" si="9"/>
        <v>10000</v>
      </c>
      <c r="BB5" s="18">
        <f t="shared" si="10"/>
        <v>1080</v>
      </c>
      <c r="BC5" s="18">
        <f>IF(OR(Z5=""),"",(Z6-Z5)*40)</f>
        <v>1292.00000000012</v>
      </c>
      <c r="BD5" s="18">
        <f t="shared" si="11"/>
        <v>9489.60000000796</v>
      </c>
      <c r="BE5" s="18">
        <f t="shared" si="12"/>
        <v>54500.0000000073</v>
      </c>
      <c r="BF5" s="18">
        <f t="shared" si="13"/>
        <v>62.6999999999971</v>
      </c>
      <c r="BG5" s="21">
        <f t="shared" si="14"/>
        <v>0.270157732459612</v>
      </c>
      <c r="BH5" s="21">
        <f t="shared" si="15"/>
        <v>0.0464889408825478</v>
      </c>
      <c r="BI5" s="21">
        <f t="shared" si="16"/>
        <v>0</v>
      </c>
      <c r="BJ5" s="21">
        <f t="shared" si="17"/>
        <v>0.037970793222758</v>
      </c>
      <c r="BK5" s="21">
        <f t="shared" ref="BK5:BO5" si="26">IF(OR($AD5=0),"",AZ5/$AD5)</f>
        <v>0.0773295527774171</v>
      </c>
      <c r="BL5" s="21">
        <f t="shared" si="26"/>
        <v>0.0495702261393716</v>
      </c>
      <c r="BM5" s="21">
        <f t="shared" si="26"/>
        <v>0.00535358442305214</v>
      </c>
      <c r="BN5" s="21">
        <f t="shared" si="26"/>
        <v>0.00640447321720739</v>
      </c>
      <c r="BO5" s="21">
        <f t="shared" si="26"/>
        <v>0.0470401617972576</v>
      </c>
    </row>
    <row r="6" spans="1:67">
      <c r="A6" s="9">
        <f t="shared" si="19"/>
        <v>44289</v>
      </c>
      <c r="B6" s="10">
        <v>16044.44</v>
      </c>
      <c r="C6" s="8">
        <v>87159</v>
      </c>
      <c r="D6" s="8">
        <v>55841.6</v>
      </c>
      <c r="E6" s="8">
        <v>55874.8</v>
      </c>
      <c r="F6" s="8">
        <v>3913.63</v>
      </c>
      <c r="G6" s="8">
        <v>109849.4</v>
      </c>
      <c r="H6" s="8">
        <v>5596.3</v>
      </c>
      <c r="I6" s="8">
        <v>2566.3</v>
      </c>
      <c r="J6" s="8">
        <v>967</v>
      </c>
      <c r="K6" s="8">
        <v>56</v>
      </c>
      <c r="L6" s="8">
        <v>88264.3</v>
      </c>
      <c r="M6" s="8">
        <v>61188.6</v>
      </c>
      <c r="N6" s="8">
        <v>69927.3</v>
      </c>
      <c r="O6" s="8">
        <v>100198.4</v>
      </c>
      <c r="P6" s="8">
        <v>5273.1</v>
      </c>
      <c r="Q6" s="8">
        <v>7129.5</v>
      </c>
      <c r="R6" s="8">
        <v>4383.7</v>
      </c>
      <c r="S6" s="8">
        <v>4993</v>
      </c>
      <c r="T6" s="8">
        <v>6179.5</v>
      </c>
      <c r="U6" s="8">
        <v>16837.1</v>
      </c>
      <c r="V6" s="8">
        <v>49595.7</v>
      </c>
      <c r="W6" s="8">
        <v>50360.6</v>
      </c>
      <c r="X6" s="8">
        <v>1446.9</v>
      </c>
      <c r="Y6" s="8">
        <v>1178.6</v>
      </c>
      <c r="Z6" s="16">
        <f t="shared" si="20"/>
        <v>52986.1</v>
      </c>
      <c r="AA6" s="8">
        <v>58182.5</v>
      </c>
      <c r="AB6" s="14">
        <v>2396</v>
      </c>
      <c r="AC6" s="7">
        <f t="shared" si="21"/>
        <v>60578.5</v>
      </c>
      <c r="AD6" s="17">
        <v>194068</v>
      </c>
      <c r="AE6" s="18">
        <f t="shared" ref="AE6:AI6" si="27">IF(OR(C7=""),"",(C7-C6)*80)</f>
        <v>3591.99999999953</v>
      </c>
      <c r="AF6" s="18">
        <f t="shared" si="27"/>
        <v>1007.99999999988</v>
      </c>
      <c r="AG6" s="18">
        <f t="shared" si="27"/>
        <v>0</v>
      </c>
      <c r="AH6" s="18">
        <f t="shared" si="27"/>
        <v>1272.79999999999</v>
      </c>
      <c r="AI6" s="18">
        <f t="shared" si="27"/>
        <v>2528.00000000047</v>
      </c>
      <c r="AJ6" s="18">
        <f t="shared" si="2"/>
        <v>8400.79999999987</v>
      </c>
      <c r="AK6" s="18">
        <f t="shared" ref="AK6:AN6" si="28">IF(OR(H7=""),"",(H7-H6)*80)</f>
        <v>0</v>
      </c>
      <c r="AL6" s="18">
        <f t="shared" si="28"/>
        <v>0</v>
      </c>
      <c r="AM6" s="18">
        <f t="shared" si="28"/>
        <v>0</v>
      </c>
      <c r="AN6" s="18">
        <f t="shared" si="28"/>
        <v>0</v>
      </c>
      <c r="AO6" s="18">
        <f t="shared" si="4"/>
        <v>0</v>
      </c>
      <c r="AP6" s="18">
        <f t="shared" ref="AP6:AS6" si="29">IF(OR(L7=""),"",(L7-L6)*100)</f>
        <v>2680.00000000029</v>
      </c>
      <c r="AQ6" s="18">
        <f t="shared" si="29"/>
        <v>0</v>
      </c>
      <c r="AR6" s="18">
        <f t="shared" si="29"/>
        <v>2350</v>
      </c>
      <c r="AS6" s="18">
        <f t="shared" si="29"/>
        <v>2430.00000000029</v>
      </c>
      <c r="AT6" s="18">
        <f t="shared" si="6"/>
        <v>7460.00000000058</v>
      </c>
      <c r="AU6" s="18">
        <f t="shared" ref="AU6:AY6" si="30">IF(OR(P7=""),"",(P7-P6)*1000)</f>
        <v>2199.99999999982</v>
      </c>
      <c r="AV6" s="18">
        <f t="shared" si="30"/>
        <v>0</v>
      </c>
      <c r="AW6" s="18">
        <f t="shared" si="30"/>
        <v>2100.00000000036</v>
      </c>
      <c r="AX6" s="18">
        <f t="shared" si="30"/>
        <v>0</v>
      </c>
      <c r="AY6" s="18">
        <f t="shared" si="30"/>
        <v>9300.00000000018</v>
      </c>
      <c r="AZ6" s="18">
        <f t="shared" si="8"/>
        <v>13600.0000000004</v>
      </c>
      <c r="BA6" s="18">
        <f t="shared" si="9"/>
        <v>9000</v>
      </c>
      <c r="BB6" s="18">
        <f t="shared" si="10"/>
        <v>1072.00000000012</v>
      </c>
      <c r="BC6" s="18">
        <f t="shared" ref="BC6:BC33" si="31">IF(OR(Z6=""),"",(Z7-Z6)*40)</f>
        <v>1316.00000000006</v>
      </c>
      <c r="BD6" s="18">
        <f t="shared" si="11"/>
        <v>12651.2000000026</v>
      </c>
      <c r="BE6" s="18">
        <f t="shared" si="12"/>
        <v>53500.0000000036</v>
      </c>
      <c r="BF6" s="18">
        <f t="shared" si="13"/>
        <v>66.9000000000015</v>
      </c>
      <c r="BG6" s="21">
        <f t="shared" si="14"/>
        <v>0.275676566976542</v>
      </c>
      <c r="BH6" s="21">
        <f t="shared" si="15"/>
        <v>0.0432879196982494</v>
      </c>
      <c r="BI6" s="21">
        <f t="shared" si="16"/>
        <v>0</v>
      </c>
      <c r="BJ6" s="21">
        <f t="shared" si="17"/>
        <v>0.0384401343858884</v>
      </c>
      <c r="BK6" s="21">
        <f t="shared" ref="BK6:BO6" si="32">IF(OR($AD6=0),"",AZ6/$AD6)</f>
        <v>0.0700785291753425</v>
      </c>
      <c r="BL6" s="21">
        <f t="shared" si="32"/>
        <v>0.0463754972483872</v>
      </c>
      <c r="BM6" s="21">
        <f t="shared" si="32"/>
        <v>0.00552383700558627</v>
      </c>
      <c r="BN6" s="21">
        <f t="shared" si="32"/>
        <v>0.00678112826432002</v>
      </c>
      <c r="BO6" s="21">
        <f t="shared" si="32"/>
        <v>0.0651895211987687</v>
      </c>
    </row>
    <row r="7" spans="1:67">
      <c r="A7" s="9">
        <f t="shared" si="19"/>
        <v>44290</v>
      </c>
      <c r="B7" s="10">
        <v>16049.79</v>
      </c>
      <c r="C7" s="8">
        <v>87203.9</v>
      </c>
      <c r="D7" s="8">
        <v>55854.2</v>
      </c>
      <c r="E7" s="8">
        <v>55874.8</v>
      </c>
      <c r="F7" s="8">
        <v>3929.54</v>
      </c>
      <c r="G7" s="8">
        <v>109881</v>
      </c>
      <c r="H7" s="8">
        <v>5596.3</v>
      </c>
      <c r="I7" s="8">
        <v>2566.3</v>
      </c>
      <c r="J7" s="8">
        <v>967</v>
      </c>
      <c r="K7" s="8">
        <v>56</v>
      </c>
      <c r="L7" s="8">
        <v>88291.1</v>
      </c>
      <c r="M7" s="8">
        <v>61188.6</v>
      </c>
      <c r="N7" s="8">
        <v>69950.8</v>
      </c>
      <c r="O7" s="8">
        <v>100222.7</v>
      </c>
      <c r="P7" s="8">
        <v>5275.3</v>
      </c>
      <c r="Q7" s="8">
        <v>7129.5</v>
      </c>
      <c r="R7" s="8">
        <v>4385.8</v>
      </c>
      <c r="S7" s="8">
        <v>4993</v>
      </c>
      <c r="T7" s="8">
        <v>6188.8</v>
      </c>
      <c r="U7" s="8">
        <v>16841.6</v>
      </c>
      <c r="V7" s="8">
        <v>49609.1</v>
      </c>
      <c r="W7" s="8">
        <v>50378.1</v>
      </c>
      <c r="X7" s="8">
        <v>1455.3</v>
      </c>
      <c r="Y7" s="8">
        <v>1185.6</v>
      </c>
      <c r="Z7" s="16">
        <f t="shared" si="20"/>
        <v>53019</v>
      </c>
      <c r="AA7" s="8">
        <v>58222.4</v>
      </c>
      <c r="AB7" s="14">
        <v>2423</v>
      </c>
      <c r="AC7" s="7">
        <f t="shared" si="21"/>
        <v>60645.4</v>
      </c>
      <c r="AD7" s="17">
        <v>151796</v>
      </c>
      <c r="AE7" s="18">
        <f t="shared" ref="AE7:AI7" si="33">IF(OR(C8=""),"",(C8-C7)*80)</f>
        <v>3072.0000000007</v>
      </c>
      <c r="AF7" s="18">
        <f t="shared" si="33"/>
        <v>1032.00000000012</v>
      </c>
      <c r="AG7" s="18">
        <f t="shared" si="33"/>
        <v>0</v>
      </c>
      <c r="AH7" s="18">
        <f t="shared" si="33"/>
        <v>1756.8</v>
      </c>
      <c r="AI7" s="18">
        <f t="shared" si="33"/>
        <v>1871.99999999953</v>
      </c>
      <c r="AJ7" s="18">
        <f t="shared" si="2"/>
        <v>7732.80000000035</v>
      </c>
      <c r="AK7" s="18">
        <f t="shared" ref="AK7:AN7" si="34">IF(OR(H8=""),"",(H8-H7)*80)</f>
        <v>0</v>
      </c>
      <c r="AL7" s="18">
        <f t="shared" si="34"/>
        <v>0</v>
      </c>
      <c r="AM7" s="18">
        <f t="shared" si="34"/>
        <v>0</v>
      </c>
      <c r="AN7" s="18">
        <f t="shared" si="34"/>
        <v>0</v>
      </c>
      <c r="AO7" s="18">
        <f t="shared" si="4"/>
        <v>0</v>
      </c>
      <c r="AP7" s="18">
        <f t="shared" ref="AP7:AS7" si="35">IF(OR(L8=""),"",(L8-L7)*100)</f>
        <v>1879.99999999884</v>
      </c>
      <c r="AQ7" s="18">
        <f t="shared" si="35"/>
        <v>0</v>
      </c>
      <c r="AR7" s="18">
        <f t="shared" si="35"/>
        <v>1689.99999999942</v>
      </c>
      <c r="AS7" s="18">
        <f t="shared" si="35"/>
        <v>2190.00000000087</v>
      </c>
      <c r="AT7" s="18">
        <f t="shared" si="6"/>
        <v>5759.99999999913</v>
      </c>
      <c r="AU7" s="18">
        <f t="shared" ref="AU7:AY7" si="36">IF(OR(P8=""),"",(P8-P7)*1000)</f>
        <v>1599.99999999945</v>
      </c>
      <c r="AV7" s="18">
        <f t="shared" si="36"/>
        <v>0</v>
      </c>
      <c r="AW7" s="18">
        <f t="shared" si="36"/>
        <v>3000</v>
      </c>
      <c r="AX7" s="18">
        <f t="shared" si="36"/>
        <v>0</v>
      </c>
      <c r="AY7" s="18">
        <f t="shared" si="36"/>
        <v>9199.99999999982</v>
      </c>
      <c r="AZ7" s="18">
        <f t="shared" si="8"/>
        <v>13799.9999999993</v>
      </c>
      <c r="BA7" s="18">
        <f t="shared" si="9"/>
        <v>7800.00000000291</v>
      </c>
      <c r="BB7" s="18">
        <f t="shared" si="10"/>
        <v>1096.00000000035</v>
      </c>
      <c r="BC7" s="18">
        <f t="shared" si="31"/>
        <v>1348.00000000017</v>
      </c>
      <c r="BD7" s="18">
        <f t="shared" si="11"/>
        <v>14963.1999999978</v>
      </c>
      <c r="BE7" s="18">
        <f t="shared" si="12"/>
        <v>52500</v>
      </c>
      <c r="BF7" s="18">
        <f t="shared" si="13"/>
        <v>63.5</v>
      </c>
      <c r="BG7" s="21">
        <f t="shared" si="14"/>
        <v>0.345858915913463</v>
      </c>
      <c r="BH7" s="21">
        <f t="shared" si="15"/>
        <v>0.0509420538090618</v>
      </c>
      <c r="BI7" s="21">
        <f t="shared" si="16"/>
        <v>0</v>
      </c>
      <c r="BJ7" s="21">
        <f t="shared" si="17"/>
        <v>0.037945663917357</v>
      </c>
      <c r="BK7" s="21">
        <f t="shared" ref="BK7:BO7" si="37">IF(OR($AD7=0),"",AZ7/$AD7)</f>
        <v>0.0909114864686769</v>
      </c>
      <c r="BL7" s="21">
        <f t="shared" si="37"/>
        <v>0.0513847532214479</v>
      </c>
      <c r="BM7" s="21">
        <f t="shared" si="37"/>
        <v>0.0072202166065005</v>
      </c>
      <c r="BN7" s="21">
        <f t="shared" si="37"/>
        <v>0.00888033940288397</v>
      </c>
      <c r="BO7" s="21">
        <f t="shared" si="37"/>
        <v>0.0985744024875347</v>
      </c>
    </row>
    <row r="8" spans="1:67">
      <c r="A8" s="9">
        <f t="shared" si="19"/>
        <v>44291</v>
      </c>
      <c r="B8" s="10">
        <v>16055.04</v>
      </c>
      <c r="C8" s="8">
        <v>87242.3</v>
      </c>
      <c r="D8" s="8">
        <v>55867.1</v>
      </c>
      <c r="E8" s="8">
        <v>55874.8</v>
      </c>
      <c r="F8" s="8">
        <v>3951.5</v>
      </c>
      <c r="G8" s="8">
        <v>109904.4</v>
      </c>
      <c r="H8" s="8">
        <v>5596.3</v>
      </c>
      <c r="I8" s="8">
        <v>2566.3</v>
      </c>
      <c r="J8" s="8">
        <v>967</v>
      </c>
      <c r="K8" s="8">
        <v>56</v>
      </c>
      <c r="L8" s="8">
        <v>88309.9</v>
      </c>
      <c r="M8" s="8">
        <v>61188.6</v>
      </c>
      <c r="N8" s="8">
        <v>69967.7</v>
      </c>
      <c r="O8" s="8">
        <v>100244.6</v>
      </c>
      <c r="P8" s="8">
        <v>5276.9</v>
      </c>
      <c r="Q8" s="8">
        <v>7129.5</v>
      </c>
      <c r="R8" s="8">
        <v>4388.8</v>
      </c>
      <c r="S8" s="8">
        <v>4993</v>
      </c>
      <c r="T8" s="8">
        <v>6198</v>
      </c>
      <c r="U8" s="8">
        <v>16845.5</v>
      </c>
      <c r="V8" s="8">
        <v>49622.8</v>
      </c>
      <c r="W8" s="8">
        <v>50395.4</v>
      </c>
      <c r="X8" s="8">
        <v>1464.3</v>
      </c>
      <c r="Y8" s="8">
        <v>1193</v>
      </c>
      <c r="Z8" s="16">
        <f t="shared" si="20"/>
        <v>53052.7</v>
      </c>
      <c r="AA8" s="8">
        <v>58262.9</v>
      </c>
      <c r="AB8" s="14">
        <v>2446</v>
      </c>
      <c r="AC8" s="7">
        <f t="shared" si="21"/>
        <v>60708.9</v>
      </c>
      <c r="AD8" s="17">
        <v>117644</v>
      </c>
      <c r="AE8" s="18">
        <f t="shared" ref="AE8:AI8" si="38">IF(OR(C9=""),"",(C9-C8)*80)</f>
        <v>3864.00000000023</v>
      </c>
      <c r="AF8" s="18">
        <f t="shared" si="38"/>
        <v>0</v>
      </c>
      <c r="AG8" s="18">
        <f t="shared" si="38"/>
        <v>0</v>
      </c>
      <c r="AH8" s="18">
        <f t="shared" si="38"/>
        <v>12.0000000000073</v>
      </c>
      <c r="AI8" s="18">
        <f t="shared" si="38"/>
        <v>1872.0000000007</v>
      </c>
      <c r="AJ8" s="18">
        <f t="shared" si="2"/>
        <v>5748.00000000094</v>
      </c>
      <c r="AK8" s="18">
        <f t="shared" ref="AK8:AN8" si="39">IF(OR(H9=""),"",(H9-H8)*80)</f>
        <v>0</v>
      </c>
      <c r="AL8" s="18">
        <f t="shared" si="39"/>
        <v>0</v>
      </c>
      <c r="AM8" s="18">
        <f t="shared" si="39"/>
        <v>0</v>
      </c>
      <c r="AN8" s="18">
        <f t="shared" si="39"/>
        <v>0</v>
      </c>
      <c r="AO8" s="18">
        <f t="shared" si="4"/>
        <v>0</v>
      </c>
      <c r="AP8" s="18">
        <f t="shared" ref="AP8:AS8" si="40">IF(OR(L9=""),"",(L9-L8)*100)</f>
        <v>2390.00000000087</v>
      </c>
      <c r="AQ8" s="18">
        <f t="shared" si="40"/>
        <v>0</v>
      </c>
      <c r="AR8" s="18">
        <f t="shared" si="40"/>
        <v>0</v>
      </c>
      <c r="AS8" s="18">
        <f t="shared" si="40"/>
        <v>2109.99999999913</v>
      </c>
      <c r="AT8" s="18">
        <f t="shared" si="6"/>
        <v>4500</v>
      </c>
      <c r="AU8" s="18">
        <f t="shared" ref="AU8:AY8" si="41">IF(OR(P9=""),"",(P9-P8)*1000)</f>
        <v>3900.00000000055</v>
      </c>
      <c r="AV8" s="18">
        <f t="shared" si="41"/>
        <v>0</v>
      </c>
      <c r="AW8" s="18">
        <f t="shared" si="41"/>
        <v>0</v>
      </c>
      <c r="AX8" s="18">
        <f t="shared" si="41"/>
        <v>0</v>
      </c>
      <c r="AY8" s="18">
        <f t="shared" si="41"/>
        <v>8600.00000000036</v>
      </c>
      <c r="AZ8" s="18">
        <f t="shared" si="8"/>
        <v>12500.0000000009</v>
      </c>
      <c r="BA8" s="18">
        <f t="shared" si="9"/>
        <v>5599.99999999854</v>
      </c>
      <c r="BB8" s="18">
        <f t="shared" si="10"/>
        <v>1047.99999999988</v>
      </c>
      <c r="BC8" s="18">
        <f t="shared" si="31"/>
        <v>1331.99999999983</v>
      </c>
      <c r="BD8" s="18">
        <f t="shared" si="11"/>
        <v>13271.9999999963</v>
      </c>
      <c r="BE8" s="18">
        <f t="shared" si="12"/>
        <v>43999.9999999964</v>
      </c>
      <c r="BF8" s="18">
        <f t="shared" si="13"/>
        <v>63.5</v>
      </c>
      <c r="BG8" s="21">
        <f t="shared" si="14"/>
        <v>0.3740097242528</v>
      </c>
      <c r="BH8" s="21">
        <f t="shared" si="15"/>
        <v>0.0488592703410368</v>
      </c>
      <c r="BI8" s="21">
        <f t="shared" si="16"/>
        <v>0</v>
      </c>
      <c r="BJ8" s="21">
        <f t="shared" si="17"/>
        <v>0.0382509945258577</v>
      </c>
      <c r="BK8" s="21">
        <f t="shared" ref="BK8:BO8" si="42">IF(OR($AD8=0),"",AZ8/$AD8)</f>
        <v>0.106252762571835</v>
      </c>
      <c r="BL8" s="21">
        <f t="shared" si="42"/>
        <v>0.0476012376321661</v>
      </c>
      <c r="BM8" s="21">
        <f t="shared" si="42"/>
        <v>0.00890823161402098</v>
      </c>
      <c r="BN8" s="21">
        <f t="shared" si="42"/>
        <v>0.0113222943796524</v>
      </c>
      <c r="BO8" s="21">
        <f t="shared" si="42"/>
        <v>0.112814933188231</v>
      </c>
    </row>
    <row r="9" spans="1:67">
      <c r="A9" s="9">
        <f t="shared" si="19"/>
        <v>44292</v>
      </c>
      <c r="B9" s="10">
        <v>16059.44</v>
      </c>
      <c r="C9" s="8">
        <v>87290.6</v>
      </c>
      <c r="D9" s="8">
        <v>55867.1</v>
      </c>
      <c r="E9" s="8">
        <v>55874.8</v>
      </c>
      <c r="F9" s="8">
        <v>3951.65</v>
      </c>
      <c r="G9" s="8">
        <v>109927.8</v>
      </c>
      <c r="H9" s="8">
        <v>5596.3</v>
      </c>
      <c r="I9" s="8">
        <v>2566.3</v>
      </c>
      <c r="J9" s="8">
        <v>967</v>
      </c>
      <c r="K9" s="8">
        <v>56</v>
      </c>
      <c r="L9" s="8">
        <v>88333.8</v>
      </c>
      <c r="M9" s="8">
        <v>61188.6</v>
      </c>
      <c r="N9" s="8">
        <v>69967.7</v>
      </c>
      <c r="O9" s="8">
        <v>100265.7</v>
      </c>
      <c r="P9" s="8">
        <v>5280.8</v>
      </c>
      <c r="Q9" s="8">
        <v>7129.5</v>
      </c>
      <c r="R9" s="8">
        <v>4388.8</v>
      </c>
      <c r="S9" s="8">
        <v>4993</v>
      </c>
      <c r="T9" s="8">
        <v>6206.6</v>
      </c>
      <c r="U9" s="8">
        <v>16848.3</v>
      </c>
      <c r="V9" s="8">
        <v>49635.9</v>
      </c>
      <c r="W9" s="8">
        <v>50413</v>
      </c>
      <c r="X9" s="8">
        <v>1473</v>
      </c>
      <c r="Y9" s="8">
        <v>1200</v>
      </c>
      <c r="Z9" s="16">
        <f t="shared" si="20"/>
        <v>53086</v>
      </c>
      <c r="AA9" s="8">
        <v>58303.4</v>
      </c>
      <c r="AB9" s="14">
        <v>2469</v>
      </c>
      <c r="AC9" s="7">
        <f t="shared" si="21"/>
        <v>60772.4</v>
      </c>
      <c r="AD9" s="17">
        <v>151035</v>
      </c>
      <c r="AE9" s="18">
        <f t="shared" ref="AE9:AI9" si="43">IF(OR(C10=""),"",(C10-C9)*80)</f>
        <v>2935.99999999977</v>
      </c>
      <c r="AF9" s="18">
        <f t="shared" si="43"/>
        <v>2240</v>
      </c>
      <c r="AG9" s="18">
        <f t="shared" si="43"/>
        <v>0</v>
      </c>
      <c r="AH9" s="18">
        <f t="shared" si="43"/>
        <v>16.8000000000029</v>
      </c>
      <c r="AI9" s="18">
        <f t="shared" si="43"/>
        <v>1704.00000000023</v>
      </c>
      <c r="AJ9" s="18">
        <f t="shared" si="2"/>
        <v>6896.8</v>
      </c>
      <c r="AK9" s="18">
        <f t="shared" ref="AK9:AN9" si="44">IF(OR(H10=""),"",(H10-H9)*80)</f>
        <v>0</v>
      </c>
      <c r="AL9" s="18">
        <f t="shared" si="44"/>
        <v>0</v>
      </c>
      <c r="AM9" s="18">
        <f t="shared" si="44"/>
        <v>0</v>
      </c>
      <c r="AN9" s="18">
        <f t="shared" si="44"/>
        <v>0</v>
      </c>
      <c r="AO9" s="18">
        <f t="shared" si="4"/>
        <v>0</v>
      </c>
      <c r="AP9" s="18">
        <f t="shared" ref="AP9:AS9" si="45">IF(OR(L10=""),"",(L10-L9)*100)</f>
        <v>2089.99999999942</v>
      </c>
      <c r="AQ9" s="18">
        <f t="shared" si="45"/>
        <v>9.99999999985448</v>
      </c>
      <c r="AR9" s="18">
        <f t="shared" si="45"/>
        <v>1090.00000000087</v>
      </c>
      <c r="AS9" s="18">
        <f t="shared" si="45"/>
        <v>2469.99999999971</v>
      </c>
      <c r="AT9" s="18">
        <f t="shared" si="6"/>
        <v>5659.99999999985</v>
      </c>
      <c r="AU9" s="18">
        <f t="shared" ref="AU9:AY9" si="46">IF(OR(P10=""),"",(P10-P9)*1000)</f>
        <v>3199.99999999982</v>
      </c>
      <c r="AV9" s="18">
        <f t="shared" si="46"/>
        <v>2100.00000000036</v>
      </c>
      <c r="AW9" s="18">
        <f t="shared" si="46"/>
        <v>500</v>
      </c>
      <c r="AX9" s="18">
        <f t="shared" si="46"/>
        <v>0</v>
      </c>
      <c r="AY9" s="18">
        <f t="shared" si="46"/>
        <v>6899.99999999964</v>
      </c>
      <c r="AZ9" s="18">
        <f t="shared" si="8"/>
        <v>12699.9999999998</v>
      </c>
      <c r="BA9" s="18">
        <f t="shared" si="9"/>
        <v>6599.99999999854</v>
      </c>
      <c r="BB9" s="18">
        <f t="shared" si="10"/>
        <v>1087.99999999988</v>
      </c>
      <c r="BC9" s="18">
        <f t="shared" si="31"/>
        <v>1292.00000000012</v>
      </c>
      <c r="BD9" s="18">
        <f t="shared" si="11"/>
        <v>13463.199999988</v>
      </c>
      <c r="BE9" s="18">
        <f t="shared" si="12"/>
        <v>47699.9999999862</v>
      </c>
      <c r="BF9" s="18">
        <f t="shared" si="13"/>
        <v>60</v>
      </c>
      <c r="BG9" s="21">
        <f t="shared" si="14"/>
        <v>0.315820836229921</v>
      </c>
      <c r="BH9" s="21">
        <f t="shared" si="15"/>
        <v>0.0456635879100871</v>
      </c>
      <c r="BI9" s="21">
        <f t="shared" si="16"/>
        <v>0</v>
      </c>
      <c r="BJ9" s="21">
        <f t="shared" si="17"/>
        <v>0.0374747575065373</v>
      </c>
      <c r="BK9" s="21">
        <f t="shared" ref="BK9:BO9" si="47">IF(OR($AD9=0),"",AZ9/$AD9)</f>
        <v>0.0840864700235033</v>
      </c>
      <c r="BL9" s="21">
        <f t="shared" si="47"/>
        <v>0.0436984804846462</v>
      </c>
      <c r="BM9" s="21">
        <f t="shared" si="47"/>
        <v>0.00720362829807583</v>
      </c>
      <c r="BN9" s="21">
        <f t="shared" si="47"/>
        <v>0.00855430860396674</v>
      </c>
      <c r="BO9" s="21">
        <f t="shared" si="47"/>
        <v>0.0891396034031049</v>
      </c>
    </row>
    <row r="10" spans="1:67">
      <c r="A10" s="9">
        <f t="shared" si="19"/>
        <v>44293</v>
      </c>
      <c r="B10" s="10">
        <v>16064.21</v>
      </c>
      <c r="C10" s="8">
        <v>87327.3</v>
      </c>
      <c r="D10" s="8">
        <v>55895.1</v>
      </c>
      <c r="E10" s="8">
        <v>55874.8</v>
      </c>
      <c r="F10" s="8">
        <v>3951.86</v>
      </c>
      <c r="G10" s="8">
        <v>109949.1</v>
      </c>
      <c r="H10" s="8">
        <v>5596.3</v>
      </c>
      <c r="I10" s="8">
        <v>2566.3</v>
      </c>
      <c r="J10" s="8">
        <v>967</v>
      </c>
      <c r="K10" s="8">
        <v>56</v>
      </c>
      <c r="L10" s="8">
        <v>88354.7</v>
      </c>
      <c r="M10" s="8">
        <v>61188.7</v>
      </c>
      <c r="N10" s="8">
        <v>69978.6</v>
      </c>
      <c r="O10" s="8">
        <v>100290.4</v>
      </c>
      <c r="P10" s="8">
        <v>5284</v>
      </c>
      <c r="Q10" s="8">
        <v>7131.6</v>
      </c>
      <c r="R10" s="8">
        <v>4389.3</v>
      </c>
      <c r="S10" s="8">
        <v>4993</v>
      </c>
      <c r="T10" s="8">
        <v>6213.5</v>
      </c>
      <c r="U10" s="8">
        <v>16851.6</v>
      </c>
      <c r="V10" s="8">
        <v>49649.5</v>
      </c>
      <c r="W10" s="8">
        <v>50430</v>
      </c>
      <c r="X10" s="8">
        <v>1481.4</v>
      </c>
      <c r="Y10" s="8">
        <v>1206.9</v>
      </c>
      <c r="Z10" s="16">
        <f t="shared" si="20"/>
        <v>53118.3</v>
      </c>
      <c r="AA10" s="8">
        <v>58341.4</v>
      </c>
      <c r="AB10" s="14">
        <v>2491</v>
      </c>
      <c r="AC10" s="7">
        <f t="shared" si="21"/>
        <v>60832.4</v>
      </c>
      <c r="AD10" s="17">
        <v>142999</v>
      </c>
      <c r="AE10" s="18">
        <f t="shared" ref="AE10:AI10" si="48">IF(OR(C11=""),"",(C11-C10)*80)</f>
        <v>3784.00000000023</v>
      </c>
      <c r="AF10" s="18">
        <f t="shared" si="48"/>
        <v>3087.99999999988</v>
      </c>
      <c r="AG10" s="18">
        <f t="shared" si="48"/>
        <v>0</v>
      </c>
      <c r="AH10" s="18">
        <f t="shared" si="48"/>
        <v>4.79999999999563</v>
      </c>
      <c r="AI10" s="18">
        <f t="shared" si="48"/>
        <v>1271.99999999953</v>
      </c>
      <c r="AJ10" s="18">
        <f t="shared" si="2"/>
        <v>8148.79999999965</v>
      </c>
      <c r="AK10" s="18">
        <f t="shared" ref="AK10:AN10" si="49">IF(OR(H11=""),"",(H11-H10)*80)</f>
        <v>0</v>
      </c>
      <c r="AL10" s="18">
        <f t="shared" si="49"/>
        <v>0</v>
      </c>
      <c r="AM10" s="18">
        <f t="shared" si="49"/>
        <v>0</v>
      </c>
      <c r="AN10" s="18">
        <f t="shared" si="49"/>
        <v>0</v>
      </c>
      <c r="AO10" s="18">
        <f t="shared" si="4"/>
        <v>0</v>
      </c>
      <c r="AP10" s="18">
        <f t="shared" ref="AP10:AS10" si="50">IF(OR(L11=""),"",(L11-L10)*100)</f>
        <v>919.999999999709</v>
      </c>
      <c r="AQ10" s="18">
        <f t="shared" si="50"/>
        <v>0</v>
      </c>
      <c r="AR10" s="18">
        <f t="shared" si="50"/>
        <v>2309.99999999913</v>
      </c>
      <c r="AS10" s="18">
        <f t="shared" si="50"/>
        <v>2520.00000000116</v>
      </c>
      <c r="AT10" s="18">
        <f t="shared" si="6"/>
        <v>5750</v>
      </c>
      <c r="AU10" s="18">
        <f t="shared" ref="AU10:AY10" si="51">IF(OR(P11=""),"",(P11-P10)*1000)</f>
        <v>3199.99999999982</v>
      </c>
      <c r="AV10" s="18">
        <f t="shared" si="51"/>
        <v>5699.99999999982</v>
      </c>
      <c r="AW10" s="18">
        <f t="shared" si="51"/>
        <v>399.999999999636</v>
      </c>
      <c r="AX10" s="18">
        <f t="shared" si="51"/>
        <v>0</v>
      </c>
      <c r="AY10" s="18">
        <f t="shared" si="51"/>
        <v>3500</v>
      </c>
      <c r="AZ10" s="18">
        <f t="shared" si="8"/>
        <v>12799.9999999993</v>
      </c>
      <c r="BA10" s="18">
        <f t="shared" si="9"/>
        <v>7200.00000000437</v>
      </c>
      <c r="BB10" s="18">
        <f t="shared" si="10"/>
        <v>1112.00000000012</v>
      </c>
      <c r="BC10" s="18">
        <f t="shared" si="31"/>
        <v>1320</v>
      </c>
      <c r="BD10" s="18">
        <f t="shared" si="11"/>
        <v>12169.2000000002</v>
      </c>
      <c r="BE10" s="18">
        <f t="shared" si="12"/>
        <v>48500.0000000036</v>
      </c>
      <c r="BF10" s="18">
        <f t="shared" si="13"/>
        <v>61.9000000000015</v>
      </c>
      <c r="BG10" s="21">
        <f t="shared" si="14"/>
        <v>0.33916321093157</v>
      </c>
      <c r="BH10" s="21">
        <f t="shared" si="15"/>
        <v>0.0569850138812135</v>
      </c>
      <c r="BI10" s="21">
        <f t="shared" si="16"/>
        <v>0</v>
      </c>
      <c r="BJ10" s="21">
        <f t="shared" si="17"/>
        <v>0.0402100713991007</v>
      </c>
      <c r="BK10" s="21">
        <f t="shared" ref="BK10:BO10" si="52">IF(OR($AD10=0),"",AZ10/$AD10)</f>
        <v>0.0895111154623408</v>
      </c>
      <c r="BL10" s="21">
        <f t="shared" si="52"/>
        <v>0.0503500024476001</v>
      </c>
      <c r="BM10" s="21">
        <f t="shared" si="52"/>
        <v>0.00777627815579211</v>
      </c>
      <c r="BN10" s="21">
        <f t="shared" si="52"/>
        <v>0.00923083378205442</v>
      </c>
      <c r="BO10" s="21">
        <f t="shared" si="52"/>
        <v>0.0850998958034688</v>
      </c>
    </row>
    <row r="11" spans="1:67">
      <c r="A11" s="9">
        <f t="shared" si="19"/>
        <v>44294</v>
      </c>
      <c r="B11" s="10">
        <v>16069.06</v>
      </c>
      <c r="C11" s="8">
        <v>87374.6</v>
      </c>
      <c r="D11" s="8">
        <v>55933.7</v>
      </c>
      <c r="E11" s="8">
        <v>55874.8</v>
      </c>
      <c r="F11" s="8">
        <v>3951.92</v>
      </c>
      <c r="G11" s="8">
        <v>109965</v>
      </c>
      <c r="H11" s="8">
        <v>5596.3</v>
      </c>
      <c r="I11" s="8">
        <v>2566.3</v>
      </c>
      <c r="J11" s="8">
        <v>967</v>
      </c>
      <c r="K11" s="8">
        <v>56</v>
      </c>
      <c r="L11" s="8">
        <v>88363.9</v>
      </c>
      <c r="M11" s="8">
        <v>61188.7</v>
      </c>
      <c r="N11" s="8">
        <v>70001.7</v>
      </c>
      <c r="O11" s="8">
        <v>100315.6</v>
      </c>
      <c r="P11" s="8">
        <v>5287.2</v>
      </c>
      <c r="Q11" s="8">
        <v>7137.3</v>
      </c>
      <c r="R11" s="8">
        <v>4389.7</v>
      </c>
      <c r="S11" s="8">
        <v>4993</v>
      </c>
      <c r="T11" s="8">
        <v>6217</v>
      </c>
      <c r="U11" s="8">
        <v>16855.2</v>
      </c>
      <c r="V11" s="8">
        <v>49663.4</v>
      </c>
      <c r="W11" s="8">
        <v>50447.4</v>
      </c>
      <c r="X11" s="8">
        <v>1490</v>
      </c>
      <c r="Y11" s="8">
        <v>1213.9</v>
      </c>
      <c r="Z11" s="16">
        <f t="shared" si="20"/>
        <v>53151.3</v>
      </c>
      <c r="AA11" s="8">
        <v>58380.3</v>
      </c>
      <c r="AB11" s="14">
        <v>2514</v>
      </c>
      <c r="AC11" s="7">
        <f t="shared" si="21"/>
        <v>60894.3</v>
      </c>
      <c r="AD11" s="17">
        <v>185975</v>
      </c>
      <c r="AE11" s="18">
        <f t="shared" ref="AE11:AI11" si="53">IF(OR(C12=""),"",(C12-C11)*80)</f>
        <v>3991.99999999953</v>
      </c>
      <c r="AF11" s="18">
        <f t="shared" si="53"/>
        <v>408.000000000466</v>
      </c>
      <c r="AG11" s="18">
        <f t="shared" si="53"/>
        <v>0</v>
      </c>
      <c r="AH11" s="18">
        <f t="shared" si="53"/>
        <v>1954.39999999999</v>
      </c>
      <c r="AI11" s="18">
        <f t="shared" si="53"/>
        <v>2095.99999999977</v>
      </c>
      <c r="AJ11" s="18">
        <f t="shared" si="2"/>
        <v>8450.39999999975</v>
      </c>
      <c r="AK11" s="18">
        <f t="shared" ref="AK11:AN11" si="54">IF(OR(H12=""),"",(H12-H11)*80)</f>
        <v>0</v>
      </c>
      <c r="AL11" s="18">
        <f t="shared" si="54"/>
        <v>0</v>
      </c>
      <c r="AM11" s="18">
        <f t="shared" si="54"/>
        <v>0</v>
      </c>
      <c r="AN11" s="18">
        <f t="shared" si="54"/>
        <v>0</v>
      </c>
      <c r="AO11" s="18">
        <f t="shared" si="4"/>
        <v>0</v>
      </c>
      <c r="AP11" s="18">
        <f t="shared" ref="AP11:AS11" si="55">IF(OR(L12=""),"",(L12-L11)*100)</f>
        <v>2290.00000000087</v>
      </c>
      <c r="AQ11" s="18">
        <f t="shared" si="55"/>
        <v>0</v>
      </c>
      <c r="AR11" s="18">
        <f t="shared" si="55"/>
        <v>2110.00000000058</v>
      </c>
      <c r="AS11" s="18">
        <f t="shared" si="55"/>
        <v>2509.99999999913</v>
      </c>
      <c r="AT11" s="18">
        <f t="shared" si="6"/>
        <v>6910.00000000058</v>
      </c>
      <c r="AU11" s="18">
        <f t="shared" ref="AU11:AY11" si="56">IF(OR(P12=""),"",(P12-P11)*1000)</f>
        <v>1000</v>
      </c>
      <c r="AV11" s="18">
        <f t="shared" si="56"/>
        <v>0</v>
      </c>
      <c r="AW11" s="18">
        <f t="shared" si="56"/>
        <v>3300.00000000018</v>
      </c>
      <c r="AX11" s="18">
        <f t="shared" si="56"/>
        <v>0</v>
      </c>
      <c r="AY11" s="18">
        <f t="shared" si="56"/>
        <v>8800.00000000018</v>
      </c>
      <c r="AZ11" s="18">
        <f t="shared" si="8"/>
        <v>13100.0000000004</v>
      </c>
      <c r="BA11" s="18">
        <f t="shared" si="9"/>
        <v>9000</v>
      </c>
      <c r="BB11" s="18">
        <f t="shared" si="10"/>
        <v>1080</v>
      </c>
      <c r="BC11" s="18">
        <f t="shared" si="31"/>
        <v>1319.99999999971</v>
      </c>
      <c r="BD11" s="18">
        <f t="shared" si="11"/>
        <v>14839.6000000112</v>
      </c>
      <c r="BE11" s="18">
        <f t="shared" si="12"/>
        <v>54700.0000000116</v>
      </c>
      <c r="BF11" s="18">
        <f t="shared" si="13"/>
        <v>64.1999999999971</v>
      </c>
      <c r="BG11" s="21">
        <f t="shared" si="14"/>
        <v>0.294125554510077</v>
      </c>
      <c r="BH11" s="21">
        <f t="shared" si="15"/>
        <v>0.0454383653716884</v>
      </c>
      <c r="BI11" s="21">
        <f t="shared" si="16"/>
        <v>0</v>
      </c>
      <c r="BJ11" s="21">
        <f t="shared" si="17"/>
        <v>0.037155531657484</v>
      </c>
      <c r="BK11" s="21">
        <f t="shared" ref="BK11:BO11" si="57">IF(OR($AD11=0),"",AZ11/$AD11)</f>
        <v>0.070439575211724</v>
      </c>
      <c r="BL11" s="21">
        <f t="shared" si="57"/>
        <v>0.048393601290496</v>
      </c>
      <c r="BM11" s="21">
        <f t="shared" si="57"/>
        <v>0.00580723215485952</v>
      </c>
      <c r="BN11" s="21">
        <f t="shared" si="57"/>
        <v>0.00709772818927119</v>
      </c>
      <c r="BO11" s="21">
        <f t="shared" si="57"/>
        <v>0.0797935206345543</v>
      </c>
    </row>
    <row r="12" spans="1:67">
      <c r="A12" s="9">
        <f t="shared" si="19"/>
        <v>44295</v>
      </c>
      <c r="B12" s="10">
        <v>16074.53</v>
      </c>
      <c r="C12" s="8">
        <v>87424.5</v>
      </c>
      <c r="D12" s="8">
        <v>55938.8</v>
      </c>
      <c r="E12" s="8">
        <v>55874.8</v>
      </c>
      <c r="F12" s="8">
        <v>3976.35</v>
      </c>
      <c r="G12" s="8">
        <v>109991.2</v>
      </c>
      <c r="H12" s="8">
        <v>5596.3</v>
      </c>
      <c r="I12" s="8">
        <v>2566.3</v>
      </c>
      <c r="J12" s="8">
        <v>967</v>
      </c>
      <c r="K12" s="8">
        <v>56</v>
      </c>
      <c r="L12" s="8">
        <v>88386.8</v>
      </c>
      <c r="M12" s="8">
        <v>61188.7</v>
      </c>
      <c r="N12" s="8">
        <v>70022.8</v>
      </c>
      <c r="O12" s="8">
        <v>100340.7</v>
      </c>
      <c r="P12" s="8">
        <v>5288.2</v>
      </c>
      <c r="Q12" s="8">
        <v>7137.3</v>
      </c>
      <c r="R12" s="8">
        <v>4393</v>
      </c>
      <c r="S12" s="8">
        <v>4993</v>
      </c>
      <c r="T12" s="8">
        <v>6225.8</v>
      </c>
      <c r="U12" s="8">
        <v>16859.7</v>
      </c>
      <c r="V12" s="8">
        <v>49676.9</v>
      </c>
      <c r="W12" s="8">
        <v>50464.9</v>
      </c>
      <c r="X12" s="8">
        <v>1498.2</v>
      </c>
      <c r="Y12" s="8">
        <v>1221.2</v>
      </c>
      <c r="Z12" s="16">
        <f t="shared" si="20"/>
        <v>53184.3</v>
      </c>
      <c r="AA12" s="8">
        <v>58418.5</v>
      </c>
      <c r="AB12" s="14">
        <v>2540</v>
      </c>
      <c r="AC12" s="7">
        <f t="shared" si="21"/>
        <v>60958.5</v>
      </c>
      <c r="AD12" s="17">
        <v>203596</v>
      </c>
      <c r="AE12" s="18">
        <f t="shared" ref="AE12:AI12" si="58">IF(OR(C13=""),"",(C13-C12)*80)</f>
        <v>3831.99999999953</v>
      </c>
      <c r="AF12" s="18">
        <f t="shared" si="58"/>
        <v>711.999999999534</v>
      </c>
      <c r="AG12" s="18">
        <f t="shared" si="58"/>
        <v>0</v>
      </c>
      <c r="AH12" s="18">
        <f t="shared" si="58"/>
        <v>2335.2</v>
      </c>
      <c r="AI12" s="18">
        <f t="shared" si="58"/>
        <v>2328.00000000047</v>
      </c>
      <c r="AJ12" s="18">
        <f t="shared" si="2"/>
        <v>9207.19999999954</v>
      </c>
      <c r="AK12" s="18">
        <f t="shared" ref="AK12:AN12" si="59">IF(OR(H13=""),"",(H13-H12)*80)</f>
        <v>0</v>
      </c>
      <c r="AL12" s="18">
        <f t="shared" si="59"/>
        <v>0</v>
      </c>
      <c r="AM12" s="18">
        <f t="shared" si="59"/>
        <v>0</v>
      </c>
      <c r="AN12" s="18">
        <f t="shared" si="59"/>
        <v>0</v>
      </c>
      <c r="AO12" s="18">
        <f t="shared" si="4"/>
        <v>0</v>
      </c>
      <c r="AP12" s="18">
        <f t="shared" ref="AP12:AS12" si="60">IF(OR(L13=""),"",(L13-L12)*100)</f>
        <v>2569.99999999971</v>
      </c>
      <c r="AQ12" s="18">
        <f t="shared" si="60"/>
        <v>0</v>
      </c>
      <c r="AR12" s="18">
        <f t="shared" si="60"/>
        <v>2409.99999999913</v>
      </c>
      <c r="AS12" s="18">
        <f t="shared" si="60"/>
        <v>2469.99999999971</v>
      </c>
      <c r="AT12" s="18">
        <f t="shared" si="6"/>
        <v>7449.99999999854</v>
      </c>
      <c r="AU12" s="18">
        <f t="shared" ref="AU12:AY12" si="61">IF(OR(P13=""),"",(P13-P12)*1000)</f>
        <v>0</v>
      </c>
      <c r="AV12" s="18">
        <f t="shared" si="61"/>
        <v>0</v>
      </c>
      <c r="AW12" s="18">
        <f t="shared" si="61"/>
        <v>4500</v>
      </c>
      <c r="AX12" s="18">
        <f t="shared" si="61"/>
        <v>600.000000000364</v>
      </c>
      <c r="AY12" s="18">
        <f t="shared" si="61"/>
        <v>8899.99999999964</v>
      </c>
      <c r="AZ12" s="18">
        <f t="shared" si="8"/>
        <v>14000</v>
      </c>
      <c r="BA12" s="18">
        <f t="shared" si="9"/>
        <v>8400.00000000146</v>
      </c>
      <c r="BB12" s="18">
        <f t="shared" si="10"/>
        <v>623.999999999651</v>
      </c>
      <c r="BC12" s="18">
        <f t="shared" si="31"/>
        <v>1336.00000000006</v>
      </c>
      <c r="BD12" s="18">
        <f t="shared" si="11"/>
        <v>13082.7999999993</v>
      </c>
      <c r="BE12" s="18">
        <f t="shared" si="12"/>
        <v>54099.9999999985</v>
      </c>
      <c r="BF12" s="18">
        <f t="shared" si="13"/>
        <v>66</v>
      </c>
      <c r="BG12" s="21">
        <f t="shared" si="14"/>
        <v>0.265722312815569</v>
      </c>
      <c r="BH12" s="21">
        <f t="shared" si="15"/>
        <v>0.0452228923947403</v>
      </c>
      <c r="BI12" s="21">
        <f t="shared" si="16"/>
        <v>0</v>
      </c>
      <c r="BJ12" s="21">
        <f t="shared" si="17"/>
        <v>0.0365920745004742</v>
      </c>
      <c r="BK12" s="21">
        <f t="shared" ref="BK12:BO12" si="62">IF(OR($AD12=0),"",AZ12/$AD12)</f>
        <v>0.0687636299337905</v>
      </c>
      <c r="BL12" s="21">
        <f t="shared" si="62"/>
        <v>0.0412581779602814</v>
      </c>
      <c r="BM12" s="21">
        <f t="shared" si="62"/>
        <v>0.00306489321990437</v>
      </c>
      <c r="BN12" s="21">
        <f t="shared" si="62"/>
        <v>0.00656201497082486</v>
      </c>
      <c r="BO12" s="21">
        <f t="shared" si="62"/>
        <v>0.0642586298355532</v>
      </c>
    </row>
    <row r="13" spans="1:67">
      <c r="A13" s="9">
        <f t="shared" si="19"/>
        <v>44296</v>
      </c>
      <c r="B13" s="10">
        <v>16079.94</v>
      </c>
      <c r="C13" s="8">
        <v>87472.4</v>
      </c>
      <c r="D13" s="8">
        <v>55947.7</v>
      </c>
      <c r="E13" s="8">
        <v>55874.8</v>
      </c>
      <c r="F13" s="8">
        <v>4005.54</v>
      </c>
      <c r="G13" s="8">
        <v>110020.3</v>
      </c>
      <c r="H13" s="8">
        <v>5596.3</v>
      </c>
      <c r="I13" s="8">
        <v>2566.3</v>
      </c>
      <c r="J13" s="8">
        <v>967</v>
      </c>
      <c r="K13" s="8">
        <v>56</v>
      </c>
      <c r="L13" s="8">
        <v>88412.5</v>
      </c>
      <c r="M13" s="8">
        <v>61188.7</v>
      </c>
      <c r="N13" s="8">
        <v>70046.9</v>
      </c>
      <c r="O13" s="8">
        <v>100365.4</v>
      </c>
      <c r="P13" s="8">
        <v>5288.2</v>
      </c>
      <c r="Q13" s="8">
        <v>7137.3</v>
      </c>
      <c r="R13" s="8">
        <v>4397.5</v>
      </c>
      <c r="S13" s="8">
        <v>4993.6</v>
      </c>
      <c r="T13" s="8">
        <v>6234.7</v>
      </c>
      <c r="U13" s="8">
        <v>16863.9</v>
      </c>
      <c r="V13" s="8">
        <v>49684.7</v>
      </c>
      <c r="W13" s="8">
        <v>50482.1</v>
      </c>
      <c r="X13" s="8">
        <v>1507.4</v>
      </c>
      <c r="Y13" s="8">
        <v>1228.2</v>
      </c>
      <c r="Z13" s="16">
        <f t="shared" si="20"/>
        <v>53217.7</v>
      </c>
      <c r="AA13" s="8">
        <v>58459.5</v>
      </c>
      <c r="AB13" s="14">
        <v>2565</v>
      </c>
      <c r="AC13" s="7">
        <f t="shared" si="21"/>
        <v>61024.5</v>
      </c>
      <c r="AD13" s="17">
        <v>209033</v>
      </c>
      <c r="AE13" s="18">
        <f t="shared" ref="AE13:AI13" si="63">IF(OR(C14=""),"",(C14-C13)*80)</f>
        <v>3744.00000000023</v>
      </c>
      <c r="AF13" s="18">
        <f t="shared" si="63"/>
        <v>2832.00000000012</v>
      </c>
      <c r="AG13" s="18">
        <f t="shared" si="63"/>
        <v>0</v>
      </c>
      <c r="AH13" s="18">
        <f t="shared" si="63"/>
        <v>2429.59999999999</v>
      </c>
      <c r="AI13" s="18">
        <f t="shared" si="63"/>
        <v>1567.9999999993</v>
      </c>
      <c r="AJ13" s="18">
        <f t="shared" si="2"/>
        <v>10573.5999999996</v>
      </c>
      <c r="AK13" s="18">
        <f t="shared" ref="AK13:AN13" si="64">IF(OR(H14=""),"",(H14-H13)*80)</f>
        <v>0</v>
      </c>
      <c r="AL13" s="18">
        <f t="shared" si="64"/>
        <v>0</v>
      </c>
      <c r="AM13" s="18">
        <f t="shared" si="64"/>
        <v>0</v>
      </c>
      <c r="AN13" s="18">
        <f t="shared" si="64"/>
        <v>0</v>
      </c>
      <c r="AO13" s="18">
        <f t="shared" si="4"/>
        <v>0</v>
      </c>
      <c r="AP13" s="18">
        <f t="shared" ref="AP13:AS13" si="65">IF(OR(L14=""),"",(L14-L13)*100)</f>
        <v>2950</v>
      </c>
      <c r="AQ13" s="18">
        <f t="shared" si="65"/>
        <v>0</v>
      </c>
      <c r="AR13" s="18">
        <f t="shared" si="65"/>
        <v>2330.00000000029</v>
      </c>
      <c r="AS13" s="18">
        <f t="shared" si="65"/>
        <v>2390.00000000087</v>
      </c>
      <c r="AT13" s="18">
        <f t="shared" si="6"/>
        <v>7670.00000000116</v>
      </c>
      <c r="AU13" s="18">
        <f t="shared" ref="AU13:AY13" si="66">IF(OR(P14=""),"",(P14-P13)*1000)</f>
        <v>199.999999999818</v>
      </c>
      <c r="AV13" s="18">
        <f t="shared" si="66"/>
        <v>0</v>
      </c>
      <c r="AW13" s="18">
        <f t="shared" si="66"/>
        <v>4399.99999999964</v>
      </c>
      <c r="AX13" s="18">
        <f t="shared" si="66"/>
        <v>0</v>
      </c>
      <c r="AY13" s="18">
        <f t="shared" si="66"/>
        <v>9199.99999999982</v>
      </c>
      <c r="AZ13" s="18">
        <f t="shared" si="8"/>
        <v>13799.9999999993</v>
      </c>
      <c r="BA13" s="18">
        <f t="shared" si="9"/>
        <v>9199.99999999709</v>
      </c>
      <c r="BB13" s="18">
        <f t="shared" si="10"/>
        <v>568.000000000466</v>
      </c>
      <c r="BC13" s="18">
        <f t="shared" si="31"/>
        <v>1280</v>
      </c>
      <c r="BD13" s="18">
        <f t="shared" si="11"/>
        <v>13208.3999999944</v>
      </c>
      <c r="BE13" s="18">
        <f t="shared" si="12"/>
        <v>56299.999999992</v>
      </c>
      <c r="BF13" s="18">
        <f t="shared" si="13"/>
        <v>63.3000000000029</v>
      </c>
      <c r="BG13" s="21">
        <f t="shared" si="14"/>
        <v>0.269335463778408</v>
      </c>
      <c r="BH13" s="21">
        <f t="shared" si="15"/>
        <v>0.0505834007070637</v>
      </c>
      <c r="BI13" s="21">
        <f t="shared" si="16"/>
        <v>0</v>
      </c>
      <c r="BJ13" s="21">
        <f t="shared" si="17"/>
        <v>0.0366927709978863</v>
      </c>
      <c r="BK13" s="21">
        <f t="shared" ref="BK13:BO13" si="67">IF(OR($AD13=0),"",AZ13/$AD13)</f>
        <v>0.0660182841943582</v>
      </c>
      <c r="BL13" s="21">
        <f t="shared" si="67"/>
        <v>0.0440121894628938</v>
      </c>
      <c r="BM13" s="21">
        <f t="shared" si="67"/>
        <v>0.00271727430597306</v>
      </c>
      <c r="BN13" s="21">
        <f t="shared" si="67"/>
        <v>0.00612343505570891</v>
      </c>
      <c r="BO13" s="21">
        <f t="shared" si="67"/>
        <v>0.0631881090545242</v>
      </c>
    </row>
    <row r="14" spans="1:67">
      <c r="A14" s="9">
        <f t="shared" si="19"/>
        <v>44297</v>
      </c>
      <c r="B14" s="10">
        <v>16085.57</v>
      </c>
      <c r="C14" s="8">
        <v>87519.2</v>
      </c>
      <c r="D14" s="8">
        <v>55983.1</v>
      </c>
      <c r="E14" s="8">
        <v>55874.8</v>
      </c>
      <c r="F14" s="8">
        <v>4035.91</v>
      </c>
      <c r="G14" s="8">
        <v>110039.9</v>
      </c>
      <c r="H14" s="8">
        <v>5596.3</v>
      </c>
      <c r="I14" s="8">
        <v>2566.3</v>
      </c>
      <c r="J14" s="8">
        <v>967</v>
      </c>
      <c r="K14" s="8">
        <v>56</v>
      </c>
      <c r="L14" s="8">
        <v>88442</v>
      </c>
      <c r="M14" s="8">
        <v>61188.7</v>
      </c>
      <c r="N14" s="8">
        <v>70070.2</v>
      </c>
      <c r="O14" s="8">
        <v>100389.3</v>
      </c>
      <c r="P14" s="8">
        <v>5288.4</v>
      </c>
      <c r="Q14" s="8">
        <v>7137.3</v>
      </c>
      <c r="R14" s="8">
        <v>4401.9</v>
      </c>
      <c r="S14" s="8">
        <v>4993.6</v>
      </c>
      <c r="T14" s="8">
        <v>6243.9</v>
      </c>
      <c r="U14" s="8">
        <v>16868.5</v>
      </c>
      <c r="V14" s="8">
        <v>49691.8</v>
      </c>
      <c r="W14" s="8">
        <v>50499</v>
      </c>
      <c r="X14" s="8">
        <v>1515.7</v>
      </c>
      <c r="Y14" s="8">
        <v>1235</v>
      </c>
      <c r="Z14" s="16">
        <f t="shared" si="20"/>
        <v>53249.7</v>
      </c>
      <c r="AA14" s="8">
        <v>58499.8</v>
      </c>
      <c r="AB14" s="14">
        <v>2588</v>
      </c>
      <c r="AC14" s="7">
        <f t="shared" si="21"/>
        <v>61087.8</v>
      </c>
      <c r="AD14" s="17">
        <v>203259</v>
      </c>
      <c r="AE14" s="18">
        <f t="shared" ref="AE14:AI14" si="68">IF(OR(C15=""),"",(C15-C14)*80)</f>
        <v>3855.99999999977</v>
      </c>
      <c r="AF14" s="18">
        <f t="shared" si="68"/>
        <v>2000</v>
      </c>
      <c r="AG14" s="18">
        <f t="shared" si="68"/>
        <v>0</v>
      </c>
      <c r="AH14" s="18">
        <f t="shared" si="68"/>
        <v>2210.40000000001</v>
      </c>
      <c r="AI14" s="18">
        <f t="shared" si="68"/>
        <v>1640</v>
      </c>
      <c r="AJ14" s="18">
        <f t="shared" si="2"/>
        <v>9706.39999999978</v>
      </c>
      <c r="AK14" s="18">
        <f t="shared" ref="AK14:AN14" si="69">IF(OR(H15=""),"",(H15-H14)*80)</f>
        <v>0</v>
      </c>
      <c r="AL14" s="18">
        <f t="shared" si="69"/>
        <v>0</v>
      </c>
      <c r="AM14" s="18">
        <f t="shared" si="69"/>
        <v>0</v>
      </c>
      <c r="AN14" s="18">
        <f t="shared" si="69"/>
        <v>0</v>
      </c>
      <c r="AO14" s="18">
        <f t="shared" si="4"/>
        <v>0</v>
      </c>
      <c r="AP14" s="18">
        <f t="shared" ref="AP14:AS14" si="70">IF(OR(L15=""),"",(L15-L14)*100)</f>
        <v>2789.99999999942</v>
      </c>
      <c r="AQ14" s="18">
        <f t="shared" si="70"/>
        <v>600</v>
      </c>
      <c r="AR14" s="18">
        <f t="shared" si="70"/>
        <v>1950</v>
      </c>
      <c r="AS14" s="18">
        <f t="shared" si="70"/>
        <v>2480.00000000029</v>
      </c>
      <c r="AT14" s="18">
        <f t="shared" si="6"/>
        <v>7819.99999999971</v>
      </c>
      <c r="AU14" s="18">
        <f t="shared" ref="AU14:AY14" si="71">IF(OR(P15=""),"",(P15-P14)*1000)</f>
        <v>800.000000000182</v>
      </c>
      <c r="AV14" s="18">
        <f t="shared" si="71"/>
        <v>699.999999999818</v>
      </c>
      <c r="AW14" s="18">
        <f t="shared" si="71"/>
        <v>3800.00000000018</v>
      </c>
      <c r="AX14" s="18">
        <f t="shared" si="71"/>
        <v>0</v>
      </c>
      <c r="AY14" s="18">
        <f t="shared" si="71"/>
        <v>9200.00000000073</v>
      </c>
      <c r="AZ14" s="18">
        <f t="shared" si="8"/>
        <v>14500.0000000009</v>
      </c>
      <c r="BA14" s="18">
        <f t="shared" si="9"/>
        <v>9599.99999999854</v>
      </c>
      <c r="BB14" s="18">
        <f t="shared" si="10"/>
        <v>560</v>
      </c>
      <c r="BC14" s="18">
        <f t="shared" si="31"/>
        <v>1320.00000000029</v>
      </c>
      <c r="BD14" s="18">
        <f t="shared" si="11"/>
        <v>13493.600000008</v>
      </c>
      <c r="BE14" s="18">
        <f t="shared" si="12"/>
        <v>57000.0000000073</v>
      </c>
      <c r="BF14" s="18">
        <f t="shared" si="13"/>
        <v>66.5</v>
      </c>
      <c r="BG14" s="21">
        <f t="shared" si="14"/>
        <v>0.280430386846375</v>
      </c>
      <c r="BH14" s="21">
        <f t="shared" si="15"/>
        <v>0.0477538509979867</v>
      </c>
      <c r="BI14" s="21">
        <f t="shared" si="16"/>
        <v>0</v>
      </c>
      <c r="BJ14" s="21">
        <f t="shared" si="17"/>
        <v>0.038473081142777</v>
      </c>
      <c r="BK14" s="21">
        <f t="shared" ref="BK14:BO14" si="72">IF(OR($AD14=0),"",AZ14/$AD14)</f>
        <v>0.0713375545486346</v>
      </c>
      <c r="BL14" s="21">
        <f t="shared" si="72"/>
        <v>0.0472303809425341</v>
      </c>
      <c r="BM14" s="21">
        <f t="shared" si="72"/>
        <v>0.00275510555498158</v>
      </c>
      <c r="BN14" s="21">
        <f t="shared" si="72"/>
        <v>0.00649417737960086</v>
      </c>
      <c r="BO14" s="21">
        <f t="shared" si="72"/>
        <v>0.0663862362798599</v>
      </c>
    </row>
    <row r="15" spans="1:67">
      <c r="A15" s="9">
        <f t="shared" si="19"/>
        <v>44298</v>
      </c>
      <c r="B15" s="10">
        <v>16091.27</v>
      </c>
      <c r="C15" s="8">
        <v>87567.4</v>
      </c>
      <c r="D15" s="8">
        <v>56008.1</v>
      </c>
      <c r="E15" s="8">
        <v>55874.8</v>
      </c>
      <c r="F15" s="8">
        <v>4063.54</v>
      </c>
      <c r="G15" s="8">
        <v>110060.4</v>
      </c>
      <c r="H15" s="8">
        <v>5596.3</v>
      </c>
      <c r="I15" s="8">
        <v>2566.3</v>
      </c>
      <c r="J15" s="8">
        <v>967</v>
      </c>
      <c r="K15" s="8">
        <v>56</v>
      </c>
      <c r="L15" s="8">
        <v>88469.9</v>
      </c>
      <c r="M15" s="8">
        <v>61194.7</v>
      </c>
      <c r="N15" s="8">
        <v>70089.7</v>
      </c>
      <c r="O15" s="8">
        <v>100414.1</v>
      </c>
      <c r="P15" s="8">
        <v>5289.2</v>
      </c>
      <c r="Q15" s="8">
        <v>7138</v>
      </c>
      <c r="R15" s="8">
        <v>4405.7</v>
      </c>
      <c r="S15" s="8">
        <v>4993.6</v>
      </c>
      <c r="T15" s="8">
        <v>6253.1</v>
      </c>
      <c r="U15" s="8">
        <v>16873.3</v>
      </c>
      <c r="V15" s="8">
        <v>49698.8</v>
      </c>
      <c r="W15" s="8">
        <v>50516.3</v>
      </c>
      <c r="X15" s="8">
        <v>1524.4</v>
      </c>
      <c r="Y15" s="8">
        <v>1242</v>
      </c>
      <c r="Z15" s="16">
        <f t="shared" si="20"/>
        <v>53282.7</v>
      </c>
      <c r="AA15" s="8">
        <v>58541.3</v>
      </c>
      <c r="AB15" s="14">
        <v>2613</v>
      </c>
      <c r="AC15" s="7">
        <f t="shared" si="21"/>
        <v>61154.3</v>
      </c>
      <c r="AD15" s="17">
        <v>200061</v>
      </c>
      <c r="AE15" s="18">
        <f t="shared" ref="AE15:AI15" si="73">IF(OR(C16=""),"",(C16-C15)*80)</f>
        <v>3880</v>
      </c>
      <c r="AF15" s="18">
        <f t="shared" si="73"/>
        <v>2920</v>
      </c>
      <c r="AG15" s="18">
        <f t="shared" si="73"/>
        <v>0</v>
      </c>
      <c r="AH15" s="18">
        <f t="shared" si="73"/>
        <v>4.00000000001455</v>
      </c>
      <c r="AI15" s="18">
        <f t="shared" si="73"/>
        <v>1768.00000000047</v>
      </c>
      <c r="AJ15" s="18">
        <f t="shared" si="2"/>
        <v>8572.00000000048</v>
      </c>
      <c r="AK15" s="18">
        <f t="shared" ref="AK15:AN17" si="74">IF(OR(H16=""),"",(H16-H15)*80)</f>
        <v>0</v>
      </c>
      <c r="AL15" s="18">
        <f t="shared" si="74"/>
        <v>0</v>
      </c>
      <c r="AM15" s="18">
        <f t="shared" si="74"/>
        <v>0</v>
      </c>
      <c r="AN15" s="18">
        <f t="shared" si="74"/>
        <v>0</v>
      </c>
      <c r="AO15" s="18">
        <f t="shared" si="4"/>
        <v>0</v>
      </c>
      <c r="AP15" s="18">
        <f t="shared" ref="AP15:AS15" si="75">IF(OR(L16=""),"",(L16-L15)*100)</f>
        <v>2560.00000000058</v>
      </c>
      <c r="AQ15" s="18">
        <f t="shared" si="75"/>
        <v>270.000000000437</v>
      </c>
      <c r="AR15" s="18">
        <f t="shared" si="75"/>
        <v>2150</v>
      </c>
      <c r="AS15" s="18">
        <f t="shared" si="75"/>
        <v>2409.99999999913</v>
      </c>
      <c r="AT15" s="18">
        <f t="shared" si="6"/>
        <v>7390.00000000015</v>
      </c>
      <c r="AU15" s="18">
        <f t="shared" ref="AU15:AY15" si="76">IF(OR(P16=""),"",(P16-P15)*1000)</f>
        <v>0</v>
      </c>
      <c r="AV15" s="18">
        <f t="shared" si="76"/>
        <v>800.000000000182</v>
      </c>
      <c r="AW15" s="18">
        <f t="shared" si="76"/>
        <v>4699.99999999982</v>
      </c>
      <c r="AX15" s="18">
        <f t="shared" si="76"/>
        <v>0</v>
      </c>
      <c r="AY15" s="18">
        <f t="shared" si="76"/>
        <v>8399.99999999964</v>
      </c>
      <c r="AZ15" s="18">
        <f t="shared" si="8"/>
        <v>13899.9999999996</v>
      </c>
      <c r="BA15" s="18">
        <f t="shared" si="9"/>
        <v>10400.0000000015</v>
      </c>
      <c r="BB15" s="18">
        <f t="shared" si="10"/>
        <v>551.999999999534</v>
      </c>
      <c r="BC15" s="18">
        <f t="shared" si="31"/>
        <v>1319.99999999971</v>
      </c>
      <c r="BD15" s="18">
        <f t="shared" si="11"/>
        <v>11965.9999999976</v>
      </c>
      <c r="BE15" s="18">
        <f t="shared" si="12"/>
        <v>54099.9999999985</v>
      </c>
      <c r="BF15" s="18">
        <f t="shared" si="13"/>
        <v>63.3999999999942</v>
      </c>
      <c r="BG15" s="21">
        <f t="shared" si="14"/>
        <v>0.270417522655583</v>
      </c>
      <c r="BH15" s="21">
        <f t="shared" si="15"/>
        <v>0.0428469316858382</v>
      </c>
      <c r="BI15" s="21">
        <f t="shared" si="16"/>
        <v>0</v>
      </c>
      <c r="BJ15" s="21">
        <f t="shared" si="17"/>
        <v>0.0369387336862264</v>
      </c>
      <c r="BK15" s="21">
        <f t="shared" ref="BK15:BO15" si="77">IF(OR($AD15=0),"",AZ15/$AD15)</f>
        <v>0.0694788089632644</v>
      </c>
      <c r="BL15" s="21">
        <f t="shared" si="77"/>
        <v>0.0519841448358323</v>
      </c>
      <c r="BM15" s="21">
        <f t="shared" si="77"/>
        <v>0.00275915845666839</v>
      </c>
      <c r="BN15" s="21">
        <f t="shared" si="77"/>
        <v>0.00659798761377634</v>
      </c>
      <c r="BO15" s="21">
        <f t="shared" si="77"/>
        <v>0.0598117574139767</v>
      </c>
    </row>
    <row r="16" spans="1:67">
      <c r="A16" s="9">
        <f t="shared" si="19"/>
        <v>44299</v>
      </c>
      <c r="B16" s="10">
        <v>16096.68</v>
      </c>
      <c r="C16" s="8">
        <v>87615.9</v>
      </c>
      <c r="D16" s="8">
        <v>56044.6</v>
      </c>
      <c r="E16" s="8">
        <v>55874.8</v>
      </c>
      <c r="F16" s="8">
        <v>4063.59</v>
      </c>
      <c r="G16" s="8">
        <v>110082.5</v>
      </c>
      <c r="H16" s="8">
        <v>5596.3</v>
      </c>
      <c r="I16" s="8">
        <v>2566.3</v>
      </c>
      <c r="J16" s="8">
        <v>967</v>
      </c>
      <c r="K16" s="8">
        <v>56</v>
      </c>
      <c r="L16" s="8">
        <v>88495.5</v>
      </c>
      <c r="M16" s="8">
        <v>61197.4</v>
      </c>
      <c r="N16" s="8">
        <v>70111.2</v>
      </c>
      <c r="O16" s="8">
        <v>100438.2</v>
      </c>
      <c r="P16" s="8">
        <v>5289.2</v>
      </c>
      <c r="Q16" s="8">
        <v>7138.8</v>
      </c>
      <c r="R16" s="8">
        <v>4410.4</v>
      </c>
      <c r="S16" s="8">
        <v>4993.6</v>
      </c>
      <c r="T16" s="8">
        <v>6261.5</v>
      </c>
      <c r="U16" s="8">
        <v>16878.5</v>
      </c>
      <c r="V16" s="8">
        <v>49705.7</v>
      </c>
      <c r="W16" s="8">
        <v>50533.5</v>
      </c>
      <c r="X16" s="8">
        <v>1533.1</v>
      </c>
      <c r="Y16" s="8">
        <v>1249.1</v>
      </c>
      <c r="Z16" s="16">
        <f t="shared" si="20"/>
        <v>53315.7</v>
      </c>
      <c r="AA16" s="8">
        <v>58580.7</v>
      </c>
      <c r="AB16" s="14">
        <v>2637</v>
      </c>
      <c r="AC16" s="7">
        <f t="shared" si="21"/>
        <v>61217.7</v>
      </c>
      <c r="AD16" s="17">
        <v>203450</v>
      </c>
      <c r="AE16" s="18">
        <f t="shared" ref="AE16:AI16" si="78">IF(OR(C17=""),"",(C17-C16)*80)</f>
        <v>3800</v>
      </c>
      <c r="AF16" s="18">
        <f t="shared" si="78"/>
        <v>2992.00000000012</v>
      </c>
      <c r="AG16" s="18">
        <f t="shared" si="78"/>
        <v>0</v>
      </c>
      <c r="AH16" s="18">
        <f t="shared" si="78"/>
        <v>47.9999999999927</v>
      </c>
      <c r="AI16" s="18">
        <f t="shared" si="78"/>
        <v>1960</v>
      </c>
      <c r="AJ16" s="18">
        <f t="shared" si="2"/>
        <v>8800.00000000011</v>
      </c>
      <c r="AK16" s="18">
        <f t="shared" si="74"/>
        <v>0</v>
      </c>
      <c r="AL16" s="18">
        <f t="shared" si="74"/>
        <v>0</v>
      </c>
      <c r="AM16" s="18">
        <f t="shared" si="74"/>
        <v>0</v>
      </c>
      <c r="AN16" s="18">
        <f t="shared" si="74"/>
        <v>0</v>
      </c>
      <c r="AO16" s="18">
        <f t="shared" si="4"/>
        <v>0</v>
      </c>
      <c r="AP16" s="18">
        <f t="shared" ref="AP16:AS16" si="79">IF(OR(L17=""),"",(L17-L16)*100)</f>
        <v>2760.00000000058</v>
      </c>
      <c r="AQ16" s="18">
        <f t="shared" si="79"/>
        <v>0</v>
      </c>
      <c r="AR16" s="18">
        <f t="shared" si="79"/>
        <v>2469.99999999971</v>
      </c>
      <c r="AS16" s="18">
        <f t="shared" si="79"/>
        <v>2400</v>
      </c>
      <c r="AT16" s="18">
        <f t="shared" si="6"/>
        <v>7630.00000000029</v>
      </c>
      <c r="AU16" s="18">
        <f t="shared" ref="AU16:AY16" si="80">IF(OR(P17=""),"",(P17-P16)*1000)</f>
        <v>1100.00000000036</v>
      </c>
      <c r="AV16" s="18">
        <f t="shared" si="80"/>
        <v>0</v>
      </c>
      <c r="AW16" s="18">
        <f t="shared" si="80"/>
        <v>3300.00000000018</v>
      </c>
      <c r="AX16" s="18">
        <f t="shared" si="80"/>
        <v>0</v>
      </c>
      <c r="AY16" s="18">
        <f t="shared" si="80"/>
        <v>9199.99999999982</v>
      </c>
      <c r="AZ16" s="18">
        <f t="shared" si="8"/>
        <v>13600.0000000004</v>
      </c>
      <c r="BA16" s="18">
        <f t="shared" si="9"/>
        <v>9400.00000000146</v>
      </c>
      <c r="BB16" s="18">
        <f t="shared" si="10"/>
        <v>840</v>
      </c>
      <c r="BC16" s="18">
        <f t="shared" si="31"/>
        <v>1336.00000000006</v>
      </c>
      <c r="BD16" s="18">
        <f t="shared" si="11"/>
        <v>12593.9999999985</v>
      </c>
      <c r="BE16" s="18">
        <f t="shared" si="12"/>
        <v>54200.0000000007</v>
      </c>
      <c r="BF16" s="18">
        <f t="shared" si="13"/>
        <v>57.5</v>
      </c>
      <c r="BG16" s="21">
        <f t="shared" si="14"/>
        <v>0.26640452199558</v>
      </c>
      <c r="BH16" s="21">
        <f t="shared" si="15"/>
        <v>0.0432538707299096</v>
      </c>
      <c r="BI16" s="21">
        <f t="shared" si="16"/>
        <v>0</v>
      </c>
      <c r="BJ16" s="21">
        <f t="shared" si="17"/>
        <v>0.0375030720078658</v>
      </c>
      <c r="BK16" s="21">
        <f t="shared" ref="BK16:BO16" si="81">IF(OR($AD16=0),"",AZ16/$AD16)</f>
        <v>0.0668468911280431</v>
      </c>
      <c r="BL16" s="21">
        <f t="shared" si="81"/>
        <v>0.0462029982796828</v>
      </c>
      <c r="BM16" s="21">
        <f t="shared" si="81"/>
        <v>0.00412877856967314</v>
      </c>
      <c r="BN16" s="21">
        <f t="shared" si="81"/>
        <v>0.00656672401081375</v>
      </c>
      <c r="BO16" s="21">
        <f t="shared" si="81"/>
        <v>0.0619021872695918</v>
      </c>
    </row>
    <row r="17" spans="1:67">
      <c r="A17" s="9">
        <f t="shared" si="19"/>
        <v>44300</v>
      </c>
      <c r="B17" s="10">
        <v>16102.1</v>
      </c>
      <c r="C17" s="8">
        <v>87663.4</v>
      </c>
      <c r="D17" s="8">
        <v>56082</v>
      </c>
      <c r="E17" s="8">
        <v>55874.8</v>
      </c>
      <c r="F17" s="8">
        <v>4064.19</v>
      </c>
      <c r="G17" s="8">
        <v>110107</v>
      </c>
      <c r="H17" s="8">
        <v>5596.3</v>
      </c>
      <c r="I17" s="8">
        <v>2566.3</v>
      </c>
      <c r="J17" s="8">
        <v>967</v>
      </c>
      <c r="K17" s="8">
        <v>56</v>
      </c>
      <c r="L17" s="8">
        <v>88523.1</v>
      </c>
      <c r="M17" s="8">
        <v>61197.4</v>
      </c>
      <c r="N17" s="8">
        <v>70135.9</v>
      </c>
      <c r="O17" s="8">
        <v>100462.2</v>
      </c>
      <c r="P17" s="8">
        <v>5290.3</v>
      </c>
      <c r="Q17" s="8">
        <v>7138.8</v>
      </c>
      <c r="R17" s="8">
        <v>4413.7</v>
      </c>
      <c r="S17" s="8">
        <v>4993.6</v>
      </c>
      <c r="T17" s="8">
        <v>6270.7</v>
      </c>
      <c r="U17" s="8">
        <v>16883.2</v>
      </c>
      <c r="V17" s="8">
        <v>49716.2</v>
      </c>
      <c r="W17" s="8">
        <v>50551.3</v>
      </c>
      <c r="X17" s="8">
        <v>1541.7</v>
      </c>
      <c r="Y17" s="8">
        <v>1256.1</v>
      </c>
      <c r="Z17" s="16">
        <f t="shared" si="20"/>
        <v>53349.1</v>
      </c>
      <c r="AA17" s="8">
        <v>58615.2</v>
      </c>
      <c r="AB17" s="14">
        <v>2660</v>
      </c>
      <c r="AC17" s="7">
        <f t="shared" si="21"/>
        <v>61275.2</v>
      </c>
      <c r="AD17" s="17">
        <v>204267</v>
      </c>
      <c r="AE17" s="18">
        <f t="shared" ref="AE17:AI17" si="82">IF(OR(C18=""),"",(C18-C17)*80)</f>
        <v>3680</v>
      </c>
      <c r="AF17" s="18">
        <f t="shared" si="82"/>
        <v>160</v>
      </c>
      <c r="AG17" s="18">
        <f t="shared" si="82"/>
        <v>0</v>
      </c>
      <c r="AH17" s="18">
        <f t="shared" si="82"/>
        <v>2282.39999999998</v>
      </c>
      <c r="AI17" s="18">
        <f t="shared" si="82"/>
        <v>2280</v>
      </c>
      <c r="AJ17" s="18">
        <f t="shared" si="2"/>
        <v>8402.39999999998</v>
      </c>
      <c r="AK17" s="18">
        <f t="shared" si="74"/>
        <v>0</v>
      </c>
      <c r="AL17" s="18">
        <f t="shared" si="74"/>
        <v>0</v>
      </c>
      <c r="AM17" s="18">
        <f t="shared" si="74"/>
        <v>0</v>
      </c>
      <c r="AN17" s="18">
        <f t="shared" si="74"/>
        <v>0</v>
      </c>
      <c r="AO17" s="18">
        <f t="shared" si="4"/>
        <v>0</v>
      </c>
      <c r="AP17" s="18">
        <f t="shared" ref="AP17:AS17" si="83">IF(OR(L18=""),"",(L18-L17)*100)</f>
        <v>2789.99999999942</v>
      </c>
      <c r="AQ17" s="18">
        <f t="shared" si="83"/>
        <v>9.99999999985448</v>
      </c>
      <c r="AR17" s="18">
        <f t="shared" si="83"/>
        <v>2470.00000000116</v>
      </c>
      <c r="AS17" s="18">
        <f t="shared" si="83"/>
        <v>2410.00000000058</v>
      </c>
      <c r="AT17" s="18">
        <f t="shared" si="6"/>
        <v>7680.00000000102</v>
      </c>
      <c r="AU17" s="18">
        <f t="shared" ref="AU17:AY17" si="84">IF(OR(P18=""),"",(P18-P17)*1000)</f>
        <v>300.000000000182</v>
      </c>
      <c r="AV17" s="18">
        <f t="shared" si="84"/>
        <v>99.9999999994543</v>
      </c>
      <c r="AW17" s="18">
        <f t="shared" si="84"/>
        <v>4400.00000000055</v>
      </c>
      <c r="AX17" s="18">
        <f t="shared" si="84"/>
        <v>0</v>
      </c>
      <c r="AY17" s="18">
        <f t="shared" si="84"/>
        <v>8800.00000000018</v>
      </c>
      <c r="AZ17" s="18">
        <f t="shared" si="8"/>
        <v>13600.0000000004</v>
      </c>
      <c r="BA17" s="18">
        <f t="shared" si="9"/>
        <v>9599.99999999854</v>
      </c>
      <c r="BB17" s="18">
        <f t="shared" si="10"/>
        <v>1104.00000000023</v>
      </c>
      <c r="BC17" s="18">
        <f t="shared" si="31"/>
        <v>1288.00000000017</v>
      </c>
      <c r="BD17" s="18">
        <f t="shared" si="11"/>
        <v>13525.6000000041</v>
      </c>
      <c r="BE17" s="18">
        <f t="shared" si="12"/>
        <v>55200.0000000044</v>
      </c>
      <c r="BF17" s="18">
        <f t="shared" si="13"/>
        <v>59.7000000000044</v>
      </c>
      <c r="BG17" s="21">
        <f t="shared" si="14"/>
        <v>0.270234545961924</v>
      </c>
      <c r="BH17" s="21">
        <f t="shared" si="15"/>
        <v>0.0411343976266356</v>
      </c>
      <c r="BI17" s="21">
        <f t="shared" si="16"/>
        <v>0</v>
      </c>
      <c r="BJ17" s="21">
        <f t="shared" si="17"/>
        <v>0.0375978498729654</v>
      </c>
      <c r="BK17" s="21">
        <f t="shared" ref="BK17:BO17" si="85">IF(OR($AD17=0),"",AZ17/$AD17)</f>
        <v>0.0665795258167025</v>
      </c>
      <c r="BL17" s="21">
        <f t="shared" si="85"/>
        <v>0.0469973123411934</v>
      </c>
      <c r="BM17" s="21">
        <f t="shared" si="85"/>
        <v>0.0054046909192392</v>
      </c>
      <c r="BN17" s="21">
        <f t="shared" si="85"/>
        <v>0.00630547273911192</v>
      </c>
      <c r="BO17" s="21">
        <f t="shared" si="85"/>
        <v>0.0662152966460762</v>
      </c>
    </row>
    <row r="18" spans="1:67">
      <c r="A18" s="9">
        <f t="shared" si="19"/>
        <v>44301</v>
      </c>
      <c r="B18" s="10">
        <v>16107.62</v>
      </c>
      <c r="C18" s="8">
        <v>87709.4</v>
      </c>
      <c r="D18" s="8">
        <v>56084</v>
      </c>
      <c r="E18" s="8">
        <v>55874.8</v>
      </c>
      <c r="F18" s="8">
        <v>4092.72</v>
      </c>
      <c r="G18" s="8">
        <v>110135.5</v>
      </c>
      <c r="H18" s="8">
        <v>5596.3</v>
      </c>
      <c r="I18" s="8">
        <v>2566.3</v>
      </c>
      <c r="J18" s="8">
        <v>967</v>
      </c>
      <c r="K18" s="8">
        <v>56</v>
      </c>
      <c r="L18" s="8">
        <v>88551</v>
      </c>
      <c r="M18" s="8">
        <v>61197.5</v>
      </c>
      <c r="N18" s="8">
        <v>70160.6</v>
      </c>
      <c r="O18" s="8">
        <v>100486.3</v>
      </c>
      <c r="P18" s="8">
        <v>5290.6</v>
      </c>
      <c r="Q18" s="8">
        <v>7138.9</v>
      </c>
      <c r="R18" s="8">
        <v>4418.1</v>
      </c>
      <c r="S18" s="8">
        <v>4993.6</v>
      </c>
      <c r="T18" s="8">
        <v>6279.5</v>
      </c>
      <c r="U18" s="8">
        <v>16888</v>
      </c>
      <c r="V18" s="8">
        <v>49730</v>
      </c>
      <c r="W18" s="8">
        <v>50568.3</v>
      </c>
      <c r="X18" s="8">
        <v>1550.1</v>
      </c>
      <c r="Y18" s="8">
        <v>1262.9</v>
      </c>
      <c r="Z18" s="16">
        <f t="shared" si="20"/>
        <v>53381.3</v>
      </c>
      <c r="AA18" s="8">
        <v>58652.9</v>
      </c>
      <c r="AB18" s="14">
        <v>2682</v>
      </c>
      <c r="AC18" s="7">
        <f t="shared" si="21"/>
        <v>61334.9</v>
      </c>
      <c r="AD18" s="17">
        <v>207756</v>
      </c>
      <c r="AE18" s="18">
        <f t="shared" ref="AE18:AI18" si="86">IF(OR(C19=""),"",(C19-C18)*80)</f>
        <v>3720</v>
      </c>
      <c r="AF18" s="18">
        <f t="shared" si="86"/>
        <v>1664.00000000023</v>
      </c>
      <c r="AG18" s="18">
        <f t="shared" si="86"/>
        <v>0</v>
      </c>
      <c r="AH18" s="18">
        <f t="shared" si="86"/>
        <v>1479.20000000002</v>
      </c>
      <c r="AI18" s="18">
        <f t="shared" si="86"/>
        <v>1944.00000000023</v>
      </c>
      <c r="AJ18" s="18">
        <f t="shared" si="2"/>
        <v>8807.20000000048</v>
      </c>
      <c r="AK18" s="18">
        <f t="shared" ref="AK18:AN18" si="87">IF(OR(H19=""),"",(H19-H18)*80)</f>
        <v>0</v>
      </c>
      <c r="AL18" s="18">
        <f t="shared" si="87"/>
        <v>0</v>
      </c>
      <c r="AM18" s="18">
        <f t="shared" si="87"/>
        <v>0</v>
      </c>
      <c r="AN18" s="18">
        <f t="shared" si="87"/>
        <v>0</v>
      </c>
      <c r="AO18" s="18">
        <f t="shared" si="4"/>
        <v>0</v>
      </c>
      <c r="AP18" s="18">
        <f t="shared" ref="AP18:AS18" si="88">IF(OR(L19=""),"",(L19-L18)*100)</f>
        <v>2769.99999999971</v>
      </c>
      <c r="AQ18" s="18">
        <f t="shared" si="88"/>
        <v>0</v>
      </c>
      <c r="AR18" s="18">
        <f t="shared" si="88"/>
        <v>2509.99999999913</v>
      </c>
      <c r="AS18" s="18">
        <f t="shared" si="88"/>
        <v>2409.99999999913</v>
      </c>
      <c r="AT18" s="18">
        <f t="shared" si="6"/>
        <v>7689.99999999796</v>
      </c>
      <c r="AU18" s="18">
        <f t="shared" ref="AU18:AY18" si="89">IF(OR(P19=""),"",(P19-P18)*1000)</f>
        <v>0</v>
      </c>
      <c r="AV18" s="18">
        <f t="shared" si="89"/>
        <v>0</v>
      </c>
      <c r="AW18" s="18">
        <f t="shared" si="89"/>
        <v>4599.99999999945</v>
      </c>
      <c r="AX18" s="18">
        <f t="shared" si="89"/>
        <v>0</v>
      </c>
      <c r="AY18" s="18">
        <f t="shared" si="89"/>
        <v>8800.00000000018</v>
      </c>
      <c r="AZ18" s="18">
        <f t="shared" si="8"/>
        <v>13399.9999999996</v>
      </c>
      <c r="BA18" s="18">
        <f t="shared" si="9"/>
        <v>8800.00000000291</v>
      </c>
      <c r="BB18" s="18">
        <f t="shared" si="10"/>
        <v>1095.99999999977</v>
      </c>
      <c r="BC18" s="18">
        <f t="shared" si="31"/>
        <v>1283.99999999965</v>
      </c>
      <c r="BD18" s="18">
        <f t="shared" si="11"/>
        <v>13422.7999999887</v>
      </c>
      <c r="BE18" s="18">
        <f t="shared" si="12"/>
        <v>54499.9999999891</v>
      </c>
      <c r="BF18" s="18">
        <f t="shared" si="13"/>
        <v>62.1999999999971</v>
      </c>
      <c r="BG18" s="21">
        <f t="shared" si="14"/>
        <v>0.26232696047281</v>
      </c>
      <c r="BH18" s="21">
        <f t="shared" si="15"/>
        <v>0.0423920368124169</v>
      </c>
      <c r="BI18" s="21">
        <f t="shared" si="16"/>
        <v>0</v>
      </c>
      <c r="BJ18" s="21">
        <f t="shared" si="17"/>
        <v>0.0370145747896473</v>
      </c>
      <c r="BK18" s="21">
        <f t="shared" ref="BK18:BO18" si="90">IF(OR($AD18=0),"",AZ18/$AD18)</f>
        <v>0.0644987389052525</v>
      </c>
      <c r="BL18" s="21">
        <f t="shared" si="90"/>
        <v>0.0423573807736138</v>
      </c>
      <c r="BM18" s="21">
        <f t="shared" si="90"/>
        <v>0.00527541924180176</v>
      </c>
      <c r="BN18" s="21">
        <f t="shared" si="90"/>
        <v>0.00618032692196447</v>
      </c>
      <c r="BO18" s="21">
        <f t="shared" si="90"/>
        <v>0.0646084830281131</v>
      </c>
    </row>
    <row r="19" spans="1:67">
      <c r="A19" s="9">
        <f t="shared" si="19"/>
        <v>44302</v>
      </c>
      <c r="B19" s="10">
        <v>16113.07</v>
      </c>
      <c r="C19" s="8">
        <v>87755.9</v>
      </c>
      <c r="D19" s="8">
        <v>56104.8</v>
      </c>
      <c r="E19" s="8">
        <v>55874.8</v>
      </c>
      <c r="F19" s="8">
        <v>4111.21</v>
      </c>
      <c r="G19" s="8">
        <v>110159.8</v>
      </c>
      <c r="H19" s="8">
        <v>5596.3</v>
      </c>
      <c r="I19" s="8">
        <v>2566.3</v>
      </c>
      <c r="J19" s="8">
        <v>967</v>
      </c>
      <c r="K19" s="8">
        <v>56</v>
      </c>
      <c r="L19" s="8">
        <v>88578.7</v>
      </c>
      <c r="M19" s="8">
        <v>61197.5</v>
      </c>
      <c r="N19" s="8">
        <v>70185.7</v>
      </c>
      <c r="O19" s="8">
        <v>100510.4</v>
      </c>
      <c r="P19" s="8">
        <v>5290.6</v>
      </c>
      <c r="Q19" s="8">
        <v>7138.9</v>
      </c>
      <c r="R19" s="8">
        <v>4422.7</v>
      </c>
      <c r="S19" s="8">
        <v>4993.6</v>
      </c>
      <c r="T19" s="8">
        <v>6288.3</v>
      </c>
      <c r="U19" s="8">
        <v>16892.4</v>
      </c>
      <c r="V19" s="8">
        <v>49743.7</v>
      </c>
      <c r="W19" s="8">
        <v>50585.1</v>
      </c>
      <c r="X19" s="8">
        <v>1558.6</v>
      </c>
      <c r="Y19" s="8">
        <v>1269.7</v>
      </c>
      <c r="Z19" s="16">
        <f t="shared" si="20"/>
        <v>53413.4</v>
      </c>
      <c r="AA19" s="8">
        <v>58692.1</v>
      </c>
      <c r="AB19" s="14">
        <v>2705</v>
      </c>
      <c r="AC19" s="7">
        <f t="shared" si="21"/>
        <v>61397.1</v>
      </c>
      <c r="AD19" s="17">
        <v>204237</v>
      </c>
      <c r="AE19" s="18">
        <f t="shared" ref="AE19:AI19" si="91">IF(OR(C20=""),"",(C20-C19)*80)</f>
        <v>3784.00000000023</v>
      </c>
      <c r="AF19" s="18">
        <f t="shared" si="91"/>
        <v>3120</v>
      </c>
      <c r="AG19" s="18">
        <f t="shared" si="91"/>
        <v>0</v>
      </c>
      <c r="AH19" s="18">
        <f t="shared" si="91"/>
        <v>31.2000000000262</v>
      </c>
      <c r="AI19" s="18">
        <f t="shared" si="91"/>
        <v>2231.99999999953</v>
      </c>
      <c r="AJ19" s="18">
        <f t="shared" si="2"/>
        <v>9167.19999999979</v>
      </c>
      <c r="AK19" s="18">
        <f t="shared" ref="AK19:AN19" si="92">IF(OR(H20=""),"",(H20-H19)*80)</f>
        <v>0</v>
      </c>
      <c r="AL19" s="18">
        <f t="shared" si="92"/>
        <v>0</v>
      </c>
      <c r="AM19" s="18">
        <f t="shared" si="92"/>
        <v>0</v>
      </c>
      <c r="AN19" s="18">
        <f t="shared" si="92"/>
        <v>0</v>
      </c>
      <c r="AO19" s="18">
        <f t="shared" si="4"/>
        <v>0</v>
      </c>
      <c r="AP19" s="18">
        <f t="shared" ref="AP19:AS19" si="93">IF(OR(L20=""),"",(L20-L19)*100)</f>
        <v>2700</v>
      </c>
      <c r="AQ19" s="18">
        <f t="shared" si="93"/>
        <v>0</v>
      </c>
      <c r="AR19" s="18">
        <f t="shared" si="93"/>
        <v>2450</v>
      </c>
      <c r="AS19" s="18">
        <f t="shared" si="93"/>
        <v>2360.00000000058</v>
      </c>
      <c r="AT19" s="18">
        <f t="shared" si="6"/>
        <v>7510.00000000058</v>
      </c>
      <c r="AU19" s="18">
        <f t="shared" ref="AU19:AY19" si="94">IF(OR(P20=""),"",(P20-P19)*1000)</f>
        <v>799.999999999272</v>
      </c>
      <c r="AV19" s="18">
        <f t="shared" si="94"/>
        <v>1700.00000000073</v>
      </c>
      <c r="AW19" s="18">
        <f t="shared" si="94"/>
        <v>3500</v>
      </c>
      <c r="AX19" s="18">
        <f t="shared" si="94"/>
        <v>0</v>
      </c>
      <c r="AY19" s="18">
        <f t="shared" si="94"/>
        <v>9199.99999999982</v>
      </c>
      <c r="AZ19" s="18">
        <f t="shared" si="8"/>
        <v>15199.9999999998</v>
      </c>
      <c r="BA19" s="18">
        <f t="shared" si="9"/>
        <v>9399.99999999418</v>
      </c>
      <c r="BB19" s="18">
        <f t="shared" si="10"/>
        <v>1104.00000000023</v>
      </c>
      <c r="BC19" s="18">
        <f t="shared" si="31"/>
        <v>1296.00000000006</v>
      </c>
      <c r="BD19" s="18">
        <f t="shared" si="11"/>
        <v>11922.8000000002</v>
      </c>
      <c r="BE19" s="18">
        <f t="shared" si="12"/>
        <v>55599.9999999949</v>
      </c>
      <c r="BF19" s="18">
        <f t="shared" si="13"/>
        <v>61.7000000000044</v>
      </c>
      <c r="BG19" s="21">
        <f t="shared" si="14"/>
        <v>0.272232749208003</v>
      </c>
      <c r="BH19" s="21">
        <f t="shared" si="15"/>
        <v>0.0448851089665428</v>
      </c>
      <c r="BI19" s="21">
        <f t="shared" si="16"/>
        <v>0</v>
      </c>
      <c r="BJ19" s="21">
        <f t="shared" si="17"/>
        <v>0.0367710062329577</v>
      </c>
      <c r="BK19" s="21">
        <f t="shared" ref="BK19:BO19" si="95">IF(OR($AD19=0),"",AZ19/$AD19)</f>
        <v>0.0744233415101075</v>
      </c>
      <c r="BL19" s="21">
        <f t="shared" si="95"/>
        <v>0.0460249611970122</v>
      </c>
      <c r="BM19" s="21">
        <f t="shared" si="95"/>
        <v>0.00540548480441954</v>
      </c>
      <c r="BN19" s="21">
        <f t="shared" si="95"/>
        <v>0.00634556911823058</v>
      </c>
      <c r="BO19" s="21">
        <f t="shared" si="95"/>
        <v>0.0583772773787328</v>
      </c>
    </row>
    <row r="20" spans="1:67">
      <c r="A20" s="9">
        <f t="shared" si="19"/>
        <v>44303</v>
      </c>
      <c r="B20" s="10">
        <v>16118.63</v>
      </c>
      <c r="C20" s="8">
        <v>87803.2</v>
      </c>
      <c r="D20" s="8">
        <v>56143.8</v>
      </c>
      <c r="E20" s="8">
        <v>55874.8</v>
      </c>
      <c r="F20" s="8">
        <v>4111.6</v>
      </c>
      <c r="G20" s="8">
        <v>110187.7</v>
      </c>
      <c r="H20" s="8">
        <v>5596.3</v>
      </c>
      <c r="I20" s="8">
        <v>2566.3</v>
      </c>
      <c r="J20" s="8">
        <v>967</v>
      </c>
      <c r="K20" s="8">
        <v>56</v>
      </c>
      <c r="L20" s="8">
        <v>88605.7</v>
      </c>
      <c r="M20" s="8">
        <v>61197.5</v>
      </c>
      <c r="N20" s="8">
        <v>70210.2</v>
      </c>
      <c r="O20" s="8">
        <v>100534</v>
      </c>
      <c r="P20" s="8">
        <v>5291.4</v>
      </c>
      <c r="Q20" s="8">
        <v>7140.6</v>
      </c>
      <c r="R20" s="8">
        <v>4426.2</v>
      </c>
      <c r="S20" s="8">
        <v>4993.6</v>
      </c>
      <c r="T20" s="8">
        <v>6297.5</v>
      </c>
      <c r="U20" s="8">
        <v>16897.1</v>
      </c>
      <c r="V20" s="8">
        <v>49757.5</v>
      </c>
      <c r="W20" s="8">
        <v>50601.9</v>
      </c>
      <c r="X20" s="8">
        <v>1567.2</v>
      </c>
      <c r="Y20" s="8">
        <v>1276.7</v>
      </c>
      <c r="Z20" s="16">
        <f t="shared" si="20"/>
        <v>53445.8</v>
      </c>
      <c r="AA20" s="8">
        <v>58730.8</v>
      </c>
      <c r="AB20" s="14">
        <v>2728</v>
      </c>
      <c r="AC20" s="7">
        <f t="shared" si="21"/>
        <v>61458.8</v>
      </c>
      <c r="AD20" s="17">
        <v>207587</v>
      </c>
      <c r="AE20" s="18">
        <f t="shared" ref="AE20:AI20" si="96">IF(OR(C21=""),"",(C21-C20)*80)</f>
        <v>3735.99999999977</v>
      </c>
      <c r="AF20" s="18">
        <f t="shared" si="96"/>
        <v>2351.99999999953</v>
      </c>
      <c r="AG20" s="18">
        <f t="shared" si="96"/>
        <v>0</v>
      </c>
      <c r="AH20" s="18">
        <f t="shared" si="96"/>
        <v>1270.39999999994</v>
      </c>
      <c r="AI20" s="18">
        <f t="shared" si="96"/>
        <v>2104.00000000023</v>
      </c>
      <c r="AJ20" s="18">
        <f t="shared" si="2"/>
        <v>9462.39999999947</v>
      </c>
      <c r="AK20" s="18">
        <f t="shared" ref="AK20:AN20" si="97">IF(OR(H21=""),"",(H21-H20)*80)</f>
        <v>0</v>
      </c>
      <c r="AL20" s="18">
        <f t="shared" si="97"/>
        <v>0</v>
      </c>
      <c r="AM20" s="18">
        <f t="shared" si="97"/>
        <v>0</v>
      </c>
      <c r="AN20" s="18">
        <f t="shared" si="97"/>
        <v>0</v>
      </c>
      <c r="AO20" s="18">
        <f t="shared" si="4"/>
        <v>0</v>
      </c>
      <c r="AP20" s="18">
        <f t="shared" ref="AP20:AS20" si="98">IF(OR(L21=""),"",(L21-L20)*100)</f>
        <v>2819.99999999971</v>
      </c>
      <c r="AQ20" s="18">
        <f t="shared" si="98"/>
        <v>0</v>
      </c>
      <c r="AR20" s="18">
        <f t="shared" si="98"/>
        <v>2569.99999999971</v>
      </c>
      <c r="AS20" s="18">
        <f t="shared" si="98"/>
        <v>2510.00000000058</v>
      </c>
      <c r="AT20" s="18">
        <f t="shared" si="6"/>
        <v>7900</v>
      </c>
      <c r="AU20" s="18">
        <f t="shared" ref="AU20:AY20" si="99">IF(OR(P21=""),"",(P21-P20)*1000)</f>
        <v>1600.00000000036</v>
      </c>
      <c r="AV20" s="18">
        <f t="shared" si="99"/>
        <v>3199.99999999982</v>
      </c>
      <c r="AW20" s="18">
        <f t="shared" si="99"/>
        <v>2800.00000000018</v>
      </c>
      <c r="AX20" s="18">
        <f t="shared" si="99"/>
        <v>0</v>
      </c>
      <c r="AY20" s="18">
        <f t="shared" si="99"/>
        <v>9199.99999999982</v>
      </c>
      <c r="AZ20" s="18">
        <f t="shared" si="8"/>
        <v>16800.0000000002</v>
      </c>
      <c r="BA20" s="18">
        <f t="shared" si="9"/>
        <v>9000</v>
      </c>
      <c r="BB20" s="18">
        <f t="shared" si="10"/>
        <v>752.000000000116</v>
      </c>
      <c r="BC20" s="18">
        <f t="shared" si="31"/>
        <v>1320</v>
      </c>
      <c r="BD20" s="18">
        <f t="shared" si="11"/>
        <v>12365.6000000024</v>
      </c>
      <c r="BE20" s="18">
        <f t="shared" si="12"/>
        <v>57600.0000000022</v>
      </c>
      <c r="BF20" s="18">
        <f t="shared" si="13"/>
        <v>67.5</v>
      </c>
      <c r="BG20" s="21">
        <f t="shared" si="14"/>
        <v>0.27747402293979</v>
      </c>
      <c r="BH20" s="21">
        <f t="shared" si="15"/>
        <v>0.0455828158796046</v>
      </c>
      <c r="BI20" s="21">
        <f t="shared" si="16"/>
        <v>0</v>
      </c>
      <c r="BJ20" s="21">
        <f t="shared" si="17"/>
        <v>0.0380563330073656</v>
      </c>
      <c r="BK20" s="21">
        <f t="shared" ref="BK20:BO20" si="100">IF(OR($AD20=0),"",AZ20/$AD20)</f>
        <v>0.0809299233574366</v>
      </c>
      <c r="BL20" s="21">
        <f t="shared" si="100"/>
        <v>0.0433553160843405</v>
      </c>
      <c r="BM20" s="21">
        <f t="shared" si="100"/>
        <v>0.00362257752171435</v>
      </c>
      <c r="BN20" s="21">
        <f t="shared" si="100"/>
        <v>0.00635877969236995</v>
      </c>
      <c r="BO20" s="21">
        <f t="shared" si="100"/>
        <v>0.0595682773969585</v>
      </c>
    </row>
    <row r="21" spans="1:67">
      <c r="A21" s="9">
        <f t="shared" si="19"/>
        <v>44304</v>
      </c>
      <c r="B21" s="10">
        <v>16124.39</v>
      </c>
      <c r="C21" s="8">
        <v>87849.9</v>
      </c>
      <c r="D21" s="8">
        <v>56173.2</v>
      </c>
      <c r="E21" s="8">
        <v>55874.8</v>
      </c>
      <c r="F21" s="8">
        <v>4127.48</v>
      </c>
      <c r="G21" s="8">
        <v>110214</v>
      </c>
      <c r="H21" s="8">
        <v>5596.3</v>
      </c>
      <c r="I21" s="8">
        <v>2566.3</v>
      </c>
      <c r="J21" s="8">
        <v>967</v>
      </c>
      <c r="K21" s="8">
        <v>56</v>
      </c>
      <c r="L21" s="8">
        <v>88633.9</v>
      </c>
      <c r="M21" s="8">
        <v>61197.5</v>
      </c>
      <c r="N21" s="8">
        <v>70235.9</v>
      </c>
      <c r="O21" s="8">
        <v>100559.1</v>
      </c>
      <c r="P21" s="8">
        <v>5293</v>
      </c>
      <c r="Q21" s="8">
        <v>7143.8</v>
      </c>
      <c r="R21" s="8">
        <v>4429</v>
      </c>
      <c r="S21" s="8">
        <v>4993.6</v>
      </c>
      <c r="T21" s="8">
        <v>6306.7</v>
      </c>
      <c r="U21" s="8">
        <v>16901.6</v>
      </c>
      <c r="V21" s="8">
        <v>49766.9</v>
      </c>
      <c r="W21" s="8">
        <v>50619.2</v>
      </c>
      <c r="X21" s="8">
        <v>1575.9</v>
      </c>
      <c r="Y21" s="8">
        <v>1283.7</v>
      </c>
      <c r="Z21" s="16">
        <f t="shared" si="20"/>
        <v>53478.8</v>
      </c>
      <c r="AA21" s="8">
        <v>58772.3</v>
      </c>
      <c r="AB21" s="14">
        <v>2754</v>
      </c>
      <c r="AC21" s="7">
        <f t="shared" si="21"/>
        <v>61526.3</v>
      </c>
      <c r="AD21" s="17">
        <v>208131</v>
      </c>
      <c r="AE21" s="18">
        <f t="shared" ref="AE21:AI21" si="101">IF(OR(C22=""),"",(C22-C21)*80)</f>
        <v>3768.00000000047</v>
      </c>
      <c r="AF21" s="18">
        <f t="shared" si="101"/>
        <v>2920</v>
      </c>
      <c r="AG21" s="18">
        <f t="shared" si="101"/>
        <v>0</v>
      </c>
      <c r="AH21" s="18">
        <f t="shared" si="101"/>
        <v>2244.00000000001</v>
      </c>
      <c r="AI21" s="18">
        <f t="shared" si="101"/>
        <v>1615.99999999977</v>
      </c>
      <c r="AJ21" s="18">
        <f t="shared" si="2"/>
        <v>10548.0000000002</v>
      </c>
      <c r="AK21" s="18">
        <f t="shared" ref="AK21:AN21" si="102">IF(OR(H22=""),"",(H22-H21)*80)</f>
        <v>0</v>
      </c>
      <c r="AL21" s="18">
        <f t="shared" si="102"/>
        <v>0</v>
      </c>
      <c r="AM21" s="18">
        <f t="shared" si="102"/>
        <v>0</v>
      </c>
      <c r="AN21" s="18">
        <f t="shared" si="102"/>
        <v>0</v>
      </c>
      <c r="AO21" s="18">
        <f t="shared" si="4"/>
        <v>0</v>
      </c>
      <c r="AP21" s="18">
        <f t="shared" ref="AP21:AS21" si="103">IF(OR(L22=""),"",(L22-L21)*100)</f>
        <v>2890.00000000087</v>
      </c>
      <c r="AQ21" s="18">
        <f t="shared" si="103"/>
        <v>0</v>
      </c>
      <c r="AR21" s="18">
        <f t="shared" si="103"/>
        <v>2480.00000000029</v>
      </c>
      <c r="AS21" s="18">
        <f t="shared" si="103"/>
        <v>2389.99999999942</v>
      </c>
      <c r="AT21" s="18">
        <f t="shared" si="6"/>
        <v>7760.00000000058</v>
      </c>
      <c r="AU21" s="18">
        <f t="shared" ref="AU21:AY21" si="104">IF(OR(P22=""),"",(P22-P21)*1000)</f>
        <v>3699.99999999982</v>
      </c>
      <c r="AV21" s="18">
        <f t="shared" si="104"/>
        <v>7099.99999999945</v>
      </c>
      <c r="AW21" s="18">
        <f t="shared" si="104"/>
        <v>399.999999999636</v>
      </c>
      <c r="AX21" s="18">
        <f t="shared" si="104"/>
        <v>0</v>
      </c>
      <c r="AY21" s="18">
        <f t="shared" si="104"/>
        <v>9199.99999999982</v>
      </c>
      <c r="AZ21" s="18">
        <f t="shared" si="8"/>
        <v>20399.9999999987</v>
      </c>
      <c r="BA21" s="18">
        <f t="shared" si="9"/>
        <v>9400.00000000146</v>
      </c>
      <c r="BB21" s="18">
        <f t="shared" si="10"/>
        <v>607.999999999884</v>
      </c>
      <c r="BC21" s="18">
        <f t="shared" si="31"/>
        <v>1349.20000000013</v>
      </c>
      <c r="BD21" s="18">
        <f t="shared" si="11"/>
        <v>10934.8000000026</v>
      </c>
      <c r="BE21" s="18">
        <f t="shared" si="12"/>
        <v>61000.0000000036</v>
      </c>
      <c r="BF21" s="18">
        <f t="shared" si="13"/>
        <v>54.7999999999956</v>
      </c>
      <c r="BG21" s="21">
        <f t="shared" si="14"/>
        <v>0.293084643806082</v>
      </c>
      <c r="BH21" s="21">
        <f t="shared" si="15"/>
        <v>0.0506796200469908</v>
      </c>
      <c r="BI21" s="21">
        <f t="shared" si="16"/>
        <v>0</v>
      </c>
      <c r="BJ21" s="21">
        <f t="shared" si="17"/>
        <v>0.0372842104251677</v>
      </c>
      <c r="BK21" s="21">
        <f t="shared" ref="BK21:BO21" si="105">IF(OR($AD21=0),"",AZ21/$AD21)</f>
        <v>0.0980151923548089</v>
      </c>
      <c r="BL21" s="21">
        <f t="shared" si="105"/>
        <v>0.0451638631438923</v>
      </c>
      <c r="BM21" s="21">
        <f t="shared" si="105"/>
        <v>0.00292123710547628</v>
      </c>
      <c r="BN21" s="21">
        <f t="shared" si="105"/>
        <v>0.00648245576103573</v>
      </c>
      <c r="BO21" s="21">
        <f t="shared" si="105"/>
        <v>0.0525380649687102</v>
      </c>
    </row>
    <row r="22" spans="1:67">
      <c r="A22" s="9">
        <f t="shared" si="19"/>
        <v>44305</v>
      </c>
      <c r="B22" s="10">
        <v>16130.49</v>
      </c>
      <c r="C22" s="8">
        <v>87897</v>
      </c>
      <c r="D22" s="8">
        <v>56209.7</v>
      </c>
      <c r="E22" s="8">
        <v>55874.8</v>
      </c>
      <c r="F22" s="8">
        <v>4155.53</v>
      </c>
      <c r="G22" s="8">
        <v>110234.2</v>
      </c>
      <c r="H22" s="8">
        <v>5596.3</v>
      </c>
      <c r="I22" s="8">
        <v>2566.3</v>
      </c>
      <c r="J22" s="8">
        <v>967</v>
      </c>
      <c r="K22" s="8">
        <v>56</v>
      </c>
      <c r="L22" s="8">
        <v>88662.8</v>
      </c>
      <c r="M22" s="8">
        <v>61197.5</v>
      </c>
      <c r="N22" s="8">
        <v>70260.7</v>
      </c>
      <c r="O22" s="8">
        <v>100583</v>
      </c>
      <c r="P22" s="8">
        <v>5296.7</v>
      </c>
      <c r="Q22" s="8">
        <v>7150.9</v>
      </c>
      <c r="R22" s="8">
        <v>4429.4</v>
      </c>
      <c r="S22" s="8">
        <v>4993.6</v>
      </c>
      <c r="T22" s="8">
        <v>6315.9</v>
      </c>
      <c r="U22" s="8">
        <v>16906.3</v>
      </c>
      <c r="V22" s="8">
        <v>49774.5</v>
      </c>
      <c r="W22" s="8">
        <v>50636</v>
      </c>
      <c r="X22" s="8">
        <v>1584.93</v>
      </c>
      <c r="Y22" s="8">
        <v>1291.6</v>
      </c>
      <c r="Z22" s="16">
        <f t="shared" si="20"/>
        <v>53512.53</v>
      </c>
      <c r="AA22" s="8">
        <v>58814.1</v>
      </c>
      <c r="AB22" s="14">
        <v>2767</v>
      </c>
      <c r="AC22" s="7">
        <f t="shared" si="21"/>
        <v>61581.1</v>
      </c>
      <c r="AD22" s="17">
        <v>195969</v>
      </c>
      <c r="AE22" s="18">
        <f t="shared" ref="AE22:AI22" si="106">IF(OR(C23=""),"",(C23-C22)*80)</f>
        <v>3760</v>
      </c>
      <c r="AF22" s="18">
        <f t="shared" si="106"/>
        <v>2376.00000000035</v>
      </c>
      <c r="AG22" s="18">
        <f t="shared" si="106"/>
        <v>0</v>
      </c>
      <c r="AH22" s="18">
        <f t="shared" si="106"/>
        <v>1978.40000000004</v>
      </c>
      <c r="AI22" s="18">
        <f t="shared" si="106"/>
        <v>1808.00000000047</v>
      </c>
      <c r="AJ22" s="18">
        <f t="shared" si="2"/>
        <v>9922.40000000085</v>
      </c>
      <c r="AK22" s="18">
        <f t="shared" ref="AK22:AN22" si="107">IF(OR(H23=""),"",(H23-H22)*80)</f>
        <v>0</v>
      </c>
      <c r="AL22" s="18">
        <f t="shared" si="107"/>
        <v>0</v>
      </c>
      <c r="AM22" s="18">
        <f t="shared" si="107"/>
        <v>0</v>
      </c>
      <c r="AN22" s="18">
        <f t="shared" si="107"/>
        <v>0</v>
      </c>
      <c r="AO22" s="18">
        <f t="shared" si="4"/>
        <v>0</v>
      </c>
      <c r="AP22" s="18">
        <f t="shared" ref="AP22:AS22" si="108">IF(OR(L23=""),"",(L23-L22)*100)</f>
        <v>2630.00000000029</v>
      </c>
      <c r="AQ22" s="18">
        <f t="shared" si="108"/>
        <v>469.999999999709</v>
      </c>
      <c r="AR22" s="18">
        <f t="shared" si="108"/>
        <v>2069.99999999971</v>
      </c>
      <c r="AS22" s="18">
        <f t="shared" si="108"/>
        <v>2439.99999999942</v>
      </c>
      <c r="AT22" s="18">
        <f t="shared" si="6"/>
        <v>7609.99999999913</v>
      </c>
      <c r="AU22" s="18">
        <f t="shared" ref="AU22:AY22" si="109">IF(OR(P23=""),"",(P23-P22)*1000)</f>
        <v>3100.00000000036</v>
      </c>
      <c r="AV22" s="18">
        <f t="shared" si="109"/>
        <v>5800.00000000018</v>
      </c>
      <c r="AW22" s="18">
        <f t="shared" si="109"/>
        <v>1300.00000000018</v>
      </c>
      <c r="AX22" s="18">
        <f t="shared" si="109"/>
        <v>0</v>
      </c>
      <c r="AY22" s="18">
        <f t="shared" si="109"/>
        <v>9300.00000000018</v>
      </c>
      <c r="AZ22" s="18">
        <f t="shared" si="8"/>
        <v>19500.0000000009</v>
      </c>
      <c r="BA22" s="18">
        <f t="shared" si="9"/>
        <v>9599.99999999854</v>
      </c>
      <c r="BB22" s="18">
        <f t="shared" si="10"/>
        <v>624.000000000233</v>
      </c>
      <c r="BC22" s="18">
        <f t="shared" si="31"/>
        <v>1330.80000000016</v>
      </c>
      <c r="BD22" s="18">
        <f t="shared" si="11"/>
        <v>11212.7999999958</v>
      </c>
      <c r="BE22" s="18">
        <f t="shared" si="12"/>
        <v>59799.9999999956</v>
      </c>
      <c r="BF22" s="18">
        <f t="shared" si="13"/>
        <v>50</v>
      </c>
      <c r="BG22" s="21">
        <f t="shared" si="14"/>
        <v>0.305150304384855</v>
      </c>
      <c r="BH22" s="21">
        <f t="shared" si="15"/>
        <v>0.0506324979971366</v>
      </c>
      <c r="BI22" s="21">
        <f t="shared" si="16"/>
        <v>0</v>
      </c>
      <c r="BJ22" s="21">
        <f t="shared" si="17"/>
        <v>0.0388326725145259</v>
      </c>
      <c r="BK22" s="21">
        <f t="shared" ref="BK22:BO22" si="110">IF(OR($AD22=0),"",AZ22/$AD22)</f>
        <v>0.0995055340385516</v>
      </c>
      <c r="BL22" s="21">
        <f t="shared" si="110"/>
        <v>0.0489873398343541</v>
      </c>
      <c r="BM22" s="21">
        <f t="shared" si="110"/>
        <v>0.00318417708923469</v>
      </c>
      <c r="BN22" s="21">
        <f t="shared" si="110"/>
        <v>0.0067908699845392</v>
      </c>
      <c r="BO22" s="21">
        <f t="shared" si="110"/>
        <v>0.0572172129265129</v>
      </c>
    </row>
    <row r="23" spans="1:67">
      <c r="A23" s="9">
        <f t="shared" si="19"/>
        <v>44306</v>
      </c>
      <c r="B23" s="10">
        <v>16136.47</v>
      </c>
      <c r="C23" s="8">
        <v>87944</v>
      </c>
      <c r="D23" s="8">
        <v>56239.4</v>
      </c>
      <c r="E23" s="8">
        <v>55874.8</v>
      </c>
      <c r="F23" s="8">
        <v>4180.26</v>
      </c>
      <c r="G23" s="8">
        <v>110256.8</v>
      </c>
      <c r="H23" s="8">
        <v>5596.3</v>
      </c>
      <c r="I23" s="8">
        <v>2566.3</v>
      </c>
      <c r="J23" s="8">
        <v>967</v>
      </c>
      <c r="K23" s="8">
        <v>56</v>
      </c>
      <c r="L23" s="8">
        <v>88689.1</v>
      </c>
      <c r="M23" s="8">
        <v>61202.2</v>
      </c>
      <c r="N23" s="8">
        <v>70281.4</v>
      </c>
      <c r="O23" s="8">
        <v>100607.4</v>
      </c>
      <c r="P23" s="8">
        <v>5299.8</v>
      </c>
      <c r="Q23" s="8">
        <v>7156.7</v>
      </c>
      <c r="R23" s="8">
        <v>4430.7</v>
      </c>
      <c r="S23" s="8">
        <v>4993.6</v>
      </c>
      <c r="T23" s="8">
        <v>6325.2</v>
      </c>
      <c r="U23" s="8">
        <v>16911.1</v>
      </c>
      <c r="V23" s="8">
        <v>49782.3</v>
      </c>
      <c r="W23" s="8">
        <v>50653</v>
      </c>
      <c r="X23" s="8">
        <v>1592.8</v>
      </c>
      <c r="Y23" s="8">
        <v>1300</v>
      </c>
      <c r="Z23" s="16">
        <f t="shared" si="20"/>
        <v>53545.8</v>
      </c>
      <c r="AA23" s="8">
        <v>58857.1</v>
      </c>
      <c r="AB23" s="14">
        <v>2774</v>
      </c>
      <c r="AC23" s="7">
        <f t="shared" si="21"/>
        <v>61631.1</v>
      </c>
      <c r="AD23" s="17">
        <v>173727</v>
      </c>
      <c r="AE23" s="18">
        <f t="shared" ref="AE23:AI23" si="111">IF(OR(C24=""),"",(C24-C23)*80)</f>
        <v>3768.00000000047</v>
      </c>
      <c r="AF23" s="18">
        <f t="shared" si="111"/>
        <v>2055.99999999977</v>
      </c>
      <c r="AG23" s="18">
        <f t="shared" si="111"/>
        <v>0</v>
      </c>
      <c r="AH23" s="18">
        <f t="shared" si="111"/>
        <v>2012.79999999999</v>
      </c>
      <c r="AI23" s="18">
        <f t="shared" si="111"/>
        <v>1840</v>
      </c>
      <c r="AJ23" s="18">
        <f t="shared" si="2"/>
        <v>9676.80000000022</v>
      </c>
      <c r="AK23" s="18">
        <f t="shared" ref="AK23:AN23" si="112">IF(OR(H24=""),"",(H24-H23)*80)</f>
        <v>0</v>
      </c>
      <c r="AL23" s="18">
        <f t="shared" si="112"/>
        <v>0</v>
      </c>
      <c r="AM23" s="18">
        <f t="shared" si="112"/>
        <v>0</v>
      </c>
      <c r="AN23" s="18">
        <f t="shared" si="112"/>
        <v>0</v>
      </c>
      <c r="AO23" s="18">
        <f t="shared" si="4"/>
        <v>0</v>
      </c>
      <c r="AP23" s="18">
        <f t="shared" ref="AP23:AS23" si="113">IF(OR(L24=""),"",(L24-L23)*100)</f>
        <v>2159.99999999913</v>
      </c>
      <c r="AQ23" s="18">
        <f t="shared" si="113"/>
        <v>0</v>
      </c>
      <c r="AR23" s="18">
        <f t="shared" si="113"/>
        <v>860.000000000582</v>
      </c>
      <c r="AS23" s="18">
        <f t="shared" si="113"/>
        <v>2380.00000000029</v>
      </c>
      <c r="AT23" s="18">
        <f t="shared" si="6"/>
        <v>5400</v>
      </c>
      <c r="AU23" s="18">
        <f t="shared" ref="AU23:AY23" si="114">IF(OR(P24=""),"",(P24-P23)*1000)</f>
        <v>1699.99999999982</v>
      </c>
      <c r="AV23" s="18">
        <f t="shared" si="114"/>
        <v>2699.99999999982</v>
      </c>
      <c r="AW23" s="18">
        <f t="shared" si="114"/>
        <v>1699.99999999982</v>
      </c>
      <c r="AX23" s="18">
        <f t="shared" si="114"/>
        <v>0</v>
      </c>
      <c r="AY23" s="18">
        <f t="shared" si="114"/>
        <v>9100.00000000036</v>
      </c>
      <c r="AZ23" s="18">
        <f t="shared" si="8"/>
        <v>15199.9999999998</v>
      </c>
      <c r="BA23" s="18">
        <f t="shared" si="9"/>
        <v>8600.00000000582</v>
      </c>
      <c r="BB23" s="18">
        <f t="shared" si="10"/>
        <v>591.999999999534</v>
      </c>
      <c r="BC23" s="18">
        <f t="shared" si="31"/>
        <v>1339.99999999971</v>
      </c>
      <c r="BD23" s="18">
        <f t="shared" si="11"/>
        <v>13691.2000000022</v>
      </c>
      <c r="BE23" s="18">
        <f t="shared" si="12"/>
        <v>54500.0000000073</v>
      </c>
      <c r="BF23" s="18">
        <f t="shared" si="13"/>
        <v>48.3000000000029</v>
      </c>
      <c r="BG23" s="21">
        <f t="shared" si="14"/>
        <v>0.313710591905733</v>
      </c>
      <c r="BH23" s="21">
        <f t="shared" si="15"/>
        <v>0.0557011863440929</v>
      </c>
      <c r="BI23" s="21">
        <f t="shared" si="16"/>
        <v>0</v>
      </c>
      <c r="BJ23" s="21">
        <f t="shared" si="17"/>
        <v>0.0310832513080868</v>
      </c>
      <c r="BK23" s="21">
        <f t="shared" ref="BK23:BO23" si="115">IF(OR($AD23=0),"",AZ23/$AD23)</f>
        <v>0.0874935962746137</v>
      </c>
      <c r="BL23" s="21">
        <f t="shared" si="115"/>
        <v>0.0495029557869866</v>
      </c>
      <c r="BM23" s="21">
        <f t="shared" si="115"/>
        <v>0.00340764532858758</v>
      </c>
      <c r="BN23" s="21">
        <f t="shared" si="115"/>
        <v>0.00771325125052357</v>
      </c>
      <c r="BO23" s="21">
        <f t="shared" si="115"/>
        <v>0.0788087056128418</v>
      </c>
    </row>
    <row r="24" spans="1:67">
      <c r="A24" s="9">
        <f t="shared" si="19"/>
        <v>44307</v>
      </c>
      <c r="B24" s="10">
        <v>16141.92</v>
      </c>
      <c r="C24" s="8">
        <v>87991.1</v>
      </c>
      <c r="D24" s="8">
        <v>56265.1</v>
      </c>
      <c r="E24" s="8">
        <v>55874.8</v>
      </c>
      <c r="F24" s="8">
        <v>4205.42</v>
      </c>
      <c r="G24" s="8">
        <v>110279.8</v>
      </c>
      <c r="H24" s="8">
        <v>5596.3</v>
      </c>
      <c r="I24" s="8">
        <v>2566.3</v>
      </c>
      <c r="J24" s="8">
        <v>967</v>
      </c>
      <c r="K24" s="8">
        <v>56</v>
      </c>
      <c r="L24" s="8">
        <v>88710.7</v>
      </c>
      <c r="M24" s="8">
        <v>61202.2</v>
      </c>
      <c r="N24" s="8">
        <v>70290</v>
      </c>
      <c r="O24" s="8">
        <v>100631.2</v>
      </c>
      <c r="P24" s="8">
        <v>5301.5</v>
      </c>
      <c r="Q24" s="8">
        <v>7159.4</v>
      </c>
      <c r="R24" s="8">
        <v>4432.4</v>
      </c>
      <c r="S24" s="8">
        <v>4993.6</v>
      </c>
      <c r="T24" s="8">
        <v>6334.3</v>
      </c>
      <c r="U24" s="8">
        <v>16915.4</v>
      </c>
      <c r="V24" s="8">
        <v>49789.7</v>
      </c>
      <c r="W24" s="8">
        <v>50669.7</v>
      </c>
      <c r="X24" s="8">
        <v>1601.2</v>
      </c>
      <c r="Y24" s="8">
        <v>1308.4</v>
      </c>
      <c r="Z24" s="16">
        <f t="shared" si="20"/>
        <v>53579.3</v>
      </c>
      <c r="AA24" s="8">
        <v>58899.4</v>
      </c>
      <c r="AB24" s="14">
        <v>2780</v>
      </c>
      <c r="AC24" s="7">
        <f t="shared" si="21"/>
        <v>61679.4</v>
      </c>
      <c r="AD24" s="17">
        <v>178744</v>
      </c>
      <c r="AE24" s="18">
        <f t="shared" ref="AE24:AI24" si="116">IF(OR(C25=""),"",(C25-C24)*80)</f>
        <v>3743.99999999907</v>
      </c>
      <c r="AF24" s="18">
        <f t="shared" si="116"/>
        <v>1527.99999999988</v>
      </c>
      <c r="AG24" s="18">
        <f t="shared" si="116"/>
        <v>0</v>
      </c>
      <c r="AH24" s="18">
        <f t="shared" si="116"/>
        <v>1700.80000000002</v>
      </c>
      <c r="AI24" s="18">
        <f t="shared" si="116"/>
        <v>2231.99999999953</v>
      </c>
      <c r="AJ24" s="18">
        <f t="shared" si="2"/>
        <v>9204.7999999985</v>
      </c>
      <c r="AK24" s="18">
        <f t="shared" ref="AK24:AN24" si="117">IF(OR(H25=""),"",(H25-H24)*80)</f>
        <v>0</v>
      </c>
      <c r="AL24" s="18">
        <f t="shared" si="117"/>
        <v>0</v>
      </c>
      <c r="AM24" s="18">
        <f t="shared" si="117"/>
        <v>0</v>
      </c>
      <c r="AN24" s="18">
        <f t="shared" si="117"/>
        <v>0</v>
      </c>
      <c r="AO24" s="18">
        <f t="shared" si="4"/>
        <v>0</v>
      </c>
      <c r="AP24" s="18">
        <f t="shared" ref="AP24:AS24" si="118">IF(OR(L25=""),"",(L25-L24)*100)</f>
        <v>2119.99999999971</v>
      </c>
      <c r="AQ24" s="18">
        <f t="shared" si="118"/>
        <v>0</v>
      </c>
      <c r="AR24" s="18">
        <f t="shared" si="118"/>
        <v>2919.99999999971</v>
      </c>
      <c r="AS24" s="18">
        <f t="shared" si="118"/>
        <v>2440.00000000087</v>
      </c>
      <c r="AT24" s="18">
        <f t="shared" si="6"/>
        <v>7480.00000000029</v>
      </c>
      <c r="AU24" s="18">
        <f t="shared" ref="AU24:AY24" si="119">IF(OR(P25=""),"",(P25-P24)*1000)</f>
        <v>2800.00000000018</v>
      </c>
      <c r="AV24" s="18">
        <f t="shared" si="119"/>
        <v>5000</v>
      </c>
      <c r="AW24" s="18">
        <f t="shared" si="119"/>
        <v>1500</v>
      </c>
      <c r="AX24" s="18">
        <f t="shared" si="119"/>
        <v>0</v>
      </c>
      <c r="AY24" s="18">
        <f t="shared" si="119"/>
        <v>8300.00000000018</v>
      </c>
      <c r="AZ24" s="18">
        <f t="shared" si="8"/>
        <v>17600.0000000004</v>
      </c>
      <c r="BA24" s="18">
        <f t="shared" si="9"/>
        <v>8599.99999999854</v>
      </c>
      <c r="BB24" s="18">
        <f t="shared" si="10"/>
        <v>640</v>
      </c>
      <c r="BC24" s="18">
        <f t="shared" si="31"/>
        <v>1364.00000000023</v>
      </c>
      <c r="BD24" s="18">
        <f t="shared" si="11"/>
        <v>11811.2000000028</v>
      </c>
      <c r="BE24" s="18">
        <f t="shared" si="12"/>
        <v>56700.0000000007</v>
      </c>
      <c r="BF24" s="18">
        <f t="shared" si="13"/>
        <v>51.5</v>
      </c>
      <c r="BG24" s="21">
        <f t="shared" si="14"/>
        <v>0.317213444926827</v>
      </c>
      <c r="BH24" s="21">
        <f t="shared" si="15"/>
        <v>0.051497113189805</v>
      </c>
      <c r="BI24" s="21">
        <f t="shared" si="16"/>
        <v>0</v>
      </c>
      <c r="BJ24" s="21">
        <f t="shared" si="17"/>
        <v>0.0418475585194484</v>
      </c>
      <c r="BK24" s="21">
        <f t="shared" ref="BK24:BO24" si="120">IF(OR($AD24=0),"",AZ24/$AD24)</f>
        <v>0.098464843575171</v>
      </c>
      <c r="BL24" s="21">
        <f t="shared" si="120"/>
        <v>0.0481135031105858</v>
      </c>
      <c r="BM24" s="21">
        <f t="shared" si="120"/>
        <v>0.00358053976636978</v>
      </c>
      <c r="BN24" s="21">
        <f t="shared" si="120"/>
        <v>0.0076310253770769</v>
      </c>
      <c r="BO24" s="21">
        <f t="shared" si="120"/>
        <v>0.0660788613883699</v>
      </c>
    </row>
    <row r="25" spans="1:67">
      <c r="A25" s="9">
        <f t="shared" si="19"/>
        <v>44308</v>
      </c>
      <c r="B25" s="10">
        <v>16147.59</v>
      </c>
      <c r="C25" s="8">
        <v>88037.9</v>
      </c>
      <c r="D25" s="8">
        <v>56284.2</v>
      </c>
      <c r="E25" s="8">
        <v>55874.8</v>
      </c>
      <c r="F25" s="8">
        <v>4226.68</v>
      </c>
      <c r="G25" s="8">
        <v>110307.7</v>
      </c>
      <c r="H25" s="8">
        <v>5596.3</v>
      </c>
      <c r="I25" s="8">
        <v>2566.3</v>
      </c>
      <c r="J25" s="8">
        <v>967</v>
      </c>
      <c r="K25" s="8">
        <v>56</v>
      </c>
      <c r="L25" s="8">
        <v>88731.9</v>
      </c>
      <c r="M25" s="8">
        <v>61202.2</v>
      </c>
      <c r="N25" s="8">
        <v>70319.2</v>
      </c>
      <c r="O25" s="8">
        <v>100655.6</v>
      </c>
      <c r="P25" s="8">
        <v>5304.3</v>
      </c>
      <c r="Q25" s="8">
        <v>7164.4</v>
      </c>
      <c r="R25" s="8">
        <v>4433.9</v>
      </c>
      <c r="S25" s="8">
        <v>4993.6</v>
      </c>
      <c r="T25" s="8">
        <v>6342.6</v>
      </c>
      <c r="U25" s="8">
        <v>16919.7</v>
      </c>
      <c r="V25" s="8">
        <v>49797.7</v>
      </c>
      <c r="W25" s="8">
        <v>50686.7</v>
      </c>
      <c r="X25" s="8">
        <v>1609.8</v>
      </c>
      <c r="Y25" s="8">
        <v>1316.9</v>
      </c>
      <c r="Z25" s="16">
        <f t="shared" si="20"/>
        <v>53613.4</v>
      </c>
      <c r="AA25" s="8">
        <v>58942.9</v>
      </c>
      <c r="AB25" s="14">
        <v>2788</v>
      </c>
      <c r="AC25" s="7">
        <f t="shared" si="21"/>
        <v>61730.9</v>
      </c>
      <c r="AD25" s="17">
        <v>202793</v>
      </c>
      <c r="AE25" s="18">
        <f t="shared" ref="AE25:AI25" si="121">IF(OR(C26=""),"",(C26-C25)*80)</f>
        <v>3752.0000000007</v>
      </c>
      <c r="AF25" s="18">
        <f t="shared" si="121"/>
        <v>1344.00000000023</v>
      </c>
      <c r="AG25" s="18">
        <f t="shared" si="121"/>
        <v>0</v>
      </c>
      <c r="AH25" s="18">
        <f t="shared" si="121"/>
        <v>1903.99999999994</v>
      </c>
      <c r="AI25" s="18">
        <f t="shared" si="121"/>
        <v>304.000000000233</v>
      </c>
      <c r="AJ25" s="18">
        <f t="shared" si="2"/>
        <v>7304.00000000111</v>
      </c>
      <c r="AK25" s="18">
        <f t="shared" ref="AK25:AN25" si="122">IF(OR(H26=""),"",(H26-H25)*80)</f>
        <v>0</v>
      </c>
      <c r="AL25" s="18">
        <f t="shared" si="122"/>
        <v>0</v>
      </c>
      <c r="AM25" s="18">
        <f t="shared" si="122"/>
        <v>0</v>
      </c>
      <c r="AN25" s="18">
        <f t="shared" si="122"/>
        <v>0</v>
      </c>
      <c r="AO25" s="18">
        <f t="shared" si="4"/>
        <v>0</v>
      </c>
      <c r="AP25" s="18">
        <f t="shared" ref="AP25:AS25" si="123">IF(OR(L26=""),"",(L26-L25)*100)</f>
        <v>2810.00000000058</v>
      </c>
      <c r="AQ25" s="18">
        <f t="shared" si="123"/>
        <v>10.0000000005821</v>
      </c>
      <c r="AR25" s="18">
        <f t="shared" si="123"/>
        <v>2230.00000000029</v>
      </c>
      <c r="AS25" s="18">
        <f t="shared" si="123"/>
        <v>2469.99999999971</v>
      </c>
      <c r="AT25" s="18">
        <f t="shared" si="6"/>
        <v>7520.00000000116</v>
      </c>
      <c r="AU25" s="18">
        <f t="shared" ref="AU25:AY25" si="124">IF(OR(P26=""),"",(P26-P25)*1000)</f>
        <v>2599.99999999945</v>
      </c>
      <c r="AV25" s="18">
        <f t="shared" si="124"/>
        <v>4600.00000000036</v>
      </c>
      <c r="AW25" s="18">
        <f t="shared" si="124"/>
        <v>1400.00000000055</v>
      </c>
      <c r="AX25" s="18">
        <f t="shared" si="124"/>
        <v>0</v>
      </c>
      <c r="AY25" s="18">
        <f t="shared" si="124"/>
        <v>8399.99999999964</v>
      </c>
      <c r="AZ25" s="18">
        <f t="shared" si="8"/>
        <v>17000</v>
      </c>
      <c r="BA25" s="18">
        <f t="shared" si="9"/>
        <v>9000</v>
      </c>
      <c r="BB25" s="18">
        <f t="shared" si="10"/>
        <v>616.000000000349</v>
      </c>
      <c r="BC25" s="18">
        <f t="shared" si="31"/>
        <v>1331.99999999983</v>
      </c>
      <c r="BD25" s="18">
        <f t="shared" si="11"/>
        <v>12727.9999999903</v>
      </c>
      <c r="BE25" s="18">
        <f t="shared" si="12"/>
        <v>55499.9999999927</v>
      </c>
      <c r="BF25" s="18">
        <f t="shared" si="13"/>
        <v>50.9000000000015</v>
      </c>
      <c r="BG25" s="21">
        <f t="shared" si="14"/>
        <v>0.273678085535461</v>
      </c>
      <c r="BH25" s="21">
        <f t="shared" si="15"/>
        <v>0.0360170222838121</v>
      </c>
      <c r="BI25" s="21">
        <f t="shared" si="16"/>
        <v>0</v>
      </c>
      <c r="BJ25" s="21">
        <f t="shared" si="17"/>
        <v>0.0370821478058965</v>
      </c>
      <c r="BK25" s="21">
        <f t="shared" ref="BK25:BO25" si="125">IF(OR($AD25=0),"",AZ25/$AD25)</f>
        <v>0.0838293234973594</v>
      </c>
      <c r="BL25" s="21">
        <f t="shared" si="125"/>
        <v>0.0443802300868373</v>
      </c>
      <c r="BM25" s="21">
        <f t="shared" si="125"/>
        <v>0.00303758019261192</v>
      </c>
      <c r="BN25" s="21">
        <f t="shared" si="125"/>
        <v>0.00656827405285106</v>
      </c>
      <c r="BO25" s="21">
        <f t="shared" si="125"/>
        <v>0.0627635076160927</v>
      </c>
    </row>
    <row r="26" spans="1:67">
      <c r="A26" s="9">
        <f t="shared" si="19"/>
        <v>44309</v>
      </c>
      <c r="B26" s="10">
        <v>16153.14</v>
      </c>
      <c r="C26" s="8">
        <v>88084.8</v>
      </c>
      <c r="D26" s="8">
        <v>56301</v>
      </c>
      <c r="E26" s="8">
        <v>55874.8</v>
      </c>
      <c r="F26" s="8">
        <v>4250.48</v>
      </c>
      <c r="G26" s="8">
        <v>110311.5</v>
      </c>
      <c r="H26" s="8">
        <v>5596.3</v>
      </c>
      <c r="I26" s="8">
        <v>2566.3</v>
      </c>
      <c r="J26" s="8">
        <v>967</v>
      </c>
      <c r="K26" s="8">
        <v>56</v>
      </c>
      <c r="L26" s="8">
        <v>88760</v>
      </c>
      <c r="M26" s="8">
        <v>61202.3</v>
      </c>
      <c r="N26" s="8">
        <v>70341.5</v>
      </c>
      <c r="O26" s="8">
        <v>100680.3</v>
      </c>
      <c r="P26" s="8">
        <v>5306.9</v>
      </c>
      <c r="Q26" s="8">
        <v>7169</v>
      </c>
      <c r="R26" s="8">
        <v>4435.3</v>
      </c>
      <c r="S26" s="8">
        <v>4993.6</v>
      </c>
      <c r="T26" s="8">
        <v>6351</v>
      </c>
      <c r="U26" s="8">
        <v>16924.2</v>
      </c>
      <c r="V26" s="8">
        <v>49805.4</v>
      </c>
      <c r="W26" s="8">
        <v>50703.4</v>
      </c>
      <c r="X26" s="8">
        <v>1618.2</v>
      </c>
      <c r="Y26" s="8">
        <v>1325.1</v>
      </c>
      <c r="Z26" s="16">
        <f t="shared" si="20"/>
        <v>53646.7</v>
      </c>
      <c r="AA26" s="8">
        <v>58986.8</v>
      </c>
      <c r="AB26" s="14">
        <v>2795</v>
      </c>
      <c r="AC26" s="7">
        <f t="shared" si="21"/>
        <v>61781.8</v>
      </c>
      <c r="AD26" s="17">
        <v>205587</v>
      </c>
      <c r="AE26" s="18">
        <f t="shared" ref="AE26:AI26" si="126">IF(OR(C27=""),"",(C27-C26)*80)</f>
        <v>3775.99999999977</v>
      </c>
      <c r="AF26" s="18">
        <f t="shared" si="126"/>
        <v>1152.00000000012</v>
      </c>
      <c r="AG26" s="18">
        <f t="shared" si="126"/>
        <v>0</v>
      </c>
      <c r="AH26" s="18">
        <f t="shared" si="126"/>
        <v>2332.80000000006</v>
      </c>
      <c r="AI26" s="18">
        <f t="shared" si="126"/>
        <v>3671.99999999953</v>
      </c>
      <c r="AJ26" s="18">
        <f t="shared" si="2"/>
        <v>10932.7999999995</v>
      </c>
      <c r="AK26" s="18">
        <f t="shared" ref="AK26:AN26" si="127">IF(OR(H27=""),"",(H27-H26)*80)</f>
        <v>0</v>
      </c>
      <c r="AL26" s="18">
        <f t="shared" si="127"/>
        <v>0</v>
      </c>
      <c r="AM26" s="18">
        <f t="shared" si="127"/>
        <v>0</v>
      </c>
      <c r="AN26" s="18">
        <f t="shared" si="127"/>
        <v>0</v>
      </c>
      <c r="AO26" s="18">
        <f t="shared" si="4"/>
        <v>0</v>
      </c>
      <c r="AP26" s="18">
        <f t="shared" ref="AP26:AS26" si="128">IF(OR(L27=""),"",(L27-L26)*100)</f>
        <v>2910.00000000058</v>
      </c>
      <c r="AQ26" s="18">
        <f t="shared" si="128"/>
        <v>0</v>
      </c>
      <c r="AR26" s="18">
        <f t="shared" si="128"/>
        <v>2519.99999999971</v>
      </c>
      <c r="AS26" s="18">
        <f t="shared" si="128"/>
        <v>2430.00000000029</v>
      </c>
      <c r="AT26" s="18">
        <f t="shared" si="6"/>
        <v>7860.00000000058</v>
      </c>
      <c r="AU26" s="18">
        <f t="shared" ref="AU26:AY26" si="129">IF(OR(P27=""),"",(P27-P26)*1000)</f>
        <v>1000</v>
      </c>
      <c r="AV26" s="18">
        <f t="shared" si="129"/>
        <v>2000</v>
      </c>
      <c r="AW26" s="18">
        <f t="shared" si="129"/>
        <v>3500</v>
      </c>
      <c r="AX26" s="18">
        <f t="shared" si="129"/>
        <v>0</v>
      </c>
      <c r="AY26" s="18">
        <f t="shared" si="129"/>
        <v>8399.99999999964</v>
      </c>
      <c r="AZ26" s="18">
        <f t="shared" si="8"/>
        <v>14899.9999999996</v>
      </c>
      <c r="BA26" s="18">
        <f t="shared" si="9"/>
        <v>9599.99999999854</v>
      </c>
      <c r="BB26" s="18">
        <f t="shared" si="10"/>
        <v>615.999999999767</v>
      </c>
      <c r="BC26" s="18">
        <f t="shared" si="31"/>
        <v>1316.00000000035</v>
      </c>
      <c r="BD26" s="18">
        <f t="shared" si="11"/>
        <v>10275.2000000126</v>
      </c>
      <c r="BE26" s="18">
        <f t="shared" si="12"/>
        <v>55500.0000000109</v>
      </c>
      <c r="BF26" s="18">
        <f t="shared" si="13"/>
        <v>57.5999999999985</v>
      </c>
      <c r="BG26" s="21">
        <f t="shared" si="14"/>
        <v>0.269958703614581</v>
      </c>
      <c r="BH26" s="21">
        <f t="shared" si="15"/>
        <v>0.0531784597275094</v>
      </c>
      <c r="BI26" s="21">
        <f t="shared" si="16"/>
        <v>0</v>
      </c>
      <c r="BJ26" s="21">
        <f t="shared" si="17"/>
        <v>0.038231989376763</v>
      </c>
      <c r="BK26" s="21">
        <f t="shared" ref="BK26:BO26" si="130">IF(OR($AD26=0),"",AZ26/$AD26)</f>
        <v>0.0724753997091238</v>
      </c>
      <c r="BL26" s="21">
        <f t="shared" si="130"/>
        <v>0.0466955595441275</v>
      </c>
      <c r="BM26" s="21">
        <f t="shared" si="130"/>
        <v>0.00299629840408084</v>
      </c>
      <c r="BN26" s="21">
        <f t="shared" si="130"/>
        <v>0.00640118295417682</v>
      </c>
      <c r="BO26" s="21">
        <f t="shared" si="130"/>
        <v>0.0499798138987998</v>
      </c>
    </row>
    <row r="27" spans="1:67">
      <c r="A27" s="9">
        <f t="shared" si="19"/>
        <v>44310</v>
      </c>
      <c r="B27" s="10">
        <v>16158.69</v>
      </c>
      <c r="C27" s="8">
        <v>88132</v>
      </c>
      <c r="D27" s="8">
        <v>56315.4</v>
      </c>
      <c r="E27" s="8">
        <v>55874.8</v>
      </c>
      <c r="F27" s="8">
        <v>4279.64</v>
      </c>
      <c r="G27" s="8">
        <v>110357.4</v>
      </c>
      <c r="H27" s="8">
        <v>5596.3</v>
      </c>
      <c r="I27" s="8">
        <v>2566.3</v>
      </c>
      <c r="J27" s="8">
        <v>967</v>
      </c>
      <c r="K27" s="8">
        <v>56</v>
      </c>
      <c r="L27" s="8">
        <v>88789.1</v>
      </c>
      <c r="M27" s="8">
        <v>61202.3</v>
      </c>
      <c r="N27" s="8">
        <v>70366.7</v>
      </c>
      <c r="O27" s="8">
        <v>100704.6</v>
      </c>
      <c r="P27" s="8">
        <v>5307.9</v>
      </c>
      <c r="Q27" s="8">
        <v>7171</v>
      </c>
      <c r="R27" s="8">
        <v>4438.8</v>
      </c>
      <c r="S27" s="8">
        <v>4993.6</v>
      </c>
      <c r="T27" s="8">
        <v>6359.4</v>
      </c>
      <c r="U27" s="8">
        <v>16929</v>
      </c>
      <c r="V27" s="8">
        <v>49813.1</v>
      </c>
      <c r="W27" s="8">
        <v>50720.3</v>
      </c>
      <c r="X27" s="8">
        <v>1626.4</v>
      </c>
      <c r="Y27" s="8">
        <v>1332.9</v>
      </c>
      <c r="Z27" s="16">
        <f t="shared" si="20"/>
        <v>53679.6</v>
      </c>
      <c r="AA27" s="8">
        <v>59030.4</v>
      </c>
      <c r="AB27" s="14">
        <v>2809</v>
      </c>
      <c r="AC27" s="7">
        <f t="shared" si="21"/>
        <v>61839.4</v>
      </c>
      <c r="AD27" s="17">
        <v>204289</v>
      </c>
      <c r="AE27" s="18">
        <f t="shared" ref="AE27:AI27" si="131">IF(OR(C28=""),"",(C28-C27)*80)</f>
        <v>3928.00000000047</v>
      </c>
      <c r="AF27" s="18">
        <f t="shared" si="131"/>
        <v>2775.99999999977</v>
      </c>
      <c r="AG27" s="18">
        <f t="shared" si="131"/>
        <v>0</v>
      </c>
      <c r="AH27" s="18">
        <f t="shared" si="131"/>
        <v>2315.99999999999</v>
      </c>
      <c r="AI27" s="18">
        <f t="shared" si="131"/>
        <v>1648.00000000047</v>
      </c>
      <c r="AJ27" s="18">
        <f t="shared" si="2"/>
        <v>10668.0000000007</v>
      </c>
      <c r="AK27" s="18">
        <f t="shared" ref="AK27:AN27" si="132">IF(OR(H28=""),"",(H28-H27)*80)</f>
        <v>0</v>
      </c>
      <c r="AL27" s="18">
        <f t="shared" si="132"/>
        <v>0</v>
      </c>
      <c r="AM27" s="18">
        <f t="shared" si="132"/>
        <v>0</v>
      </c>
      <c r="AN27" s="18">
        <f t="shared" si="132"/>
        <v>0</v>
      </c>
      <c r="AO27" s="18">
        <f t="shared" si="4"/>
        <v>0</v>
      </c>
      <c r="AP27" s="18">
        <f t="shared" ref="AP27:AS27" si="133">IF(OR(L28=""),"",(L28-L27)*100)</f>
        <v>2719.99999999971</v>
      </c>
      <c r="AQ27" s="18">
        <f t="shared" si="133"/>
        <v>0</v>
      </c>
      <c r="AR27" s="18">
        <f t="shared" si="133"/>
        <v>2569.99999999971</v>
      </c>
      <c r="AS27" s="18">
        <f t="shared" si="133"/>
        <v>2479.99999999884</v>
      </c>
      <c r="AT27" s="18">
        <f t="shared" si="6"/>
        <v>7769.99999999825</v>
      </c>
      <c r="AU27" s="18">
        <f t="shared" ref="AU27:AY27" si="134">IF(OR(P28=""),"",(P28-P27)*1000)</f>
        <v>0</v>
      </c>
      <c r="AV27" s="18">
        <f t="shared" si="134"/>
        <v>0</v>
      </c>
      <c r="AW27" s="18">
        <f t="shared" si="134"/>
        <v>4599.99999999945</v>
      </c>
      <c r="AX27" s="18">
        <f t="shared" si="134"/>
        <v>0</v>
      </c>
      <c r="AY27" s="18">
        <f t="shared" si="134"/>
        <v>9600.00000000036</v>
      </c>
      <c r="AZ27" s="18">
        <f t="shared" si="8"/>
        <v>14199.9999999998</v>
      </c>
      <c r="BA27" s="18">
        <f t="shared" si="9"/>
        <v>8800.00000000291</v>
      </c>
      <c r="BB27" s="18">
        <f t="shared" si="10"/>
        <v>616.000000000349</v>
      </c>
      <c r="BC27" s="18">
        <f t="shared" si="31"/>
        <v>1355.99999999977</v>
      </c>
      <c r="BD27" s="18">
        <f t="shared" si="11"/>
        <v>13089.9999999946</v>
      </c>
      <c r="BE27" s="18">
        <f t="shared" si="12"/>
        <v>56499.9999999964</v>
      </c>
      <c r="BF27" s="18">
        <f t="shared" si="13"/>
        <v>51.4000000000015</v>
      </c>
      <c r="BG27" s="21">
        <f t="shared" si="14"/>
        <v>0.276568978261171</v>
      </c>
      <c r="BH27" s="21">
        <f t="shared" si="15"/>
        <v>0.0522201391166469</v>
      </c>
      <c r="BI27" s="21">
        <f t="shared" si="16"/>
        <v>0</v>
      </c>
      <c r="BJ27" s="21">
        <f t="shared" si="17"/>
        <v>0.0380343532936098</v>
      </c>
      <c r="BK27" s="21">
        <f t="shared" ref="BK27:BO27" si="135">IF(OR($AD27=0),"",AZ27/$AD27)</f>
        <v>0.0695093715275899</v>
      </c>
      <c r="BL27" s="21">
        <f t="shared" si="135"/>
        <v>0.0430762302424649</v>
      </c>
      <c r="BM27" s="21">
        <f t="shared" si="135"/>
        <v>0.00301533611697325</v>
      </c>
      <c r="BN27" s="21">
        <f t="shared" si="135"/>
        <v>0.00663765547826739</v>
      </c>
      <c r="BO27" s="21">
        <f t="shared" si="135"/>
        <v>0.0640758924856188</v>
      </c>
    </row>
    <row r="28" spans="1:67">
      <c r="A28" s="9">
        <f t="shared" si="19"/>
        <v>44311</v>
      </c>
      <c r="B28" s="10">
        <v>16164.34</v>
      </c>
      <c r="C28" s="8">
        <v>88181.1</v>
      </c>
      <c r="D28" s="8">
        <v>56350.1</v>
      </c>
      <c r="E28" s="8">
        <v>55874.8</v>
      </c>
      <c r="F28" s="8">
        <v>4308.59</v>
      </c>
      <c r="G28" s="8">
        <v>110378</v>
      </c>
      <c r="H28" s="8">
        <v>5596.3</v>
      </c>
      <c r="I28" s="8">
        <v>2566.3</v>
      </c>
      <c r="J28" s="8">
        <v>967</v>
      </c>
      <c r="K28" s="8">
        <v>56</v>
      </c>
      <c r="L28" s="8">
        <v>88816.3</v>
      </c>
      <c r="M28" s="8">
        <v>61202.3</v>
      </c>
      <c r="N28" s="8">
        <v>70392.4</v>
      </c>
      <c r="O28" s="8">
        <v>100729.4</v>
      </c>
      <c r="P28" s="8">
        <v>5307.9</v>
      </c>
      <c r="Q28" s="8">
        <v>7171</v>
      </c>
      <c r="R28" s="8">
        <v>4443.4</v>
      </c>
      <c r="S28" s="8">
        <v>4993.6</v>
      </c>
      <c r="T28" s="8">
        <v>6369</v>
      </c>
      <c r="U28" s="8">
        <v>16933.4</v>
      </c>
      <c r="V28" s="8">
        <v>49820.8</v>
      </c>
      <c r="W28" s="8">
        <v>50737.2</v>
      </c>
      <c r="X28" s="8">
        <v>1635</v>
      </c>
      <c r="Y28" s="8">
        <v>1341.3</v>
      </c>
      <c r="Z28" s="16">
        <f t="shared" si="20"/>
        <v>53713.5</v>
      </c>
      <c r="AA28" s="8">
        <v>59074.8</v>
      </c>
      <c r="AB28" s="14">
        <v>2816</v>
      </c>
      <c r="AC28" s="7">
        <f t="shared" si="21"/>
        <v>61890.8</v>
      </c>
      <c r="AD28" s="17">
        <v>188443</v>
      </c>
      <c r="AE28" s="18">
        <f t="shared" ref="AE28:AI28" si="136">IF(OR(C29=""),"",(C29-C28)*80)</f>
        <v>3871.99999999953</v>
      </c>
      <c r="AF28" s="18">
        <f t="shared" si="136"/>
        <v>2104.00000000023</v>
      </c>
      <c r="AG28" s="18">
        <f t="shared" si="136"/>
        <v>0</v>
      </c>
      <c r="AH28" s="18">
        <f t="shared" si="136"/>
        <v>2253.60000000001</v>
      </c>
      <c r="AI28" s="18">
        <f t="shared" si="136"/>
        <v>1864.00000000023</v>
      </c>
      <c r="AJ28" s="18">
        <f t="shared" si="2"/>
        <v>10093.6</v>
      </c>
      <c r="AK28" s="18">
        <f t="shared" ref="AK28:AN28" si="137">IF(OR(H29=""),"",(H29-H28)*80)</f>
        <v>0</v>
      </c>
      <c r="AL28" s="18">
        <f t="shared" si="137"/>
        <v>0</v>
      </c>
      <c r="AM28" s="18">
        <f t="shared" si="137"/>
        <v>0</v>
      </c>
      <c r="AN28" s="18">
        <f t="shared" si="137"/>
        <v>0</v>
      </c>
      <c r="AO28" s="18">
        <f t="shared" si="4"/>
        <v>0</v>
      </c>
      <c r="AP28" s="18">
        <f t="shared" ref="AP28:AS28" si="138">IF(OR(L29=""),"",(L29-L28)*100)</f>
        <v>2389.99999999942</v>
      </c>
      <c r="AQ28" s="18">
        <f t="shared" si="138"/>
        <v>0</v>
      </c>
      <c r="AR28" s="18">
        <f t="shared" si="138"/>
        <v>2530.00000000029</v>
      </c>
      <c r="AS28" s="18">
        <f t="shared" si="138"/>
        <v>2480.00000000029</v>
      </c>
      <c r="AT28" s="18">
        <f t="shared" si="6"/>
        <v>7400</v>
      </c>
      <c r="AU28" s="18">
        <f t="shared" ref="AU28:AY28" si="139">IF(OR(P29=""),"",(P29-P28)*1000)</f>
        <v>200.000000000728</v>
      </c>
      <c r="AV28" s="18">
        <f t="shared" si="139"/>
        <v>300.000000000182</v>
      </c>
      <c r="AW28" s="18">
        <f t="shared" si="139"/>
        <v>4500</v>
      </c>
      <c r="AX28" s="18">
        <f t="shared" si="139"/>
        <v>0</v>
      </c>
      <c r="AY28" s="18">
        <f t="shared" si="139"/>
        <v>9399.99999999964</v>
      </c>
      <c r="AZ28" s="18">
        <f t="shared" si="8"/>
        <v>14400.0000000005</v>
      </c>
      <c r="BA28" s="18">
        <f t="shared" si="9"/>
        <v>10199.9999999971</v>
      </c>
      <c r="BB28" s="18">
        <f t="shared" si="10"/>
        <v>615.999999999767</v>
      </c>
      <c r="BC28" s="18">
        <f t="shared" si="31"/>
        <v>1360</v>
      </c>
      <c r="BD28" s="18">
        <f t="shared" si="11"/>
        <v>13730.4000000091</v>
      </c>
      <c r="BE28" s="18">
        <f t="shared" si="12"/>
        <v>57800.0000000065</v>
      </c>
      <c r="BF28" s="18">
        <f t="shared" si="13"/>
        <v>51.2999999999956</v>
      </c>
      <c r="BG28" s="21">
        <f t="shared" si="14"/>
        <v>0.306724049182016</v>
      </c>
      <c r="BH28" s="21">
        <f t="shared" si="15"/>
        <v>0.053563146415627</v>
      </c>
      <c r="BI28" s="21">
        <f t="shared" si="16"/>
        <v>0</v>
      </c>
      <c r="BJ28" s="21">
        <f t="shared" si="17"/>
        <v>0.0392691689264128</v>
      </c>
      <c r="BK28" s="21">
        <f t="shared" ref="BK28:BO28" si="140">IF(OR($AD28=0),"",AZ28/$AD28)</f>
        <v>0.0764156800730223</v>
      </c>
      <c r="BL28" s="21">
        <f t="shared" si="140"/>
        <v>0.05412777338504</v>
      </c>
      <c r="BM28" s="21">
        <f t="shared" si="140"/>
        <v>0.00326889298090015</v>
      </c>
      <c r="BN28" s="21">
        <f t="shared" si="140"/>
        <v>0.00721703645134072</v>
      </c>
      <c r="BO28" s="21">
        <f t="shared" si="140"/>
        <v>0.0728623509496725</v>
      </c>
    </row>
    <row r="29" spans="1:67">
      <c r="A29" s="9">
        <f t="shared" si="19"/>
        <v>44312</v>
      </c>
      <c r="B29" s="10">
        <v>16170.12</v>
      </c>
      <c r="C29" s="8">
        <v>88229.5</v>
      </c>
      <c r="D29" s="8">
        <v>56376.4</v>
      </c>
      <c r="E29" s="8">
        <v>55874.8</v>
      </c>
      <c r="F29" s="8">
        <v>4336.76</v>
      </c>
      <c r="G29" s="8">
        <v>110401.3</v>
      </c>
      <c r="H29" s="8">
        <v>5596.3</v>
      </c>
      <c r="I29" s="8">
        <v>2566.3</v>
      </c>
      <c r="J29" s="8">
        <v>967</v>
      </c>
      <c r="K29" s="8">
        <v>56</v>
      </c>
      <c r="L29" s="8">
        <v>88840.2</v>
      </c>
      <c r="M29" s="8">
        <v>61202.3</v>
      </c>
      <c r="N29" s="8">
        <v>70417.7</v>
      </c>
      <c r="O29" s="8">
        <v>100754.2</v>
      </c>
      <c r="P29" s="8">
        <v>5308.1</v>
      </c>
      <c r="Q29" s="8">
        <v>7171.3</v>
      </c>
      <c r="R29" s="8">
        <v>4447.9</v>
      </c>
      <c r="S29" s="8">
        <v>4993.6</v>
      </c>
      <c r="T29" s="8">
        <v>6378.4</v>
      </c>
      <c r="U29" s="8">
        <v>16938.5</v>
      </c>
      <c r="V29" s="8">
        <v>49828.5</v>
      </c>
      <c r="W29" s="8">
        <v>50754.3</v>
      </c>
      <c r="X29" s="8">
        <v>1643.6</v>
      </c>
      <c r="Y29" s="8">
        <v>1349.6</v>
      </c>
      <c r="Z29" s="16">
        <f t="shared" si="20"/>
        <v>53747.5</v>
      </c>
      <c r="AA29" s="8">
        <v>59120.1</v>
      </c>
      <c r="AB29" s="14">
        <v>2822</v>
      </c>
      <c r="AC29" s="7">
        <f t="shared" si="21"/>
        <v>61942.1</v>
      </c>
      <c r="AD29" s="17">
        <v>204254</v>
      </c>
      <c r="AE29" s="18">
        <f t="shared" ref="AE29:AI29" si="141">IF(OR(C30=""),"",(C30-C29)*80)</f>
        <v>3791.99999999953</v>
      </c>
      <c r="AF29" s="18">
        <f t="shared" si="141"/>
        <v>527.999999999884</v>
      </c>
      <c r="AG29" s="18">
        <f t="shared" si="141"/>
        <v>0</v>
      </c>
      <c r="AH29" s="18">
        <f t="shared" si="141"/>
        <v>2435.19999999997</v>
      </c>
      <c r="AI29" s="18">
        <f t="shared" si="141"/>
        <v>2440</v>
      </c>
      <c r="AJ29" s="18">
        <f t="shared" si="2"/>
        <v>9195.19999999939</v>
      </c>
      <c r="AK29" s="18">
        <f t="shared" ref="AK29:AN29" si="142">IF(OR(H30=""),"",(H30-H29)*80)</f>
        <v>0</v>
      </c>
      <c r="AL29" s="18">
        <f t="shared" si="142"/>
        <v>0</v>
      </c>
      <c r="AM29" s="18">
        <f t="shared" si="142"/>
        <v>0</v>
      </c>
      <c r="AN29" s="18">
        <f t="shared" si="142"/>
        <v>0</v>
      </c>
      <c r="AO29" s="18">
        <f t="shared" si="4"/>
        <v>0</v>
      </c>
      <c r="AP29" s="18">
        <f t="shared" ref="AP29:AS29" si="143">IF(OR(L30=""),"",(L30-L29)*100)</f>
        <v>2810.00000000058</v>
      </c>
      <c r="AQ29" s="18">
        <f t="shared" si="143"/>
        <v>0</v>
      </c>
      <c r="AR29" s="18">
        <f t="shared" si="143"/>
        <v>2519.99999999971</v>
      </c>
      <c r="AS29" s="18">
        <f t="shared" si="143"/>
        <v>2390.00000000087</v>
      </c>
      <c r="AT29" s="18">
        <f t="shared" si="6"/>
        <v>7720.00000000116</v>
      </c>
      <c r="AU29" s="18">
        <f t="shared" ref="AU29:AY29" si="144">IF(OR(P30=""),"",(P30-P29)*1000)</f>
        <v>2399.99999999964</v>
      </c>
      <c r="AV29" s="18">
        <f t="shared" si="144"/>
        <v>5500</v>
      </c>
      <c r="AW29" s="18">
        <f t="shared" si="144"/>
        <v>1700.00000000073</v>
      </c>
      <c r="AX29" s="18">
        <f t="shared" si="144"/>
        <v>0</v>
      </c>
      <c r="AY29" s="18">
        <f t="shared" si="144"/>
        <v>9000</v>
      </c>
      <c r="AZ29" s="18">
        <f t="shared" si="8"/>
        <v>18600.0000000004</v>
      </c>
      <c r="BA29" s="18">
        <f t="shared" si="9"/>
        <v>9800.00000000291</v>
      </c>
      <c r="BB29" s="18">
        <f t="shared" si="10"/>
        <v>935.999999999767</v>
      </c>
      <c r="BC29" s="18">
        <f t="shared" si="31"/>
        <v>1351.99999999983</v>
      </c>
      <c r="BD29" s="18">
        <f t="shared" si="11"/>
        <v>11496.7999999951</v>
      </c>
      <c r="BE29" s="18">
        <f t="shared" si="12"/>
        <v>59099.9999999985</v>
      </c>
      <c r="BF29" s="18">
        <f t="shared" si="13"/>
        <v>51.7000000000044</v>
      </c>
      <c r="BG29" s="21">
        <f t="shared" si="14"/>
        <v>0.289345618690447</v>
      </c>
      <c r="BH29" s="21">
        <f t="shared" si="15"/>
        <v>0.0450184574108678</v>
      </c>
      <c r="BI29" s="21">
        <f t="shared" si="16"/>
        <v>0</v>
      </c>
      <c r="BJ29" s="21">
        <f t="shared" si="17"/>
        <v>0.0377960774330058</v>
      </c>
      <c r="BK29" s="21">
        <f t="shared" ref="BK29:BO29" si="145">IF(OR($AD29=0),"",AZ29/$AD29)</f>
        <v>0.0910630881157792</v>
      </c>
      <c r="BL29" s="21">
        <f t="shared" si="145"/>
        <v>0.0479794765341335</v>
      </c>
      <c r="BM29" s="21">
        <f t="shared" si="145"/>
        <v>0.0045825295955025</v>
      </c>
      <c r="BN29" s="21">
        <f t="shared" si="145"/>
        <v>0.00661920941572662</v>
      </c>
      <c r="BO29" s="21">
        <f t="shared" si="145"/>
        <v>0.0562867801854315</v>
      </c>
    </row>
    <row r="30" spans="1:67">
      <c r="A30" s="9">
        <f t="shared" si="19"/>
        <v>44313</v>
      </c>
      <c r="B30" s="10">
        <v>16176.03</v>
      </c>
      <c r="C30" s="8">
        <v>88276.9</v>
      </c>
      <c r="D30" s="8">
        <v>56383</v>
      </c>
      <c r="E30" s="8">
        <v>55874.8</v>
      </c>
      <c r="F30" s="8">
        <v>4367.2</v>
      </c>
      <c r="G30" s="8">
        <v>110431.8</v>
      </c>
      <c r="H30" s="8">
        <v>5596.3</v>
      </c>
      <c r="I30" s="8">
        <v>2566.3</v>
      </c>
      <c r="J30" s="8">
        <v>967</v>
      </c>
      <c r="K30" s="8">
        <v>56</v>
      </c>
      <c r="L30" s="8">
        <v>88868.3</v>
      </c>
      <c r="M30" s="8">
        <v>61202.3</v>
      </c>
      <c r="N30" s="8">
        <v>70442.9</v>
      </c>
      <c r="O30" s="8">
        <v>100778.1</v>
      </c>
      <c r="P30" s="8">
        <v>5310.5</v>
      </c>
      <c r="Q30" s="8">
        <v>7176.8</v>
      </c>
      <c r="R30" s="8">
        <v>4449.6</v>
      </c>
      <c r="S30" s="8">
        <v>4993.6</v>
      </c>
      <c r="T30" s="8">
        <v>6387.4</v>
      </c>
      <c r="U30" s="8">
        <v>16943.4</v>
      </c>
      <c r="V30" s="8">
        <v>49840.2</v>
      </c>
      <c r="W30" s="8">
        <v>50771.2</v>
      </c>
      <c r="X30" s="8">
        <v>1652.1</v>
      </c>
      <c r="Y30" s="8">
        <v>1358</v>
      </c>
      <c r="Z30" s="16">
        <f t="shared" si="20"/>
        <v>53781.3</v>
      </c>
      <c r="AA30" s="8">
        <v>59163.8</v>
      </c>
      <c r="AB30" s="14">
        <v>2830</v>
      </c>
      <c r="AC30" s="7">
        <f t="shared" si="21"/>
        <v>61993.8</v>
      </c>
      <c r="AD30" s="17">
        <v>203135</v>
      </c>
      <c r="AE30" s="18">
        <f t="shared" ref="AE30:AI30" si="146">IF(OR(C31=""),"",(C31-C30)*80)</f>
        <v>3728.00000000047</v>
      </c>
      <c r="AF30" s="18">
        <f t="shared" si="146"/>
        <v>1927.99999999988</v>
      </c>
      <c r="AG30" s="18">
        <f t="shared" si="146"/>
        <v>0</v>
      </c>
      <c r="AH30" s="18">
        <f t="shared" si="146"/>
        <v>1035.20000000004</v>
      </c>
      <c r="AI30" s="18">
        <f t="shared" si="146"/>
        <v>1775.99999999977</v>
      </c>
      <c r="AJ30" s="18">
        <f t="shared" si="2"/>
        <v>8467.20000000016</v>
      </c>
      <c r="AK30" s="18">
        <f t="shared" ref="AK30:AN30" si="147">IF(OR(H31=""),"",(H31-H30)*80)</f>
        <v>0</v>
      </c>
      <c r="AL30" s="18">
        <f t="shared" si="147"/>
        <v>0</v>
      </c>
      <c r="AM30" s="18">
        <f t="shared" si="147"/>
        <v>0</v>
      </c>
      <c r="AN30" s="18">
        <f t="shared" si="147"/>
        <v>0</v>
      </c>
      <c r="AO30" s="18">
        <f t="shared" si="4"/>
        <v>0</v>
      </c>
      <c r="AP30" s="18">
        <f t="shared" ref="AP30:AS30" si="148">IF(OR(L31=""),"",(L31-L30)*100)</f>
        <v>2800</v>
      </c>
      <c r="AQ30" s="18">
        <f t="shared" si="148"/>
        <v>0</v>
      </c>
      <c r="AR30" s="18">
        <f t="shared" si="148"/>
        <v>2550</v>
      </c>
      <c r="AS30" s="18">
        <f t="shared" si="148"/>
        <v>2429.99999999884</v>
      </c>
      <c r="AT30" s="18">
        <f t="shared" si="6"/>
        <v>7779.99999999884</v>
      </c>
      <c r="AU30" s="18">
        <f t="shared" ref="AU30:AY30" si="149">IF(OR(P31=""),"",(P31-P30)*1000)</f>
        <v>600.000000000364</v>
      </c>
      <c r="AV30" s="18">
        <f t="shared" si="149"/>
        <v>500</v>
      </c>
      <c r="AW30" s="18">
        <f t="shared" si="149"/>
        <v>3899.99999999964</v>
      </c>
      <c r="AX30" s="18">
        <f t="shared" si="149"/>
        <v>0</v>
      </c>
      <c r="AY30" s="18">
        <f t="shared" si="149"/>
        <v>8300.00000000018</v>
      </c>
      <c r="AZ30" s="18">
        <f t="shared" si="8"/>
        <v>13300.0000000002</v>
      </c>
      <c r="BA30" s="18">
        <f t="shared" si="9"/>
        <v>10000</v>
      </c>
      <c r="BB30" s="18">
        <f t="shared" si="10"/>
        <v>1112.00000000012</v>
      </c>
      <c r="BC30" s="18">
        <f t="shared" si="31"/>
        <v>1324.00000000023</v>
      </c>
      <c r="BD30" s="18">
        <f t="shared" si="11"/>
        <v>12616.7999999917</v>
      </c>
      <c r="BE30" s="18">
        <f t="shared" si="12"/>
        <v>54599.9999999913</v>
      </c>
      <c r="BF30" s="18">
        <f t="shared" si="13"/>
        <v>47.5</v>
      </c>
      <c r="BG30" s="21">
        <f t="shared" si="14"/>
        <v>0.268786767420638</v>
      </c>
      <c r="BH30" s="21">
        <f t="shared" si="15"/>
        <v>0.0416826248553925</v>
      </c>
      <c r="BI30" s="21">
        <f t="shared" si="16"/>
        <v>0</v>
      </c>
      <c r="BJ30" s="21">
        <f t="shared" si="17"/>
        <v>0.0382996529401572</v>
      </c>
      <c r="BK30" s="21">
        <f t="shared" ref="BK30:BO30" si="150">IF(OR($AD30=0),"",AZ30/$AD30)</f>
        <v>0.0654736997563206</v>
      </c>
      <c r="BL30" s="21">
        <f t="shared" si="150"/>
        <v>0.0492283456814434</v>
      </c>
      <c r="BM30" s="21">
        <f t="shared" si="150"/>
        <v>0.00547419203977708</v>
      </c>
      <c r="BN30" s="21">
        <f t="shared" si="150"/>
        <v>0.00651783296822425</v>
      </c>
      <c r="BO30" s="21">
        <f t="shared" si="150"/>
        <v>0.0621104191793228</v>
      </c>
    </row>
    <row r="31" spans="1:67">
      <c r="A31" s="9">
        <f t="shared" si="19"/>
        <v>44314</v>
      </c>
      <c r="B31" s="10">
        <v>16181.49</v>
      </c>
      <c r="C31" s="8">
        <v>88323.5</v>
      </c>
      <c r="D31" s="8">
        <v>56407.1</v>
      </c>
      <c r="E31" s="8">
        <v>55874.8</v>
      </c>
      <c r="F31" s="8">
        <v>4380.14</v>
      </c>
      <c r="G31" s="8">
        <v>110454</v>
      </c>
      <c r="H31" s="8">
        <v>5596.3</v>
      </c>
      <c r="I31" s="8">
        <v>2566.3</v>
      </c>
      <c r="J31" s="8">
        <v>967</v>
      </c>
      <c r="K31" s="8">
        <v>56</v>
      </c>
      <c r="L31" s="8">
        <v>88896.3</v>
      </c>
      <c r="M31" s="8">
        <v>61202.3</v>
      </c>
      <c r="N31" s="8">
        <v>70468.4</v>
      </c>
      <c r="O31" s="8">
        <v>100802.4</v>
      </c>
      <c r="P31" s="8">
        <v>5311.1</v>
      </c>
      <c r="Q31" s="8">
        <v>7177.3</v>
      </c>
      <c r="R31" s="8">
        <v>4453.5</v>
      </c>
      <c r="S31" s="8">
        <v>4993.6</v>
      </c>
      <c r="T31" s="8">
        <v>6395.7</v>
      </c>
      <c r="U31" s="8">
        <v>16948.4</v>
      </c>
      <c r="V31" s="8">
        <v>49854.1</v>
      </c>
      <c r="W31" s="8">
        <v>50787.9</v>
      </c>
      <c r="X31" s="8">
        <v>1660.4</v>
      </c>
      <c r="Y31" s="8">
        <v>1366.1</v>
      </c>
      <c r="Z31" s="16">
        <f t="shared" si="20"/>
        <v>53814.4</v>
      </c>
      <c r="AA31" s="8">
        <v>59204.3</v>
      </c>
      <c r="AB31" s="14">
        <v>2837</v>
      </c>
      <c r="AC31" s="7">
        <f t="shared" si="21"/>
        <v>62041.3</v>
      </c>
      <c r="AD31" s="17">
        <v>202731</v>
      </c>
      <c r="AE31" s="18">
        <f t="shared" ref="AE31:AI31" si="151">IF(OR(C32=""),"",(C32-C31)*80)</f>
        <v>3904.00000000023</v>
      </c>
      <c r="AF31" s="18">
        <f t="shared" si="151"/>
        <v>3047.99999999988</v>
      </c>
      <c r="AG31" s="18">
        <f t="shared" si="151"/>
        <v>0</v>
      </c>
      <c r="AH31" s="18">
        <f t="shared" si="151"/>
        <v>18.3999999999651</v>
      </c>
      <c r="AI31" s="18">
        <f t="shared" si="151"/>
        <v>2048.00000000047</v>
      </c>
      <c r="AJ31" s="18">
        <f t="shared" si="2"/>
        <v>9018.40000000055</v>
      </c>
      <c r="AK31" s="18">
        <f t="shared" ref="AK31:AN31" si="152">IF(OR(H32=""),"",(H32-H31)*80)</f>
        <v>0</v>
      </c>
      <c r="AL31" s="18">
        <f t="shared" si="152"/>
        <v>0</v>
      </c>
      <c r="AM31" s="18">
        <f t="shared" si="152"/>
        <v>0</v>
      </c>
      <c r="AN31" s="18">
        <f t="shared" si="152"/>
        <v>0</v>
      </c>
      <c r="AO31" s="18">
        <f t="shared" si="4"/>
        <v>0</v>
      </c>
      <c r="AP31" s="18">
        <f t="shared" ref="AP31:AS31" si="153">IF(OR(L32=""),"",(L32-L31)*100)</f>
        <v>2730.00000000029</v>
      </c>
      <c r="AQ31" s="18">
        <f t="shared" si="153"/>
        <v>0</v>
      </c>
      <c r="AR31" s="18">
        <f t="shared" si="153"/>
        <v>2530.00000000029</v>
      </c>
      <c r="AS31" s="18">
        <f t="shared" si="153"/>
        <v>2430.00000000029</v>
      </c>
      <c r="AT31" s="18">
        <f t="shared" si="6"/>
        <v>7690.00000000087</v>
      </c>
      <c r="AU31" s="18">
        <f t="shared" ref="AU31:AY31" si="154">IF(OR(P32=""),"",(P32-P31)*1000)</f>
        <v>899.999999999636</v>
      </c>
      <c r="AV31" s="18">
        <f t="shared" si="154"/>
        <v>0</v>
      </c>
      <c r="AW31" s="18">
        <f t="shared" si="154"/>
        <v>1699.99999999982</v>
      </c>
      <c r="AX31" s="18">
        <f t="shared" si="154"/>
        <v>0</v>
      </c>
      <c r="AY31" s="18">
        <f t="shared" si="154"/>
        <v>9100.00000000036</v>
      </c>
      <c r="AZ31" s="18">
        <f t="shared" si="8"/>
        <v>11699.9999999998</v>
      </c>
      <c r="BA31" s="18">
        <f t="shared" si="9"/>
        <v>9599.99999999854</v>
      </c>
      <c r="BB31" s="18">
        <f t="shared" si="10"/>
        <v>1112.00000000012</v>
      </c>
      <c r="BC31" s="18">
        <f t="shared" si="31"/>
        <v>1352.00000000012</v>
      </c>
      <c r="BD31" s="18">
        <f t="shared" si="11"/>
        <v>14127.6000000094</v>
      </c>
      <c r="BE31" s="18">
        <f t="shared" si="12"/>
        <v>54600.0000000095</v>
      </c>
      <c r="BF31" s="18">
        <f t="shared" si="13"/>
        <v>55.6999999999971</v>
      </c>
      <c r="BG31" s="21">
        <f t="shared" si="14"/>
        <v>0.269322402592645</v>
      </c>
      <c r="BH31" s="21">
        <f t="shared" si="15"/>
        <v>0.044484563288301</v>
      </c>
      <c r="BI31" s="21">
        <f t="shared" si="16"/>
        <v>0</v>
      </c>
      <c r="BJ31" s="21">
        <f t="shared" si="17"/>
        <v>0.0379320380208299</v>
      </c>
      <c r="BK31" s="21">
        <f t="shared" ref="BK31:BO31" si="155">IF(OR($AD31=0),"",AZ31/$AD31)</f>
        <v>0.0577119434126987</v>
      </c>
      <c r="BL31" s="21">
        <f t="shared" si="155"/>
        <v>0.0473533894668232</v>
      </c>
      <c r="BM31" s="21">
        <f t="shared" si="155"/>
        <v>0.0054851009465751</v>
      </c>
      <c r="BN31" s="21">
        <f t="shared" si="155"/>
        <v>0.00666893568324586</v>
      </c>
      <c r="BO31" s="21">
        <f t="shared" si="155"/>
        <v>0.0696864317741709</v>
      </c>
    </row>
    <row r="32" spans="1:67">
      <c r="A32" s="9">
        <f t="shared" si="19"/>
        <v>44315</v>
      </c>
      <c r="B32" s="10">
        <v>16186.95</v>
      </c>
      <c r="C32" s="8">
        <v>88372.3</v>
      </c>
      <c r="D32" s="8">
        <v>56445.2</v>
      </c>
      <c r="E32" s="8">
        <v>55874.8</v>
      </c>
      <c r="F32" s="8">
        <v>4380.37</v>
      </c>
      <c r="G32" s="8">
        <v>110479.6</v>
      </c>
      <c r="H32" s="8">
        <v>5596.3</v>
      </c>
      <c r="I32" s="8">
        <v>2566.3</v>
      </c>
      <c r="J32" s="8">
        <v>967</v>
      </c>
      <c r="K32" s="8">
        <v>56</v>
      </c>
      <c r="L32" s="8">
        <v>88923.6</v>
      </c>
      <c r="M32" s="8">
        <v>61202.3</v>
      </c>
      <c r="N32" s="8">
        <v>70493.7</v>
      </c>
      <c r="O32" s="8">
        <v>100826.7</v>
      </c>
      <c r="P32" s="8">
        <v>5312</v>
      </c>
      <c r="Q32" s="8">
        <v>7177.3</v>
      </c>
      <c r="R32" s="8">
        <v>4455.2</v>
      </c>
      <c r="S32" s="8">
        <v>4993.6</v>
      </c>
      <c r="T32" s="8">
        <v>6404.8</v>
      </c>
      <c r="U32" s="8">
        <v>16953.2</v>
      </c>
      <c r="V32" s="8">
        <v>49868</v>
      </c>
      <c r="W32" s="8">
        <v>50804.8</v>
      </c>
      <c r="X32" s="8">
        <v>1668.8</v>
      </c>
      <c r="Y32" s="8">
        <v>1374.6</v>
      </c>
      <c r="Z32" s="16">
        <f t="shared" si="20"/>
        <v>53848.2</v>
      </c>
      <c r="AA32" s="8">
        <v>59246</v>
      </c>
      <c r="AB32" s="14">
        <v>2851</v>
      </c>
      <c r="AC32" s="7">
        <f t="shared" si="21"/>
        <v>62097</v>
      </c>
      <c r="AD32" s="17">
        <v>203840</v>
      </c>
      <c r="AE32" s="18">
        <f t="shared" ref="AE32:AI32" si="156">IF(OR(C33=""),"",(C33-C32)*80)</f>
        <v>3880</v>
      </c>
      <c r="AF32" s="18">
        <f t="shared" si="156"/>
        <v>2248.00000000047</v>
      </c>
      <c r="AG32" s="18">
        <f t="shared" si="156"/>
        <v>0</v>
      </c>
      <c r="AH32" s="18">
        <f t="shared" si="156"/>
        <v>1661.60000000003</v>
      </c>
      <c r="AI32" s="18">
        <f t="shared" si="156"/>
        <v>1647.9999999993</v>
      </c>
      <c r="AJ32" s="18">
        <f t="shared" si="2"/>
        <v>9437.5999999998</v>
      </c>
      <c r="AK32" s="18">
        <f t="shared" ref="AK32:AN32" si="157">IF(OR(H33=""),"",(H33-H32)*80)</f>
        <v>0</v>
      </c>
      <c r="AL32" s="18">
        <f t="shared" si="157"/>
        <v>0</v>
      </c>
      <c r="AM32" s="18">
        <f t="shared" si="157"/>
        <v>0</v>
      </c>
      <c r="AN32" s="18">
        <f t="shared" si="157"/>
        <v>0</v>
      </c>
      <c r="AO32" s="18">
        <f t="shared" si="4"/>
        <v>0</v>
      </c>
      <c r="AP32" s="18">
        <f t="shared" ref="AP32:AS32" si="158">IF(OR(L33=""),"",(L33-L32)*100)</f>
        <v>2969.99999999971</v>
      </c>
      <c r="AQ32" s="18">
        <f t="shared" si="158"/>
        <v>0</v>
      </c>
      <c r="AR32" s="18">
        <f t="shared" si="158"/>
        <v>2580.00000000029</v>
      </c>
      <c r="AS32" s="18">
        <f t="shared" si="158"/>
        <v>2480.00000000029</v>
      </c>
      <c r="AT32" s="18">
        <f t="shared" si="6"/>
        <v>8030.00000000029</v>
      </c>
      <c r="AU32" s="18">
        <f t="shared" ref="AU32:AY32" si="159">IF(OR(P33=""),"",(P33-P32)*1000)</f>
        <v>500</v>
      </c>
      <c r="AV32" s="18">
        <f t="shared" si="159"/>
        <v>0</v>
      </c>
      <c r="AW32" s="18">
        <f t="shared" si="159"/>
        <v>6100.00000000036</v>
      </c>
      <c r="AX32" s="18">
        <f t="shared" si="159"/>
        <v>0</v>
      </c>
      <c r="AY32" s="18">
        <f t="shared" si="159"/>
        <v>9000</v>
      </c>
      <c r="AZ32" s="18">
        <f t="shared" si="8"/>
        <v>15600.0000000004</v>
      </c>
      <c r="BA32" s="18">
        <f t="shared" si="9"/>
        <v>10199.9999999971</v>
      </c>
      <c r="BB32" s="18">
        <f t="shared" si="10"/>
        <v>975.999999999767</v>
      </c>
      <c r="BC32" s="18">
        <f t="shared" si="31"/>
        <v>1376.00000000006</v>
      </c>
      <c r="BD32" s="18">
        <f t="shared" si="11"/>
        <v>10280.4000000041</v>
      </c>
      <c r="BE32" s="18">
        <f t="shared" si="12"/>
        <v>55900.0000000015</v>
      </c>
      <c r="BF32" s="18">
        <f t="shared" si="13"/>
        <v>53</v>
      </c>
      <c r="BG32" s="21">
        <f t="shared" si="14"/>
        <v>0.274234693877558</v>
      </c>
      <c r="BH32" s="21">
        <f t="shared" si="15"/>
        <v>0.0462990580847714</v>
      </c>
      <c r="BI32" s="21">
        <f t="shared" si="16"/>
        <v>0</v>
      </c>
      <c r="BJ32" s="21">
        <f t="shared" si="17"/>
        <v>0.0393936420722149</v>
      </c>
      <c r="BK32" s="21">
        <f t="shared" ref="BK32:BO32" si="160">IF(OR($AD32=0),"",AZ32/$AD32)</f>
        <v>0.0765306122448997</v>
      </c>
      <c r="BL32" s="21">
        <f t="shared" si="160"/>
        <v>0.0500392464678036</v>
      </c>
      <c r="BM32" s="21">
        <f t="shared" si="160"/>
        <v>0.00478806907378222</v>
      </c>
      <c r="BN32" s="21">
        <f t="shared" si="160"/>
        <v>0.00675039246467846</v>
      </c>
      <c r="BO32" s="21">
        <f t="shared" si="160"/>
        <v>0.0504336734694078</v>
      </c>
    </row>
    <row r="33" spans="1:67">
      <c r="A33" s="9">
        <f t="shared" si="19"/>
        <v>44316</v>
      </c>
      <c r="B33" s="10">
        <v>16192.54</v>
      </c>
      <c r="C33" s="8">
        <v>88420.8</v>
      </c>
      <c r="D33" s="8">
        <v>56473.3</v>
      </c>
      <c r="E33" s="8">
        <v>55874.8</v>
      </c>
      <c r="F33" s="8">
        <v>4401.14</v>
      </c>
      <c r="G33" s="8">
        <v>110500.2</v>
      </c>
      <c r="H33" s="8">
        <v>5596.3</v>
      </c>
      <c r="I33" s="8">
        <v>2566.3</v>
      </c>
      <c r="J33" s="8">
        <v>967</v>
      </c>
      <c r="K33" s="8">
        <v>56</v>
      </c>
      <c r="L33" s="8">
        <v>88953.3</v>
      </c>
      <c r="M33" s="8">
        <v>61202.3</v>
      </c>
      <c r="N33" s="8">
        <v>70519.5</v>
      </c>
      <c r="O33" s="8">
        <v>100851.5</v>
      </c>
      <c r="P33" s="8">
        <v>5312.5</v>
      </c>
      <c r="Q33" s="8">
        <v>7177.3</v>
      </c>
      <c r="R33" s="8">
        <v>4461.3</v>
      </c>
      <c r="S33" s="8">
        <v>4993.6</v>
      </c>
      <c r="T33" s="8">
        <v>6413.8</v>
      </c>
      <c r="U33" s="8">
        <v>16958.3</v>
      </c>
      <c r="V33" s="8">
        <v>49880.2</v>
      </c>
      <c r="W33" s="8">
        <v>50821.8</v>
      </c>
      <c r="X33" s="8">
        <v>1677.3</v>
      </c>
      <c r="Y33" s="8">
        <v>1383.5</v>
      </c>
      <c r="Z33" s="16">
        <f t="shared" si="20"/>
        <v>53882.6</v>
      </c>
      <c r="AA33" s="8">
        <v>59290</v>
      </c>
      <c r="AB33" s="14">
        <v>2860</v>
      </c>
      <c r="AC33" s="7">
        <f t="shared" si="21"/>
        <v>62150</v>
      </c>
      <c r="AD33" s="17">
        <v>201865</v>
      </c>
      <c r="AE33" s="18">
        <f t="shared" ref="AE33:AI33" si="161">IF(OR(C34=""),"",(C34-C33)*80)</f>
        <v>3711.99999999953</v>
      </c>
      <c r="AF33" s="18">
        <f t="shared" si="161"/>
        <v>1231.99999999953</v>
      </c>
      <c r="AG33" s="18">
        <f t="shared" si="161"/>
        <v>0</v>
      </c>
      <c r="AH33" s="18">
        <f t="shared" si="161"/>
        <v>1279.19999999998</v>
      </c>
      <c r="AI33" s="18">
        <f t="shared" si="161"/>
        <v>2008.00000000047</v>
      </c>
      <c r="AJ33" s="18">
        <f t="shared" si="2"/>
        <v>8231.19999999952</v>
      </c>
      <c r="AK33" s="18">
        <f t="shared" ref="AK33:AN33" si="162">IF(OR(H34=""),"",(H34-H33)*80)</f>
        <v>0</v>
      </c>
      <c r="AL33" s="18">
        <f t="shared" si="162"/>
        <v>0</v>
      </c>
      <c r="AM33" s="18">
        <f t="shared" si="162"/>
        <v>0</v>
      </c>
      <c r="AN33" s="18">
        <f t="shared" si="162"/>
        <v>0</v>
      </c>
      <c r="AO33" s="18">
        <f t="shared" si="4"/>
        <v>0</v>
      </c>
      <c r="AP33" s="18">
        <f t="shared" ref="AP33:AS33" si="163">IF(OR(L34=""),"",(L34-L33)*100)</f>
        <v>2709.99999999913</v>
      </c>
      <c r="AQ33" s="18">
        <f t="shared" si="163"/>
        <v>0</v>
      </c>
      <c r="AR33" s="18">
        <f t="shared" si="163"/>
        <v>2519.99999999971</v>
      </c>
      <c r="AS33" s="18">
        <f t="shared" si="163"/>
        <v>2369.99999999971</v>
      </c>
      <c r="AT33" s="18">
        <f t="shared" si="6"/>
        <v>7599.99999999854</v>
      </c>
      <c r="AU33" s="18">
        <f t="shared" ref="AU33:AY33" si="164">IF(OR(P34=""),"",(P34-P33)*1000)</f>
        <v>100.000000000364</v>
      </c>
      <c r="AV33" s="18">
        <f t="shared" si="164"/>
        <v>0</v>
      </c>
      <c r="AW33" s="18">
        <f t="shared" si="164"/>
        <v>4300.00000000018</v>
      </c>
      <c r="AX33" s="18">
        <f t="shared" si="164"/>
        <v>0</v>
      </c>
      <c r="AY33" s="18">
        <f t="shared" si="164"/>
        <v>8500</v>
      </c>
      <c r="AZ33" s="18">
        <f t="shared" si="8"/>
        <v>12900.0000000005</v>
      </c>
      <c r="BA33" s="18">
        <f t="shared" si="9"/>
        <v>9400.00000000146</v>
      </c>
      <c r="BB33" s="18">
        <f t="shared" si="10"/>
        <v>776.000000000349</v>
      </c>
      <c r="BC33" s="18">
        <f t="shared" si="31"/>
        <v>1315.99999999977</v>
      </c>
      <c r="BD33" s="18">
        <f t="shared" si="11"/>
        <v>11676.7999999867</v>
      </c>
      <c r="BE33" s="18">
        <f t="shared" si="12"/>
        <v>51899.9999999869</v>
      </c>
      <c r="BF33" s="18">
        <f t="shared" si="13"/>
        <v>50.8000000000029</v>
      </c>
      <c r="BG33" s="21">
        <f t="shared" si="14"/>
        <v>0.257102519010165</v>
      </c>
      <c r="BH33" s="21">
        <f t="shared" si="15"/>
        <v>0.0407757659822134</v>
      </c>
      <c r="BI33" s="21">
        <f t="shared" si="16"/>
        <v>0</v>
      </c>
      <c r="BJ33" s="21">
        <f t="shared" si="17"/>
        <v>0.0376489237856912</v>
      </c>
      <c r="BK33" s="21">
        <f t="shared" ref="BK33:BO33" si="165">IF(OR($AD33=0),"",AZ33/$AD33)</f>
        <v>0.0639040943204644</v>
      </c>
      <c r="BL33" s="21">
        <f t="shared" si="165"/>
        <v>0.0465657741560026</v>
      </c>
      <c r="BM33" s="21">
        <f t="shared" si="165"/>
        <v>0.00384415327075198</v>
      </c>
      <c r="BN33" s="21">
        <f t="shared" si="165"/>
        <v>0.0065192083818382</v>
      </c>
      <c r="BO33" s="21">
        <f t="shared" si="165"/>
        <v>0.057844599113203</v>
      </c>
    </row>
    <row r="34" spans="1:67">
      <c r="A34" s="9">
        <f t="shared" si="19"/>
        <v>44317</v>
      </c>
      <c r="B34" s="7">
        <v>16197.73</v>
      </c>
      <c r="C34" s="8">
        <v>88467.2</v>
      </c>
      <c r="D34" s="8">
        <v>56488.7</v>
      </c>
      <c r="E34" s="8">
        <v>55874.8</v>
      </c>
      <c r="F34" s="8">
        <v>4417.13</v>
      </c>
      <c r="G34" s="8">
        <v>110525.3</v>
      </c>
      <c r="H34" s="8">
        <v>5596.3</v>
      </c>
      <c r="I34" s="8">
        <v>2566.3</v>
      </c>
      <c r="J34" s="8">
        <v>967</v>
      </c>
      <c r="K34" s="8">
        <v>56</v>
      </c>
      <c r="L34" s="8">
        <v>88980.4</v>
      </c>
      <c r="M34" s="8">
        <v>61202.3</v>
      </c>
      <c r="N34" s="8">
        <v>70544.7</v>
      </c>
      <c r="O34" s="8">
        <v>100875.2</v>
      </c>
      <c r="P34" s="8">
        <v>5312.6</v>
      </c>
      <c r="Q34" s="8">
        <v>7177.3</v>
      </c>
      <c r="R34" s="8">
        <v>4465.6</v>
      </c>
      <c r="S34" s="8">
        <v>4993.6</v>
      </c>
      <c r="T34" s="8">
        <v>6422.3</v>
      </c>
      <c r="U34" s="8">
        <v>16963</v>
      </c>
      <c r="V34" s="8">
        <v>49889.9</v>
      </c>
      <c r="W34" s="8">
        <v>50838.2</v>
      </c>
      <c r="X34" s="8">
        <v>1685.4</v>
      </c>
      <c r="Y34" s="8">
        <v>1391.9</v>
      </c>
      <c r="Z34" s="16">
        <f t="shared" si="20"/>
        <v>53915.5</v>
      </c>
      <c r="AA34" s="8">
        <v>59332.8</v>
      </c>
      <c r="AB34" s="14">
        <v>2868</v>
      </c>
      <c r="AC34" s="7">
        <f t="shared" si="21"/>
        <v>62200.8</v>
      </c>
      <c r="AD34" s="17"/>
      <c r="AE34" s="18" t="str">
        <f t="shared" ref="AE34:AI34" si="166">IF(OR(C35=""),"",(C35-C34)*80)</f>
        <v/>
      </c>
      <c r="AF34" s="18" t="str">
        <f t="shared" si="166"/>
        <v/>
      </c>
      <c r="AG34" s="18" t="str">
        <f t="shared" si="166"/>
        <v/>
      </c>
      <c r="AH34" s="18" t="str">
        <f t="shared" si="166"/>
        <v/>
      </c>
      <c r="AI34" s="18" t="str">
        <f t="shared" si="166"/>
        <v/>
      </c>
      <c r="AJ34" s="18" t="str">
        <f t="shared" si="2"/>
        <v/>
      </c>
      <c r="AK34" s="18" t="str">
        <f t="shared" ref="AK34:AN34" si="167">IF(OR(H35=""),"",(H35-H34)*80)</f>
        <v/>
      </c>
      <c r="AL34" s="18" t="str">
        <f t="shared" si="167"/>
        <v/>
      </c>
      <c r="AM34" s="18" t="str">
        <f t="shared" si="167"/>
        <v/>
      </c>
      <c r="AN34" s="18" t="str">
        <f t="shared" si="167"/>
        <v/>
      </c>
      <c r="AO34" s="18" t="str">
        <f t="shared" si="4"/>
        <v/>
      </c>
      <c r="AP34" s="18" t="str">
        <f t="shared" ref="AP34:AS34" si="168">IF(OR(L35=""),"",(L35-L34)*100)</f>
        <v/>
      </c>
      <c r="AQ34" s="18" t="str">
        <f t="shared" si="168"/>
        <v/>
      </c>
      <c r="AR34" s="18" t="str">
        <f t="shared" si="168"/>
        <v/>
      </c>
      <c r="AS34" s="18" t="str">
        <f t="shared" si="168"/>
        <v/>
      </c>
      <c r="AT34" s="18" t="str">
        <f t="shared" si="6"/>
        <v/>
      </c>
      <c r="AU34" s="18" t="str">
        <f t="shared" ref="AU34:AY34" si="169">IF(OR(P35=""),"",(P35-P34)*1000)</f>
        <v/>
      </c>
      <c r="AV34" s="18" t="str">
        <f t="shared" si="169"/>
        <v/>
      </c>
      <c r="AW34" s="18" t="str">
        <f t="shared" si="169"/>
        <v/>
      </c>
      <c r="AX34" s="18" t="str">
        <f t="shared" si="169"/>
        <v/>
      </c>
      <c r="AY34" s="18" t="str">
        <f t="shared" si="169"/>
        <v/>
      </c>
      <c r="AZ34" s="18" t="str">
        <f t="shared" si="8"/>
        <v/>
      </c>
      <c r="BA34" s="18" t="str">
        <f t="shared" si="9"/>
        <v/>
      </c>
      <c r="BB34" s="18" t="str">
        <f t="shared" si="10"/>
        <v/>
      </c>
      <c r="BC34" s="18" t="str">
        <f t="shared" ref="BC34" si="170">IF(OR(W35=""),"",(W35-W34)*40)</f>
        <v/>
      </c>
      <c r="BD34" s="18" t="str">
        <f t="shared" si="11"/>
        <v/>
      </c>
      <c r="BE34" s="18" t="str">
        <f t="shared" si="12"/>
        <v/>
      </c>
      <c r="BF34" s="18" t="str">
        <f t="shared" si="13"/>
        <v/>
      </c>
      <c r="BG34" s="21" t="str">
        <f t="shared" si="14"/>
        <v/>
      </c>
      <c r="BH34" s="21" t="str">
        <f t="shared" si="15"/>
        <v/>
      </c>
      <c r="BI34" s="21" t="str">
        <f t="shared" si="16"/>
        <v/>
      </c>
      <c r="BJ34" s="21" t="str">
        <f t="shared" si="17"/>
        <v/>
      </c>
      <c r="BK34" s="21" t="str">
        <f t="shared" ref="BK34:BO34" si="171">IF(OR($AD34=0),"",AZ34/$AD34)</f>
        <v/>
      </c>
      <c r="BL34" s="21" t="str">
        <f t="shared" si="171"/>
        <v/>
      </c>
      <c r="BM34" s="21" t="str">
        <f t="shared" si="171"/>
        <v/>
      </c>
      <c r="BN34" s="21" t="str">
        <f t="shared" si="171"/>
        <v/>
      </c>
      <c r="BO34" s="21" t="str">
        <f t="shared" si="171"/>
        <v/>
      </c>
    </row>
    <row r="35" spans="1:67">
      <c r="A35" s="9"/>
      <c r="B35" s="10"/>
      <c r="C35" s="11"/>
      <c r="D35" s="11"/>
      <c r="E35" s="11"/>
      <c r="F35" s="11"/>
      <c r="G35" s="11"/>
      <c r="H35" s="8"/>
      <c r="I35" s="8"/>
      <c r="J35" s="8"/>
      <c r="K35" s="8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6" t="str">
        <f t="shared" si="20"/>
        <v/>
      </c>
      <c r="AA35" s="11"/>
      <c r="BE35" s="22" t="s">
        <v>44</v>
      </c>
      <c r="BF35" s="22" t="s">
        <v>19</v>
      </c>
      <c r="BG35" s="23">
        <f>SUM(BE4:BE34)</f>
        <v>1642999.99999999</v>
      </c>
      <c r="BH35" s="23">
        <f>SUM(AJ4:AJ34)</f>
        <v>268860</v>
      </c>
      <c r="BI35" s="23">
        <f>SUM(AO4:AO34)</f>
        <v>0</v>
      </c>
      <c r="BJ35" s="23">
        <f>SUM(AT4:AT34)</f>
        <v>218419.999999999</v>
      </c>
      <c r="BK35" s="23">
        <f t="shared" ref="BK35:BO35" si="172">SUM(AZ4:AZ34)</f>
        <v>441900</v>
      </c>
      <c r="BL35" s="23">
        <f t="shared" si="172"/>
        <v>272800.000000003</v>
      </c>
      <c r="BM35" s="23">
        <f t="shared" si="172"/>
        <v>25552.0000000001</v>
      </c>
      <c r="BN35" s="23">
        <f t="shared" si="172"/>
        <v>39803.9999999999</v>
      </c>
      <c r="BO35" s="23">
        <f t="shared" si="172"/>
        <v>375663.99999999</v>
      </c>
    </row>
    <row r="36" spans="37:67"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22">
        <f>SUM(AD4:AD34)</f>
        <v>5762908</v>
      </c>
      <c r="BF36" s="22" t="s">
        <v>21</v>
      </c>
      <c r="BG36" s="24">
        <f>IF(OR(BG35=0),"",ROUND(BG35/$BE$36,3))</f>
        <v>0.285</v>
      </c>
      <c r="BH36" s="24">
        <f t="shared" ref="BH36:BO36" si="173">IF(OR(BH35=0),"",ROUND(BH35/$BE$36,4))</f>
        <v>0.0467</v>
      </c>
      <c r="BI36" s="24" t="str">
        <f t="shared" si="173"/>
        <v/>
      </c>
      <c r="BJ36" s="24">
        <f t="shared" si="173"/>
        <v>0.0379</v>
      </c>
      <c r="BK36" s="24">
        <f t="shared" si="173"/>
        <v>0.0767</v>
      </c>
      <c r="BL36" s="24">
        <f t="shared" si="173"/>
        <v>0.0473</v>
      </c>
      <c r="BM36" s="24">
        <f t="shared" si="173"/>
        <v>0.0044</v>
      </c>
      <c r="BN36" s="24">
        <f t="shared" si="173"/>
        <v>0.0069</v>
      </c>
      <c r="BO36" s="24">
        <f t="shared" si="173"/>
        <v>0.0652</v>
      </c>
    </row>
  </sheetData>
  <mergeCells count="35">
    <mergeCell ref="A1:BO1"/>
    <mergeCell ref="C2:G2"/>
    <mergeCell ref="H2:K2"/>
    <mergeCell ref="L2:O2"/>
    <mergeCell ref="P2:T2"/>
    <mergeCell ref="X2:Y2"/>
    <mergeCell ref="AE2:AJ2"/>
    <mergeCell ref="AK2:AO2"/>
    <mergeCell ref="AP2:AT2"/>
    <mergeCell ref="AU2:AZ2"/>
    <mergeCell ref="A2:A3"/>
    <mergeCell ref="B2:B3"/>
    <mergeCell ref="U2:U3"/>
    <mergeCell ref="V2:V3"/>
    <mergeCell ref="W2:W3"/>
    <mergeCell ref="Z2:Z3"/>
    <mergeCell ref="AA2:AA3"/>
    <mergeCell ref="AB2:AB3"/>
    <mergeCell ref="AC2:AC3"/>
    <mergeCell ref="AD2:AD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"/>
  <sheetViews>
    <sheetView showGridLines="0" zoomScale="120" zoomScaleNormal="120" workbookViewId="0">
      <pane xSplit="1" ySplit="3" topLeftCell="AL7" activePane="bottomRight" state="frozen"/>
      <selection/>
      <selection pane="topRight"/>
      <selection pane="bottomLeft"/>
      <selection pane="bottomRight" activeCell="AX23" sqref="AX23"/>
    </sheetView>
  </sheetViews>
  <sheetFormatPr defaultColWidth="9" defaultRowHeight="14.25"/>
  <cols>
    <col min="1" max="1" width="7" style="1" customWidth="1"/>
    <col min="2" max="2" width="8.375" style="2" customWidth="1"/>
    <col min="3" max="6" width="7.5" style="3" customWidth="1"/>
    <col min="7" max="7" width="8.75" style="3" customWidth="1"/>
    <col min="8" max="9" width="6.625" style="3" customWidth="1"/>
    <col min="10" max="10" width="5.75" style="3" customWidth="1"/>
    <col min="11" max="11" width="4.875" style="3" customWidth="1"/>
    <col min="12" max="14" width="7.5" style="3" customWidth="1"/>
    <col min="15" max="15" width="8.5" style="3" customWidth="1"/>
    <col min="16" max="16" width="8.625" style="3" customWidth="1"/>
    <col min="17" max="17" width="8.125" style="3" customWidth="1"/>
    <col min="18" max="18" width="9.375" style="3" customWidth="1"/>
    <col min="19" max="20" width="6.625" style="3" customWidth="1"/>
    <col min="21" max="21" width="10.75" style="3" customWidth="1"/>
    <col min="22" max="22" width="7.5" style="3" customWidth="1"/>
    <col min="23" max="23" width="9.75" style="3" customWidth="1"/>
    <col min="24" max="24" width="10.5" style="3" customWidth="1"/>
    <col min="25" max="26" width="8.25" style="3" customWidth="1"/>
    <col min="27" max="28" width="7.5" style="3" customWidth="1"/>
    <col min="29" max="29" width="9" style="3" customWidth="1"/>
    <col min="30" max="30" width="8.375" style="3" customWidth="1"/>
    <col min="31" max="31" width="5.5" style="1" customWidth="1"/>
    <col min="32" max="32" width="4.625" style="1" customWidth="1"/>
    <col min="33" max="34" width="4.875" style="1" customWidth="1"/>
    <col min="35" max="35" width="5" style="1" customWidth="1"/>
    <col min="36" max="36" width="6.625" style="1" customWidth="1"/>
    <col min="37" max="40" width="4" style="1" customWidth="1"/>
    <col min="41" max="41" width="6.625" style="1" customWidth="1"/>
    <col min="42" max="42" width="4.875" style="1" customWidth="1"/>
    <col min="43" max="43" width="4" style="1" customWidth="1"/>
    <col min="44" max="44" width="5.625" style="1" customWidth="1"/>
    <col min="45" max="45" width="5.25" style="1" customWidth="1"/>
    <col min="46" max="46" width="6.625" style="1" customWidth="1"/>
    <col min="47" max="51" width="5.5" style="1" customWidth="1"/>
    <col min="52" max="54" width="6.625" style="1" customWidth="1"/>
    <col min="55" max="55" width="8" style="1" customWidth="1"/>
    <col min="56" max="56" width="10.125" style="1" customWidth="1"/>
    <col min="57" max="57" width="5.875" style="1" customWidth="1"/>
    <col min="58" max="58" width="6.625" style="1" customWidth="1"/>
    <col min="59" max="59" width="7.5" style="1" customWidth="1"/>
    <col min="60" max="64" width="6.75" style="1" customWidth="1"/>
    <col min="65" max="65" width="7.75" style="1" customWidth="1"/>
    <col min="66" max="66" width="6.75" style="1" customWidth="1"/>
    <col min="67" max="67" width="7.75" style="1" customWidth="1"/>
    <col min="68" max="16384" width="9" style="1"/>
  </cols>
  <sheetData>
    <row r="1" spans="1:6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25"/>
    </row>
    <row r="2" spans="1:67">
      <c r="A2" s="6"/>
      <c r="B2" s="7" t="s">
        <v>0</v>
      </c>
      <c r="C2" s="8" t="s">
        <v>1</v>
      </c>
      <c r="D2" s="8"/>
      <c r="E2" s="8"/>
      <c r="F2" s="8"/>
      <c r="G2" s="8"/>
      <c r="H2" s="8" t="s">
        <v>2</v>
      </c>
      <c r="I2" s="8"/>
      <c r="J2" s="8"/>
      <c r="K2" s="8"/>
      <c r="L2" s="8" t="s">
        <v>3</v>
      </c>
      <c r="M2" s="8"/>
      <c r="N2" s="8"/>
      <c r="O2" s="8"/>
      <c r="P2" s="8" t="s">
        <v>4</v>
      </c>
      <c r="Q2" s="8"/>
      <c r="R2" s="8"/>
      <c r="S2" s="8"/>
      <c r="T2" s="8"/>
      <c r="U2" s="8" t="s">
        <v>5</v>
      </c>
      <c r="V2" s="8" t="s">
        <v>6</v>
      </c>
      <c r="W2" s="8" t="s">
        <v>7</v>
      </c>
      <c r="X2" s="12" t="s">
        <v>8</v>
      </c>
      <c r="Y2" s="14"/>
      <c r="Z2" s="8" t="s">
        <v>9</v>
      </c>
      <c r="AA2" s="8" t="s">
        <v>10</v>
      </c>
      <c r="AB2" s="8" t="s">
        <v>11</v>
      </c>
      <c r="AC2" s="8" t="s">
        <v>12</v>
      </c>
      <c r="AD2" s="6" t="s">
        <v>13</v>
      </c>
      <c r="AE2" s="15" t="s">
        <v>14</v>
      </c>
      <c r="AF2" s="15"/>
      <c r="AG2" s="15"/>
      <c r="AH2" s="15"/>
      <c r="AI2" s="15"/>
      <c r="AJ2" s="15"/>
      <c r="AK2" s="15" t="s">
        <v>2</v>
      </c>
      <c r="AL2" s="15"/>
      <c r="AM2" s="15"/>
      <c r="AN2" s="15"/>
      <c r="AO2" s="15"/>
      <c r="AP2" s="15" t="s">
        <v>3</v>
      </c>
      <c r="AQ2" s="15"/>
      <c r="AR2" s="15"/>
      <c r="AS2" s="15"/>
      <c r="AT2" s="15"/>
      <c r="AU2" s="15" t="s">
        <v>4</v>
      </c>
      <c r="AV2" s="15"/>
      <c r="AW2" s="15"/>
      <c r="AX2" s="15"/>
      <c r="AY2" s="15"/>
      <c r="AZ2" s="15"/>
      <c r="BA2" s="15" t="s">
        <v>15</v>
      </c>
      <c r="BB2" s="15" t="s">
        <v>16</v>
      </c>
      <c r="BC2" s="15" t="s">
        <v>17</v>
      </c>
      <c r="BD2" s="15" t="s">
        <v>18</v>
      </c>
      <c r="BE2" s="15" t="s">
        <v>19</v>
      </c>
      <c r="BF2" s="15" t="s">
        <v>20</v>
      </c>
      <c r="BG2" s="21" t="s">
        <v>21</v>
      </c>
      <c r="BH2" s="21" t="s">
        <v>22</v>
      </c>
      <c r="BI2" s="21" t="s">
        <v>23</v>
      </c>
      <c r="BJ2" s="21" t="s">
        <v>24</v>
      </c>
      <c r="BK2" s="21" t="s">
        <v>25</v>
      </c>
      <c r="BL2" s="21" t="s">
        <v>26</v>
      </c>
      <c r="BM2" s="21" t="s">
        <v>27</v>
      </c>
      <c r="BN2" s="21" t="s">
        <v>28</v>
      </c>
      <c r="BO2" s="21" t="s">
        <v>29</v>
      </c>
    </row>
    <row r="3" spans="1:67">
      <c r="A3" s="6"/>
      <c r="B3" s="7"/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/>
      <c r="V3" s="8"/>
      <c r="W3" s="8"/>
      <c r="X3" s="8" t="s">
        <v>40</v>
      </c>
      <c r="Y3" s="8" t="s">
        <v>41</v>
      </c>
      <c r="Z3" s="8"/>
      <c r="AA3" s="8"/>
      <c r="AB3" s="8"/>
      <c r="AC3" s="8"/>
      <c r="AD3" s="6"/>
      <c r="AE3" s="15" t="s">
        <v>30</v>
      </c>
      <c r="AF3" s="15" t="s">
        <v>31</v>
      </c>
      <c r="AG3" s="15" t="s">
        <v>32</v>
      </c>
      <c r="AH3" s="15" t="s">
        <v>33</v>
      </c>
      <c r="AI3" s="15" t="s">
        <v>34</v>
      </c>
      <c r="AJ3" s="15" t="s">
        <v>42</v>
      </c>
      <c r="AK3" s="15" t="s">
        <v>30</v>
      </c>
      <c r="AL3" s="15" t="s">
        <v>31</v>
      </c>
      <c r="AM3" s="15" t="s">
        <v>32</v>
      </c>
      <c r="AN3" s="15" t="s">
        <v>33</v>
      </c>
      <c r="AO3" s="15" t="s">
        <v>42</v>
      </c>
      <c r="AP3" s="15" t="s">
        <v>30</v>
      </c>
      <c r="AQ3" s="15" t="s">
        <v>31</v>
      </c>
      <c r="AR3" s="15" t="s">
        <v>32</v>
      </c>
      <c r="AS3" s="15" t="s">
        <v>33</v>
      </c>
      <c r="AT3" s="15" t="s">
        <v>42</v>
      </c>
      <c r="AU3" s="15" t="s">
        <v>35</v>
      </c>
      <c r="AV3" s="15" t="s">
        <v>36</v>
      </c>
      <c r="AW3" s="15" t="s">
        <v>37</v>
      </c>
      <c r="AX3" s="15" t="s">
        <v>38</v>
      </c>
      <c r="AY3" s="15" t="s">
        <v>39</v>
      </c>
      <c r="AZ3" s="15" t="s">
        <v>43</v>
      </c>
      <c r="BA3" s="20"/>
      <c r="BB3" s="20"/>
      <c r="BC3" s="20"/>
      <c r="BD3" s="20"/>
      <c r="BE3" s="20"/>
      <c r="BF3" s="20"/>
      <c r="BG3" s="21"/>
      <c r="BH3" s="21"/>
      <c r="BI3" s="21"/>
      <c r="BJ3" s="21"/>
      <c r="BK3" s="21"/>
      <c r="BL3" s="21"/>
      <c r="BM3" s="21"/>
      <c r="BN3" s="21"/>
      <c r="BO3" s="21"/>
    </row>
    <row r="4" spans="1:67">
      <c r="A4" s="9">
        <f>'4'!A34</f>
        <v>44317</v>
      </c>
      <c r="B4" s="7">
        <v>16197.73</v>
      </c>
      <c r="C4" s="8">
        <v>88467.2</v>
      </c>
      <c r="D4" s="8">
        <v>56488.7</v>
      </c>
      <c r="E4" s="8">
        <v>55874.8</v>
      </c>
      <c r="F4" s="8">
        <v>4417.13</v>
      </c>
      <c r="G4" s="8">
        <v>110525.3</v>
      </c>
      <c r="H4" s="8">
        <v>5596.3</v>
      </c>
      <c r="I4" s="8">
        <v>2566.3</v>
      </c>
      <c r="J4" s="8">
        <v>967</v>
      </c>
      <c r="K4" s="8">
        <v>56</v>
      </c>
      <c r="L4" s="8">
        <v>88980.4</v>
      </c>
      <c r="M4" s="8">
        <v>61202.3</v>
      </c>
      <c r="N4" s="8">
        <v>70544.7</v>
      </c>
      <c r="O4" s="8">
        <v>100875.2</v>
      </c>
      <c r="P4" s="8">
        <v>5312.6</v>
      </c>
      <c r="Q4" s="8">
        <v>7177.3</v>
      </c>
      <c r="R4" s="8">
        <v>4465.6</v>
      </c>
      <c r="S4" s="8">
        <v>4993.6</v>
      </c>
      <c r="T4" s="8">
        <v>6422.3</v>
      </c>
      <c r="U4" s="8">
        <v>16963</v>
      </c>
      <c r="V4" s="8">
        <v>49889.9</v>
      </c>
      <c r="W4" s="8">
        <v>50838.2</v>
      </c>
      <c r="X4" s="8">
        <v>1685.4</v>
      </c>
      <c r="Y4" s="8">
        <v>1391.9</v>
      </c>
      <c r="Z4" s="16">
        <f t="shared" ref="Z4:Z5" si="0">IF(OR(W4=""),"",(W4+X4+Y4))</f>
        <v>53915.5</v>
      </c>
      <c r="AA4" s="8">
        <v>59332.8</v>
      </c>
      <c r="AB4" s="14">
        <v>2868</v>
      </c>
      <c r="AC4" s="7">
        <f t="shared" ref="AC4:AC5" si="1">IF(OR(AA4=""),"",(AA4+AB4))</f>
        <v>62200.8</v>
      </c>
      <c r="AD4" s="17">
        <v>60587</v>
      </c>
      <c r="AE4" s="18">
        <f t="shared" ref="AE4:AI5" si="2">IF(OR(C5=""),"",(C5-C4)*80)</f>
        <v>3632.0000000007</v>
      </c>
      <c r="AF4" s="18">
        <f t="shared" si="2"/>
        <v>152.000000000116</v>
      </c>
      <c r="AG4" s="18">
        <f t="shared" si="2"/>
        <v>0</v>
      </c>
      <c r="AH4" s="18">
        <f t="shared" si="2"/>
        <v>128.799999999974</v>
      </c>
      <c r="AI4" s="18">
        <f t="shared" si="2"/>
        <v>1384.00000000023</v>
      </c>
      <c r="AJ4" s="18">
        <f t="shared" ref="AJ4:AJ34" si="3">IF(OR(AE4="",AF4="",AG4=""),"",AE4+AF4+AG4+AH4+AI4)</f>
        <v>5296.80000000102</v>
      </c>
      <c r="AK4" s="18">
        <f t="shared" ref="AK4:AN5" si="4">IF(OR(H5=""),"",(H5-H4)*80)</f>
        <v>0</v>
      </c>
      <c r="AL4" s="18">
        <f t="shared" si="4"/>
        <v>0</v>
      </c>
      <c r="AM4" s="18">
        <f t="shared" si="4"/>
        <v>0</v>
      </c>
      <c r="AN4" s="18">
        <f t="shared" si="4"/>
        <v>0</v>
      </c>
      <c r="AO4" s="18">
        <f t="shared" ref="AO4:AO34" si="5">IF(OR(AK4="",AL4=""),"",AK4+AL4+AM4+AN4)</f>
        <v>0</v>
      </c>
      <c r="AP4" s="18">
        <f t="shared" ref="AP4:AS5" si="6">IF(OR(L5=""),"",(L5-L4)*100)</f>
        <v>1000</v>
      </c>
      <c r="AQ4" s="18">
        <f t="shared" si="6"/>
        <v>0</v>
      </c>
      <c r="AR4" s="18">
        <f t="shared" si="6"/>
        <v>40.0000000008731</v>
      </c>
      <c r="AS4" s="18">
        <f t="shared" si="6"/>
        <v>1600</v>
      </c>
      <c r="AT4" s="18">
        <f t="shared" ref="AT4:AT34" si="7">IF(OR(AP4="",AQ4=""),"",AP4+AQ4+AR4+AS4)</f>
        <v>2640.00000000087</v>
      </c>
      <c r="AU4" s="18">
        <f t="shared" ref="AU4:AY5" si="8">IF(OR(P5=""),"",(P5-P4)*1000)</f>
        <v>3799.99999999927</v>
      </c>
      <c r="AV4" s="18">
        <f t="shared" si="8"/>
        <v>3599.99999999945</v>
      </c>
      <c r="AW4" s="18">
        <f t="shared" si="8"/>
        <v>2000</v>
      </c>
      <c r="AX4" s="18">
        <f t="shared" si="8"/>
        <v>0</v>
      </c>
      <c r="AY4" s="18">
        <f t="shared" si="8"/>
        <v>399.999999999636</v>
      </c>
      <c r="AZ4" s="18">
        <f t="shared" ref="AZ4:AZ34" si="9">IF(OR(AU4="",AV4="",AW4=""),"",AU4+AV4+AW4+AX4+AY4)</f>
        <v>9799.99999999836</v>
      </c>
      <c r="BA4" s="18">
        <f>IF(OR(U5=""),"",(U5-U4)*2000)</f>
        <v>3199.99999999709</v>
      </c>
      <c r="BB4" s="18">
        <f>IF(OR(V5=""),"",(V5-V4)*80)</f>
        <v>640</v>
      </c>
      <c r="BC4" s="18">
        <f>IF(OR(Z4=""),"",(Z5-Z4)*40)</f>
        <v>1371.99999999983</v>
      </c>
      <c r="BD4" s="18">
        <f t="shared" ref="BD4:BD34" si="10">IF(OR(BE4="",BC4=""),"",BE4-BC4-BB4-BA4-AZ4-AT4-AO4-AJ4)</f>
        <v>13651.2000000014</v>
      </c>
      <c r="BE4" s="18">
        <f>IF(OR(B5=""),"",(B5-B4)*10000)</f>
        <v>36599.9999999985</v>
      </c>
      <c r="BF4" s="18">
        <f>IF(OR(AC5=""),"",AC5-AC4)</f>
        <v>52.5</v>
      </c>
      <c r="BG4" s="21">
        <f>IF(OR($AD4=0),"",BE4/$AD4)</f>
        <v>0.604089986300668</v>
      </c>
      <c r="BH4" s="21">
        <f>IF(OR($AD4=0),"",AJ4/$AD4)</f>
        <v>0.0874246950666153</v>
      </c>
      <c r="BI4" s="21">
        <f>IF(OR($AD4=0),"",AO4/$AD4)</f>
        <v>0</v>
      </c>
      <c r="BJ4" s="21">
        <f>IF(OR($AD4=0),"",AT4/$AD4)</f>
        <v>0.0435737039299004</v>
      </c>
      <c r="BK4" s="21">
        <f>IF(OR($AD4=0),"",AZ4/$AD4)</f>
        <v>0.161750870648792</v>
      </c>
      <c r="BL4" s="21">
        <f>IF(OR($AD4=0),"",BA4/$AD4)</f>
        <v>0.0528166108240561</v>
      </c>
      <c r="BM4" s="21">
        <f>IF(OR($AD4=0),"",BB4/$AD4)</f>
        <v>0.0105633221648208</v>
      </c>
      <c r="BN4" s="21">
        <f>IF(OR($AD4=0),"",BC4/$AD4)</f>
        <v>0.0226451218908318</v>
      </c>
      <c r="BO4" s="21">
        <f>IF(OR($AD4=0),"",BD4/$AD4)</f>
        <v>0.225315661775651</v>
      </c>
    </row>
    <row r="5" spans="1:67">
      <c r="A5" s="9">
        <f t="shared" ref="A5:A35" si="11">A4+1</f>
        <v>44318</v>
      </c>
      <c r="B5" s="7">
        <v>16201.39</v>
      </c>
      <c r="C5" s="8">
        <v>88512.6</v>
      </c>
      <c r="D5" s="8">
        <v>56490.6</v>
      </c>
      <c r="E5" s="8">
        <v>55874.8</v>
      </c>
      <c r="F5" s="8">
        <v>4418.74</v>
      </c>
      <c r="G5" s="8">
        <v>110542.6</v>
      </c>
      <c r="H5" s="8">
        <v>5596.3</v>
      </c>
      <c r="I5" s="8">
        <v>2566.3</v>
      </c>
      <c r="J5" s="8">
        <v>967</v>
      </c>
      <c r="K5" s="8">
        <v>56</v>
      </c>
      <c r="L5" s="8">
        <v>88990.4</v>
      </c>
      <c r="M5" s="8">
        <v>61202.3</v>
      </c>
      <c r="N5" s="8">
        <v>70545.1</v>
      </c>
      <c r="O5" s="8">
        <v>100891.2</v>
      </c>
      <c r="P5" s="8">
        <v>5316.4</v>
      </c>
      <c r="Q5" s="8">
        <v>7180.9</v>
      </c>
      <c r="R5" s="8">
        <v>4467.6</v>
      </c>
      <c r="S5" s="8">
        <v>4993.6</v>
      </c>
      <c r="T5" s="8">
        <v>6422.7</v>
      </c>
      <c r="U5" s="8">
        <v>16964.6</v>
      </c>
      <c r="V5" s="8">
        <v>49897.9</v>
      </c>
      <c r="W5" s="8">
        <v>50855.2</v>
      </c>
      <c r="X5" s="8">
        <v>1694</v>
      </c>
      <c r="Y5" s="8">
        <v>1400.6</v>
      </c>
      <c r="Z5" s="16">
        <f t="shared" si="0"/>
        <v>53949.8</v>
      </c>
      <c r="AA5" s="8">
        <v>59376.3</v>
      </c>
      <c r="AB5" s="14">
        <v>2877</v>
      </c>
      <c r="AC5" s="7">
        <f t="shared" si="1"/>
        <v>62253.3</v>
      </c>
      <c r="AD5" s="17">
        <v>137663</v>
      </c>
      <c r="AE5" s="18">
        <f t="shared" si="2"/>
        <v>7.99999999930151</v>
      </c>
      <c r="AF5" s="18">
        <f t="shared" si="2"/>
        <v>752.000000000116</v>
      </c>
      <c r="AG5" s="18">
        <f t="shared" si="2"/>
        <v>2711.99999999953</v>
      </c>
      <c r="AH5" s="18">
        <f t="shared" si="2"/>
        <v>486.399999999994</v>
      </c>
      <c r="AI5" s="18">
        <f t="shared" si="2"/>
        <v>2087.9999999993</v>
      </c>
      <c r="AJ5" s="18">
        <f t="shared" si="3"/>
        <v>6046.39999999825</v>
      </c>
      <c r="AK5" s="18">
        <f t="shared" si="4"/>
        <v>0</v>
      </c>
      <c r="AL5" s="18">
        <f t="shared" si="4"/>
        <v>0</v>
      </c>
      <c r="AM5" s="18">
        <f t="shared" si="4"/>
        <v>0</v>
      </c>
      <c r="AN5" s="18">
        <f t="shared" si="4"/>
        <v>0</v>
      </c>
      <c r="AO5" s="18">
        <f t="shared" si="5"/>
        <v>0</v>
      </c>
      <c r="AP5" s="18">
        <f t="shared" si="6"/>
        <v>1190.00000000087</v>
      </c>
      <c r="AQ5" s="18">
        <f t="shared" si="6"/>
        <v>0</v>
      </c>
      <c r="AR5" s="18">
        <f t="shared" si="6"/>
        <v>1879.99999999884</v>
      </c>
      <c r="AS5" s="18">
        <f t="shared" si="6"/>
        <v>2380.00000000029</v>
      </c>
      <c r="AT5" s="18">
        <f t="shared" si="7"/>
        <v>5450</v>
      </c>
      <c r="AU5" s="18">
        <f t="shared" si="8"/>
        <v>2100.00000000036</v>
      </c>
      <c r="AV5" s="18">
        <f t="shared" si="8"/>
        <v>300.000000000182</v>
      </c>
      <c r="AW5" s="18">
        <f t="shared" si="8"/>
        <v>4599.99999999945</v>
      </c>
      <c r="AX5" s="18">
        <f t="shared" si="8"/>
        <v>0</v>
      </c>
      <c r="AY5" s="18">
        <f t="shared" si="8"/>
        <v>7300.00000000018</v>
      </c>
      <c r="AZ5" s="18">
        <f t="shared" si="9"/>
        <v>14300.0000000002</v>
      </c>
      <c r="BA5" s="18">
        <f>IF(OR(U6=""),"",(U6-U5)*2000)</f>
        <v>7600.00000000582</v>
      </c>
      <c r="BB5" s="18">
        <f>IF(OR(V6=""),"",(V6-V5)*80)</f>
        <v>303.999999999651</v>
      </c>
      <c r="BC5" s="18">
        <f t="shared" ref="BC5:BC34" si="12">IF(OR(Z5=""),"",(Z6-Z5)*40)</f>
        <v>1396.00000000006</v>
      </c>
      <c r="BD5" s="18">
        <f t="shared" si="10"/>
        <v>15403.600000007</v>
      </c>
      <c r="BE5" s="18">
        <f>IF(OR(B6=""),"",(B6-B5)*10000)</f>
        <v>50500.0000000109</v>
      </c>
      <c r="BF5" s="18">
        <f>IF(OR(AC6=""),"",AC6-AC5)</f>
        <v>55.0999999999985</v>
      </c>
      <c r="BG5" s="21">
        <f t="shared" ref="BG5:BG34" si="13">IF(OR($AD5=0),"",BE5/$AD5)</f>
        <v>0.366837857666991</v>
      </c>
      <c r="BH5" s="21">
        <f t="shared" ref="BH5:BH34" si="14">IF(OR($AD5=0),"",AJ5/$AD5)</f>
        <v>0.0439217509425063</v>
      </c>
      <c r="BI5" s="21">
        <f t="shared" ref="BI5:BI34" si="15">IF(OR($AD5=0),"",AO5/$AD5)</f>
        <v>0</v>
      </c>
      <c r="BJ5" s="21">
        <f t="shared" ref="BJ5:BJ34" si="16">IF(OR($AD5=0),"",AT5/$AD5)</f>
        <v>0.0395894321640528</v>
      </c>
      <c r="BK5" s="21">
        <f t="shared" ref="BK5:BO5" si="17">IF(OR($AD5=0),"",AZ5/$AD5)</f>
        <v>0.103876858705681</v>
      </c>
      <c r="BL5" s="21">
        <f t="shared" si="17"/>
        <v>0.0552072815499141</v>
      </c>
      <c r="BM5" s="21">
        <f t="shared" si="17"/>
        <v>0.00220829126199233</v>
      </c>
      <c r="BN5" s="21">
        <f t="shared" si="17"/>
        <v>0.0101407059267927</v>
      </c>
      <c r="BO5" s="21">
        <f t="shared" si="17"/>
        <v>0.111893537116051</v>
      </c>
    </row>
    <row r="6" spans="1:67">
      <c r="A6" s="9">
        <f t="shared" si="11"/>
        <v>44319</v>
      </c>
      <c r="B6" s="10">
        <v>16206.44</v>
      </c>
      <c r="C6" s="8">
        <v>88512.7</v>
      </c>
      <c r="D6" s="8">
        <v>56500</v>
      </c>
      <c r="E6" s="8">
        <v>55908.7</v>
      </c>
      <c r="F6" s="8">
        <v>4424.82</v>
      </c>
      <c r="G6" s="8">
        <v>110568.7</v>
      </c>
      <c r="H6" s="8">
        <v>5596.3</v>
      </c>
      <c r="I6" s="8">
        <v>2566.3</v>
      </c>
      <c r="J6" s="8">
        <v>967</v>
      </c>
      <c r="K6" s="8">
        <v>56</v>
      </c>
      <c r="L6" s="8">
        <v>89002.3</v>
      </c>
      <c r="M6" s="8">
        <v>61202.3</v>
      </c>
      <c r="N6" s="8">
        <v>70563.9</v>
      </c>
      <c r="O6" s="8">
        <v>100915</v>
      </c>
      <c r="P6" s="8">
        <v>5318.5</v>
      </c>
      <c r="Q6" s="8">
        <v>7181.2</v>
      </c>
      <c r="R6" s="8">
        <v>4472.2</v>
      </c>
      <c r="S6" s="8">
        <v>4993.6</v>
      </c>
      <c r="T6" s="8">
        <v>6430</v>
      </c>
      <c r="U6" s="8">
        <v>16968.4</v>
      </c>
      <c r="V6" s="8">
        <v>49901.7</v>
      </c>
      <c r="W6" s="8">
        <v>50872.6</v>
      </c>
      <c r="X6" s="8">
        <v>1702.6</v>
      </c>
      <c r="Y6" s="8">
        <v>1409.5</v>
      </c>
      <c r="Z6" s="16">
        <f t="shared" ref="Z6:Z35" si="18">IF(OR(W6=""),"",(W6+X6+Y6))</f>
        <v>53984.7</v>
      </c>
      <c r="AA6" s="8">
        <v>59422.4</v>
      </c>
      <c r="AB6" s="14">
        <v>2886</v>
      </c>
      <c r="AC6" s="7">
        <f t="shared" ref="AC6:AC35" si="19">IF(OR(AA6=""),"",(AA6+AB6))</f>
        <v>62308.4</v>
      </c>
      <c r="AD6" s="17">
        <v>157100</v>
      </c>
      <c r="AE6" s="18">
        <f t="shared" ref="AE6:AI6" si="20">IF(OR(C7=""),"",(C7-C6)*80)</f>
        <v>0</v>
      </c>
      <c r="AF6" s="18">
        <f t="shared" si="20"/>
        <v>2495.99999999977</v>
      </c>
      <c r="AG6" s="18">
        <f t="shared" si="20"/>
        <v>3264.00000000023</v>
      </c>
      <c r="AH6" s="18">
        <f t="shared" si="20"/>
        <v>44.800000000032</v>
      </c>
      <c r="AI6" s="18">
        <f t="shared" si="20"/>
        <v>1775.99999999977</v>
      </c>
      <c r="AJ6" s="18">
        <f t="shared" si="3"/>
        <v>7580.7999999998</v>
      </c>
      <c r="AK6" s="18">
        <f t="shared" ref="AK6:AN6" si="21">IF(OR(H7=""),"",(H7-H6)*80)</f>
        <v>0</v>
      </c>
      <c r="AL6" s="18">
        <f t="shared" si="21"/>
        <v>0</v>
      </c>
      <c r="AM6" s="18">
        <f t="shared" si="21"/>
        <v>0</v>
      </c>
      <c r="AN6" s="18">
        <f t="shared" si="21"/>
        <v>0</v>
      </c>
      <c r="AO6" s="18">
        <f t="shared" si="5"/>
        <v>0</v>
      </c>
      <c r="AP6" s="18">
        <f t="shared" ref="AP6:AS6" si="22">IF(OR(L7=""),"",(L7-L6)*100)</f>
        <v>1759.99999999913</v>
      </c>
      <c r="AQ6" s="18">
        <f t="shared" si="22"/>
        <v>0</v>
      </c>
      <c r="AR6" s="18">
        <f t="shared" si="22"/>
        <v>1590.00000000087</v>
      </c>
      <c r="AS6" s="18">
        <f t="shared" si="22"/>
        <v>2200</v>
      </c>
      <c r="AT6" s="18">
        <f t="shared" si="7"/>
        <v>5550</v>
      </c>
      <c r="AU6" s="18">
        <f t="shared" ref="AU6:AY6" si="23">IF(OR(P7=""),"",(P7-P6)*1000)</f>
        <v>3600.00000000036</v>
      </c>
      <c r="AV6" s="18">
        <f t="shared" si="23"/>
        <v>0</v>
      </c>
      <c r="AW6" s="18">
        <f t="shared" si="23"/>
        <v>300.000000000182</v>
      </c>
      <c r="AX6" s="18">
        <f t="shared" si="23"/>
        <v>0</v>
      </c>
      <c r="AY6" s="18">
        <f t="shared" si="23"/>
        <v>9000</v>
      </c>
      <c r="AZ6" s="18">
        <f t="shared" si="9"/>
        <v>12900.0000000005</v>
      </c>
      <c r="BA6" s="18">
        <f t="shared" ref="BA6:BA34" si="24">IF(OR(U7=""),"",(U7-U6)*2000)</f>
        <v>7799.99999999563</v>
      </c>
      <c r="BB6" s="18">
        <f t="shared" ref="BB6:BB34" si="25">IF(OR(V7=""),"",(V7-V6)*80)</f>
        <v>0</v>
      </c>
      <c r="BC6" s="18">
        <f t="shared" si="12"/>
        <v>1348.00000000017</v>
      </c>
      <c r="BD6" s="18">
        <f t="shared" si="10"/>
        <v>11921.1999999951</v>
      </c>
      <c r="BE6" s="18">
        <f t="shared" ref="BE6:BE34" si="26">IF(OR(B7=""),"",(B7-B6)*10000)</f>
        <v>47099.9999999913</v>
      </c>
      <c r="BF6" s="18">
        <f t="shared" ref="BF6:BF34" si="27">IF(OR(AC7=""),"",AC7-AC6)</f>
        <v>58.6999999999971</v>
      </c>
      <c r="BG6" s="21">
        <f t="shared" si="13"/>
        <v>0.299809038828716</v>
      </c>
      <c r="BH6" s="21">
        <f t="shared" si="14"/>
        <v>0.0482546148949701</v>
      </c>
      <c r="BI6" s="21">
        <f t="shared" si="15"/>
        <v>0</v>
      </c>
      <c r="BJ6" s="21">
        <f t="shared" si="16"/>
        <v>0.0353278166772756</v>
      </c>
      <c r="BK6" s="21">
        <f t="shared" ref="BK6:BO6" si="28">IF(OR($AD6=0),"",AZ6/$AD6)</f>
        <v>0.0821133036282657</v>
      </c>
      <c r="BL6" s="21">
        <f t="shared" si="28"/>
        <v>0.0496499045193866</v>
      </c>
      <c r="BM6" s="21">
        <f t="shared" si="28"/>
        <v>0</v>
      </c>
      <c r="BN6" s="21">
        <f t="shared" si="28"/>
        <v>0.0085805219605358</v>
      </c>
      <c r="BO6" s="21">
        <f t="shared" si="28"/>
        <v>0.0758828771482821</v>
      </c>
    </row>
    <row r="7" spans="1:67">
      <c r="A7" s="9">
        <f t="shared" si="11"/>
        <v>44320</v>
      </c>
      <c r="B7" s="10">
        <v>16211.15</v>
      </c>
      <c r="C7" s="8">
        <v>88512.7</v>
      </c>
      <c r="D7" s="8">
        <v>56531.2</v>
      </c>
      <c r="E7" s="8">
        <v>55949.5</v>
      </c>
      <c r="F7" s="8">
        <v>4425.38</v>
      </c>
      <c r="G7" s="8">
        <v>110590.9</v>
      </c>
      <c r="H7" s="8">
        <v>5596.3</v>
      </c>
      <c r="I7" s="8">
        <v>2566.3</v>
      </c>
      <c r="J7" s="8">
        <v>967</v>
      </c>
      <c r="K7" s="8">
        <v>56</v>
      </c>
      <c r="L7" s="8">
        <v>89019.9</v>
      </c>
      <c r="M7" s="8">
        <v>61202.3</v>
      </c>
      <c r="N7" s="8">
        <v>70579.8</v>
      </c>
      <c r="O7" s="8">
        <v>100937</v>
      </c>
      <c r="P7" s="8">
        <v>5322.1</v>
      </c>
      <c r="Q7" s="8">
        <v>7181.2</v>
      </c>
      <c r="R7" s="8">
        <v>4472.5</v>
      </c>
      <c r="S7" s="8">
        <v>4993.6</v>
      </c>
      <c r="T7" s="8">
        <v>6439</v>
      </c>
      <c r="U7" s="8">
        <v>16972.3</v>
      </c>
      <c r="V7" s="8">
        <v>49901.7</v>
      </c>
      <c r="W7" s="8">
        <v>50889.2</v>
      </c>
      <c r="X7" s="8">
        <v>1710.8</v>
      </c>
      <c r="Y7" s="8">
        <v>1418.4</v>
      </c>
      <c r="Z7" s="16">
        <f t="shared" si="18"/>
        <v>54018.4</v>
      </c>
      <c r="AA7" s="8">
        <v>59466.1</v>
      </c>
      <c r="AB7" s="14">
        <v>2901</v>
      </c>
      <c r="AC7" s="7">
        <f t="shared" si="19"/>
        <v>62367.1</v>
      </c>
      <c r="AD7" s="17">
        <v>208192</v>
      </c>
      <c r="AE7" s="18">
        <f t="shared" ref="AE7:AI7" si="29">IF(OR(C8=""),"",(C8-C7)*80)</f>
        <v>0</v>
      </c>
      <c r="AF7" s="18">
        <f t="shared" si="29"/>
        <v>0</v>
      </c>
      <c r="AG7" s="18">
        <f t="shared" si="29"/>
        <v>3095.99999999977</v>
      </c>
      <c r="AH7" s="18">
        <f t="shared" si="29"/>
        <v>2357.60000000002</v>
      </c>
      <c r="AI7" s="18">
        <f t="shared" si="29"/>
        <v>2248.00000000047</v>
      </c>
      <c r="AJ7" s="18">
        <f t="shared" si="3"/>
        <v>7701.60000000025</v>
      </c>
      <c r="AK7" s="18">
        <f t="shared" ref="AK7:AN7" si="30">IF(OR(H8=""),"",(H8-H7)*80)</f>
        <v>0</v>
      </c>
      <c r="AL7" s="18">
        <f t="shared" si="30"/>
        <v>0</v>
      </c>
      <c r="AM7" s="18">
        <f t="shared" si="30"/>
        <v>0</v>
      </c>
      <c r="AN7" s="18">
        <f t="shared" si="30"/>
        <v>0</v>
      </c>
      <c r="AO7" s="18">
        <f t="shared" si="5"/>
        <v>0</v>
      </c>
      <c r="AP7" s="18">
        <f t="shared" ref="AP7:AS7" si="31">IF(OR(L8=""),"",(L8-L7)*100)</f>
        <v>2830.00000000029</v>
      </c>
      <c r="AQ7" s="18">
        <f t="shared" si="31"/>
        <v>0</v>
      </c>
      <c r="AR7" s="18">
        <f t="shared" si="31"/>
        <v>2419.99999999971</v>
      </c>
      <c r="AS7" s="18">
        <f t="shared" si="31"/>
        <v>2380.00000000029</v>
      </c>
      <c r="AT7" s="18">
        <f t="shared" si="7"/>
        <v>7630.00000000029</v>
      </c>
      <c r="AU7" s="18">
        <f t="shared" ref="AU7:AY7" si="32">IF(OR(P8=""),"",(P8-P7)*1000)</f>
        <v>0</v>
      </c>
      <c r="AV7" s="18">
        <f t="shared" si="32"/>
        <v>0</v>
      </c>
      <c r="AW7" s="18">
        <f t="shared" si="32"/>
        <v>4699.99999999982</v>
      </c>
      <c r="AX7" s="18">
        <f t="shared" si="32"/>
        <v>0</v>
      </c>
      <c r="AY7" s="18">
        <f t="shared" si="32"/>
        <v>8199.99999999982</v>
      </c>
      <c r="AZ7" s="18">
        <f t="shared" si="9"/>
        <v>12899.9999999996</v>
      </c>
      <c r="BA7" s="18">
        <f t="shared" si="24"/>
        <v>9599.99999999854</v>
      </c>
      <c r="BB7" s="18">
        <f t="shared" si="25"/>
        <v>392.000000000116</v>
      </c>
      <c r="BC7" s="18">
        <f t="shared" si="12"/>
        <v>1363.99999999994</v>
      </c>
      <c r="BD7" s="18">
        <f t="shared" si="10"/>
        <v>13412.4000000121</v>
      </c>
      <c r="BE7" s="18">
        <f t="shared" si="26"/>
        <v>53000.0000000109</v>
      </c>
      <c r="BF7" s="18">
        <f t="shared" si="27"/>
        <v>48.9000000000015</v>
      </c>
      <c r="BG7" s="21">
        <f t="shared" si="13"/>
        <v>0.254572702121171</v>
      </c>
      <c r="BH7" s="21">
        <f t="shared" si="14"/>
        <v>0.0369927758991712</v>
      </c>
      <c r="BI7" s="21">
        <f t="shared" si="15"/>
        <v>0</v>
      </c>
      <c r="BJ7" s="21">
        <f t="shared" si="16"/>
        <v>0.0366488625883814</v>
      </c>
      <c r="BK7" s="21">
        <f t="shared" ref="BK7:BO7" si="33">IF(OR($AD7=0),"",AZ7/$AD7)</f>
        <v>0.0619620350445725</v>
      </c>
      <c r="BL7" s="21">
        <f t="shared" si="33"/>
        <v>0.0461112818936297</v>
      </c>
      <c r="BM7" s="21">
        <f t="shared" si="33"/>
        <v>0.00188287734399072</v>
      </c>
      <c r="BN7" s="21">
        <f t="shared" si="33"/>
        <v>0.00655164463572059</v>
      </c>
      <c r="BO7" s="21">
        <f t="shared" si="33"/>
        <v>0.0644232247157054</v>
      </c>
    </row>
    <row r="8" spans="1:67">
      <c r="A8" s="9">
        <f t="shared" si="11"/>
        <v>44321</v>
      </c>
      <c r="B8" s="10">
        <v>16216.45</v>
      </c>
      <c r="C8" s="8">
        <v>88512.7</v>
      </c>
      <c r="D8" s="8">
        <v>56531.2</v>
      </c>
      <c r="E8" s="8">
        <v>55988.2</v>
      </c>
      <c r="F8" s="8">
        <v>4454.85</v>
      </c>
      <c r="G8" s="8">
        <v>110619</v>
      </c>
      <c r="H8" s="8">
        <v>5596.3</v>
      </c>
      <c r="I8" s="8">
        <v>2566.3</v>
      </c>
      <c r="J8" s="8">
        <v>967</v>
      </c>
      <c r="K8" s="8">
        <v>56</v>
      </c>
      <c r="L8" s="8">
        <v>89048.2</v>
      </c>
      <c r="M8" s="8">
        <v>61202.3</v>
      </c>
      <c r="N8" s="8">
        <v>70604</v>
      </c>
      <c r="O8" s="8">
        <v>100960.8</v>
      </c>
      <c r="P8" s="8">
        <v>5322.1</v>
      </c>
      <c r="Q8" s="8">
        <v>7181.2</v>
      </c>
      <c r="R8" s="8">
        <v>4477.2</v>
      </c>
      <c r="S8" s="8">
        <v>4993.6</v>
      </c>
      <c r="T8" s="8">
        <v>6447.2</v>
      </c>
      <c r="U8" s="8">
        <v>16977.1</v>
      </c>
      <c r="V8" s="8">
        <v>49906.6</v>
      </c>
      <c r="W8" s="8">
        <v>50906</v>
      </c>
      <c r="X8" s="8">
        <v>1719.1</v>
      </c>
      <c r="Y8" s="8">
        <v>1427.4</v>
      </c>
      <c r="Z8" s="16">
        <f t="shared" si="18"/>
        <v>54052.5</v>
      </c>
      <c r="AA8" s="8">
        <v>59506</v>
      </c>
      <c r="AB8" s="14">
        <v>2910</v>
      </c>
      <c r="AC8" s="7">
        <f t="shared" si="19"/>
        <v>62416</v>
      </c>
      <c r="AD8" s="17">
        <v>202452</v>
      </c>
      <c r="AE8" s="18">
        <f t="shared" ref="AE8:AI8" si="34">IF(OR(C9=""),"",(C9-C8)*80)</f>
        <v>0</v>
      </c>
      <c r="AF8" s="18">
        <f t="shared" si="34"/>
        <v>2600</v>
      </c>
      <c r="AG8" s="18">
        <f t="shared" si="34"/>
        <v>2264.00000000023</v>
      </c>
      <c r="AH8" s="18">
        <f t="shared" si="34"/>
        <v>2380</v>
      </c>
      <c r="AI8" s="18">
        <f t="shared" si="34"/>
        <v>1975.99999999977</v>
      </c>
      <c r="AJ8" s="18">
        <f t="shared" si="3"/>
        <v>9220</v>
      </c>
      <c r="AK8" s="18">
        <f t="shared" ref="AK8:AN8" si="35">IF(OR(H9=""),"",(H9-H8)*80)</f>
        <v>0</v>
      </c>
      <c r="AL8" s="18">
        <f t="shared" si="35"/>
        <v>0</v>
      </c>
      <c r="AM8" s="18">
        <f t="shared" si="35"/>
        <v>0</v>
      </c>
      <c r="AN8" s="18">
        <f t="shared" si="35"/>
        <v>0</v>
      </c>
      <c r="AO8" s="18">
        <f t="shared" si="5"/>
        <v>0</v>
      </c>
      <c r="AP8" s="18">
        <f t="shared" ref="AP8:AS8" si="36">IF(OR(L9=""),"",(L9-L8)*100)</f>
        <v>2619.99999999971</v>
      </c>
      <c r="AQ8" s="18">
        <f t="shared" si="36"/>
        <v>0</v>
      </c>
      <c r="AR8" s="18">
        <f t="shared" si="36"/>
        <v>2619.99999999971</v>
      </c>
      <c r="AS8" s="18">
        <f t="shared" si="36"/>
        <v>2439.99999999942</v>
      </c>
      <c r="AT8" s="18">
        <f t="shared" si="7"/>
        <v>7679.99999999884</v>
      </c>
      <c r="AU8" s="18">
        <f t="shared" ref="AU8:AY8" si="37">IF(OR(P9=""),"",(P9-P8)*1000)</f>
        <v>0</v>
      </c>
      <c r="AV8" s="18">
        <f t="shared" si="37"/>
        <v>0</v>
      </c>
      <c r="AW8" s="18">
        <f t="shared" si="37"/>
        <v>4400.00000000055</v>
      </c>
      <c r="AX8" s="18">
        <f t="shared" si="37"/>
        <v>0</v>
      </c>
      <c r="AY8" s="18">
        <f t="shared" si="37"/>
        <v>9000</v>
      </c>
      <c r="AZ8" s="18">
        <f t="shared" si="9"/>
        <v>13400.0000000005</v>
      </c>
      <c r="BA8" s="18">
        <f t="shared" si="24"/>
        <v>9600.00000000582</v>
      </c>
      <c r="BB8" s="18">
        <f t="shared" si="25"/>
        <v>920</v>
      </c>
      <c r="BC8" s="18">
        <f t="shared" si="12"/>
        <v>1411.99999999983</v>
      </c>
      <c r="BD8" s="18">
        <f t="shared" si="10"/>
        <v>13967.9999999848</v>
      </c>
      <c r="BE8" s="18">
        <f t="shared" si="26"/>
        <v>56199.9999999898</v>
      </c>
      <c r="BF8" s="18">
        <f t="shared" si="27"/>
        <v>55.5999999999985</v>
      </c>
      <c r="BG8" s="21">
        <f t="shared" si="13"/>
        <v>0.277596664888417</v>
      </c>
      <c r="BH8" s="21">
        <f t="shared" si="14"/>
        <v>0.045541659257503</v>
      </c>
      <c r="BI8" s="21">
        <f t="shared" si="15"/>
        <v>0</v>
      </c>
      <c r="BJ8" s="21">
        <f t="shared" si="16"/>
        <v>0.037934917906461</v>
      </c>
      <c r="BK8" s="21">
        <f t="shared" ref="BK8:BO8" si="38">IF(OR($AD8=0),"",AZ8/$AD8)</f>
        <v>0.0661885286388899</v>
      </c>
      <c r="BL8" s="21">
        <f t="shared" si="38"/>
        <v>0.0474186473831121</v>
      </c>
      <c r="BM8" s="21">
        <f t="shared" si="38"/>
        <v>0.00454428704087883</v>
      </c>
      <c r="BN8" s="21">
        <f t="shared" si="38"/>
        <v>0.00697449271926099</v>
      </c>
      <c r="BO8" s="21">
        <f t="shared" si="38"/>
        <v>0.0689941319423112</v>
      </c>
    </row>
    <row r="9" spans="1:67">
      <c r="A9" s="9">
        <f t="shared" si="11"/>
        <v>44322</v>
      </c>
      <c r="B9" s="10">
        <v>16222.07</v>
      </c>
      <c r="C9" s="8">
        <v>88512.7</v>
      </c>
      <c r="D9" s="8">
        <v>56563.7</v>
      </c>
      <c r="E9" s="8">
        <v>56016.5</v>
      </c>
      <c r="F9" s="8">
        <v>4484.6</v>
      </c>
      <c r="G9" s="8">
        <v>110643.7</v>
      </c>
      <c r="H9" s="8">
        <v>5596.3</v>
      </c>
      <c r="I9" s="8">
        <v>2566.3</v>
      </c>
      <c r="J9" s="8">
        <v>967</v>
      </c>
      <c r="K9" s="8">
        <v>56</v>
      </c>
      <c r="L9" s="8">
        <v>89074.4</v>
      </c>
      <c r="M9" s="8">
        <v>61202.3</v>
      </c>
      <c r="N9" s="8">
        <v>70630.2</v>
      </c>
      <c r="O9" s="8">
        <v>100985.2</v>
      </c>
      <c r="P9" s="8">
        <v>5322.1</v>
      </c>
      <c r="Q9" s="8">
        <v>7181.2</v>
      </c>
      <c r="R9" s="8">
        <v>4481.6</v>
      </c>
      <c r="S9" s="8">
        <v>4993.6</v>
      </c>
      <c r="T9" s="8">
        <v>6456.2</v>
      </c>
      <c r="U9" s="8">
        <v>16981.9</v>
      </c>
      <c r="V9" s="8">
        <v>49918.1</v>
      </c>
      <c r="W9" s="8">
        <v>50923.2</v>
      </c>
      <c r="X9" s="8">
        <v>1727.7</v>
      </c>
      <c r="Y9" s="8">
        <v>1436.9</v>
      </c>
      <c r="Z9" s="16">
        <f t="shared" si="18"/>
        <v>54087.8</v>
      </c>
      <c r="AA9" s="8">
        <v>59553.6</v>
      </c>
      <c r="AB9" s="14">
        <v>2918</v>
      </c>
      <c r="AC9" s="7">
        <f t="shared" si="19"/>
        <v>62471.6</v>
      </c>
      <c r="AD9" s="17">
        <v>180457</v>
      </c>
      <c r="AE9" s="18">
        <f t="shared" ref="AE9:AI9" si="39">IF(OR(C10=""),"",(C10-C9)*80)</f>
        <v>0</v>
      </c>
      <c r="AF9" s="18">
        <f t="shared" si="39"/>
        <v>2504.00000000023</v>
      </c>
      <c r="AG9" s="18">
        <f t="shared" si="39"/>
        <v>2272.00000000012</v>
      </c>
      <c r="AH9" s="18">
        <f t="shared" si="39"/>
        <v>2000</v>
      </c>
      <c r="AI9" s="18">
        <f t="shared" si="39"/>
        <v>1888.00000000047</v>
      </c>
      <c r="AJ9" s="18">
        <f t="shared" si="3"/>
        <v>8664.00000000081</v>
      </c>
      <c r="AK9" s="18">
        <f t="shared" ref="AK9:AN9" si="40">IF(OR(H10=""),"",(H10-H9)*80)</f>
        <v>0</v>
      </c>
      <c r="AL9" s="18">
        <f t="shared" si="40"/>
        <v>0</v>
      </c>
      <c r="AM9" s="18">
        <f t="shared" si="40"/>
        <v>0</v>
      </c>
      <c r="AN9" s="18">
        <f t="shared" si="40"/>
        <v>0</v>
      </c>
      <c r="AO9" s="18">
        <f t="shared" si="5"/>
        <v>0</v>
      </c>
      <c r="AP9" s="18">
        <f t="shared" ref="AP9:AS9" si="41">IF(OR(L10=""),"",(L10-L9)*100)</f>
        <v>2160.00000000058</v>
      </c>
      <c r="AQ9" s="18">
        <f t="shared" si="41"/>
        <v>0</v>
      </c>
      <c r="AR9" s="18">
        <f t="shared" si="41"/>
        <v>2010.00000000058</v>
      </c>
      <c r="AS9" s="18">
        <f t="shared" si="41"/>
        <v>2400</v>
      </c>
      <c r="AT9" s="18">
        <f t="shared" si="7"/>
        <v>6570.00000000116</v>
      </c>
      <c r="AU9" s="18">
        <f t="shared" ref="AU9:AY9" si="42">IF(OR(P10=""),"",(P10-P9)*1000)</f>
        <v>1500</v>
      </c>
      <c r="AV9" s="18">
        <f t="shared" si="42"/>
        <v>0</v>
      </c>
      <c r="AW9" s="18">
        <f t="shared" si="42"/>
        <v>3099.99999999945</v>
      </c>
      <c r="AX9" s="18">
        <f t="shared" si="42"/>
        <v>0</v>
      </c>
      <c r="AY9" s="18">
        <f t="shared" si="42"/>
        <v>300.000000000182</v>
      </c>
      <c r="AZ9" s="18">
        <f t="shared" si="9"/>
        <v>4899.99999999964</v>
      </c>
      <c r="BA9" s="18">
        <f t="shared" si="24"/>
        <v>8399.99999999418</v>
      </c>
      <c r="BB9" s="18">
        <f t="shared" si="25"/>
        <v>1096.00000000035</v>
      </c>
      <c r="BC9" s="18">
        <f t="shared" si="12"/>
        <v>1391.99999999983</v>
      </c>
      <c r="BD9" s="18">
        <f t="shared" si="10"/>
        <v>23278.0000000069</v>
      </c>
      <c r="BE9" s="18">
        <f t="shared" si="26"/>
        <v>54300.0000000029</v>
      </c>
      <c r="BF9" s="18">
        <f t="shared" si="27"/>
        <v>50.0999999999985</v>
      </c>
      <c r="BG9" s="21">
        <f t="shared" si="13"/>
        <v>0.300902708124389</v>
      </c>
      <c r="BH9" s="21">
        <f t="shared" si="14"/>
        <v>0.048011437627805</v>
      </c>
      <c r="BI9" s="21">
        <f t="shared" si="15"/>
        <v>0</v>
      </c>
      <c r="BJ9" s="21">
        <f t="shared" si="16"/>
        <v>0.0364075652371544</v>
      </c>
      <c r="BK9" s="21">
        <f t="shared" ref="BK9:BO9" si="43">IF(OR($AD9=0),"",AZ9/$AD9)</f>
        <v>0.0271532830535786</v>
      </c>
      <c r="BL9" s="21">
        <f t="shared" si="43"/>
        <v>0.0465484852346774</v>
      </c>
      <c r="BM9" s="21">
        <f t="shared" si="43"/>
        <v>0.00607346902586405</v>
      </c>
      <c r="BN9" s="21">
        <f t="shared" si="43"/>
        <v>0.00771374898175092</v>
      </c>
      <c r="BO9" s="21">
        <f t="shared" si="43"/>
        <v>0.128994718963559</v>
      </c>
    </row>
    <row r="10" spans="1:67">
      <c r="A10" s="9">
        <f t="shared" si="11"/>
        <v>44323</v>
      </c>
      <c r="B10" s="10">
        <v>16227.5</v>
      </c>
      <c r="C10" s="8">
        <v>88512.7</v>
      </c>
      <c r="D10" s="8">
        <v>56595</v>
      </c>
      <c r="E10" s="8">
        <v>56044.9</v>
      </c>
      <c r="F10" s="8">
        <v>4509.6</v>
      </c>
      <c r="G10" s="8">
        <v>110667.3</v>
      </c>
      <c r="H10" s="8">
        <v>5596.3</v>
      </c>
      <c r="I10" s="8">
        <v>2566.3</v>
      </c>
      <c r="J10" s="8">
        <v>967</v>
      </c>
      <c r="K10" s="8">
        <v>56</v>
      </c>
      <c r="L10" s="8">
        <v>89096</v>
      </c>
      <c r="M10" s="8">
        <v>61202.3</v>
      </c>
      <c r="N10" s="8">
        <v>70650.3</v>
      </c>
      <c r="O10" s="8">
        <v>101009.2</v>
      </c>
      <c r="P10" s="8">
        <v>5323.6</v>
      </c>
      <c r="Q10" s="8">
        <v>7181.2</v>
      </c>
      <c r="R10" s="8">
        <v>4484.7</v>
      </c>
      <c r="S10" s="8">
        <v>4993.6</v>
      </c>
      <c r="T10" s="8">
        <v>6456.5</v>
      </c>
      <c r="U10" s="8">
        <v>16986.1</v>
      </c>
      <c r="V10" s="8">
        <v>49931.8</v>
      </c>
      <c r="W10" s="8">
        <v>50940.2</v>
      </c>
      <c r="X10" s="8">
        <v>1736.2</v>
      </c>
      <c r="Y10" s="8">
        <v>1446.2</v>
      </c>
      <c r="Z10" s="16">
        <f t="shared" si="18"/>
        <v>54122.6</v>
      </c>
      <c r="AA10" s="8">
        <v>59594.7</v>
      </c>
      <c r="AB10" s="14">
        <v>2927</v>
      </c>
      <c r="AC10" s="7">
        <f t="shared" si="19"/>
        <v>62521.7</v>
      </c>
      <c r="AD10" s="17">
        <v>179128</v>
      </c>
      <c r="AE10" s="18">
        <f t="shared" ref="AE10:AI10" si="44">IF(OR(C11=""),"",(C11-C10)*80)</f>
        <v>0</v>
      </c>
      <c r="AF10" s="18">
        <f t="shared" si="44"/>
        <v>1840</v>
      </c>
      <c r="AG10" s="18">
        <f t="shared" si="44"/>
        <v>2895.99999999977</v>
      </c>
      <c r="AH10" s="18">
        <f t="shared" si="44"/>
        <v>1531.19999999995</v>
      </c>
      <c r="AI10" s="18">
        <f t="shared" si="44"/>
        <v>2135.99999999977</v>
      </c>
      <c r="AJ10" s="18">
        <f t="shared" si="3"/>
        <v>8403.19999999949</v>
      </c>
      <c r="AK10" s="18">
        <f t="shared" ref="AK10:AN10" si="45">IF(OR(H11=""),"",(H11-H10)*80)</f>
        <v>0</v>
      </c>
      <c r="AL10" s="18">
        <f t="shared" si="45"/>
        <v>0</v>
      </c>
      <c r="AM10" s="18">
        <f t="shared" si="45"/>
        <v>0</v>
      </c>
      <c r="AN10" s="18">
        <f t="shared" si="45"/>
        <v>0</v>
      </c>
      <c r="AO10" s="18">
        <f t="shared" si="5"/>
        <v>0</v>
      </c>
      <c r="AP10" s="18">
        <f t="shared" ref="AP10:AS10" si="46">IF(OR(L11=""),"",(L11-L10)*100)</f>
        <v>2100</v>
      </c>
      <c r="AQ10" s="18">
        <f t="shared" si="46"/>
        <v>0</v>
      </c>
      <c r="AR10" s="18">
        <f t="shared" si="46"/>
        <v>2100</v>
      </c>
      <c r="AS10" s="18">
        <f t="shared" si="46"/>
        <v>2400</v>
      </c>
      <c r="AT10" s="18">
        <f t="shared" si="7"/>
        <v>6600</v>
      </c>
      <c r="AU10" s="18">
        <f t="shared" ref="AU10:AY10" si="47">IF(OR(P11=""),"",(P11-P10)*1000)</f>
        <v>1399.99999999964</v>
      </c>
      <c r="AV10" s="18">
        <f t="shared" si="47"/>
        <v>0</v>
      </c>
      <c r="AW10" s="18">
        <f t="shared" si="47"/>
        <v>3000</v>
      </c>
      <c r="AX10" s="18">
        <f t="shared" si="47"/>
        <v>0</v>
      </c>
      <c r="AY10" s="18">
        <f t="shared" si="47"/>
        <v>18000</v>
      </c>
      <c r="AZ10" s="18">
        <f t="shared" si="9"/>
        <v>22399.9999999996</v>
      </c>
      <c r="BA10" s="18">
        <f t="shared" si="24"/>
        <v>8200.00000000437</v>
      </c>
      <c r="BB10" s="18">
        <f t="shared" si="25"/>
        <v>1055.99999999977</v>
      </c>
      <c r="BC10" s="18">
        <f t="shared" si="12"/>
        <v>1372.00000000012</v>
      </c>
      <c r="BD10" s="18">
        <f t="shared" si="10"/>
        <v>5068.79999999153</v>
      </c>
      <c r="BE10" s="18">
        <f t="shared" si="26"/>
        <v>53099.9999999949</v>
      </c>
      <c r="BF10" s="18">
        <f t="shared" si="27"/>
        <v>50.8000000000029</v>
      </c>
      <c r="BG10" s="21">
        <f t="shared" si="13"/>
        <v>0.296436068063033</v>
      </c>
      <c r="BH10" s="21">
        <f t="shared" si="14"/>
        <v>0.0469117055959955</v>
      </c>
      <c r="BI10" s="21">
        <f t="shared" si="15"/>
        <v>0</v>
      </c>
      <c r="BJ10" s="21">
        <f t="shared" si="16"/>
        <v>0.0368451610021884</v>
      </c>
      <c r="BK10" s="21">
        <f t="shared" ref="BK10:BO10" si="48">IF(OR($AD10=0),"",AZ10/$AD10)</f>
        <v>0.125050243401365</v>
      </c>
      <c r="BL10" s="21">
        <f t="shared" si="48"/>
        <v>0.0457773212451675</v>
      </c>
      <c r="BM10" s="21">
        <f t="shared" si="48"/>
        <v>0.00589522576034884</v>
      </c>
      <c r="BN10" s="21">
        <f t="shared" si="48"/>
        <v>0.00765932740833436</v>
      </c>
      <c r="BO10" s="21">
        <f t="shared" si="48"/>
        <v>0.0282970836496334</v>
      </c>
    </row>
    <row r="11" spans="1:67">
      <c r="A11" s="9">
        <f t="shared" si="11"/>
        <v>44324</v>
      </c>
      <c r="B11" s="10">
        <v>16232.81</v>
      </c>
      <c r="C11" s="8">
        <v>88512.7</v>
      </c>
      <c r="D11" s="8">
        <v>56618</v>
      </c>
      <c r="E11" s="8">
        <v>56081.1</v>
      </c>
      <c r="F11" s="8">
        <v>4528.74</v>
      </c>
      <c r="G11" s="8">
        <v>110694</v>
      </c>
      <c r="H11" s="8">
        <v>5596.3</v>
      </c>
      <c r="I11" s="8">
        <v>2566.3</v>
      </c>
      <c r="J11" s="8">
        <v>967</v>
      </c>
      <c r="K11" s="8">
        <v>56</v>
      </c>
      <c r="L11" s="8">
        <v>89117</v>
      </c>
      <c r="M11" s="8">
        <v>61202.3</v>
      </c>
      <c r="N11" s="8">
        <v>70671.3</v>
      </c>
      <c r="O11" s="8">
        <v>101033.2</v>
      </c>
      <c r="P11" s="8">
        <v>5325</v>
      </c>
      <c r="Q11" s="8">
        <v>7181.2</v>
      </c>
      <c r="R11" s="8">
        <v>4487.7</v>
      </c>
      <c r="S11" s="8">
        <v>4993.6</v>
      </c>
      <c r="T11" s="8">
        <v>6474.5</v>
      </c>
      <c r="U11" s="8">
        <v>16990.2</v>
      </c>
      <c r="V11" s="8">
        <v>49945</v>
      </c>
      <c r="W11" s="8">
        <v>50957.1</v>
      </c>
      <c r="X11" s="8">
        <v>1744.6</v>
      </c>
      <c r="Y11" s="8">
        <v>1455.2</v>
      </c>
      <c r="Z11" s="16">
        <f t="shared" si="18"/>
        <v>54156.9</v>
      </c>
      <c r="AA11" s="8">
        <v>59635.5</v>
      </c>
      <c r="AB11" s="14">
        <v>2937</v>
      </c>
      <c r="AC11" s="7">
        <f t="shared" si="19"/>
        <v>62572.5</v>
      </c>
      <c r="AD11" s="17">
        <v>190016</v>
      </c>
      <c r="AE11" s="18">
        <f t="shared" ref="AE11:AI11" si="49">IF(OR(C12=""),"",(C12-C11)*80)</f>
        <v>1575.99999999977</v>
      </c>
      <c r="AF11" s="18">
        <f t="shared" si="49"/>
        <v>432.000000000116</v>
      </c>
      <c r="AG11" s="18">
        <f t="shared" si="49"/>
        <v>2504.00000000023</v>
      </c>
      <c r="AH11" s="18">
        <f t="shared" si="49"/>
        <v>1759.19999999998</v>
      </c>
      <c r="AI11" s="18">
        <f t="shared" si="49"/>
        <v>2080</v>
      </c>
      <c r="AJ11" s="18">
        <f t="shared" si="3"/>
        <v>8351.2000000001</v>
      </c>
      <c r="AK11" s="18">
        <f t="shared" ref="AK11:AN11" si="50">IF(OR(H12=""),"",(H12-H11)*80)</f>
        <v>0</v>
      </c>
      <c r="AL11" s="18">
        <f t="shared" si="50"/>
        <v>0</v>
      </c>
      <c r="AM11" s="18">
        <f t="shared" si="50"/>
        <v>0</v>
      </c>
      <c r="AN11" s="18">
        <f t="shared" si="50"/>
        <v>0</v>
      </c>
      <c r="AO11" s="18">
        <f t="shared" si="5"/>
        <v>0</v>
      </c>
      <c r="AP11" s="18">
        <f t="shared" ref="AP11:AS11" si="51">IF(OR(L12=""),"",(L12-L11)*100)</f>
        <v>2069.99999999971</v>
      </c>
      <c r="AQ11" s="18">
        <f t="shared" si="51"/>
        <v>0</v>
      </c>
      <c r="AR11" s="18">
        <f t="shared" si="51"/>
        <v>2439.99999999942</v>
      </c>
      <c r="AS11" s="18">
        <f t="shared" si="51"/>
        <v>2280.00000000029</v>
      </c>
      <c r="AT11" s="18">
        <f t="shared" si="7"/>
        <v>6789.99999999942</v>
      </c>
      <c r="AU11" s="18">
        <f t="shared" ref="AU11:AY11" si="52">IF(OR(P12=""),"",(P12-P11)*1000)</f>
        <v>1199.99999999982</v>
      </c>
      <c r="AV11" s="18">
        <f t="shared" si="52"/>
        <v>0</v>
      </c>
      <c r="AW11" s="18">
        <f t="shared" si="52"/>
        <v>3000</v>
      </c>
      <c r="AX11" s="18">
        <f t="shared" si="52"/>
        <v>0</v>
      </c>
      <c r="AY11" s="18">
        <f t="shared" si="52"/>
        <v>8699.99999999982</v>
      </c>
      <c r="AZ11" s="18">
        <f t="shared" si="9"/>
        <v>12899.9999999996</v>
      </c>
      <c r="BA11" s="18">
        <f t="shared" si="24"/>
        <v>8400.00000000146</v>
      </c>
      <c r="BB11" s="18">
        <f t="shared" si="25"/>
        <v>1087.99999999988</v>
      </c>
      <c r="BC11" s="18">
        <f t="shared" si="12"/>
        <v>1312.00000000012</v>
      </c>
      <c r="BD11" s="18">
        <f t="shared" si="10"/>
        <v>13558.7999999972</v>
      </c>
      <c r="BE11" s="18">
        <f t="shared" si="26"/>
        <v>52399.9999999978</v>
      </c>
      <c r="BF11" s="18">
        <f t="shared" si="27"/>
        <v>54.3000000000029</v>
      </c>
      <c r="BG11" s="21">
        <f t="shared" si="13"/>
        <v>0.27576625126304</v>
      </c>
      <c r="BH11" s="21">
        <f t="shared" si="14"/>
        <v>0.0439499831593134</v>
      </c>
      <c r="BI11" s="21">
        <f t="shared" si="15"/>
        <v>0</v>
      </c>
      <c r="BJ11" s="21">
        <f t="shared" si="16"/>
        <v>0.0357338329403809</v>
      </c>
      <c r="BK11" s="21">
        <f t="shared" ref="BK11:BO11" si="53">IF(OR($AD11=0),"",AZ11/$AD11)</f>
        <v>0.0678890198720089</v>
      </c>
      <c r="BL11" s="21">
        <f t="shared" si="53"/>
        <v>0.0442068036375961</v>
      </c>
      <c r="BM11" s="21">
        <f t="shared" si="53"/>
        <v>0.00572583361401084</v>
      </c>
      <c r="BN11" s="21">
        <f t="shared" si="53"/>
        <v>0.00690468171101442</v>
      </c>
      <c r="BO11" s="21">
        <f t="shared" si="53"/>
        <v>0.0713560963287155</v>
      </c>
    </row>
    <row r="12" spans="1:67">
      <c r="A12" s="9">
        <f t="shared" si="11"/>
        <v>44325</v>
      </c>
      <c r="B12" s="10">
        <v>16238.05</v>
      </c>
      <c r="C12" s="8">
        <v>88532.4</v>
      </c>
      <c r="D12" s="8">
        <v>56623.4</v>
      </c>
      <c r="E12" s="8">
        <v>56112.4</v>
      </c>
      <c r="F12" s="8">
        <v>4550.73</v>
      </c>
      <c r="G12" s="8">
        <v>110720</v>
      </c>
      <c r="H12" s="8">
        <v>5596.3</v>
      </c>
      <c r="I12" s="8">
        <v>2566.3</v>
      </c>
      <c r="J12" s="8">
        <v>967</v>
      </c>
      <c r="K12" s="8">
        <v>56</v>
      </c>
      <c r="L12" s="8">
        <v>89137.7</v>
      </c>
      <c r="M12" s="8">
        <v>61202.3</v>
      </c>
      <c r="N12" s="8">
        <v>70695.7</v>
      </c>
      <c r="O12" s="8">
        <v>101056</v>
      </c>
      <c r="P12" s="8">
        <v>5326.2</v>
      </c>
      <c r="Q12" s="8">
        <v>7181.2</v>
      </c>
      <c r="R12" s="8">
        <v>4490.7</v>
      </c>
      <c r="S12" s="8">
        <v>4993.6</v>
      </c>
      <c r="T12" s="8">
        <v>6483.2</v>
      </c>
      <c r="U12" s="8">
        <v>16994.4</v>
      </c>
      <c r="V12" s="8">
        <v>49958.6</v>
      </c>
      <c r="W12" s="8">
        <v>50973.6</v>
      </c>
      <c r="X12" s="8">
        <v>1752.5</v>
      </c>
      <c r="Y12" s="8">
        <v>1463.6</v>
      </c>
      <c r="Z12" s="16">
        <f t="shared" si="18"/>
        <v>54189.7</v>
      </c>
      <c r="AA12" s="8">
        <v>59675.8</v>
      </c>
      <c r="AB12" s="14">
        <v>2951</v>
      </c>
      <c r="AC12" s="7">
        <f t="shared" si="19"/>
        <v>62626.8</v>
      </c>
      <c r="AD12" s="17">
        <v>187107</v>
      </c>
      <c r="AE12" s="18">
        <f t="shared" ref="AE12:AI12" si="54">IF(OR(C13=""),"",(C13-C12)*80)</f>
        <v>3936.00000000093</v>
      </c>
      <c r="AF12" s="18">
        <f t="shared" si="54"/>
        <v>1872.00000000012</v>
      </c>
      <c r="AG12" s="18">
        <f t="shared" si="54"/>
        <v>2535.99999999977</v>
      </c>
      <c r="AH12" s="18">
        <f t="shared" si="54"/>
        <v>4.00000000001455</v>
      </c>
      <c r="AI12" s="18">
        <f t="shared" si="54"/>
        <v>2064.00000000023</v>
      </c>
      <c r="AJ12" s="18">
        <f t="shared" si="3"/>
        <v>10412.0000000011</v>
      </c>
      <c r="AK12" s="18">
        <f t="shared" ref="AK12:AN12" si="55">IF(OR(H13=""),"",(H13-H12)*80)</f>
        <v>0</v>
      </c>
      <c r="AL12" s="18">
        <f t="shared" si="55"/>
        <v>0</v>
      </c>
      <c r="AM12" s="18">
        <f t="shared" si="55"/>
        <v>0</v>
      </c>
      <c r="AN12" s="18">
        <f t="shared" si="55"/>
        <v>0</v>
      </c>
      <c r="AO12" s="18">
        <f t="shared" si="5"/>
        <v>0</v>
      </c>
      <c r="AP12" s="18">
        <f t="shared" ref="AP12:AS12" si="56">IF(OR(L13=""),"",(L13-L12)*100)</f>
        <v>2010.00000000058</v>
      </c>
      <c r="AQ12" s="18">
        <f t="shared" si="56"/>
        <v>0</v>
      </c>
      <c r="AR12" s="18">
        <f t="shared" si="56"/>
        <v>2490.00000000087</v>
      </c>
      <c r="AS12" s="18">
        <f t="shared" si="56"/>
        <v>2230.00000000029</v>
      </c>
      <c r="AT12" s="18">
        <f t="shared" si="7"/>
        <v>6730.00000000175</v>
      </c>
      <c r="AU12" s="18">
        <f t="shared" ref="AU12:AY12" si="57">IF(OR(P13=""),"",(P13-P12)*1000)</f>
        <v>900.000000000546</v>
      </c>
      <c r="AV12" s="18">
        <f t="shared" si="57"/>
        <v>1600.00000000036</v>
      </c>
      <c r="AW12" s="18">
        <f t="shared" si="57"/>
        <v>3500</v>
      </c>
      <c r="AX12" s="18">
        <f t="shared" si="57"/>
        <v>0</v>
      </c>
      <c r="AY12" s="18">
        <f t="shared" si="57"/>
        <v>9199.99999999982</v>
      </c>
      <c r="AZ12" s="18">
        <f t="shared" si="9"/>
        <v>15200.0000000007</v>
      </c>
      <c r="BA12" s="18">
        <f t="shared" si="24"/>
        <v>8000</v>
      </c>
      <c r="BB12" s="18">
        <f t="shared" si="25"/>
        <v>1120</v>
      </c>
      <c r="BC12" s="18">
        <f t="shared" si="12"/>
        <v>1364.00000000023</v>
      </c>
      <c r="BD12" s="18">
        <f t="shared" si="10"/>
        <v>13574.0000000086</v>
      </c>
      <c r="BE12" s="18">
        <f t="shared" si="26"/>
        <v>56400.0000000124</v>
      </c>
      <c r="BF12" s="18">
        <f t="shared" si="27"/>
        <v>51.5999999999985</v>
      </c>
      <c r="BG12" s="21">
        <f t="shared" si="13"/>
        <v>0.301431801055077</v>
      </c>
      <c r="BH12" s="21">
        <f t="shared" si="14"/>
        <v>0.0556473034146294</v>
      </c>
      <c r="BI12" s="21">
        <f t="shared" si="15"/>
        <v>0</v>
      </c>
      <c r="BJ12" s="21">
        <f t="shared" si="16"/>
        <v>0.0359687237783821</v>
      </c>
      <c r="BK12" s="21">
        <f t="shared" ref="BK12:BO12" si="58">IF(OR($AD12=0),"",AZ12/$AD12)</f>
        <v>0.0812369392914254</v>
      </c>
      <c r="BL12" s="21">
        <f t="shared" si="58"/>
        <v>0.0427562838375903</v>
      </c>
      <c r="BM12" s="21">
        <f t="shared" si="58"/>
        <v>0.00598587973726264</v>
      </c>
      <c r="BN12" s="21">
        <f t="shared" si="58"/>
        <v>0.00728994639431038</v>
      </c>
      <c r="BO12" s="21">
        <f t="shared" si="58"/>
        <v>0.0725467246014772</v>
      </c>
    </row>
    <row r="13" spans="1:67">
      <c r="A13" s="9">
        <f t="shared" si="11"/>
        <v>44326</v>
      </c>
      <c r="B13" s="10">
        <v>16243.69</v>
      </c>
      <c r="C13" s="8">
        <v>88581.6</v>
      </c>
      <c r="D13" s="8">
        <v>56646.8</v>
      </c>
      <c r="E13" s="8">
        <v>56144.1</v>
      </c>
      <c r="F13" s="8">
        <v>4550.78</v>
      </c>
      <c r="G13" s="8">
        <v>110745.8</v>
      </c>
      <c r="H13" s="8">
        <v>5596.3</v>
      </c>
      <c r="I13" s="8">
        <v>2566.3</v>
      </c>
      <c r="J13" s="8">
        <v>967</v>
      </c>
      <c r="K13" s="8">
        <v>56</v>
      </c>
      <c r="L13" s="8">
        <v>89157.8</v>
      </c>
      <c r="M13" s="8">
        <v>61202.3</v>
      </c>
      <c r="N13" s="8">
        <v>70720.6</v>
      </c>
      <c r="O13" s="8">
        <v>101078.3</v>
      </c>
      <c r="P13" s="8">
        <v>5327.1</v>
      </c>
      <c r="Q13" s="8">
        <v>7182.8</v>
      </c>
      <c r="R13" s="8">
        <v>4494.2</v>
      </c>
      <c r="S13" s="8">
        <v>4993.6</v>
      </c>
      <c r="T13" s="8">
        <v>6492.4</v>
      </c>
      <c r="U13" s="8">
        <v>16998.4</v>
      </c>
      <c r="V13" s="8">
        <v>49972.6</v>
      </c>
      <c r="W13" s="8">
        <v>50990.5</v>
      </c>
      <c r="X13" s="8">
        <v>1760.9</v>
      </c>
      <c r="Y13" s="8">
        <v>1472.4</v>
      </c>
      <c r="Z13" s="16">
        <f t="shared" si="18"/>
        <v>54223.8</v>
      </c>
      <c r="AA13" s="8">
        <v>59717.4</v>
      </c>
      <c r="AB13" s="14">
        <v>2961</v>
      </c>
      <c r="AC13" s="7">
        <f t="shared" si="19"/>
        <v>62678.4</v>
      </c>
      <c r="AD13" s="17">
        <v>196921</v>
      </c>
      <c r="AE13" s="18">
        <f t="shared" ref="AE13:AI13" si="59">IF(OR(C14=""),"",(C14-C13)*80)</f>
        <v>15.9999999997672</v>
      </c>
      <c r="AF13" s="18">
        <f t="shared" si="59"/>
        <v>2863.99999999965</v>
      </c>
      <c r="AG13" s="18">
        <f t="shared" si="59"/>
        <v>2167.99999999988</v>
      </c>
      <c r="AH13" s="18">
        <f t="shared" si="59"/>
        <v>2394.40000000002</v>
      </c>
      <c r="AI13" s="18">
        <f t="shared" si="59"/>
        <v>2000</v>
      </c>
      <c r="AJ13" s="18">
        <f t="shared" si="3"/>
        <v>9442.39999999932</v>
      </c>
      <c r="AK13" s="18">
        <f t="shared" ref="AK13:AN13" si="60">IF(OR(H14=""),"",(H14-H13)*80)</f>
        <v>0</v>
      </c>
      <c r="AL13" s="18">
        <f t="shared" si="60"/>
        <v>0</v>
      </c>
      <c r="AM13" s="18">
        <f t="shared" si="60"/>
        <v>0</v>
      </c>
      <c r="AN13" s="18">
        <f t="shared" si="60"/>
        <v>0</v>
      </c>
      <c r="AO13" s="18">
        <f t="shared" si="5"/>
        <v>0</v>
      </c>
      <c r="AP13" s="18">
        <f t="shared" ref="AP13:AS13" si="61">IF(OR(L14=""),"",(L14-L13)*100)</f>
        <v>2369.99999999971</v>
      </c>
      <c r="AQ13" s="18">
        <f t="shared" si="61"/>
        <v>0</v>
      </c>
      <c r="AR13" s="18">
        <f t="shared" si="61"/>
        <v>2369.99999999971</v>
      </c>
      <c r="AS13" s="18">
        <f t="shared" si="61"/>
        <v>2250</v>
      </c>
      <c r="AT13" s="18">
        <f t="shared" si="7"/>
        <v>6989.99999999942</v>
      </c>
      <c r="AU13" s="18">
        <f t="shared" ref="AU13:AY13" si="62">IF(OR(P14=""),"",(P14-P13)*1000)</f>
        <v>899.999999999636</v>
      </c>
      <c r="AV13" s="18">
        <f t="shared" si="62"/>
        <v>0</v>
      </c>
      <c r="AW13" s="18">
        <f t="shared" si="62"/>
        <v>3699.99999999982</v>
      </c>
      <c r="AX13" s="18">
        <f t="shared" si="62"/>
        <v>0</v>
      </c>
      <c r="AY13" s="18">
        <f t="shared" si="62"/>
        <v>9100.00000000036</v>
      </c>
      <c r="AZ13" s="18">
        <f t="shared" si="9"/>
        <v>13699.9999999998</v>
      </c>
      <c r="BA13" s="18">
        <f t="shared" si="24"/>
        <v>8599.99999999854</v>
      </c>
      <c r="BB13" s="18">
        <f t="shared" si="25"/>
        <v>1080</v>
      </c>
      <c r="BC13" s="18">
        <f t="shared" si="12"/>
        <v>1347.99999999988</v>
      </c>
      <c r="BD13" s="18">
        <f t="shared" si="10"/>
        <v>15639.6000000059</v>
      </c>
      <c r="BE13" s="18">
        <f t="shared" si="26"/>
        <v>56800.0000000029</v>
      </c>
      <c r="BF13" s="18">
        <f t="shared" si="27"/>
        <v>48.7999999999956</v>
      </c>
      <c r="BG13" s="21">
        <f t="shared" si="13"/>
        <v>0.288440542146358</v>
      </c>
      <c r="BH13" s="21">
        <f t="shared" si="14"/>
        <v>0.0479501932246907</v>
      </c>
      <c r="BI13" s="21">
        <f t="shared" si="15"/>
        <v>0</v>
      </c>
      <c r="BJ13" s="21">
        <f t="shared" si="16"/>
        <v>0.0354964681268093</v>
      </c>
      <c r="BK13" s="21">
        <f t="shared" ref="BK13:BO13" si="63">IF(OR($AD13=0),"",AZ13/$AD13)</f>
        <v>0.0695710462571276</v>
      </c>
      <c r="BL13" s="21">
        <f t="shared" si="63"/>
        <v>0.0436723356066572</v>
      </c>
      <c r="BM13" s="21">
        <f t="shared" si="63"/>
        <v>0.00548443284362765</v>
      </c>
      <c r="BN13" s="21">
        <f t="shared" si="63"/>
        <v>0.00684538469741614</v>
      </c>
      <c r="BO13" s="21">
        <f t="shared" si="63"/>
        <v>0.0794206813900291</v>
      </c>
    </row>
    <row r="14" spans="1:67">
      <c r="A14" s="9">
        <f t="shared" si="11"/>
        <v>44327</v>
      </c>
      <c r="B14" s="10">
        <v>16249.37</v>
      </c>
      <c r="C14" s="8">
        <v>88581.8</v>
      </c>
      <c r="D14" s="8">
        <v>56682.6</v>
      </c>
      <c r="E14" s="8">
        <v>56171.2</v>
      </c>
      <c r="F14" s="8">
        <v>4580.71</v>
      </c>
      <c r="G14" s="8">
        <v>110770.8</v>
      </c>
      <c r="H14" s="8">
        <v>5596.3</v>
      </c>
      <c r="I14" s="8">
        <v>2566.3</v>
      </c>
      <c r="J14" s="8">
        <v>967</v>
      </c>
      <c r="K14" s="8">
        <v>56</v>
      </c>
      <c r="L14" s="8">
        <v>89181.5</v>
      </c>
      <c r="M14" s="8">
        <v>61202.3</v>
      </c>
      <c r="N14" s="8">
        <v>70744.3</v>
      </c>
      <c r="O14" s="8">
        <v>101100.8</v>
      </c>
      <c r="P14" s="8">
        <v>5328</v>
      </c>
      <c r="Q14" s="8">
        <v>7182.8</v>
      </c>
      <c r="R14" s="8">
        <v>4497.9</v>
      </c>
      <c r="S14" s="8">
        <v>4993.6</v>
      </c>
      <c r="T14" s="8">
        <v>6501.5</v>
      </c>
      <c r="U14" s="8">
        <v>17002.7</v>
      </c>
      <c r="V14" s="8">
        <v>49986.1</v>
      </c>
      <c r="W14" s="8">
        <v>51007</v>
      </c>
      <c r="X14" s="8">
        <v>1769.3</v>
      </c>
      <c r="Y14" s="8">
        <v>1481.2</v>
      </c>
      <c r="Z14" s="16">
        <f t="shared" si="18"/>
        <v>54257.5</v>
      </c>
      <c r="AA14" s="8">
        <v>59757.2</v>
      </c>
      <c r="AB14" s="14">
        <v>2970</v>
      </c>
      <c r="AC14" s="7">
        <f t="shared" si="19"/>
        <v>62727.2</v>
      </c>
      <c r="AD14" s="17">
        <v>191021</v>
      </c>
      <c r="AE14" s="18">
        <f t="shared" ref="AE14:AI14" si="64">IF(OR(C15=""),"",(C15-C14)*80)</f>
        <v>0</v>
      </c>
      <c r="AF14" s="18">
        <f t="shared" si="64"/>
        <v>2447.99999999988</v>
      </c>
      <c r="AG14" s="18">
        <f t="shared" si="64"/>
        <v>2696.00000000035</v>
      </c>
      <c r="AH14" s="18">
        <f t="shared" si="64"/>
        <v>2151.99999999997</v>
      </c>
      <c r="AI14" s="18">
        <f t="shared" si="64"/>
        <v>2280</v>
      </c>
      <c r="AJ14" s="18">
        <f t="shared" si="3"/>
        <v>9576.0000000002</v>
      </c>
      <c r="AK14" s="18">
        <f t="shared" ref="AK14:AN14" si="65">IF(OR(H15=""),"",(H15-H14)*80)</f>
        <v>0</v>
      </c>
      <c r="AL14" s="18">
        <f t="shared" si="65"/>
        <v>0</v>
      </c>
      <c r="AM14" s="18">
        <f t="shared" si="65"/>
        <v>0</v>
      </c>
      <c r="AN14" s="18">
        <f t="shared" si="65"/>
        <v>0</v>
      </c>
      <c r="AO14" s="18">
        <f t="shared" si="5"/>
        <v>0</v>
      </c>
      <c r="AP14" s="18">
        <f t="shared" ref="AP14:AS14" si="66">IF(OR(L15=""),"",(L15-L14)*100)</f>
        <v>2480.00000000029</v>
      </c>
      <c r="AQ14" s="18">
        <f t="shared" si="66"/>
        <v>0</v>
      </c>
      <c r="AR14" s="18">
        <f t="shared" si="66"/>
        <v>2359.99999999913</v>
      </c>
      <c r="AS14" s="18">
        <f t="shared" si="66"/>
        <v>2289.99999999942</v>
      </c>
      <c r="AT14" s="18">
        <f t="shared" si="7"/>
        <v>7129.99999999884</v>
      </c>
      <c r="AU14" s="18">
        <f t="shared" ref="AU14:AY14" si="67">IF(OR(P15=""),"",(P15-P14)*1000)</f>
        <v>199.999999999818</v>
      </c>
      <c r="AV14" s="18">
        <f t="shared" si="67"/>
        <v>0</v>
      </c>
      <c r="AW14" s="18">
        <f t="shared" si="67"/>
        <v>4400.00000000055</v>
      </c>
      <c r="AX14" s="18">
        <f t="shared" si="67"/>
        <v>0</v>
      </c>
      <c r="AY14" s="18">
        <f t="shared" si="67"/>
        <v>9100.00000000036</v>
      </c>
      <c r="AZ14" s="18">
        <f t="shared" si="9"/>
        <v>13700.0000000007</v>
      </c>
      <c r="BA14" s="18">
        <f t="shared" si="24"/>
        <v>9199.99999999709</v>
      </c>
      <c r="BB14" s="18">
        <f t="shared" si="25"/>
        <v>1040</v>
      </c>
      <c r="BC14" s="18">
        <f t="shared" si="12"/>
        <v>1467.99999999988</v>
      </c>
      <c r="BD14" s="18">
        <f t="shared" si="10"/>
        <v>14785.9999999902</v>
      </c>
      <c r="BE14" s="18">
        <f t="shared" si="26"/>
        <v>56899.9999999869</v>
      </c>
      <c r="BF14" s="18">
        <f t="shared" si="27"/>
        <v>51.2000000000044</v>
      </c>
      <c r="BG14" s="21">
        <f t="shared" si="13"/>
        <v>0.297873008726721</v>
      </c>
      <c r="BH14" s="21">
        <f t="shared" si="14"/>
        <v>0.0501306139115605</v>
      </c>
      <c r="BI14" s="21">
        <f t="shared" si="15"/>
        <v>0</v>
      </c>
      <c r="BJ14" s="21">
        <f t="shared" si="16"/>
        <v>0.0373257390548622</v>
      </c>
      <c r="BK14" s="21">
        <f t="shared" ref="BK14:BO14" si="68">IF(OR($AD14=0),"",AZ14/$AD14)</f>
        <v>0.0717198632611112</v>
      </c>
      <c r="BL14" s="21">
        <f t="shared" si="68"/>
        <v>0.0481622439417503</v>
      </c>
      <c r="BM14" s="21">
        <f t="shared" si="68"/>
        <v>0.00544442757602567</v>
      </c>
      <c r="BN14" s="21">
        <f t="shared" si="68"/>
        <v>0.00768501892462024</v>
      </c>
      <c r="BO14" s="21">
        <f t="shared" si="68"/>
        <v>0.0774051020567904</v>
      </c>
    </row>
    <row r="15" spans="1:67">
      <c r="A15" s="9">
        <f t="shared" si="11"/>
        <v>44328</v>
      </c>
      <c r="B15" s="10">
        <v>16255.06</v>
      </c>
      <c r="C15" s="8">
        <v>88581.8</v>
      </c>
      <c r="D15" s="8">
        <v>56713.2</v>
      </c>
      <c r="E15" s="8">
        <v>56204.9</v>
      </c>
      <c r="F15" s="8">
        <v>4607.61</v>
      </c>
      <c r="G15" s="8">
        <v>110799.3</v>
      </c>
      <c r="H15" s="8">
        <v>5596.3</v>
      </c>
      <c r="I15" s="8">
        <v>2566.3</v>
      </c>
      <c r="J15" s="8">
        <v>967</v>
      </c>
      <c r="K15" s="8">
        <v>56</v>
      </c>
      <c r="L15" s="8">
        <v>89206.3</v>
      </c>
      <c r="M15" s="8">
        <v>61202.3</v>
      </c>
      <c r="N15" s="8">
        <v>70767.9</v>
      </c>
      <c r="O15" s="8">
        <v>101123.7</v>
      </c>
      <c r="P15" s="8">
        <v>5328.2</v>
      </c>
      <c r="Q15" s="8">
        <v>7182.8</v>
      </c>
      <c r="R15" s="8">
        <v>4502.3</v>
      </c>
      <c r="S15" s="8">
        <v>4993.6</v>
      </c>
      <c r="T15" s="8">
        <v>6510.6</v>
      </c>
      <c r="U15" s="8">
        <v>17007.3</v>
      </c>
      <c r="V15" s="8">
        <v>49999.1</v>
      </c>
      <c r="W15" s="8">
        <v>51026.8</v>
      </c>
      <c r="X15" s="8">
        <v>1777.7</v>
      </c>
      <c r="Y15" s="8">
        <v>1489.7</v>
      </c>
      <c r="Z15" s="16">
        <f t="shared" si="18"/>
        <v>54294.2</v>
      </c>
      <c r="AA15" s="8">
        <v>59800.4</v>
      </c>
      <c r="AB15" s="14">
        <v>2978</v>
      </c>
      <c r="AC15" s="7">
        <f t="shared" si="19"/>
        <v>62778.4</v>
      </c>
      <c r="AD15" s="17">
        <v>200532</v>
      </c>
      <c r="AE15" s="18">
        <f t="shared" ref="AE15:AI15" si="69">IF(OR(C16=""),"",(C16-C15)*80)</f>
        <v>2631.99999999953</v>
      </c>
      <c r="AF15" s="18">
        <f t="shared" si="69"/>
        <v>2440</v>
      </c>
      <c r="AG15" s="18">
        <f t="shared" si="69"/>
        <v>2367.99999999988</v>
      </c>
      <c r="AH15" s="18">
        <f t="shared" si="69"/>
        <v>467.200000000012</v>
      </c>
      <c r="AI15" s="18">
        <f t="shared" si="69"/>
        <v>2191.99999999953</v>
      </c>
      <c r="AJ15" s="18">
        <f t="shared" si="3"/>
        <v>10099.199999999</v>
      </c>
      <c r="AK15" s="18">
        <f t="shared" ref="AK15:AN15" si="70">IF(OR(H16=""),"",(H16-H15)*80)</f>
        <v>0</v>
      </c>
      <c r="AL15" s="18">
        <f t="shared" si="70"/>
        <v>0</v>
      </c>
      <c r="AM15" s="18">
        <f t="shared" si="70"/>
        <v>0</v>
      </c>
      <c r="AN15" s="18">
        <f t="shared" si="70"/>
        <v>0</v>
      </c>
      <c r="AO15" s="18">
        <f t="shared" si="5"/>
        <v>0</v>
      </c>
      <c r="AP15" s="18">
        <f t="shared" ref="AP15:AS15" si="71">IF(OR(L16=""),"",(L16-L15)*100)</f>
        <v>2789.99999999942</v>
      </c>
      <c r="AQ15" s="18">
        <f t="shared" si="71"/>
        <v>0</v>
      </c>
      <c r="AR15" s="18">
        <f t="shared" si="71"/>
        <v>2210.00000000058</v>
      </c>
      <c r="AS15" s="18">
        <f t="shared" si="71"/>
        <v>2360.00000000058</v>
      </c>
      <c r="AT15" s="18">
        <f t="shared" si="7"/>
        <v>7360.00000000058</v>
      </c>
      <c r="AU15" s="18">
        <f t="shared" ref="AU15:AY15" si="72">IF(OR(P16=""),"",(P16-P15)*1000)</f>
        <v>900.000000000546</v>
      </c>
      <c r="AV15" s="18">
        <f t="shared" si="72"/>
        <v>0</v>
      </c>
      <c r="AW15" s="18">
        <f t="shared" si="72"/>
        <v>3199.99999999982</v>
      </c>
      <c r="AX15" s="18">
        <f t="shared" si="72"/>
        <v>0</v>
      </c>
      <c r="AY15" s="18">
        <f t="shared" si="72"/>
        <v>9000</v>
      </c>
      <c r="AZ15" s="18">
        <f t="shared" si="9"/>
        <v>13100.0000000004</v>
      </c>
      <c r="BA15" s="18">
        <f t="shared" si="24"/>
        <v>9400.00000000146</v>
      </c>
      <c r="BB15" s="18">
        <f t="shared" si="25"/>
        <v>1087.99999999988</v>
      </c>
      <c r="BC15" s="18">
        <f t="shared" si="12"/>
        <v>1208.00000000017</v>
      </c>
      <c r="BD15" s="18">
        <f t="shared" si="10"/>
        <v>13544.7999999978</v>
      </c>
      <c r="BE15" s="18">
        <f t="shared" si="26"/>
        <v>55799.9999999993</v>
      </c>
      <c r="BF15" s="18">
        <f t="shared" si="27"/>
        <v>51.9000000000015</v>
      </c>
      <c r="BG15" s="21">
        <f t="shared" si="13"/>
        <v>0.278259828855241</v>
      </c>
      <c r="BH15" s="21">
        <f t="shared" si="14"/>
        <v>0.0503620369816237</v>
      </c>
      <c r="BI15" s="21">
        <f t="shared" si="15"/>
        <v>0</v>
      </c>
      <c r="BJ15" s="21">
        <f t="shared" si="16"/>
        <v>0.036702371691304</v>
      </c>
      <c r="BK15" s="21">
        <f t="shared" ref="BK15:BO15" si="73">IF(OR($AD15=0),"",AZ15/$AD15)</f>
        <v>0.0653262322222905</v>
      </c>
      <c r="BL15" s="21">
        <f t="shared" si="73"/>
        <v>0.0468753116709625</v>
      </c>
      <c r="BM15" s="21">
        <f t="shared" si="73"/>
        <v>0.00542556798914828</v>
      </c>
      <c r="BN15" s="21">
        <f t="shared" si="73"/>
        <v>0.00602397622324704</v>
      </c>
      <c r="BO15" s="21">
        <f t="shared" si="73"/>
        <v>0.0675443320766653</v>
      </c>
    </row>
    <row r="16" spans="1:67">
      <c r="A16" s="9">
        <f t="shared" si="11"/>
        <v>44329</v>
      </c>
      <c r="B16" s="10">
        <v>16260.64</v>
      </c>
      <c r="C16" s="8">
        <v>88614.7</v>
      </c>
      <c r="D16" s="8">
        <v>56743.7</v>
      </c>
      <c r="E16" s="8">
        <v>56234.5</v>
      </c>
      <c r="F16" s="8">
        <v>4613.45</v>
      </c>
      <c r="G16" s="8">
        <v>110826.7</v>
      </c>
      <c r="H16" s="8">
        <v>5596.3</v>
      </c>
      <c r="I16" s="8">
        <v>2566.3</v>
      </c>
      <c r="J16" s="8">
        <v>967</v>
      </c>
      <c r="K16" s="8">
        <v>56</v>
      </c>
      <c r="L16" s="8">
        <v>89234.2</v>
      </c>
      <c r="M16" s="8">
        <v>61202.3</v>
      </c>
      <c r="N16" s="8">
        <v>70790</v>
      </c>
      <c r="O16" s="8">
        <v>101147.3</v>
      </c>
      <c r="P16" s="8">
        <v>5329.1</v>
      </c>
      <c r="Q16" s="8">
        <v>7182.8</v>
      </c>
      <c r="R16" s="8">
        <v>4505.5</v>
      </c>
      <c r="S16" s="8">
        <v>4993.6</v>
      </c>
      <c r="T16" s="8">
        <v>6519.6</v>
      </c>
      <c r="U16" s="8">
        <v>17012</v>
      </c>
      <c r="V16" s="8">
        <v>50012.7</v>
      </c>
      <c r="W16" s="8">
        <v>51040.5</v>
      </c>
      <c r="X16" s="8">
        <v>1785.9</v>
      </c>
      <c r="Y16" s="8">
        <v>1498</v>
      </c>
      <c r="Z16" s="16">
        <f t="shared" si="18"/>
        <v>54324.4</v>
      </c>
      <c r="AA16" s="8">
        <v>59844.3</v>
      </c>
      <c r="AB16" s="14">
        <v>2986</v>
      </c>
      <c r="AC16" s="7">
        <f t="shared" si="19"/>
        <v>62830.3</v>
      </c>
      <c r="AD16" s="17">
        <v>204116</v>
      </c>
      <c r="AE16" s="18">
        <f t="shared" ref="AE16:AI16" si="74">IF(OR(C17=""),"",(C17-C16)*80)</f>
        <v>3752.0000000007</v>
      </c>
      <c r="AF16" s="18">
        <f t="shared" si="74"/>
        <v>2744.00000000023</v>
      </c>
      <c r="AG16" s="18">
        <f t="shared" si="74"/>
        <v>2200</v>
      </c>
      <c r="AH16" s="18">
        <f t="shared" si="74"/>
        <v>4.00000000001455</v>
      </c>
      <c r="AI16" s="18">
        <f t="shared" si="74"/>
        <v>2144.00000000023</v>
      </c>
      <c r="AJ16" s="18">
        <f t="shared" si="3"/>
        <v>10844.0000000012</v>
      </c>
      <c r="AK16" s="18">
        <f t="shared" ref="AK16:AN16" si="75">IF(OR(H17=""),"",(H17-H16)*80)</f>
        <v>0</v>
      </c>
      <c r="AL16" s="18">
        <f t="shared" si="75"/>
        <v>0</v>
      </c>
      <c r="AM16" s="18">
        <f t="shared" si="75"/>
        <v>0</v>
      </c>
      <c r="AN16" s="18">
        <f t="shared" si="75"/>
        <v>0</v>
      </c>
      <c r="AO16" s="18">
        <f t="shared" si="5"/>
        <v>0</v>
      </c>
      <c r="AP16" s="18">
        <f t="shared" ref="AP16:AS16" si="76">IF(OR(L17=""),"",(L17-L16)*100)</f>
        <v>2930.00000000029</v>
      </c>
      <c r="AQ16" s="18">
        <f t="shared" si="76"/>
        <v>0</v>
      </c>
      <c r="AR16" s="18">
        <f t="shared" si="76"/>
        <v>2500</v>
      </c>
      <c r="AS16" s="18">
        <f t="shared" si="76"/>
        <v>2439.99999999942</v>
      </c>
      <c r="AT16" s="18">
        <f t="shared" si="7"/>
        <v>7869.99999999971</v>
      </c>
      <c r="AU16" s="18">
        <f t="shared" ref="AU16:AY16" si="77">IF(OR(P17=""),"",(P17-P16)*1000)</f>
        <v>299.999999999272</v>
      </c>
      <c r="AV16" s="18">
        <f t="shared" si="77"/>
        <v>0</v>
      </c>
      <c r="AW16" s="18">
        <f t="shared" si="77"/>
        <v>4899.99999999964</v>
      </c>
      <c r="AX16" s="18">
        <f t="shared" si="77"/>
        <v>0</v>
      </c>
      <c r="AY16" s="18">
        <f t="shared" si="77"/>
        <v>8099.99999999945</v>
      </c>
      <c r="AZ16" s="18">
        <f t="shared" si="9"/>
        <v>13299.9999999984</v>
      </c>
      <c r="BA16" s="18">
        <f t="shared" si="24"/>
        <v>9800.00000000291</v>
      </c>
      <c r="BB16" s="18">
        <f t="shared" si="25"/>
        <v>640</v>
      </c>
      <c r="BC16" s="18">
        <f t="shared" si="12"/>
        <v>1363.99999999994</v>
      </c>
      <c r="BD16" s="18">
        <f t="shared" si="10"/>
        <v>12081.9999999994</v>
      </c>
      <c r="BE16" s="18">
        <f t="shared" si="26"/>
        <v>55900.0000000015</v>
      </c>
      <c r="BF16" s="18">
        <f t="shared" si="27"/>
        <v>61.1999999999971</v>
      </c>
      <c r="BG16" s="21">
        <f t="shared" si="13"/>
        <v>0.273863881322392</v>
      </c>
      <c r="BH16" s="21">
        <f t="shared" si="14"/>
        <v>0.0531266534715612</v>
      </c>
      <c r="BI16" s="21">
        <f t="shared" si="15"/>
        <v>0</v>
      </c>
      <c r="BJ16" s="21">
        <f t="shared" si="16"/>
        <v>0.0385565070842056</v>
      </c>
      <c r="BK16" s="21">
        <f t="shared" ref="BK16:BO16" si="78">IF(OR($AD16=0),"",AZ16/$AD16)</f>
        <v>0.0651590272198082</v>
      </c>
      <c r="BL16" s="21">
        <f t="shared" si="78"/>
        <v>0.048011914793563</v>
      </c>
      <c r="BM16" s="21">
        <f t="shared" si="78"/>
        <v>0.00313547198651747</v>
      </c>
      <c r="BN16" s="21">
        <f t="shared" si="78"/>
        <v>0.00668247467126507</v>
      </c>
      <c r="BO16" s="21">
        <f t="shared" si="78"/>
        <v>0.0591918320954719</v>
      </c>
    </row>
    <row r="17" spans="1:67">
      <c r="A17" s="9">
        <f t="shared" si="11"/>
        <v>44330</v>
      </c>
      <c r="B17" s="10">
        <v>16266.23</v>
      </c>
      <c r="C17" s="8">
        <v>88661.6</v>
      </c>
      <c r="D17" s="8">
        <v>56778</v>
      </c>
      <c r="E17" s="8">
        <v>56262</v>
      </c>
      <c r="F17" s="8">
        <v>4613.5</v>
      </c>
      <c r="G17" s="8">
        <v>110853.5</v>
      </c>
      <c r="H17" s="8">
        <v>5596.3</v>
      </c>
      <c r="I17" s="8">
        <v>2566.3</v>
      </c>
      <c r="J17" s="8">
        <v>967</v>
      </c>
      <c r="K17" s="8">
        <v>56</v>
      </c>
      <c r="L17" s="8">
        <v>89263.5</v>
      </c>
      <c r="M17" s="8">
        <v>61202.3</v>
      </c>
      <c r="N17" s="8">
        <v>70815</v>
      </c>
      <c r="O17" s="8">
        <v>101171.7</v>
      </c>
      <c r="P17" s="8">
        <v>5329.4</v>
      </c>
      <c r="Q17" s="8">
        <v>7182.8</v>
      </c>
      <c r="R17" s="8">
        <v>4510.4</v>
      </c>
      <c r="S17" s="8">
        <v>4993.6</v>
      </c>
      <c r="T17" s="8">
        <v>6527.7</v>
      </c>
      <c r="U17" s="8">
        <v>17016.9</v>
      </c>
      <c r="V17" s="8">
        <v>50020.7</v>
      </c>
      <c r="W17" s="8">
        <v>51057.3</v>
      </c>
      <c r="X17" s="8">
        <v>1794.1</v>
      </c>
      <c r="Y17" s="8">
        <v>1507.1</v>
      </c>
      <c r="Z17" s="16">
        <f t="shared" si="18"/>
        <v>54358.5</v>
      </c>
      <c r="AA17" s="8">
        <v>59890.5</v>
      </c>
      <c r="AB17" s="14">
        <v>3001</v>
      </c>
      <c r="AC17" s="7">
        <f t="shared" si="19"/>
        <v>62891.5</v>
      </c>
      <c r="AD17" s="17">
        <v>208218</v>
      </c>
      <c r="AE17" s="18">
        <f t="shared" ref="AE17:AI17" si="79">IF(OR(C18=""),"",(C18-C17)*80)</f>
        <v>3863.99999999907</v>
      </c>
      <c r="AF17" s="18">
        <f t="shared" si="79"/>
        <v>2775.99999999977</v>
      </c>
      <c r="AG17" s="18">
        <f t="shared" si="79"/>
        <v>2807.99999999988</v>
      </c>
      <c r="AH17" s="18">
        <f t="shared" si="79"/>
        <v>0</v>
      </c>
      <c r="AI17" s="18">
        <f t="shared" si="79"/>
        <v>2095.99999999977</v>
      </c>
      <c r="AJ17" s="18">
        <f t="shared" si="3"/>
        <v>11543.9999999985</v>
      </c>
      <c r="AK17" s="18">
        <f t="shared" ref="AK17:AN17" si="80">IF(OR(H18=""),"",(H18-H17)*80)</f>
        <v>0</v>
      </c>
      <c r="AL17" s="18">
        <f t="shared" si="80"/>
        <v>0</v>
      </c>
      <c r="AM17" s="18">
        <f t="shared" si="80"/>
        <v>0</v>
      </c>
      <c r="AN17" s="18">
        <f t="shared" si="80"/>
        <v>0</v>
      </c>
      <c r="AO17" s="18">
        <f t="shared" si="5"/>
        <v>0</v>
      </c>
      <c r="AP17" s="18">
        <f t="shared" ref="AP17:AS17" si="81">IF(OR(L18=""),"",(L18-L17)*100)</f>
        <v>2010.00000000058</v>
      </c>
      <c r="AQ17" s="18">
        <f t="shared" si="81"/>
        <v>0</v>
      </c>
      <c r="AR17" s="18">
        <f t="shared" si="81"/>
        <v>2539.99999999942</v>
      </c>
      <c r="AS17" s="18">
        <f t="shared" si="81"/>
        <v>2350</v>
      </c>
      <c r="AT17" s="18">
        <f t="shared" si="7"/>
        <v>6900</v>
      </c>
      <c r="AU17" s="18">
        <f t="shared" ref="AU17:AY17" si="82">IF(OR(P18=""),"",(P18-P17)*1000)</f>
        <v>3100.00000000036</v>
      </c>
      <c r="AV17" s="18">
        <f t="shared" si="82"/>
        <v>0</v>
      </c>
      <c r="AW17" s="18">
        <f t="shared" si="82"/>
        <v>4700.00000000073</v>
      </c>
      <c r="AX17" s="18">
        <f t="shared" si="82"/>
        <v>0</v>
      </c>
      <c r="AY17" s="18">
        <f t="shared" si="82"/>
        <v>2199.99999999982</v>
      </c>
      <c r="AZ17" s="18">
        <f t="shared" si="9"/>
        <v>10000.0000000009</v>
      </c>
      <c r="BA17" s="18">
        <f t="shared" si="24"/>
        <v>9799.99999999563</v>
      </c>
      <c r="BB17" s="18">
        <f t="shared" si="25"/>
        <v>928.000000000466</v>
      </c>
      <c r="BC17" s="18">
        <f t="shared" si="12"/>
        <v>1388.00000000017</v>
      </c>
      <c r="BD17" s="18">
        <f t="shared" si="10"/>
        <v>16240.0000000072</v>
      </c>
      <c r="BE17" s="18">
        <f t="shared" si="26"/>
        <v>56800.0000000029</v>
      </c>
      <c r="BF17" s="18">
        <f t="shared" si="27"/>
        <v>54.0999999999985</v>
      </c>
      <c r="BG17" s="21">
        <f t="shared" si="13"/>
        <v>0.272791017107084</v>
      </c>
      <c r="BH17" s="21">
        <f t="shared" si="14"/>
        <v>0.0554418926317537</v>
      </c>
      <c r="BI17" s="21">
        <f t="shared" si="15"/>
        <v>0</v>
      </c>
      <c r="BJ17" s="21">
        <f t="shared" si="16"/>
        <v>0.0331383453880068</v>
      </c>
      <c r="BK17" s="21">
        <f t="shared" ref="BK17:BO17" si="83">IF(OR($AD17=0),"",AZ17/$AD17)</f>
        <v>0.0480265875188548</v>
      </c>
      <c r="BL17" s="21">
        <f t="shared" si="83"/>
        <v>0.0470660557684525</v>
      </c>
      <c r="BM17" s="21">
        <f t="shared" si="83"/>
        <v>0.00445686732175156</v>
      </c>
      <c r="BN17" s="21">
        <f t="shared" si="83"/>
        <v>0.00666609034761728</v>
      </c>
      <c r="BO17" s="21">
        <f t="shared" si="83"/>
        <v>0.0779951781306479</v>
      </c>
    </row>
    <row r="18" spans="1:67">
      <c r="A18" s="9">
        <f t="shared" si="11"/>
        <v>44331</v>
      </c>
      <c r="B18" s="10">
        <v>16271.91</v>
      </c>
      <c r="C18" s="8">
        <v>88709.9</v>
      </c>
      <c r="D18" s="8">
        <v>56812.7</v>
      </c>
      <c r="E18" s="8">
        <v>56297.1</v>
      </c>
      <c r="F18" s="8">
        <v>4613.5</v>
      </c>
      <c r="G18" s="8">
        <v>110879.7</v>
      </c>
      <c r="H18" s="8">
        <v>5596.3</v>
      </c>
      <c r="I18" s="8">
        <v>2566.3</v>
      </c>
      <c r="J18" s="8">
        <v>967</v>
      </c>
      <c r="K18" s="8">
        <v>56</v>
      </c>
      <c r="L18" s="8">
        <v>89283.6</v>
      </c>
      <c r="M18" s="8">
        <v>61202.3</v>
      </c>
      <c r="N18" s="8">
        <v>70840.4</v>
      </c>
      <c r="O18" s="8">
        <v>101195.2</v>
      </c>
      <c r="P18" s="8">
        <v>5332.5</v>
      </c>
      <c r="Q18" s="8">
        <v>7182.8</v>
      </c>
      <c r="R18" s="8">
        <v>4515.1</v>
      </c>
      <c r="S18" s="8">
        <v>4993.6</v>
      </c>
      <c r="T18" s="8">
        <v>6529.9</v>
      </c>
      <c r="U18" s="8">
        <v>17021.8</v>
      </c>
      <c r="V18" s="8">
        <v>50032.3</v>
      </c>
      <c r="W18" s="8">
        <v>51073.9</v>
      </c>
      <c r="X18" s="8">
        <v>1802.5</v>
      </c>
      <c r="Y18" s="8">
        <v>1516.8</v>
      </c>
      <c r="Z18" s="16">
        <f t="shared" si="18"/>
        <v>54393.2</v>
      </c>
      <c r="AA18" s="8">
        <v>59935.6</v>
      </c>
      <c r="AB18" s="14">
        <v>3010</v>
      </c>
      <c r="AC18" s="7">
        <f t="shared" si="19"/>
        <v>62945.6</v>
      </c>
      <c r="AD18" s="17">
        <v>207198</v>
      </c>
      <c r="AE18" s="18">
        <f t="shared" ref="AE18:AI18" si="84">IF(OR(C19=""),"",(C19-C18)*80)</f>
        <v>3872.0000000007</v>
      </c>
      <c r="AF18" s="18">
        <f t="shared" si="84"/>
        <v>2968.00000000047</v>
      </c>
      <c r="AG18" s="18">
        <f t="shared" si="84"/>
        <v>2200</v>
      </c>
      <c r="AH18" s="18">
        <f t="shared" si="84"/>
        <v>9.59999999999127</v>
      </c>
      <c r="AI18" s="18">
        <f t="shared" si="84"/>
        <v>1840</v>
      </c>
      <c r="AJ18" s="18">
        <f t="shared" si="3"/>
        <v>10889.6000000012</v>
      </c>
      <c r="AK18" s="18">
        <f t="shared" ref="AK18:AN18" si="85">IF(OR(H19=""),"",(H19-H18)*80)</f>
        <v>0</v>
      </c>
      <c r="AL18" s="18">
        <f t="shared" si="85"/>
        <v>0</v>
      </c>
      <c r="AM18" s="18">
        <f t="shared" si="85"/>
        <v>0</v>
      </c>
      <c r="AN18" s="18">
        <f t="shared" si="85"/>
        <v>0</v>
      </c>
      <c r="AO18" s="18">
        <f t="shared" si="5"/>
        <v>0</v>
      </c>
      <c r="AP18" s="18">
        <f t="shared" ref="AP18:AS18" si="86">IF(OR(L19=""),"",(L19-L18)*100)</f>
        <v>4039.99999999942</v>
      </c>
      <c r="AQ18" s="18">
        <f t="shared" si="86"/>
        <v>0</v>
      </c>
      <c r="AR18" s="18">
        <f t="shared" si="86"/>
        <v>2550</v>
      </c>
      <c r="AS18" s="18">
        <f t="shared" si="86"/>
        <v>2430.00000000029</v>
      </c>
      <c r="AT18" s="18">
        <f t="shared" si="7"/>
        <v>9019.99999999971</v>
      </c>
      <c r="AU18" s="18">
        <f t="shared" ref="AU18:AY18" si="87">IF(OR(P19=""),"",(P19-P18)*1000)</f>
        <v>0</v>
      </c>
      <c r="AV18" s="18">
        <f t="shared" si="87"/>
        <v>0</v>
      </c>
      <c r="AW18" s="18">
        <f t="shared" si="87"/>
        <v>4599.99999999945</v>
      </c>
      <c r="AX18" s="18">
        <f t="shared" si="87"/>
        <v>0</v>
      </c>
      <c r="AY18" s="18">
        <f t="shared" si="87"/>
        <v>9100.00000000036</v>
      </c>
      <c r="AZ18" s="18">
        <f t="shared" si="9"/>
        <v>13699.9999999998</v>
      </c>
      <c r="BA18" s="18">
        <f t="shared" si="24"/>
        <v>10200.0000000044</v>
      </c>
      <c r="BB18" s="18">
        <f t="shared" si="25"/>
        <v>1087.99999999988</v>
      </c>
      <c r="BC18" s="18">
        <f t="shared" si="12"/>
        <v>1391.99999999983</v>
      </c>
      <c r="BD18" s="18">
        <f t="shared" si="10"/>
        <v>11310.3999999974</v>
      </c>
      <c r="BE18" s="18">
        <f t="shared" si="26"/>
        <v>57600.0000000022</v>
      </c>
      <c r="BF18" s="18">
        <f t="shared" si="27"/>
        <v>56.2000000000044</v>
      </c>
      <c r="BG18" s="21">
        <f t="shared" si="13"/>
        <v>0.277994961341336</v>
      </c>
      <c r="BH18" s="21">
        <f t="shared" si="14"/>
        <v>0.0525564918580351</v>
      </c>
      <c r="BI18" s="21">
        <f t="shared" si="15"/>
        <v>0</v>
      </c>
      <c r="BJ18" s="21">
        <f t="shared" si="16"/>
        <v>0.0435332387378242</v>
      </c>
      <c r="BK18" s="21">
        <f t="shared" ref="BK18:BO18" si="88">IF(OR($AD18=0),"",AZ18/$AD18)</f>
        <v>0.0661203293468075</v>
      </c>
      <c r="BL18" s="21">
        <f t="shared" si="88"/>
        <v>0.0492282744042142</v>
      </c>
      <c r="BM18" s="21">
        <f t="shared" si="88"/>
        <v>0.0052510159364467</v>
      </c>
      <c r="BN18" s="21">
        <f t="shared" si="88"/>
        <v>0.00671821156574786</v>
      </c>
      <c r="BO18" s="21">
        <f t="shared" si="88"/>
        <v>0.0545873994922607</v>
      </c>
    </row>
    <row r="19" spans="1:67">
      <c r="A19" s="9">
        <f t="shared" si="11"/>
        <v>44332</v>
      </c>
      <c r="B19" s="10">
        <v>16277.67</v>
      </c>
      <c r="C19" s="8">
        <v>88758.3</v>
      </c>
      <c r="D19" s="8">
        <v>56849.8</v>
      </c>
      <c r="E19" s="8">
        <v>56324.6</v>
      </c>
      <c r="F19" s="8">
        <v>4613.62</v>
      </c>
      <c r="G19" s="8">
        <v>110902.7</v>
      </c>
      <c r="H19" s="8">
        <v>5596.3</v>
      </c>
      <c r="I19" s="8">
        <v>2566.3</v>
      </c>
      <c r="J19" s="8">
        <v>967</v>
      </c>
      <c r="K19" s="8">
        <v>56</v>
      </c>
      <c r="L19" s="8">
        <v>89324</v>
      </c>
      <c r="M19" s="8">
        <v>61202.3</v>
      </c>
      <c r="N19" s="8">
        <v>70865.9</v>
      </c>
      <c r="O19" s="8">
        <v>101219.5</v>
      </c>
      <c r="P19" s="8">
        <v>5332.5</v>
      </c>
      <c r="Q19" s="8">
        <v>7182.8</v>
      </c>
      <c r="R19" s="8">
        <v>4519.7</v>
      </c>
      <c r="S19" s="8">
        <v>4993.6</v>
      </c>
      <c r="T19" s="8">
        <v>6539</v>
      </c>
      <c r="U19" s="8">
        <v>17026.9</v>
      </c>
      <c r="V19" s="8">
        <v>50045.9</v>
      </c>
      <c r="W19" s="8">
        <v>51090.7</v>
      </c>
      <c r="X19" s="8">
        <v>1810.9</v>
      </c>
      <c r="Y19" s="8">
        <v>1526.4</v>
      </c>
      <c r="Z19" s="16">
        <f t="shared" si="18"/>
        <v>54428</v>
      </c>
      <c r="AA19" s="8">
        <v>59982.8</v>
      </c>
      <c r="AB19" s="14">
        <v>3019</v>
      </c>
      <c r="AC19" s="7">
        <f t="shared" si="19"/>
        <v>63001.8</v>
      </c>
      <c r="AD19" s="17">
        <v>208690</v>
      </c>
      <c r="AE19" s="18">
        <f t="shared" ref="AE19:AI19" si="89">IF(OR(C20=""),"",(C20-C19)*80)</f>
        <v>3695.99999999977</v>
      </c>
      <c r="AF19" s="18">
        <f t="shared" si="89"/>
        <v>0</v>
      </c>
      <c r="AG19" s="18">
        <f t="shared" si="89"/>
        <v>2560</v>
      </c>
      <c r="AH19" s="18">
        <f t="shared" si="89"/>
        <v>4.00000000001455</v>
      </c>
      <c r="AI19" s="18">
        <f t="shared" si="89"/>
        <v>2095.99999999977</v>
      </c>
      <c r="AJ19" s="18">
        <f t="shared" si="3"/>
        <v>8355.99999999955</v>
      </c>
      <c r="AK19" s="18">
        <f t="shared" ref="AK19:AN19" si="90">IF(OR(H20=""),"",(H20-H19)*80)</f>
        <v>0</v>
      </c>
      <c r="AL19" s="18">
        <f t="shared" si="90"/>
        <v>0</v>
      </c>
      <c r="AM19" s="18">
        <f t="shared" si="90"/>
        <v>0</v>
      </c>
      <c r="AN19" s="18">
        <f t="shared" si="90"/>
        <v>0</v>
      </c>
      <c r="AO19" s="18">
        <f t="shared" si="5"/>
        <v>0</v>
      </c>
      <c r="AP19" s="18">
        <f t="shared" ref="AP19:AS19" si="91">IF(OR(L20=""),"",(L20-L19)*100)</f>
        <v>3089.99999999942</v>
      </c>
      <c r="AQ19" s="18">
        <f t="shared" si="91"/>
        <v>9.99999999985448</v>
      </c>
      <c r="AR19" s="18">
        <f t="shared" si="91"/>
        <v>2480.00000000029</v>
      </c>
      <c r="AS19" s="18">
        <f t="shared" si="91"/>
        <v>2360.00000000058</v>
      </c>
      <c r="AT19" s="18">
        <f t="shared" si="7"/>
        <v>7940.00000000015</v>
      </c>
      <c r="AU19" s="18">
        <f t="shared" ref="AU19:AY19" si="92">IF(OR(P20=""),"",(P20-P19)*1000)</f>
        <v>100.000000000364</v>
      </c>
      <c r="AV19" s="18">
        <f t="shared" si="92"/>
        <v>0</v>
      </c>
      <c r="AW19" s="18">
        <f t="shared" si="92"/>
        <v>4500</v>
      </c>
      <c r="AX19" s="18">
        <f t="shared" si="92"/>
        <v>0</v>
      </c>
      <c r="AY19" s="18">
        <f t="shared" si="92"/>
        <v>8199.99999999982</v>
      </c>
      <c r="AZ19" s="18">
        <f t="shared" si="9"/>
        <v>12800.0000000002</v>
      </c>
      <c r="BA19" s="18">
        <f t="shared" si="24"/>
        <v>9799.99999999563</v>
      </c>
      <c r="BB19" s="18">
        <f t="shared" si="25"/>
        <v>1087.99999999988</v>
      </c>
      <c r="BC19" s="18">
        <f t="shared" si="12"/>
        <v>1359.99999999971</v>
      </c>
      <c r="BD19" s="18">
        <f t="shared" si="10"/>
        <v>12156.0000000085</v>
      </c>
      <c r="BE19" s="18">
        <f t="shared" si="26"/>
        <v>53500.0000000036</v>
      </c>
      <c r="BF19" s="18">
        <f t="shared" si="27"/>
        <v>55.7999999999956</v>
      </c>
      <c r="BG19" s="21">
        <f t="shared" si="13"/>
        <v>0.256361109780074</v>
      </c>
      <c r="BH19" s="21">
        <f t="shared" si="14"/>
        <v>0.0400402510901315</v>
      </c>
      <c r="BI19" s="21">
        <f t="shared" si="15"/>
        <v>0</v>
      </c>
      <c r="BJ19" s="21">
        <f t="shared" si="16"/>
        <v>0.0380468637692278</v>
      </c>
      <c r="BK19" s="21">
        <f t="shared" ref="BK19:BO19" si="93">IF(OR($AD19=0),"",AZ19/$AD19)</f>
        <v>0.061334994489435</v>
      </c>
      <c r="BL19" s="21">
        <f t="shared" si="93"/>
        <v>0.0469596051559521</v>
      </c>
      <c r="BM19" s="21">
        <f t="shared" si="93"/>
        <v>0.00521347453160134</v>
      </c>
      <c r="BN19" s="21">
        <f t="shared" si="93"/>
        <v>0.00651684316450098</v>
      </c>
      <c r="BO19" s="21">
        <f t="shared" si="93"/>
        <v>0.0582490775792253</v>
      </c>
    </row>
    <row r="20" spans="1:67">
      <c r="A20" s="9">
        <f t="shared" si="11"/>
        <v>44333</v>
      </c>
      <c r="B20" s="10">
        <v>16283.02</v>
      </c>
      <c r="C20" s="8">
        <v>88804.5</v>
      </c>
      <c r="D20" s="8">
        <v>56849.8</v>
      </c>
      <c r="E20" s="8">
        <v>56356.6</v>
      </c>
      <c r="F20" s="8">
        <v>4613.67</v>
      </c>
      <c r="G20" s="8">
        <v>110928.9</v>
      </c>
      <c r="H20" s="8">
        <v>5596.3</v>
      </c>
      <c r="I20" s="8">
        <v>2566.3</v>
      </c>
      <c r="J20" s="8">
        <v>967</v>
      </c>
      <c r="K20" s="8">
        <v>56</v>
      </c>
      <c r="L20" s="8">
        <v>89354.9</v>
      </c>
      <c r="M20" s="8">
        <v>61202.4</v>
      </c>
      <c r="N20" s="8">
        <v>70890.7</v>
      </c>
      <c r="O20" s="8">
        <v>101243.1</v>
      </c>
      <c r="P20" s="8">
        <v>5332.6</v>
      </c>
      <c r="Q20" s="8">
        <v>7182.8</v>
      </c>
      <c r="R20" s="8">
        <v>4524.2</v>
      </c>
      <c r="S20" s="8">
        <v>4993.6</v>
      </c>
      <c r="T20" s="8">
        <v>6547.2</v>
      </c>
      <c r="U20" s="8">
        <v>17031.8</v>
      </c>
      <c r="V20" s="8">
        <v>50059.5</v>
      </c>
      <c r="W20" s="8">
        <v>51107.1</v>
      </c>
      <c r="X20" s="8">
        <v>1819.2</v>
      </c>
      <c r="Y20" s="8">
        <v>1535.7</v>
      </c>
      <c r="Z20" s="16">
        <f t="shared" si="18"/>
        <v>54462</v>
      </c>
      <c r="AA20" s="8">
        <v>60028.6</v>
      </c>
      <c r="AB20" s="14">
        <v>3029</v>
      </c>
      <c r="AC20" s="7">
        <f t="shared" si="19"/>
        <v>63057.6</v>
      </c>
      <c r="AD20" s="17">
        <v>203373</v>
      </c>
      <c r="AE20" s="18">
        <f t="shared" ref="AE20:AI20" si="94">IF(OR(C21=""),"",(C21-C20)*80)</f>
        <v>3775.99999999977</v>
      </c>
      <c r="AF20" s="18">
        <f t="shared" si="94"/>
        <v>0</v>
      </c>
      <c r="AG20" s="18">
        <f t="shared" si="94"/>
        <v>3056.00000000035</v>
      </c>
      <c r="AH20" s="18">
        <f t="shared" si="94"/>
        <v>2.39999999997963</v>
      </c>
      <c r="AI20" s="18">
        <f t="shared" si="94"/>
        <v>2232.0000000007</v>
      </c>
      <c r="AJ20" s="18">
        <f t="shared" si="3"/>
        <v>9066.40000000079</v>
      </c>
      <c r="AK20" s="18">
        <f t="shared" ref="AK20:AN20" si="95">IF(OR(H21=""),"",(H21-H20)*80)</f>
        <v>0</v>
      </c>
      <c r="AL20" s="18">
        <f t="shared" si="95"/>
        <v>0</v>
      </c>
      <c r="AM20" s="18">
        <f t="shared" si="95"/>
        <v>0</v>
      </c>
      <c r="AN20" s="18">
        <f t="shared" si="95"/>
        <v>0</v>
      </c>
      <c r="AO20" s="18">
        <f t="shared" si="5"/>
        <v>0</v>
      </c>
      <c r="AP20" s="18">
        <f t="shared" ref="AP20:AS20" si="96">IF(OR(L21=""),"",(L21-L20)*100)</f>
        <v>3040.00000000087</v>
      </c>
      <c r="AQ20" s="18">
        <f t="shared" si="96"/>
        <v>0</v>
      </c>
      <c r="AR20" s="18">
        <f t="shared" si="96"/>
        <v>2580.00000000029</v>
      </c>
      <c r="AS20" s="18">
        <f t="shared" si="96"/>
        <v>2469.99999999971</v>
      </c>
      <c r="AT20" s="18">
        <f t="shared" si="7"/>
        <v>8090.00000000087</v>
      </c>
      <c r="AU20" s="18">
        <f t="shared" ref="AU20:AY20" si="97">IF(OR(P21=""),"",(P21-P20)*1000)</f>
        <v>1000</v>
      </c>
      <c r="AV20" s="18">
        <f t="shared" si="97"/>
        <v>0</v>
      </c>
      <c r="AW20" s="18">
        <f t="shared" si="97"/>
        <v>3500</v>
      </c>
      <c r="AX20" s="18">
        <f t="shared" si="97"/>
        <v>5000</v>
      </c>
      <c r="AY20" s="18">
        <f t="shared" si="97"/>
        <v>0</v>
      </c>
      <c r="AZ20" s="18">
        <f t="shared" si="9"/>
        <v>9500</v>
      </c>
      <c r="BA20" s="18">
        <f t="shared" si="24"/>
        <v>9800.00000000291</v>
      </c>
      <c r="BB20" s="18">
        <f t="shared" si="25"/>
        <v>1087.99999999988</v>
      </c>
      <c r="BC20" s="18">
        <f t="shared" si="12"/>
        <v>1388.00000000017</v>
      </c>
      <c r="BD20" s="18">
        <f t="shared" si="10"/>
        <v>16667.5999999903</v>
      </c>
      <c r="BE20" s="18">
        <f t="shared" si="26"/>
        <v>55599.9999999949</v>
      </c>
      <c r="BF20" s="18">
        <f t="shared" si="27"/>
        <v>54.5999999999985</v>
      </c>
      <c r="BG20" s="21">
        <f t="shared" si="13"/>
        <v>0.273389289630359</v>
      </c>
      <c r="BH20" s="21">
        <f t="shared" si="14"/>
        <v>0.0445801556745526</v>
      </c>
      <c r="BI20" s="21">
        <f t="shared" si="15"/>
        <v>0</v>
      </c>
      <c r="BJ20" s="21">
        <f t="shared" si="16"/>
        <v>0.039779125055936</v>
      </c>
      <c r="BK20" s="21">
        <f t="shared" ref="BK20:BO20" si="98">IF(OR($AD20=0),"",AZ20/$AD20)</f>
        <v>0.0467121987677814</v>
      </c>
      <c r="BL20" s="21">
        <f t="shared" si="98"/>
        <v>0.0481873208341467</v>
      </c>
      <c r="BM20" s="21">
        <f t="shared" si="98"/>
        <v>0.00534977602729902</v>
      </c>
      <c r="BN20" s="21">
        <f t="shared" si="98"/>
        <v>0.00682489809365144</v>
      </c>
      <c r="BO20" s="21">
        <f t="shared" si="98"/>
        <v>0.0819558151769914</v>
      </c>
    </row>
    <row r="21" spans="1:67">
      <c r="A21" s="9">
        <f t="shared" si="11"/>
        <v>44334</v>
      </c>
      <c r="B21" s="10">
        <v>16288.58</v>
      </c>
      <c r="C21" s="8">
        <v>88851.7</v>
      </c>
      <c r="D21" s="8">
        <v>56849.8</v>
      </c>
      <c r="E21" s="8">
        <v>56394.8</v>
      </c>
      <c r="F21" s="8">
        <v>4613.7</v>
      </c>
      <c r="G21" s="8">
        <v>110956.8</v>
      </c>
      <c r="H21" s="8">
        <v>5596.3</v>
      </c>
      <c r="I21" s="8">
        <v>2566.3</v>
      </c>
      <c r="J21" s="8">
        <v>967</v>
      </c>
      <c r="K21" s="8">
        <v>56</v>
      </c>
      <c r="L21" s="8">
        <v>89385.3</v>
      </c>
      <c r="M21" s="8">
        <v>61202.4</v>
      </c>
      <c r="N21" s="8">
        <v>70916.5</v>
      </c>
      <c r="O21" s="8">
        <v>101267.8</v>
      </c>
      <c r="P21" s="8">
        <v>5333.6</v>
      </c>
      <c r="Q21" s="8">
        <v>7182.8</v>
      </c>
      <c r="R21" s="8">
        <v>4527.7</v>
      </c>
      <c r="S21" s="8">
        <v>4998.6</v>
      </c>
      <c r="T21" s="8">
        <v>6547.2</v>
      </c>
      <c r="U21" s="8">
        <v>17036.7</v>
      </c>
      <c r="V21" s="8">
        <v>50073.1</v>
      </c>
      <c r="W21" s="8">
        <v>51124</v>
      </c>
      <c r="X21" s="8">
        <v>1827.6</v>
      </c>
      <c r="Y21" s="8">
        <v>1545.1</v>
      </c>
      <c r="Z21" s="16">
        <f t="shared" si="18"/>
        <v>54496.7</v>
      </c>
      <c r="AA21" s="8">
        <v>60075.2</v>
      </c>
      <c r="AB21" s="14">
        <v>3037</v>
      </c>
      <c r="AC21" s="7">
        <f t="shared" si="19"/>
        <v>63112.2</v>
      </c>
      <c r="AD21" s="17">
        <v>203546</v>
      </c>
      <c r="AE21" s="18">
        <f t="shared" ref="AE21:AI21" si="99">IF(OR(C22=""),"",(C22-C21)*80)</f>
        <v>3768.00000000047</v>
      </c>
      <c r="AF21" s="18">
        <f t="shared" si="99"/>
        <v>1495.99999999977</v>
      </c>
      <c r="AG21" s="18">
        <f t="shared" si="99"/>
        <v>2071.99999999953</v>
      </c>
      <c r="AH21" s="18">
        <f t="shared" si="99"/>
        <v>6.39999999999418</v>
      </c>
      <c r="AI21" s="18">
        <f t="shared" si="99"/>
        <v>1984.00000000023</v>
      </c>
      <c r="AJ21" s="18">
        <f t="shared" si="3"/>
        <v>9326.39999999999</v>
      </c>
      <c r="AK21" s="18">
        <f t="shared" ref="AK21:AN21" si="100">IF(OR(H22=""),"",(H22-H21)*80)</f>
        <v>0</v>
      </c>
      <c r="AL21" s="18">
        <f t="shared" si="100"/>
        <v>0</v>
      </c>
      <c r="AM21" s="18">
        <f t="shared" si="100"/>
        <v>0</v>
      </c>
      <c r="AN21" s="18">
        <f t="shared" si="100"/>
        <v>0</v>
      </c>
      <c r="AO21" s="18">
        <f t="shared" si="5"/>
        <v>0</v>
      </c>
      <c r="AP21" s="18">
        <f t="shared" ref="AP21:AS21" si="101">IF(OR(L22=""),"",(L22-L21)*100)</f>
        <v>2589.99999999942</v>
      </c>
      <c r="AQ21" s="18">
        <f t="shared" si="101"/>
        <v>359.999999999854</v>
      </c>
      <c r="AR21" s="18">
        <f t="shared" si="101"/>
        <v>2310.00000000058</v>
      </c>
      <c r="AS21" s="18">
        <f t="shared" si="101"/>
        <v>2309.99999999913</v>
      </c>
      <c r="AT21" s="18">
        <f t="shared" si="7"/>
        <v>7569.99999999898</v>
      </c>
      <c r="AU21" s="18">
        <f t="shared" ref="AU21:AY21" si="102">IF(OR(P22=""),"",(P22-P21)*1000)</f>
        <v>3099.99999999945</v>
      </c>
      <c r="AV21" s="18">
        <f t="shared" si="102"/>
        <v>0</v>
      </c>
      <c r="AW21" s="18">
        <f t="shared" si="102"/>
        <v>1000</v>
      </c>
      <c r="AX21" s="18">
        <f t="shared" si="102"/>
        <v>5299.99999999927</v>
      </c>
      <c r="AY21" s="18">
        <f t="shared" si="102"/>
        <v>0</v>
      </c>
      <c r="AZ21" s="18">
        <f t="shared" si="9"/>
        <v>9399.99999999873</v>
      </c>
      <c r="BA21" s="18">
        <f t="shared" si="24"/>
        <v>9400.00000000146</v>
      </c>
      <c r="BB21" s="18">
        <f t="shared" si="25"/>
        <v>1087.99999999988</v>
      </c>
      <c r="BC21" s="18">
        <f t="shared" si="12"/>
        <v>1340.00000000029</v>
      </c>
      <c r="BD21" s="18">
        <f t="shared" si="10"/>
        <v>15775.5999999948</v>
      </c>
      <c r="BE21" s="18">
        <f t="shared" si="26"/>
        <v>53899.9999999942</v>
      </c>
      <c r="BF21" s="18">
        <f t="shared" si="27"/>
        <v>53.3000000000029</v>
      </c>
      <c r="BG21" s="21">
        <f t="shared" si="13"/>
        <v>0.264805007221926</v>
      </c>
      <c r="BH21" s="21">
        <f t="shared" si="14"/>
        <v>0.0458196181698486</v>
      </c>
      <c r="BI21" s="21">
        <f t="shared" si="15"/>
        <v>0</v>
      </c>
      <c r="BJ21" s="21">
        <f t="shared" si="16"/>
        <v>0.037190610476251</v>
      </c>
      <c r="BK21" s="21">
        <f t="shared" ref="BK21:BO21" si="103">IF(OR($AD21=0),"",AZ21/$AD21)</f>
        <v>0.0461812071964014</v>
      </c>
      <c r="BL21" s="21">
        <f t="shared" si="103"/>
        <v>0.0461812071964148</v>
      </c>
      <c r="BM21" s="21">
        <f t="shared" si="103"/>
        <v>0.00534522908826449</v>
      </c>
      <c r="BN21" s="21">
        <f t="shared" si="103"/>
        <v>0.00658327847268082</v>
      </c>
      <c r="BO21" s="21">
        <f t="shared" si="103"/>
        <v>0.077503856622065</v>
      </c>
    </row>
    <row r="22" spans="1:67">
      <c r="A22" s="9">
        <f t="shared" si="11"/>
        <v>44335</v>
      </c>
      <c r="B22" s="10">
        <v>16293.97</v>
      </c>
      <c r="C22" s="8">
        <v>88898.8</v>
      </c>
      <c r="D22" s="8">
        <v>56868.5</v>
      </c>
      <c r="E22" s="8">
        <v>56420.7</v>
      </c>
      <c r="F22" s="8">
        <v>4613.78</v>
      </c>
      <c r="G22" s="8">
        <v>110981.6</v>
      </c>
      <c r="H22" s="8">
        <v>5596.3</v>
      </c>
      <c r="I22" s="8">
        <v>2566.3</v>
      </c>
      <c r="J22" s="8">
        <v>967</v>
      </c>
      <c r="K22" s="8">
        <v>56</v>
      </c>
      <c r="L22" s="8">
        <v>89411.2</v>
      </c>
      <c r="M22" s="8">
        <v>61206</v>
      </c>
      <c r="N22" s="8">
        <v>70939.6</v>
      </c>
      <c r="O22" s="8">
        <v>101290.9</v>
      </c>
      <c r="P22" s="8">
        <v>5336.7</v>
      </c>
      <c r="Q22" s="8">
        <v>7182.8</v>
      </c>
      <c r="R22" s="8">
        <v>4528.7</v>
      </c>
      <c r="S22" s="8">
        <v>5003.9</v>
      </c>
      <c r="T22" s="8">
        <v>6547.2</v>
      </c>
      <c r="U22" s="8">
        <v>17041.4</v>
      </c>
      <c r="V22" s="8">
        <v>50086.7</v>
      </c>
      <c r="W22" s="8">
        <v>51140.8</v>
      </c>
      <c r="X22" s="8">
        <v>1835.9</v>
      </c>
      <c r="Y22" s="8">
        <v>1553.5</v>
      </c>
      <c r="Z22" s="16">
        <f t="shared" si="18"/>
        <v>54530.2</v>
      </c>
      <c r="AA22" s="8">
        <v>60121.5</v>
      </c>
      <c r="AB22" s="14">
        <v>3044</v>
      </c>
      <c r="AC22" s="7">
        <f t="shared" si="19"/>
        <v>63165.5</v>
      </c>
      <c r="AD22" s="17">
        <v>207436</v>
      </c>
      <c r="AE22" s="18">
        <f t="shared" ref="AE22:AI22" si="104">IF(OR(C23=""),"",(C23-C22)*80)</f>
        <v>3831.99999999953</v>
      </c>
      <c r="AF22" s="18">
        <f t="shared" si="104"/>
        <v>2104.00000000023</v>
      </c>
      <c r="AG22" s="18">
        <f t="shared" si="104"/>
        <v>2696.00000000035</v>
      </c>
      <c r="AH22" s="18">
        <f t="shared" si="104"/>
        <v>4.80000000003201</v>
      </c>
      <c r="AI22" s="18">
        <f t="shared" si="104"/>
        <v>2375.99999999977</v>
      </c>
      <c r="AJ22" s="18">
        <f t="shared" si="3"/>
        <v>11012.7999999999</v>
      </c>
      <c r="AK22" s="18">
        <f t="shared" ref="AK22:AN22" si="105">IF(OR(H23=""),"",(H23-H22)*80)</f>
        <v>0</v>
      </c>
      <c r="AL22" s="18">
        <f t="shared" si="105"/>
        <v>0</v>
      </c>
      <c r="AM22" s="18">
        <f t="shared" si="105"/>
        <v>0</v>
      </c>
      <c r="AN22" s="18">
        <f t="shared" si="105"/>
        <v>0</v>
      </c>
      <c r="AO22" s="18">
        <f t="shared" si="5"/>
        <v>0</v>
      </c>
      <c r="AP22" s="18">
        <f t="shared" ref="AP22:AS22" si="106">IF(OR(L23=""),"",(L23-L22)*100)</f>
        <v>2850</v>
      </c>
      <c r="AQ22" s="18">
        <f t="shared" si="106"/>
        <v>40.0000000001455</v>
      </c>
      <c r="AR22" s="18">
        <f t="shared" si="106"/>
        <v>2469.99999999971</v>
      </c>
      <c r="AS22" s="18">
        <f t="shared" si="106"/>
        <v>2380.00000000029</v>
      </c>
      <c r="AT22" s="18">
        <f t="shared" si="7"/>
        <v>7740.00000000015</v>
      </c>
      <c r="AU22" s="18">
        <f t="shared" ref="AU22:AY22" si="107">IF(OR(P23=""),"",(P23-P22)*1000)</f>
        <v>3800.00000000018</v>
      </c>
      <c r="AV22" s="18">
        <f t="shared" si="107"/>
        <v>0</v>
      </c>
      <c r="AW22" s="18">
        <f t="shared" si="107"/>
        <v>199.999999999818</v>
      </c>
      <c r="AX22" s="18">
        <f t="shared" si="107"/>
        <v>5300.00000000018</v>
      </c>
      <c r="AY22" s="18">
        <f t="shared" si="107"/>
        <v>0</v>
      </c>
      <c r="AZ22" s="18">
        <f t="shared" si="9"/>
        <v>9300.00000000018</v>
      </c>
      <c r="BA22" s="18">
        <f t="shared" si="24"/>
        <v>10000</v>
      </c>
      <c r="BB22" s="18">
        <f t="shared" si="25"/>
        <v>648.000000000466</v>
      </c>
      <c r="BC22" s="18">
        <f t="shared" si="12"/>
        <v>1371.99999999983</v>
      </c>
      <c r="BD22" s="18">
        <f t="shared" si="10"/>
        <v>14927.1999999995</v>
      </c>
      <c r="BE22" s="18">
        <f t="shared" si="26"/>
        <v>55000</v>
      </c>
      <c r="BF22" s="18">
        <f t="shared" si="27"/>
        <v>56.3000000000029</v>
      </c>
      <c r="BG22" s="21">
        <f t="shared" si="13"/>
        <v>0.265142019707283</v>
      </c>
      <c r="BH22" s="21">
        <f t="shared" si="14"/>
        <v>0.0530901097205881</v>
      </c>
      <c r="BI22" s="21">
        <f t="shared" si="15"/>
        <v>0</v>
      </c>
      <c r="BJ22" s="21">
        <f t="shared" si="16"/>
        <v>0.0373127133188075</v>
      </c>
      <c r="BK22" s="21">
        <f t="shared" ref="BK22:BO22" si="108">IF(OR($AD22=0),"",AZ22/$AD22)</f>
        <v>0.0448331051505051</v>
      </c>
      <c r="BL22" s="21">
        <f t="shared" si="108"/>
        <v>0.0482076399467788</v>
      </c>
      <c r="BM22" s="21">
        <f t="shared" si="108"/>
        <v>0.00312385506855351</v>
      </c>
      <c r="BN22" s="21">
        <f t="shared" si="108"/>
        <v>0.00661408820069721</v>
      </c>
      <c r="BO22" s="21">
        <f t="shared" si="108"/>
        <v>0.071960508301353</v>
      </c>
    </row>
    <row r="23" spans="1:67">
      <c r="A23" s="9">
        <f t="shared" si="11"/>
        <v>44336</v>
      </c>
      <c r="B23" s="10">
        <v>16299.47</v>
      </c>
      <c r="C23" s="8">
        <v>88946.7</v>
      </c>
      <c r="D23" s="8">
        <v>56894.8</v>
      </c>
      <c r="E23" s="8">
        <v>56454.4</v>
      </c>
      <c r="F23" s="8">
        <v>4613.84</v>
      </c>
      <c r="G23" s="8">
        <v>111011.3</v>
      </c>
      <c r="H23" s="8">
        <v>5596.3</v>
      </c>
      <c r="I23" s="8">
        <v>2566.3</v>
      </c>
      <c r="J23" s="8">
        <v>967</v>
      </c>
      <c r="K23" s="8">
        <v>56</v>
      </c>
      <c r="L23" s="8">
        <v>89439.7</v>
      </c>
      <c r="M23" s="8">
        <v>61206.4</v>
      </c>
      <c r="N23" s="8">
        <v>70964.3</v>
      </c>
      <c r="O23" s="8">
        <v>101314.7</v>
      </c>
      <c r="P23" s="8">
        <v>5340.5</v>
      </c>
      <c r="Q23" s="8">
        <v>7182.8</v>
      </c>
      <c r="R23" s="8">
        <v>4528.9</v>
      </c>
      <c r="S23" s="8">
        <v>5009.2</v>
      </c>
      <c r="T23" s="8">
        <v>6547.2</v>
      </c>
      <c r="U23" s="8">
        <v>17046.4</v>
      </c>
      <c r="V23" s="8">
        <v>50094.8</v>
      </c>
      <c r="W23" s="8">
        <v>51157.7</v>
      </c>
      <c r="X23" s="8">
        <v>1844.4</v>
      </c>
      <c r="Y23" s="8">
        <v>1562.4</v>
      </c>
      <c r="Z23" s="16">
        <f t="shared" si="18"/>
        <v>54564.5</v>
      </c>
      <c r="AA23" s="8">
        <v>60169.8</v>
      </c>
      <c r="AB23" s="14">
        <v>3052</v>
      </c>
      <c r="AC23" s="7">
        <f t="shared" si="19"/>
        <v>63221.8</v>
      </c>
      <c r="AD23" s="17">
        <v>209425</v>
      </c>
      <c r="AE23" s="18">
        <f t="shared" ref="AE23:AI23" si="109">IF(OR(C24=""),"",(C24-C23)*80)</f>
        <v>3872.0000000007</v>
      </c>
      <c r="AF23" s="18">
        <f t="shared" si="109"/>
        <v>40</v>
      </c>
      <c r="AG23" s="18">
        <f t="shared" si="109"/>
        <v>2223.99999999965</v>
      </c>
      <c r="AH23" s="18">
        <f t="shared" si="109"/>
        <v>4.79999999995925</v>
      </c>
      <c r="AI23" s="18">
        <f t="shared" si="109"/>
        <v>2311.99999999953</v>
      </c>
      <c r="AJ23" s="18">
        <f t="shared" si="3"/>
        <v>8452.79999999984</v>
      </c>
      <c r="AK23" s="18">
        <f t="shared" ref="AK23:AN23" si="110">IF(OR(H24=""),"",(H24-H23)*80)</f>
        <v>0</v>
      </c>
      <c r="AL23" s="18">
        <f t="shared" si="110"/>
        <v>0</v>
      </c>
      <c r="AM23" s="18">
        <f t="shared" si="110"/>
        <v>0</v>
      </c>
      <c r="AN23" s="18">
        <f t="shared" si="110"/>
        <v>0</v>
      </c>
      <c r="AO23" s="18">
        <f t="shared" si="5"/>
        <v>0</v>
      </c>
      <c r="AP23" s="18">
        <f t="shared" ref="AP23:AS23" si="111">IF(OR(L24=""),"",(L24-L23)*100)</f>
        <v>2850</v>
      </c>
      <c r="AQ23" s="18">
        <f t="shared" si="111"/>
        <v>0</v>
      </c>
      <c r="AR23" s="18">
        <f t="shared" si="111"/>
        <v>2530.00000000029</v>
      </c>
      <c r="AS23" s="18">
        <f t="shared" si="111"/>
        <v>2350</v>
      </c>
      <c r="AT23" s="18">
        <f t="shared" si="7"/>
        <v>7730.00000000029</v>
      </c>
      <c r="AU23" s="18">
        <f t="shared" ref="AU23:AY23" si="112">IF(OR(P24=""),"",(P24-P23)*1000)</f>
        <v>3699.99999999982</v>
      </c>
      <c r="AV23" s="18">
        <f t="shared" si="112"/>
        <v>0</v>
      </c>
      <c r="AW23" s="18">
        <f t="shared" si="112"/>
        <v>0</v>
      </c>
      <c r="AX23" s="18">
        <f t="shared" si="112"/>
        <v>5199.99999999982</v>
      </c>
      <c r="AY23" s="18">
        <f t="shared" si="112"/>
        <v>0</v>
      </c>
      <c r="AZ23" s="18">
        <f t="shared" si="9"/>
        <v>8899.99999999964</v>
      </c>
      <c r="BA23" s="18">
        <f t="shared" si="24"/>
        <v>9599.99999999854</v>
      </c>
      <c r="BB23" s="18">
        <f t="shared" si="25"/>
        <v>631.999999999534</v>
      </c>
      <c r="BC23" s="18">
        <f t="shared" si="12"/>
        <v>1371.99999999983</v>
      </c>
      <c r="BD23" s="18">
        <f t="shared" si="10"/>
        <v>13913.2000000154</v>
      </c>
      <c r="BE23" s="18">
        <f t="shared" si="26"/>
        <v>50600.0000000131</v>
      </c>
      <c r="BF23" s="18">
        <f t="shared" si="27"/>
        <v>38.8999999999942</v>
      </c>
      <c r="BG23" s="21">
        <f t="shared" si="13"/>
        <v>0.241613942939062</v>
      </c>
      <c r="BH23" s="21">
        <f t="shared" si="14"/>
        <v>0.0403619434164968</v>
      </c>
      <c r="BI23" s="21">
        <f t="shared" si="15"/>
        <v>0</v>
      </c>
      <c r="BJ23" s="21">
        <f t="shared" si="16"/>
        <v>0.0369105885161766</v>
      </c>
      <c r="BK23" s="21">
        <f t="shared" ref="BK23:BO23" si="113">IF(OR($AD23=0),"",AZ23/$AD23)</f>
        <v>0.0424973140742492</v>
      </c>
      <c r="BL23" s="21">
        <f t="shared" si="113"/>
        <v>0.0458397994508705</v>
      </c>
      <c r="BM23" s="21">
        <f t="shared" si="113"/>
        <v>0.00301778679718054</v>
      </c>
      <c r="BN23" s="21">
        <f t="shared" si="113"/>
        <v>0.00655127133818706</v>
      </c>
      <c r="BO23" s="21">
        <f t="shared" si="113"/>
        <v>0.0664352393459015</v>
      </c>
    </row>
    <row r="24" spans="1:67">
      <c r="A24" s="9">
        <f t="shared" si="11"/>
        <v>44337</v>
      </c>
      <c r="B24" s="10">
        <v>16304.53</v>
      </c>
      <c r="C24" s="8">
        <v>88995.1</v>
      </c>
      <c r="D24" s="8">
        <v>56895.3</v>
      </c>
      <c r="E24" s="8">
        <v>56482.2</v>
      </c>
      <c r="F24" s="8">
        <v>4613.9</v>
      </c>
      <c r="G24" s="8">
        <v>111040.2</v>
      </c>
      <c r="H24" s="8">
        <v>5596.3</v>
      </c>
      <c r="I24" s="8">
        <v>2566.3</v>
      </c>
      <c r="J24" s="8">
        <v>967</v>
      </c>
      <c r="K24" s="8">
        <v>56</v>
      </c>
      <c r="L24" s="8">
        <v>89468.2</v>
      </c>
      <c r="M24" s="8">
        <v>61206.4</v>
      </c>
      <c r="N24" s="8">
        <v>70989.6</v>
      </c>
      <c r="O24" s="8">
        <v>101338.2</v>
      </c>
      <c r="P24" s="8">
        <v>5344.2</v>
      </c>
      <c r="Q24" s="8">
        <v>7182.8</v>
      </c>
      <c r="R24" s="8">
        <v>4528.9</v>
      </c>
      <c r="S24" s="8">
        <v>5014.4</v>
      </c>
      <c r="T24" s="8">
        <v>6547.2</v>
      </c>
      <c r="U24" s="8">
        <v>17051.2</v>
      </c>
      <c r="V24" s="8">
        <v>50102.7</v>
      </c>
      <c r="W24" s="8">
        <v>51174.6</v>
      </c>
      <c r="X24" s="8">
        <v>1853</v>
      </c>
      <c r="Y24" s="8">
        <v>1571.2</v>
      </c>
      <c r="Z24" s="16">
        <f t="shared" si="18"/>
        <v>54598.8</v>
      </c>
      <c r="AA24" s="8">
        <v>60200.7</v>
      </c>
      <c r="AB24" s="14">
        <v>3060</v>
      </c>
      <c r="AC24" s="7">
        <f t="shared" si="19"/>
        <v>63260.7</v>
      </c>
      <c r="AD24" s="17">
        <v>209537</v>
      </c>
      <c r="AE24" s="18">
        <f t="shared" ref="AE24:AI24" si="114">IF(OR(C25=""),"",(C25-C24)*80)</f>
        <v>3640</v>
      </c>
      <c r="AF24" s="18">
        <f t="shared" si="114"/>
        <v>0</v>
      </c>
      <c r="AG24" s="18">
        <f t="shared" si="114"/>
        <v>0</v>
      </c>
      <c r="AH24" s="18">
        <f t="shared" si="114"/>
        <v>2176.00000000006</v>
      </c>
      <c r="AI24" s="18">
        <f t="shared" si="114"/>
        <v>2528.00000000047</v>
      </c>
      <c r="AJ24" s="18">
        <f t="shared" si="3"/>
        <v>8344.00000000052</v>
      </c>
      <c r="AK24" s="18">
        <f t="shared" ref="AK24:AN24" si="115">IF(OR(H25=""),"",(H25-H24)*80)</f>
        <v>0</v>
      </c>
      <c r="AL24" s="18">
        <f t="shared" si="115"/>
        <v>0</v>
      </c>
      <c r="AM24" s="18">
        <f t="shared" si="115"/>
        <v>0</v>
      </c>
      <c r="AN24" s="18">
        <f t="shared" si="115"/>
        <v>0</v>
      </c>
      <c r="AO24" s="18">
        <f t="shared" si="5"/>
        <v>0</v>
      </c>
      <c r="AP24" s="18">
        <f t="shared" ref="AP24:AS24" si="116">IF(OR(L25=""),"",(L25-L24)*100)</f>
        <v>3060.00000000058</v>
      </c>
      <c r="AQ24" s="18">
        <f t="shared" si="116"/>
        <v>0</v>
      </c>
      <c r="AR24" s="18">
        <f t="shared" si="116"/>
        <v>2459.99999999913</v>
      </c>
      <c r="AS24" s="18">
        <f t="shared" si="116"/>
        <v>2269.99999999971</v>
      </c>
      <c r="AT24" s="18">
        <f t="shared" si="7"/>
        <v>7789.99999999942</v>
      </c>
      <c r="AU24" s="18">
        <f t="shared" ref="AU24:AY24" si="117">IF(OR(P25=""),"",(P25-P24)*1000)</f>
        <v>3800.00000000018</v>
      </c>
      <c r="AV24" s="18">
        <f t="shared" si="117"/>
        <v>0</v>
      </c>
      <c r="AW24" s="18">
        <f t="shared" si="117"/>
        <v>0</v>
      </c>
      <c r="AX24" s="18">
        <f t="shared" si="117"/>
        <v>5000</v>
      </c>
      <c r="AY24" s="18">
        <f t="shared" si="117"/>
        <v>0</v>
      </c>
      <c r="AZ24" s="18">
        <f t="shared" si="9"/>
        <v>8800.00000000018</v>
      </c>
      <c r="BA24" s="18">
        <f t="shared" si="24"/>
        <v>10000</v>
      </c>
      <c r="BB24" s="18">
        <f t="shared" si="25"/>
        <v>616.000000000349</v>
      </c>
      <c r="BC24" s="18">
        <f t="shared" si="12"/>
        <v>1303.99999999994</v>
      </c>
      <c r="BD24" s="18">
        <f t="shared" si="10"/>
        <v>14745.9999999981</v>
      </c>
      <c r="BE24" s="18">
        <f t="shared" si="26"/>
        <v>51599.9999999985</v>
      </c>
      <c r="BF24" s="18">
        <f t="shared" si="27"/>
        <v>53.8000000000029</v>
      </c>
      <c r="BG24" s="21">
        <f t="shared" si="13"/>
        <v>0.246257224261102</v>
      </c>
      <c r="BH24" s="21">
        <f t="shared" si="14"/>
        <v>0.0398211294425353</v>
      </c>
      <c r="BI24" s="21">
        <f t="shared" si="15"/>
        <v>0</v>
      </c>
      <c r="BJ24" s="21">
        <f t="shared" si="16"/>
        <v>0.0371772049805019</v>
      </c>
      <c r="BK24" s="21">
        <f t="shared" ref="BK24:BO24" si="118">IF(OR($AD24=0),"",AZ24/$AD24)</f>
        <v>0.0419973560755388</v>
      </c>
      <c r="BL24" s="21">
        <f t="shared" si="118"/>
        <v>0.0477242682676568</v>
      </c>
      <c r="BM24" s="21">
        <f t="shared" si="118"/>
        <v>0.00293981492528932</v>
      </c>
      <c r="BN24" s="21">
        <f t="shared" si="118"/>
        <v>0.00622324458210217</v>
      </c>
      <c r="BO24" s="21">
        <f t="shared" si="118"/>
        <v>0.0703742059874778</v>
      </c>
    </row>
    <row r="25" spans="1:67">
      <c r="A25" s="9">
        <f t="shared" si="11"/>
        <v>44338</v>
      </c>
      <c r="B25" s="10">
        <v>16309.69</v>
      </c>
      <c r="C25" s="8">
        <v>89040.6</v>
      </c>
      <c r="D25" s="8">
        <v>56895.3</v>
      </c>
      <c r="E25" s="8">
        <v>56482.2</v>
      </c>
      <c r="F25" s="8">
        <v>4641.1</v>
      </c>
      <c r="G25" s="8">
        <v>111071.8</v>
      </c>
      <c r="H25" s="8">
        <v>5596.3</v>
      </c>
      <c r="I25" s="8">
        <v>2566.3</v>
      </c>
      <c r="J25" s="8">
        <v>967</v>
      </c>
      <c r="K25" s="8">
        <v>56</v>
      </c>
      <c r="L25" s="8">
        <v>89498.8</v>
      </c>
      <c r="M25" s="8">
        <v>61206.4</v>
      </c>
      <c r="N25" s="8">
        <v>71014.2</v>
      </c>
      <c r="O25" s="8">
        <v>101360.9</v>
      </c>
      <c r="P25" s="8">
        <v>5348</v>
      </c>
      <c r="Q25" s="8">
        <v>7182.8</v>
      </c>
      <c r="R25" s="8">
        <v>4528.9</v>
      </c>
      <c r="S25" s="8">
        <v>5019.4</v>
      </c>
      <c r="T25" s="8">
        <v>6547.2</v>
      </c>
      <c r="U25" s="8">
        <v>17056.2</v>
      </c>
      <c r="V25" s="8">
        <v>50110.4</v>
      </c>
      <c r="W25" s="8">
        <v>51190.7</v>
      </c>
      <c r="X25" s="8">
        <v>1861</v>
      </c>
      <c r="Y25" s="8">
        <v>1579.7</v>
      </c>
      <c r="Z25" s="16">
        <f t="shared" si="18"/>
        <v>54631.4</v>
      </c>
      <c r="AA25" s="8">
        <v>60247.5</v>
      </c>
      <c r="AB25" s="14">
        <v>3067</v>
      </c>
      <c r="AC25" s="7">
        <f t="shared" si="19"/>
        <v>63314.5</v>
      </c>
      <c r="AD25" s="17">
        <v>210588</v>
      </c>
      <c r="AE25" s="18">
        <f t="shared" ref="AE25:AI25" si="119">IF(OR(C26=""),"",(C26-C25)*80)</f>
        <v>3815.99999999977</v>
      </c>
      <c r="AF25" s="18">
        <f t="shared" si="119"/>
        <v>2895.99999999977</v>
      </c>
      <c r="AG25" s="18">
        <f t="shared" si="119"/>
        <v>1776.00000000035</v>
      </c>
      <c r="AH25" s="18">
        <f t="shared" si="119"/>
        <v>31.9999999999709</v>
      </c>
      <c r="AI25" s="18">
        <f t="shared" si="119"/>
        <v>1824.00000000023</v>
      </c>
      <c r="AJ25" s="18">
        <f t="shared" si="3"/>
        <v>10344.0000000001</v>
      </c>
      <c r="AK25" s="18">
        <f t="shared" ref="AK25:AN25" si="120">IF(OR(H26=""),"",(H26-H25)*80)</f>
        <v>0</v>
      </c>
      <c r="AL25" s="18">
        <f t="shared" si="120"/>
        <v>0</v>
      </c>
      <c r="AM25" s="18">
        <f t="shared" si="120"/>
        <v>0</v>
      </c>
      <c r="AN25" s="18">
        <f t="shared" si="120"/>
        <v>0</v>
      </c>
      <c r="AO25" s="18">
        <f t="shared" si="5"/>
        <v>0</v>
      </c>
      <c r="AP25" s="18">
        <f t="shared" ref="AP25:AS25" si="121">IF(OR(L26=""),"",(L26-L25)*100)</f>
        <v>3039.99999999942</v>
      </c>
      <c r="AQ25" s="18">
        <f t="shared" si="121"/>
        <v>0</v>
      </c>
      <c r="AR25" s="18">
        <f t="shared" si="121"/>
        <v>2519.99999999971</v>
      </c>
      <c r="AS25" s="18">
        <f t="shared" si="121"/>
        <v>2330.00000000029</v>
      </c>
      <c r="AT25" s="18">
        <f t="shared" si="7"/>
        <v>7889.99999999942</v>
      </c>
      <c r="AU25" s="18">
        <f t="shared" ref="AU25:AY25" si="122">IF(OR(P26=""),"",(P26-P25)*1000)</f>
        <v>3800.00000000018</v>
      </c>
      <c r="AV25" s="18">
        <f t="shared" si="122"/>
        <v>0</v>
      </c>
      <c r="AW25" s="18">
        <f t="shared" si="122"/>
        <v>0</v>
      </c>
      <c r="AX25" s="18">
        <f t="shared" si="122"/>
        <v>5300.00000000018</v>
      </c>
      <c r="AY25" s="18">
        <f t="shared" si="122"/>
        <v>800.000000000182</v>
      </c>
      <c r="AZ25" s="18">
        <f t="shared" si="9"/>
        <v>9900.00000000055</v>
      </c>
      <c r="BA25" s="18">
        <f t="shared" si="24"/>
        <v>9599.99999999854</v>
      </c>
      <c r="BB25" s="18">
        <f t="shared" si="25"/>
        <v>647.999999999884</v>
      </c>
      <c r="BC25" s="18">
        <f t="shared" si="12"/>
        <v>1380.00000000029</v>
      </c>
      <c r="BD25" s="18">
        <f t="shared" si="10"/>
        <v>14037.9999999932</v>
      </c>
      <c r="BE25" s="18">
        <f t="shared" si="26"/>
        <v>53799.999999992</v>
      </c>
      <c r="BF25" s="18">
        <f t="shared" si="27"/>
        <v>58.8000000000029</v>
      </c>
      <c r="BG25" s="21">
        <f t="shared" si="13"/>
        <v>0.255475145782248</v>
      </c>
      <c r="BH25" s="21">
        <f t="shared" si="14"/>
        <v>0.0491196079548696</v>
      </c>
      <c r="BI25" s="21">
        <f t="shared" si="15"/>
        <v>0</v>
      </c>
      <c r="BJ25" s="21">
        <f t="shared" si="16"/>
        <v>0.0374665223089607</v>
      </c>
      <c r="BK25" s="21">
        <f t="shared" ref="BK25:BO25" si="123">IF(OR($AD25=0),"",AZ25/$AD25)</f>
        <v>0.0470112257108693</v>
      </c>
      <c r="BL25" s="21">
        <f t="shared" si="123"/>
        <v>0.0455866431135608</v>
      </c>
      <c r="BM25" s="21">
        <f t="shared" si="123"/>
        <v>0.00307709841016527</v>
      </c>
      <c r="BN25" s="21">
        <f t="shared" si="123"/>
        <v>0.00655307994757674</v>
      </c>
      <c r="BO25" s="21">
        <f t="shared" si="123"/>
        <v>0.0666609683362453</v>
      </c>
    </row>
    <row r="26" spans="1:67">
      <c r="A26" s="9">
        <f t="shared" si="11"/>
        <v>44339</v>
      </c>
      <c r="B26" s="10">
        <v>16315.07</v>
      </c>
      <c r="C26" s="8">
        <v>89088.3</v>
      </c>
      <c r="D26" s="8">
        <v>56931.5</v>
      </c>
      <c r="E26" s="8">
        <v>56504.4</v>
      </c>
      <c r="F26" s="8">
        <v>4641.5</v>
      </c>
      <c r="G26" s="8">
        <v>111094.6</v>
      </c>
      <c r="H26" s="8">
        <v>5596.3</v>
      </c>
      <c r="I26" s="8">
        <v>2566.3</v>
      </c>
      <c r="J26" s="8">
        <v>967</v>
      </c>
      <c r="K26" s="8">
        <v>56</v>
      </c>
      <c r="L26" s="8">
        <v>89529.2</v>
      </c>
      <c r="M26" s="8">
        <v>61206.4</v>
      </c>
      <c r="N26" s="8">
        <v>71039.4</v>
      </c>
      <c r="O26" s="8">
        <v>101384.2</v>
      </c>
      <c r="P26" s="8">
        <v>5351.8</v>
      </c>
      <c r="Q26" s="8">
        <v>7182.8</v>
      </c>
      <c r="R26" s="8">
        <v>4528.9</v>
      </c>
      <c r="S26" s="8">
        <v>5024.7</v>
      </c>
      <c r="T26" s="8">
        <v>6548</v>
      </c>
      <c r="U26" s="8">
        <v>17061</v>
      </c>
      <c r="V26" s="8">
        <v>50118.5</v>
      </c>
      <c r="W26" s="8">
        <v>51207.6</v>
      </c>
      <c r="X26" s="8">
        <v>1869.5</v>
      </c>
      <c r="Y26" s="8">
        <v>1588.8</v>
      </c>
      <c r="Z26" s="16">
        <f t="shared" si="18"/>
        <v>54665.9</v>
      </c>
      <c r="AA26" s="8">
        <v>60296.3</v>
      </c>
      <c r="AB26" s="14">
        <v>3077</v>
      </c>
      <c r="AC26" s="7">
        <f t="shared" si="19"/>
        <v>63373.3</v>
      </c>
      <c r="AD26" s="17">
        <v>206135</v>
      </c>
      <c r="AE26" s="18">
        <f t="shared" ref="AE26:AI26" si="124">IF(OR(C27=""),"",(C27-C26)*80)</f>
        <v>1095.99999999977</v>
      </c>
      <c r="AF26" s="18">
        <f t="shared" si="124"/>
        <v>840</v>
      </c>
      <c r="AG26" s="18">
        <f t="shared" si="124"/>
        <v>2727.99999999988</v>
      </c>
      <c r="AH26" s="18">
        <f t="shared" si="124"/>
        <v>1572.79999999999</v>
      </c>
      <c r="AI26" s="18">
        <f t="shared" si="124"/>
        <v>2263.99999999907</v>
      </c>
      <c r="AJ26" s="18">
        <f t="shared" si="3"/>
        <v>8500.79999999871</v>
      </c>
      <c r="AK26" s="18">
        <f t="shared" ref="AK26:AN26" si="125">IF(OR(H27=""),"",(H27-H26)*80)</f>
        <v>0</v>
      </c>
      <c r="AL26" s="18">
        <f t="shared" si="125"/>
        <v>0</v>
      </c>
      <c r="AM26" s="18">
        <f t="shared" si="125"/>
        <v>0</v>
      </c>
      <c r="AN26" s="18">
        <f t="shared" si="125"/>
        <v>0</v>
      </c>
      <c r="AO26" s="18">
        <f t="shared" si="5"/>
        <v>0</v>
      </c>
      <c r="AP26" s="18">
        <f t="shared" ref="AP26:AS26" si="126">IF(OR(L27=""),"",(L27-L26)*100)</f>
        <v>2819.99999999971</v>
      </c>
      <c r="AQ26" s="18">
        <f t="shared" si="126"/>
        <v>0</v>
      </c>
      <c r="AR26" s="18">
        <f t="shared" si="126"/>
        <v>2520.00000000116</v>
      </c>
      <c r="AS26" s="18">
        <f t="shared" si="126"/>
        <v>2340.00000000087</v>
      </c>
      <c r="AT26" s="18">
        <f t="shared" si="7"/>
        <v>7680.00000000175</v>
      </c>
      <c r="AU26" s="18">
        <f t="shared" ref="AU26:AY26" si="127">IF(OR(P27=""),"",(P27-P26)*1000)</f>
        <v>1899.99999999964</v>
      </c>
      <c r="AV26" s="18">
        <f t="shared" si="127"/>
        <v>0</v>
      </c>
      <c r="AW26" s="18">
        <f t="shared" si="127"/>
        <v>0</v>
      </c>
      <c r="AX26" s="18">
        <f t="shared" si="127"/>
        <v>4800.00000000018</v>
      </c>
      <c r="AY26" s="18">
        <f t="shared" si="127"/>
        <v>4199.99999999982</v>
      </c>
      <c r="AZ26" s="18">
        <f t="shared" si="9"/>
        <v>10899.9999999996</v>
      </c>
      <c r="BA26" s="18">
        <f t="shared" si="24"/>
        <v>9199.99999999709</v>
      </c>
      <c r="BB26" s="18">
        <f t="shared" si="25"/>
        <v>592.000000000116</v>
      </c>
      <c r="BC26" s="18">
        <f t="shared" si="12"/>
        <v>1371.99999999983</v>
      </c>
      <c r="BD26" s="18">
        <f t="shared" si="10"/>
        <v>13855.2000000123</v>
      </c>
      <c r="BE26" s="18">
        <f t="shared" si="26"/>
        <v>52100.0000000095</v>
      </c>
      <c r="BF26" s="18">
        <f t="shared" si="27"/>
        <v>59.5</v>
      </c>
      <c r="BG26" s="21">
        <f t="shared" si="13"/>
        <v>0.252746986198411</v>
      </c>
      <c r="BH26" s="21">
        <f t="shared" si="14"/>
        <v>0.0412389938632387</v>
      </c>
      <c r="BI26" s="21">
        <f t="shared" si="15"/>
        <v>0</v>
      </c>
      <c r="BJ26" s="21">
        <f t="shared" si="16"/>
        <v>0.0372571373129345</v>
      </c>
      <c r="BK26" s="21">
        <f t="shared" ref="BK26:BO26" si="128">IF(OR($AD26=0),"",AZ26/$AD26)</f>
        <v>0.0528779683217291</v>
      </c>
      <c r="BL26" s="21">
        <f t="shared" si="128"/>
        <v>0.0446309457394285</v>
      </c>
      <c r="BM26" s="21">
        <f t="shared" si="128"/>
        <v>0.00287190433453861</v>
      </c>
      <c r="BN26" s="21">
        <f t="shared" si="128"/>
        <v>0.00665583234288124</v>
      </c>
      <c r="BO26" s="21">
        <f t="shared" si="128"/>
        <v>0.0672142042836604</v>
      </c>
    </row>
    <row r="27" spans="1:67">
      <c r="A27" s="9">
        <f t="shared" si="11"/>
        <v>44340</v>
      </c>
      <c r="B27" s="10">
        <v>16320.28</v>
      </c>
      <c r="C27" s="8">
        <v>89102</v>
      </c>
      <c r="D27" s="8">
        <v>56942</v>
      </c>
      <c r="E27" s="8">
        <v>56538.5</v>
      </c>
      <c r="F27" s="8">
        <v>4661.16</v>
      </c>
      <c r="G27" s="8">
        <v>111122.9</v>
      </c>
      <c r="H27" s="8">
        <v>5596.3</v>
      </c>
      <c r="I27" s="8">
        <v>2566.3</v>
      </c>
      <c r="J27" s="8">
        <v>967</v>
      </c>
      <c r="K27" s="8">
        <v>56</v>
      </c>
      <c r="L27" s="8">
        <v>89557.4</v>
      </c>
      <c r="M27" s="8">
        <v>61206.4</v>
      </c>
      <c r="N27" s="8">
        <v>71064.6</v>
      </c>
      <c r="O27" s="8">
        <v>101407.6</v>
      </c>
      <c r="P27" s="8">
        <v>5353.7</v>
      </c>
      <c r="Q27" s="8">
        <v>7182.8</v>
      </c>
      <c r="R27" s="8">
        <v>4528.9</v>
      </c>
      <c r="S27" s="8">
        <v>5029.5</v>
      </c>
      <c r="T27" s="8">
        <v>6552.2</v>
      </c>
      <c r="U27" s="8">
        <v>17065.6</v>
      </c>
      <c r="V27" s="8">
        <v>50125.9</v>
      </c>
      <c r="W27" s="8">
        <v>51224.6</v>
      </c>
      <c r="X27" s="8">
        <v>1877.9</v>
      </c>
      <c r="Y27" s="8">
        <v>1597.7</v>
      </c>
      <c r="Z27" s="16">
        <f t="shared" si="18"/>
        <v>54700.2</v>
      </c>
      <c r="AA27" s="8">
        <v>60344.8</v>
      </c>
      <c r="AB27" s="14">
        <v>3088</v>
      </c>
      <c r="AC27" s="7">
        <f t="shared" si="19"/>
        <v>63432.8</v>
      </c>
      <c r="AD27" s="17">
        <v>206329</v>
      </c>
      <c r="AE27" s="18">
        <f t="shared" ref="AE27:AI27" si="129">IF(OR(C28=""),"",(C28-C27)*80)</f>
        <v>2528.00000000047</v>
      </c>
      <c r="AF27" s="18">
        <f t="shared" si="129"/>
        <v>2304.00000000023</v>
      </c>
      <c r="AG27" s="18">
        <f t="shared" si="129"/>
        <v>624.000000000233</v>
      </c>
      <c r="AH27" s="18">
        <f t="shared" si="129"/>
        <v>735.999999999985</v>
      </c>
      <c r="AI27" s="18">
        <f t="shared" si="129"/>
        <v>1904.00000000023</v>
      </c>
      <c r="AJ27" s="18">
        <f t="shared" si="3"/>
        <v>8096.00000000115</v>
      </c>
      <c r="AK27" s="18">
        <f t="shared" ref="AK27:AN27" si="130">IF(OR(H28=""),"",(H28-H27)*80)</f>
        <v>0</v>
      </c>
      <c r="AL27" s="18">
        <f t="shared" si="130"/>
        <v>0</v>
      </c>
      <c r="AM27" s="18">
        <f t="shared" si="130"/>
        <v>0</v>
      </c>
      <c r="AN27" s="18">
        <f t="shared" si="130"/>
        <v>0</v>
      </c>
      <c r="AO27" s="18">
        <f t="shared" si="5"/>
        <v>0</v>
      </c>
      <c r="AP27" s="18">
        <f t="shared" ref="AP27:AS27" si="131">IF(OR(L28=""),"",(L28-L27)*100)</f>
        <v>2790.00000000087</v>
      </c>
      <c r="AQ27" s="18">
        <f t="shared" si="131"/>
        <v>40.0000000001455</v>
      </c>
      <c r="AR27" s="18">
        <f t="shared" si="131"/>
        <v>2439.99999999942</v>
      </c>
      <c r="AS27" s="18">
        <f t="shared" si="131"/>
        <v>2279.99999999884</v>
      </c>
      <c r="AT27" s="18">
        <f t="shared" si="7"/>
        <v>7549.99999999927</v>
      </c>
      <c r="AU27" s="18">
        <f t="shared" ref="AU27:AY27" si="132">IF(OR(P28=""),"",(P28-P27)*1000)</f>
        <v>3600.00000000036</v>
      </c>
      <c r="AV27" s="18">
        <f t="shared" si="132"/>
        <v>0</v>
      </c>
      <c r="AW27" s="18">
        <f t="shared" si="132"/>
        <v>0</v>
      </c>
      <c r="AX27" s="18">
        <f t="shared" si="132"/>
        <v>4800.00000000018</v>
      </c>
      <c r="AY27" s="18">
        <f t="shared" si="132"/>
        <v>100.000000000364</v>
      </c>
      <c r="AZ27" s="18">
        <f t="shared" si="9"/>
        <v>8500.00000000091</v>
      </c>
      <c r="BA27" s="18">
        <f t="shared" si="24"/>
        <v>10000</v>
      </c>
      <c r="BB27" s="18">
        <f t="shared" si="25"/>
        <v>663.999999999651</v>
      </c>
      <c r="BC27" s="18">
        <f t="shared" si="12"/>
        <v>1307.99999999988</v>
      </c>
      <c r="BD27" s="18">
        <f t="shared" si="10"/>
        <v>13581.9999999926</v>
      </c>
      <c r="BE27" s="18">
        <f t="shared" si="26"/>
        <v>49699.9999999935</v>
      </c>
      <c r="BF27" s="18">
        <f t="shared" si="27"/>
        <v>73</v>
      </c>
      <c r="BG27" s="21">
        <f t="shared" si="13"/>
        <v>0.240877433613275</v>
      </c>
      <c r="BH27" s="21">
        <f t="shared" si="14"/>
        <v>0.0392383038739157</v>
      </c>
      <c r="BI27" s="21">
        <f t="shared" si="15"/>
        <v>0</v>
      </c>
      <c r="BJ27" s="21">
        <f t="shared" si="16"/>
        <v>0.0365920447440703</v>
      </c>
      <c r="BK27" s="21">
        <f t="shared" ref="BK27:BO27" si="133">IF(OR($AD27=0),"",AZ27/$AD27)</f>
        <v>0.0411963417648557</v>
      </c>
      <c r="BL27" s="21">
        <f t="shared" si="133"/>
        <v>0.0484662844292368</v>
      </c>
      <c r="BM27" s="21">
        <f t="shared" si="133"/>
        <v>0.00321816128609963</v>
      </c>
      <c r="BN27" s="21">
        <f t="shared" si="133"/>
        <v>0.00633939000334361</v>
      </c>
      <c r="BO27" s="21">
        <f t="shared" si="133"/>
        <v>0.0658269075117535</v>
      </c>
    </row>
    <row r="28" spans="1:67">
      <c r="A28" s="9">
        <f t="shared" si="11"/>
        <v>44341</v>
      </c>
      <c r="B28" s="10">
        <v>16325.25</v>
      </c>
      <c r="C28" s="8">
        <v>89133.6</v>
      </c>
      <c r="D28" s="8">
        <v>56970.8</v>
      </c>
      <c r="E28" s="8">
        <v>56546.3</v>
      </c>
      <c r="F28" s="8">
        <v>4670.36</v>
      </c>
      <c r="G28" s="8">
        <v>111146.7</v>
      </c>
      <c r="H28" s="8">
        <v>5596.3</v>
      </c>
      <c r="I28" s="8">
        <v>2566.3</v>
      </c>
      <c r="J28" s="8">
        <v>967</v>
      </c>
      <c r="K28" s="8">
        <v>56</v>
      </c>
      <c r="L28" s="8">
        <v>89585.3</v>
      </c>
      <c r="M28" s="8">
        <v>61206.8</v>
      </c>
      <c r="N28" s="8">
        <v>71089</v>
      </c>
      <c r="O28" s="8">
        <v>101430.4</v>
      </c>
      <c r="P28" s="8">
        <v>5357.3</v>
      </c>
      <c r="Q28" s="8">
        <v>7182.8</v>
      </c>
      <c r="R28" s="8">
        <v>4528.9</v>
      </c>
      <c r="S28" s="8">
        <v>5034.3</v>
      </c>
      <c r="T28" s="8">
        <v>6552.3</v>
      </c>
      <c r="U28" s="8">
        <v>17070.6</v>
      </c>
      <c r="V28" s="8">
        <v>50134.2</v>
      </c>
      <c r="W28" s="8">
        <v>51241.2</v>
      </c>
      <c r="X28" s="8">
        <v>1885.5</v>
      </c>
      <c r="Y28" s="8">
        <v>1606.2</v>
      </c>
      <c r="Z28" s="16">
        <f t="shared" si="18"/>
        <v>54732.9</v>
      </c>
      <c r="AA28" s="8">
        <v>60388.8</v>
      </c>
      <c r="AB28" s="14">
        <v>3117</v>
      </c>
      <c r="AC28" s="7">
        <f t="shared" si="19"/>
        <v>63505.8</v>
      </c>
      <c r="AD28" s="17">
        <v>207466</v>
      </c>
      <c r="AE28" s="18">
        <f t="shared" ref="AE28:AI28" si="134">IF(OR(C29=""),"",(C29-C28)*80)</f>
        <v>3840</v>
      </c>
      <c r="AF28" s="18">
        <f t="shared" si="134"/>
        <v>3023.99999999965</v>
      </c>
      <c r="AG28" s="18">
        <f t="shared" si="134"/>
        <v>0</v>
      </c>
      <c r="AH28" s="18">
        <f t="shared" si="134"/>
        <v>4.80000000003201</v>
      </c>
      <c r="AI28" s="18">
        <f t="shared" si="134"/>
        <v>1944.00000000023</v>
      </c>
      <c r="AJ28" s="18">
        <f t="shared" si="3"/>
        <v>8812.79999999992</v>
      </c>
      <c r="AK28" s="18">
        <f t="shared" ref="AK28:AN28" si="135">IF(OR(H29=""),"",(H29-H28)*80)</f>
        <v>0</v>
      </c>
      <c r="AL28" s="18">
        <f t="shared" si="135"/>
        <v>0</v>
      </c>
      <c r="AM28" s="18">
        <f t="shared" si="135"/>
        <v>0</v>
      </c>
      <c r="AN28" s="18">
        <f t="shared" si="135"/>
        <v>0</v>
      </c>
      <c r="AO28" s="18">
        <f t="shared" si="5"/>
        <v>0</v>
      </c>
      <c r="AP28" s="18">
        <f t="shared" ref="AP28:AS28" si="136">IF(OR(L29=""),"",(L29-L28)*100)</f>
        <v>3059.99999999913</v>
      </c>
      <c r="AQ28" s="18">
        <f t="shared" si="136"/>
        <v>0</v>
      </c>
      <c r="AR28" s="18">
        <f t="shared" si="136"/>
        <v>2560.00000000058</v>
      </c>
      <c r="AS28" s="18">
        <f t="shared" si="136"/>
        <v>2420.00000000116</v>
      </c>
      <c r="AT28" s="18">
        <f t="shared" si="7"/>
        <v>8040.00000000087</v>
      </c>
      <c r="AU28" s="18">
        <f t="shared" ref="AU28:AY28" si="137">IF(OR(P29=""),"",(P29-P28)*1000)</f>
        <v>3899.99999999964</v>
      </c>
      <c r="AV28" s="18">
        <f t="shared" si="137"/>
        <v>0</v>
      </c>
      <c r="AW28" s="18">
        <f t="shared" si="137"/>
        <v>0</v>
      </c>
      <c r="AX28" s="18">
        <f t="shared" si="137"/>
        <v>4899.99999999964</v>
      </c>
      <c r="AY28" s="18">
        <f t="shared" si="137"/>
        <v>0</v>
      </c>
      <c r="AZ28" s="18">
        <f t="shared" si="9"/>
        <v>8799.99999999927</v>
      </c>
      <c r="BA28" s="18">
        <f t="shared" si="24"/>
        <v>10600.0000000058</v>
      </c>
      <c r="BB28" s="18">
        <f t="shared" si="25"/>
        <v>608.000000000466</v>
      </c>
      <c r="BC28" s="18">
        <f t="shared" si="12"/>
        <v>1464.00000000023</v>
      </c>
      <c r="BD28" s="18">
        <f t="shared" si="10"/>
        <v>14375.1999999978</v>
      </c>
      <c r="BE28" s="18">
        <f t="shared" si="26"/>
        <v>52700.0000000044</v>
      </c>
      <c r="BF28" s="18">
        <f t="shared" si="27"/>
        <v>61.5</v>
      </c>
      <c r="BG28" s="21">
        <f t="shared" si="13"/>
        <v>0.254017525763279</v>
      </c>
      <c r="BH28" s="21">
        <f t="shared" si="14"/>
        <v>0.0424782855986037</v>
      </c>
      <c r="BI28" s="21">
        <f t="shared" si="15"/>
        <v>0</v>
      </c>
      <c r="BJ28" s="21">
        <f t="shared" si="16"/>
        <v>0.0387533378963342</v>
      </c>
      <c r="BK28" s="21">
        <f t="shared" ref="BK28:BO28" si="138">IF(OR($AD28=0),"",AZ28/$AD28)</f>
        <v>0.0424165887422482</v>
      </c>
      <c r="BL28" s="21">
        <f t="shared" si="138"/>
        <v>0.0510927091668313</v>
      </c>
      <c r="BM28" s="21">
        <f t="shared" si="138"/>
        <v>0.00293060067673964</v>
      </c>
      <c r="BN28" s="21">
        <f t="shared" si="138"/>
        <v>0.007056577945303</v>
      </c>
      <c r="BO28" s="21">
        <f t="shared" si="138"/>
        <v>0.0692894257372186</v>
      </c>
    </row>
    <row r="29" spans="1:67">
      <c r="A29" s="9">
        <f t="shared" si="11"/>
        <v>44342</v>
      </c>
      <c r="B29" s="10">
        <v>16330.52</v>
      </c>
      <c r="C29" s="8">
        <v>89181.6</v>
      </c>
      <c r="D29" s="8">
        <v>57008.6</v>
      </c>
      <c r="E29" s="8">
        <v>56546.3</v>
      </c>
      <c r="F29" s="8">
        <v>4670.42</v>
      </c>
      <c r="G29" s="8">
        <v>111171</v>
      </c>
      <c r="H29" s="8">
        <v>5596.3</v>
      </c>
      <c r="I29" s="8">
        <v>2566.3</v>
      </c>
      <c r="J29" s="8">
        <v>967</v>
      </c>
      <c r="K29" s="8">
        <v>56</v>
      </c>
      <c r="L29" s="8">
        <v>89615.9</v>
      </c>
      <c r="M29" s="8">
        <v>61206.8</v>
      </c>
      <c r="N29" s="8">
        <v>71114.6</v>
      </c>
      <c r="O29" s="8">
        <v>101454.6</v>
      </c>
      <c r="P29" s="8">
        <v>5361.2</v>
      </c>
      <c r="Q29" s="8">
        <v>7182.8</v>
      </c>
      <c r="R29" s="8">
        <v>4528.9</v>
      </c>
      <c r="S29" s="8">
        <v>5039.2</v>
      </c>
      <c r="T29" s="8">
        <v>6552.3</v>
      </c>
      <c r="U29" s="8">
        <v>17075.9</v>
      </c>
      <c r="V29" s="8">
        <v>50141.8</v>
      </c>
      <c r="W29" s="8">
        <v>51258</v>
      </c>
      <c r="X29" s="8">
        <v>1895.3</v>
      </c>
      <c r="Y29" s="8">
        <v>1616.2</v>
      </c>
      <c r="Z29" s="16">
        <f t="shared" si="18"/>
        <v>54769.5</v>
      </c>
      <c r="AA29" s="8">
        <v>60437.3</v>
      </c>
      <c r="AB29" s="14">
        <v>3130</v>
      </c>
      <c r="AC29" s="7">
        <f t="shared" si="19"/>
        <v>63567.3</v>
      </c>
      <c r="AD29" s="17">
        <v>208206</v>
      </c>
      <c r="AE29" s="18">
        <f t="shared" ref="AE29:AI29" si="139">IF(OR(C30=""),"",(C30-C29)*80)</f>
        <v>3783.99999999907</v>
      </c>
      <c r="AF29" s="18">
        <f t="shared" si="139"/>
        <v>3040</v>
      </c>
      <c r="AG29" s="18">
        <f t="shared" si="139"/>
        <v>0</v>
      </c>
      <c r="AH29" s="18">
        <f t="shared" si="139"/>
        <v>4.00000000001455</v>
      </c>
      <c r="AI29" s="18">
        <f t="shared" si="139"/>
        <v>1568.00000000047</v>
      </c>
      <c r="AJ29" s="18">
        <f t="shared" si="3"/>
        <v>8395.99999999955</v>
      </c>
      <c r="AK29" s="18">
        <f t="shared" ref="AK29:AN29" si="140">IF(OR(H30=""),"",(H30-H29)*80)</f>
        <v>0</v>
      </c>
      <c r="AL29" s="18">
        <f t="shared" si="140"/>
        <v>0</v>
      </c>
      <c r="AM29" s="18">
        <f t="shared" si="140"/>
        <v>0</v>
      </c>
      <c r="AN29" s="18">
        <f t="shared" si="140"/>
        <v>0</v>
      </c>
      <c r="AO29" s="18">
        <f t="shared" si="5"/>
        <v>0</v>
      </c>
      <c r="AP29" s="18">
        <f t="shared" ref="AP29:AS29" si="141">IF(OR(L30=""),"",(L30-L29)*100)</f>
        <v>2920.00000000116</v>
      </c>
      <c r="AQ29" s="18">
        <f t="shared" si="141"/>
        <v>0</v>
      </c>
      <c r="AR29" s="18">
        <f t="shared" si="141"/>
        <v>2469.99999999971</v>
      </c>
      <c r="AS29" s="18">
        <f t="shared" si="141"/>
        <v>2619.99999999971</v>
      </c>
      <c r="AT29" s="18">
        <f t="shared" si="7"/>
        <v>8010.00000000058</v>
      </c>
      <c r="AU29" s="18">
        <f t="shared" ref="AU29:AY29" si="142">IF(OR(P30=""),"",(P30-P29)*1000)</f>
        <v>3500</v>
      </c>
      <c r="AV29" s="18">
        <f t="shared" si="142"/>
        <v>0</v>
      </c>
      <c r="AW29" s="18">
        <f t="shared" si="142"/>
        <v>0</v>
      </c>
      <c r="AX29" s="18">
        <f t="shared" si="142"/>
        <v>5000</v>
      </c>
      <c r="AY29" s="18">
        <f t="shared" si="142"/>
        <v>0</v>
      </c>
      <c r="AZ29" s="18">
        <f t="shared" si="9"/>
        <v>8500</v>
      </c>
      <c r="BA29" s="18">
        <f t="shared" si="24"/>
        <v>9799.99999999563</v>
      </c>
      <c r="BB29" s="18">
        <f t="shared" si="25"/>
        <v>623.999999999651</v>
      </c>
      <c r="BC29" s="18">
        <f t="shared" si="12"/>
        <v>1360</v>
      </c>
      <c r="BD29" s="18">
        <f t="shared" si="10"/>
        <v>12709.9999999915</v>
      </c>
      <c r="BE29" s="18">
        <f t="shared" si="26"/>
        <v>49399.9999999869</v>
      </c>
      <c r="BF29" s="18">
        <f t="shared" si="27"/>
        <v>56.0999999999985</v>
      </c>
      <c r="BG29" s="21">
        <f t="shared" si="13"/>
        <v>0.237265016377947</v>
      </c>
      <c r="BH29" s="21">
        <f t="shared" si="14"/>
        <v>0.0403254469131512</v>
      </c>
      <c r="BI29" s="21">
        <f t="shared" si="15"/>
        <v>0</v>
      </c>
      <c r="BJ29" s="21">
        <f t="shared" si="16"/>
        <v>0.0384715137892308</v>
      </c>
      <c r="BK29" s="21">
        <f t="shared" ref="BK29:BO29" si="143">IF(OR($AD29=0),"",AZ29/$AD29)</f>
        <v>0.0408249522107912</v>
      </c>
      <c r="BL29" s="21">
        <f t="shared" si="143"/>
        <v>0.0470687684312442</v>
      </c>
      <c r="BM29" s="21">
        <f t="shared" si="143"/>
        <v>0.00299703178582582</v>
      </c>
      <c r="BN29" s="21">
        <f t="shared" si="143"/>
        <v>0.0065319923537266</v>
      </c>
      <c r="BO29" s="21">
        <f t="shared" si="143"/>
        <v>0.0610453108939775</v>
      </c>
    </row>
    <row r="30" spans="1:67">
      <c r="A30" s="9">
        <f t="shared" si="11"/>
        <v>44343</v>
      </c>
      <c r="B30" s="10">
        <v>16335.46</v>
      </c>
      <c r="C30" s="8">
        <v>89228.9</v>
      </c>
      <c r="D30" s="8">
        <v>57046.6</v>
      </c>
      <c r="E30" s="8">
        <v>56546.3</v>
      </c>
      <c r="F30" s="8">
        <v>4670.47</v>
      </c>
      <c r="G30" s="8">
        <v>111190.6</v>
      </c>
      <c r="H30" s="8">
        <v>5596.3</v>
      </c>
      <c r="I30" s="8">
        <v>2566.3</v>
      </c>
      <c r="J30" s="8">
        <v>967</v>
      </c>
      <c r="K30" s="8">
        <v>56</v>
      </c>
      <c r="L30" s="8">
        <v>89645.1</v>
      </c>
      <c r="M30" s="8">
        <v>61206.8</v>
      </c>
      <c r="N30" s="8">
        <v>71139.3</v>
      </c>
      <c r="O30" s="8">
        <v>101480.8</v>
      </c>
      <c r="P30" s="8">
        <v>5364.7</v>
      </c>
      <c r="Q30" s="8">
        <v>7182.8</v>
      </c>
      <c r="R30" s="8">
        <v>4528.9</v>
      </c>
      <c r="S30" s="8">
        <v>5044.2</v>
      </c>
      <c r="T30" s="8">
        <v>6552.3</v>
      </c>
      <c r="U30" s="8">
        <v>17080.8</v>
      </c>
      <c r="V30" s="8">
        <v>50149.6</v>
      </c>
      <c r="W30" s="8">
        <v>51274.4</v>
      </c>
      <c r="X30" s="8">
        <v>1903.9</v>
      </c>
      <c r="Y30" s="8">
        <v>1625.2</v>
      </c>
      <c r="Z30" s="16">
        <f t="shared" si="18"/>
        <v>54803.5</v>
      </c>
      <c r="AA30" s="8">
        <v>60485.4</v>
      </c>
      <c r="AB30" s="14">
        <v>3138</v>
      </c>
      <c r="AC30" s="7">
        <f t="shared" si="19"/>
        <v>63623.4</v>
      </c>
      <c r="AD30" s="17">
        <v>205660</v>
      </c>
      <c r="AE30" s="18">
        <f t="shared" ref="AE30:AI30" si="144">IF(OR(C31=""),"",(C31-C30)*80)</f>
        <v>3848.00000000047</v>
      </c>
      <c r="AF30" s="18">
        <f t="shared" si="144"/>
        <v>3112.00000000012</v>
      </c>
      <c r="AG30" s="18">
        <f t="shared" si="144"/>
        <v>0</v>
      </c>
      <c r="AH30" s="18">
        <f t="shared" si="144"/>
        <v>4.79999999995925</v>
      </c>
      <c r="AI30" s="18">
        <f t="shared" si="144"/>
        <v>1663.99999999907</v>
      </c>
      <c r="AJ30" s="18">
        <f t="shared" si="3"/>
        <v>8628.79999999961</v>
      </c>
      <c r="AK30" s="18">
        <f t="shared" ref="AK30:AN30" si="145">IF(OR(H31=""),"",(H31-H30)*80)</f>
        <v>0</v>
      </c>
      <c r="AL30" s="18">
        <f t="shared" si="145"/>
        <v>0</v>
      </c>
      <c r="AM30" s="18">
        <f t="shared" si="145"/>
        <v>0</v>
      </c>
      <c r="AN30" s="18">
        <f t="shared" si="145"/>
        <v>0</v>
      </c>
      <c r="AO30" s="18">
        <f t="shared" si="5"/>
        <v>0</v>
      </c>
      <c r="AP30" s="18">
        <f t="shared" ref="AP30:AS30" si="146">IF(OR(L31=""),"",(L31-L30)*100)</f>
        <v>3039.99999999942</v>
      </c>
      <c r="AQ30" s="18">
        <f t="shared" si="146"/>
        <v>0</v>
      </c>
      <c r="AR30" s="18">
        <f t="shared" si="146"/>
        <v>2530.00000000029</v>
      </c>
      <c r="AS30" s="18">
        <f t="shared" si="146"/>
        <v>2759.99999999913</v>
      </c>
      <c r="AT30" s="18">
        <f t="shared" si="7"/>
        <v>8329.99999999884</v>
      </c>
      <c r="AU30" s="18">
        <f t="shared" ref="AU30:AY30" si="147">IF(OR(P31=""),"",(P31-P30)*1000)</f>
        <v>3600.00000000036</v>
      </c>
      <c r="AV30" s="18">
        <f t="shared" si="147"/>
        <v>0</v>
      </c>
      <c r="AW30" s="18">
        <f t="shared" si="147"/>
        <v>0</v>
      </c>
      <c r="AX30" s="18">
        <f t="shared" si="147"/>
        <v>4500</v>
      </c>
      <c r="AY30" s="18">
        <f t="shared" si="147"/>
        <v>0</v>
      </c>
      <c r="AZ30" s="18">
        <f t="shared" si="9"/>
        <v>8100.00000000036</v>
      </c>
      <c r="BA30" s="18">
        <f t="shared" si="24"/>
        <v>10400.0000000015</v>
      </c>
      <c r="BB30" s="18">
        <f t="shared" si="25"/>
        <v>584.000000000233</v>
      </c>
      <c r="BC30" s="18">
        <f t="shared" si="12"/>
        <v>1367.99999999988</v>
      </c>
      <c r="BD30" s="18">
        <f t="shared" si="10"/>
        <v>12489.2000000156</v>
      </c>
      <c r="BE30" s="18">
        <f t="shared" si="26"/>
        <v>49900.000000016</v>
      </c>
      <c r="BF30" s="18">
        <f t="shared" si="27"/>
        <v>60.4000000000015</v>
      </c>
      <c r="BG30" s="21">
        <f t="shared" si="13"/>
        <v>0.242633472722046</v>
      </c>
      <c r="BH30" s="21">
        <f t="shared" si="14"/>
        <v>0.0419566274433512</v>
      </c>
      <c r="BI30" s="21">
        <f t="shared" si="15"/>
        <v>0</v>
      </c>
      <c r="BJ30" s="21">
        <f t="shared" si="16"/>
        <v>0.0405037440435614</v>
      </c>
      <c r="BK30" s="21">
        <f t="shared" ref="BK30:BO30" si="148">IF(OR($AD30=0),"",AZ30/$AD30)</f>
        <v>0.039385393367696</v>
      </c>
      <c r="BL30" s="21">
        <f t="shared" si="148"/>
        <v>0.0505689001264293</v>
      </c>
      <c r="BM30" s="21">
        <f t="shared" si="148"/>
        <v>0.00283963823786946</v>
      </c>
      <c r="BN30" s="21">
        <f t="shared" si="148"/>
        <v>0.00665175532432113</v>
      </c>
      <c r="BO30" s="21">
        <f t="shared" si="148"/>
        <v>0.0607274141788176</v>
      </c>
    </row>
    <row r="31" spans="1:67">
      <c r="A31" s="9">
        <f t="shared" si="11"/>
        <v>44344</v>
      </c>
      <c r="B31" s="10">
        <v>16340.45</v>
      </c>
      <c r="C31" s="8">
        <v>89277</v>
      </c>
      <c r="D31" s="8">
        <v>57085.5</v>
      </c>
      <c r="E31" s="8">
        <v>56546.3</v>
      </c>
      <c r="F31" s="8">
        <v>4670.53</v>
      </c>
      <c r="G31" s="8">
        <v>111211.4</v>
      </c>
      <c r="H31" s="8">
        <v>5596.3</v>
      </c>
      <c r="I31" s="8">
        <v>2566.3</v>
      </c>
      <c r="J31" s="8">
        <v>967</v>
      </c>
      <c r="K31" s="8">
        <v>56</v>
      </c>
      <c r="L31" s="8">
        <v>89675.5</v>
      </c>
      <c r="M31" s="8">
        <v>61206.8</v>
      </c>
      <c r="N31" s="8">
        <v>71164.6</v>
      </c>
      <c r="O31" s="8">
        <v>101508.4</v>
      </c>
      <c r="P31" s="8">
        <v>5368.3</v>
      </c>
      <c r="Q31" s="8">
        <v>7182.8</v>
      </c>
      <c r="R31" s="8">
        <v>4528.9</v>
      </c>
      <c r="S31" s="8">
        <v>5048.7</v>
      </c>
      <c r="T31" s="8">
        <v>6552.3</v>
      </c>
      <c r="U31" s="8">
        <v>17086</v>
      </c>
      <c r="V31" s="8">
        <v>50156.9</v>
      </c>
      <c r="W31" s="8">
        <v>51291.1</v>
      </c>
      <c r="X31" s="8">
        <v>1912.2</v>
      </c>
      <c r="Y31" s="8">
        <v>1634.4</v>
      </c>
      <c r="Z31" s="16">
        <f t="shared" si="18"/>
        <v>54837.7</v>
      </c>
      <c r="AA31" s="8">
        <v>60534.8</v>
      </c>
      <c r="AB31" s="14">
        <v>3149</v>
      </c>
      <c r="AC31" s="7">
        <f t="shared" si="19"/>
        <v>63683.8</v>
      </c>
      <c r="AD31" s="17">
        <v>210991</v>
      </c>
      <c r="AE31" s="18">
        <f t="shared" ref="AE31:AI31" si="149">IF(OR(C32=""),"",(C32-C31)*80)</f>
        <v>3704.00000000023</v>
      </c>
      <c r="AF31" s="18">
        <f t="shared" si="149"/>
        <v>3015.99999999977</v>
      </c>
      <c r="AG31" s="18">
        <f t="shared" si="149"/>
        <v>0</v>
      </c>
      <c r="AH31" s="18">
        <f t="shared" si="149"/>
        <v>4.00000000001455</v>
      </c>
      <c r="AI31" s="18">
        <f t="shared" si="149"/>
        <v>1864.00000000023</v>
      </c>
      <c r="AJ31" s="18">
        <f t="shared" si="3"/>
        <v>8588.00000000025</v>
      </c>
      <c r="AK31" s="18">
        <f t="shared" ref="AK31:AN31" si="150">IF(OR(H32=""),"",(H32-H31)*80)</f>
        <v>0</v>
      </c>
      <c r="AL31" s="18">
        <f t="shared" si="150"/>
        <v>0</v>
      </c>
      <c r="AM31" s="18">
        <f t="shared" si="150"/>
        <v>0</v>
      </c>
      <c r="AN31" s="18">
        <f t="shared" si="150"/>
        <v>0</v>
      </c>
      <c r="AO31" s="18">
        <f t="shared" si="5"/>
        <v>0</v>
      </c>
      <c r="AP31" s="18">
        <f t="shared" ref="AP31:AS31" si="151">IF(OR(L32=""),"",(L32-L31)*100)</f>
        <v>3030.00000000029</v>
      </c>
      <c r="AQ31" s="18">
        <f t="shared" si="151"/>
        <v>29.9999999995634</v>
      </c>
      <c r="AR31" s="18">
        <f t="shared" si="151"/>
        <v>2500</v>
      </c>
      <c r="AS31" s="18">
        <f t="shared" si="151"/>
        <v>2700</v>
      </c>
      <c r="AT31" s="18">
        <f t="shared" si="7"/>
        <v>8259.99999999985</v>
      </c>
      <c r="AU31" s="18">
        <f t="shared" ref="AU31:AY31" si="152">IF(OR(P32=""),"",(P32-P31)*1000)</f>
        <v>3599.99999999945</v>
      </c>
      <c r="AV31" s="18">
        <f t="shared" si="152"/>
        <v>0</v>
      </c>
      <c r="AW31" s="18">
        <f t="shared" si="152"/>
        <v>0</v>
      </c>
      <c r="AX31" s="18">
        <f t="shared" si="152"/>
        <v>4900.00000000055</v>
      </c>
      <c r="AY31" s="18">
        <f t="shared" si="152"/>
        <v>0</v>
      </c>
      <c r="AZ31" s="18">
        <f t="shared" si="9"/>
        <v>8500</v>
      </c>
      <c r="BA31" s="18">
        <f t="shared" si="24"/>
        <v>9599.99999999854</v>
      </c>
      <c r="BB31" s="18">
        <f t="shared" si="25"/>
        <v>952.000000000116</v>
      </c>
      <c r="BC31" s="18">
        <f t="shared" si="12"/>
        <v>1340.00000000029</v>
      </c>
      <c r="BD31" s="18">
        <f t="shared" si="10"/>
        <v>12459.9999999944</v>
      </c>
      <c r="BE31" s="18">
        <f t="shared" si="26"/>
        <v>49699.9999999935</v>
      </c>
      <c r="BF31" s="18">
        <f t="shared" si="27"/>
        <v>52.8999999999942</v>
      </c>
      <c r="BG31" s="21">
        <f t="shared" si="13"/>
        <v>0.235555071069351</v>
      </c>
      <c r="BH31" s="21">
        <f t="shared" si="14"/>
        <v>0.0407031579546059</v>
      </c>
      <c r="BI31" s="21">
        <f t="shared" si="15"/>
        <v>0</v>
      </c>
      <c r="BJ31" s="21">
        <f t="shared" si="16"/>
        <v>0.0391485892763192</v>
      </c>
      <c r="BK31" s="21">
        <f t="shared" ref="BK31:BO31" si="153">IF(OR($AD31=0),"",AZ31/$AD31)</f>
        <v>0.0402860785531136</v>
      </c>
      <c r="BL31" s="21">
        <f t="shared" si="153"/>
        <v>0.045499571071745</v>
      </c>
      <c r="BM31" s="21">
        <f t="shared" si="153"/>
        <v>0.00451204079794928</v>
      </c>
      <c r="BN31" s="21">
        <f t="shared" si="153"/>
        <v>0.00635098179543341</v>
      </c>
      <c r="BO31" s="21">
        <f t="shared" si="153"/>
        <v>0.0590546516201847</v>
      </c>
    </row>
    <row r="32" spans="1:67">
      <c r="A32" s="9">
        <f t="shared" si="11"/>
        <v>44345</v>
      </c>
      <c r="B32" s="10">
        <v>16345.42</v>
      </c>
      <c r="C32" s="8">
        <v>89323.3</v>
      </c>
      <c r="D32" s="8">
        <v>57123.2</v>
      </c>
      <c r="E32" s="8">
        <v>56546.3</v>
      </c>
      <c r="F32" s="8">
        <v>4670.58</v>
      </c>
      <c r="G32" s="8">
        <v>111234.7</v>
      </c>
      <c r="H32" s="8">
        <v>5596.3</v>
      </c>
      <c r="I32" s="8">
        <v>2566.3</v>
      </c>
      <c r="J32" s="8">
        <v>967</v>
      </c>
      <c r="K32" s="8">
        <v>56</v>
      </c>
      <c r="L32" s="8">
        <v>89705.8</v>
      </c>
      <c r="M32" s="8">
        <v>61207.1</v>
      </c>
      <c r="N32" s="8">
        <v>71189.6</v>
      </c>
      <c r="O32" s="8">
        <v>101535.4</v>
      </c>
      <c r="P32" s="8">
        <v>5371.9</v>
      </c>
      <c r="Q32" s="8">
        <v>7182.8</v>
      </c>
      <c r="R32" s="8">
        <v>4528.9</v>
      </c>
      <c r="S32" s="8">
        <v>5053.6</v>
      </c>
      <c r="T32" s="8">
        <v>6552.3</v>
      </c>
      <c r="U32" s="8">
        <v>17090.8</v>
      </c>
      <c r="V32" s="8">
        <v>50168.8</v>
      </c>
      <c r="W32" s="8">
        <v>51307.5</v>
      </c>
      <c r="X32" s="8">
        <v>1920.3</v>
      </c>
      <c r="Y32" s="8">
        <v>1643.4</v>
      </c>
      <c r="Z32" s="16">
        <f t="shared" si="18"/>
        <v>54871.2</v>
      </c>
      <c r="AA32" s="8">
        <v>60582.7</v>
      </c>
      <c r="AB32" s="14">
        <v>3154</v>
      </c>
      <c r="AC32" s="7">
        <f t="shared" si="19"/>
        <v>63736.7</v>
      </c>
      <c r="AD32" s="17">
        <v>212201</v>
      </c>
      <c r="AE32" s="18">
        <f t="shared" ref="AE32:AI32" si="154">IF(OR(C33=""),"",(C33-C32)*80)</f>
        <v>3887.9999999993</v>
      </c>
      <c r="AF32" s="18">
        <f t="shared" si="154"/>
        <v>3112.00000000012</v>
      </c>
      <c r="AG32" s="18">
        <f t="shared" si="154"/>
        <v>0</v>
      </c>
      <c r="AH32" s="18">
        <f t="shared" si="154"/>
        <v>0</v>
      </c>
      <c r="AI32" s="18">
        <f t="shared" si="154"/>
        <v>1935.99999999977</v>
      </c>
      <c r="AJ32" s="18">
        <f t="shared" si="3"/>
        <v>8935.99999999919</v>
      </c>
      <c r="AK32" s="18">
        <f t="shared" ref="AK32:AN32" si="155">IF(OR(H33=""),"",(H33-H32)*80)</f>
        <v>0</v>
      </c>
      <c r="AL32" s="18">
        <f t="shared" si="155"/>
        <v>0</v>
      </c>
      <c r="AM32" s="18">
        <f t="shared" si="155"/>
        <v>0</v>
      </c>
      <c r="AN32" s="18">
        <f t="shared" si="155"/>
        <v>0</v>
      </c>
      <c r="AO32" s="18">
        <f t="shared" si="5"/>
        <v>0</v>
      </c>
      <c r="AP32" s="18">
        <f t="shared" ref="AP32:AS32" si="156">IF(OR(L33=""),"",(L33-L32)*100)</f>
        <v>3259.99999999913</v>
      </c>
      <c r="AQ32" s="18">
        <f t="shared" si="156"/>
        <v>0</v>
      </c>
      <c r="AR32" s="18">
        <f t="shared" si="156"/>
        <v>2519.99999999971</v>
      </c>
      <c r="AS32" s="18">
        <f t="shared" si="156"/>
        <v>2750</v>
      </c>
      <c r="AT32" s="18">
        <f t="shared" si="7"/>
        <v>8529.99999999884</v>
      </c>
      <c r="AU32" s="18">
        <f t="shared" ref="AU32:AY32" si="157">IF(OR(P33=""),"",(P33-P32)*1000)</f>
        <v>3500</v>
      </c>
      <c r="AV32" s="18">
        <f t="shared" si="157"/>
        <v>0</v>
      </c>
      <c r="AW32" s="18">
        <f t="shared" si="157"/>
        <v>0</v>
      </c>
      <c r="AX32" s="18">
        <f t="shared" si="157"/>
        <v>5299.99999999927</v>
      </c>
      <c r="AY32" s="18">
        <f t="shared" si="157"/>
        <v>0</v>
      </c>
      <c r="AZ32" s="18">
        <f t="shared" si="9"/>
        <v>8799.99999999927</v>
      </c>
      <c r="BA32" s="18">
        <f t="shared" si="24"/>
        <v>10200.0000000044</v>
      </c>
      <c r="BB32" s="18">
        <f t="shared" si="25"/>
        <v>1135.99999999977</v>
      </c>
      <c r="BC32" s="18">
        <f t="shared" si="12"/>
        <v>1371.99999999953</v>
      </c>
      <c r="BD32" s="18">
        <f t="shared" si="10"/>
        <v>12625.9999999976</v>
      </c>
      <c r="BE32" s="18">
        <f t="shared" si="26"/>
        <v>51599.9999999985</v>
      </c>
      <c r="BF32" s="18">
        <f t="shared" si="27"/>
        <v>55.5</v>
      </c>
      <c r="BG32" s="21">
        <f t="shared" si="13"/>
        <v>0.24316567782432</v>
      </c>
      <c r="BH32" s="21">
        <f t="shared" si="14"/>
        <v>0.0421110173844571</v>
      </c>
      <c r="BI32" s="21">
        <f t="shared" si="15"/>
        <v>0</v>
      </c>
      <c r="BJ32" s="21">
        <f t="shared" si="16"/>
        <v>0.0401977370511865</v>
      </c>
      <c r="BK32" s="21">
        <f t="shared" ref="BK32:BO32" si="158">IF(OR($AD32=0),"",AZ32/$AD32)</f>
        <v>0.0414701155979438</v>
      </c>
      <c r="BL32" s="21">
        <f t="shared" si="158"/>
        <v>0.0480676339885503</v>
      </c>
      <c r="BM32" s="21">
        <f t="shared" si="158"/>
        <v>0.005353414922643</v>
      </c>
      <c r="BN32" s="21">
        <f t="shared" si="158"/>
        <v>0.00646556802276867</v>
      </c>
      <c r="BO32" s="21">
        <f t="shared" si="158"/>
        <v>0.0595001908567706</v>
      </c>
    </row>
    <row r="33" spans="1:67">
      <c r="A33" s="9">
        <f t="shared" si="11"/>
        <v>44346</v>
      </c>
      <c r="B33" s="10">
        <v>16350.58</v>
      </c>
      <c r="C33" s="8">
        <v>89371.9</v>
      </c>
      <c r="D33" s="8">
        <v>57162.1</v>
      </c>
      <c r="E33" s="8">
        <v>56546.3</v>
      </c>
      <c r="F33" s="8">
        <v>4670.58</v>
      </c>
      <c r="G33" s="8">
        <v>111258.9</v>
      </c>
      <c r="H33" s="8">
        <v>5596.3</v>
      </c>
      <c r="I33" s="8">
        <v>2566.3</v>
      </c>
      <c r="J33" s="8">
        <v>967</v>
      </c>
      <c r="K33" s="8">
        <v>56</v>
      </c>
      <c r="L33" s="8">
        <v>89738.4</v>
      </c>
      <c r="M33" s="8">
        <v>61207.1</v>
      </c>
      <c r="N33" s="8">
        <v>71214.8</v>
      </c>
      <c r="O33" s="8">
        <v>101562.9</v>
      </c>
      <c r="P33" s="8">
        <v>5375.4</v>
      </c>
      <c r="Q33" s="8">
        <v>7182.8</v>
      </c>
      <c r="R33" s="8">
        <v>4528.9</v>
      </c>
      <c r="S33" s="8">
        <v>5058.9</v>
      </c>
      <c r="T33" s="8">
        <v>6552.3</v>
      </c>
      <c r="U33" s="8">
        <v>17095.9</v>
      </c>
      <c r="V33" s="8">
        <v>50183</v>
      </c>
      <c r="W33" s="8">
        <v>51324.2</v>
      </c>
      <c r="X33" s="8">
        <v>1928.7</v>
      </c>
      <c r="Y33" s="8">
        <v>1652.6</v>
      </c>
      <c r="Z33" s="16">
        <f t="shared" si="18"/>
        <v>54905.5</v>
      </c>
      <c r="AA33" s="8">
        <v>60631.2</v>
      </c>
      <c r="AB33" s="14">
        <v>3161</v>
      </c>
      <c r="AC33" s="7">
        <f t="shared" si="19"/>
        <v>63792.2</v>
      </c>
      <c r="AD33" s="17">
        <v>211855</v>
      </c>
      <c r="AE33" s="18">
        <f t="shared" ref="AE33:AI33" si="159">IF(OR(C34=""),"",(C34-C33)*80)</f>
        <v>3768.00000000047</v>
      </c>
      <c r="AF33" s="18">
        <f t="shared" si="159"/>
        <v>2976.00000000035</v>
      </c>
      <c r="AG33" s="18">
        <f t="shared" si="159"/>
        <v>0</v>
      </c>
      <c r="AH33" s="18">
        <f t="shared" si="159"/>
        <v>8.79999999997381</v>
      </c>
      <c r="AI33" s="18">
        <f t="shared" si="159"/>
        <v>2128.00000000047</v>
      </c>
      <c r="AJ33" s="18">
        <f t="shared" si="3"/>
        <v>8880.80000000125</v>
      </c>
      <c r="AK33" s="18">
        <f t="shared" ref="AK33:AN33" si="160">IF(OR(H34=""),"",(H34-H33)*80)</f>
        <v>0</v>
      </c>
      <c r="AL33" s="18">
        <f t="shared" si="160"/>
        <v>0</v>
      </c>
      <c r="AM33" s="18">
        <f t="shared" si="160"/>
        <v>0</v>
      </c>
      <c r="AN33" s="18">
        <f t="shared" si="160"/>
        <v>0</v>
      </c>
      <c r="AO33" s="18">
        <f t="shared" si="5"/>
        <v>0</v>
      </c>
      <c r="AP33" s="18">
        <f t="shared" ref="AP33:AS33" si="161">IF(OR(L34=""),"",(L34-L33)*100)</f>
        <v>3240.00000000087</v>
      </c>
      <c r="AQ33" s="18">
        <f t="shared" si="161"/>
        <v>0</v>
      </c>
      <c r="AR33" s="18">
        <f t="shared" si="161"/>
        <v>2530.00000000029</v>
      </c>
      <c r="AS33" s="18">
        <f t="shared" si="161"/>
        <v>2680.00000000029</v>
      </c>
      <c r="AT33" s="18">
        <f t="shared" si="7"/>
        <v>8450.00000000146</v>
      </c>
      <c r="AU33" s="18">
        <f t="shared" ref="AU33:AY33" si="162">IF(OR(P34=""),"",(P34-P33)*1000)</f>
        <v>1200.00000000073</v>
      </c>
      <c r="AV33" s="18">
        <f t="shared" si="162"/>
        <v>5399.99999999964</v>
      </c>
      <c r="AW33" s="18">
        <f t="shared" si="162"/>
        <v>0</v>
      </c>
      <c r="AX33" s="18">
        <f t="shared" si="162"/>
        <v>5400.00000000055</v>
      </c>
      <c r="AY33" s="18">
        <f t="shared" si="162"/>
        <v>0</v>
      </c>
      <c r="AZ33" s="18">
        <f t="shared" si="9"/>
        <v>12000.0000000009</v>
      </c>
      <c r="BA33" s="18">
        <f t="shared" si="24"/>
        <v>10199.9999999971</v>
      </c>
      <c r="BB33" s="18">
        <f t="shared" si="25"/>
        <v>1167.99999999988</v>
      </c>
      <c r="BC33" s="18">
        <f t="shared" si="12"/>
        <v>1344.00000000023</v>
      </c>
      <c r="BD33" s="18">
        <f t="shared" si="10"/>
        <v>10957.1999999919</v>
      </c>
      <c r="BE33" s="18">
        <f t="shared" si="26"/>
        <v>52999.9999999927</v>
      </c>
      <c r="BF33" s="18">
        <f t="shared" si="27"/>
        <v>56</v>
      </c>
      <c r="BG33" s="21">
        <f t="shared" si="13"/>
        <v>0.250171107597143</v>
      </c>
      <c r="BH33" s="21">
        <f t="shared" si="14"/>
        <v>0.0419192372141382</v>
      </c>
      <c r="BI33" s="21">
        <f t="shared" si="15"/>
        <v>0</v>
      </c>
      <c r="BJ33" s="21">
        <f t="shared" si="16"/>
        <v>0.0398857709282361</v>
      </c>
      <c r="BK33" s="21">
        <f t="shared" ref="BK33:BO33" si="163">IF(OR($AD33=0),"",AZ33/$AD33)</f>
        <v>0.0566425149276671</v>
      </c>
      <c r="BL33" s="21">
        <f t="shared" si="163"/>
        <v>0.0481461376884996</v>
      </c>
      <c r="BM33" s="21">
        <f t="shared" si="163"/>
        <v>0.00551320478629196</v>
      </c>
      <c r="BN33" s="21">
        <f t="shared" si="163"/>
        <v>0.00634396167189933</v>
      </c>
      <c r="BO33" s="21">
        <f t="shared" si="163"/>
        <v>0.0517202803804107</v>
      </c>
    </row>
    <row r="34" spans="1:67">
      <c r="A34" s="9">
        <f t="shared" si="11"/>
        <v>44347</v>
      </c>
      <c r="B34" s="7">
        <v>16355.88</v>
      </c>
      <c r="C34" s="8">
        <v>89419</v>
      </c>
      <c r="D34" s="8">
        <v>57199.3</v>
      </c>
      <c r="E34" s="8">
        <v>56546.3</v>
      </c>
      <c r="F34" s="8">
        <v>4670.69</v>
      </c>
      <c r="G34" s="8">
        <v>111285.5</v>
      </c>
      <c r="H34" s="8">
        <v>5596.3</v>
      </c>
      <c r="I34" s="8">
        <v>2566.3</v>
      </c>
      <c r="J34" s="8">
        <v>967</v>
      </c>
      <c r="K34" s="8">
        <v>56</v>
      </c>
      <c r="L34" s="8">
        <v>89770.8</v>
      </c>
      <c r="M34" s="8">
        <v>61207.1</v>
      </c>
      <c r="N34" s="8">
        <v>71240.1</v>
      </c>
      <c r="O34" s="8">
        <v>101589.7</v>
      </c>
      <c r="P34" s="8">
        <v>5376.6</v>
      </c>
      <c r="Q34" s="8">
        <v>7188.2</v>
      </c>
      <c r="R34" s="8">
        <v>4528.9</v>
      </c>
      <c r="S34" s="8">
        <v>5064.3</v>
      </c>
      <c r="T34" s="8">
        <v>6552.3</v>
      </c>
      <c r="U34" s="8">
        <v>17101</v>
      </c>
      <c r="V34" s="8">
        <v>50197.6</v>
      </c>
      <c r="W34" s="8">
        <v>51340.3</v>
      </c>
      <c r="X34" s="8">
        <v>1937.1</v>
      </c>
      <c r="Y34" s="8">
        <v>1661.7</v>
      </c>
      <c r="Z34" s="16">
        <f t="shared" si="18"/>
        <v>54939.1</v>
      </c>
      <c r="AA34" s="8">
        <v>60679.2</v>
      </c>
      <c r="AB34" s="14">
        <v>3169</v>
      </c>
      <c r="AC34" s="7">
        <f t="shared" si="19"/>
        <v>63848.2</v>
      </c>
      <c r="AD34" s="17">
        <v>209045</v>
      </c>
      <c r="AE34" s="18">
        <f t="shared" ref="AE34:AI34" si="164">IF(OR(C35=""),"",(C35-C34)*80)</f>
        <v>3751.99999999953</v>
      </c>
      <c r="AF34" s="18">
        <f t="shared" si="164"/>
        <v>3031.99999999953</v>
      </c>
      <c r="AG34" s="18">
        <f t="shared" si="164"/>
        <v>0</v>
      </c>
      <c r="AH34" s="18">
        <f t="shared" si="164"/>
        <v>4.80000000003201</v>
      </c>
      <c r="AI34" s="18">
        <f t="shared" si="164"/>
        <v>2031.99999999953</v>
      </c>
      <c r="AJ34" s="18">
        <f t="shared" si="3"/>
        <v>8820.79999999864</v>
      </c>
      <c r="AK34" s="18">
        <f t="shared" ref="AK34:AN34" si="165">IF(OR(H35=""),"",(H35-H34)*80)</f>
        <v>0</v>
      </c>
      <c r="AL34" s="18">
        <f t="shared" si="165"/>
        <v>0</v>
      </c>
      <c r="AM34" s="18">
        <f t="shared" si="165"/>
        <v>0</v>
      </c>
      <c r="AN34" s="18">
        <f t="shared" si="165"/>
        <v>0</v>
      </c>
      <c r="AO34" s="18">
        <f t="shared" si="5"/>
        <v>0</v>
      </c>
      <c r="AP34" s="18">
        <f t="shared" ref="AP34:AS34" si="166">IF(OR(L35=""),"",(L35-L34)*100)</f>
        <v>3050</v>
      </c>
      <c r="AQ34" s="18">
        <f t="shared" si="166"/>
        <v>0</v>
      </c>
      <c r="AR34" s="18">
        <f t="shared" si="166"/>
        <v>2539.99999999942</v>
      </c>
      <c r="AS34" s="18">
        <f t="shared" si="166"/>
        <v>2719.99999999971</v>
      </c>
      <c r="AT34" s="18">
        <f t="shared" si="7"/>
        <v>8309.99999999913</v>
      </c>
      <c r="AU34" s="18">
        <f t="shared" ref="AU34:AY34" si="167">IF(OR(P35=""),"",(P35-P34)*1000)</f>
        <v>99.9999999994543</v>
      </c>
      <c r="AV34" s="18">
        <f t="shared" si="167"/>
        <v>1800.00000000018</v>
      </c>
      <c r="AW34" s="18">
        <f t="shared" si="167"/>
        <v>0</v>
      </c>
      <c r="AX34" s="18">
        <f t="shared" si="167"/>
        <v>4899.99999999964</v>
      </c>
      <c r="AY34" s="18">
        <f t="shared" si="167"/>
        <v>6899.99999999964</v>
      </c>
      <c r="AZ34" s="18">
        <f t="shared" si="9"/>
        <v>13699.9999999989</v>
      </c>
      <c r="BA34" s="18">
        <f t="shared" si="24"/>
        <v>9800.00000000291</v>
      </c>
      <c r="BB34" s="18">
        <f t="shared" si="25"/>
        <v>664.000000000233</v>
      </c>
      <c r="BC34" s="18">
        <f t="shared" si="12"/>
        <v>1356.00000000006</v>
      </c>
      <c r="BD34" s="18">
        <f t="shared" si="10"/>
        <v>10449.2000000132</v>
      </c>
      <c r="BE34" s="18">
        <f t="shared" si="26"/>
        <v>53100.0000000131</v>
      </c>
      <c r="BF34" s="18">
        <f t="shared" si="27"/>
        <v>36.7000000000044</v>
      </c>
      <c r="BG34" s="21">
        <f t="shared" si="13"/>
        <v>0.254012294003746</v>
      </c>
      <c r="BH34" s="21">
        <f t="shared" si="14"/>
        <v>0.0421956994905338</v>
      </c>
      <c r="BI34" s="21">
        <f t="shared" si="15"/>
        <v>0</v>
      </c>
      <c r="BJ34" s="21">
        <f t="shared" si="16"/>
        <v>0.0397522064627192</v>
      </c>
      <c r="BK34" s="21">
        <f t="shared" ref="BK34:BO34" si="168">IF(OR($AD34=0),"",AZ34/$AD34)</f>
        <v>0.0655361285847493</v>
      </c>
      <c r="BL34" s="21">
        <f t="shared" si="168"/>
        <v>0.0468798584037069</v>
      </c>
      <c r="BM34" s="21">
        <f t="shared" si="168"/>
        <v>0.00317634958980235</v>
      </c>
      <c r="BN34" s="21">
        <f t="shared" si="168"/>
        <v>0.00648664163218474</v>
      </c>
      <c r="BO34" s="21">
        <f t="shared" si="168"/>
        <v>0.0499854098400499</v>
      </c>
    </row>
    <row r="35" spans="1:67">
      <c r="A35" s="9">
        <f t="shared" si="11"/>
        <v>44348</v>
      </c>
      <c r="B35" s="10">
        <v>16361.19</v>
      </c>
      <c r="C35" s="11">
        <v>89465.9</v>
      </c>
      <c r="D35" s="11">
        <v>57237.2</v>
      </c>
      <c r="E35" s="11">
        <v>56546.3</v>
      </c>
      <c r="F35" s="11">
        <v>4670.75</v>
      </c>
      <c r="G35" s="11">
        <v>111310.9</v>
      </c>
      <c r="H35" s="8">
        <v>5596.3</v>
      </c>
      <c r="I35" s="8">
        <v>2566.3</v>
      </c>
      <c r="J35" s="8">
        <v>967</v>
      </c>
      <c r="K35" s="8">
        <v>56</v>
      </c>
      <c r="L35" s="11">
        <v>89801.3</v>
      </c>
      <c r="M35" s="11">
        <v>61207.1</v>
      </c>
      <c r="N35" s="11">
        <v>71265.5</v>
      </c>
      <c r="O35" s="11">
        <v>101616.9</v>
      </c>
      <c r="P35" s="11">
        <v>5376.7</v>
      </c>
      <c r="Q35" s="11">
        <v>7190</v>
      </c>
      <c r="R35" s="11">
        <v>4528.9</v>
      </c>
      <c r="S35" s="11">
        <v>5069.2</v>
      </c>
      <c r="T35" s="11">
        <v>6559.2</v>
      </c>
      <c r="U35" s="11">
        <v>17105.9</v>
      </c>
      <c r="V35" s="11">
        <v>50205.9</v>
      </c>
      <c r="W35" s="11">
        <v>51357.1</v>
      </c>
      <c r="X35" s="11">
        <v>1945.3</v>
      </c>
      <c r="Y35" s="11">
        <v>1670.6</v>
      </c>
      <c r="Z35" s="16">
        <f t="shared" si="18"/>
        <v>54973</v>
      </c>
      <c r="AA35" s="11">
        <v>60707.9</v>
      </c>
      <c r="AB35" s="3">
        <v>3177</v>
      </c>
      <c r="AC35" s="3">
        <f t="shared" si="19"/>
        <v>63884.9</v>
      </c>
      <c r="BE35" s="22" t="s">
        <v>44</v>
      </c>
      <c r="BF35" s="22" t="s">
        <v>19</v>
      </c>
      <c r="BG35" s="23">
        <f>SUM(BE4:BE34)</f>
        <v>1634600.00000001</v>
      </c>
      <c r="BH35" s="23">
        <f>SUM(AJ4:AJ34)</f>
        <v>276633.599999999</v>
      </c>
      <c r="BI35" s="23">
        <f>SUM(AO4:AO34)</f>
        <v>0</v>
      </c>
      <c r="BJ35" s="23">
        <f>SUM(AT4:AT34)</f>
        <v>228820</v>
      </c>
      <c r="BK35" s="23">
        <f t="shared" ref="BK35:BO35" si="169">SUM(AZ4:AZ34)</f>
        <v>352599.999999998</v>
      </c>
      <c r="BL35" s="23">
        <f t="shared" si="169"/>
        <v>285800.000000003</v>
      </c>
      <c r="BM35" s="23">
        <f t="shared" si="169"/>
        <v>25280</v>
      </c>
      <c r="BN35" s="23">
        <f t="shared" si="169"/>
        <v>42300</v>
      </c>
      <c r="BO35" s="23">
        <f t="shared" si="169"/>
        <v>423166.40000001</v>
      </c>
    </row>
    <row r="36" spans="37:67"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22">
        <f>SUM(AD4:AD34)</f>
        <v>6041191</v>
      </c>
      <c r="BF36" s="22" t="s">
        <v>21</v>
      </c>
      <c r="BG36" s="24">
        <f>IF(OR(BG35=0),"",ROUND(BG35/$BE$36,3))</f>
        <v>0.271</v>
      </c>
      <c r="BH36" s="24">
        <f t="shared" ref="BH36:BO36" si="170">IF(OR(BH35=0),"",ROUND(BH35/$BE$36,4))</f>
        <v>0.0458</v>
      </c>
      <c r="BI36" s="24" t="str">
        <f t="shared" si="170"/>
        <v/>
      </c>
      <c r="BJ36" s="24">
        <f t="shared" si="170"/>
        <v>0.0379</v>
      </c>
      <c r="BK36" s="24">
        <f t="shared" si="170"/>
        <v>0.0584</v>
      </c>
      <c r="BL36" s="24">
        <f t="shared" si="170"/>
        <v>0.0473</v>
      </c>
      <c r="BM36" s="24">
        <f t="shared" si="170"/>
        <v>0.0042</v>
      </c>
      <c r="BN36" s="24">
        <f t="shared" si="170"/>
        <v>0.007</v>
      </c>
      <c r="BO36" s="24">
        <f t="shared" si="170"/>
        <v>0.07</v>
      </c>
    </row>
  </sheetData>
  <mergeCells count="35">
    <mergeCell ref="A1:BO1"/>
    <mergeCell ref="C2:G2"/>
    <mergeCell ref="H2:K2"/>
    <mergeCell ref="L2:O2"/>
    <mergeCell ref="P2:T2"/>
    <mergeCell ref="X2:Y2"/>
    <mergeCell ref="AE2:AJ2"/>
    <mergeCell ref="AK2:AO2"/>
    <mergeCell ref="AP2:AT2"/>
    <mergeCell ref="AU2:AZ2"/>
    <mergeCell ref="A2:A3"/>
    <mergeCell ref="B2:B3"/>
    <mergeCell ref="U2:U3"/>
    <mergeCell ref="V2:V3"/>
    <mergeCell ref="W2:W3"/>
    <mergeCell ref="Z2:Z3"/>
    <mergeCell ref="AA2:AA3"/>
    <mergeCell ref="AB2:AB3"/>
    <mergeCell ref="AC2:AC3"/>
    <mergeCell ref="AD2:AD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"/>
  <sheetViews>
    <sheetView showGridLines="0" zoomScale="120" zoomScaleNormal="120" workbookViewId="0">
      <pane xSplit="1" ySplit="3" topLeftCell="K6" activePane="bottomRight" state="frozen"/>
      <selection/>
      <selection pane="topRight"/>
      <selection pane="bottomLeft"/>
      <selection pane="bottomRight" activeCell="AH36" sqref="AH36"/>
    </sheetView>
  </sheetViews>
  <sheetFormatPr defaultColWidth="9" defaultRowHeight="14.25"/>
  <cols>
    <col min="1" max="1" width="7" style="1" customWidth="1"/>
    <col min="2" max="2" width="8.375" style="2" customWidth="1"/>
    <col min="3" max="6" width="7.5" style="3" customWidth="1"/>
    <col min="7" max="7" width="8.125" style="3" customWidth="1"/>
    <col min="8" max="9" width="6.625" style="3" customWidth="1"/>
    <col min="10" max="10" width="5.75" style="3" customWidth="1"/>
    <col min="11" max="11" width="4.875" style="3" customWidth="1"/>
    <col min="12" max="14" width="7.5" style="3" customWidth="1"/>
    <col min="15" max="15" width="8.125" style="3" customWidth="1"/>
    <col min="16" max="19" width="6.625" style="3" customWidth="1"/>
    <col min="20" max="20" width="7" style="3" customWidth="1"/>
    <col min="21" max="24" width="7.5" style="3" customWidth="1"/>
    <col min="25" max="26" width="8.25" style="3" customWidth="1"/>
    <col min="27" max="28" width="7.5" style="3" customWidth="1"/>
    <col min="29" max="29" width="8.125" style="3" customWidth="1"/>
    <col min="30" max="30" width="6.75" style="3" customWidth="1"/>
    <col min="31" max="31" width="6.125" style="1" customWidth="1"/>
    <col min="32" max="32" width="5.125" style="1" customWidth="1"/>
    <col min="33" max="33" width="5" style="1" customWidth="1"/>
    <col min="34" max="34" width="4.875" style="1" customWidth="1"/>
    <col min="35" max="35" width="5" style="1" customWidth="1"/>
    <col min="36" max="36" width="6.625" style="1" customWidth="1"/>
    <col min="37" max="40" width="4" style="1" customWidth="1"/>
    <col min="41" max="41" width="6.625" style="1" customWidth="1"/>
    <col min="42" max="42" width="5" style="1" customWidth="1"/>
    <col min="43" max="43" width="4.5" style="1" customWidth="1"/>
    <col min="44" max="44" width="4.625" style="1" customWidth="1"/>
    <col min="45" max="45" width="5.125" style="1" customWidth="1"/>
    <col min="46" max="46" width="6.625" style="1" customWidth="1"/>
    <col min="47" max="50" width="5.5" style="1" customWidth="1"/>
    <col min="51" max="51" width="6.25" style="1" customWidth="1"/>
    <col min="52" max="55" width="6.625" style="1" customWidth="1"/>
    <col min="56" max="56" width="8.125" style="1" customWidth="1"/>
    <col min="57" max="57" width="5.875" style="1" customWidth="1"/>
    <col min="58" max="58" width="6.625" style="1" customWidth="1"/>
    <col min="59" max="59" width="5.875" style="1" customWidth="1"/>
    <col min="60" max="60" width="6.5" style="1" customWidth="1"/>
    <col min="61" max="61" width="6.125" style="1" customWidth="1"/>
    <col min="62" max="62" width="6.25" style="1" customWidth="1"/>
    <col min="63" max="63" width="5.875" style="1" customWidth="1"/>
    <col min="64" max="64" width="6.125" style="1" customWidth="1"/>
    <col min="65" max="65" width="6" style="1" customWidth="1"/>
    <col min="66" max="67" width="6.5" style="1" customWidth="1"/>
    <col min="68" max="16384" width="9" style="1"/>
  </cols>
  <sheetData>
    <row r="1" spans="1:6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25"/>
    </row>
    <row r="2" spans="1:67">
      <c r="A2" s="6"/>
      <c r="B2" s="7" t="s">
        <v>0</v>
      </c>
      <c r="C2" s="8" t="s">
        <v>1</v>
      </c>
      <c r="D2" s="8"/>
      <c r="E2" s="8"/>
      <c r="F2" s="8"/>
      <c r="G2" s="8"/>
      <c r="H2" s="8" t="s">
        <v>2</v>
      </c>
      <c r="I2" s="8"/>
      <c r="J2" s="8"/>
      <c r="K2" s="8"/>
      <c r="L2" s="8" t="s">
        <v>3</v>
      </c>
      <c r="M2" s="8"/>
      <c r="N2" s="8"/>
      <c r="O2" s="8"/>
      <c r="P2" s="8" t="s">
        <v>4</v>
      </c>
      <c r="Q2" s="8"/>
      <c r="R2" s="8"/>
      <c r="S2" s="8"/>
      <c r="T2" s="8"/>
      <c r="U2" s="8" t="s">
        <v>5</v>
      </c>
      <c r="V2" s="8" t="s">
        <v>6</v>
      </c>
      <c r="W2" s="8" t="s">
        <v>7</v>
      </c>
      <c r="X2" s="12" t="s">
        <v>8</v>
      </c>
      <c r="Y2" s="14"/>
      <c r="Z2" s="8" t="s">
        <v>9</v>
      </c>
      <c r="AA2" s="8" t="s">
        <v>10</v>
      </c>
      <c r="AB2" s="8" t="s">
        <v>11</v>
      </c>
      <c r="AC2" s="8" t="s">
        <v>12</v>
      </c>
      <c r="AD2" s="6" t="s">
        <v>13</v>
      </c>
      <c r="AE2" s="15" t="s">
        <v>14</v>
      </c>
      <c r="AF2" s="15"/>
      <c r="AG2" s="15"/>
      <c r="AH2" s="15"/>
      <c r="AI2" s="15"/>
      <c r="AJ2" s="15"/>
      <c r="AK2" s="15" t="s">
        <v>2</v>
      </c>
      <c r="AL2" s="15"/>
      <c r="AM2" s="15"/>
      <c r="AN2" s="15"/>
      <c r="AO2" s="15"/>
      <c r="AP2" s="15" t="s">
        <v>3</v>
      </c>
      <c r="AQ2" s="15"/>
      <c r="AR2" s="15"/>
      <c r="AS2" s="15"/>
      <c r="AT2" s="15"/>
      <c r="AU2" s="15" t="s">
        <v>4</v>
      </c>
      <c r="AV2" s="15"/>
      <c r="AW2" s="15"/>
      <c r="AX2" s="15"/>
      <c r="AY2" s="15"/>
      <c r="AZ2" s="15"/>
      <c r="BA2" s="15" t="s">
        <v>15</v>
      </c>
      <c r="BB2" s="15" t="s">
        <v>16</v>
      </c>
      <c r="BC2" s="15" t="s">
        <v>17</v>
      </c>
      <c r="BD2" s="15" t="s">
        <v>18</v>
      </c>
      <c r="BE2" s="15" t="s">
        <v>19</v>
      </c>
      <c r="BF2" s="15" t="s">
        <v>20</v>
      </c>
      <c r="BG2" s="21" t="s">
        <v>21</v>
      </c>
      <c r="BH2" s="21" t="s">
        <v>22</v>
      </c>
      <c r="BI2" s="21" t="s">
        <v>23</v>
      </c>
      <c r="BJ2" s="21" t="s">
        <v>24</v>
      </c>
      <c r="BK2" s="21" t="s">
        <v>25</v>
      </c>
      <c r="BL2" s="21" t="s">
        <v>26</v>
      </c>
      <c r="BM2" s="21" t="s">
        <v>27</v>
      </c>
      <c r="BN2" s="21" t="s">
        <v>28</v>
      </c>
      <c r="BO2" s="21" t="s">
        <v>29</v>
      </c>
    </row>
    <row r="3" spans="1:67">
      <c r="A3" s="6"/>
      <c r="B3" s="7"/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/>
      <c r="V3" s="8"/>
      <c r="W3" s="8"/>
      <c r="X3" s="8" t="s">
        <v>40</v>
      </c>
      <c r="Y3" s="8" t="s">
        <v>41</v>
      </c>
      <c r="Z3" s="8"/>
      <c r="AA3" s="8"/>
      <c r="AB3" s="8"/>
      <c r="AC3" s="8"/>
      <c r="AD3" s="6"/>
      <c r="AE3" s="15" t="s">
        <v>30</v>
      </c>
      <c r="AF3" s="15" t="s">
        <v>31</v>
      </c>
      <c r="AG3" s="15" t="s">
        <v>32</v>
      </c>
      <c r="AH3" s="15" t="s">
        <v>33</v>
      </c>
      <c r="AI3" s="15" t="s">
        <v>34</v>
      </c>
      <c r="AJ3" s="15" t="s">
        <v>42</v>
      </c>
      <c r="AK3" s="15" t="s">
        <v>30</v>
      </c>
      <c r="AL3" s="15" t="s">
        <v>31</v>
      </c>
      <c r="AM3" s="15" t="s">
        <v>32</v>
      </c>
      <c r="AN3" s="15" t="s">
        <v>33</v>
      </c>
      <c r="AO3" s="15" t="s">
        <v>42</v>
      </c>
      <c r="AP3" s="15" t="s">
        <v>30</v>
      </c>
      <c r="AQ3" s="15" t="s">
        <v>31</v>
      </c>
      <c r="AR3" s="15" t="s">
        <v>32</v>
      </c>
      <c r="AS3" s="15" t="s">
        <v>33</v>
      </c>
      <c r="AT3" s="15" t="s">
        <v>42</v>
      </c>
      <c r="AU3" s="15" t="s">
        <v>35</v>
      </c>
      <c r="AV3" s="15" t="s">
        <v>36</v>
      </c>
      <c r="AW3" s="15" t="s">
        <v>37</v>
      </c>
      <c r="AX3" s="15" t="s">
        <v>38</v>
      </c>
      <c r="AY3" s="15" t="s">
        <v>39</v>
      </c>
      <c r="AZ3" s="15" t="s">
        <v>43</v>
      </c>
      <c r="BA3" s="20"/>
      <c r="BB3" s="20"/>
      <c r="BC3" s="20"/>
      <c r="BD3" s="20"/>
      <c r="BE3" s="20"/>
      <c r="BF3" s="20"/>
      <c r="BG3" s="21"/>
      <c r="BH3" s="21"/>
      <c r="BI3" s="21"/>
      <c r="BJ3" s="21"/>
      <c r="BK3" s="21"/>
      <c r="BL3" s="21"/>
      <c r="BM3" s="21"/>
      <c r="BN3" s="21"/>
      <c r="BO3" s="21"/>
    </row>
    <row r="4" spans="1:67">
      <c r="A4" s="9">
        <f>'5'!A35</f>
        <v>44348</v>
      </c>
      <c r="B4" s="10">
        <v>16361.19</v>
      </c>
      <c r="C4" s="11">
        <v>89465.9</v>
      </c>
      <c r="D4" s="11">
        <v>57237.2</v>
      </c>
      <c r="E4" s="11">
        <v>56546.3</v>
      </c>
      <c r="F4" s="11">
        <v>4670.75</v>
      </c>
      <c r="G4" s="11">
        <v>111310.9</v>
      </c>
      <c r="H4" s="8">
        <v>5596.3</v>
      </c>
      <c r="I4" s="8">
        <v>2566.3</v>
      </c>
      <c r="J4" s="8">
        <v>967</v>
      </c>
      <c r="K4" s="8">
        <v>56</v>
      </c>
      <c r="L4" s="11">
        <v>89801.3</v>
      </c>
      <c r="M4" s="11">
        <v>61207.1</v>
      </c>
      <c r="N4" s="11">
        <v>71265.5</v>
      </c>
      <c r="O4" s="11">
        <v>101616.9</v>
      </c>
      <c r="P4" s="11">
        <v>5376.7</v>
      </c>
      <c r="Q4" s="11">
        <v>7190</v>
      </c>
      <c r="R4" s="11">
        <v>4528.9</v>
      </c>
      <c r="S4" s="11">
        <v>5069.2</v>
      </c>
      <c r="T4" s="11">
        <v>6559.2</v>
      </c>
      <c r="U4" s="11">
        <v>17105.9</v>
      </c>
      <c r="V4" s="11">
        <v>50205.9</v>
      </c>
      <c r="W4" s="11">
        <v>51357.1</v>
      </c>
      <c r="X4" s="11">
        <v>1945.3</v>
      </c>
      <c r="Y4" s="11">
        <v>1670.6</v>
      </c>
      <c r="Z4" s="16">
        <f t="shared" ref="Z4" si="0">IF(OR(W4=""),"",(W4+X4+Y4))</f>
        <v>54973</v>
      </c>
      <c r="AA4" s="11">
        <v>60707.9</v>
      </c>
      <c r="AB4" s="3">
        <v>3177</v>
      </c>
      <c r="AC4" s="3">
        <f t="shared" ref="AC4" si="1">IF(OR(AA4=""),"",(AA4+AB4))</f>
        <v>63884.9</v>
      </c>
      <c r="AD4" s="17">
        <v>206711</v>
      </c>
      <c r="AE4" s="18">
        <f t="shared" ref="AE4:AI4" si="2">IF(OR(C5=""),"",(C5-C4)*80)</f>
        <v>3744.00000000023</v>
      </c>
      <c r="AF4" s="18">
        <f t="shared" si="2"/>
        <v>3056.00000000035</v>
      </c>
      <c r="AG4" s="18">
        <f t="shared" si="2"/>
        <v>0</v>
      </c>
      <c r="AH4" s="18">
        <f t="shared" si="2"/>
        <v>4.00000000001455</v>
      </c>
      <c r="AI4" s="18">
        <f t="shared" si="2"/>
        <v>1880</v>
      </c>
      <c r="AJ4" s="18">
        <f t="shared" ref="AJ4:AJ34" si="3">IF(OR(AE4="",AF4="",AG4=""),"",AE4+AF4+AG4+AH4+AI4)</f>
        <v>8684.0000000006</v>
      </c>
      <c r="AK4" s="18">
        <f t="shared" ref="AK4:AN4" si="4">IF(OR(H5=""),"",(H5-H4)*80)</f>
        <v>0</v>
      </c>
      <c r="AL4" s="18">
        <f t="shared" si="4"/>
        <v>0</v>
      </c>
      <c r="AM4" s="18">
        <f t="shared" si="4"/>
        <v>0</v>
      </c>
      <c r="AN4" s="18">
        <f t="shared" si="4"/>
        <v>0</v>
      </c>
      <c r="AO4" s="18">
        <f t="shared" ref="AO4:AO34" si="5">IF(OR(AK4="",AL4=""),"",AK4+AL4+AM4+AN4)</f>
        <v>0</v>
      </c>
      <c r="AP4" s="18">
        <f t="shared" ref="AP4:AS4" si="6">IF(OR(L5=""),"",(L5-L4)*100)</f>
        <v>2930.00000000029</v>
      </c>
      <c r="AQ4" s="18">
        <f t="shared" si="6"/>
        <v>0</v>
      </c>
      <c r="AR4" s="18">
        <f t="shared" si="6"/>
        <v>2489.99999999942</v>
      </c>
      <c r="AS4" s="18">
        <f t="shared" si="6"/>
        <v>2700</v>
      </c>
      <c r="AT4" s="18">
        <f t="shared" ref="AT4:AT34" si="7">IF(OR(AP4="",AQ4=""),"",AP4+AQ4+AR4+AS4)</f>
        <v>8119.99999999971</v>
      </c>
      <c r="AU4" s="18">
        <f t="shared" ref="AU4:AY4" si="8">IF(OR(P5=""),"",(P5-P4)*1000)</f>
        <v>1500</v>
      </c>
      <c r="AV4" s="18">
        <f t="shared" si="8"/>
        <v>4399.99999999964</v>
      </c>
      <c r="AW4" s="18">
        <f t="shared" si="8"/>
        <v>0</v>
      </c>
      <c r="AX4" s="18">
        <f t="shared" si="8"/>
        <v>0</v>
      </c>
      <c r="AY4" s="18">
        <f t="shared" si="8"/>
        <v>0</v>
      </c>
      <c r="AZ4" s="18">
        <f t="shared" ref="AZ4:AZ34" si="9">IF(OR(AU4="",AV4="",AW4=""),"",AU4+AV4+AW4+AX4+AY4)</f>
        <v>5899.99999999964</v>
      </c>
      <c r="BA4" s="18">
        <f t="shared" ref="BA4:BA34" si="10">IF(OR(U5=""),"",(U5-U4)*2000)</f>
        <v>10000</v>
      </c>
      <c r="BB4" s="18">
        <f t="shared" ref="BB4:BB34" si="11">IF(OR(V5=""),"",(V5-V4)*80)</f>
        <v>623.999999999651</v>
      </c>
      <c r="BC4" s="18">
        <f>IF(OR(Z4=""),"",(Z5-Z4)*40)</f>
        <v>1336.00000000006</v>
      </c>
      <c r="BD4" s="18">
        <f t="shared" ref="BD4:BD34" si="12">IF(OR(BE4="",BC4=""),"",BE4-BC4-BB4-BA4-AZ4-AT4-AO4-AJ4)</f>
        <v>18635.9999999996</v>
      </c>
      <c r="BE4" s="18">
        <f t="shared" ref="BE4:BE34" si="13">IF(OR(B5=""),"",(B5-B4)*10000)</f>
        <v>53299.9999999993</v>
      </c>
      <c r="BF4" s="18">
        <f t="shared" ref="BF4:BF34" si="14">IF(OR(AC5=""),"",AC5-AC4)</f>
        <v>76.9000000000015</v>
      </c>
      <c r="BG4" s="21">
        <f t="shared" ref="BG4:BG34" si="15">IF(OR($AD4=0),"",BE4/$AD4)</f>
        <v>0.257847913270214</v>
      </c>
      <c r="BH4" s="21">
        <f t="shared" ref="BH4:BH34" si="16">IF(OR($AD4=0),"",AJ4/$AD4)</f>
        <v>0.0420103429425652</v>
      </c>
      <c r="BI4" s="21">
        <f t="shared" ref="BI4:BI34" si="17">IF(OR($AD4=0),"",AO4/$AD4)</f>
        <v>0</v>
      </c>
      <c r="BJ4" s="21">
        <f t="shared" ref="BJ4:BJ34" si="18">IF(OR($AD4=0),"",AT4/$AD4)</f>
        <v>0.039281895980377</v>
      </c>
      <c r="BK4" s="21">
        <f t="shared" ref="BK4:BO4" si="19">IF(OR($AD4=0),"",AZ4/$AD4)</f>
        <v>0.0285422643207165</v>
      </c>
      <c r="BL4" s="21">
        <f t="shared" si="19"/>
        <v>0.0483767191876581</v>
      </c>
      <c r="BM4" s="21">
        <f t="shared" si="19"/>
        <v>0.00301870727730818</v>
      </c>
      <c r="BN4" s="21">
        <f t="shared" si="19"/>
        <v>0.00646312968347141</v>
      </c>
      <c r="BO4" s="21">
        <f t="shared" si="19"/>
        <v>0.0901548538781179</v>
      </c>
    </row>
    <row r="5" spans="1:67">
      <c r="A5" s="9">
        <f t="shared" ref="A5:A34" si="20">A4+1</f>
        <v>44349</v>
      </c>
      <c r="B5" s="10">
        <v>16366.52</v>
      </c>
      <c r="C5" s="8">
        <v>89512.7</v>
      </c>
      <c r="D5" s="8">
        <v>57275.4</v>
      </c>
      <c r="E5" s="8">
        <v>56546.3</v>
      </c>
      <c r="F5" s="8">
        <v>4670.8</v>
      </c>
      <c r="G5" s="8">
        <v>111334.4</v>
      </c>
      <c r="H5" s="8">
        <v>5596.3</v>
      </c>
      <c r="I5" s="8">
        <v>2566.3</v>
      </c>
      <c r="J5" s="8">
        <v>967</v>
      </c>
      <c r="K5" s="8">
        <v>56</v>
      </c>
      <c r="L5" s="8">
        <v>89830.6</v>
      </c>
      <c r="M5" s="8">
        <v>61207.1</v>
      </c>
      <c r="N5" s="8">
        <v>71290.4</v>
      </c>
      <c r="O5" s="8">
        <v>101643.9</v>
      </c>
      <c r="P5" s="8">
        <v>5378.2</v>
      </c>
      <c r="Q5" s="8">
        <v>7194.4</v>
      </c>
      <c r="R5" s="8">
        <v>4528.9</v>
      </c>
      <c r="S5" s="8">
        <v>5069.2</v>
      </c>
      <c r="T5" s="8">
        <v>6559.2</v>
      </c>
      <c r="U5" s="8">
        <v>17110.9</v>
      </c>
      <c r="V5" s="8">
        <v>50213.7</v>
      </c>
      <c r="W5" s="8">
        <v>51373.6</v>
      </c>
      <c r="X5" s="8">
        <v>1953.5</v>
      </c>
      <c r="Y5" s="8">
        <v>1679.3</v>
      </c>
      <c r="Z5" s="16">
        <f t="shared" ref="Z5:Z35" si="21">IF(OR(W5=""),"",(W5+X5+Y5))</f>
        <v>55006.4</v>
      </c>
      <c r="AA5" s="8">
        <v>60776.8</v>
      </c>
      <c r="AB5" s="14">
        <v>3185</v>
      </c>
      <c r="AC5" s="7">
        <f t="shared" ref="AC5:AC34" si="22">IF(OR(AA5=""),"",(AA5+AB5))</f>
        <v>63961.8</v>
      </c>
      <c r="AD5" s="17">
        <v>207504</v>
      </c>
      <c r="AE5" s="18">
        <f t="shared" ref="AE5:AI5" si="23">IF(OR(C6=""),"",(C6-C5)*80)</f>
        <v>3720</v>
      </c>
      <c r="AF5" s="18">
        <f t="shared" si="23"/>
        <v>3015.99999999977</v>
      </c>
      <c r="AG5" s="18">
        <f t="shared" si="23"/>
        <v>0</v>
      </c>
      <c r="AH5" s="18">
        <f t="shared" si="23"/>
        <v>0</v>
      </c>
      <c r="AI5" s="18">
        <f t="shared" si="23"/>
        <v>1824.00000000023</v>
      </c>
      <c r="AJ5" s="18">
        <f t="shared" si="3"/>
        <v>8560</v>
      </c>
      <c r="AK5" s="18">
        <f t="shared" ref="AK5:AN5" si="24">IF(OR(H6=""),"",(H6-H5)*80)</f>
        <v>0</v>
      </c>
      <c r="AL5" s="18">
        <f t="shared" si="24"/>
        <v>0</v>
      </c>
      <c r="AM5" s="18">
        <f t="shared" si="24"/>
        <v>0</v>
      </c>
      <c r="AN5" s="18">
        <f t="shared" si="24"/>
        <v>0</v>
      </c>
      <c r="AO5" s="18">
        <f t="shared" si="5"/>
        <v>0</v>
      </c>
      <c r="AP5" s="18">
        <f t="shared" ref="AP5:AS5" si="25">IF(OR(L6=""),"",(L6-L5)*100)</f>
        <v>3029.99999999884</v>
      </c>
      <c r="AQ5" s="18">
        <f t="shared" si="25"/>
        <v>0</v>
      </c>
      <c r="AR5" s="18">
        <f t="shared" si="25"/>
        <v>2530.00000000029</v>
      </c>
      <c r="AS5" s="18">
        <f t="shared" si="25"/>
        <v>2700</v>
      </c>
      <c r="AT5" s="18">
        <f t="shared" si="7"/>
        <v>8259.99999999913</v>
      </c>
      <c r="AU5" s="18">
        <f t="shared" ref="AU5:AY5" si="26">IF(OR(P6=""),"",(P6-P5)*1000)</f>
        <v>0</v>
      </c>
      <c r="AV5" s="18">
        <f t="shared" si="26"/>
        <v>500</v>
      </c>
      <c r="AW5" s="18">
        <f t="shared" si="26"/>
        <v>4300.00000000018</v>
      </c>
      <c r="AX5" s="18">
        <f t="shared" si="26"/>
        <v>0</v>
      </c>
      <c r="AY5" s="18">
        <f t="shared" si="26"/>
        <v>18000</v>
      </c>
      <c r="AZ5" s="18">
        <f t="shared" si="9"/>
        <v>22800.0000000002</v>
      </c>
      <c r="BA5" s="18">
        <f t="shared" si="10"/>
        <v>9199.99999999709</v>
      </c>
      <c r="BB5" s="18">
        <f t="shared" si="11"/>
        <v>928.000000000466</v>
      </c>
      <c r="BC5" s="18">
        <f t="shared" ref="BC5:BC33" si="27">IF(OR(Z5=""),"",(Z6-Z5)*40)</f>
        <v>1327.99999999959</v>
      </c>
      <c r="BD5" s="18">
        <f t="shared" si="12"/>
        <v>1524.00000000573</v>
      </c>
      <c r="BE5" s="18">
        <f t="shared" si="13"/>
        <v>52600.0000000022</v>
      </c>
      <c r="BF5" s="18">
        <f t="shared" si="14"/>
        <v>55.2999999999956</v>
      </c>
      <c r="BG5" s="21">
        <f t="shared" si="15"/>
        <v>0.253489089366962</v>
      </c>
      <c r="BH5" s="21">
        <f t="shared" si="16"/>
        <v>0.0412522168247359</v>
      </c>
      <c r="BI5" s="21">
        <f t="shared" si="17"/>
        <v>0</v>
      </c>
      <c r="BJ5" s="21">
        <f t="shared" si="18"/>
        <v>0.0398064615621825</v>
      </c>
      <c r="BK5" s="21">
        <f t="shared" ref="BK5:BO5" si="28">IF(OR($AD5=0),"",AZ5/$AD5)</f>
        <v>0.109877399953737</v>
      </c>
      <c r="BL5" s="21">
        <f t="shared" si="28"/>
        <v>0.0443364947181601</v>
      </c>
      <c r="BM5" s="21">
        <f t="shared" si="28"/>
        <v>0.00447220294548763</v>
      </c>
      <c r="BN5" s="21">
        <f t="shared" si="28"/>
        <v>0.0063998766288823</v>
      </c>
      <c r="BO5" s="21">
        <f t="shared" si="28"/>
        <v>0.00734443673377731</v>
      </c>
    </row>
    <row r="6" spans="1:67">
      <c r="A6" s="9">
        <f t="shared" si="20"/>
        <v>44350</v>
      </c>
      <c r="B6" s="10">
        <v>16371.78</v>
      </c>
      <c r="C6" s="8">
        <v>89559.2</v>
      </c>
      <c r="D6" s="8">
        <v>57313.1</v>
      </c>
      <c r="E6" s="8">
        <v>56546.3</v>
      </c>
      <c r="F6" s="8">
        <v>4670.8</v>
      </c>
      <c r="G6" s="8">
        <v>111357.2</v>
      </c>
      <c r="H6" s="8">
        <v>5596.3</v>
      </c>
      <c r="I6" s="8">
        <v>2566.3</v>
      </c>
      <c r="J6" s="8">
        <v>967</v>
      </c>
      <c r="K6" s="8">
        <v>56</v>
      </c>
      <c r="L6" s="8">
        <v>89860.9</v>
      </c>
      <c r="M6" s="8">
        <v>61207.1</v>
      </c>
      <c r="N6" s="8">
        <v>71315.7</v>
      </c>
      <c r="O6" s="8">
        <v>101670.9</v>
      </c>
      <c r="P6" s="8">
        <v>5378.2</v>
      </c>
      <c r="Q6" s="8">
        <v>7194.9</v>
      </c>
      <c r="R6" s="8">
        <v>4533.2</v>
      </c>
      <c r="S6" s="8">
        <v>5069.2</v>
      </c>
      <c r="T6" s="8">
        <v>6577.2</v>
      </c>
      <c r="U6" s="8">
        <v>17115.5</v>
      </c>
      <c r="V6" s="8">
        <v>50225.3</v>
      </c>
      <c r="W6" s="8">
        <v>51390.2</v>
      </c>
      <c r="X6" s="8">
        <v>1961.7</v>
      </c>
      <c r="Y6" s="8">
        <v>1687.7</v>
      </c>
      <c r="Z6" s="16">
        <f t="shared" si="21"/>
        <v>55039.6</v>
      </c>
      <c r="AA6" s="8">
        <v>60826.1</v>
      </c>
      <c r="AB6" s="14">
        <v>3191</v>
      </c>
      <c r="AC6" s="7">
        <f t="shared" si="22"/>
        <v>64017.1</v>
      </c>
      <c r="AD6" s="17">
        <v>209665</v>
      </c>
      <c r="AE6" s="18">
        <f t="shared" ref="AE6:AI6" si="29">IF(OR(C7=""),"",(C7-C6)*80)</f>
        <v>3800</v>
      </c>
      <c r="AF6" s="18">
        <f t="shared" si="29"/>
        <v>3087.99999999988</v>
      </c>
      <c r="AG6" s="18">
        <f t="shared" si="29"/>
        <v>0</v>
      </c>
      <c r="AH6" s="18">
        <f t="shared" si="29"/>
        <v>8.79999999997381</v>
      </c>
      <c r="AI6" s="18">
        <f t="shared" si="29"/>
        <v>1784.00000000023</v>
      </c>
      <c r="AJ6" s="18">
        <f t="shared" si="3"/>
        <v>8680.80000000009</v>
      </c>
      <c r="AK6" s="18">
        <f t="shared" ref="AK6:AN6" si="30">IF(OR(H7=""),"",(H7-H6)*80)</f>
        <v>0</v>
      </c>
      <c r="AL6" s="18">
        <f t="shared" si="30"/>
        <v>0</v>
      </c>
      <c r="AM6" s="18">
        <f t="shared" si="30"/>
        <v>0</v>
      </c>
      <c r="AN6" s="18">
        <f t="shared" si="30"/>
        <v>0</v>
      </c>
      <c r="AO6" s="18">
        <f t="shared" si="5"/>
        <v>0</v>
      </c>
      <c r="AP6" s="18">
        <f t="shared" ref="AP6:AS6" si="31">IF(OR(L7=""),"",(L7-L6)*100)</f>
        <v>3010.00000000058</v>
      </c>
      <c r="AQ6" s="18">
        <f t="shared" si="31"/>
        <v>0</v>
      </c>
      <c r="AR6" s="18">
        <f t="shared" si="31"/>
        <v>2530.00000000029</v>
      </c>
      <c r="AS6" s="18">
        <f t="shared" si="31"/>
        <v>2700</v>
      </c>
      <c r="AT6" s="18">
        <f t="shared" si="7"/>
        <v>8240.00000000087</v>
      </c>
      <c r="AU6" s="18">
        <f t="shared" ref="AU6:AY6" si="32">IF(OR(P7=""),"",(P7-P6)*1000)</f>
        <v>3900.00000000055</v>
      </c>
      <c r="AV6" s="18">
        <f t="shared" si="32"/>
        <v>0</v>
      </c>
      <c r="AW6" s="18">
        <f t="shared" si="32"/>
        <v>100.000000000364</v>
      </c>
      <c r="AX6" s="18">
        <f t="shared" si="32"/>
        <v>0</v>
      </c>
      <c r="AY6" s="18">
        <f t="shared" si="32"/>
        <v>9199.99999999982</v>
      </c>
      <c r="AZ6" s="18">
        <f t="shared" si="9"/>
        <v>13200.0000000007</v>
      </c>
      <c r="BA6" s="18">
        <f t="shared" si="10"/>
        <v>9199.99999999709</v>
      </c>
      <c r="BB6" s="18">
        <f t="shared" si="11"/>
        <v>1080</v>
      </c>
      <c r="BC6" s="18">
        <f t="shared" si="27"/>
        <v>1316.00000000064</v>
      </c>
      <c r="BD6" s="18">
        <f t="shared" si="12"/>
        <v>10383.1999999918</v>
      </c>
      <c r="BE6" s="18">
        <f t="shared" si="13"/>
        <v>52099.9999999913</v>
      </c>
      <c r="BF6" s="18">
        <f t="shared" si="14"/>
        <v>65.5999999999985</v>
      </c>
      <c r="BG6" s="21">
        <f t="shared" si="15"/>
        <v>0.248491641427951</v>
      </c>
      <c r="BH6" s="21">
        <f t="shared" si="16"/>
        <v>0.0414031908043788</v>
      </c>
      <c r="BI6" s="21">
        <f t="shared" si="17"/>
        <v>0</v>
      </c>
      <c r="BJ6" s="21">
        <f t="shared" si="18"/>
        <v>0.0393007893544505</v>
      </c>
      <c r="BK6" s="21">
        <f t="shared" ref="BK6:BO6" si="33">IF(OR($AD6=0),"",AZ6/$AD6)</f>
        <v>0.0629575751794564</v>
      </c>
      <c r="BL6" s="21">
        <f t="shared" si="33"/>
        <v>0.0438795220947563</v>
      </c>
      <c r="BM6" s="21">
        <f t="shared" si="33"/>
        <v>0.00515107433286433</v>
      </c>
      <c r="BN6" s="21">
        <f t="shared" si="33"/>
        <v>0.00627667946486367</v>
      </c>
      <c r="BO6" s="21">
        <f t="shared" si="33"/>
        <v>0.0495228101971805</v>
      </c>
    </row>
    <row r="7" spans="1:67">
      <c r="A7" s="9">
        <f t="shared" si="20"/>
        <v>44351</v>
      </c>
      <c r="B7" s="10">
        <v>16376.99</v>
      </c>
      <c r="C7" s="8">
        <v>89606.7</v>
      </c>
      <c r="D7" s="8">
        <v>57351.7</v>
      </c>
      <c r="E7" s="8">
        <v>56546.3</v>
      </c>
      <c r="F7" s="8">
        <v>4670.91</v>
      </c>
      <c r="G7" s="8">
        <v>111379.5</v>
      </c>
      <c r="H7" s="8">
        <v>5596.3</v>
      </c>
      <c r="I7" s="8">
        <v>2566.3</v>
      </c>
      <c r="J7" s="8">
        <v>967</v>
      </c>
      <c r="K7" s="8">
        <v>56</v>
      </c>
      <c r="L7" s="8">
        <v>89891</v>
      </c>
      <c r="M7" s="8">
        <v>61207.1</v>
      </c>
      <c r="N7" s="8">
        <v>71341</v>
      </c>
      <c r="O7" s="8">
        <v>101697.9</v>
      </c>
      <c r="P7" s="8">
        <v>5382.1</v>
      </c>
      <c r="Q7" s="8">
        <v>7194.9</v>
      </c>
      <c r="R7" s="8">
        <v>4533.3</v>
      </c>
      <c r="S7" s="8">
        <v>5069.2</v>
      </c>
      <c r="T7" s="8">
        <v>6586.4</v>
      </c>
      <c r="U7" s="8">
        <v>17120.1</v>
      </c>
      <c r="V7" s="8">
        <v>50238.8</v>
      </c>
      <c r="W7" s="8">
        <v>51406.8</v>
      </c>
      <c r="X7" s="8">
        <v>1969.8</v>
      </c>
      <c r="Y7" s="8">
        <v>1695.9</v>
      </c>
      <c r="Z7" s="16">
        <f t="shared" si="21"/>
        <v>55072.5</v>
      </c>
      <c r="AA7" s="8">
        <v>60873.7</v>
      </c>
      <c r="AB7" s="14">
        <v>3209</v>
      </c>
      <c r="AC7" s="7">
        <f t="shared" si="22"/>
        <v>64082.7</v>
      </c>
      <c r="AD7" s="17">
        <v>208780</v>
      </c>
      <c r="AE7" s="18">
        <f t="shared" ref="AE7:AI7" si="34">IF(OR(C8=""),"",(C8-C7)*80)</f>
        <v>3784.00000000023</v>
      </c>
      <c r="AF7" s="18">
        <f t="shared" si="34"/>
        <v>3088.00000000047</v>
      </c>
      <c r="AG7" s="18">
        <f t="shared" si="34"/>
        <v>0</v>
      </c>
      <c r="AH7" s="18">
        <f t="shared" si="34"/>
        <v>4.80000000003201</v>
      </c>
      <c r="AI7" s="18">
        <f t="shared" si="34"/>
        <v>2120</v>
      </c>
      <c r="AJ7" s="18">
        <f t="shared" si="3"/>
        <v>8996.80000000073</v>
      </c>
      <c r="AK7" s="18">
        <f t="shared" ref="AK7:AN7" si="35">IF(OR(H8=""),"",(H8-H7)*80)</f>
        <v>0</v>
      </c>
      <c r="AL7" s="18">
        <f t="shared" si="35"/>
        <v>0</v>
      </c>
      <c r="AM7" s="18">
        <f t="shared" si="35"/>
        <v>0</v>
      </c>
      <c r="AN7" s="18">
        <f t="shared" si="35"/>
        <v>0</v>
      </c>
      <c r="AO7" s="18">
        <f t="shared" si="5"/>
        <v>0</v>
      </c>
      <c r="AP7" s="18">
        <f t="shared" ref="AP7:AS7" si="36">IF(OR(L8=""),"",(L8-L7)*100)</f>
        <v>3139.99999999942</v>
      </c>
      <c r="AQ7" s="18">
        <f t="shared" si="36"/>
        <v>0</v>
      </c>
      <c r="AR7" s="18">
        <f t="shared" si="36"/>
        <v>2580.00000000029</v>
      </c>
      <c r="AS7" s="18">
        <f t="shared" si="36"/>
        <v>2690.00000000087</v>
      </c>
      <c r="AT7" s="18">
        <f t="shared" si="7"/>
        <v>8410.00000000058</v>
      </c>
      <c r="AU7" s="18">
        <f t="shared" ref="AU7:AY7" si="37">IF(OR(P8=""),"",(P8-P7)*1000)</f>
        <v>3599.99999999945</v>
      </c>
      <c r="AV7" s="18">
        <f t="shared" si="37"/>
        <v>0</v>
      </c>
      <c r="AW7" s="18">
        <f t="shared" si="37"/>
        <v>0</v>
      </c>
      <c r="AX7" s="18">
        <f t="shared" si="37"/>
        <v>0</v>
      </c>
      <c r="AY7" s="18">
        <f t="shared" si="37"/>
        <v>9300.00000000018</v>
      </c>
      <c r="AZ7" s="18">
        <f t="shared" si="9"/>
        <v>12899.9999999996</v>
      </c>
      <c r="BA7" s="18">
        <f t="shared" si="10"/>
        <v>9800.00000000291</v>
      </c>
      <c r="BB7" s="18">
        <f t="shared" si="11"/>
        <v>1120</v>
      </c>
      <c r="BC7" s="18">
        <f t="shared" si="27"/>
        <v>1343.99999999965</v>
      </c>
      <c r="BD7" s="18">
        <f t="shared" si="12"/>
        <v>10129.2000000009</v>
      </c>
      <c r="BE7" s="18">
        <f t="shared" si="13"/>
        <v>52700.0000000044</v>
      </c>
      <c r="BF7" s="18">
        <f t="shared" si="14"/>
        <v>58</v>
      </c>
      <c r="BG7" s="21">
        <f t="shared" si="15"/>
        <v>0.252418814062671</v>
      </c>
      <c r="BH7" s="21">
        <f t="shared" si="16"/>
        <v>0.0430922502155414</v>
      </c>
      <c r="BI7" s="21">
        <f t="shared" si="17"/>
        <v>0</v>
      </c>
      <c r="BJ7" s="21">
        <f t="shared" si="18"/>
        <v>0.0402816361720499</v>
      </c>
      <c r="BK7" s="21">
        <f t="shared" ref="BK7:BO7" si="38">IF(OR($AD7=0),"",AZ7/$AD7)</f>
        <v>0.0617875275409505</v>
      </c>
      <c r="BL7" s="21">
        <f t="shared" si="38"/>
        <v>0.0469393620078691</v>
      </c>
      <c r="BM7" s="21">
        <f t="shared" si="38"/>
        <v>0.00536449851518345</v>
      </c>
      <c r="BN7" s="21">
        <f t="shared" si="38"/>
        <v>0.00643739821821846</v>
      </c>
      <c r="BO7" s="21">
        <f t="shared" si="38"/>
        <v>0.0485161413928578</v>
      </c>
    </row>
    <row r="8" spans="1:67">
      <c r="A8" s="9">
        <f t="shared" si="20"/>
        <v>44352</v>
      </c>
      <c r="B8" s="10">
        <v>16382.26</v>
      </c>
      <c r="C8" s="8">
        <v>89654</v>
      </c>
      <c r="D8" s="8">
        <v>57390.3</v>
      </c>
      <c r="E8" s="8">
        <v>56546.3</v>
      </c>
      <c r="F8" s="8">
        <v>4670.97</v>
      </c>
      <c r="G8" s="8">
        <v>111406</v>
      </c>
      <c r="H8" s="8">
        <v>5596.3</v>
      </c>
      <c r="I8" s="8">
        <v>2566.3</v>
      </c>
      <c r="J8" s="8">
        <v>967</v>
      </c>
      <c r="K8" s="8">
        <v>56</v>
      </c>
      <c r="L8" s="8">
        <v>89922.4</v>
      </c>
      <c r="M8" s="8">
        <v>61207.1</v>
      </c>
      <c r="N8" s="8">
        <v>71366.8</v>
      </c>
      <c r="O8" s="8">
        <v>101724.8</v>
      </c>
      <c r="P8" s="8">
        <v>5385.7</v>
      </c>
      <c r="Q8" s="8">
        <v>7194.9</v>
      </c>
      <c r="R8" s="8">
        <v>4533.3</v>
      </c>
      <c r="S8" s="8">
        <v>5069.2</v>
      </c>
      <c r="T8" s="8">
        <v>6595.7</v>
      </c>
      <c r="U8" s="8">
        <v>17125</v>
      </c>
      <c r="V8" s="8">
        <v>50252.8</v>
      </c>
      <c r="W8" s="8">
        <v>51423.5</v>
      </c>
      <c r="X8" s="8">
        <v>1978.2</v>
      </c>
      <c r="Y8" s="8">
        <v>1704.4</v>
      </c>
      <c r="Z8" s="16">
        <f t="shared" si="21"/>
        <v>55106.1</v>
      </c>
      <c r="AA8" s="8">
        <v>60923.7</v>
      </c>
      <c r="AB8" s="14">
        <v>3217</v>
      </c>
      <c r="AC8" s="7">
        <f t="shared" si="22"/>
        <v>64140.7</v>
      </c>
      <c r="AD8" s="17">
        <v>209248</v>
      </c>
      <c r="AE8" s="18">
        <f t="shared" ref="AE8:AI8" si="39">IF(OR(C9=""),"",(C9-C8)*80)</f>
        <v>3624.00000000023</v>
      </c>
      <c r="AF8" s="18">
        <f t="shared" si="39"/>
        <v>2967.99999999988</v>
      </c>
      <c r="AG8" s="18">
        <f t="shared" si="39"/>
        <v>0</v>
      </c>
      <c r="AH8" s="18">
        <f t="shared" si="39"/>
        <v>4.00000000001455</v>
      </c>
      <c r="AI8" s="18">
        <f t="shared" si="39"/>
        <v>2248.00000000047</v>
      </c>
      <c r="AJ8" s="18">
        <f t="shared" si="3"/>
        <v>8844.0000000006</v>
      </c>
      <c r="AK8" s="18">
        <f t="shared" ref="AK8:AN8" si="40">IF(OR(H9=""),"",(H9-H8)*80)</f>
        <v>0</v>
      </c>
      <c r="AL8" s="18">
        <f t="shared" si="40"/>
        <v>0</v>
      </c>
      <c r="AM8" s="18">
        <f t="shared" si="40"/>
        <v>0</v>
      </c>
      <c r="AN8" s="18">
        <f t="shared" si="40"/>
        <v>0</v>
      </c>
      <c r="AO8" s="18">
        <f t="shared" si="5"/>
        <v>0</v>
      </c>
      <c r="AP8" s="18">
        <f t="shared" ref="AP8:AS8" si="41">IF(OR(L9=""),"",(L9-L8)*100)</f>
        <v>3010.00000000058</v>
      </c>
      <c r="AQ8" s="18">
        <f t="shared" si="41"/>
        <v>0</v>
      </c>
      <c r="AR8" s="18">
        <f t="shared" si="41"/>
        <v>2489.99999999942</v>
      </c>
      <c r="AS8" s="18">
        <f t="shared" si="41"/>
        <v>2580.00000000029</v>
      </c>
      <c r="AT8" s="18">
        <f t="shared" si="7"/>
        <v>8080.00000000029</v>
      </c>
      <c r="AU8" s="18">
        <f t="shared" ref="AU8:AY8" si="42">IF(OR(P9=""),"",(P9-P8)*1000)</f>
        <v>3400.00000000055</v>
      </c>
      <c r="AV8" s="18">
        <f t="shared" si="42"/>
        <v>0</v>
      </c>
      <c r="AW8" s="18">
        <f t="shared" si="42"/>
        <v>300.000000000182</v>
      </c>
      <c r="AX8" s="18">
        <f t="shared" si="42"/>
        <v>0</v>
      </c>
      <c r="AY8" s="18">
        <f t="shared" si="42"/>
        <v>8900.00000000055</v>
      </c>
      <c r="AZ8" s="18">
        <f t="shared" si="9"/>
        <v>12600.0000000013</v>
      </c>
      <c r="BA8" s="18">
        <f t="shared" si="10"/>
        <v>9400.00000000146</v>
      </c>
      <c r="BB8" s="18">
        <f t="shared" si="11"/>
        <v>1175.99999999977</v>
      </c>
      <c r="BC8" s="18">
        <f t="shared" si="27"/>
        <v>1300</v>
      </c>
      <c r="BD8" s="18">
        <f t="shared" si="12"/>
        <v>10399.9999999813</v>
      </c>
      <c r="BE8" s="18">
        <f t="shared" si="13"/>
        <v>51799.9999999847</v>
      </c>
      <c r="BF8" s="18">
        <f t="shared" si="14"/>
        <v>57.1000000000058</v>
      </c>
      <c r="BG8" s="21">
        <f t="shared" si="15"/>
        <v>0.247553142682294</v>
      </c>
      <c r="BH8" s="21">
        <f t="shared" si="16"/>
        <v>0.0422656369475483</v>
      </c>
      <c r="BI8" s="21">
        <f t="shared" si="17"/>
        <v>0</v>
      </c>
      <c r="BJ8" s="21">
        <f t="shared" si="18"/>
        <v>0.0386144670438919</v>
      </c>
      <c r="BK8" s="21">
        <f t="shared" ref="BK8:BO8" si="43">IF(OR($AD8=0),"",AZ8/$AD8)</f>
        <v>0.0602156293011225</v>
      </c>
      <c r="BL8" s="21">
        <f t="shared" si="43"/>
        <v>0.0449227710659192</v>
      </c>
      <c r="BM8" s="21">
        <f t="shared" si="43"/>
        <v>0.00562012540143642</v>
      </c>
      <c r="BN8" s="21">
        <f t="shared" si="43"/>
        <v>0.00621272365805169</v>
      </c>
      <c r="BO8" s="21">
        <f t="shared" si="43"/>
        <v>0.0497017892643243</v>
      </c>
    </row>
    <row r="9" spans="1:67">
      <c r="A9" s="9">
        <f t="shared" si="20"/>
        <v>44353</v>
      </c>
      <c r="B9" s="10">
        <v>16387.44</v>
      </c>
      <c r="C9" s="8">
        <v>89699.3</v>
      </c>
      <c r="D9" s="8">
        <v>57427.4</v>
      </c>
      <c r="E9" s="8">
        <v>56546.3</v>
      </c>
      <c r="F9" s="8">
        <v>4671.02</v>
      </c>
      <c r="G9" s="8">
        <v>111434.1</v>
      </c>
      <c r="H9" s="8">
        <v>5596.3</v>
      </c>
      <c r="I9" s="8">
        <v>2566.3</v>
      </c>
      <c r="J9" s="8">
        <v>967</v>
      </c>
      <c r="K9" s="8">
        <v>56</v>
      </c>
      <c r="L9" s="8">
        <v>89952.5</v>
      </c>
      <c r="M9" s="8">
        <v>61207.1</v>
      </c>
      <c r="N9" s="8">
        <v>71391.7</v>
      </c>
      <c r="O9" s="8">
        <v>101750.6</v>
      </c>
      <c r="P9" s="8">
        <v>5389.1</v>
      </c>
      <c r="Q9" s="8">
        <v>7194.9</v>
      </c>
      <c r="R9" s="8">
        <v>4533.6</v>
      </c>
      <c r="S9" s="8">
        <v>5069.2</v>
      </c>
      <c r="T9" s="8">
        <v>6604.6</v>
      </c>
      <c r="U9" s="8">
        <v>17129.7</v>
      </c>
      <c r="V9" s="8">
        <v>50267.5</v>
      </c>
      <c r="W9" s="8">
        <v>51439.8</v>
      </c>
      <c r="X9" s="8">
        <v>1986.2</v>
      </c>
      <c r="Y9" s="8">
        <v>1712.6</v>
      </c>
      <c r="Z9" s="16">
        <f t="shared" si="21"/>
        <v>55138.6</v>
      </c>
      <c r="AA9" s="8">
        <v>60973.8</v>
      </c>
      <c r="AB9" s="14">
        <v>3224</v>
      </c>
      <c r="AC9" s="7">
        <f t="shared" si="22"/>
        <v>64197.8</v>
      </c>
      <c r="AD9" s="17">
        <v>207699</v>
      </c>
      <c r="AE9" s="18">
        <f t="shared" ref="AE9:AI9" si="44">IF(OR(C10=""),"",(C10-C9)*80)</f>
        <v>3735.99999999977</v>
      </c>
      <c r="AF9" s="18">
        <f t="shared" si="44"/>
        <v>3103.99999999965</v>
      </c>
      <c r="AG9" s="18">
        <f t="shared" si="44"/>
        <v>0</v>
      </c>
      <c r="AH9" s="18">
        <f t="shared" si="44"/>
        <v>4.79999999995925</v>
      </c>
      <c r="AI9" s="18">
        <f t="shared" si="44"/>
        <v>2480</v>
      </c>
      <c r="AJ9" s="18">
        <f t="shared" si="3"/>
        <v>9324.79999999938</v>
      </c>
      <c r="AK9" s="18">
        <f t="shared" ref="AK9:AN9" si="45">IF(OR(H10=""),"",(H10-H9)*80)</f>
        <v>0</v>
      </c>
      <c r="AL9" s="18">
        <f t="shared" si="45"/>
        <v>0</v>
      </c>
      <c r="AM9" s="18">
        <f t="shared" si="45"/>
        <v>0</v>
      </c>
      <c r="AN9" s="18">
        <f t="shared" si="45"/>
        <v>0</v>
      </c>
      <c r="AO9" s="18">
        <f t="shared" si="5"/>
        <v>0</v>
      </c>
      <c r="AP9" s="18">
        <f t="shared" ref="AP9:AS9" si="46">IF(OR(L10=""),"",(L10-L9)*100)</f>
        <v>3130.00000000029</v>
      </c>
      <c r="AQ9" s="18">
        <f t="shared" si="46"/>
        <v>0</v>
      </c>
      <c r="AR9" s="18">
        <f t="shared" si="46"/>
        <v>2550</v>
      </c>
      <c r="AS9" s="18">
        <f t="shared" si="46"/>
        <v>2659.99999999913</v>
      </c>
      <c r="AT9" s="18">
        <f t="shared" si="7"/>
        <v>8339.99999999942</v>
      </c>
      <c r="AU9" s="18">
        <f t="shared" ref="AU9:AY9" si="47">IF(OR(P10=""),"",(P10-P9)*1000)</f>
        <v>0</v>
      </c>
      <c r="AV9" s="18">
        <f t="shared" si="47"/>
        <v>0</v>
      </c>
      <c r="AW9" s="18">
        <f t="shared" si="47"/>
        <v>4399.99999999964</v>
      </c>
      <c r="AX9" s="18">
        <f t="shared" si="47"/>
        <v>0</v>
      </c>
      <c r="AY9" s="18">
        <f t="shared" si="47"/>
        <v>8699.99999999982</v>
      </c>
      <c r="AZ9" s="18">
        <f t="shared" si="9"/>
        <v>13099.9999999995</v>
      </c>
      <c r="BA9" s="18">
        <f t="shared" si="10"/>
        <v>9400.00000000146</v>
      </c>
      <c r="BB9" s="18">
        <f t="shared" si="11"/>
        <v>1167.99999999988</v>
      </c>
      <c r="BC9" s="18">
        <f t="shared" si="27"/>
        <v>1332.00000000012</v>
      </c>
      <c r="BD9" s="18">
        <f t="shared" si="12"/>
        <v>12335.2000000003</v>
      </c>
      <c r="BE9" s="18">
        <f t="shared" si="13"/>
        <v>55000</v>
      </c>
      <c r="BF9" s="18">
        <f t="shared" si="14"/>
        <v>56.7999999999956</v>
      </c>
      <c r="BG9" s="21">
        <f t="shared" si="15"/>
        <v>0.264806282167945</v>
      </c>
      <c r="BH9" s="21">
        <f t="shared" si="16"/>
        <v>0.044895738544718</v>
      </c>
      <c r="BI9" s="21">
        <f t="shared" si="17"/>
        <v>0</v>
      </c>
      <c r="BJ9" s="21">
        <f t="shared" si="18"/>
        <v>0.0401542616960092</v>
      </c>
      <c r="BK9" s="21">
        <f t="shared" ref="BK9:BO9" si="48">IF(OR($AD9=0),"",AZ9/$AD9)</f>
        <v>0.0630720417527261</v>
      </c>
      <c r="BL9" s="21">
        <f t="shared" si="48"/>
        <v>0.0452578009523467</v>
      </c>
      <c r="BM9" s="21">
        <f t="shared" si="48"/>
        <v>0.00562352250131143</v>
      </c>
      <c r="BN9" s="21">
        <f t="shared" si="48"/>
        <v>0.00641312668814061</v>
      </c>
      <c r="BO9" s="21">
        <f t="shared" si="48"/>
        <v>0.059389790032693</v>
      </c>
    </row>
    <row r="10" spans="1:67">
      <c r="A10" s="9">
        <f t="shared" si="20"/>
        <v>44354</v>
      </c>
      <c r="B10" s="10">
        <v>16392.94</v>
      </c>
      <c r="C10" s="8">
        <v>89746</v>
      </c>
      <c r="D10" s="8">
        <v>57466.2</v>
      </c>
      <c r="E10" s="8">
        <v>56546.3</v>
      </c>
      <c r="F10" s="8">
        <v>4671.08</v>
      </c>
      <c r="G10" s="8">
        <v>111465.1</v>
      </c>
      <c r="H10" s="8">
        <v>5596.3</v>
      </c>
      <c r="I10" s="8">
        <v>2566.3</v>
      </c>
      <c r="J10" s="8">
        <v>967</v>
      </c>
      <c r="K10" s="8">
        <v>56</v>
      </c>
      <c r="L10" s="8">
        <v>89983.8</v>
      </c>
      <c r="M10" s="8">
        <v>61207.1</v>
      </c>
      <c r="N10" s="8">
        <v>71417.2</v>
      </c>
      <c r="O10" s="8">
        <v>101777.2</v>
      </c>
      <c r="P10" s="8">
        <v>5389.1</v>
      </c>
      <c r="Q10" s="8">
        <v>7194.9</v>
      </c>
      <c r="R10" s="8">
        <v>4538</v>
      </c>
      <c r="S10" s="8">
        <v>5069.2</v>
      </c>
      <c r="T10" s="8">
        <v>6613.3</v>
      </c>
      <c r="U10" s="8">
        <v>17134.4</v>
      </c>
      <c r="V10" s="8">
        <v>50282.1</v>
      </c>
      <c r="W10" s="8">
        <v>51456.3</v>
      </c>
      <c r="X10" s="8">
        <v>1994.5</v>
      </c>
      <c r="Y10" s="8">
        <v>1721.1</v>
      </c>
      <c r="Z10" s="16">
        <f t="shared" si="21"/>
        <v>55171.9</v>
      </c>
      <c r="AA10" s="8">
        <v>61024.6</v>
      </c>
      <c r="AB10" s="14">
        <v>3230</v>
      </c>
      <c r="AC10" s="7">
        <f t="shared" si="22"/>
        <v>64254.6</v>
      </c>
      <c r="AD10" s="17">
        <v>206099</v>
      </c>
      <c r="AE10" s="18">
        <f t="shared" ref="AE10:AI10" si="49">IF(OR(C11=""),"",(C11-C10)*80)</f>
        <v>3784.00000000023</v>
      </c>
      <c r="AF10" s="18">
        <f t="shared" si="49"/>
        <v>3072.00000000012</v>
      </c>
      <c r="AG10" s="18">
        <f t="shared" si="49"/>
        <v>0</v>
      </c>
      <c r="AH10" s="18">
        <f t="shared" si="49"/>
        <v>4.00000000001455</v>
      </c>
      <c r="AI10" s="18">
        <f t="shared" si="49"/>
        <v>2487.9999999993</v>
      </c>
      <c r="AJ10" s="18">
        <f t="shared" si="3"/>
        <v>9347.99999999967</v>
      </c>
      <c r="AK10" s="18">
        <f t="shared" ref="AK10:AN10" si="50">IF(OR(H11=""),"",(H11-H10)*80)</f>
        <v>0</v>
      </c>
      <c r="AL10" s="18">
        <f t="shared" si="50"/>
        <v>0</v>
      </c>
      <c r="AM10" s="18">
        <f t="shared" si="50"/>
        <v>0</v>
      </c>
      <c r="AN10" s="18">
        <f t="shared" si="50"/>
        <v>0</v>
      </c>
      <c r="AO10" s="18">
        <f t="shared" si="5"/>
        <v>0</v>
      </c>
      <c r="AP10" s="18">
        <f t="shared" ref="AP10:AS10" si="51">IF(OR(L11=""),"",(L11-L10)*100)</f>
        <v>2869.99999999971</v>
      </c>
      <c r="AQ10" s="18">
        <f t="shared" si="51"/>
        <v>0</v>
      </c>
      <c r="AR10" s="18">
        <f t="shared" si="51"/>
        <v>2560.00000000058</v>
      </c>
      <c r="AS10" s="18">
        <f t="shared" si="51"/>
        <v>2650</v>
      </c>
      <c r="AT10" s="18">
        <f t="shared" si="7"/>
        <v>8080.00000000029</v>
      </c>
      <c r="AU10" s="18">
        <f t="shared" ref="AU10:AY10" si="52">IF(OR(P11=""),"",(P11-P10)*1000)</f>
        <v>2399.99999999964</v>
      </c>
      <c r="AV10" s="18">
        <f t="shared" si="52"/>
        <v>0</v>
      </c>
      <c r="AW10" s="18">
        <f t="shared" si="52"/>
        <v>4600.00000000036</v>
      </c>
      <c r="AX10" s="18">
        <f t="shared" si="52"/>
        <v>0</v>
      </c>
      <c r="AY10" s="18">
        <f t="shared" si="52"/>
        <v>3000</v>
      </c>
      <c r="AZ10" s="18">
        <f t="shared" si="9"/>
        <v>10000</v>
      </c>
      <c r="BA10" s="18">
        <f t="shared" si="10"/>
        <v>8599.99999999854</v>
      </c>
      <c r="BB10" s="18">
        <f t="shared" si="11"/>
        <v>1080</v>
      </c>
      <c r="BC10" s="18">
        <f t="shared" si="27"/>
        <v>1312.00000000012</v>
      </c>
      <c r="BD10" s="18">
        <f t="shared" si="12"/>
        <v>15679.9999999999</v>
      </c>
      <c r="BE10" s="18">
        <f t="shared" si="13"/>
        <v>54099.9999999985</v>
      </c>
      <c r="BF10" s="18">
        <f t="shared" si="14"/>
        <v>53.8000000000029</v>
      </c>
      <c r="BG10" s="21">
        <f t="shared" si="15"/>
        <v>0.262495208613329</v>
      </c>
      <c r="BH10" s="21">
        <f t="shared" si="16"/>
        <v>0.0453568430705616</v>
      </c>
      <c r="BI10" s="21">
        <f t="shared" si="17"/>
        <v>0</v>
      </c>
      <c r="BJ10" s="21">
        <f t="shared" si="18"/>
        <v>0.0392044599925293</v>
      </c>
      <c r="BK10" s="21">
        <f t="shared" ref="BK10:BO10" si="53">IF(OR($AD10=0),"",AZ10/$AD10)</f>
        <v>0.048520371277881</v>
      </c>
      <c r="BL10" s="21">
        <f t="shared" si="53"/>
        <v>0.0417275192989706</v>
      </c>
      <c r="BM10" s="21">
        <f t="shared" si="53"/>
        <v>0.00524020009801115</v>
      </c>
      <c r="BN10" s="21">
        <f t="shared" si="53"/>
        <v>0.00636587271165855</v>
      </c>
      <c r="BO10" s="21">
        <f t="shared" si="53"/>
        <v>0.0760799421637171</v>
      </c>
    </row>
    <row r="11" spans="1:67">
      <c r="A11" s="9">
        <f t="shared" si="20"/>
        <v>44355</v>
      </c>
      <c r="B11" s="10">
        <v>16398.35</v>
      </c>
      <c r="C11" s="8">
        <v>89793.3</v>
      </c>
      <c r="D11" s="8">
        <v>57504.6</v>
      </c>
      <c r="E11" s="8">
        <v>56546.3</v>
      </c>
      <c r="F11" s="8">
        <v>4671.13</v>
      </c>
      <c r="G11" s="8">
        <v>111496.2</v>
      </c>
      <c r="H11" s="8">
        <v>5596.3</v>
      </c>
      <c r="I11" s="8">
        <v>2566.3</v>
      </c>
      <c r="J11" s="8">
        <v>967</v>
      </c>
      <c r="K11" s="8">
        <v>56</v>
      </c>
      <c r="L11" s="8">
        <v>90012.5</v>
      </c>
      <c r="M11" s="8">
        <v>61207.1</v>
      </c>
      <c r="N11" s="8">
        <v>71442.8</v>
      </c>
      <c r="O11" s="8">
        <v>101803.7</v>
      </c>
      <c r="P11" s="8">
        <v>5391.5</v>
      </c>
      <c r="Q11" s="8">
        <v>7194.9</v>
      </c>
      <c r="R11" s="8">
        <v>4542.6</v>
      </c>
      <c r="S11" s="8">
        <v>5069.2</v>
      </c>
      <c r="T11" s="8">
        <v>6616.3</v>
      </c>
      <c r="U11" s="8">
        <v>17138.7</v>
      </c>
      <c r="V11" s="8">
        <v>50295.6</v>
      </c>
      <c r="W11" s="8">
        <v>51472.5</v>
      </c>
      <c r="X11" s="8">
        <v>2002.8</v>
      </c>
      <c r="Y11" s="8">
        <v>1729.4</v>
      </c>
      <c r="Z11" s="16">
        <f t="shared" si="21"/>
        <v>55204.7</v>
      </c>
      <c r="AA11" s="8">
        <v>61071.4</v>
      </c>
      <c r="AB11" s="14">
        <v>3237</v>
      </c>
      <c r="AC11" s="7">
        <f t="shared" si="22"/>
        <v>64308.4</v>
      </c>
      <c r="AD11" s="17">
        <v>204570</v>
      </c>
      <c r="AE11" s="18">
        <f t="shared" ref="AE11:AI11" si="54">IF(OR(C12=""),"",(C12-C11)*80)</f>
        <v>3880</v>
      </c>
      <c r="AF11" s="18">
        <f t="shared" si="54"/>
        <v>3167.99999999988</v>
      </c>
      <c r="AG11" s="18">
        <f t="shared" si="54"/>
        <v>0</v>
      </c>
      <c r="AH11" s="18">
        <f t="shared" si="54"/>
        <v>4.79999999995925</v>
      </c>
      <c r="AI11" s="18">
        <f t="shared" si="54"/>
        <v>2488.00000000047</v>
      </c>
      <c r="AJ11" s="18">
        <f t="shared" si="3"/>
        <v>9540.80000000031</v>
      </c>
      <c r="AK11" s="18">
        <f t="shared" ref="AK11:AN11" si="55">IF(OR(H12=""),"",(H12-H11)*80)</f>
        <v>0</v>
      </c>
      <c r="AL11" s="18">
        <f t="shared" si="55"/>
        <v>0</v>
      </c>
      <c r="AM11" s="18">
        <f t="shared" si="55"/>
        <v>0</v>
      </c>
      <c r="AN11" s="18">
        <f t="shared" si="55"/>
        <v>0</v>
      </c>
      <c r="AO11" s="18">
        <f t="shared" si="5"/>
        <v>0</v>
      </c>
      <c r="AP11" s="18">
        <f t="shared" ref="AP11:AS11" si="56">IF(OR(L12=""),"",(L12-L11)*100)</f>
        <v>2939.99999999942</v>
      </c>
      <c r="AQ11" s="18">
        <f t="shared" si="56"/>
        <v>0</v>
      </c>
      <c r="AR11" s="18">
        <f t="shared" si="56"/>
        <v>2559.99999999913</v>
      </c>
      <c r="AS11" s="18">
        <f t="shared" si="56"/>
        <v>2660.00000000058</v>
      </c>
      <c r="AT11" s="18">
        <f t="shared" si="7"/>
        <v>8159.99999999913</v>
      </c>
      <c r="AU11" s="18">
        <f t="shared" ref="AU11:AY11" si="57">IF(OR(P12=""),"",(P12-P11)*1000)</f>
        <v>899.999999999636</v>
      </c>
      <c r="AV11" s="18">
        <f t="shared" si="57"/>
        <v>0</v>
      </c>
      <c r="AW11" s="18">
        <f t="shared" si="57"/>
        <v>0</v>
      </c>
      <c r="AX11" s="18">
        <f t="shared" si="57"/>
        <v>4000</v>
      </c>
      <c r="AY11" s="18">
        <f t="shared" si="57"/>
        <v>8899.99999999964</v>
      </c>
      <c r="AZ11" s="18">
        <f t="shared" si="9"/>
        <v>13799.9999999993</v>
      </c>
      <c r="BA11" s="18">
        <f t="shared" si="10"/>
        <v>9199.99999999709</v>
      </c>
      <c r="BB11" s="18">
        <f t="shared" si="11"/>
        <v>1160</v>
      </c>
      <c r="BC11" s="18">
        <f t="shared" si="27"/>
        <v>1359.99999999971</v>
      </c>
      <c r="BD11" s="18">
        <f t="shared" si="12"/>
        <v>13679.2000000278</v>
      </c>
      <c r="BE11" s="18">
        <f t="shared" si="13"/>
        <v>56900.0000000233</v>
      </c>
      <c r="BF11" s="18">
        <f t="shared" si="14"/>
        <v>58.5999999999985</v>
      </c>
      <c r="BG11" s="21">
        <f t="shared" si="15"/>
        <v>0.278144400449838</v>
      </c>
      <c r="BH11" s="21">
        <f t="shared" si="16"/>
        <v>0.046638314513371</v>
      </c>
      <c r="BI11" s="21">
        <f t="shared" si="17"/>
        <v>0</v>
      </c>
      <c r="BJ11" s="21">
        <f t="shared" si="18"/>
        <v>0.0398885467077241</v>
      </c>
      <c r="BK11" s="21">
        <f t="shared" ref="BK11:BO11" si="58">IF(OR($AD11=0),"",AZ11/$AD11)</f>
        <v>0.0674585716380665</v>
      </c>
      <c r="BL11" s="21">
        <f t="shared" si="58"/>
        <v>0.0449723810920325</v>
      </c>
      <c r="BM11" s="21">
        <f t="shared" si="58"/>
        <v>0.00567043065943198</v>
      </c>
      <c r="BN11" s="21">
        <f t="shared" si="58"/>
        <v>0.00664809111795331</v>
      </c>
      <c r="BO11" s="21">
        <f t="shared" si="58"/>
        <v>0.0668680647212581</v>
      </c>
    </row>
    <row r="12" spans="1:67">
      <c r="A12" s="9">
        <f t="shared" si="20"/>
        <v>44356</v>
      </c>
      <c r="B12" s="10">
        <v>16404.04</v>
      </c>
      <c r="C12" s="8">
        <v>89841.8</v>
      </c>
      <c r="D12" s="8">
        <v>57544.2</v>
      </c>
      <c r="E12" s="8">
        <v>56546.3</v>
      </c>
      <c r="F12" s="8">
        <v>4671.19</v>
      </c>
      <c r="G12" s="8">
        <v>111527.3</v>
      </c>
      <c r="H12" s="8">
        <v>5596.3</v>
      </c>
      <c r="I12" s="8">
        <v>2566.3</v>
      </c>
      <c r="J12" s="8">
        <v>967</v>
      </c>
      <c r="K12" s="8">
        <v>56</v>
      </c>
      <c r="L12" s="8">
        <v>90041.9</v>
      </c>
      <c r="M12" s="8">
        <v>61207.1</v>
      </c>
      <c r="N12" s="8">
        <v>71468.4</v>
      </c>
      <c r="O12" s="8">
        <v>101830.3</v>
      </c>
      <c r="P12" s="8">
        <v>5392.4</v>
      </c>
      <c r="Q12" s="8">
        <v>7194.9</v>
      </c>
      <c r="R12" s="8">
        <v>4542.6</v>
      </c>
      <c r="S12" s="8">
        <v>5073.2</v>
      </c>
      <c r="T12" s="8">
        <v>6625.2</v>
      </c>
      <c r="U12" s="8">
        <v>17143.3</v>
      </c>
      <c r="V12" s="8">
        <v>50310.1</v>
      </c>
      <c r="W12" s="8">
        <v>51489.6</v>
      </c>
      <c r="X12" s="8">
        <v>2011.2</v>
      </c>
      <c r="Y12" s="8">
        <v>1737.9</v>
      </c>
      <c r="Z12" s="16">
        <f t="shared" si="21"/>
        <v>55238.7</v>
      </c>
      <c r="AA12" s="8">
        <v>61121</v>
      </c>
      <c r="AB12" s="14">
        <v>3246</v>
      </c>
      <c r="AC12" s="7">
        <f t="shared" si="22"/>
        <v>64367</v>
      </c>
      <c r="AD12" s="17">
        <v>207402</v>
      </c>
      <c r="AE12" s="18">
        <f t="shared" ref="AE12:AI12" si="59">IF(OR(C13=""),"",(C13-C12)*80)</f>
        <v>3680</v>
      </c>
      <c r="AF12" s="18">
        <f t="shared" si="59"/>
        <v>984.000000000233</v>
      </c>
      <c r="AG12" s="18">
        <f t="shared" si="59"/>
        <v>1920</v>
      </c>
      <c r="AH12" s="18">
        <f t="shared" si="59"/>
        <v>4.00000000001455</v>
      </c>
      <c r="AI12" s="18">
        <f t="shared" si="59"/>
        <v>2527.9999999993</v>
      </c>
      <c r="AJ12" s="18">
        <f t="shared" si="3"/>
        <v>9115.99999999955</v>
      </c>
      <c r="AK12" s="18">
        <f t="shared" ref="AK12:AN12" si="60">IF(OR(H13=""),"",(H13-H12)*80)</f>
        <v>0</v>
      </c>
      <c r="AL12" s="18">
        <f t="shared" si="60"/>
        <v>0</v>
      </c>
      <c r="AM12" s="18">
        <f t="shared" si="60"/>
        <v>0</v>
      </c>
      <c r="AN12" s="18">
        <f t="shared" si="60"/>
        <v>0</v>
      </c>
      <c r="AO12" s="18">
        <f t="shared" si="5"/>
        <v>0</v>
      </c>
      <c r="AP12" s="18">
        <f t="shared" ref="AP12:AS12" si="61">IF(OR(L13=""),"",(L13-L12)*100)</f>
        <v>3050</v>
      </c>
      <c r="AQ12" s="18">
        <f t="shared" si="61"/>
        <v>0</v>
      </c>
      <c r="AR12" s="18">
        <f t="shared" si="61"/>
        <v>2510.00000000058</v>
      </c>
      <c r="AS12" s="18">
        <f t="shared" si="61"/>
        <v>2600</v>
      </c>
      <c r="AT12" s="18">
        <f t="shared" si="7"/>
        <v>8160.00000000058</v>
      </c>
      <c r="AU12" s="18">
        <f t="shared" ref="AU12:AY12" si="62">IF(OR(P13=""),"",(P13-P12)*1000)</f>
        <v>1200.00000000073</v>
      </c>
      <c r="AV12" s="18">
        <f t="shared" si="62"/>
        <v>0</v>
      </c>
      <c r="AW12" s="18">
        <f t="shared" si="62"/>
        <v>3199.99999999982</v>
      </c>
      <c r="AX12" s="18">
        <f t="shared" si="62"/>
        <v>0</v>
      </c>
      <c r="AY12" s="18">
        <f t="shared" si="62"/>
        <v>8300.00000000018</v>
      </c>
      <c r="AZ12" s="18">
        <f t="shared" si="9"/>
        <v>12700.0000000007</v>
      </c>
      <c r="BA12" s="18">
        <f t="shared" si="10"/>
        <v>9000</v>
      </c>
      <c r="BB12" s="18">
        <f t="shared" si="11"/>
        <v>1167.99999999988</v>
      </c>
      <c r="BC12" s="18">
        <f t="shared" si="27"/>
        <v>1280</v>
      </c>
      <c r="BD12" s="18">
        <f t="shared" si="12"/>
        <v>12775.9999999818</v>
      </c>
      <c r="BE12" s="18">
        <f t="shared" si="13"/>
        <v>54199.9999999825</v>
      </c>
      <c r="BF12" s="18">
        <f t="shared" si="14"/>
        <v>53.3000000000029</v>
      </c>
      <c r="BG12" s="21">
        <f t="shared" si="15"/>
        <v>0.261328241771933</v>
      </c>
      <c r="BH12" s="21">
        <f t="shared" si="16"/>
        <v>0.0439532887821696</v>
      </c>
      <c r="BI12" s="21">
        <f t="shared" si="17"/>
        <v>0</v>
      </c>
      <c r="BJ12" s="21">
        <f t="shared" si="18"/>
        <v>0.0393438828940925</v>
      </c>
      <c r="BK12" s="21">
        <f t="shared" ref="BK12:BO12" si="63">IF(OR($AD12=0),"",AZ12/$AD12)</f>
        <v>0.0612337393082069</v>
      </c>
      <c r="BL12" s="21">
        <f t="shared" si="63"/>
        <v>0.0433939884861284</v>
      </c>
      <c r="BM12" s="21">
        <f t="shared" si="63"/>
        <v>0.00563157539464366</v>
      </c>
      <c r="BN12" s="21">
        <f t="shared" si="63"/>
        <v>0.0061715894735827</v>
      </c>
      <c r="BO12" s="21">
        <f t="shared" si="63"/>
        <v>0.0616001774331096</v>
      </c>
    </row>
    <row r="13" spans="1:67">
      <c r="A13" s="9">
        <f t="shared" si="20"/>
        <v>44357</v>
      </c>
      <c r="B13" s="10">
        <v>16409.46</v>
      </c>
      <c r="C13" s="8">
        <v>89887.8</v>
      </c>
      <c r="D13" s="8">
        <v>57556.5</v>
      </c>
      <c r="E13" s="8">
        <v>56570.3</v>
      </c>
      <c r="F13" s="8">
        <v>4671.24</v>
      </c>
      <c r="G13" s="8">
        <v>111558.9</v>
      </c>
      <c r="H13" s="8">
        <v>5596.3</v>
      </c>
      <c r="I13" s="8">
        <v>2566.3</v>
      </c>
      <c r="J13" s="8">
        <v>967</v>
      </c>
      <c r="K13" s="8">
        <v>56</v>
      </c>
      <c r="L13" s="8">
        <v>90072.4</v>
      </c>
      <c r="M13" s="8">
        <v>61207.1</v>
      </c>
      <c r="N13" s="8">
        <v>71493.5</v>
      </c>
      <c r="O13" s="8">
        <v>101856.3</v>
      </c>
      <c r="P13" s="8">
        <v>5393.6</v>
      </c>
      <c r="Q13" s="8">
        <v>7194.9</v>
      </c>
      <c r="R13" s="8">
        <v>4545.8</v>
      </c>
      <c r="S13" s="8">
        <v>5073.2</v>
      </c>
      <c r="T13" s="8">
        <v>6633.5</v>
      </c>
      <c r="U13" s="8">
        <v>17147.8</v>
      </c>
      <c r="V13" s="8">
        <v>50324.7</v>
      </c>
      <c r="W13" s="8">
        <v>51505.6</v>
      </c>
      <c r="X13" s="8">
        <v>2019.2</v>
      </c>
      <c r="Y13" s="8">
        <v>1745.9</v>
      </c>
      <c r="Z13" s="16">
        <f t="shared" si="21"/>
        <v>55270.7</v>
      </c>
      <c r="AA13" s="8">
        <v>61168.3</v>
      </c>
      <c r="AB13" s="14">
        <v>3252</v>
      </c>
      <c r="AC13" s="7">
        <f t="shared" si="22"/>
        <v>64420.3</v>
      </c>
      <c r="AD13" s="17">
        <v>204016</v>
      </c>
      <c r="AE13" s="18">
        <f t="shared" ref="AE13:AI13" si="64">IF(OR(C14=""),"",(C14-C13)*80)</f>
        <v>3784.00000000023</v>
      </c>
      <c r="AF13" s="18">
        <f t="shared" si="64"/>
        <v>0</v>
      </c>
      <c r="AG13" s="18">
        <f t="shared" si="64"/>
        <v>2951.99999999953</v>
      </c>
      <c r="AH13" s="18">
        <f t="shared" si="64"/>
        <v>28.0000000000291</v>
      </c>
      <c r="AI13" s="18">
        <f t="shared" si="64"/>
        <v>2528.00000000047</v>
      </c>
      <c r="AJ13" s="18">
        <f t="shared" si="3"/>
        <v>9292.00000000026</v>
      </c>
      <c r="AK13" s="18">
        <f t="shared" ref="AK13:AN13" si="65">IF(OR(H14=""),"",(H14-H13)*80)</f>
        <v>0</v>
      </c>
      <c r="AL13" s="18">
        <f t="shared" si="65"/>
        <v>0</v>
      </c>
      <c r="AM13" s="18">
        <f t="shared" si="65"/>
        <v>0</v>
      </c>
      <c r="AN13" s="18">
        <f t="shared" si="65"/>
        <v>0</v>
      </c>
      <c r="AO13" s="18">
        <f t="shared" si="5"/>
        <v>0</v>
      </c>
      <c r="AP13" s="18">
        <f t="shared" ref="AP13:AS13" si="66">IF(OR(L14=""),"",(L14-L13)*100)</f>
        <v>2620.00000000116</v>
      </c>
      <c r="AQ13" s="18">
        <f t="shared" si="66"/>
        <v>450</v>
      </c>
      <c r="AR13" s="18">
        <f t="shared" si="66"/>
        <v>2489.99999999942</v>
      </c>
      <c r="AS13" s="18">
        <f t="shared" si="66"/>
        <v>2639.99999999942</v>
      </c>
      <c r="AT13" s="18">
        <f t="shared" si="7"/>
        <v>8200</v>
      </c>
      <c r="AU13" s="18">
        <f t="shared" ref="AU13:AY13" si="67">IF(OR(P14=""),"",(P14-P13)*1000)</f>
        <v>0</v>
      </c>
      <c r="AV13" s="18">
        <f t="shared" si="67"/>
        <v>0</v>
      </c>
      <c r="AW13" s="18">
        <f t="shared" si="67"/>
        <v>4300.00000000018</v>
      </c>
      <c r="AX13" s="18">
        <f t="shared" si="67"/>
        <v>0</v>
      </c>
      <c r="AY13" s="18">
        <f t="shared" si="67"/>
        <v>8300.00000000018</v>
      </c>
      <c r="AZ13" s="18">
        <f t="shared" si="9"/>
        <v>12600.0000000004</v>
      </c>
      <c r="BA13" s="18">
        <f t="shared" si="10"/>
        <v>9400.00000000146</v>
      </c>
      <c r="BB13" s="18">
        <f t="shared" si="11"/>
        <v>1152.00000000012</v>
      </c>
      <c r="BC13" s="18">
        <f t="shared" si="27"/>
        <v>1324.00000000023</v>
      </c>
      <c r="BD13" s="18">
        <f t="shared" si="12"/>
        <v>13031.9999999976</v>
      </c>
      <c r="BE13" s="18">
        <f t="shared" si="13"/>
        <v>55000</v>
      </c>
      <c r="BF13" s="18">
        <f t="shared" si="14"/>
        <v>55.5</v>
      </c>
      <c r="BG13" s="21">
        <f t="shared" si="15"/>
        <v>0.269586699082425</v>
      </c>
      <c r="BH13" s="21">
        <f t="shared" si="16"/>
        <v>0.0455454474158902</v>
      </c>
      <c r="BI13" s="21">
        <f t="shared" si="17"/>
        <v>0</v>
      </c>
      <c r="BJ13" s="21">
        <f t="shared" si="18"/>
        <v>0.0401929260450161</v>
      </c>
      <c r="BK13" s="21">
        <f t="shared" ref="BK13:BO13" si="68">IF(OR($AD13=0),"",AZ13/$AD13)</f>
        <v>0.0617598619716119</v>
      </c>
      <c r="BL13" s="21">
        <f t="shared" si="68"/>
        <v>0.046074817661367</v>
      </c>
      <c r="BM13" s="21">
        <f t="shared" si="68"/>
        <v>0.00564661595169063</v>
      </c>
      <c r="BN13" s="21">
        <f t="shared" si="68"/>
        <v>0.00648968708336715</v>
      </c>
      <c r="BO13" s="21">
        <f t="shared" si="68"/>
        <v>0.0638773429534819</v>
      </c>
    </row>
    <row r="14" spans="1:67">
      <c r="A14" s="9">
        <f t="shared" si="20"/>
        <v>44358</v>
      </c>
      <c r="B14" s="10">
        <v>16414.96</v>
      </c>
      <c r="C14" s="8">
        <v>89935.1</v>
      </c>
      <c r="D14" s="8">
        <v>57556.5</v>
      </c>
      <c r="E14" s="8">
        <v>56607.2</v>
      </c>
      <c r="F14" s="8">
        <v>4671.59</v>
      </c>
      <c r="G14" s="8">
        <v>111590.5</v>
      </c>
      <c r="H14" s="8">
        <v>5596.3</v>
      </c>
      <c r="I14" s="8">
        <v>2566.3</v>
      </c>
      <c r="J14" s="8">
        <v>967</v>
      </c>
      <c r="K14" s="8">
        <v>56</v>
      </c>
      <c r="L14" s="8">
        <v>90098.6</v>
      </c>
      <c r="M14" s="8">
        <v>61211.6</v>
      </c>
      <c r="N14" s="8">
        <v>71518.4</v>
      </c>
      <c r="O14" s="8">
        <v>101882.7</v>
      </c>
      <c r="P14" s="8">
        <v>5393.6</v>
      </c>
      <c r="Q14" s="8">
        <v>7194.9</v>
      </c>
      <c r="R14" s="8">
        <v>4550.1</v>
      </c>
      <c r="S14" s="8">
        <v>5073.2</v>
      </c>
      <c r="T14" s="8">
        <v>6641.8</v>
      </c>
      <c r="U14" s="8">
        <v>17152.5</v>
      </c>
      <c r="V14" s="8">
        <v>50339.1</v>
      </c>
      <c r="W14" s="8">
        <v>51522.3</v>
      </c>
      <c r="X14" s="8">
        <v>2027.4</v>
      </c>
      <c r="Y14" s="8">
        <v>1754.1</v>
      </c>
      <c r="Z14" s="16">
        <f t="shared" si="21"/>
        <v>55303.8</v>
      </c>
      <c r="AA14" s="8">
        <v>61216.8</v>
      </c>
      <c r="AB14" s="14">
        <v>3259</v>
      </c>
      <c r="AC14" s="7">
        <f t="shared" si="22"/>
        <v>64475.8</v>
      </c>
      <c r="AD14" s="17">
        <v>201439</v>
      </c>
      <c r="AE14" s="18">
        <f t="shared" ref="AE14:AI14" si="69">IF(OR(C15=""),"",(C15-C14)*80)</f>
        <v>871.999999999534</v>
      </c>
      <c r="AF14" s="18">
        <f t="shared" si="69"/>
        <v>95.9999999997672</v>
      </c>
      <c r="AG14" s="18">
        <f t="shared" si="69"/>
        <v>2912.00000000012</v>
      </c>
      <c r="AH14" s="18">
        <f t="shared" si="69"/>
        <v>1496.8</v>
      </c>
      <c r="AI14" s="18">
        <f t="shared" si="69"/>
        <v>2408.00000000047</v>
      </c>
      <c r="AJ14" s="18">
        <f t="shared" si="3"/>
        <v>7784.79999999989</v>
      </c>
      <c r="AK14" s="18">
        <f t="shared" ref="AK14:AN14" si="70">IF(OR(H15=""),"",(H15-H14)*80)</f>
        <v>0</v>
      </c>
      <c r="AL14" s="18">
        <f t="shared" si="70"/>
        <v>0</v>
      </c>
      <c r="AM14" s="18">
        <f t="shared" si="70"/>
        <v>0</v>
      </c>
      <c r="AN14" s="18">
        <f t="shared" si="70"/>
        <v>0</v>
      </c>
      <c r="AO14" s="18">
        <f t="shared" si="5"/>
        <v>0</v>
      </c>
      <c r="AP14" s="18">
        <f t="shared" ref="AP14:AS14" si="71">IF(OR(L15=""),"",(L15-L14)*100)</f>
        <v>2700</v>
      </c>
      <c r="AQ14" s="18">
        <f t="shared" si="71"/>
        <v>130.000000000291</v>
      </c>
      <c r="AR14" s="18">
        <f t="shared" si="71"/>
        <v>2430.00000000029</v>
      </c>
      <c r="AS14" s="18">
        <f t="shared" si="71"/>
        <v>2369.99999999971</v>
      </c>
      <c r="AT14" s="18">
        <f t="shared" si="7"/>
        <v>7630.00000000029</v>
      </c>
      <c r="AU14" s="18">
        <f t="shared" ref="AU14:AY14" si="72">IF(OR(P15=""),"",(P15-P14)*1000)</f>
        <v>2899.99999999964</v>
      </c>
      <c r="AV14" s="18">
        <f t="shared" si="72"/>
        <v>1200.00000000073</v>
      </c>
      <c r="AW14" s="18">
        <f t="shared" si="72"/>
        <v>1000</v>
      </c>
      <c r="AX14" s="18">
        <f t="shared" si="72"/>
        <v>0</v>
      </c>
      <c r="AY14" s="18">
        <f t="shared" si="72"/>
        <v>8199.99999999982</v>
      </c>
      <c r="AZ14" s="18">
        <f t="shared" si="9"/>
        <v>13300.0000000002</v>
      </c>
      <c r="BA14" s="18">
        <f t="shared" si="10"/>
        <v>9000</v>
      </c>
      <c r="BB14" s="18">
        <f t="shared" si="11"/>
        <v>1144.00000000023</v>
      </c>
      <c r="BC14" s="18">
        <f t="shared" si="27"/>
        <v>1291.99999999983</v>
      </c>
      <c r="BD14" s="18">
        <f t="shared" si="12"/>
        <v>11549.2000000185</v>
      </c>
      <c r="BE14" s="18">
        <f t="shared" si="13"/>
        <v>51700.0000000189</v>
      </c>
      <c r="BF14" s="18">
        <f t="shared" si="14"/>
        <v>52.5</v>
      </c>
      <c r="BG14" s="21">
        <f t="shared" si="15"/>
        <v>0.256653378938631</v>
      </c>
      <c r="BH14" s="21">
        <f t="shared" si="16"/>
        <v>0.038645942444114</v>
      </c>
      <c r="BI14" s="21">
        <f t="shared" si="17"/>
        <v>0</v>
      </c>
      <c r="BJ14" s="21">
        <f t="shared" si="18"/>
        <v>0.0378774715918977</v>
      </c>
      <c r="BK14" s="21">
        <f t="shared" ref="BK14:BO14" si="73">IF(OR($AD14=0),"",AZ14/$AD14)</f>
        <v>0.066024950481288</v>
      </c>
      <c r="BL14" s="21">
        <f t="shared" si="73"/>
        <v>0.044678537919668</v>
      </c>
      <c r="BM14" s="21">
        <f t="shared" si="73"/>
        <v>0.00567913859779006</v>
      </c>
      <c r="BN14" s="21">
        <f t="shared" si="73"/>
        <v>0.00641385233246703</v>
      </c>
      <c r="BO14" s="21">
        <f t="shared" si="73"/>
        <v>0.0573334855714062</v>
      </c>
    </row>
    <row r="15" spans="1:67">
      <c r="A15" s="9">
        <f t="shared" si="20"/>
        <v>44359</v>
      </c>
      <c r="B15" s="10">
        <v>16420.13</v>
      </c>
      <c r="C15" s="8">
        <v>89946</v>
      </c>
      <c r="D15" s="8">
        <v>57557.7</v>
      </c>
      <c r="E15" s="8">
        <v>56643.6</v>
      </c>
      <c r="F15" s="8">
        <v>4690.3</v>
      </c>
      <c r="G15" s="8">
        <v>111620.6</v>
      </c>
      <c r="H15" s="8">
        <v>5596.3</v>
      </c>
      <c r="I15" s="8">
        <v>2566.3</v>
      </c>
      <c r="J15" s="8">
        <v>967</v>
      </c>
      <c r="K15" s="8">
        <v>56</v>
      </c>
      <c r="L15" s="8">
        <v>90125.6</v>
      </c>
      <c r="M15" s="8">
        <v>61212.9</v>
      </c>
      <c r="N15" s="8">
        <v>71542.7</v>
      </c>
      <c r="O15" s="8">
        <v>101906.4</v>
      </c>
      <c r="P15" s="8">
        <v>5396.5</v>
      </c>
      <c r="Q15" s="8">
        <v>7196.1</v>
      </c>
      <c r="R15" s="8">
        <v>4551.1</v>
      </c>
      <c r="S15" s="8">
        <v>5073.2</v>
      </c>
      <c r="T15" s="8">
        <v>6650</v>
      </c>
      <c r="U15" s="8">
        <v>17157</v>
      </c>
      <c r="V15" s="8">
        <v>50353.4</v>
      </c>
      <c r="W15" s="8">
        <v>51538.3</v>
      </c>
      <c r="X15" s="8">
        <v>2035.6</v>
      </c>
      <c r="Y15" s="8">
        <v>1762.2</v>
      </c>
      <c r="Z15" s="16">
        <f t="shared" si="21"/>
        <v>55336.1</v>
      </c>
      <c r="AA15" s="8">
        <v>61262.3</v>
      </c>
      <c r="AB15" s="14">
        <v>3266</v>
      </c>
      <c r="AC15" s="7">
        <f t="shared" si="22"/>
        <v>64528.3</v>
      </c>
      <c r="AD15" s="17">
        <v>211127</v>
      </c>
      <c r="AE15" s="18">
        <f t="shared" ref="AE15:AI15" si="74">IF(OR(C16=""),"",(C16-C15)*80)</f>
        <v>8.00000000046566</v>
      </c>
      <c r="AF15" s="18">
        <f t="shared" si="74"/>
        <v>16.0000000003492</v>
      </c>
      <c r="AG15" s="18">
        <f t="shared" si="74"/>
        <v>2944.00000000023</v>
      </c>
      <c r="AH15" s="18">
        <f t="shared" si="74"/>
        <v>2320.80000000002</v>
      </c>
      <c r="AI15" s="18">
        <f t="shared" si="74"/>
        <v>2391.99999999953</v>
      </c>
      <c r="AJ15" s="18">
        <f t="shared" si="3"/>
        <v>7680.8000000006</v>
      </c>
      <c r="AK15" s="18">
        <f t="shared" ref="AK15:AN15" si="75">IF(OR(H16=""),"",(H16-H15)*80)</f>
        <v>0</v>
      </c>
      <c r="AL15" s="18">
        <f t="shared" si="75"/>
        <v>0</v>
      </c>
      <c r="AM15" s="18">
        <f t="shared" si="75"/>
        <v>0</v>
      </c>
      <c r="AN15" s="18">
        <f t="shared" si="75"/>
        <v>0</v>
      </c>
      <c r="AO15" s="18">
        <f t="shared" si="5"/>
        <v>0</v>
      </c>
      <c r="AP15" s="18">
        <f t="shared" ref="AP15:AS15" si="76">IF(OR(L16=""),"",(L16-L15)*100)</f>
        <v>2929.99999999884</v>
      </c>
      <c r="AQ15" s="18">
        <f t="shared" si="76"/>
        <v>0</v>
      </c>
      <c r="AR15" s="18">
        <f t="shared" si="76"/>
        <v>2400</v>
      </c>
      <c r="AS15" s="18">
        <f t="shared" si="76"/>
        <v>2550</v>
      </c>
      <c r="AT15" s="18">
        <f t="shared" si="7"/>
        <v>7879.99999999884</v>
      </c>
      <c r="AU15" s="18">
        <f t="shared" ref="AU15:AY15" si="77">IF(OR(P16=""),"",(P16-P15)*1000)</f>
        <v>100.000000000364</v>
      </c>
      <c r="AV15" s="18">
        <f t="shared" si="77"/>
        <v>0</v>
      </c>
      <c r="AW15" s="18">
        <f t="shared" si="77"/>
        <v>4500</v>
      </c>
      <c r="AX15" s="18">
        <f t="shared" si="77"/>
        <v>0</v>
      </c>
      <c r="AY15" s="18">
        <f t="shared" si="77"/>
        <v>8600.00000000036</v>
      </c>
      <c r="AZ15" s="18">
        <f t="shared" si="9"/>
        <v>13200.0000000007</v>
      </c>
      <c r="BA15" s="18">
        <f t="shared" si="10"/>
        <v>9800.00000000291</v>
      </c>
      <c r="BB15" s="18">
        <f t="shared" si="11"/>
        <v>1103.99999999965</v>
      </c>
      <c r="BC15" s="18">
        <f t="shared" si="27"/>
        <v>1308.00000000017</v>
      </c>
      <c r="BD15" s="18">
        <f t="shared" si="12"/>
        <v>13327.2</v>
      </c>
      <c r="BE15" s="18">
        <f t="shared" si="13"/>
        <v>54300.0000000029</v>
      </c>
      <c r="BF15" s="18">
        <f t="shared" si="14"/>
        <v>53.0999999999985</v>
      </c>
      <c r="BG15" s="21">
        <f t="shared" si="15"/>
        <v>0.257191169296219</v>
      </c>
      <c r="BH15" s="21">
        <f t="shared" si="16"/>
        <v>0.0363799987685166</v>
      </c>
      <c r="BI15" s="21">
        <f t="shared" si="17"/>
        <v>0</v>
      </c>
      <c r="BJ15" s="21">
        <f t="shared" si="18"/>
        <v>0.0373235067044899</v>
      </c>
      <c r="BK15" s="21">
        <f t="shared" ref="BK15:BO15" si="78">IF(OR($AD15=0),"",AZ15/$AD15)</f>
        <v>0.0625216102156556</v>
      </c>
      <c r="BL15" s="21">
        <f t="shared" si="78"/>
        <v>0.0464175590995131</v>
      </c>
      <c r="BM15" s="21">
        <f t="shared" si="78"/>
        <v>0.00522908012712562</v>
      </c>
      <c r="BN15" s="21">
        <f t="shared" si="78"/>
        <v>0.00619532319409727</v>
      </c>
      <c r="BO15" s="21">
        <f t="shared" si="78"/>
        <v>0.0631240911868213</v>
      </c>
    </row>
    <row r="16" spans="1:67">
      <c r="A16" s="9">
        <f t="shared" si="20"/>
        <v>44360</v>
      </c>
      <c r="B16" s="10">
        <v>16425.56</v>
      </c>
      <c r="C16" s="8">
        <v>89946.1</v>
      </c>
      <c r="D16" s="8">
        <v>57557.9</v>
      </c>
      <c r="E16" s="8">
        <v>56680.4</v>
      </c>
      <c r="F16" s="8">
        <v>4719.31</v>
      </c>
      <c r="G16" s="8">
        <v>111650.5</v>
      </c>
      <c r="H16" s="8">
        <v>5596.3</v>
      </c>
      <c r="I16" s="8">
        <v>2566.3</v>
      </c>
      <c r="J16" s="8">
        <v>967</v>
      </c>
      <c r="K16" s="8">
        <v>56</v>
      </c>
      <c r="L16" s="8">
        <v>90154.9</v>
      </c>
      <c r="M16" s="8">
        <v>61212.9</v>
      </c>
      <c r="N16" s="8">
        <v>71566.7</v>
      </c>
      <c r="O16" s="8">
        <v>101931.9</v>
      </c>
      <c r="P16" s="8">
        <v>5396.6</v>
      </c>
      <c r="Q16" s="8">
        <v>7196.1</v>
      </c>
      <c r="R16" s="8">
        <v>4555.6</v>
      </c>
      <c r="S16" s="8">
        <v>5073.2</v>
      </c>
      <c r="T16" s="8">
        <v>6658.6</v>
      </c>
      <c r="U16" s="8">
        <v>17161.9</v>
      </c>
      <c r="V16" s="8">
        <v>50367.2</v>
      </c>
      <c r="W16" s="8">
        <v>51554.7</v>
      </c>
      <c r="X16" s="8">
        <v>2043.8</v>
      </c>
      <c r="Y16" s="8">
        <v>1770.3</v>
      </c>
      <c r="Z16" s="16">
        <f t="shared" si="21"/>
        <v>55368.8</v>
      </c>
      <c r="AA16" s="8">
        <v>61308.4</v>
      </c>
      <c r="AB16" s="14">
        <v>3273</v>
      </c>
      <c r="AC16" s="7">
        <f t="shared" si="22"/>
        <v>64581.4</v>
      </c>
      <c r="AD16" s="17">
        <v>211479</v>
      </c>
      <c r="AE16" s="18">
        <f t="shared" ref="AE16:AI16" si="79">IF(OR(C17=""),"",(C17-C16)*80)</f>
        <v>1255.99999999977</v>
      </c>
      <c r="AF16" s="18">
        <f t="shared" si="79"/>
        <v>2655.99999999977</v>
      </c>
      <c r="AG16" s="18">
        <f t="shared" si="79"/>
        <v>1480</v>
      </c>
      <c r="AH16" s="18">
        <f t="shared" si="79"/>
        <v>2563.99999999994</v>
      </c>
      <c r="AI16" s="18">
        <f t="shared" si="79"/>
        <v>2048.00000000047</v>
      </c>
      <c r="AJ16" s="18">
        <f t="shared" si="3"/>
        <v>10003.9999999999</v>
      </c>
      <c r="AK16" s="18">
        <f t="shared" ref="AK16:AN16" si="80">IF(OR(H17=""),"",(H17-H16)*80)</f>
        <v>0</v>
      </c>
      <c r="AL16" s="18">
        <f t="shared" si="80"/>
        <v>0</v>
      </c>
      <c r="AM16" s="18">
        <f t="shared" si="80"/>
        <v>0</v>
      </c>
      <c r="AN16" s="18">
        <f t="shared" si="80"/>
        <v>0</v>
      </c>
      <c r="AO16" s="18">
        <f t="shared" si="5"/>
        <v>0</v>
      </c>
      <c r="AP16" s="18">
        <f t="shared" ref="AP16:AS16" si="81">IF(OR(L17=""),"",(L17-L16)*100)</f>
        <v>2940.00000000087</v>
      </c>
      <c r="AQ16" s="18">
        <f t="shared" si="81"/>
        <v>0</v>
      </c>
      <c r="AR16" s="18">
        <f t="shared" si="81"/>
        <v>2450</v>
      </c>
      <c r="AS16" s="18">
        <f t="shared" si="81"/>
        <v>2640.00000000087</v>
      </c>
      <c r="AT16" s="18">
        <f t="shared" si="7"/>
        <v>8030.00000000175</v>
      </c>
      <c r="AU16" s="18">
        <f t="shared" ref="AU16:AY16" si="82">IF(OR(P17=""),"",(P17-P16)*1000)</f>
        <v>0</v>
      </c>
      <c r="AV16" s="18">
        <f t="shared" si="82"/>
        <v>0</v>
      </c>
      <c r="AW16" s="18">
        <f t="shared" si="82"/>
        <v>4500</v>
      </c>
      <c r="AX16" s="18">
        <f t="shared" si="82"/>
        <v>3100.00000000036</v>
      </c>
      <c r="AY16" s="18">
        <f t="shared" si="82"/>
        <v>2799.99999999927</v>
      </c>
      <c r="AZ16" s="18">
        <f t="shared" si="9"/>
        <v>10399.9999999996</v>
      </c>
      <c r="BA16" s="18">
        <f t="shared" si="10"/>
        <v>8000</v>
      </c>
      <c r="BB16" s="18">
        <f t="shared" si="11"/>
        <v>1096.00000000035</v>
      </c>
      <c r="BC16" s="18">
        <f t="shared" si="27"/>
        <v>1287.99999999988</v>
      </c>
      <c r="BD16" s="18">
        <f t="shared" si="12"/>
        <v>17581.9999999926</v>
      </c>
      <c r="BE16" s="18">
        <f t="shared" si="13"/>
        <v>56399.9999999942</v>
      </c>
      <c r="BF16" s="18">
        <f t="shared" si="14"/>
        <v>63</v>
      </c>
      <c r="BG16" s="21">
        <f t="shared" si="15"/>
        <v>0.266693146837247</v>
      </c>
      <c r="BH16" s="21">
        <f t="shared" si="16"/>
        <v>0.047304933350356</v>
      </c>
      <c r="BI16" s="21">
        <f t="shared" si="17"/>
        <v>0</v>
      </c>
      <c r="BJ16" s="21">
        <f t="shared" si="18"/>
        <v>0.0379706732110599</v>
      </c>
      <c r="BK16" s="21">
        <f t="shared" ref="BK16:BO16" si="83">IF(OR($AD16=0),"",AZ16/$AD16)</f>
        <v>0.0491774597004886</v>
      </c>
      <c r="BL16" s="21">
        <f t="shared" si="83"/>
        <v>0.0378288151542234</v>
      </c>
      <c r="BM16" s="21">
        <f t="shared" si="83"/>
        <v>0.00518254767613025</v>
      </c>
      <c r="BN16" s="21">
        <f t="shared" si="83"/>
        <v>0.00609043923982941</v>
      </c>
      <c r="BO16" s="21">
        <f t="shared" si="83"/>
        <v>0.0831382785051595</v>
      </c>
    </row>
    <row r="17" spans="1:67">
      <c r="A17" s="9">
        <f t="shared" si="20"/>
        <v>44361</v>
      </c>
      <c r="B17" s="10">
        <v>16431.2</v>
      </c>
      <c r="C17" s="8">
        <v>89961.8</v>
      </c>
      <c r="D17" s="8">
        <v>57591.1</v>
      </c>
      <c r="E17" s="8">
        <v>56698.9</v>
      </c>
      <c r="F17" s="8">
        <v>4751.36</v>
      </c>
      <c r="G17" s="8">
        <v>111676.1</v>
      </c>
      <c r="H17" s="8">
        <v>5596.3</v>
      </c>
      <c r="I17" s="8">
        <v>2566.3</v>
      </c>
      <c r="J17" s="8">
        <v>967</v>
      </c>
      <c r="K17" s="8">
        <v>56</v>
      </c>
      <c r="L17" s="8">
        <v>90184.3</v>
      </c>
      <c r="M17" s="8">
        <v>61212.9</v>
      </c>
      <c r="N17" s="8">
        <v>71591.2</v>
      </c>
      <c r="O17" s="8">
        <v>101958.3</v>
      </c>
      <c r="P17" s="8">
        <v>5396.6</v>
      </c>
      <c r="Q17" s="8">
        <v>7196.1</v>
      </c>
      <c r="R17" s="8">
        <v>4560.1</v>
      </c>
      <c r="S17" s="8">
        <v>5076.3</v>
      </c>
      <c r="T17" s="8">
        <v>6661.4</v>
      </c>
      <c r="U17" s="8">
        <v>17165.9</v>
      </c>
      <c r="V17" s="8">
        <v>50380.9</v>
      </c>
      <c r="W17" s="8">
        <v>51571.4</v>
      </c>
      <c r="X17" s="8">
        <v>2051.6</v>
      </c>
      <c r="Y17" s="8">
        <v>1778</v>
      </c>
      <c r="Z17" s="16">
        <f t="shared" si="21"/>
        <v>55401</v>
      </c>
      <c r="AA17" s="8">
        <v>61353.4</v>
      </c>
      <c r="AB17" s="14">
        <v>3291</v>
      </c>
      <c r="AC17" s="7">
        <f t="shared" si="22"/>
        <v>64644.4</v>
      </c>
      <c r="AD17" s="17">
        <v>180600</v>
      </c>
      <c r="AE17" s="18">
        <f t="shared" ref="AE17:AI17" si="84">IF(OR(C18=""),"",(C18-C17)*80)</f>
        <v>3920</v>
      </c>
      <c r="AF17" s="18">
        <f t="shared" si="84"/>
        <v>880</v>
      </c>
      <c r="AG17" s="18">
        <f t="shared" si="84"/>
        <v>0</v>
      </c>
      <c r="AH17" s="18">
        <f t="shared" si="84"/>
        <v>2185.60000000005</v>
      </c>
      <c r="AI17" s="18">
        <f t="shared" si="84"/>
        <v>1863.99999999907</v>
      </c>
      <c r="AJ17" s="18">
        <f t="shared" si="3"/>
        <v>8849.59999999912</v>
      </c>
      <c r="AK17" s="18">
        <f t="shared" ref="AK17:AN17" si="85">IF(OR(H18=""),"",(H18-H17)*80)</f>
        <v>0</v>
      </c>
      <c r="AL17" s="18">
        <f t="shared" si="85"/>
        <v>0</v>
      </c>
      <c r="AM17" s="18">
        <f t="shared" si="85"/>
        <v>0</v>
      </c>
      <c r="AN17" s="18">
        <f t="shared" si="85"/>
        <v>0</v>
      </c>
      <c r="AO17" s="18">
        <f t="shared" si="5"/>
        <v>0</v>
      </c>
      <c r="AP17" s="18">
        <f t="shared" ref="AP17:AS17" si="86">IF(OR(L18=""),"",(L18-L17)*100)</f>
        <v>1750</v>
      </c>
      <c r="AQ17" s="18">
        <f t="shared" si="86"/>
        <v>0</v>
      </c>
      <c r="AR17" s="18">
        <f t="shared" si="86"/>
        <v>2469.99999999971</v>
      </c>
      <c r="AS17" s="18">
        <f t="shared" si="86"/>
        <v>2639.99999999942</v>
      </c>
      <c r="AT17" s="18">
        <f t="shared" si="7"/>
        <v>6859.99999999913</v>
      </c>
      <c r="AU17" s="18">
        <f t="shared" ref="AU17:AY17" si="87">IF(OR(P18=""),"",(P18-P17)*1000)</f>
        <v>1599.99999999945</v>
      </c>
      <c r="AV17" s="18">
        <f t="shared" si="87"/>
        <v>0</v>
      </c>
      <c r="AW17" s="18">
        <f t="shared" si="87"/>
        <v>4799.99999999927</v>
      </c>
      <c r="AX17" s="18">
        <f t="shared" si="87"/>
        <v>2899.99999999964</v>
      </c>
      <c r="AY17" s="18">
        <f t="shared" si="87"/>
        <v>0</v>
      </c>
      <c r="AZ17" s="18">
        <f t="shared" si="9"/>
        <v>9299.99999999836</v>
      </c>
      <c r="BA17" s="18">
        <f t="shared" si="10"/>
        <v>7000</v>
      </c>
      <c r="BB17" s="18">
        <f t="shared" si="11"/>
        <v>1112.00000000012</v>
      </c>
      <c r="BC17" s="18">
        <f t="shared" si="27"/>
        <v>1343.99999999994</v>
      </c>
      <c r="BD17" s="18">
        <f t="shared" si="12"/>
        <v>19734.3999999859</v>
      </c>
      <c r="BE17" s="18">
        <f t="shared" si="13"/>
        <v>54199.9999999825</v>
      </c>
      <c r="BF17" s="18">
        <f t="shared" si="14"/>
        <v>53.9000000000015</v>
      </c>
      <c r="BG17" s="21">
        <f t="shared" si="15"/>
        <v>0.30011074197111</v>
      </c>
      <c r="BH17" s="21">
        <f t="shared" si="16"/>
        <v>0.0490011074197072</v>
      </c>
      <c r="BI17" s="21">
        <f t="shared" si="17"/>
        <v>0</v>
      </c>
      <c r="BJ17" s="21">
        <f t="shared" si="18"/>
        <v>0.0379844961240262</v>
      </c>
      <c r="BK17" s="21">
        <f t="shared" ref="BK17:BO17" si="88">IF(OR($AD17=0),"",AZ17/$AD17)</f>
        <v>0.0514950166112866</v>
      </c>
      <c r="BL17" s="21">
        <f t="shared" si="88"/>
        <v>0.0387596899224806</v>
      </c>
      <c r="BM17" s="21">
        <f t="shared" si="88"/>
        <v>0.00615725359911471</v>
      </c>
      <c r="BN17" s="21">
        <f t="shared" si="88"/>
        <v>0.00744186046511596</v>
      </c>
      <c r="BO17" s="21">
        <f t="shared" si="88"/>
        <v>0.109271317829379</v>
      </c>
    </row>
    <row r="18" spans="1:67">
      <c r="A18" s="9">
        <f t="shared" si="20"/>
        <v>44362</v>
      </c>
      <c r="B18" s="10">
        <v>16436.62</v>
      </c>
      <c r="C18" s="8">
        <v>90010.8</v>
      </c>
      <c r="D18" s="8">
        <v>57602.1</v>
      </c>
      <c r="E18" s="8">
        <v>56698.9</v>
      </c>
      <c r="F18" s="8">
        <v>4778.68</v>
      </c>
      <c r="G18" s="8">
        <v>111699.4</v>
      </c>
      <c r="H18" s="8">
        <v>5596.3</v>
      </c>
      <c r="I18" s="8">
        <v>2566.3</v>
      </c>
      <c r="J18" s="8">
        <v>967</v>
      </c>
      <c r="K18" s="8">
        <v>56</v>
      </c>
      <c r="L18" s="8">
        <v>90201.8</v>
      </c>
      <c r="M18" s="8">
        <v>61212.9</v>
      </c>
      <c r="N18" s="8">
        <v>71615.9</v>
      </c>
      <c r="O18" s="8">
        <v>101984.7</v>
      </c>
      <c r="P18" s="8">
        <v>5398.2</v>
      </c>
      <c r="Q18" s="8">
        <v>7196.1</v>
      </c>
      <c r="R18" s="8">
        <v>4564.9</v>
      </c>
      <c r="S18" s="8">
        <v>5079.2</v>
      </c>
      <c r="T18" s="8">
        <v>6661.4</v>
      </c>
      <c r="U18" s="8">
        <v>17169.4</v>
      </c>
      <c r="V18" s="8">
        <v>50394.8</v>
      </c>
      <c r="W18" s="8">
        <v>51588.2</v>
      </c>
      <c r="X18" s="8">
        <v>2060.1</v>
      </c>
      <c r="Y18" s="8">
        <v>1786.3</v>
      </c>
      <c r="Z18" s="16">
        <f t="shared" si="21"/>
        <v>55434.6</v>
      </c>
      <c r="AA18" s="8">
        <v>61401.3</v>
      </c>
      <c r="AB18" s="14">
        <v>3297</v>
      </c>
      <c r="AC18" s="7">
        <f t="shared" si="22"/>
        <v>64698.3</v>
      </c>
      <c r="AD18" s="17">
        <v>200071</v>
      </c>
      <c r="AE18" s="18">
        <f t="shared" ref="AE18:AI18" si="89">IF(OR(C19=""),"",(C19-C18)*80)</f>
        <v>3807.9999999993</v>
      </c>
      <c r="AF18" s="18">
        <f t="shared" si="89"/>
        <v>2656.00000000035</v>
      </c>
      <c r="AG18" s="18">
        <f t="shared" si="89"/>
        <v>2087.99999999988</v>
      </c>
      <c r="AH18" s="18">
        <f t="shared" si="89"/>
        <v>193.600000000006</v>
      </c>
      <c r="AI18" s="18">
        <f t="shared" si="89"/>
        <v>1968.00000000047</v>
      </c>
      <c r="AJ18" s="18">
        <f t="shared" si="3"/>
        <v>10713.6</v>
      </c>
      <c r="AK18" s="18">
        <f t="shared" ref="AK18:AN18" si="90">IF(OR(H19=""),"",(H19-H18)*80)</f>
        <v>0</v>
      </c>
      <c r="AL18" s="18">
        <f t="shared" si="90"/>
        <v>0</v>
      </c>
      <c r="AM18" s="18">
        <f t="shared" si="90"/>
        <v>0</v>
      </c>
      <c r="AN18" s="18">
        <f t="shared" si="90"/>
        <v>0</v>
      </c>
      <c r="AO18" s="18">
        <f t="shared" si="5"/>
        <v>0</v>
      </c>
      <c r="AP18" s="18">
        <f t="shared" ref="AP18:AS18" si="91">IF(OR(L19=""),"",(L19-L18)*100)</f>
        <v>2659.99999999913</v>
      </c>
      <c r="AQ18" s="18">
        <f t="shared" si="91"/>
        <v>0</v>
      </c>
      <c r="AR18" s="18">
        <f t="shared" si="91"/>
        <v>2290.00000000087</v>
      </c>
      <c r="AS18" s="18">
        <f t="shared" si="91"/>
        <v>2619.99999999971</v>
      </c>
      <c r="AT18" s="18">
        <f t="shared" si="7"/>
        <v>7569.99999999971</v>
      </c>
      <c r="AU18" s="18">
        <f t="shared" ref="AU18:AY18" si="92">IF(OR(P19=""),"",(P19-P18)*1000)</f>
        <v>699.999999999818</v>
      </c>
      <c r="AV18" s="18">
        <f t="shared" si="92"/>
        <v>0</v>
      </c>
      <c r="AW18" s="18">
        <f t="shared" si="92"/>
        <v>3800.00000000018</v>
      </c>
      <c r="AX18" s="18">
        <f t="shared" si="92"/>
        <v>5100.00000000036</v>
      </c>
      <c r="AY18" s="18">
        <f t="shared" si="92"/>
        <v>0</v>
      </c>
      <c r="AZ18" s="18">
        <f t="shared" si="9"/>
        <v>9600.00000000036</v>
      </c>
      <c r="BA18" s="18">
        <f t="shared" si="10"/>
        <v>8399.99999999418</v>
      </c>
      <c r="BB18" s="18">
        <f t="shared" si="11"/>
        <v>1111.99999999953</v>
      </c>
      <c r="BC18" s="18">
        <f t="shared" si="27"/>
        <v>1292.00000000012</v>
      </c>
      <c r="BD18" s="18">
        <f t="shared" si="12"/>
        <v>17212.4000000075</v>
      </c>
      <c r="BE18" s="18">
        <f t="shared" si="13"/>
        <v>55900.0000000015</v>
      </c>
      <c r="BF18" s="18">
        <f t="shared" si="14"/>
        <v>53.1999999999971</v>
      </c>
      <c r="BG18" s="21">
        <f t="shared" si="15"/>
        <v>0.279400812711495</v>
      </c>
      <c r="BH18" s="21">
        <f t="shared" si="16"/>
        <v>0.0535489901085115</v>
      </c>
      <c r="BI18" s="21">
        <f t="shared" si="17"/>
        <v>0</v>
      </c>
      <c r="BJ18" s="21">
        <f t="shared" si="18"/>
        <v>0.037836568018352</v>
      </c>
      <c r="BK18" s="21">
        <f t="shared" ref="BK18:BO18" si="93">IF(OR($AD18=0),"",AZ18/$AD18)</f>
        <v>0.0479829660470551</v>
      </c>
      <c r="BL18" s="21">
        <f t="shared" si="93"/>
        <v>0.0419850952911425</v>
      </c>
      <c r="BM18" s="21">
        <f t="shared" si="93"/>
        <v>0.00555802690044801</v>
      </c>
      <c r="BN18" s="21">
        <f t="shared" si="93"/>
        <v>0.00645770751383317</v>
      </c>
      <c r="BO18" s="21">
        <f t="shared" si="93"/>
        <v>0.0860314588321523</v>
      </c>
    </row>
    <row r="19" spans="1:67">
      <c r="A19" s="9">
        <f t="shared" si="20"/>
        <v>44363</v>
      </c>
      <c r="B19" s="10">
        <v>16442.21</v>
      </c>
      <c r="C19" s="8">
        <v>90058.4</v>
      </c>
      <c r="D19" s="8">
        <v>57635.3</v>
      </c>
      <c r="E19" s="8">
        <v>56725</v>
      </c>
      <c r="F19" s="8">
        <v>4781.1</v>
      </c>
      <c r="G19" s="8">
        <v>111724</v>
      </c>
      <c r="H19" s="8">
        <v>5596.3</v>
      </c>
      <c r="I19" s="8">
        <v>2566.3</v>
      </c>
      <c r="J19" s="8">
        <v>967</v>
      </c>
      <c r="K19" s="8">
        <v>56</v>
      </c>
      <c r="L19" s="8">
        <v>90228.4</v>
      </c>
      <c r="M19" s="8">
        <v>61212.9</v>
      </c>
      <c r="N19" s="8">
        <v>71638.8</v>
      </c>
      <c r="O19" s="8">
        <v>102010.9</v>
      </c>
      <c r="P19" s="8">
        <v>5398.9</v>
      </c>
      <c r="Q19" s="8">
        <v>7196.1</v>
      </c>
      <c r="R19" s="8">
        <v>4568.7</v>
      </c>
      <c r="S19" s="8">
        <v>5084.3</v>
      </c>
      <c r="T19" s="8">
        <v>6661.4</v>
      </c>
      <c r="U19" s="8">
        <v>17173.6</v>
      </c>
      <c r="V19" s="8">
        <v>50408.7</v>
      </c>
      <c r="W19" s="8">
        <v>51604.4</v>
      </c>
      <c r="X19" s="8">
        <v>2068.2</v>
      </c>
      <c r="Y19" s="8">
        <v>1794.3</v>
      </c>
      <c r="Z19" s="16">
        <f t="shared" si="21"/>
        <v>55466.9</v>
      </c>
      <c r="AA19" s="8">
        <v>61447.5</v>
      </c>
      <c r="AB19" s="14">
        <v>3304</v>
      </c>
      <c r="AC19" s="7">
        <f t="shared" si="22"/>
        <v>64751.5</v>
      </c>
      <c r="AD19" s="17">
        <v>207124</v>
      </c>
      <c r="AE19" s="18">
        <f t="shared" ref="AE19:AI19" si="94">IF(OR(C20=""),"",(C20-C19)*80)</f>
        <v>3840</v>
      </c>
      <c r="AF19" s="18">
        <f t="shared" si="94"/>
        <v>943.999999999651</v>
      </c>
      <c r="AG19" s="18">
        <f t="shared" si="94"/>
        <v>2575.99999999977</v>
      </c>
      <c r="AH19" s="18">
        <f t="shared" si="94"/>
        <v>7.19999999993888</v>
      </c>
      <c r="AI19" s="18">
        <f t="shared" si="94"/>
        <v>2015.99999999977</v>
      </c>
      <c r="AJ19" s="18">
        <f t="shared" si="3"/>
        <v>9383.19999999912</v>
      </c>
      <c r="AK19" s="18">
        <f t="shared" ref="AK19:AN19" si="95">IF(OR(H20=""),"",(H20-H19)*80)</f>
        <v>0</v>
      </c>
      <c r="AL19" s="18">
        <f t="shared" si="95"/>
        <v>0</v>
      </c>
      <c r="AM19" s="18">
        <f t="shared" si="95"/>
        <v>0</v>
      </c>
      <c r="AN19" s="18">
        <f t="shared" si="95"/>
        <v>0</v>
      </c>
      <c r="AO19" s="18">
        <f t="shared" si="5"/>
        <v>0</v>
      </c>
      <c r="AP19" s="18">
        <f t="shared" ref="AP19:AS19" si="96">IF(OR(L20=""),"",(L20-L19)*100)</f>
        <v>2770.00000000116</v>
      </c>
      <c r="AQ19" s="18">
        <f t="shared" si="96"/>
        <v>40.0000000001455</v>
      </c>
      <c r="AR19" s="18">
        <f t="shared" si="96"/>
        <v>2469.99999999971</v>
      </c>
      <c r="AS19" s="18">
        <f t="shared" si="96"/>
        <v>2700</v>
      </c>
      <c r="AT19" s="18">
        <f t="shared" si="7"/>
        <v>7980.00000000102</v>
      </c>
      <c r="AU19" s="18">
        <f t="shared" ref="AU19:AY19" si="97">IF(OR(P20=""),"",(P20-P19)*1000)</f>
        <v>2800.00000000018</v>
      </c>
      <c r="AV19" s="18">
        <f t="shared" si="97"/>
        <v>0</v>
      </c>
      <c r="AW19" s="18">
        <f t="shared" si="97"/>
        <v>1400.00000000055</v>
      </c>
      <c r="AX19" s="18">
        <f t="shared" si="97"/>
        <v>5000</v>
      </c>
      <c r="AY19" s="18">
        <f t="shared" si="97"/>
        <v>0</v>
      </c>
      <c r="AZ19" s="18">
        <f t="shared" si="9"/>
        <v>9200.00000000073</v>
      </c>
      <c r="BA19" s="18">
        <f t="shared" si="10"/>
        <v>9800.00000000291</v>
      </c>
      <c r="BB19" s="18">
        <f t="shared" si="11"/>
        <v>1024.00000000023</v>
      </c>
      <c r="BC19" s="18">
        <f t="shared" si="27"/>
        <v>1323.99999999994</v>
      </c>
      <c r="BD19" s="18">
        <f t="shared" si="12"/>
        <v>15388.7999999946</v>
      </c>
      <c r="BE19" s="18">
        <f t="shared" si="13"/>
        <v>54099.9999999985</v>
      </c>
      <c r="BF19" s="18">
        <f t="shared" si="14"/>
        <v>54.8000000000029</v>
      </c>
      <c r="BG19" s="21">
        <f t="shared" si="15"/>
        <v>0.261196191653302</v>
      </c>
      <c r="BH19" s="21">
        <f t="shared" si="16"/>
        <v>0.0453023309708152</v>
      </c>
      <c r="BI19" s="21">
        <f t="shared" si="17"/>
        <v>0</v>
      </c>
      <c r="BJ19" s="21">
        <f t="shared" si="18"/>
        <v>0.0385276452752989</v>
      </c>
      <c r="BK19" s="21">
        <f t="shared" ref="BK19:BO19" si="98">IF(OR($AD19=0),"",AZ19/$AD19)</f>
        <v>0.0444178366582372</v>
      </c>
      <c r="BL19" s="21">
        <f t="shared" si="98"/>
        <v>0.0473146520924804</v>
      </c>
      <c r="BM19" s="21">
        <f t="shared" si="98"/>
        <v>0.00494389834109149</v>
      </c>
      <c r="BN19" s="21">
        <f t="shared" si="98"/>
        <v>0.0063923060582064</v>
      </c>
      <c r="BO19" s="21">
        <f t="shared" si="98"/>
        <v>0.0742975222571725</v>
      </c>
    </row>
    <row r="20" spans="1:67">
      <c r="A20" s="9">
        <f t="shared" si="20"/>
        <v>44364</v>
      </c>
      <c r="B20" s="10">
        <v>16447.62</v>
      </c>
      <c r="C20" s="8">
        <v>90106.4</v>
      </c>
      <c r="D20" s="8">
        <v>57647.1</v>
      </c>
      <c r="E20" s="8">
        <v>56757.2</v>
      </c>
      <c r="F20" s="8">
        <v>4781.19</v>
      </c>
      <c r="G20" s="8">
        <v>111749.2</v>
      </c>
      <c r="H20" s="8">
        <v>5596.3</v>
      </c>
      <c r="I20" s="8">
        <v>2566.3</v>
      </c>
      <c r="J20" s="8">
        <v>967</v>
      </c>
      <c r="K20" s="8">
        <v>56</v>
      </c>
      <c r="L20" s="8">
        <v>90256.1</v>
      </c>
      <c r="M20" s="8">
        <v>61213.3</v>
      </c>
      <c r="N20" s="8">
        <v>71663.5</v>
      </c>
      <c r="O20" s="8">
        <v>102037.9</v>
      </c>
      <c r="P20" s="8">
        <v>5401.7</v>
      </c>
      <c r="Q20" s="8">
        <v>7196.1</v>
      </c>
      <c r="R20" s="8">
        <v>4570.1</v>
      </c>
      <c r="S20" s="8">
        <v>5089.3</v>
      </c>
      <c r="T20" s="8">
        <v>6661.4</v>
      </c>
      <c r="U20" s="8">
        <v>17178.5</v>
      </c>
      <c r="V20" s="8">
        <v>50421.5</v>
      </c>
      <c r="W20" s="8">
        <v>51621.1</v>
      </c>
      <c r="X20" s="8">
        <v>2076.5</v>
      </c>
      <c r="Y20" s="8">
        <v>1802.4</v>
      </c>
      <c r="Z20" s="16">
        <f t="shared" si="21"/>
        <v>55500</v>
      </c>
      <c r="AA20" s="8">
        <v>61495.3</v>
      </c>
      <c r="AB20" s="14">
        <v>3311</v>
      </c>
      <c r="AC20" s="7">
        <f t="shared" si="22"/>
        <v>64806.3</v>
      </c>
      <c r="AD20" s="17">
        <v>207570</v>
      </c>
      <c r="AE20" s="18">
        <f t="shared" ref="AE20:AI20" si="99">IF(OR(C21=""),"",(C21-C20)*80)</f>
        <v>3744.00000000023</v>
      </c>
      <c r="AF20" s="18">
        <f t="shared" si="99"/>
        <v>0</v>
      </c>
      <c r="AG20" s="18">
        <f t="shared" si="99"/>
        <v>2376.00000000035</v>
      </c>
      <c r="AH20" s="18">
        <f t="shared" si="99"/>
        <v>4.80000000003201</v>
      </c>
      <c r="AI20" s="18">
        <f t="shared" si="99"/>
        <v>2135.99999999977</v>
      </c>
      <c r="AJ20" s="18">
        <f t="shared" si="3"/>
        <v>8260.80000000038</v>
      </c>
      <c r="AK20" s="18">
        <f t="shared" ref="AK20:AN20" si="100">IF(OR(H21=""),"",(H21-H20)*80)</f>
        <v>0</v>
      </c>
      <c r="AL20" s="18">
        <f t="shared" si="100"/>
        <v>0</v>
      </c>
      <c r="AM20" s="18">
        <f t="shared" si="100"/>
        <v>0</v>
      </c>
      <c r="AN20" s="18">
        <f t="shared" si="100"/>
        <v>0</v>
      </c>
      <c r="AO20" s="18">
        <f t="shared" si="5"/>
        <v>0</v>
      </c>
      <c r="AP20" s="18">
        <f t="shared" ref="AP20:AS20" si="101">IF(OR(L21=""),"",(L21-L20)*100)</f>
        <v>2779.99999999884</v>
      </c>
      <c r="AQ20" s="18">
        <f t="shared" si="101"/>
        <v>9.99999999985448</v>
      </c>
      <c r="AR20" s="18">
        <f t="shared" si="101"/>
        <v>2480.00000000029</v>
      </c>
      <c r="AS20" s="18">
        <f t="shared" si="101"/>
        <v>2640.00000000087</v>
      </c>
      <c r="AT20" s="18">
        <f t="shared" si="7"/>
        <v>7909.99999999985</v>
      </c>
      <c r="AU20" s="18">
        <f t="shared" ref="AU20:AY20" si="102">IF(OR(P21=""),"",(P21-P20)*1000)</f>
        <v>2199.99999999982</v>
      </c>
      <c r="AV20" s="18">
        <f t="shared" si="102"/>
        <v>0</v>
      </c>
      <c r="AW20" s="18">
        <f t="shared" si="102"/>
        <v>0</v>
      </c>
      <c r="AX20" s="18">
        <f t="shared" si="102"/>
        <v>5300.00000000018</v>
      </c>
      <c r="AY20" s="18">
        <f t="shared" si="102"/>
        <v>4100.00000000036</v>
      </c>
      <c r="AZ20" s="18">
        <f t="shared" si="9"/>
        <v>11600.0000000004</v>
      </c>
      <c r="BA20" s="18">
        <f t="shared" si="10"/>
        <v>9000</v>
      </c>
      <c r="BB20" s="18">
        <f t="shared" si="11"/>
        <v>984.000000000233</v>
      </c>
      <c r="BC20" s="18">
        <f t="shared" si="27"/>
        <v>1283.99999999994</v>
      </c>
      <c r="BD20" s="18">
        <f t="shared" si="12"/>
        <v>13161.2000000109</v>
      </c>
      <c r="BE20" s="18">
        <f t="shared" si="13"/>
        <v>52200.0000000116</v>
      </c>
      <c r="BF20" s="18">
        <f t="shared" si="14"/>
        <v>52.1999999999971</v>
      </c>
      <c r="BG20" s="21">
        <f t="shared" si="15"/>
        <v>0.251481427952072</v>
      </c>
      <c r="BH20" s="21">
        <f t="shared" si="16"/>
        <v>0.0397976586211899</v>
      </c>
      <c r="BI20" s="21">
        <f t="shared" si="17"/>
        <v>0</v>
      </c>
      <c r="BJ20" s="21">
        <f t="shared" si="18"/>
        <v>0.0381076263429198</v>
      </c>
      <c r="BK20" s="21">
        <f t="shared" ref="BK20:BO20" si="103">IF(OR($AD20=0),"",AZ20/$AD20)</f>
        <v>0.0558847617671165</v>
      </c>
      <c r="BL20" s="21">
        <f t="shared" si="103"/>
        <v>0.0433588668882787</v>
      </c>
      <c r="BM20" s="21">
        <f t="shared" si="103"/>
        <v>0.00474056944645292</v>
      </c>
      <c r="BN20" s="21">
        <f t="shared" si="103"/>
        <v>0.00618586500939414</v>
      </c>
      <c r="BO20" s="21">
        <f t="shared" si="103"/>
        <v>0.0634060798767205</v>
      </c>
    </row>
    <row r="21" spans="1:67">
      <c r="A21" s="9">
        <f t="shared" si="20"/>
        <v>44365</v>
      </c>
      <c r="B21" s="10">
        <v>16452.84</v>
      </c>
      <c r="C21" s="8">
        <v>90153.2</v>
      </c>
      <c r="D21" s="8">
        <v>57647.1</v>
      </c>
      <c r="E21" s="8">
        <v>56786.9</v>
      </c>
      <c r="F21" s="8">
        <v>4781.25</v>
      </c>
      <c r="G21" s="8">
        <v>111775.9</v>
      </c>
      <c r="H21" s="8">
        <v>5596.3</v>
      </c>
      <c r="I21" s="8">
        <v>2566.3</v>
      </c>
      <c r="J21" s="8">
        <v>967</v>
      </c>
      <c r="K21" s="8">
        <v>56</v>
      </c>
      <c r="L21" s="8">
        <v>90283.9</v>
      </c>
      <c r="M21" s="8">
        <v>61213.4</v>
      </c>
      <c r="N21" s="8">
        <v>71688.3</v>
      </c>
      <c r="O21" s="8">
        <v>102064.3</v>
      </c>
      <c r="P21" s="8">
        <v>5403.9</v>
      </c>
      <c r="Q21" s="8">
        <v>7196.1</v>
      </c>
      <c r="R21" s="8">
        <v>4570.1</v>
      </c>
      <c r="S21" s="8">
        <v>5094.6</v>
      </c>
      <c r="T21" s="8">
        <v>6665.5</v>
      </c>
      <c r="U21" s="8">
        <v>17183</v>
      </c>
      <c r="V21" s="8">
        <v>50433.8</v>
      </c>
      <c r="W21" s="8">
        <v>51637.3</v>
      </c>
      <c r="X21" s="8">
        <v>2084.6</v>
      </c>
      <c r="Y21" s="8">
        <v>1810.2</v>
      </c>
      <c r="Z21" s="16">
        <f t="shared" si="21"/>
        <v>55532.1</v>
      </c>
      <c r="AA21" s="8">
        <v>61541.5</v>
      </c>
      <c r="AB21" s="14">
        <v>3317</v>
      </c>
      <c r="AC21" s="7">
        <f t="shared" si="22"/>
        <v>64858.5</v>
      </c>
      <c r="AD21" s="17">
        <v>209475</v>
      </c>
      <c r="AE21" s="18">
        <f t="shared" ref="AE21:AI21" si="104">IF(OR(C22=""),"",(C22-C21)*80)</f>
        <v>3808.00000000047</v>
      </c>
      <c r="AF21" s="18">
        <f t="shared" si="104"/>
        <v>0</v>
      </c>
      <c r="AG21" s="18">
        <f t="shared" si="104"/>
        <v>3440</v>
      </c>
      <c r="AH21" s="18">
        <f t="shared" si="104"/>
        <v>0</v>
      </c>
      <c r="AI21" s="18">
        <f t="shared" si="104"/>
        <v>2152.0000000007</v>
      </c>
      <c r="AJ21" s="18">
        <f t="shared" si="3"/>
        <v>9400.00000000116</v>
      </c>
      <c r="AK21" s="18">
        <f t="shared" ref="AK21:AN21" si="105">IF(OR(H22=""),"",(H22-H21)*80)</f>
        <v>0</v>
      </c>
      <c r="AL21" s="18">
        <f t="shared" si="105"/>
        <v>0</v>
      </c>
      <c r="AM21" s="18">
        <f t="shared" si="105"/>
        <v>0</v>
      </c>
      <c r="AN21" s="18">
        <f t="shared" si="105"/>
        <v>0</v>
      </c>
      <c r="AO21" s="18">
        <f t="shared" si="5"/>
        <v>0</v>
      </c>
      <c r="AP21" s="18">
        <f t="shared" ref="AP21:AS21" si="106">IF(OR(L22=""),"",(L22-L21)*100)</f>
        <v>2930.00000000029</v>
      </c>
      <c r="AQ21" s="18">
        <f t="shared" si="106"/>
        <v>0</v>
      </c>
      <c r="AR21" s="18">
        <f t="shared" si="106"/>
        <v>2419.99999999971</v>
      </c>
      <c r="AS21" s="18">
        <f t="shared" si="106"/>
        <v>2619.99999999971</v>
      </c>
      <c r="AT21" s="18">
        <f t="shared" si="7"/>
        <v>7969.99999999971</v>
      </c>
      <c r="AU21" s="18">
        <f t="shared" ref="AU21:AY21" si="107">IF(OR(P22=""),"",(P22-P21)*1000)</f>
        <v>0</v>
      </c>
      <c r="AV21" s="18">
        <f t="shared" si="107"/>
        <v>0</v>
      </c>
      <c r="AW21" s="18">
        <f t="shared" si="107"/>
        <v>0</v>
      </c>
      <c r="AX21" s="18">
        <f t="shared" si="107"/>
        <v>5099.99999999945</v>
      </c>
      <c r="AY21" s="18">
        <f t="shared" si="107"/>
        <v>8500</v>
      </c>
      <c r="AZ21" s="18">
        <f t="shared" si="9"/>
        <v>13599.9999999995</v>
      </c>
      <c r="BA21" s="18">
        <f t="shared" si="10"/>
        <v>9800.00000000291</v>
      </c>
      <c r="BB21" s="18">
        <f t="shared" si="11"/>
        <v>1143.99999999965</v>
      </c>
      <c r="BC21" s="18">
        <f t="shared" si="27"/>
        <v>1316.00000000006</v>
      </c>
      <c r="BD21" s="18">
        <f t="shared" si="12"/>
        <v>9870.00000001015</v>
      </c>
      <c r="BE21" s="18">
        <f t="shared" si="13"/>
        <v>53100.0000000131</v>
      </c>
      <c r="BF21" s="18">
        <f t="shared" si="14"/>
        <v>54.5999999999985</v>
      </c>
      <c r="BG21" s="21">
        <f t="shared" si="15"/>
        <v>0.253490870032286</v>
      </c>
      <c r="BH21" s="21">
        <f t="shared" si="16"/>
        <v>0.0448740899868775</v>
      </c>
      <c r="BI21" s="21">
        <f t="shared" si="17"/>
        <v>0</v>
      </c>
      <c r="BJ21" s="21">
        <f t="shared" si="18"/>
        <v>0.0380474997016337</v>
      </c>
      <c r="BK21" s="21">
        <f t="shared" ref="BK21:BO21" si="108">IF(OR($AD21=0),"",AZ21/$AD21)</f>
        <v>0.0649242153001525</v>
      </c>
      <c r="BL21" s="21">
        <f t="shared" si="108"/>
        <v>0.046783625731008</v>
      </c>
      <c r="BM21" s="21">
        <f t="shared" si="108"/>
        <v>0.00546127222818785</v>
      </c>
      <c r="BN21" s="21">
        <f t="shared" si="108"/>
        <v>0.00628237259816235</v>
      </c>
      <c r="BO21" s="21">
        <f t="shared" si="108"/>
        <v>0.047117794486264</v>
      </c>
    </row>
    <row r="22" spans="1:67">
      <c r="A22" s="9">
        <f t="shared" si="20"/>
        <v>44366</v>
      </c>
      <c r="B22" s="10">
        <v>16458.15</v>
      </c>
      <c r="C22" s="8">
        <v>90200.8</v>
      </c>
      <c r="D22" s="8">
        <v>57647.1</v>
      </c>
      <c r="E22" s="8">
        <v>56829.9</v>
      </c>
      <c r="F22" s="8">
        <v>4781.25</v>
      </c>
      <c r="G22" s="8">
        <v>111802.8</v>
      </c>
      <c r="H22" s="8">
        <v>5596.3</v>
      </c>
      <c r="I22" s="8">
        <v>2566.3</v>
      </c>
      <c r="J22" s="8">
        <v>967</v>
      </c>
      <c r="K22" s="8">
        <v>56</v>
      </c>
      <c r="L22" s="8">
        <v>90313.2</v>
      </c>
      <c r="M22" s="8">
        <v>61213.4</v>
      </c>
      <c r="N22" s="8">
        <v>71712.5</v>
      </c>
      <c r="O22" s="8">
        <v>102090.5</v>
      </c>
      <c r="P22" s="8">
        <v>5403.9</v>
      </c>
      <c r="Q22" s="8">
        <v>7196.1</v>
      </c>
      <c r="R22" s="8">
        <v>4570.1</v>
      </c>
      <c r="S22" s="8">
        <v>5099.7</v>
      </c>
      <c r="T22" s="8">
        <v>6674</v>
      </c>
      <c r="U22" s="8">
        <v>17187.9</v>
      </c>
      <c r="V22" s="8">
        <v>50448.1</v>
      </c>
      <c r="W22" s="8">
        <v>51654.1</v>
      </c>
      <c r="X22" s="8">
        <v>2092.8</v>
      </c>
      <c r="Y22" s="8">
        <v>1818.1</v>
      </c>
      <c r="Z22" s="16">
        <f t="shared" si="21"/>
        <v>55565</v>
      </c>
      <c r="AA22" s="8">
        <v>61589.1</v>
      </c>
      <c r="AB22" s="14">
        <v>3324</v>
      </c>
      <c r="AC22" s="7">
        <f t="shared" si="22"/>
        <v>64913.1</v>
      </c>
      <c r="AD22" s="17">
        <v>206326</v>
      </c>
      <c r="AE22" s="18">
        <f t="shared" ref="AE22:AI22" si="109">IF(OR(C23=""),"",(C23-C22)*80)</f>
        <v>3864.00000000023</v>
      </c>
      <c r="AF22" s="18">
        <f t="shared" si="109"/>
        <v>112.000000000116</v>
      </c>
      <c r="AG22" s="18">
        <f t="shared" si="109"/>
        <v>1887.99999999988</v>
      </c>
      <c r="AH22" s="18">
        <f t="shared" si="109"/>
        <v>4.00000000001455</v>
      </c>
      <c r="AI22" s="18">
        <f t="shared" si="109"/>
        <v>1984.00000000023</v>
      </c>
      <c r="AJ22" s="18">
        <f t="shared" si="3"/>
        <v>7852.00000000048</v>
      </c>
      <c r="AK22" s="18">
        <f t="shared" ref="AK22:AN22" si="110">IF(OR(H23=""),"",(H23-H22)*80)</f>
        <v>0</v>
      </c>
      <c r="AL22" s="18">
        <f t="shared" si="110"/>
        <v>0</v>
      </c>
      <c r="AM22" s="18">
        <f t="shared" si="110"/>
        <v>0</v>
      </c>
      <c r="AN22" s="18">
        <f t="shared" si="110"/>
        <v>0</v>
      </c>
      <c r="AO22" s="18">
        <f t="shared" si="5"/>
        <v>0</v>
      </c>
      <c r="AP22" s="18">
        <f t="shared" ref="AP22:AS22" si="111">IF(OR(L23=""),"",(L23-L22)*100)</f>
        <v>2719.99999999971</v>
      </c>
      <c r="AQ22" s="18">
        <f t="shared" si="111"/>
        <v>0</v>
      </c>
      <c r="AR22" s="18">
        <f t="shared" si="111"/>
        <v>2410.00000000058</v>
      </c>
      <c r="AS22" s="18">
        <f t="shared" si="111"/>
        <v>2580.00000000029</v>
      </c>
      <c r="AT22" s="18">
        <f t="shared" si="7"/>
        <v>7710.00000000058</v>
      </c>
      <c r="AU22" s="18">
        <f t="shared" ref="AU22:AY22" si="112">IF(OR(P23=""),"",(P23-P22)*1000)</f>
        <v>0</v>
      </c>
      <c r="AV22" s="18">
        <f t="shared" si="112"/>
        <v>0</v>
      </c>
      <c r="AW22" s="18">
        <f t="shared" si="112"/>
        <v>0</v>
      </c>
      <c r="AX22" s="18">
        <f t="shared" si="112"/>
        <v>5100.00000000036</v>
      </c>
      <c r="AY22" s="18">
        <f t="shared" si="112"/>
        <v>8899.99999999964</v>
      </c>
      <c r="AZ22" s="18">
        <f t="shared" si="9"/>
        <v>14000</v>
      </c>
      <c r="BA22" s="18">
        <f t="shared" si="10"/>
        <v>9399.99999999418</v>
      </c>
      <c r="BB22" s="18">
        <f t="shared" si="11"/>
        <v>1152.00000000012</v>
      </c>
      <c r="BC22" s="18">
        <f t="shared" si="27"/>
        <v>1323.99999999994</v>
      </c>
      <c r="BD22" s="18">
        <f t="shared" si="12"/>
        <v>11261.9999999727</v>
      </c>
      <c r="BE22" s="18">
        <f t="shared" si="13"/>
        <v>52699.999999968</v>
      </c>
      <c r="BF22" s="18">
        <f t="shared" si="14"/>
        <v>53.5</v>
      </c>
      <c r="BG22" s="21">
        <f t="shared" si="15"/>
        <v>0.255421032734449</v>
      </c>
      <c r="BH22" s="21">
        <f t="shared" si="16"/>
        <v>0.0380562798677844</v>
      </c>
      <c r="BI22" s="21">
        <f t="shared" si="17"/>
        <v>0</v>
      </c>
      <c r="BJ22" s="21">
        <f t="shared" si="18"/>
        <v>0.0373680486220863</v>
      </c>
      <c r="BK22" s="21">
        <f t="shared" ref="BK22:BO22" si="113">IF(OR($AD22=0),"",AZ22/$AD22)</f>
        <v>0.0678537847871814</v>
      </c>
      <c r="BL22" s="21">
        <f t="shared" si="113"/>
        <v>0.0455589697856508</v>
      </c>
      <c r="BM22" s="21">
        <f t="shared" si="113"/>
        <v>0.00558339714820292</v>
      </c>
      <c r="BN22" s="21">
        <f t="shared" si="113"/>
        <v>0.00641702936130174</v>
      </c>
      <c r="BO22" s="21">
        <f t="shared" si="113"/>
        <v>0.0545835231622417</v>
      </c>
    </row>
    <row r="23" spans="1:67">
      <c r="A23" s="9">
        <f t="shared" si="20"/>
        <v>44367</v>
      </c>
      <c r="B23" s="10">
        <v>16463.42</v>
      </c>
      <c r="C23" s="8">
        <v>90249.1</v>
      </c>
      <c r="D23" s="8">
        <v>57648.5</v>
      </c>
      <c r="E23" s="8">
        <v>56853.5</v>
      </c>
      <c r="F23" s="8">
        <v>4781.3</v>
      </c>
      <c r="G23" s="8">
        <v>111827.6</v>
      </c>
      <c r="H23" s="8">
        <v>5596.3</v>
      </c>
      <c r="I23" s="8">
        <v>2566.3</v>
      </c>
      <c r="J23" s="8">
        <v>967</v>
      </c>
      <c r="K23" s="8">
        <v>56</v>
      </c>
      <c r="L23" s="8">
        <v>90340.4</v>
      </c>
      <c r="M23" s="8">
        <v>61213.4</v>
      </c>
      <c r="N23" s="8">
        <v>71736.6</v>
      </c>
      <c r="O23" s="8">
        <v>102116.3</v>
      </c>
      <c r="P23" s="8">
        <v>5403.9</v>
      </c>
      <c r="Q23" s="8">
        <v>7196.1</v>
      </c>
      <c r="R23" s="8">
        <v>4570.1</v>
      </c>
      <c r="S23" s="8">
        <v>5104.8</v>
      </c>
      <c r="T23" s="8">
        <v>6682.9</v>
      </c>
      <c r="U23" s="8">
        <v>17192.6</v>
      </c>
      <c r="V23" s="8">
        <v>50462.5</v>
      </c>
      <c r="W23" s="8">
        <v>51670.8</v>
      </c>
      <c r="X23" s="8">
        <v>2101.2</v>
      </c>
      <c r="Y23" s="8">
        <v>1826.1</v>
      </c>
      <c r="Z23" s="16">
        <f t="shared" si="21"/>
        <v>55598.1</v>
      </c>
      <c r="AA23" s="8">
        <v>61636.6</v>
      </c>
      <c r="AB23" s="14">
        <v>3330</v>
      </c>
      <c r="AC23" s="7">
        <f t="shared" si="22"/>
        <v>64966.6</v>
      </c>
      <c r="AD23" s="17">
        <v>204499</v>
      </c>
      <c r="AE23" s="18">
        <f t="shared" ref="AE23:AI23" si="114">IF(OR(C24=""),"",(C24-C23)*80)</f>
        <v>3807.9999999993</v>
      </c>
      <c r="AF23" s="18">
        <f t="shared" si="114"/>
        <v>40</v>
      </c>
      <c r="AG23" s="18">
        <f t="shared" si="114"/>
        <v>2447.99999999988</v>
      </c>
      <c r="AH23" s="18">
        <f t="shared" si="114"/>
        <v>9.59999999999127</v>
      </c>
      <c r="AI23" s="18">
        <f t="shared" si="114"/>
        <v>2151.99999999953</v>
      </c>
      <c r="AJ23" s="18">
        <f t="shared" si="3"/>
        <v>8457.59999999871</v>
      </c>
      <c r="AK23" s="18">
        <f t="shared" ref="AK23:AN23" si="115">IF(OR(H24=""),"",(H24-H23)*80)</f>
        <v>0</v>
      </c>
      <c r="AL23" s="18">
        <f t="shared" si="115"/>
        <v>0</v>
      </c>
      <c r="AM23" s="18">
        <f t="shared" si="115"/>
        <v>0</v>
      </c>
      <c r="AN23" s="18">
        <f t="shared" si="115"/>
        <v>0</v>
      </c>
      <c r="AO23" s="18">
        <f t="shared" si="5"/>
        <v>0</v>
      </c>
      <c r="AP23" s="18">
        <f t="shared" ref="AP23:AS23" si="116">IF(OR(L24=""),"",(L24-L23)*100)</f>
        <v>2710.00000000058</v>
      </c>
      <c r="AQ23" s="18">
        <f t="shared" si="116"/>
        <v>0</v>
      </c>
      <c r="AR23" s="18">
        <f t="shared" si="116"/>
        <v>2479.99999999884</v>
      </c>
      <c r="AS23" s="18">
        <f t="shared" si="116"/>
        <v>2559.99999999913</v>
      </c>
      <c r="AT23" s="18">
        <f t="shared" si="7"/>
        <v>7749.99999999854</v>
      </c>
      <c r="AU23" s="18">
        <f t="shared" ref="AU23:AY23" si="117">IF(OR(P24=""),"",(P24-P23)*1000)</f>
        <v>0</v>
      </c>
      <c r="AV23" s="18">
        <f t="shared" si="117"/>
        <v>0</v>
      </c>
      <c r="AW23" s="18">
        <f t="shared" si="117"/>
        <v>0</v>
      </c>
      <c r="AX23" s="18">
        <f t="shared" si="117"/>
        <v>5199.99999999982</v>
      </c>
      <c r="AY23" s="18">
        <f t="shared" si="117"/>
        <v>9000</v>
      </c>
      <c r="AZ23" s="18">
        <f t="shared" si="9"/>
        <v>14199.9999999998</v>
      </c>
      <c r="BA23" s="18">
        <f t="shared" si="10"/>
        <v>9400.00000000146</v>
      </c>
      <c r="BB23" s="18">
        <f t="shared" si="11"/>
        <v>1144.00000000023</v>
      </c>
      <c r="BC23" s="18">
        <f t="shared" si="27"/>
        <v>1288.00000000017</v>
      </c>
      <c r="BD23" s="18">
        <f t="shared" si="12"/>
        <v>11160.4000000025</v>
      </c>
      <c r="BE23" s="18">
        <f t="shared" si="13"/>
        <v>53400.0000000015</v>
      </c>
      <c r="BF23" s="18">
        <f t="shared" si="14"/>
        <v>53.9000000000015</v>
      </c>
      <c r="BG23" s="21">
        <f t="shared" si="15"/>
        <v>0.26112597127615</v>
      </c>
      <c r="BH23" s="21">
        <f t="shared" si="16"/>
        <v>0.0413576594506512</v>
      </c>
      <c r="BI23" s="21">
        <f t="shared" si="17"/>
        <v>0</v>
      </c>
      <c r="BJ23" s="21">
        <f t="shared" si="18"/>
        <v>0.0378974958312683</v>
      </c>
      <c r="BK23" s="21">
        <f t="shared" ref="BK23:BO23" si="118">IF(OR($AD23=0),"",AZ23/$AD23)</f>
        <v>0.06943799236182</v>
      </c>
      <c r="BL23" s="21">
        <f t="shared" si="118"/>
        <v>0.0459659949437477</v>
      </c>
      <c r="BM23" s="21">
        <f t="shared" si="118"/>
        <v>0.00559415938464361</v>
      </c>
      <c r="BN23" s="21">
        <f t="shared" si="118"/>
        <v>0.00629831930718573</v>
      </c>
      <c r="BO23" s="21">
        <f t="shared" si="118"/>
        <v>0.0545743499968338</v>
      </c>
    </row>
    <row r="24" spans="1:67">
      <c r="A24" s="9">
        <f t="shared" si="20"/>
        <v>44368</v>
      </c>
      <c r="B24" s="10">
        <v>16468.76</v>
      </c>
      <c r="C24" s="8">
        <v>90296.7</v>
      </c>
      <c r="D24" s="8">
        <v>57649</v>
      </c>
      <c r="E24" s="8">
        <v>56884.1</v>
      </c>
      <c r="F24" s="8">
        <v>4781.42</v>
      </c>
      <c r="G24" s="8">
        <v>111854.5</v>
      </c>
      <c r="H24" s="8">
        <v>5596.3</v>
      </c>
      <c r="I24" s="8">
        <v>2566.3</v>
      </c>
      <c r="J24" s="8">
        <v>967</v>
      </c>
      <c r="K24" s="8">
        <v>56</v>
      </c>
      <c r="L24" s="8">
        <v>90367.5</v>
      </c>
      <c r="M24" s="8">
        <v>61213.4</v>
      </c>
      <c r="N24" s="8">
        <v>71761.4</v>
      </c>
      <c r="O24" s="8">
        <v>102141.9</v>
      </c>
      <c r="P24" s="8">
        <v>5403.9</v>
      </c>
      <c r="Q24" s="8">
        <v>7196.1</v>
      </c>
      <c r="R24" s="8">
        <v>4570.1</v>
      </c>
      <c r="S24" s="8">
        <v>5110</v>
      </c>
      <c r="T24" s="8">
        <v>6691.9</v>
      </c>
      <c r="U24" s="8">
        <v>17197.3</v>
      </c>
      <c r="V24" s="8">
        <v>50476.8</v>
      </c>
      <c r="W24" s="8">
        <v>51687.1</v>
      </c>
      <c r="X24" s="8">
        <v>2109.3</v>
      </c>
      <c r="Y24" s="8">
        <v>1833.9</v>
      </c>
      <c r="Z24" s="16">
        <f t="shared" si="21"/>
        <v>55630.3</v>
      </c>
      <c r="AA24" s="8">
        <v>61683.5</v>
      </c>
      <c r="AB24" s="14">
        <v>3337</v>
      </c>
      <c r="AC24" s="7">
        <f t="shared" si="22"/>
        <v>65020.5</v>
      </c>
      <c r="AD24" s="17">
        <v>207383</v>
      </c>
      <c r="AE24" s="18">
        <f t="shared" ref="AE24:AI24" si="119">IF(OR(C25=""),"",(C25-C24)*80)</f>
        <v>3720</v>
      </c>
      <c r="AF24" s="18">
        <f t="shared" si="119"/>
        <v>2095.99999999977</v>
      </c>
      <c r="AG24" s="18">
        <f t="shared" si="119"/>
        <v>2336.00000000035</v>
      </c>
      <c r="AH24" s="18">
        <f t="shared" si="119"/>
        <v>4.00000000001455</v>
      </c>
      <c r="AI24" s="18">
        <f t="shared" si="119"/>
        <v>2184.00000000023</v>
      </c>
      <c r="AJ24" s="18">
        <f t="shared" si="3"/>
        <v>10340.0000000004</v>
      </c>
      <c r="AK24" s="18">
        <f t="shared" ref="AK24:AN24" si="120">IF(OR(H25=""),"",(H25-H24)*80)</f>
        <v>0</v>
      </c>
      <c r="AL24" s="18">
        <f t="shared" si="120"/>
        <v>0</v>
      </c>
      <c r="AM24" s="18">
        <f t="shared" si="120"/>
        <v>0</v>
      </c>
      <c r="AN24" s="18">
        <f t="shared" si="120"/>
        <v>0</v>
      </c>
      <c r="AO24" s="18">
        <f t="shared" si="5"/>
        <v>0</v>
      </c>
      <c r="AP24" s="18">
        <f t="shared" ref="AP24:AS24" si="121">IF(OR(L25=""),"",(L25-L24)*100)</f>
        <v>2760.00000000058</v>
      </c>
      <c r="AQ24" s="18">
        <f t="shared" si="121"/>
        <v>0</v>
      </c>
      <c r="AR24" s="18">
        <f t="shared" si="121"/>
        <v>2450</v>
      </c>
      <c r="AS24" s="18">
        <f t="shared" si="121"/>
        <v>2570.00000000116</v>
      </c>
      <c r="AT24" s="18">
        <f t="shared" si="7"/>
        <v>7780.00000000175</v>
      </c>
      <c r="AU24" s="18">
        <f t="shared" ref="AU24:AY24" si="122">IF(OR(P25=""),"",(P25-P24)*1000)</f>
        <v>0</v>
      </c>
      <c r="AV24" s="18">
        <f t="shared" si="122"/>
        <v>0</v>
      </c>
      <c r="AW24" s="18">
        <f t="shared" si="122"/>
        <v>0</v>
      </c>
      <c r="AX24" s="18">
        <f t="shared" si="122"/>
        <v>5199.99999999982</v>
      </c>
      <c r="AY24" s="18">
        <f t="shared" si="122"/>
        <v>9000</v>
      </c>
      <c r="AZ24" s="18">
        <f t="shared" si="9"/>
        <v>14199.9999999998</v>
      </c>
      <c r="BA24" s="18">
        <f t="shared" si="10"/>
        <v>9800.00000000291</v>
      </c>
      <c r="BB24" s="18">
        <f t="shared" si="11"/>
        <v>1223.99999999965</v>
      </c>
      <c r="BC24" s="18">
        <f t="shared" si="27"/>
        <v>1287.99999999988</v>
      </c>
      <c r="BD24" s="18">
        <f t="shared" si="12"/>
        <v>11468.0000000014</v>
      </c>
      <c r="BE24" s="18">
        <f t="shared" si="13"/>
        <v>56100.0000000058</v>
      </c>
      <c r="BF24" s="18">
        <f t="shared" si="14"/>
        <v>54</v>
      </c>
      <c r="BG24" s="21">
        <f t="shared" si="15"/>
        <v>0.270513976555483</v>
      </c>
      <c r="BH24" s="21">
        <f t="shared" si="16"/>
        <v>0.0498594388161053</v>
      </c>
      <c r="BI24" s="21">
        <f t="shared" si="17"/>
        <v>0</v>
      </c>
      <c r="BJ24" s="21">
        <f t="shared" si="18"/>
        <v>0.0375151290125119</v>
      </c>
      <c r="BK24" s="21">
        <f t="shared" ref="BK24:BO24" si="123">IF(OR($AD24=0),"",AZ24/$AD24)</f>
        <v>0.0684723434418434</v>
      </c>
      <c r="BL24" s="21">
        <f t="shared" si="123"/>
        <v>0.0472555609669207</v>
      </c>
      <c r="BM24" s="21">
        <f t="shared" si="123"/>
        <v>0.00590212312484462</v>
      </c>
      <c r="BN24" s="21">
        <f t="shared" si="123"/>
        <v>0.00621073086993574</v>
      </c>
      <c r="BO24" s="21">
        <f t="shared" si="123"/>
        <v>0.0552986503233218</v>
      </c>
    </row>
    <row r="25" spans="1:67">
      <c r="A25" s="9">
        <f t="shared" si="20"/>
        <v>44369</v>
      </c>
      <c r="B25" s="10">
        <v>16474.37</v>
      </c>
      <c r="C25" s="8">
        <v>90343.2</v>
      </c>
      <c r="D25" s="8">
        <v>57675.2</v>
      </c>
      <c r="E25" s="8">
        <v>56913.3</v>
      </c>
      <c r="F25" s="8">
        <v>4781.47</v>
      </c>
      <c r="G25" s="8">
        <v>111881.8</v>
      </c>
      <c r="H25" s="8">
        <v>5596.3</v>
      </c>
      <c r="I25" s="8">
        <v>2566.3</v>
      </c>
      <c r="J25" s="8">
        <v>967</v>
      </c>
      <c r="K25" s="8">
        <v>56</v>
      </c>
      <c r="L25" s="8">
        <v>90395.1</v>
      </c>
      <c r="M25" s="8">
        <v>61213.4</v>
      </c>
      <c r="N25" s="8">
        <v>71785.9</v>
      </c>
      <c r="O25" s="8">
        <v>102167.6</v>
      </c>
      <c r="P25" s="8">
        <v>5403.9</v>
      </c>
      <c r="Q25" s="8">
        <v>7196.1</v>
      </c>
      <c r="R25" s="8">
        <v>4570.1</v>
      </c>
      <c r="S25" s="8">
        <v>5115.2</v>
      </c>
      <c r="T25" s="8">
        <v>6700.9</v>
      </c>
      <c r="U25" s="8">
        <v>17202.2</v>
      </c>
      <c r="V25" s="8">
        <v>50492.1</v>
      </c>
      <c r="W25" s="8">
        <v>51703.4</v>
      </c>
      <c r="X25" s="8">
        <v>2117.4</v>
      </c>
      <c r="Y25" s="8">
        <v>1841.7</v>
      </c>
      <c r="Z25" s="16">
        <f t="shared" si="21"/>
        <v>55662.5</v>
      </c>
      <c r="AA25" s="8">
        <v>61730.5</v>
      </c>
      <c r="AB25" s="14">
        <v>3344</v>
      </c>
      <c r="AC25" s="7">
        <f t="shared" si="22"/>
        <v>65074.5</v>
      </c>
      <c r="AD25" s="17">
        <v>205102</v>
      </c>
      <c r="AE25" s="18">
        <f t="shared" ref="AE25:AI25" si="124">IF(OR(C26=""),"",(C26-C25)*80)</f>
        <v>3688.00000000047</v>
      </c>
      <c r="AF25" s="18">
        <f t="shared" si="124"/>
        <v>144.000000000233</v>
      </c>
      <c r="AG25" s="18">
        <f t="shared" si="124"/>
        <v>2511.99999999953</v>
      </c>
      <c r="AH25" s="18">
        <f t="shared" si="124"/>
        <v>91.9999999999709</v>
      </c>
      <c r="AI25" s="18">
        <f t="shared" si="124"/>
        <v>2271.99999999953</v>
      </c>
      <c r="AJ25" s="18">
        <f t="shared" si="3"/>
        <v>8707.99999999974</v>
      </c>
      <c r="AK25" s="18">
        <f t="shared" ref="AK25:AN25" si="125">IF(OR(H26=""),"",(H26-H25)*80)</f>
        <v>0</v>
      </c>
      <c r="AL25" s="18">
        <f t="shared" si="125"/>
        <v>0</v>
      </c>
      <c r="AM25" s="18">
        <f t="shared" si="125"/>
        <v>0</v>
      </c>
      <c r="AN25" s="18">
        <f t="shared" si="125"/>
        <v>0</v>
      </c>
      <c r="AO25" s="18">
        <f t="shared" si="5"/>
        <v>0</v>
      </c>
      <c r="AP25" s="18">
        <f t="shared" ref="AP25:AS25" si="126">IF(OR(L26=""),"",(L26-L25)*100)</f>
        <v>2629.99999999884</v>
      </c>
      <c r="AQ25" s="18">
        <f t="shared" si="126"/>
        <v>1700</v>
      </c>
      <c r="AR25" s="18">
        <f t="shared" si="126"/>
        <v>1230.00000000029</v>
      </c>
      <c r="AS25" s="18">
        <f t="shared" si="126"/>
        <v>2619.99999999971</v>
      </c>
      <c r="AT25" s="18">
        <f t="shared" si="7"/>
        <v>8179.99999999884</v>
      </c>
      <c r="AU25" s="18">
        <f t="shared" ref="AU25:AY25" si="127">IF(OR(P26=""),"",(P26-P25)*1000)</f>
        <v>700.000000000728</v>
      </c>
      <c r="AV25" s="18">
        <f t="shared" si="127"/>
        <v>0</v>
      </c>
      <c r="AW25" s="18">
        <f t="shared" si="127"/>
        <v>3500</v>
      </c>
      <c r="AX25" s="18">
        <f t="shared" si="127"/>
        <v>4900.00000000055</v>
      </c>
      <c r="AY25" s="18">
        <f t="shared" si="127"/>
        <v>500</v>
      </c>
      <c r="AZ25" s="18">
        <f t="shared" si="9"/>
        <v>9600.00000000127</v>
      </c>
      <c r="BA25" s="18">
        <f t="shared" si="10"/>
        <v>10000</v>
      </c>
      <c r="BB25" s="18">
        <f t="shared" si="11"/>
        <v>1200</v>
      </c>
      <c r="BC25" s="18">
        <f t="shared" si="27"/>
        <v>1260</v>
      </c>
      <c r="BD25" s="18">
        <f t="shared" si="12"/>
        <v>15151.9999999987</v>
      </c>
      <c r="BE25" s="18">
        <f t="shared" si="13"/>
        <v>54099.9999999985</v>
      </c>
      <c r="BF25" s="18">
        <f t="shared" si="14"/>
        <v>75.9000000000015</v>
      </c>
      <c r="BG25" s="21">
        <f t="shared" si="15"/>
        <v>0.26377119677038</v>
      </c>
      <c r="BH25" s="21">
        <f t="shared" si="16"/>
        <v>0.0424569238720234</v>
      </c>
      <c r="BI25" s="21">
        <f t="shared" si="17"/>
        <v>0</v>
      </c>
      <c r="BJ25" s="21">
        <f t="shared" si="18"/>
        <v>0.0398825950015058</v>
      </c>
      <c r="BK25" s="21">
        <f t="shared" ref="BK25:BO25" si="128">IF(OR($AD25=0),"",AZ25/$AD25)</f>
        <v>0.0468059794638827</v>
      </c>
      <c r="BL25" s="21">
        <f t="shared" si="128"/>
        <v>0.0487562286082047</v>
      </c>
      <c r="BM25" s="21">
        <f t="shared" si="128"/>
        <v>0.00585074743298456</v>
      </c>
      <c r="BN25" s="21">
        <f t="shared" si="128"/>
        <v>0.00614328480463379</v>
      </c>
      <c r="BO25" s="21">
        <f t="shared" si="128"/>
        <v>0.0738754375871454</v>
      </c>
    </row>
    <row r="26" spans="1:67">
      <c r="A26" s="9">
        <f t="shared" si="20"/>
        <v>44370</v>
      </c>
      <c r="B26" s="10">
        <v>16479.78</v>
      </c>
      <c r="C26" s="8">
        <v>90389.3</v>
      </c>
      <c r="D26" s="8">
        <v>57677</v>
      </c>
      <c r="E26" s="8">
        <v>56944.7</v>
      </c>
      <c r="F26" s="8">
        <v>4782.62</v>
      </c>
      <c r="G26" s="8">
        <v>111910.2</v>
      </c>
      <c r="H26" s="8">
        <v>5596.3</v>
      </c>
      <c r="I26" s="8">
        <v>2566.3</v>
      </c>
      <c r="J26" s="8">
        <v>967</v>
      </c>
      <c r="K26" s="8">
        <v>56</v>
      </c>
      <c r="L26" s="8">
        <v>90421.4</v>
      </c>
      <c r="M26" s="8">
        <v>61230.4</v>
      </c>
      <c r="N26" s="8">
        <v>71798.2</v>
      </c>
      <c r="O26" s="8">
        <v>102193.8</v>
      </c>
      <c r="P26" s="8">
        <v>5404.6</v>
      </c>
      <c r="Q26" s="8">
        <v>7196.1</v>
      </c>
      <c r="R26" s="8">
        <v>4573.6</v>
      </c>
      <c r="S26" s="8">
        <v>5120.1</v>
      </c>
      <c r="T26" s="8">
        <v>6701.4</v>
      </c>
      <c r="U26" s="8">
        <v>17207.2</v>
      </c>
      <c r="V26" s="8">
        <v>50507.1</v>
      </c>
      <c r="W26" s="8">
        <v>51719.9</v>
      </c>
      <c r="X26" s="8">
        <v>2125.1</v>
      </c>
      <c r="Y26" s="8">
        <v>1849</v>
      </c>
      <c r="Z26" s="16">
        <f t="shared" si="21"/>
        <v>55694</v>
      </c>
      <c r="AA26" s="8">
        <v>61777.4</v>
      </c>
      <c r="AB26" s="14">
        <v>3373</v>
      </c>
      <c r="AC26" s="7">
        <f t="shared" si="22"/>
        <v>65150.4</v>
      </c>
      <c r="AD26" s="17">
        <v>206068</v>
      </c>
      <c r="AE26" s="18">
        <f t="shared" ref="AE26:AI26" si="129">IF(OR(C27=""),"",(C27-C26)*80)</f>
        <v>3784.00000000023</v>
      </c>
      <c r="AF26" s="18">
        <f t="shared" si="129"/>
        <v>0</v>
      </c>
      <c r="AG26" s="18">
        <f t="shared" si="129"/>
        <v>2768.00000000047</v>
      </c>
      <c r="AH26" s="18">
        <f t="shared" si="129"/>
        <v>4.80000000003201</v>
      </c>
      <c r="AI26" s="18">
        <f t="shared" si="129"/>
        <v>2080</v>
      </c>
      <c r="AJ26" s="18">
        <f t="shared" si="3"/>
        <v>8636.80000000073</v>
      </c>
      <c r="AK26" s="18">
        <f t="shared" ref="AK26:AN26" si="130">IF(OR(H27=""),"",(H27-H26)*80)</f>
        <v>0</v>
      </c>
      <c r="AL26" s="18">
        <f t="shared" si="130"/>
        <v>0</v>
      </c>
      <c r="AM26" s="18">
        <f t="shared" si="130"/>
        <v>0</v>
      </c>
      <c r="AN26" s="18">
        <f t="shared" si="130"/>
        <v>0</v>
      </c>
      <c r="AO26" s="18">
        <f t="shared" si="5"/>
        <v>0</v>
      </c>
      <c r="AP26" s="18">
        <f t="shared" ref="AP26:AS26" si="131">IF(OR(L27=""),"",(L27-L26)*100)</f>
        <v>2480.00000000029</v>
      </c>
      <c r="AQ26" s="18">
        <f t="shared" si="131"/>
        <v>3319.99999999971</v>
      </c>
      <c r="AR26" s="18">
        <f t="shared" si="131"/>
        <v>0</v>
      </c>
      <c r="AS26" s="18">
        <f t="shared" si="131"/>
        <v>2589.99999999942</v>
      </c>
      <c r="AT26" s="18">
        <f t="shared" si="7"/>
        <v>8389.99999999942</v>
      </c>
      <c r="AU26" s="18">
        <f t="shared" ref="AU26:AY26" si="132">IF(OR(P27=""),"",(P27-P26)*1000)</f>
        <v>0</v>
      </c>
      <c r="AV26" s="18">
        <f t="shared" si="132"/>
        <v>0</v>
      </c>
      <c r="AW26" s="18">
        <f t="shared" si="132"/>
        <v>4399.99999999964</v>
      </c>
      <c r="AX26" s="18">
        <f t="shared" si="132"/>
        <v>5099.99999999945</v>
      </c>
      <c r="AY26" s="18">
        <f t="shared" si="132"/>
        <v>100.000000000364</v>
      </c>
      <c r="AZ26" s="18">
        <f t="shared" si="9"/>
        <v>9599.99999999945</v>
      </c>
      <c r="BA26" s="18">
        <f t="shared" si="10"/>
        <v>10000</v>
      </c>
      <c r="BB26" s="18">
        <f t="shared" si="11"/>
        <v>1176.00000000035</v>
      </c>
      <c r="BC26" s="18">
        <f t="shared" si="27"/>
        <v>1304.00000000023</v>
      </c>
      <c r="BD26" s="18">
        <f t="shared" si="12"/>
        <v>15293.2000000231</v>
      </c>
      <c r="BE26" s="18">
        <f t="shared" si="13"/>
        <v>54400.0000000233</v>
      </c>
      <c r="BF26" s="18">
        <f t="shared" si="14"/>
        <v>54.7999999999956</v>
      </c>
      <c r="BG26" s="21">
        <f t="shared" si="15"/>
        <v>0.263990527398836</v>
      </c>
      <c r="BH26" s="21">
        <f t="shared" si="16"/>
        <v>0.041912378438189</v>
      </c>
      <c r="BI26" s="21">
        <f t="shared" si="17"/>
        <v>0</v>
      </c>
      <c r="BJ26" s="21">
        <f t="shared" si="18"/>
        <v>0.0407147155307928</v>
      </c>
      <c r="BK26" s="21">
        <f t="shared" ref="BK26:BO26" si="133">IF(OR($AD26=0),"",AZ26/$AD26)</f>
        <v>0.0465865636585955</v>
      </c>
      <c r="BL26" s="21">
        <f t="shared" si="133"/>
        <v>0.0485276704777064</v>
      </c>
      <c r="BM26" s="21">
        <f t="shared" si="133"/>
        <v>0.00570685404817997</v>
      </c>
      <c r="BN26" s="21">
        <f t="shared" si="133"/>
        <v>0.00632800823029404</v>
      </c>
      <c r="BO26" s="21">
        <f t="shared" si="133"/>
        <v>0.074214337015078</v>
      </c>
    </row>
    <row r="27" spans="1:67">
      <c r="A27" s="9">
        <f t="shared" si="20"/>
        <v>44371</v>
      </c>
      <c r="B27" s="10">
        <v>16485.22</v>
      </c>
      <c r="C27" s="8">
        <v>90436.6</v>
      </c>
      <c r="D27" s="8">
        <v>57677</v>
      </c>
      <c r="E27" s="8">
        <v>56979.3</v>
      </c>
      <c r="F27" s="8">
        <v>4782.68</v>
      </c>
      <c r="G27" s="8">
        <v>111936.2</v>
      </c>
      <c r="H27" s="8">
        <v>5596.3</v>
      </c>
      <c r="I27" s="8">
        <v>2566.3</v>
      </c>
      <c r="J27" s="8">
        <v>967</v>
      </c>
      <c r="K27" s="8">
        <v>56</v>
      </c>
      <c r="L27" s="8">
        <v>90446.2</v>
      </c>
      <c r="M27" s="8">
        <v>61263.6</v>
      </c>
      <c r="N27" s="8">
        <v>71798.2</v>
      </c>
      <c r="O27" s="8">
        <v>102219.7</v>
      </c>
      <c r="P27" s="8">
        <v>5404.6</v>
      </c>
      <c r="Q27" s="8">
        <v>7196.1</v>
      </c>
      <c r="R27" s="8">
        <v>4578</v>
      </c>
      <c r="S27" s="8">
        <v>5125.2</v>
      </c>
      <c r="T27" s="8">
        <v>6701.5</v>
      </c>
      <c r="U27" s="8">
        <v>17212.2</v>
      </c>
      <c r="V27" s="8">
        <v>50521.8</v>
      </c>
      <c r="W27" s="8">
        <v>51736.3</v>
      </c>
      <c r="X27" s="8">
        <v>2133.3</v>
      </c>
      <c r="Y27" s="8">
        <v>1857</v>
      </c>
      <c r="Z27" s="16">
        <f t="shared" si="21"/>
        <v>55726.6</v>
      </c>
      <c r="AA27" s="8">
        <v>61827.2</v>
      </c>
      <c r="AB27" s="14">
        <v>3378</v>
      </c>
      <c r="AC27" s="7">
        <f t="shared" si="22"/>
        <v>65205.2</v>
      </c>
      <c r="AD27" s="17">
        <v>203396</v>
      </c>
      <c r="AE27" s="18">
        <f t="shared" ref="AE27:AI27" si="134">IF(OR(C28=""),"",(C28-C27)*80)</f>
        <v>3783.99999999907</v>
      </c>
      <c r="AF27" s="18">
        <f t="shared" si="134"/>
        <v>7.99999999988358</v>
      </c>
      <c r="AG27" s="18">
        <f t="shared" si="134"/>
        <v>2480</v>
      </c>
      <c r="AH27" s="18">
        <f t="shared" si="134"/>
        <v>3.99999999994179</v>
      </c>
      <c r="AI27" s="18">
        <f t="shared" si="134"/>
        <v>2328.00000000047</v>
      </c>
      <c r="AJ27" s="18">
        <f t="shared" si="3"/>
        <v>8603.99999999936</v>
      </c>
      <c r="AK27" s="18">
        <f t="shared" ref="AK27:AN27" si="135">IF(OR(H28=""),"",(H28-H27)*80)</f>
        <v>0</v>
      </c>
      <c r="AL27" s="18">
        <f t="shared" si="135"/>
        <v>0</v>
      </c>
      <c r="AM27" s="18">
        <f t="shared" si="135"/>
        <v>0</v>
      </c>
      <c r="AN27" s="18">
        <f t="shared" si="135"/>
        <v>0</v>
      </c>
      <c r="AO27" s="18">
        <f t="shared" si="5"/>
        <v>0</v>
      </c>
      <c r="AP27" s="18">
        <f t="shared" ref="AP27:AS27" si="136">IF(OR(L28=""),"",(L28-L27)*100)</f>
        <v>2430.00000000029</v>
      </c>
      <c r="AQ27" s="18">
        <f t="shared" si="136"/>
        <v>3359.99999999985</v>
      </c>
      <c r="AR27" s="18">
        <f t="shared" si="136"/>
        <v>0</v>
      </c>
      <c r="AS27" s="18">
        <f t="shared" si="136"/>
        <v>2569.99999999971</v>
      </c>
      <c r="AT27" s="18">
        <f t="shared" si="7"/>
        <v>8359.99999999985</v>
      </c>
      <c r="AU27" s="18">
        <f t="shared" ref="AU27:AY27" si="137">IF(OR(P28=""),"",(P28-P27)*1000)</f>
        <v>0</v>
      </c>
      <c r="AV27" s="18">
        <f t="shared" si="137"/>
        <v>0</v>
      </c>
      <c r="AW27" s="18">
        <f t="shared" si="137"/>
        <v>4399.99999999964</v>
      </c>
      <c r="AX27" s="18">
        <f t="shared" si="137"/>
        <v>4800.00000000018</v>
      </c>
      <c r="AY27" s="18">
        <f t="shared" si="137"/>
        <v>0</v>
      </c>
      <c r="AZ27" s="18">
        <f t="shared" si="9"/>
        <v>9199.99999999982</v>
      </c>
      <c r="BA27" s="18">
        <f t="shared" si="10"/>
        <v>10199.9999999971</v>
      </c>
      <c r="BB27" s="18">
        <f t="shared" si="11"/>
        <v>1183.99999999965</v>
      </c>
      <c r="BC27" s="18">
        <f t="shared" si="27"/>
        <v>1303.99999999994</v>
      </c>
      <c r="BD27" s="18">
        <f t="shared" si="12"/>
        <v>15347.9999999868</v>
      </c>
      <c r="BE27" s="18">
        <f t="shared" si="13"/>
        <v>54199.9999999825</v>
      </c>
      <c r="BF27" s="18">
        <f t="shared" si="14"/>
        <v>56.6000000000058</v>
      </c>
      <c r="BG27" s="21">
        <f t="shared" si="15"/>
        <v>0.266475250250657</v>
      </c>
      <c r="BH27" s="21">
        <f t="shared" si="16"/>
        <v>0.0423017168479191</v>
      </c>
      <c r="BI27" s="21">
        <f t="shared" si="17"/>
        <v>0</v>
      </c>
      <c r="BJ27" s="21">
        <f t="shared" si="18"/>
        <v>0.04110208657004</v>
      </c>
      <c r="BK27" s="21">
        <f t="shared" ref="BK27:BO27" si="138">IF(OR($AD27=0),"",AZ27/$AD27)</f>
        <v>0.0452319612971731</v>
      </c>
      <c r="BL27" s="21">
        <f t="shared" si="138"/>
        <v>0.0501484788294612</v>
      </c>
      <c r="BM27" s="21">
        <f t="shared" si="138"/>
        <v>0.00582115675824328</v>
      </c>
      <c r="BN27" s="21">
        <f t="shared" si="138"/>
        <v>0.0064111388621209</v>
      </c>
      <c r="BO27" s="21">
        <f t="shared" si="138"/>
        <v>0.0754587110856989</v>
      </c>
    </row>
    <row r="28" spans="1:67">
      <c r="A28" s="9">
        <f t="shared" si="20"/>
        <v>44372</v>
      </c>
      <c r="B28" s="10">
        <v>16490.64</v>
      </c>
      <c r="C28" s="8">
        <v>90483.9</v>
      </c>
      <c r="D28" s="8">
        <v>57677.1</v>
      </c>
      <c r="E28" s="8">
        <v>57010.3</v>
      </c>
      <c r="F28" s="8">
        <v>4782.73</v>
      </c>
      <c r="G28" s="8">
        <v>111965.3</v>
      </c>
      <c r="H28" s="8">
        <v>5596.3</v>
      </c>
      <c r="I28" s="8">
        <v>2566.3</v>
      </c>
      <c r="J28" s="8">
        <v>967</v>
      </c>
      <c r="K28" s="8">
        <v>56</v>
      </c>
      <c r="L28" s="8">
        <v>90470.5</v>
      </c>
      <c r="M28" s="8">
        <v>61297.2</v>
      </c>
      <c r="N28" s="8">
        <v>71798.2</v>
      </c>
      <c r="O28" s="8">
        <v>102245.4</v>
      </c>
      <c r="P28" s="8">
        <v>5404.6</v>
      </c>
      <c r="Q28" s="8">
        <v>7196.1</v>
      </c>
      <c r="R28" s="8">
        <v>4582.4</v>
      </c>
      <c r="S28" s="8">
        <v>5130</v>
      </c>
      <c r="T28" s="8">
        <v>6701.5</v>
      </c>
      <c r="U28" s="8">
        <v>17217.3</v>
      </c>
      <c r="V28" s="8">
        <v>50536.6</v>
      </c>
      <c r="W28" s="8">
        <v>51752.8</v>
      </c>
      <c r="X28" s="8">
        <v>2141.5</v>
      </c>
      <c r="Y28" s="8">
        <v>1864.9</v>
      </c>
      <c r="Z28" s="16">
        <f t="shared" si="21"/>
        <v>55759.2</v>
      </c>
      <c r="AA28" s="8">
        <v>61876.8</v>
      </c>
      <c r="AB28" s="14">
        <v>3385</v>
      </c>
      <c r="AC28" s="7">
        <f t="shared" si="22"/>
        <v>65261.8</v>
      </c>
      <c r="AD28" s="17">
        <v>207909</v>
      </c>
      <c r="AE28" s="18">
        <f t="shared" ref="AE28:AI28" si="139">IF(OR(C29=""),"",(C29-C28)*80)</f>
        <v>3704.00000000023</v>
      </c>
      <c r="AF28" s="18">
        <f t="shared" si="139"/>
        <v>2856.00000000035</v>
      </c>
      <c r="AG28" s="18">
        <f t="shared" si="139"/>
        <v>2280</v>
      </c>
      <c r="AH28" s="18">
        <f t="shared" si="139"/>
        <v>4.80000000003201</v>
      </c>
      <c r="AI28" s="18">
        <f t="shared" si="139"/>
        <v>2191.99999999953</v>
      </c>
      <c r="AJ28" s="18">
        <f t="shared" si="3"/>
        <v>11036.8000000001</v>
      </c>
      <c r="AK28" s="18">
        <f t="shared" ref="AK28:AN28" si="140">IF(OR(H29=""),"",(H29-H28)*80)</f>
        <v>0</v>
      </c>
      <c r="AL28" s="18">
        <f t="shared" si="140"/>
        <v>0</v>
      </c>
      <c r="AM28" s="18">
        <f t="shared" si="140"/>
        <v>0</v>
      </c>
      <c r="AN28" s="18">
        <f t="shared" si="140"/>
        <v>0</v>
      </c>
      <c r="AO28" s="18">
        <f t="shared" si="5"/>
        <v>0</v>
      </c>
      <c r="AP28" s="18">
        <f t="shared" ref="AP28:AS28" si="141">IF(OR(L29=""),"",(L29-L28)*100)</f>
        <v>2660.00000000058</v>
      </c>
      <c r="AQ28" s="18">
        <f t="shared" si="141"/>
        <v>3350</v>
      </c>
      <c r="AR28" s="18">
        <f t="shared" si="141"/>
        <v>0</v>
      </c>
      <c r="AS28" s="18">
        <f t="shared" si="141"/>
        <v>2530.00000000029</v>
      </c>
      <c r="AT28" s="18">
        <f t="shared" si="7"/>
        <v>8540.00000000087</v>
      </c>
      <c r="AU28" s="18">
        <f t="shared" ref="AU28:AY28" si="142">IF(OR(P29=""),"",(P29-P28)*1000)</f>
        <v>599.999999999454</v>
      </c>
      <c r="AV28" s="18">
        <f t="shared" si="142"/>
        <v>0</v>
      </c>
      <c r="AW28" s="18">
        <f t="shared" si="142"/>
        <v>700.000000000728</v>
      </c>
      <c r="AX28" s="18">
        <f t="shared" si="142"/>
        <v>5300.00000000018</v>
      </c>
      <c r="AY28" s="18">
        <f t="shared" si="142"/>
        <v>6000</v>
      </c>
      <c r="AZ28" s="18">
        <f t="shared" si="9"/>
        <v>12600.0000000004</v>
      </c>
      <c r="BA28" s="18">
        <f t="shared" si="10"/>
        <v>9400.00000000146</v>
      </c>
      <c r="BB28" s="18">
        <f t="shared" si="11"/>
        <v>1224.00000000023</v>
      </c>
      <c r="BC28" s="18">
        <f t="shared" si="27"/>
        <v>-508.000000000466</v>
      </c>
      <c r="BD28" s="18">
        <f t="shared" si="12"/>
        <v>15307.2000000178</v>
      </c>
      <c r="BE28" s="18">
        <f t="shared" si="13"/>
        <v>57600.0000000204</v>
      </c>
      <c r="BF28" s="18">
        <f t="shared" si="14"/>
        <v>55.5999999999985</v>
      </c>
      <c r="BG28" s="21">
        <f t="shared" si="15"/>
        <v>0.277044283797336</v>
      </c>
      <c r="BH28" s="21">
        <f t="shared" si="16"/>
        <v>0.0530847630453715</v>
      </c>
      <c r="BI28" s="21">
        <f t="shared" si="17"/>
        <v>0</v>
      </c>
      <c r="BJ28" s="21">
        <f t="shared" si="18"/>
        <v>0.0410756629102197</v>
      </c>
      <c r="BK28" s="21">
        <f t="shared" ref="BK28:BO28" si="143">IF(OR($AD28=0),"",AZ28/$AD28)</f>
        <v>0.0606034370806476</v>
      </c>
      <c r="BL28" s="21">
        <f t="shared" si="143"/>
        <v>0.0452120879808063</v>
      </c>
      <c r="BM28" s="21">
        <f t="shared" si="143"/>
        <v>0.00588719103069243</v>
      </c>
      <c r="BN28" s="21">
        <f t="shared" si="143"/>
        <v>-0.00244337666960288</v>
      </c>
      <c r="BO28" s="21">
        <f t="shared" si="143"/>
        <v>0.0736245184192015</v>
      </c>
    </row>
    <row r="29" spans="1:67">
      <c r="A29" s="9">
        <f t="shared" si="20"/>
        <v>44373</v>
      </c>
      <c r="B29" s="10">
        <v>16496.4</v>
      </c>
      <c r="C29" s="8">
        <v>90530.2</v>
      </c>
      <c r="D29" s="8">
        <v>57712.8</v>
      </c>
      <c r="E29" s="8">
        <v>57038.8</v>
      </c>
      <c r="F29" s="8">
        <v>4782.79</v>
      </c>
      <c r="G29" s="8">
        <v>111992.7</v>
      </c>
      <c r="H29" s="8">
        <v>5596.3</v>
      </c>
      <c r="I29" s="8">
        <v>2566.3</v>
      </c>
      <c r="J29" s="8">
        <v>967</v>
      </c>
      <c r="K29" s="8">
        <v>56</v>
      </c>
      <c r="L29" s="8">
        <v>90497.1</v>
      </c>
      <c r="M29" s="8">
        <v>61330.7</v>
      </c>
      <c r="N29" s="8">
        <v>71798.2</v>
      </c>
      <c r="O29" s="8">
        <v>102270.7</v>
      </c>
      <c r="P29" s="8">
        <v>5405.2</v>
      </c>
      <c r="Q29" s="8">
        <v>7196.1</v>
      </c>
      <c r="R29" s="8">
        <v>4583.1</v>
      </c>
      <c r="S29" s="8">
        <v>5135.3</v>
      </c>
      <c r="T29" s="8">
        <v>6707.5</v>
      </c>
      <c r="U29" s="8">
        <v>17222</v>
      </c>
      <c r="V29" s="8">
        <v>50551.9</v>
      </c>
      <c r="W29" s="8">
        <v>51769.2</v>
      </c>
      <c r="X29" s="8">
        <v>2149.6</v>
      </c>
      <c r="Y29" s="8">
        <v>1827.7</v>
      </c>
      <c r="Z29" s="16">
        <f t="shared" si="21"/>
        <v>55746.5</v>
      </c>
      <c r="AA29" s="8">
        <v>61926.4</v>
      </c>
      <c r="AB29" s="14">
        <v>3391</v>
      </c>
      <c r="AC29" s="7">
        <f t="shared" si="22"/>
        <v>65317.4</v>
      </c>
      <c r="AD29" s="17">
        <v>202107</v>
      </c>
      <c r="AE29" s="18">
        <f t="shared" ref="AE29:AI29" si="144">IF(OR(C30=""),"",(C30-C29)*80)</f>
        <v>3880</v>
      </c>
      <c r="AF29" s="18">
        <f t="shared" si="144"/>
        <v>2280</v>
      </c>
      <c r="AG29" s="18">
        <f t="shared" si="144"/>
        <v>2480</v>
      </c>
      <c r="AH29" s="18">
        <f t="shared" si="144"/>
        <v>4.00000000001455</v>
      </c>
      <c r="AI29" s="18">
        <f t="shared" si="144"/>
        <v>2248.00000000047</v>
      </c>
      <c r="AJ29" s="18">
        <f t="shared" si="3"/>
        <v>10892.0000000005</v>
      </c>
      <c r="AK29" s="18">
        <f t="shared" ref="AK29:AN29" si="145">IF(OR(H30=""),"",(H30-H29)*80)</f>
        <v>0</v>
      </c>
      <c r="AL29" s="18">
        <f t="shared" si="145"/>
        <v>0</v>
      </c>
      <c r="AM29" s="18">
        <f t="shared" si="145"/>
        <v>0</v>
      </c>
      <c r="AN29" s="18">
        <f t="shared" si="145"/>
        <v>0</v>
      </c>
      <c r="AO29" s="18">
        <f t="shared" si="5"/>
        <v>0</v>
      </c>
      <c r="AP29" s="18">
        <f t="shared" ref="AP29:AS29" si="146">IF(OR(L30=""),"",(L30-L29)*100)</f>
        <v>2469.99999999971</v>
      </c>
      <c r="AQ29" s="18">
        <f t="shared" si="146"/>
        <v>3430.00000000029</v>
      </c>
      <c r="AR29" s="18">
        <f t="shared" si="146"/>
        <v>0</v>
      </c>
      <c r="AS29" s="18">
        <f t="shared" si="146"/>
        <v>2600</v>
      </c>
      <c r="AT29" s="18">
        <f t="shared" si="7"/>
        <v>8500</v>
      </c>
      <c r="AU29" s="18">
        <f t="shared" ref="AU29:AY29" si="147">IF(OR(P30=""),"",(P30-P29)*1000)</f>
        <v>0</v>
      </c>
      <c r="AV29" s="18">
        <f t="shared" si="147"/>
        <v>0</v>
      </c>
      <c r="AW29" s="18">
        <f t="shared" si="147"/>
        <v>699.999999999818</v>
      </c>
      <c r="AX29" s="18">
        <f t="shared" si="147"/>
        <v>5099.99999999945</v>
      </c>
      <c r="AY29" s="18">
        <f t="shared" si="147"/>
        <v>8899.99999999964</v>
      </c>
      <c r="AZ29" s="18">
        <f t="shared" si="9"/>
        <v>14699.9999999989</v>
      </c>
      <c r="BA29" s="18">
        <f t="shared" si="10"/>
        <v>9599.99999999854</v>
      </c>
      <c r="BB29" s="18">
        <f t="shared" si="11"/>
        <v>1295.99999999977</v>
      </c>
      <c r="BC29" s="18">
        <f t="shared" si="27"/>
        <v>3088.00000000047</v>
      </c>
      <c r="BD29" s="18">
        <f t="shared" si="12"/>
        <v>9123.9999999771</v>
      </c>
      <c r="BE29" s="18">
        <f t="shared" si="13"/>
        <v>57199.9999999753</v>
      </c>
      <c r="BF29" s="18">
        <f t="shared" si="14"/>
        <v>56.4000000000015</v>
      </c>
      <c r="BG29" s="21">
        <f t="shared" si="15"/>
        <v>0.283018401143826</v>
      </c>
      <c r="BH29" s="21">
        <f t="shared" si="16"/>
        <v>0.0538922451968535</v>
      </c>
      <c r="BI29" s="21">
        <f t="shared" si="17"/>
        <v>0</v>
      </c>
      <c r="BJ29" s="21">
        <f t="shared" si="18"/>
        <v>0.0420569302399224</v>
      </c>
      <c r="BK29" s="21">
        <f t="shared" ref="BK29:BO29" si="148">IF(OR($AD29=0),"",AZ29/$AD29)</f>
        <v>0.072733749944331</v>
      </c>
      <c r="BL29" s="21">
        <f t="shared" si="148"/>
        <v>0.0474995918003758</v>
      </c>
      <c r="BM29" s="21">
        <f t="shared" si="148"/>
        <v>0.00641244489305055</v>
      </c>
      <c r="BN29" s="21">
        <f t="shared" si="148"/>
        <v>0.0152790353624588</v>
      </c>
      <c r="BO29" s="21">
        <f t="shared" si="148"/>
        <v>0.045144403706834</v>
      </c>
    </row>
    <row r="30" spans="1:67">
      <c r="A30" s="9">
        <f t="shared" si="20"/>
        <v>44374</v>
      </c>
      <c r="B30" s="10">
        <v>16502.12</v>
      </c>
      <c r="C30" s="8">
        <v>90578.7</v>
      </c>
      <c r="D30" s="8">
        <v>57741.3</v>
      </c>
      <c r="E30" s="8">
        <v>57069.8</v>
      </c>
      <c r="F30" s="8">
        <v>4782.84</v>
      </c>
      <c r="G30" s="8">
        <v>112020.8</v>
      </c>
      <c r="H30" s="8">
        <v>5596.3</v>
      </c>
      <c r="I30" s="8">
        <v>2566.3</v>
      </c>
      <c r="J30" s="8">
        <v>967</v>
      </c>
      <c r="K30" s="8">
        <v>56</v>
      </c>
      <c r="L30" s="8">
        <v>90521.8</v>
      </c>
      <c r="M30" s="8">
        <v>61365</v>
      </c>
      <c r="N30" s="8">
        <v>71798.2</v>
      </c>
      <c r="O30" s="8">
        <v>102296.7</v>
      </c>
      <c r="P30" s="8">
        <v>5405.2</v>
      </c>
      <c r="Q30" s="8">
        <v>7196.1</v>
      </c>
      <c r="R30" s="8">
        <v>4583.8</v>
      </c>
      <c r="S30" s="8">
        <v>5140.4</v>
      </c>
      <c r="T30" s="8">
        <v>6716.4</v>
      </c>
      <c r="U30" s="8">
        <v>17226.8</v>
      </c>
      <c r="V30" s="8">
        <v>50568.1</v>
      </c>
      <c r="W30" s="8">
        <v>51785.5</v>
      </c>
      <c r="X30" s="8">
        <v>2157.8</v>
      </c>
      <c r="Y30" s="8">
        <v>1880.4</v>
      </c>
      <c r="Z30" s="16">
        <f t="shared" si="21"/>
        <v>55823.7</v>
      </c>
      <c r="AA30" s="8">
        <v>61975.8</v>
      </c>
      <c r="AB30" s="14">
        <v>3398</v>
      </c>
      <c r="AC30" s="7">
        <f t="shared" si="22"/>
        <v>65373.8</v>
      </c>
      <c r="AD30" s="17">
        <v>202641</v>
      </c>
      <c r="AE30" s="18">
        <f t="shared" ref="AE30:AI30" si="149">IF(OR(C31=""),"",(C31-C30)*80)</f>
        <v>8.00000000046566</v>
      </c>
      <c r="AF30" s="18">
        <f t="shared" si="149"/>
        <v>2855.99999999977</v>
      </c>
      <c r="AG30" s="18">
        <f t="shared" si="149"/>
        <v>2080</v>
      </c>
      <c r="AH30" s="18">
        <f t="shared" si="149"/>
        <v>2040</v>
      </c>
      <c r="AI30" s="18">
        <f t="shared" si="149"/>
        <v>1704.00000000023</v>
      </c>
      <c r="AJ30" s="18">
        <f t="shared" si="3"/>
        <v>8688.00000000047</v>
      </c>
      <c r="AK30" s="18">
        <f t="shared" ref="AK30:AN30" si="150">IF(OR(H31=""),"",(H31-H30)*80)</f>
        <v>0</v>
      </c>
      <c r="AL30" s="18">
        <f t="shared" si="150"/>
        <v>0</v>
      </c>
      <c r="AM30" s="18">
        <f t="shared" si="150"/>
        <v>0</v>
      </c>
      <c r="AN30" s="18">
        <f t="shared" si="150"/>
        <v>0</v>
      </c>
      <c r="AO30" s="18">
        <f t="shared" si="5"/>
        <v>0</v>
      </c>
      <c r="AP30" s="18">
        <f t="shared" ref="AP30:AS30" si="151">IF(OR(L31=""),"",(L31-L30)*100)</f>
        <v>2589.99999999942</v>
      </c>
      <c r="AQ30" s="18">
        <f t="shared" si="151"/>
        <v>3080.00000000029</v>
      </c>
      <c r="AR30" s="18">
        <f t="shared" si="151"/>
        <v>0</v>
      </c>
      <c r="AS30" s="18">
        <f t="shared" si="151"/>
        <v>2600</v>
      </c>
      <c r="AT30" s="18">
        <f t="shared" si="7"/>
        <v>8269.99999999971</v>
      </c>
      <c r="AU30" s="18">
        <f t="shared" ref="AU30:AY30" si="152">IF(OR(P31=""),"",(P31-P30)*1000)</f>
        <v>300.000000000182</v>
      </c>
      <c r="AV30" s="18">
        <f t="shared" si="152"/>
        <v>1799.99999999927</v>
      </c>
      <c r="AW30" s="18">
        <f t="shared" si="152"/>
        <v>3000</v>
      </c>
      <c r="AX30" s="18">
        <f t="shared" si="152"/>
        <v>4700.00000000073</v>
      </c>
      <c r="AY30" s="18">
        <f t="shared" si="152"/>
        <v>0</v>
      </c>
      <c r="AZ30" s="18">
        <f t="shared" si="9"/>
        <v>9800.00000000018</v>
      </c>
      <c r="BA30" s="18">
        <f t="shared" si="10"/>
        <v>9599.99999999854</v>
      </c>
      <c r="BB30" s="18">
        <f t="shared" si="11"/>
        <v>272.000000000116</v>
      </c>
      <c r="BC30" s="18">
        <f t="shared" si="27"/>
        <v>1307.99999999959</v>
      </c>
      <c r="BD30" s="18">
        <f t="shared" si="12"/>
        <v>15961.9999999956</v>
      </c>
      <c r="BE30" s="18">
        <f t="shared" si="13"/>
        <v>53899.9999999942</v>
      </c>
      <c r="BF30" s="18">
        <f t="shared" si="14"/>
        <v>59</v>
      </c>
      <c r="BG30" s="21">
        <f t="shared" si="15"/>
        <v>0.265987633302215</v>
      </c>
      <c r="BH30" s="21">
        <f t="shared" si="16"/>
        <v>0.0428738508001859</v>
      </c>
      <c r="BI30" s="21">
        <f t="shared" si="17"/>
        <v>0</v>
      </c>
      <c r="BJ30" s="21">
        <f t="shared" si="18"/>
        <v>0.040811089562328</v>
      </c>
      <c r="BK30" s="21">
        <f t="shared" ref="BK30:BO30" si="153">IF(OR($AD30=0),"",AZ30/$AD30)</f>
        <v>0.0483613878731361</v>
      </c>
      <c r="BL30" s="21">
        <f t="shared" si="153"/>
        <v>0.0473744207736763</v>
      </c>
      <c r="BM30" s="21">
        <f t="shared" si="153"/>
        <v>0.00134227525525494</v>
      </c>
      <c r="BN30" s="21">
        <f t="shared" si="153"/>
        <v>0.00645476483041237</v>
      </c>
      <c r="BO30" s="21">
        <f t="shared" si="153"/>
        <v>0.0787698442072215</v>
      </c>
    </row>
    <row r="31" spans="1:67">
      <c r="A31" s="9">
        <f t="shared" si="20"/>
        <v>44375</v>
      </c>
      <c r="B31" s="10">
        <v>16507.51</v>
      </c>
      <c r="C31" s="8">
        <v>90578.8</v>
      </c>
      <c r="D31" s="8">
        <v>57777</v>
      </c>
      <c r="E31" s="8">
        <v>57095.8</v>
      </c>
      <c r="F31" s="8">
        <v>4808.34</v>
      </c>
      <c r="G31" s="8">
        <v>112042.1</v>
      </c>
      <c r="H31" s="8">
        <v>5596.3</v>
      </c>
      <c r="I31" s="8">
        <v>2566.3</v>
      </c>
      <c r="J31" s="8">
        <v>967</v>
      </c>
      <c r="K31" s="8">
        <v>56</v>
      </c>
      <c r="L31" s="8">
        <v>90547.7</v>
      </c>
      <c r="M31" s="8">
        <v>61395.8</v>
      </c>
      <c r="N31" s="8">
        <v>71798.2</v>
      </c>
      <c r="O31" s="8">
        <v>102322.7</v>
      </c>
      <c r="P31" s="8">
        <v>5405.5</v>
      </c>
      <c r="Q31" s="8">
        <v>7197.9</v>
      </c>
      <c r="R31" s="8">
        <v>4586.8</v>
      </c>
      <c r="S31" s="8">
        <v>5145.1</v>
      </c>
      <c r="T31" s="8">
        <v>6716.4</v>
      </c>
      <c r="U31" s="8">
        <v>17231.6</v>
      </c>
      <c r="V31" s="8">
        <v>50571.5</v>
      </c>
      <c r="W31" s="8">
        <v>51802</v>
      </c>
      <c r="X31" s="8">
        <v>2166.2</v>
      </c>
      <c r="Y31" s="8">
        <v>1888.2</v>
      </c>
      <c r="Z31" s="16">
        <f t="shared" si="21"/>
        <v>55856.4</v>
      </c>
      <c r="AA31" s="8">
        <v>62027.8</v>
      </c>
      <c r="AB31" s="14">
        <v>3405</v>
      </c>
      <c r="AC31" s="7">
        <f t="shared" si="22"/>
        <v>65432.8</v>
      </c>
      <c r="AD31" s="17">
        <v>204381</v>
      </c>
      <c r="AE31" s="18">
        <f t="shared" ref="AE31:AI31" si="154">IF(OR(C32=""),"",(C32-C31)*80)</f>
        <v>0</v>
      </c>
      <c r="AF31" s="18">
        <f t="shared" si="154"/>
        <v>3007.99999999988</v>
      </c>
      <c r="AG31" s="18">
        <f t="shared" si="154"/>
        <v>2311.99999999953</v>
      </c>
      <c r="AH31" s="18">
        <f t="shared" si="154"/>
        <v>4.00000000001455</v>
      </c>
      <c r="AI31" s="18">
        <f t="shared" si="154"/>
        <v>2247.9999999993</v>
      </c>
      <c r="AJ31" s="18">
        <f t="shared" si="3"/>
        <v>7571.99999999873</v>
      </c>
      <c r="AK31" s="18">
        <f t="shared" ref="AK31:AN31" si="155">IF(OR(H32=""),"",(H32-H31)*80)</f>
        <v>0</v>
      </c>
      <c r="AL31" s="18">
        <f t="shared" si="155"/>
        <v>0</v>
      </c>
      <c r="AM31" s="18">
        <f t="shared" si="155"/>
        <v>0</v>
      </c>
      <c r="AN31" s="18">
        <f t="shared" si="155"/>
        <v>0</v>
      </c>
      <c r="AO31" s="18">
        <f t="shared" si="5"/>
        <v>0</v>
      </c>
      <c r="AP31" s="18">
        <f t="shared" ref="AP31:AS31" si="156">IF(OR(L32=""),"",(L32-L31)*100)</f>
        <v>2560.00000000058</v>
      </c>
      <c r="AQ31" s="18">
        <f t="shared" si="156"/>
        <v>3429.99999999956</v>
      </c>
      <c r="AR31" s="18">
        <f t="shared" si="156"/>
        <v>0</v>
      </c>
      <c r="AS31" s="18">
        <f t="shared" si="156"/>
        <v>2660.00000000058</v>
      </c>
      <c r="AT31" s="18">
        <f t="shared" si="7"/>
        <v>8650.00000000073</v>
      </c>
      <c r="AU31" s="18">
        <f t="shared" ref="AU31:AY31" si="157">IF(OR(P32=""),"",(P32-P31)*1000)</f>
        <v>3899.99999999964</v>
      </c>
      <c r="AV31" s="18">
        <f t="shared" si="157"/>
        <v>0</v>
      </c>
      <c r="AW31" s="18">
        <f t="shared" si="157"/>
        <v>4500</v>
      </c>
      <c r="AX31" s="18">
        <f t="shared" si="157"/>
        <v>0</v>
      </c>
      <c r="AY31" s="18">
        <f t="shared" si="157"/>
        <v>100.000000000364</v>
      </c>
      <c r="AZ31" s="18">
        <f t="shared" si="9"/>
        <v>8500</v>
      </c>
      <c r="BA31" s="18">
        <f t="shared" si="10"/>
        <v>10400.0000000015</v>
      </c>
      <c r="BB31" s="18">
        <f t="shared" si="11"/>
        <v>607.999999999884</v>
      </c>
      <c r="BC31" s="18">
        <f t="shared" si="27"/>
        <v>1296.00000000035</v>
      </c>
      <c r="BD31" s="18">
        <f t="shared" si="12"/>
        <v>14874.0000000221</v>
      </c>
      <c r="BE31" s="18">
        <f t="shared" si="13"/>
        <v>51900.0000000233</v>
      </c>
      <c r="BF31" s="18">
        <f t="shared" si="14"/>
        <v>59.1999999999971</v>
      </c>
      <c r="BG31" s="21">
        <f t="shared" si="15"/>
        <v>0.25393749908271</v>
      </c>
      <c r="BH31" s="21">
        <f t="shared" si="16"/>
        <v>0.0370484536233737</v>
      </c>
      <c r="BI31" s="21">
        <f t="shared" si="17"/>
        <v>0</v>
      </c>
      <c r="BJ31" s="21">
        <f t="shared" si="18"/>
        <v>0.0423229165137695</v>
      </c>
      <c r="BK31" s="21">
        <f t="shared" ref="BK31:BO31" si="158">IF(OR($AD31=0),"",AZ31/$AD31)</f>
        <v>0.0415889931060128</v>
      </c>
      <c r="BL31" s="21">
        <f t="shared" si="158"/>
        <v>0.0508853562708934</v>
      </c>
      <c r="BM31" s="21">
        <f t="shared" si="158"/>
        <v>0.00297483621275893</v>
      </c>
      <c r="BN31" s="21">
        <f t="shared" si="158"/>
        <v>0.00634109824298907</v>
      </c>
      <c r="BO31" s="21">
        <f t="shared" si="158"/>
        <v>0.0727758451129123</v>
      </c>
    </row>
    <row r="32" spans="1:67">
      <c r="A32" s="9">
        <f t="shared" si="20"/>
        <v>44376</v>
      </c>
      <c r="B32" s="10">
        <v>16512.7</v>
      </c>
      <c r="C32" s="8">
        <v>90578.8</v>
      </c>
      <c r="D32" s="8">
        <v>57814.6</v>
      </c>
      <c r="E32" s="8">
        <v>57124.7</v>
      </c>
      <c r="F32" s="8">
        <v>4808.39</v>
      </c>
      <c r="G32" s="8">
        <v>112070.2</v>
      </c>
      <c r="H32" s="8">
        <v>5596.3</v>
      </c>
      <c r="I32" s="8">
        <v>2566.3</v>
      </c>
      <c r="J32" s="8">
        <v>967</v>
      </c>
      <c r="K32" s="8">
        <v>56</v>
      </c>
      <c r="L32" s="8">
        <v>90573.3</v>
      </c>
      <c r="M32" s="8">
        <v>61430.1</v>
      </c>
      <c r="N32" s="8">
        <v>71798.2</v>
      </c>
      <c r="O32" s="8">
        <v>102349.3</v>
      </c>
      <c r="P32" s="8">
        <v>5409.4</v>
      </c>
      <c r="Q32" s="8">
        <v>7197.9</v>
      </c>
      <c r="R32" s="8">
        <v>4591.3</v>
      </c>
      <c r="S32" s="8">
        <v>5145.1</v>
      </c>
      <c r="T32" s="8">
        <v>6716.5</v>
      </c>
      <c r="U32" s="8">
        <v>17236.8</v>
      </c>
      <c r="V32" s="8">
        <v>50579.1</v>
      </c>
      <c r="W32" s="8">
        <v>51818.6</v>
      </c>
      <c r="X32" s="8">
        <v>2174.3</v>
      </c>
      <c r="Y32" s="8">
        <v>1895.9</v>
      </c>
      <c r="Z32" s="16">
        <f t="shared" si="21"/>
        <v>55888.8</v>
      </c>
      <c r="AA32" s="8">
        <v>62081</v>
      </c>
      <c r="AB32" s="14">
        <v>3411</v>
      </c>
      <c r="AC32" s="7">
        <f t="shared" si="22"/>
        <v>65492</v>
      </c>
      <c r="AD32" s="17">
        <v>203625</v>
      </c>
      <c r="AE32" s="18">
        <f t="shared" ref="AE32:AI32" si="159">IF(OR(C33=""),"",(C33-C32)*80)</f>
        <v>0</v>
      </c>
      <c r="AF32" s="18">
        <f t="shared" si="159"/>
        <v>2976.00000000035</v>
      </c>
      <c r="AG32" s="18">
        <f t="shared" si="159"/>
        <v>2576.00000000035</v>
      </c>
      <c r="AH32" s="18">
        <f t="shared" si="159"/>
        <v>0</v>
      </c>
      <c r="AI32" s="18">
        <f t="shared" si="159"/>
        <v>2088.00000000047</v>
      </c>
      <c r="AJ32" s="18">
        <f t="shared" si="3"/>
        <v>7640.00000000116</v>
      </c>
      <c r="AK32" s="18">
        <f t="shared" ref="AK32:AN32" si="160">IF(OR(H33=""),"",(H33-H32)*80)</f>
        <v>0</v>
      </c>
      <c r="AL32" s="18">
        <f t="shared" si="160"/>
        <v>0</v>
      </c>
      <c r="AM32" s="18">
        <f t="shared" si="160"/>
        <v>0</v>
      </c>
      <c r="AN32" s="18">
        <f t="shared" si="160"/>
        <v>0</v>
      </c>
      <c r="AO32" s="18">
        <f t="shared" si="5"/>
        <v>0</v>
      </c>
      <c r="AP32" s="18">
        <f t="shared" ref="AP32:AS32" si="161">IF(OR(L33=""),"",(L33-L32)*100)</f>
        <v>2450</v>
      </c>
      <c r="AQ32" s="18">
        <f t="shared" si="161"/>
        <v>3350</v>
      </c>
      <c r="AR32" s="18">
        <f t="shared" si="161"/>
        <v>0</v>
      </c>
      <c r="AS32" s="18">
        <f t="shared" si="161"/>
        <v>2619.99999999971</v>
      </c>
      <c r="AT32" s="18">
        <f t="shared" si="7"/>
        <v>8419.99999999971</v>
      </c>
      <c r="AU32" s="18">
        <f t="shared" ref="AU32:AY32" si="162">IF(OR(P33=""),"",(P33-P32)*1000)</f>
        <v>1500</v>
      </c>
      <c r="AV32" s="18">
        <f t="shared" si="162"/>
        <v>0</v>
      </c>
      <c r="AW32" s="18">
        <f t="shared" si="162"/>
        <v>1399.99999999964</v>
      </c>
      <c r="AX32" s="18">
        <f t="shared" si="162"/>
        <v>3599.99999999945</v>
      </c>
      <c r="AY32" s="18">
        <f t="shared" si="162"/>
        <v>5600.00000000036</v>
      </c>
      <c r="AZ32" s="18">
        <f t="shared" si="9"/>
        <v>12099.9999999995</v>
      </c>
      <c r="BA32" s="18">
        <f t="shared" si="10"/>
        <v>10000</v>
      </c>
      <c r="BB32" s="18">
        <f t="shared" si="11"/>
        <v>640</v>
      </c>
      <c r="BC32" s="18">
        <f t="shared" si="27"/>
        <v>-772.000000000407</v>
      </c>
      <c r="BD32" s="18">
        <f t="shared" si="12"/>
        <v>14571.9999999841</v>
      </c>
      <c r="BE32" s="18">
        <f t="shared" si="13"/>
        <v>52599.999999984</v>
      </c>
      <c r="BF32" s="18">
        <f t="shared" si="14"/>
        <v>66.6000000000058</v>
      </c>
      <c r="BG32" s="21">
        <f t="shared" si="15"/>
        <v>0.258317986494703</v>
      </c>
      <c r="BH32" s="21">
        <f t="shared" si="16"/>
        <v>0.0375199508901224</v>
      </c>
      <c r="BI32" s="21">
        <f t="shared" si="17"/>
        <v>0</v>
      </c>
      <c r="BJ32" s="21">
        <f t="shared" si="18"/>
        <v>0.0413505217925093</v>
      </c>
      <c r="BK32" s="21">
        <f t="shared" ref="BK32:BO32" si="163">IF(OR($AD32=0),"",AZ32/$AD32)</f>
        <v>0.05942295887047</v>
      </c>
      <c r="BL32" s="21">
        <f t="shared" si="163"/>
        <v>0.049109883364027</v>
      </c>
      <c r="BM32" s="21">
        <f t="shared" si="163"/>
        <v>0.00314303253529773</v>
      </c>
      <c r="BN32" s="21">
        <f t="shared" si="163"/>
        <v>-0.00379128299570489</v>
      </c>
      <c r="BO32" s="21">
        <f t="shared" si="163"/>
        <v>0.0715629220379819</v>
      </c>
    </row>
    <row r="33" spans="1:67">
      <c r="A33" s="9">
        <f t="shared" si="20"/>
        <v>44377</v>
      </c>
      <c r="B33" s="10">
        <v>16517.96</v>
      </c>
      <c r="C33" s="8">
        <v>90578.8</v>
      </c>
      <c r="D33" s="8">
        <v>57851.8</v>
      </c>
      <c r="E33" s="8">
        <v>57156.9</v>
      </c>
      <c r="F33" s="8">
        <v>4808.39</v>
      </c>
      <c r="G33" s="8">
        <v>112096.3</v>
      </c>
      <c r="H33" s="8">
        <v>5596.3</v>
      </c>
      <c r="I33" s="8">
        <v>2566.3</v>
      </c>
      <c r="J33" s="8">
        <v>967</v>
      </c>
      <c r="K33" s="8">
        <v>56</v>
      </c>
      <c r="L33" s="8">
        <v>90597.8</v>
      </c>
      <c r="M33" s="8">
        <v>61463.6</v>
      </c>
      <c r="N33" s="8">
        <v>71798.2</v>
      </c>
      <c r="O33" s="8">
        <v>102375.5</v>
      </c>
      <c r="P33" s="8">
        <v>5410.9</v>
      </c>
      <c r="Q33" s="8">
        <v>7197.9</v>
      </c>
      <c r="R33" s="8">
        <v>4592.7</v>
      </c>
      <c r="S33" s="8">
        <v>5148.7</v>
      </c>
      <c r="T33" s="8">
        <v>6722.1</v>
      </c>
      <c r="U33" s="8">
        <v>17241.8</v>
      </c>
      <c r="V33" s="8">
        <v>50587.1</v>
      </c>
      <c r="W33" s="8">
        <v>51834.7</v>
      </c>
      <c r="X33" s="8">
        <v>2131.6</v>
      </c>
      <c r="Y33" s="8">
        <v>1903.2</v>
      </c>
      <c r="Z33" s="16">
        <f t="shared" si="21"/>
        <v>55869.5</v>
      </c>
      <c r="AA33" s="8">
        <v>62131.6</v>
      </c>
      <c r="AB33" s="14">
        <v>3427</v>
      </c>
      <c r="AC33" s="7">
        <f t="shared" si="22"/>
        <v>65558.6</v>
      </c>
      <c r="AD33" s="17">
        <v>204595</v>
      </c>
      <c r="AE33" s="18">
        <f t="shared" ref="AE33:AI33" si="164">IF(OR(C34=""),"",(C34-C33)*80)</f>
        <v>3840</v>
      </c>
      <c r="AF33" s="18">
        <f t="shared" si="164"/>
        <v>55.9999999997672</v>
      </c>
      <c r="AG33" s="18">
        <f t="shared" si="164"/>
        <v>2615.99999999977</v>
      </c>
      <c r="AH33" s="18">
        <f t="shared" si="164"/>
        <v>8.79999999997381</v>
      </c>
      <c r="AI33" s="18">
        <f t="shared" si="164"/>
        <v>2287.9999999993</v>
      </c>
      <c r="AJ33" s="18">
        <f t="shared" si="3"/>
        <v>8808.79999999881</v>
      </c>
      <c r="AK33" s="18">
        <f t="shared" ref="AK33:AN33" si="165">IF(OR(H34=""),"",(H34-H33)*80)</f>
        <v>0</v>
      </c>
      <c r="AL33" s="18">
        <f t="shared" si="165"/>
        <v>0</v>
      </c>
      <c r="AM33" s="18">
        <f t="shared" si="165"/>
        <v>0</v>
      </c>
      <c r="AN33" s="18">
        <f t="shared" si="165"/>
        <v>0</v>
      </c>
      <c r="AO33" s="18">
        <f t="shared" si="5"/>
        <v>0</v>
      </c>
      <c r="AP33" s="18">
        <f t="shared" ref="AP33:AS33" si="166">IF(OR(L34=""),"",(L34-L33)*100)</f>
        <v>2330.00000000029</v>
      </c>
      <c r="AQ33" s="18">
        <f t="shared" si="166"/>
        <v>870.000000000437</v>
      </c>
      <c r="AR33" s="18">
        <f t="shared" si="166"/>
        <v>2019.99999999971</v>
      </c>
      <c r="AS33" s="18">
        <f t="shared" si="166"/>
        <v>2560.00000000058</v>
      </c>
      <c r="AT33" s="18">
        <f t="shared" si="7"/>
        <v>7780.00000000102</v>
      </c>
      <c r="AU33" s="18">
        <f t="shared" ref="AU33:AY33" si="167">IF(OR(P34=""),"",(P34-P33)*1000)</f>
        <v>0</v>
      </c>
      <c r="AV33" s="18">
        <f t="shared" si="167"/>
        <v>0</v>
      </c>
      <c r="AW33" s="18">
        <f t="shared" si="167"/>
        <v>0</v>
      </c>
      <c r="AX33" s="18">
        <f t="shared" si="167"/>
        <v>5300.00000000018</v>
      </c>
      <c r="AY33" s="18">
        <f t="shared" si="167"/>
        <v>8799.99999999927</v>
      </c>
      <c r="AZ33" s="18">
        <f t="shared" si="9"/>
        <v>14099.9999999995</v>
      </c>
      <c r="BA33" s="18">
        <f t="shared" si="10"/>
        <v>9599.99999999854</v>
      </c>
      <c r="BB33" s="18">
        <f t="shared" si="11"/>
        <v>647.999999999884</v>
      </c>
      <c r="BC33" s="18">
        <f t="shared" si="27"/>
        <v>3080.00000000029</v>
      </c>
      <c r="BD33" s="18">
        <f t="shared" si="12"/>
        <v>9683.20000002819</v>
      </c>
      <c r="BE33" s="18">
        <f t="shared" si="13"/>
        <v>53700.0000000262</v>
      </c>
      <c r="BF33" s="18">
        <f t="shared" si="14"/>
        <v>65.8999999999942</v>
      </c>
      <c r="BG33" s="21">
        <f t="shared" si="15"/>
        <v>0.262469757325576</v>
      </c>
      <c r="BH33" s="21">
        <f t="shared" si="16"/>
        <v>0.0430548156113239</v>
      </c>
      <c r="BI33" s="21">
        <f t="shared" si="17"/>
        <v>0</v>
      </c>
      <c r="BJ33" s="21">
        <f t="shared" si="18"/>
        <v>0.0380263447298371</v>
      </c>
      <c r="BK33" s="21">
        <f t="shared" ref="BK33:BO33" si="168">IF(OR($AD33=0),"",AZ33/$AD33)</f>
        <v>0.0689166401915954</v>
      </c>
      <c r="BL33" s="21">
        <f t="shared" si="168"/>
        <v>0.0469219677900171</v>
      </c>
      <c r="BM33" s="21">
        <f t="shared" si="168"/>
        <v>0.00316723282582606</v>
      </c>
      <c r="BN33" s="21">
        <f t="shared" si="168"/>
        <v>0.0150541313326342</v>
      </c>
      <c r="BO33" s="21">
        <f t="shared" si="168"/>
        <v>0.0473286248443422</v>
      </c>
    </row>
    <row r="34" spans="1:67">
      <c r="A34" s="9">
        <f t="shared" si="20"/>
        <v>44378</v>
      </c>
      <c r="B34" s="7">
        <v>16523.33</v>
      </c>
      <c r="C34" s="8">
        <v>90626.8</v>
      </c>
      <c r="D34" s="8">
        <v>57852.5</v>
      </c>
      <c r="E34" s="8">
        <v>57189.6</v>
      </c>
      <c r="F34" s="8">
        <v>4808.5</v>
      </c>
      <c r="G34" s="8">
        <v>112124.9</v>
      </c>
      <c r="H34" s="8">
        <v>5596.3</v>
      </c>
      <c r="I34" s="8">
        <v>2566.3</v>
      </c>
      <c r="J34" s="8">
        <v>967</v>
      </c>
      <c r="K34" s="8">
        <v>56</v>
      </c>
      <c r="L34" s="8">
        <v>90621.1</v>
      </c>
      <c r="M34" s="8">
        <v>61472.3</v>
      </c>
      <c r="N34" s="8">
        <v>71818.4</v>
      </c>
      <c r="O34" s="8">
        <v>102401.1</v>
      </c>
      <c r="P34" s="8">
        <v>5410.9</v>
      </c>
      <c r="Q34" s="8">
        <v>7197.9</v>
      </c>
      <c r="R34" s="8">
        <v>4592.7</v>
      </c>
      <c r="S34" s="8">
        <v>5154</v>
      </c>
      <c r="T34" s="8">
        <v>6730.9</v>
      </c>
      <c r="U34" s="8">
        <v>17246.6</v>
      </c>
      <c r="V34" s="8">
        <v>50595.2</v>
      </c>
      <c r="W34" s="8">
        <v>51851.1</v>
      </c>
      <c r="X34" s="8">
        <v>2184.5</v>
      </c>
      <c r="Y34" s="8">
        <v>1910.9</v>
      </c>
      <c r="Z34" s="16">
        <f t="shared" si="21"/>
        <v>55946.5</v>
      </c>
      <c r="AA34" s="8">
        <v>62190.5</v>
      </c>
      <c r="AB34" s="14">
        <v>3434</v>
      </c>
      <c r="AC34" s="7">
        <f t="shared" si="22"/>
        <v>65624.5</v>
      </c>
      <c r="AD34" s="17"/>
      <c r="AE34" s="18" t="str">
        <f t="shared" ref="AE34:AI34" si="169">IF(OR(C35=""),"",(C35-C34)*80)</f>
        <v/>
      </c>
      <c r="AF34" s="18" t="str">
        <f t="shared" si="169"/>
        <v/>
      </c>
      <c r="AG34" s="18" t="str">
        <f t="shared" si="169"/>
        <v/>
      </c>
      <c r="AH34" s="18" t="str">
        <f t="shared" si="169"/>
        <v/>
      </c>
      <c r="AI34" s="18" t="str">
        <f t="shared" si="169"/>
        <v/>
      </c>
      <c r="AJ34" s="18" t="str">
        <f t="shared" si="3"/>
        <v/>
      </c>
      <c r="AK34" s="18" t="str">
        <f t="shared" ref="AK34:AN34" si="170">IF(OR(H35=""),"",(H35-H34)*80)</f>
        <v/>
      </c>
      <c r="AL34" s="18" t="str">
        <f t="shared" si="170"/>
        <v/>
      </c>
      <c r="AM34" s="18" t="str">
        <f t="shared" si="170"/>
        <v/>
      </c>
      <c r="AN34" s="18" t="str">
        <f t="shared" si="170"/>
        <v/>
      </c>
      <c r="AO34" s="18" t="str">
        <f t="shared" si="5"/>
        <v/>
      </c>
      <c r="AP34" s="18" t="str">
        <f t="shared" ref="AP34:AS34" si="171">IF(OR(L35=""),"",(L35-L34)*100)</f>
        <v/>
      </c>
      <c r="AQ34" s="18" t="str">
        <f t="shared" si="171"/>
        <v/>
      </c>
      <c r="AR34" s="18" t="str">
        <f t="shared" si="171"/>
        <v/>
      </c>
      <c r="AS34" s="18" t="str">
        <f t="shared" si="171"/>
        <v/>
      </c>
      <c r="AT34" s="18" t="str">
        <f t="shared" si="7"/>
        <v/>
      </c>
      <c r="AU34" s="18" t="str">
        <f t="shared" ref="AU34:AY34" si="172">IF(OR(P35=""),"",(P35-P34)*1000)</f>
        <v/>
      </c>
      <c r="AV34" s="18" t="str">
        <f t="shared" si="172"/>
        <v/>
      </c>
      <c r="AW34" s="18" t="str">
        <f t="shared" si="172"/>
        <v/>
      </c>
      <c r="AX34" s="18" t="str">
        <f t="shared" si="172"/>
        <v/>
      </c>
      <c r="AY34" s="18" t="str">
        <f t="shared" si="172"/>
        <v/>
      </c>
      <c r="AZ34" s="18" t="str">
        <f t="shared" si="9"/>
        <v/>
      </c>
      <c r="BA34" s="18" t="str">
        <f t="shared" si="10"/>
        <v/>
      </c>
      <c r="BB34" s="18" t="str">
        <f t="shared" si="11"/>
        <v/>
      </c>
      <c r="BC34" s="18" t="str">
        <f t="shared" ref="BC34" si="173">IF(OR(W35=""),"",(W35-W34)*40)</f>
        <v/>
      </c>
      <c r="BD34" s="18" t="str">
        <f t="shared" si="12"/>
        <v/>
      </c>
      <c r="BE34" s="18" t="str">
        <f t="shared" si="13"/>
        <v/>
      </c>
      <c r="BF34" s="18" t="str">
        <f t="shared" si="14"/>
        <v/>
      </c>
      <c r="BG34" s="21" t="str">
        <f t="shared" si="15"/>
        <v/>
      </c>
      <c r="BH34" s="21" t="str">
        <f t="shared" si="16"/>
        <v/>
      </c>
      <c r="BI34" s="21" t="str">
        <f t="shared" si="17"/>
        <v/>
      </c>
      <c r="BJ34" s="21" t="str">
        <f t="shared" si="18"/>
        <v/>
      </c>
      <c r="BK34" s="21" t="str">
        <f t="shared" ref="BK34:BO34" si="174">IF(OR($AD34=0),"",AZ34/$AD34)</f>
        <v/>
      </c>
      <c r="BL34" s="21" t="str">
        <f t="shared" si="174"/>
        <v/>
      </c>
      <c r="BM34" s="21" t="str">
        <f t="shared" si="174"/>
        <v/>
      </c>
      <c r="BN34" s="21" t="str">
        <f t="shared" si="174"/>
        <v/>
      </c>
      <c r="BO34" s="21" t="str">
        <f t="shared" si="174"/>
        <v/>
      </c>
    </row>
    <row r="35" spans="1:67">
      <c r="A35" s="9"/>
      <c r="B35" s="10"/>
      <c r="C35" s="11"/>
      <c r="D35" s="11"/>
      <c r="E35" s="11"/>
      <c r="F35" s="11"/>
      <c r="G35" s="11"/>
      <c r="H35" s="8"/>
      <c r="I35" s="8"/>
      <c r="J35" s="8"/>
      <c r="K35" s="8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6" t="str">
        <f t="shared" si="21"/>
        <v/>
      </c>
      <c r="AA35" s="11"/>
      <c r="BE35" s="22" t="s">
        <v>44</v>
      </c>
      <c r="BF35" s="22" t="s">
        <v>19</v>
      </c>
      <c r="BG35" s="23">
        <f>SUM(BE4:BE34)</f>
        <v>1621400.00000001</v>
      </c>
      <c r="BH35" s="23">
        <f>SUM(AJ4:AJ34)</f>
        <v>269700.000000001</v>
      </c>
      <c r="BI35" s="23">
        <f>SUM(AO4:AO34)</f>
        <v>0</v>
      </c>
      <c r="BJ35" s="23">
        <f>SUM(AT4:AT34)</f>
        <v>242210.000000001</v>
      </c>
      <c r="BK35" s="23">
        <f t="shared" ref="BK35:BO35" si="175">SUM(AZ4:AZ34)</f>
        <v>362400</v>
      </c>
      <c r="BL35" s="23">
        <f t="shared" si="175"/>
        <v>281399.999999994</v>
      </c>
      <c r="BM35" s="23">
        <f t="shared" si="175"/>
        <v>31143.9999999997</v>
      </c>
      <c r="BN35" s="23">
        <f t="shared" si="175"/>
        <v>38940</v>
      </c>
      <c r="BO35" s="23">
        <f t="shared" si="175"/>
        <v>395606.000000017</v>
      </c>
    </row>
    <row r="36" spans="37:67"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22">
        <f>SUM(AD4:AD34)</f>
        <v>6158611</v>
      </c>
      <c r="BF36" s="22" t="s">
        <v>21</v>
      </c>
      <c r="BG36" s="24">
        <f>IF(OR(BG35=0),"",ROUND(BG35/$BE$36,3))</f>
        <v>0.263</v>
      </c>
      <c r="BH36" s="24">
        <f t="shared" ref="BH36:BO36" si="176">IF(OR(BH35=0),"",ROUND(BH35/$BE$36,4))</f>
        <v>0.0438</v>
      </c>
      <c r="BI36" s="24" t="str">
        <f t="shared" si="176"/>
        <v/>
      </c>
      <c r="BJ36" s="24">
        <f t="shared" si="176"/>
        <v>0.0393</v>
      </c>
      <c r="BK36" s="24">
        <f t="shared" si="176"/>
        <v>0.0588</v>
      </c>
      <c r="BL36" s="24">
        <f t="shared" si="176"/>
        <v>0.0457</v>
      </c>
      <c r="BM36" s="24">
        <f t="shared" si="176"/>
        <v>0.0051</v>
      </c>
      <c r="BN36" s="24">
        <f t="shared" si="176"/>
        <v>0.0063</v>
      </c>
      <c r="BO36" s="24">
        <f t="shared" si="176"/>
        <v>0.0642</v>
      </c>
    </row>
  </sheetData>
  <mergeCells count="35">
    <mergeCell ref="A1:BO1"/>
    <mergeCell ref="C2:G2"/>
    <mergeCell ref="H2:K2"/>
    <mergeCell ref="L2:O2"/>
    <mergeCell ref="P2:T2"/>
    <mergeCell ref="X2:Y2"/>
    <mergeCell ref="AE2:AJ2"/>
    <mergeCell ref="AK2:AO2"/>
    <mergeCell ref="AP2:AT2"/>
    <mergeCell ref="AU2:AZ2"/>
    <mergeCell ref="A2:A3"/>
    <mergeCell ref="B2:B3"/>
    <mergeCell ref="U2:U3"/>
    <mergeCell ref="V2:V3"/>
    <mergeCell ref="W2:W3"/>
    <mergeCell ref="Z2:Z3"/>
    <mergeCell ref="AA2:AA3"/>
    <mergeCell ref="AB2:AB3"/>
    <mergeCell ref="AC2:AC3"/>
    <mergeCell ref="AD2:AD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41"/>
  <sheetViews>
    <sheetView showGridLines="0" zoomScale="120" zoomScaleNormal="120" workbookViewId="0">
      <pane xSplit="1" ySplit="3" topLeftCell="AN4" activePane="bottomRight" state="frozen"/>
      <selection/>
      <selection pane="topRight"/>
      <selection pane="bottomLeft"/>
      <selection pane="bottomRight" activeCell="BC4" sqref="BC4"/>
    </sheetView>
  </sheetViews>
  <sheetFormatPr defaultColWidth="9" defaultRowHeight="14.25"/>
  <cols>
    <col min="1" max="1" width="7" style="1" customWidth="1"/>
    <col min="2" max="2" width="8.375" style="2" customWidth="1"/>
    <col min="3" max="6" width="7.5" style="3" customWidth="1"/>
    <col min="7" max="7" width="8" style="3" customWidth="1"/>
    <col min="8" max="9" width="6.625" style="3" customWidth="1"/>
    <col min="10" max="10" width="5.75" style="3" customWidth="1"/>
    <col min="11" max="11" width="4.875" style="3" customWidth="1"/>
    <col min="12" max="14" width="7.5" style="3" customWidth="1"/>
    <col min="15" max="15" width="8.25" style="3" customWidth="1"/>
    <col min="16" max="20" width="6.625" style="3" customWidth="1"/>
    <col min="21" max="24" width="7.5" style="3" customWidth="1"/>
    <col min="25" max="26" width="8.25" style="3" customWidth="1"/>
    <col min="27" max="28" width="7.5" style="3" customWidth="1"/>
    <col min="29" max="29" width="8.5" style="3" customWidth="1"/>
    <col min="30" max="30" width="6.75" style="3" customWidth="1"/>
    <col min="31" max="31" width="5.25" style="1" customWidth="1"/>
    <col min="32" max="32" width="5" style="1" customWidth="1"/>
    <col min="33" max="33" width="4.75" style="1" customWidth="1"/>
    <col min="34" max="34" width="5" style="1" customWidth="1"/>
    <col min="35" max="35" width="4.875" style="1" customWidth="1"/>
    <col min="36" max="36" width="6.625" style="1" customWidth="1"/>
    <col min="37" max="40" width="4" style="1" customWidth="1"/>
    <col min="41" max="41" width="6.625" style="1" customWidth="1"/>
    <col min="42" max="42" width="4.875" style="1" customWidth="1"/>
    <col min="43" max="43" width="5.5" style="1" customWidth="1"/>
    <col min="44" max="44" width="6.125" style="1" customWidth="1"/>
    <col min="45" max="45" width="5.625" style="1" customWidth="1"/>
    <col min="46" max="46" width="6.625" style="1" customWidth="1"/>
    <col min="47" max="51" width="5.5" style="1" customWidth="1"/>
    <col min="52" max="54" width="6.625" style="1" customWidth="1"/>
    <col min="55" max="55" width="6.875" style="1" customWidth="1"/>
    <col min="56" max="56" width="8.125" style="1" customWidth="1"/>
    <col min="57" max="57" width="5.875" style="1" customWidth="1"/>
    <col min="58" max="58" width="6.625" style="1" customWidth="1"/>
    <col min="59" max="59" width="6.125" style="1" customWidth="1"/>
    <col min="60" max="60" width="6.75" style="1" customWidth="1"/>
    <col min="61" max="61" width="6.875" style="1" customWidth="1"/>
    <col min="62" max="63" width="6" style="1" customWidth="1"/>
    <col min="64" max="64" width="6.375" style="1" customWidth="1"/>
    <col min="65" max="65" width="7" style="1" customWidth="1"/>
    <col min="66" max="66" width="6.75" style="1" customWidth="1"/>
    <col min="67" max="67" width="6.625" style="1" customWidth="1"/>
    <col min="68" max="16384" width="9" style="1"/>
  </cols>
  <sheetData>
    <row r="1" spans="1:6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25"/>
    </row>
    <row r="2" spans="1:67">
      <c r="A2" s="6"/>
      <c r="B2" s="7" t="s">
        <v>0</v>
      </c>
      <c r="C2" s="8" t="s">
        <v>1</v>
      </c>
      <c r="D2" s="8"/>
      <c r="E2" s="8"/>
      <c r="F2" s="8"/>
      <c r="G2" s="8"/>
      <c r="H2" s="8" t="s">
        <v>2</v>
      </c>
      <c r="I2" s="8"/>
      <c r="J2" s="8"/>
      <c r="K2" s="8"/>
      <c r="L2" s="8" t="s">
        <v>3</v>
      </c>
      <c r="M2" s="8"/>
      <c r="N2" s="8"/>
      <c r="O2" s="8"/>
      <c r="P2" s="8" t="s">
        <v>4</v>
      </c>
      <c r="Q2" s="8"/>
      <c r="R2" s="8"/>
      <c r="S2" s="8"/>
      <c r="T2" s="8"/>
      <c r="U2" s="8" t="s">
        <v>5</v>
      </c>
      <c r="V2" s="8" t="s">
        <v>6</v>
      </c>
      <c r="W2" s="8" t="s">
        <v>7</v>
      </c>
      <c r="X2" s="12" t="s">
        <v>8</v>
      </c>
      <c r="Y2" s="14"/>
      <c r="Z2" s="8" t="s">
        <v>9</v>
      </c>
      <c r="AA2" s="8" t="s">
        <v>10</v>
      </c>
      <c r="AB2" s="8" t="s">
        <v>11</v>
      </c>
      <c r="AC2" s="8" t="s">
        <v>12</v>
      </c>
      <c r="AD2" s="6" t="s">
        <v>13</v>
      </c>
      <c r="AE2" s="15" t="s">
        <v>14</v>
      </c>
      <c r="AF2" s="15"/>
      <c r="AG2" s="15"/>
      <c r="AH2" s="15"/>
      <c r="AI2" s="15"/>
      <c r="AJ2" s="15"/>
      <c r="AK2" s="15" t="s">
        <v>2</v>
      </c>
      <c r="AL2" s="15"/>
      <c r="AM2" s="15"/>
      <c r="AN2" s="15"/>
      <c r="AO2" s="15"/>
      <c r="AP2" s="15" t="s">
        <v>3</v>
      </c>
      <c r="AQ2" s="15"/>
      <c r="AR2" s="15"/>
      <c r="AS2" s="15"/>
      <c r="AT2" s="15"/>
      <c r="AU2" s="15" t="s">
        <v>4</v>
      </c>
      <c r="AV2" s="15"/>
      <c r="AW2" s="15"/>
      <c r="AX2" s="15"/>
      <c r="AY2" s="15"/>
      <c r="AZ2" s="15"/>
      <c r="BA2" s="15" t="s">
        <v>15</v>
      </c>
      <c r="BB2" s="15" t="s">
        <v>16</v>
      </c>
      <c r="BC2" s="15" t="s">
        <v>17</v>
      </c>
      <c r="BD2" s="15" t="s">
        <v>18</v>
      </c>
      <c r="BE2" s="15" t="s">
        <v>19</v>
      </c>
      <c r="BF2" s="15" t="s">
        <v>20</v>
      </c>
      <c r="BG2" s="21" t="s">
        <v>21</v>
      </c>
      <c r="BH2" s="21" t="s">
        <v>22</v>
      </c>
      <c r="BI2" s="21" t="s">
        <v>23</v>
      </c>
      <c r="BJ2" s="21" t="s">
        <v>24</v>
      </c>
      <c r="BK2" s="21" t="s">
        <v>25</v>
      </c>
      <c r="BL2" s="21" t="s">
        <v>26</v>
      </c>
      <c r="BM2" s="21" t="s">
        <v>27</v>
      </c>
      <c r="BN2" s="21" t="s">
        <v>28</v>
      </c>
      <c r="BO2" s="21" t="s">
        <v>29</v>
      </c>
    </row>
    <row r="3" spans="1:67">
      <c r="A3" s="6"/>
      <c r="B3" s="7"/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/>
      <c r="V3" s="8"/>
      <c r="W3" s="8"/>
      <c r="X3" s="8" t="s">
        <v>40</v>
      </c>
      <c r="Y3" s="8" t="s">
        <v>41</v>
      </c>
      <c r="Z3" s="8"/>
      <c r="AA3" s="8"/>
      <c r="AB3" s="8"/>
      <c r="AC3" s="8"/>
      <c r="AD3" s="6"/>
      <c r="AE3" s="15" t="s">
        <v>30</v>
      </c>
      <c r="AF3" s="15" t="s">
        <v>31</v>
      </c>
      <c r="AG3" s="15" t="s">
        <v>32</v>
      </c>
      <c r="AH3" s="15" t="s">
        <v>33</v>
      </c>
      <c r="AI3" s="15" t="s">
        <v>34</v>
      </c>
      <c r="AJ3" s="15" t="s">
        <v>42</v>
      </c>
      <c r="AK3" s="15" t="s">
        <v>30</v>
      </c>
      <c r="AL3" s="15" t="s">
        <v>31</v>
      </c>
      <c r="AM3" s="15" t="s">
        <v>32</v>
      </c>
      <c r="AN3" s="15" t="s">
        <v>33</v>
      </c>
      <c r="AO3" s="15" t="s">
        <v>42</v>
      </c>
      <c r="AP3" s="15" t="s">
        <v>30</v>
      </c>
      <c r="AQ3" s="15" t="s">
        <v>31</v>
      </c>
      <c r="AR3" s="15" t="s">
        <v>32</v>
      </c>
      <c r="AS3" s="15" t="s">
        <v>33</v>
      </c>
      <c r="AT3" s="15" t="s">
        <v>42</v>
      </c>
      <c r="AU3" s="15" t="s">
        <v>35</v>
      </c>
      <c r="AV3" s="15" t="s">
        <v>36</v>
      </c>
      <c r="AW3" s="15" t="s">
        <v>37</v>
      </c>
      <c r="AX3" s="15" t="s">
        <v>38</v>
      </c>
      <c r="AY3" s="15" t="s">
        <v>39</v>
      </c>
      <c r="AZ3" s="15" t="s">
        <v>43</v>
      </c>
      <c r="BA3" s="20"/>
      <c r="BB3" s="20"/>
      <c r="BC3" s="20"/>
      <c r="BD3" s="20"/>
      <c r="BE3" s="20"/>
      <c r="BF3" s="20"/>
      <c r="BG3" s="21"/>
      <c r="BH3" s="21"/>
      <c r="BI3" s="21"/>
      <c r="BJ3" s="21"/>
      <c r="BK3" s="21"/>
      <c r="BL3" s="21"/>
      <c r="BM3" s="21"/>
      <c r="BN3" s="21"/>
      <c r="BO3" s="21"/>
    </row>
    <row r="4" spans="1:67">
      <c r="A4" s="9">
        <f>'6'!A34</f>
        <v>44378</v>
      </c>
      <c r="B4" s="7">
        <v>16523.33</v>
      </c>
      <c r="C4" s="8">
        <v>90626.8</v>
      </c>
      <c r="D4" s="8">
        <v>57852.5</v>
      </c>
      <c r="E4" s="8">
        <v>57189.6</v>
      </c>
      <c r="F4" s="8">
        <v>4808.5</v>
      </c>
      <c r="G4" s="8">
        <v>112124.9</v>
      </c>
      <c r="H4" s="8">
        <v>5596.3</v>
      </c>
      <c r="I4" s="8">
        <v>2566.3</v>
      </c>
      <c r="J4" s="8">
        <v>967</v>
      </c>
      <c r="K4" s="8">
        <v>56</v>
      </c>
      <c r="L4" s="8">
        <v>90621.1</v>
      </c>
      <c r="M4" s="8">
        <v>61472.3</v>
      </c>
      <c r="N4" s="8">
        <v>71818.4</v>
      </c>
      <c r="O4" s="8">
        <v>102401.1</v>
      </c>
      <c r="P4" s="8">
        <v>5410.9</v>
      </c>
      <c r="Q4" s="8">
        <v>7197.9</v>
      </c>
      <c r="R4" s="8">
        <v>4592.7</v>
      </c>
      <c r="S4" s="8">
        <v>5154</v>
      </c>
      <c r="T4" s="8">
        <v>6730.9</v>
      </c>
      <c r="U4" s="8">
        <v>17246.6</v>
      </c>
      <c r="V4" s="8">
        <v>50595.2</v>
      </c>
      <c r="W4" s="8">
        <v>51851.1</v>
      </c>
      <c r="X4" s="8">
        <v>2184.5</v>
      </c>
      <c r="Y4" s="8">
        <v>1910.9</v>
      </c>
      <c r="Z4" s="16">
        <f t="shared" ref="Z4" si="0">IF(OR(W4=""),"",(W4+X4+Y4))</f>
        <v>55946.5</v>
      </c>
      <c r="AA4" s="8">
        <v>62190.5</v>
      </c>
      <c r="AB4" s="14">
        <v>3434</v>
      </c>
      <c r="AC4" s="7">
        <f t="shared" ref="AC4" si="1">IF(OR(AA4=""),"",(AA4+AB4))</f>
        <v>65624.5</v>
      </c>
      <c r="AD4" s="17">
        <v>204632</v>
      </c>
      <c r="AE4" s="18">
        <f t="shared" ref="AE4:AI4" si="2">IF(OR(C5=""),"",(C5-C4)*80)</f>
        <v>3871.99999999953</v>
      </c>
      <c r="AF4" s="18">
        <f t="shared" si="2"/>
        <v>0</v>
      </c>
      <c r="AG4" s="18">
        <f t="shared" si="2"/>
        <v>2440</v>
      </c>
      <c r="AH4" s="18">
        <f t="shared" si="2"/>
        <v>4.80000000003201</v>
      </c>
      <c r="AI4" s="18">
        <f t="shared" si="2"/>
        <v>2304.00000000023</v>
      </c>
      <c r="AJ4" s="18">
        <f t="shared" ref="AJ4:AJ34" si="3">IF(OR(AE4="",AF4="",AG4=""),"",AE4+AF4+AG4+AH4+AI4)</f>
        <v>8620.7999999998</v>
      </c>
      <c r="AK4" s="18">
        <f t="shared" ref="AK4:AN4" si="4">IF(OR(H5=""),"",(H5-H4)*80)</f>
        <v>0</v>
      </c>
      <c r="AL4" s="18">
        <f t="shared" si="4"/>
        <v>0</v>
      </c>
      <c r="AM4" s="18">
        <f t="shared" si="4"/>
        <v>0</v>
      </c>
      <c r="AN4" s="18">
        <f t="shared" si="4"/>
        <v>0</v>
      </c>
      <c r="AO4" s="18">
        <f t="shared" ref="AO4:AO34" si="5">IF(OR(AK4="",AL4=""),"",AK4+AL4+AM4+AN4)</f>
        <v>0</v>
      </c>
      <c r="AP4" s="18">
        <f t="shared" ref="AP4:AS4" si="6">IF(OR(L5=""),"",(L5-L4)*100)</f>
        <v>2129.99999999884</v>
      </c>
      <c r="AQ4" s="18">
        <f t="shared" si="6"/>
        <v>419.999999999709</v>
      </c>
      <c r="AR4" s="18">
        <f t="shared" si="6"/>
        <v>2450</v>
      </c>
      <c r="AS4" s="18">
        <f t="shared" si="6"/>
        <v>2559.99999999913</v>
      </c>
      <c r="AT4" s="18">
        <f t="shared" ref="AT4:AT34" si="7">IF(OR(AP4="",AQ4=""),"",AP4+AQ4+AR4+AS4)</f>
        <v>7559.99999999767</v>
      </c>
      <c r="AU4" s="18">
        <f t="shared" ref="AU4:AY4" si="8">IF(OR(P5=""),"",(P5-P4)*1000)</f>
        <v>0</v>
      </c>
      <c r="AV4" s="18">
        <f t="shared" si="8"/>
        <v>0</v>
      </c>
      <c r="AW4" s="18">
        <f t="shared" si="8"/>
        <v>0</v>
      </c>
      <c r="AX4" s="18">
        <f t="shared" si="8"/>
        <v>5300.00000000018</v>
      </c>
      <c r="AY4" s="18">
        <f t="shared" si="8"/>
        <v>9100.00000000036</v>
      </c>
      <c r="AZ4" s="18">
        <f t="shared" ref="AZ4:AZ34" si="9">IF(OR(AU4="",AV4="",AW4=""),"",AU4+AV4+AW4+AX4+AY4)</f>
        <v>14400.0000000005</v>
      </c>
      <c r="BA4" s="18">
        <f t="shared" ref="BA4:BA34" si="10">IF(OR(U5=""),"",(U5-U4)*2000)</f>
        <v>9200.00000000437</v>
      </c>
      <c r="BB4" s="18">
        <f t="shared" ref="BB4:BB34" si="11">IF(OR(V5=""),"",(V5-V4)*80)</f>
        <v>608.000000000466</v>
      </c>
      <c r="BC4" s="18">
        <f>IF(OR(Z4=""),"",(Z5-Z4)*40)</f>
        <v>1532.00000000012</v>
      </c>
      <c r="BD4" s="18">
        <f t="shared" ref="BD4:BD34" si="12">IF(OR(BE4="",BC4=""),"",BE4-BC4-BB4-BA4-AZ4-AT4-AO4-AJ4)</f>
        <v>11779.1999999868</v>
      </c>
      <c r="BE4" s="18">
        <f t="shared" ref="BE4:BE34" si="13">IF(OR(B5=""),"",(B5-B4)*10000)</f>
        <v>53699.9999999898</v>
      </c>
      <c r="BF4" s="18">
        <f t="shared" ref="BF4:BF33" si="14">IF(OR(AC5=""),"",AC5-AC4)</f>
        <v>52.3000000000029</v>
      </c>
      <c r="BG4" s="21">
        <f t="shared" ref="BG4:BG34" si="15">IF(OR($AD4=0),"",BE4/$AD4)</f>
        <v>0.262422299542544</v>
      </c>
      <c r="BH4" s="21">
        <f t="shared" ref="BH4:BH34" si="16">IF(OR($AD4=0),"",AJ4/$AD4)</f>
        <v>0.0421283083779653</v>
      </c>
      <c r="BI4" s="21">
        <f t="shared" ref="BI4:BI34" si="17">IF(OR($AD4=0),"",AO4/$AD4)</f>
        <v>0</v>
      </c>
      <c r="BJ4" s="21">
        <f t="shared" ref="BJ4:BJ34" si="18">IF(OR($AD4=0),"",AT4/$AD4)</f>
        <v>0.0369443684272141</v>
      </c>
      <c r="BK4" s="21">
        <f t="shared" ref="BK4:BO4" si="19">IF(OR($AD4=0),"",AZ4/$AD4)</f>
        <v>0.0703702255756702</v>
      </c>
      <c r="BL4" s="21">
        <f t="shared" si="19"/>
        <v>0.04495875522892</v>
      </c>
      <c r="BM4" s="21">
        <f t="shared" si="19"/>
        <v>0.00297118730208602</v>
      </c>
      <c r="BN4" s="21">
        <f t="shared" si="19"/>
        <v>0.00748661010985631</v>
      </c>
      <c r="BO4" s="21">
        <f t="shared" si="19"/>
        <v>0.0575628445208318</v>
      </c>
    </row>
    <row r="5" spans="1:67">
      <c r="A5" s="9">
        <f t="shared" ref="A5:A35" si="20">A4+1</f>
        <v>44379</v>
      </c>
      <c r="B5" s="10">
        <v>16528.7</v>
      </c>
      <c r="C5" s="8">
        <v>90675.2</v>
      </c>
      <c r="D5" s="8">
        <v>57852.5</v>
      </c>
      <c r="E5" s="8">
        <v>57220.1</v>
      </c>
      <c r="F5" s="8">
        <v>4808.56</v>
      </c>
      <c r="G5" s="8">
        <v>112153.7</v>
      </c>
      <c r="H5" s="8">
        <v>5596.3</v>
      </c>
      <c r="I5" s="8">
        <v>2566.3</v>
      </c>
      <c r="J5" s="8">
        <v>967</v>
      </c>
      <c r="K5" s="8">
        <v>56</v>
      </c>
      <c r="L5" s="8">
        <v>90642.4</v>
      </c>
      <c r="M5" s="8">
        <v>61476.5</v>
      </c>
      <c r="N5" s="8">
        <v>71842.9</v>
      </c>
      <c r="O5" s="8">
        <v>102426.7</v>
      </c>
      <c r="P5" s="8">
        <v>5410.9</v>
      </c>
      <c r="Q5" s="8">
        <v>7197.9</v>
      </c>
      <c r="R5" s="8">
        <v>4592.7</v>
      </c>
      <c r="S5" s="8">
        <v>5159.3</v>
      </c>
      <c r="T5" s="8">
        <v>6740</v>
      </c>
      <c r="U5" s="8">
        <v>17251.2</v>
      </c>
      <c r="V5" s="8">
        <v>50602.8</v>
      </c>
      <c r="W5" s="8">
        <v>51867.4</v>
      </c>
      <c r="X5" s="8">
        <v>2198.8</v>
      </c>
      <c r="Y5" s="8">
        <v>1918.6</v>
      </c>
      <c r="Z5" s="16">
        <f t="shared" ref="Z5:Z35" si="21">IF(OR(W5=""),"",(W5+X5+Y5))</f>
        <v>55984.8</v>
      </c>
      <c r="AA5" s="8">
        <v>62236.8</v>
      </c>
      <c r="AB5" s="14">
        <v>3440</v>
      </c>
      <c r="AC5" s="7">
        <f t="shared" ref="AC5:AC35" si="22">IF(OR(AA5=""),"",(AA5+AB5))</f>
        <v>65676.8</v>
      </c>
      <c r="AD5" s="17">
        <v>205939</v>
      </c>
      <c r="AE5" s="18">
        <f t="shared" ref="AE5:AI5" si="23">IF(OR(C6=""),"",(C6-C5)*80)</f>
        <v>3808.00000000047</v>
      </c>
      <c r="AF5" s="18">
        <f t="shared" si="23"/>
        <v>0</v>
      </c>
      <c r="AG5" s="18">
        <f t="shared" si="23"/>
        <v>2176.00000000035</v>
      </c>
      <c r="AH5" s="18">
        <f t="shared" si="23"/>
        <v>0</v>
      </c>
      <c r="AI5" s="18">
        <f t="shared" si="23"/>
        <v>2135.99999999977</v>
      </c>
      <c r="AJ5" s="18">
        <f t="shared" si="3"/>
        <v>8120.00000000058</v>
      </c>
      <c r="AK5" s="18">
        <f t="shared" ref="AK5:AN5" si="24">IF(OR(H6=""),"",(H6-H5)*80)</f>
        <v>0</v>
      </c>
      <c r="AL5" s="18">
        <f t="shared" si="24"/>
        <v>0</v>
      </c>
      <c r="AM5" s="18">
        <f t="shared" si="24"/>
        <v>0</v>
      </c>
      <c r="AN5" s="18">
        <f t="shared" si="24"/>
        <v>0</v>
      </c>
      <c r="AO5" s="18">
        <f t="shared" si="5"/>
        <v>0</v>
      </c>
      <c r="AP5" s="18">
        <f t="shared" ref="AP5:AS5" si="25">IF(OR(L6=""),"",(L6-L5)*100)</f>
        <v>2310.00000000058</v>
      </c>
      <c r="AQ5" s="18">
        <f t="shared" si="25"/>
        <v>9.99999999985448</v>
      </c>
      <c r="AR5" s="18">
        <f t="shared" si="25"/>
        <v>2890.00000000087</v>
      </c>
      <c r="AS5" s="18">
        <f t="shared" si="25"/>
        <v>2669.99999999971</v>
      </c>
      <c r="AT5" s="18">
        <f t="shared" si="7"/>
        <v>7880.00000000102</v>
      </c>
      <c r="AU5" s="18">
        <f t="shared" ref="AU5:AY5" si="26">IF(OR(P6=""),"",(P6-P5)*1000)</f>
        <v>700.000000000728</v>
      </c>
      <c r="AV5" s="18">
        <f t="shared" si="26"/>
        <v>0</v>
      </c>
      <c r="AW5" s="18">
        <f t="shared" si="26"/>
        <v>0</v>
      </c>
      <c r="AX5" s="18">
        <f t="shared" si="26"/>
        <v>5300.00000000018</v>
      </c>
      <c r="AY5" s="18">
        <f t="shared" si="26"/>
        <v>7100.00000000036</v>
      </c>
      <c r="AZ5" s="18">
        <f t="shared" si="9"/>
        <v>13100.0000000013</v>
      </c>
      <c r="BA5" s="18">
        <f t="shared" si="10"/>
        <v>10000</v>
      </c>
      <c r="BB5" s="18">
        <f t="shared" si="11"/>
        <v>655.999999999767</v>
      </c>
      <c r="BC5" s="18">
        <f t="shared" ref="BC5:BC34" si="27">IF(OR(Z5=""),"",(Z6-Z5)*40)</f>
        <v>1300</v>
      </c>
      <c r="BD5" s="18">
        <f t="shared" si="12"/>
        <v>12443.9999999828</v>
      </c>
      <c r="BE5" s="18">
        <f t="shared" si="13"/>
        <v>53499.9999999854</v>
      </c>
      <c r="BF5" s="18">
        <f t="shared" si="14"/>
        <v>58.6999999999971</v>
      </c>
      <c r="BG5" s="21">
        <f t="shared" si="15"/>
        <v>0.259785664687045</v>
      </c>
      <c r="BH5" s="21">
        <f t="shared" si="16"/>
        <v>0.0394291513506455</v>
      </c>
      <c r="BI5" s="21">
        <f t="shared" si="17"/>
        <v>0</v>
      </c>
      <c r="BJ5" s="21">
        <f t="shared" si="18"/>
        <v>0.038263757714668</v>
      </c>
      <c r="BK5" s="21">
        <f t="shared" ref="BK5:BO5" si="28">IF(OR($AD5=0),"",AZ5/$AD5)</f>
        <v>0.0636110692972253</v>
      </c>
      <c r="BL5" s="21">
        <f t="shared" si="28"/>
        <v>0.0485580681658161</v>
      </c>
      <c r="BM5" s="21">
        <f t="shared" si="28"/>
        <v>0.00318540927167641</v>
      </c>
      <c r="BN5" s="21">
        <f t="shared" si="28"/>
        <v>0.00631254886155609</v>
      </c>
      <c r="BO5" s="21">
        <f t="shared" si="28"/>
        <v>0.0604256600254581</v>
      </c>
    </row>
    <row r="6" spans="1:67">
      <c r="A6" s="9">
        <f t="shared" si="20"/>
        <v>44380</v>
      </c>
      <c r="B6" s="10">
        <v>16534.05</v>
      </c>
      <c r="C6" s="8">
        <v>90722.8</v>
      </c>
      <c r="D6" s="8">
        <v>57852.5</v>
      </c>
      <c r="E6" s="8">
        <v>57247.3</v>
      </c>
      <c r="F6" s="8">
        <v>4808.56</v>
      </c>
      <c r="G6" s="8">
        <v>112180.4</v>
      </c>
      <c r="H6" s="8">
        <v>5596.3</v>
      </c>
      <c r="I6" s="8">
        <v>2566.3</v>
      </c>
      <c r="J6" s="8">
        <v>967</v>
      </c>
      <c r="K6" s="8">
        <v>56</v>
      </c>
      <c r="L6" s="8">
        <v>90665.5</v>
      </c>
      <c r="M6" s="8">
        <v>61476.6</v>
      </c>
      <c r="N6" s="8">
        <v>71871.8</v>
      </c>
      <c r="O6" s="8">
        <v>102453.4</v>
      </c>
      <c r="P6" s="8">
        <v>5411.6</v>
      </c>
      <c r="Q6" s="8">
        <v>7197.9</v>
      </c>
      <c r="R6" s="8">
        <v>4592.7</v>
      </c>
      <c r="S6" s="8">
        <v>5164.6</v>
      </c>
      <c r="T6" s="8">
        <v>6747.1</v>
      </c>
      <c r="U6" s="8">
        <v>17256.2</v>
      </c>
      <c r="V6" s="8">
        <v>50611</v>
      </c>
      <c r="W6" s="8">
        <v>51883.9</v>
      </c>
      <c r="X6" s="8">
        <v>2207</v>
      </c>
      <c r="Y6" s="8">
        <v>1926.4</v>
      </c>
      <c r="Z6" s="16">
        <f t="shared" si="21"/>
        <v>56017.3</v>
      </c>
      <c r="AA6" s="8">
        <v>62288.5</v>
      </c>
      <c r="AB6" s="14">
        <v>3447</v>
      </c>
      <c r="AC6" s="7">
        <f t="shared" si="22"/>
        <v>65735.5</v>
      </c>
      <c r="AD6" s="17">
        <v>209502</v>
      </c>
      <c r="AE6" s="18">
        <f t="shared" ref="AE6:AI6" si="29">IF(OR(C7=""),"",(C7-C6)*80)</f>
        <v>3760</v>
      </c>
      <c r="AF6" s="18">
        <f t="shared" si="29"/>
        <v>0</v>
      </c>
      <c r="AG6" s="18">
        <f t="shared" si="29"/>
        <v>2015.99999999977</v>
      </c>
      <c r="AH6" s="18">
        <f t="shared" si="29"/>
        <v>0</v>
      </c>
      <c r="AI6" s="18">
        <f t="shared" si="29"/>
        <v>2088.00000000047</v>
      </c>
      <c r="AJ6" s="18">
        <f t="shared" si="3"/>
        <v>7864.00000000023</v>
      </c>
      <c r="AK6" s="18">
        <f t="shared" ref="AK6:AN6" si="30">IF(OR(H7=""),"",(H7-H6)*80)</f>
        <v>0</v>
      </c>
      <c r="AL6" s="18">
        <f t="shared" si="30"/>
        <v>0</v>
      </c>
      <c r="AM6" s="18">
        <f t="shared" si="30"/>
        <v>0</v>
      </c>
      <c r="AN6" s="18">
        <f t="shared" si="30"/>
        <v>0</v>
      </c>
      <c r="AO6" s="18">
        <f t="shared" si="5"/>
        <v>0</v>
      </c>
      <c r="AP6" s="18">
        <f t="shared" ref="AP6:AS6" si="31">IF(OR(L7=""),"",(L7-L6)*100)</f>
        <v>2539.99999999942</v>
      </c>
      <c r="AQ6" s="18">
        <f t="shared" si="31"/>
        <v>0</v>
      </c>
      <c r="AR6" s="18">
        <f t="shared" si="31"/>
        <v>2839.99999999942</v>
      </c>
      <c r="AS6" s="18">
        <f t="shared" si="31"/>
        <v>2570.00000000116</v>
      </c>
      <c r="AT6" s="18">
        <f t="shared" si="7"/>
        <v>7950</v>
      </c>
      <c r="AU6" s="18">
        <f t="shared" ref="AU6:AY6" si="32">IF(OR(P7=""),"",(P7-P6)*1000)</f>
        <v>99.9999999994543</v>
      </c>
      <c r="AV6" s="18">
        <f t="shared" si="32"/>
        <v>0</v>
      </c>
      <c r="AW6" s="18">
        <f t="shared" si="32"/>
        <v>0</v>
      </c>
      <c r="AX6" s="18">
        <f t="shared" si="32"/>
        <v>4699.99999999982</v>
      </c>
      <c r="AY6" s="18">
        <f t="shared" si="32"/>
        <v>8099.99999999945</v>
      </c>
      <c r="AZ6" s="18">
        <f t="shared" si="9"/>
        <v>12899.9999999987</v>
      </c>
      <c r="BA6" s="18">
        <f t="shared" si="10"/>
        <v>10000</v>
      </c>
      <c r="BB6" s="18">
        <f t="shared" si="11"/>
        <v>647.999999999884</v>
      </c>
      <c r="BC6" s="18">
        <f t="shared" si="27"/>
        <v>1283.99999999965</v>
      </c>
      <c r="BD6" s="18">
        <f t="shared" si="12"/>
        <v>11154.0000000044</v>
      </c>
      <c r="BE6" s="18">
        <f t="shared" si="13"/>
        <v>51800.0000000029</v>
      </c>
      <c r="BF6" s="18">
        <f t="shared" si="14"/>
        <v>58.6999999999971</v>
      </c>
      <c r="BG6" s="21">
        <f t="shared" si="15"/>
        <v>0.247253009517823</v>
      </c>
      <c r="BH6" s="21">
        <f t="shared" si="16"/>
        <v>0.0375366344951372</v>
      </c>
      <c r="BI6" s="21">
        <f t="shared" si="17"/>
        <v>0</v>
      </c>
      <c r="BJ6" s="21">
        <f t="shared" si="18"/>
        <v>0.0379471317696251</v>
      </c>
      <c r="BK6" s="21">
        <f t="shared" ref="BK6:BO6" si="33">IF(OR($AD6=0),"",AZ6/$AD6)</f>
        <v>0.0615745911733479</v>
      </c>
      <c r="BL6" s="21">
        <f t="shared" si="33"/>
        <v>0.0477322412196542</v>
      </c>
      <c r="BM6" s="21">
        <f t="shared" si="33"/>
        <v>0.00309304923103304</v>
      </c>
      <c r="BN6" s="21">
        <f t="shared" si="33"/>
        <v>0.00612881977260194</v>
      </c>
      <c r="BO6" s="21">
        <f t="shared" si="33"/>
        <v>0.0532405418564234</v>
      </c>
    </row>
    <row r="7" spans="1:67">
      <c r="A7" s="9">
        <f t="shared" si="20"/>
        <v>44381</v>
      </c>
      <c r="B7" s="10">
        <v>16539.23</v>
      </c>
      <c r="C7" s="8">
        <v>90769.8</v>
      </c>
      <c r="D7" s="8">
        <v>57852.5</v>
      </c>
      <c r="E7" s="8">
        <v>57272.5</v>
      </c>
      <c r="F7" s="8">
        <v>4808.56</v>
      </c>
      <c r="G7" s="8">
        <v>112206.5</v>
      </c>
      <c r="H7" s="8">
        <v>5596.3</v>
      </c>
      <c r="I7" s="8">
        <v>2566.3</v>
      </c>
      <c r="J7" s="8">
        <v>967</v>
      </c>
      <c r="K7" s="8">
        <v>56</v>
      </c>
      <c r="L7" s="8">
        <v>90690.9</v>
      </c>
      <c r="M7" s="8">
        <v>61476.6</v>
      </c>
      <c r="N7" s="8">
        <v>71900.2</v>
      </c>
      <c r="O7" s="8">
        <v>102479.1</v>
      </c>
      <c r="P7" s="8">
        <v>5411.7</v>
      </c>
      <c r="Q7" s="8">
        <v>7197.9</v>
      </c>
      <c r="R7" s="8">
        <v>4592.7</v>
      </c>
      <c r="S7" s="8">
        <v>5169.3</v>
      </c>
      <c r="T7" s="8">
        <v>6755.2</v>
      </c>
      <c r="U7" s="8">
        <v>17261.2</v>
      </c>
      <c r="V7" s="8">
        <v>50619.1</v>
      </c>
      <c r="W7" s="8">
        <v>51900.2</v>
      </c>
      <c r="X7" s="8">
        <v>2215.1</v>
      </c>
      <c r="Y7" s="8">
        <v>1934.1</v>
      </c>
      <c r="Z7" s="16">
        <f t="shared" si="21"/>
        <v>56049.4</v>
      </c>
      <c r="AA7" s="8">
        <v>62340.2</v>
      </c>
      <c r="AB7" s="14">
        <v>3454</v>
      </c>
      <c r="AC7" s="7">
        <f t="shared" si="22"/>
        <v>65794.2</v>
      </c>
      <c r="AD7" s="17">
        <v>209299</v>
      </c>
      <c r="AE7" s="18">
        <f t="shared" ref="AE7:AI7" si="34">IF(OR(C8=""),"",(C8-C7)*80)</f>
        <v>3655.99999999977</v>
      </c>
      <c r="AF7" s="18">
        <f t="shared" si="34"/>
        <v>1824.00000000023</v>
      </c>
      <c r="AG7" s="18">
        <f t="shared" si="34"/>
        <v>1215.99999999977</v>
      </c>
      <c r="AH7" s="18">
        <f t="shared" si="34"/>
        <v>416.800000000003</v>
      </c>
      <c r="AI7" s="18">
        <f t="shared" si="34"/>
        <v>1671.99999999953</v>
      </c>
      <c r="AJ7" s="18">
        <f t="shared" si="3"/>
        <v>8784.7999999993</v>
      </c>
      <c r="AK7" s="18">
        <f t="shared" ref="AK7:AN7" si="35">IF(OR(H8=""),"",(H8-H7)*80)</f>
        <v>0</v>
      </c>
      <c r="AL7" s="18">
        <f t="shared" si="35"/>
        <v>0</v>
      </c>
      <c r="AM7" s="18">
        <f t="shared" si="35"/>
        <v>0</v>
      </c>
      <c r="AN7" s="18">
        <f t="shared" si="35"/>
        <v>0</v>
      </c>
      <c r="AO7" s="18">
        <f t="shared" si="5"/>
        <v>0</v>
      </c>
      <c r="AP7" s="18">
        <f t="shared" ref="AP7:AS7" si="36">IF(OR(L8=""),"",(L8-L7)*100)</f>
        <v>2420.00000000116</v>
      </c>
      <c r="AQ7" s="18">
        <f t="shared" si="36"/>
        <v>0</v>
      </c>
      <c r="AR7" s="18">
        <f t="shared" si="36"/>
        <v>2819.99999999971</v>
      </c>
      <c r="AS7" s="18">
        <f t="shared" si="36"/>
        <v>2579.99999999884</v>
      </c>
      <c r="AT7" s="18">
        <f t="shared" si="7"/>
        <v>7819.99999999971</v>
      </c>
      <c r="AU7" s="18">
        <f t="shared" ref="AU7:AY7" si="37">IF(OR(P8=""),"",(P8-P7)*1000)</f>
        <v>3400.00000000055</v>
      </c>
      <c r="AV7" s="18">
        <f t="shared" si="37"/>
        <v>0</v>
      </c>
      <c r="AW7" s="18">
        <f t="shared" si="37"/>
        <v>0</v>
      </c>
      <c r="AX7" s="18">
        <f t="shared" si="37"/>
        <v>4899.99999999964</v>
      </c>
      <c r="AY7" s="18">
        <f t="shared" si="37"/>
        <v>0</v>
      </c>
      <c r="AZ7" s="18">
        <f t="shared" si="9"/>
        <v>8300.00000000018</v>
      </c>
      <c r="BA7" s="18">
        <f t="shared" si="10"/>
        <v>9000</v>
      </c>
      <c r="BB7" s="18">
        <f t="shared" si="11"/>
        <v>647.999999999884</v>
      </c>
      <c r="BC7" s="18">
        <f t="shared" si="27"/>
        <v>1284.00000000023</v>
      </c>
      <c r="BD7" s="18">
        <f t="shared" si="12"/>
        <v>13563.1999999876</v>
      </c>
      <c r="BE7" s="18">
        <f t="shared" si="13"/>
        <v>49399.9999999869</v>
      </c>
      <c r="BF7" s="18">
        <f t="shared" si="14"/>
        <v>57.6000000000058</v>
      </c>
      <c r="BG7" s="21">
        <f t="shared" si="15"/>
        <v>0.23602597241261</v>
      </c>
      <c r="BH7" s="21">
        <f t="shared" si="16"/>
        <v>0.0419724891184349</v>
      </c>
      <c r="BI7" s="21">
        <f t="shared" si="17"/>
        <v>0</v>
      </c>
      <c r="BJ7" s="21">
        <f t="shared" si="18"/>
        <v>0.0373628158758509</v>
      </c>
      <c r="BK7" s="21">
        <f t="shared" ref="BK7:BO7" si="38">IF(OR($AD7=0),"",AZ7/$AD7)</f>
        <v>0.0396561856482839</v>
      </c>
      <c r="BL7" s="21">
        <f t="shared" si="38"/>
        <v>0.043000683233078</v>
      </c>
      <c r="BM7" s="21">
        <f t="shared" si="38"/>
        <v>0.00309604919278106</v>
      </c>
      <c r="BN7" s="21">
        <f t="shared" si="38"/>
        <v>0.00613476414125358</v>
      </c>
      <c r="BO7" s="21">
        <f t="shared" si="38"/>
        <v>0.0648029852029278</v>
      </c>
    </row>
    <row r="8" spans="1:67">
      <c r="A8" s="9">
        <f t="shared" si="20"/>
        <v>44382</v>
      </c>
      <c r="B8" s="10">
        <v>16544.17</v>
      </c>
      <c r="C8" s="8">
        <v>90815.5</v>
      </c>
      <c r="D8" s="8">
        <v>57875.3</v>
      </c>
      <c r="E8" s="8">
        <v>57287.7</v>
      </c>
      <c r="F8" s="8">
        <v>4813.77</v>
      </c>
      <c r="G8" s="8">
        <v>112227.4</v>
      </c>
      <c r="H8" s="8">
        <v>5596.3</v>
      </c>
      <c r="I8" s="8">
        <v>2566.3</v>
      </c>
      <c r="J8" s="8">
        <v>967</v>
      </c>
      <c r="K8" s="8">
        <v>56</v>
      </c>
      <c r="L8" s="8">
        <v>90715.1</v>
      </c>
      <c r="M8" s="8">
        <v>61476.6</v>
      </c>
      <c r="N8" s="8">
        <v>71928.4</v>
      </c>
      <c r="O8" s="8">
        <v>102504.9</v>
      </c>
      <c r="P8" s="8">
        <v>5415.1</v>
      </c>
      <c r="Q8" s="8">
        <v>7197.9</v>
      </c>
      <c r="R8" s="8">
        <v>4592.7</v>
      </c>
      <c r="S8" s="8">
        <v>5174.2</v>
      </c>
      <c r="T8" s="8">
        <v>6755.2</v>
      </c>
      <c r="U8" s="8">
        <v>17265.7</v>
      </c>
      <c r="V8" s="8">
        <v>50627.2</v>
      </c>
      <c r="W8" s="8">
        <v>51916.5</v>
      </c>
      <c r="X8" s="8">
        <v>2223.2</v>
      </c>
      <c r="Y8" s="8">
        <v>1941.8</v>
      </c>
      <c r="Z8" s="16">
        <f t="shared" si="21"/>
        <v>56081.5</v>
      </c>
      <c r="AA8" s="8">
        <v>62391.8</v>
      </c>
      <c r="AB8" s="14">
        <v>3460</v>
      </c>
      <c r="AC8" s="7">
        <f t="shared" si="22"/>
        <v>65851.8</v>
      </c>
      <c r="AD8" s="17">
        <v>206610</v>
      </c>
      <c r="AE8" s="18">
        <f t="shared" ref="AE8:AI8" si="39">IF(OR(C9=""),"",(C9-C8)*80)</f>
        <v>3880</v>
      </c>
      <c r="AF8" s="18">
        <f t="shared" si="39"/>
        <v>3111.99999999953</v>
      </c>
      <c r="AG8" s="18">
        <f t="shared" si="39"/>
        <v>0</v>
      </c>
      <c r="AH8" s="18">
        <f t="shared" si="39"/>
        <v>3.99999999994179</v>
      </c>
      <c r="AI8" s="18">
        <f t="shared" si="39"/>
        <v>1608.00000000047</v>
      </c>
      <c r="AJ8" s="18">
        <f t="shared" si="3"/>
        <v>8603.99999999994</v>
      </c>
      <c r="AK8" s="18">
        <f t="shared" ref="AK8:AN8" si="40">IF(OR(H9=""),"",(H9-H8)*80)</f>
        <v>0</v>
      </c>
      <c r="AL8" s="18">
        <f t="shared" si="40"/>
        <v>0</v>
      </c>
      <c r="AM8" s="18">
        <f t="shared" si="40"/>
        <v>0</v>
      </c>
      <c r="AN8" s="18">
        <f t="shared" si="40"/>
        <v>0</v>
      </c>
      <c r="AO8" s="18">
        <f t="shared" si="5"/>
        <v>0</v>
      </c>
      <c r="AP8" s="18">
        <f t="shared" ref="AP8:AS8" si="41">IF(OR(L9=""),"",(L9-L8)*100)</f>
        <v>2389.99999999942</v>
      </c>
      <c r="AQ8" s="18">
        <f t="shared" si="41"/>
        <v>0</v>
      </c>
      <c r="AR8" s="18">
        <f t="shared" si="41"/>
        <v>2880.00000000029</v>
      </c>
      <c r="AS8" s="18">
        <f t="shared" si="41"/>
        <v>2770.00000000116</v>
      </c>
      <c r="AT8" s="18">
        <f t="shared" si="7"/>
        <v>8040.00000000087</v>
      </c>
      <c r="AU8" s="18">
        <f t="shared" ref="AU8:AY8" si="42">IF(OR(P9=""),"",(P9-P8)*1000)</f>
        <v>2899.99999999964</v>
      </c>
      <c r="AV8" s="18">
        <f t="shared" si="42"/>
        <v>6100.00000000036</v>
      </c>
      <c r="AW8" s="18">
        <f t="shared" si="42"/>
        <v>1199.99999999982</v>
      </c>
      <c r="AX8" s="18">
        <f t="shared" si="42"/>
        <v>0</v>
      </c>
      <c r="AY8" s="18">
        <f t="shared" si="42"/>
        <v>0</v>
      </c>
      <c r="AZ8" s="18">
        <f t="shared" si="9"/>
        <v>10199.9999999998</v>
      </c>
      <c r="BA8" s="18">
        <f t="shared" si="10"/>
        <v>9400.00000000146</v>
      </c>
      <c r="BB8" s="18">
        <f t="shared" si="11"/>
        <v>640</v>
      </c>
      <c r="BC8" s="18">
        <f t="shared" si="27"/>
        <v>1316.00000000006</v>
      </c>
      <c r="BD8" s="18">
        <f t="shared" si="12"/>
        <v>10199.9999999993</v>
      </c>
      <c r="BE8" s="18">
        <f t="shared" si="13"/>
        <v>48400.0000000015</v>
      </c>
      <c r="BF8" s="18">
        <f t="shared" si="14"/>
        <v>56.3000000000029</v>
      </c>
      <c r="BG8" s="21">
        <f t="shared" si="15"/>
        <v>0.234257780359138</v>
      </c>
      <c r="BH8" s="21">
        <f t="shared" si="16"/>
        <v>0.0416436764919411</v>
      </c>
      <c r="BI8" s="21">
        <f t="shared" si="17"/>
        <v>0</v>
      </c>
      <c r="BJ8" s="21">
        <f t="shared" si="18"/>
        <v>0.0389138957456119</v>
      </c>
      <c r="BK8" s="21">
        <f t="shared" ref="BK8:BO8" si="43">IF(OR($AD8=0),"",AZ8/$AD8)</f>
        <v>0.0493683751996506</v>
      </c>
      <c r="BL8" s="21">
        <f t="shared" si="43"/>
        <v>0.0454963457722349</v>
      </c>
      <c r="BM8" s="21">
        <f t="shared" si="43"/>
        <v>0.00309762354193892</v>
      </c>
      <c r="BN8" s="21">
        <f t="shared" si="43"/>
        <v>0.00636948840811218</v>
      </c>
      <c r="BO8" s="21">
        <f t="shared" si="43"/>
        <v>0.0493683751996482</v>
      </c>
    </row>
    <row r="9" spans="1:67">
      <c r="A9" s="9">
        <f t="shared" si="20"/>
        <v>44383</v>
      </c>
      <c r="B9" s="10">
        <v>16549.01</v>
      </c>
      <c r="C9" s="8">
        <v>90864</v>
      </c>
      <c r="D9" s="8">
        <v>57914.2</v>
      </c>
      <c r="E9" s="8">
        <v>57287.7</v>
      </c>
      <c r="F9" s="8">
        <v>4813.82</v>
      </c>
      <c r="G9" s="8">
        <v>112247.5</v>
      </c>
      <c r="H9" s="8">
        <v>5596.3</v>
      </c>
      <c r="I9" s="8">
        <v>2566.3</v>
      </c>
      <c r="J9" s="8">
        <v>967</v>
      </c>
      <c r="K9" s="8">
        <v>56</v>
      </c>
      <c r="L9" s="8">
        <v>90739</v>
      </c>
      <c r="M9" s="8">
        <v>61476.6</v>
      </c>
      <c r="N9" s="8">
        <v>71957.2</v>
      </c>
      <c r="O9" s="8">
        <v>102532.6</v>
      </c>
      <c r="P9" s="8">
        <v>5418</v>
      </c>
      <c r="Q9" s="8">
        <v>7204</v>
      </c>
      <c r="R9" s="8">
        <v>4593.9</v>
      </c>
      <c r="S9" s="8">
        <v>5174.2</v>
      </c>
      <c r="T9" s="8">
        <v>6755.2</v>
      </c>
      <c r="U9" s="8">
        <v>17270.4</v>
      </c>
      <c r="V9" s="8">
        <v>50635.2</v>
      </c>
      <c r="W9" s="8">
        <v>51933</v>
      </c>
      <c r="X9" s="8">
        <v>2231.6</v>
      </c>
      <c r="Y9" s="8">
        <v>1949.8</v>
      </c>
      <c r="Z9" s="16">
        <f t="shared" si="21"/>
        <v>56114.4</v>
      </c>
      <c r="AA9" s="8">
        <v>62442.1</v>
      </c>
      <c r="AB9" s="14">
        <v>3466</v>
      </c>
      <c r="AC9" s="7">
        <f t="shared" si="22"/>
        <v>65908.1</v>
      </c>
      <c r="AD9" s="17">
        <v>207766</v>
      </c>
      <c r="AE9" s="18">
        <f t="shared" ref="AE9:AI9" si="44">IF(OR(C10=""),"",(C10-C9)*80)</f>
        <v>3720</v>
      </c>
      <c r="AF9" s="18">
        <f t="shared" si="44"/>
        <v>2712.00000000012</v>
      </c>
      <c r="AG9" s="18">
        <f t="shared" si="44"/>
        <v>0</v>
      </c>
      <c r="AH9" s="18">
        <f t="shared" si="44"/>
        <v>4.80000000003201</v>
      </c>
      <c r="AI9" s="18">
        <f t="shared" si="44"/>
        <v>1895.99999999977</v>
      </c>
      <c r="AJ9" s="18">
        <f t="shared" si="3"/>
        <v>8332.79999999992</v>
      </c>
      <c r="AK9" s="18">
        <f t="shared" ref="AK9:AN9" si="45">IF(OR(H10=""),"",(H10-H9)*80)</f>
        <v>0</v>
      </c>
      <c r="AL9" s="18">
        <f t="shared" si="45"/>
        <v>0</v>
      </c>
      <c r="AM9" s="18">
        <f t="shared" si="45"/>
        <v>0</v>
      </c>
      <c r="AN9" s="18">
        <f t="shared" si="45"/>
        <v>0</v>
      </c>
      <c r="AO9" s="18">
        <f t="shared" si="5"/>
        <v>0</v>
      </c>
      <c r="AP9" s="18">
        <f t="shared" ref="AP9:AS9" si="46">IF(OR(L10=""),"",(L10-L9)*100)</f>
        <v>2400</v>
      </c>
      <c r="AQ9" s="18">
        <f t="shared" si="46"/>
        <v>0</v>
      </c>
      <c r="AR9" s="18">
        <f t="shared" si="46"/>
        <v>2840.00000000087</v>
      </c>
      <c r="AS9" s="18">
        <f t="shared" si="46"/>
        <v>2579.99999999884</v>
      </c>
      <c r="AT9" s="18">
        <f t="shared" si="7"/>
        <v>7819.99999999971</v>
      </c>
      <c r="AU9" s="18">
        <f t="shared" ref="AU9:AY9" si="47">IF(OR(P10=""),"",(P10-P9)*1000)</f>
        <v>3800.00000000018</v>
      </c>
      <c r="AV9" s="18">
        <f t="shared" si="47"/>
        <v>7300.00000000018</v>
      </c>
      <c r="AW9" s="18">
        <f t="shared" si="47"/>
        <v>0</v>
      </c>
      <c r="AX9" s="18">
        <f t="shared" si="47"/>
        <v>0</v>
      </c>
      <c r="AY9" s="18">
        <f t="shared" si="47"/>
        <v>0</v>
      </c>
      <c r="AZ9" s="18">
        <f t="shared" si="9"/>
        <v>11100.0000000004</v>
      </c>
      <c r="BA9" s="18">
        <f t="shared" si="10"/>
        <v>9000</v>
      </c>
      <c r="BB9" s="18">
        <f t="shared" si="11"/>
        <v>608.000000000466</v>
      </c>
      <c r="BC9" s="18">
        <f t="shared" si="27"/>
        <v>1263.99999999994</v>
      </c>
      <c r="BD9" s="18">
        <f t="shared" si="12"/>
        <v>9575.20000000397</v>
      </c>
      <c r="BE9" s="18">
        <f t="shared" si="13"/>
        <v>47700.0000000044</v>
      </c>
      <c r="BF9" s="18">
        <f t="shared" si="14"/>
        <v>66.8999999999942</v>
      </c>
      <c r="BG9" s="21">
        <f t="shared" si="15"/>
        <v>0.229585206434183</v>
      </c>
      <c r="BH9" s="21">
        <f t="shared" si="16"/>
        <v>0.0401066584522969</v>
      </c>
      <c r="BI9" s="21">
        <f t="shared" si="17"/>
        <v>0</v>
      </c>
      <c r="BJ9" s="21">
        <f t="shared" si="18"/>
        <v>0.0376384971554523</v>
      </c>
      <c r="BK9" s="21">
        <f t="shared" ref="BK9:BO9" si="48">IF(OR($AD9=0),"",AZ9/$AD9)</f>
        <v>0.0534254882897123</v>
      </c>
      <c r="BL9" s="21">
        <f t="shared" si="48"/>
        <v>0.0433179634781437</v>
      </c>
      <c r="BM9" s="21">
        <f t="shared" si="48"/>
        <v>0.0029263690883035</v>
      </c>
      <c r="BN9" s="21">
        <f t="shared" si="48"/>
        <v>0.00608376731515234</v>
      </c>
      <c r="BO9" s="21">
        <f t="shared" si="48"/>
        <v>0.0460864626551215</v>
      </c>
    </row>
    <row r="10" spans="1:67">
      <c r="A10" s="9">
        <f t="shared" si="20"/>
        <v>44384</v>
      </c>
      <c r="B10" s="10">
        <v>16553.78</v>
      </c>
      <c r="C10" s="8">
        <v>90910.5</v>
      </c>
      <c r="D10" s="8">
        <v>57948.1</v>
      </c>
      <c r="E10" s="8">
        <v>57287.7</v>
      </c>
      <c r="F10" s="8">
        <v>4813.88</v>
      </c>
      <c r="G10" s="8">
        <v>112271.2</v>
      </c>
      <c r="H10" s="8">
        <v>5596.3</v>
      </c>
      <c r="I10" s="8">
        <v>2566.3</v>
      </c>
      <c r="J10" s="8">
        <v>967</v>
      </c>
      <c r="K10" s="8">
        <v>56</v>
      </c>
      <c r="L10" s="8">
        <v>90763</v>
      </c>
      <c r="M10" s="8">
        <v>61476.6</v>
      </c>
      <c r="N10" s="8">
        <v>71985.6</v>
      </c>
      <c r="O10" s="8">
        <v>102558.4</v>
      </c>
      <c r="P10" s="8">
        <v>5421.8</v>
      </c>
      <c r="Q10" s="8">
        <v>7211.3</v>
      </c>
      <c r="R10" s="8">
        <v>4593.9</v>
      </c>
      <c r="S10" s="8">
        <v>5174.2</v>
      </c>
      <c r="T10" s="8">
        <v>6755.2</v>
      </c>
      <c r="U10" s="8">
        <v>17274.9</v>
      </c>
      <c r="V10" s="8">
        <v>50642.8</v>
      </c>
      <c r="W10" s="8">
        <v>51949.1</v>
      </c>
      <c r="X10" s="8">
        <v>2239.6</v>
      </c>
      <c r="Y10" s="8">
        <v>1957.3</v>
      </c>
      <c r="Z10" s="16">
        <f t="shared" si="21"/>
        <v>56146</v>
      </c>
      <c r="AA10" s="8">
        <v>62493</v>
      </c>
      <c r="AB10" s="14">
        <v>3482</v>
      </c>
      <c r="AC10" s="7">
        <f t="shared" si="22"/>
        <v>65975</v>
      </c>
      <c r="AD10" s="17">
        <v>209030</v>
      </c>
      <c r="AE10" s="18">
        <f t="shared" ref="AE10:AI10" si="49">IF(OR(C11=""),"",(C11-C10)*80)</f>
        <v>3671.99999999953</v>
      </c>
      <c r="AF10" s="18">
        <f t="shared" si="49"/>
        <v>2920</v>
      </c>
      <c r="AG10" s="18">
        <f t="shared" si="49"/>
        <v>0</v>
      </c>
      <c r="AH10" s="18">
        <f t="shared" si="49"/>
        <v>4.00000000001455</v>
      </c>
      <c r="AI10" s="18">
        <f t="shared" si="49"/>
        <v>1952.0000000007</v>
      </c>
      <c r="AJ10" s="18">
        <f t="shared" si="3"/>
        <v>8548.00000000025</v>
      </c>
      <c r="AK10" s="18">
        <f t="shared" ref="AK10:AN10" si="50">IF(OR(H11=""),"",(H11-H10)*80)</f>
        <v>0</v>
      </c>
      <c r="AL10" s="18">
        <f t="shared" si="50"/>
        <v>0</v>
      </c>
      <c r="AM10" s="18">
        <f t="shared" si="50"/>
        <v>0</v>
      </c>
      <c r="AN10" s="18">
        <f t="shared" si="50"/>
        <v>0</v>
      </c>
      <c r="AO10" s="18">
        <f t="shared" si="5"/>
        <v>0</v>
      </c>
      <c r="AP10" s="18">
        <f t="shared" ref="AP10:AS10" si="51">IF(OR(L11=""),"",(L11-L10)*100)</f>
        <v>2580.00000000029</v>
      </c>
      <c r="AQ10" s="18">
        <f t="shared" si="51"/>
        <v>0</v>
      </c>
      <c r="AR10" s="18">
        <f t="shared" si="51"/>
        <v>2879.99999999884</v>
      </c>
      <c r="AS10" s="18">
        <f t="shared" si="51"/>
        <v>2600</v>
      </c>
      <c r="AT10" s="18">
        <f t="shared" si="7"/>
        <v>8059.99999999913</v>
      </c>
      <c r="AU10" s="18">
        <f t="shared" ref="AU10:AY10" si="52">IF(OR(P11=""),"",(P11-P10)*1000)</f>
        <v>3699.99999999982</v>
      </c>
      <c r="AV10" s="18">
        <f t="shared" si="52"/>
        <v>3399.99999999964</v>
      </c>
      <c r="AW10" s="18">
        <f t="shared" si="52"/>
        <v>0</v>
      </c>
      <c r="AX10" s="18">
        <f t="shared" si="52"/>
        <v>3300.00000000018</v>
      </c>
      <c r="AY10" s="18">
        <f t="shared" si="52"/>
        <v>0</v>
      </c>
      <c r="AZ10" s="18">
        <f t="shared" si="9"/>
        <v>10399.9999999996</v>
      </c>
      <c r="BA10" s="18">
        <f t="shared" si="10"/>
        <v>9000</v>
      </c>
      <c r="BB10" s="18">
        <f t="shared" si="11"/>
        <v>615.999999999767</v>
      </c>
      <c r="BC10" s="18">
        <f t="shared" si="27"/>
        <v>1280</v>
      </c>
      <c r="BD10" s="18">
        <f t="shared" si="12"/>
        <v>11396.0000000041</v>
      </c>
      <c r="BE10" s="18">
        <f t="shared" si="13"/>
        <v>49300.0000000029</v>
      </c>
      <c r="BF10" s="18">
        <f t="shared" si="14"/>
        <v>58.6000000000058</v>
      </c>
      <c r="BG10" s="21">
        <f t="shared" si="15"/>
        <v>0.235851313208644</v>
      </c>
      <c r="BH10" s="21">
        <f t="shared" si="16"/>
        <v>0.040893651628954</v>
      </c>
      <c r="BI10" s="21">
        <f t="shared" si="17"/>
        <v>0</v>
      </c>
      <c r="BJ10" s="21">
        <f t="shared" si="18"/>
        <v>0.0385590585083439</v>
      </c>
      <c r="BK10" s="21">
        <f t="shared" ref="BK10:BO10" si="53">IF(OR($AD10=0),"",AZ10/$AD10)</f>
        <v>0.0497536238817377</v>
      </c>
      <c r="BL10" s="21">
        <f t="shared" si="53"/>
        <v>0.0430560206668899</v>
      </c>
      <c r="BM10" s="21">
        <f t="shared" si="53"/>
        <v>0.00294694541453268</v>
      </c>
      <c r="BN10" s="21">
        <f t="shared" si="53"/>
        <v>0.00612352293929101</v>
      </c>
      <c r="BO10" s="21">
        <f t="shared" si="53"/>
        <v>0.0545184901688951</v>
      </c>
    </row>
    <row r="11" spans="1:67">
      <c r="A11" s="9">
        <f t="shared" si="20"/>
        <v>44385</v>
      </c>
      <c r="B11" s="10">
        <v>16558.71</v>
      </c>
      <c r="C11" s="8">
        <v>90956.4</v>
      </c>
      <c r="D11" s="8">
        <v>57984.6</v>
      </c>
      <c r="E11" s="8">
        <v>57287.7</v>
      </c>
      <c r="F11" s="8">
        <v>4813.93</v>
      </c>
      <c r="G11" s="8">
        <v>112295.6</v>
      </c>
      <c r="H11" s="8">
        <v>5596.3</v>
      </c>
      <c r="I11" s="8">
        <v>2566.3</v>
      </c>
      <c r="J11" s="8">
        <v>967</v>
      </c>
      <c r="K11" s="8">
        <v>56</v>
      </c>
      <c r="L11" s="8">
        <v>90788.8</v>
      </c>
      <c r="M11" s="8">
        <v>61476.6</v>
      </c>
      <c r="N11" s="8">
        <v>72014.4</v>
      </c>
      <c r="O11" s="8">
        <v>102584.4</v>
      </c>
      <c r="P11" s="8">
        <v>5425.5</v>
      </c>
      <c r="Q11" s="8">
        <v>7214.7</v>
      </c>
      <c r="R11" s="8">
        <v>4593.9</v>
      </c>
      <c r="S11" s="8">
        <v>5177.5</v>
      </c>
      <c r="T11" s="8">
        <v>6755.2</v>
      </c>
      <c r="U11" s="8">
        <v>17279.4</v>
      </c>
      <c r="V11" s="8">
        <v>50650.5</v>
      </c>
      <c r="W11" s="8">
        <v>51965.3</v>
      </c>
      <c r="X11" s="8">
        <v>2247.7</v>
      </c>
      <c r="Y11" s="8">
        <v>1965</v>
      </c>
      <c r="Z11" s="16">
        <f t="shared" si="21"/>
        <v>56178</v>
      </c>
      <c r="AA11" s="8">
        <v>62545.6</v>
      </c>
      <c r="AB11" s="14">
        <v>3488</v>
      </c>
      <c r="AC11" s="7">
        <f t="shared" si="22"/>
        <v>66033.6</v>
      </c>
      <c r="AD11" s="17">
        <v>209392</v>
      </c>
      <c r="AE11" s="18">
        <f t="shared" ref="AE11:AI11" si="54">IF(OR(C12=""),"",(C12-C11)*80)</f>
        <v>3664.00000000023</v>
      </c>
      <c r="AF11" s="18">
        <f t="shared" si="54"/>
        <v>2984.00000000023</v>
      </c>
      <c r="AG11" s="18">
        <f t="shared" si="54"/>
        <v>0</v>
      </c>
      <c r="AH11" s="18">
        <f t="shared" si="54"/>
        <v>48.7999999999738</v>
      </c>
      <c r="AI11" s="18">
        <f t="shared" si="54"/>
        <v>1520</v>
      </c>
      <c r="AJ11" s="18">
        <f t="shared" si="3"/>
        <v>8216.80000000044</v>
      </c>
      <c r="AK11" s="18">
        <f t="shared" ref="AK11:AN11" si="55">IF(OR(H12=""),"",(H12-H11)*80)</f>
        <v>0</v>
      </c>
      <c r="AL11" s="18">
        <f t="shared" si="55"/>
        <v>0</v>
      </c>
      <c r="AM11" s="18">
        <f t="shared" si="55"/>
        <v>0</v>
      </c>
      <c r="AN11" s="18">
        <f t="shared" si="55"/>
        <v>0</v>
      </c>
      <c r="AO11" s="18">
        <f t="shared" si="5"/>
        <v>0</v>
      </c>
      <c r="AP11" s="18">
        <f t="shared" ref="AP11:AS11" si="56">IF(OR(L12=""),"",(L12-L11)*100)</f>
        <v>2489.99999999942</v>
      </c>
      <c r="AQ11" s="18">
        <f t="shared" si="56"/>
        <v>0</v>
      </c>
      <c r="AR11" s="18">
        <f t="shared" si="56"/>
        <v>2850</v>
      </c>
      <c r="AS11" s="18">
        <f t="shared" si="56"/>
        <v>2630.00000000029</v>
      </c>
      <c r="AT11" s="18">
        <f t="shared" si="7"/>
        <v>7969.99999999971</v>
      </c>
      <c r="AU11" s="18">
        <f t="shared" ref="AU11:AY11" si="57">IF(OR(P12=""),"",(P12-P11)*1000)</f>
        <v>3899.99999999964</v>
      </c>
      <c r="AV11" s="18">
        <f t="shared" si="57"/>
        <v>6900.00000000055</v>
      </c>
      <c r="AW11" s="18">
        <f t="shared" si="57"/>
        <v>0</v>
      </c>
      <c r="AX11" s="18">
        <f t="shared" si="57"/>
        <v>0</v>
      </c>
      <c r="AY11" s="18">
        <f t="shared" si="57"/>
        <v>0</v>
      </c>
      <c r="AZ11" s="18">
        <f t="shared" si="9"/>
        <v>10800.0000000002</v>
      </c>
      <c r="BA11" s="18">
        <f t="shared" si="10"/>
        <v>0</v>
      </c>
      <c r="BB11" s="18">
        <f t="shared" si="11"/>
        <v>664.000000000233</v>
      </c>
      <c r="BC11" s="18">
        <f t="shared" si="27"/>
        <v>1296.00000000006</v>
      </c>
      <c r="BD11" s="18">
        <f t="shared" si="12"/>
        <v>18253.200000011</v>
      </c>
      <c r="BE11" s="18">
        <f t="shared" si="13"/>
        <v>47200.0000000116</v>
      </c>
      <c r="BF11" s="18">
        <f t="shared" si="14"/>
        <v>59.5</v>
      </c>
      <c r="BG11" s="21">
        <f t="shared" si="15"/>
        <v>0.225414533506589</v>
      </c>
      <c r="BH11" s="21">
        <f t="shared" si="16"/>
        <v>0.0392412317567072</v>
      </c>
      <c r="BI11" s="21">
        <f t="shared" si="17"/>
        <v>0</v>
      </c>
      <c r="BJ11" s="21">
        <f t="shared" si="18"/>
        <v>0.0380625811874365</v>
      </c>
      <c r="BK11" s="21">
        <f t="shared" ref="BK11:BO11" si="58">IF(OR($AD11=0),"",AZ11/$AD11)</f>
        <v>0.0515779017345466</v>
      </c>
      <c r="BL11" s="21">
        <f t="shared" si="58"/>
        <v>0</v>
      </c>
      <c r="BM11" s="21">
        <f t="shared" si="58"/>
        <v>0.00317108581034726</v>
      </c>
      <c r="BN11" s="21">
        <f t="shared" si="58"/>
        <v>0.00618934820814577</v>
      </c>
      <c r="BO11" s="21">
        <f t="shared" si="58"/>
        <v>0.0871723848094054</v>
      </c>
    </row>
    <row r="12" spans="1:67">
      <c r="A12" s="9">
        <f t="shared" si="20"/>
        <v>44386</v>
      </c>
      <c r="B12" s="10">
        <v>16563.43</v>
      </c>
      <c r="C12" s="8">
        <v>91002.2</v>
      </c>
      <c r="D12" s="8">
        <v>58021.9</v>
      </c>
      <c r="E12" s="8">
        <v>57287.7</v>
      </c>
      <c r="F12" s="8">
        <v>4814.54</v>
      </c>
      <c r="G12" s="8">
        <v>112314.6</v>
      </c>
      <c r="H12" s="8">
        <v>5596.3</v>
      </c>
      <c r="I12" s="8">
        <v>2566.3</v>
      </c>
      <c r="J12" s="8">
        <v>967</v>
      </c>
      <c r="K12" s="8">
        <v>56</v>
      </c>
      <c r="L12" s="8">
        <v>90813.7</v>
      </c>
      <c r="M12" s="8">
        <v>61476.6</v>
      </c>
      <c r="N12" s="8">
        <v>72042.9</v>
      </c>
      <c r="O12" s="8">
        <v>102610.7</v>
      </c>
      <c r="P12" s="8">
        <v>5429.4</v>
      </c>
      <c r="Q12" s="8">
        <v>7221.6</v>
      </c>
      <c r="R12" s="8">
        <v>4593.9</v>
      </c>
      <c r="S12" s="8">
        <v>5177.5</v>
      </c>
      <c r="T12" s="8">
        <v>6755.2</v>
      </c>
      <c r="U12" s="8">
        <v>17279.4</v>
      </c>
      <c r="V12" s="8">
        <v>50658.8</v>
      </c>
      <c r="W12" s="8">
        <v>51981.8</v>
      </c>
      <c r="X12" s="8">
        <v>2255.9</v>
      </c>
      <c r="Y12" s="8">
        <v>1972.7</v>
      </c>
      <c r="Z12" s="16">
        <f t="shared" si="21"/>
        <v>56210.4</v>
      </c>
      <c r="AA12" s="8">
        <v>62598.1</v>
      </c>
      <c r="AB12" s="14">
        <v>3495</v>
      </c>
      <c r="AC12" s="7">
        <f t="shared" si="22"/>
        <v>66093.1</v>
      </c>
      <c r="AD12" s="17">
        <v>205264</v>
      </c>
      <c r="AE12" s="18">
        <f t="shared" ref="AE12:AI12" si="59">IF(OR(C13=""),"",(C13-C12)*80)</f>
        <v>3712.0000000007</v>
      </c>
      <c r="AF12" s="18">
        <f t="shared" si="59"/>
        <v>3032.00000000012</v>
      </c>
      <c r="AG12" s="18">
        <f t="shared" si="59"/>
        <v>0</v>
      </c>
      <c r="AH12" s="18">
        <f t="shared" si="59"/>
        <v>4.80000000003201</v>
      </c>
      <c r="AI12" s="18">
        <f t="shared" si="59"/>
        <v>1775.99999999977</v>
      </c>
      <c r="AJ12" s="18">
        <f t="shared" si="3"/>
        <v>8524.80000000061</v>
      </c>
      <c r="AK12" s="18">
        <f t="shared" ref="AK12:AN12" si="60">IF(OR(H13=""),"",(H13-H12)*80)</f>
        <v>0</v>
      </c>
      <c r="AL12" s="18">
        <f t="shared" si="60"/>
        <v>0</v>
      </c>
      <c r="AM12" s="18">
        <f t="shared" si="60"/>
        <v>0</v>
      </c>
      <c r="AN12" s="18">
        <f t="shared" si="60"/>
        <v>0</v>
      </c>
      <c r="AO12" s="18">
        <f t="shared" si="5"/>
        <v>0</v>
      </c>
      <c r="AP12" s="18">
        <f t="shared" ref="AP12:AS12" si="61">IF(OR(L13=""),"",(L13-L12)*100)</f>
        <v>2430.00000000029</v>
      </c>
      <c r="AQ12" s="18">
        <f t="shared" si="61"/>
        <v>0</v>
      </c>
      <c r="AR12" s="18">
        <f t="shared" si="61"/>
        <v>2910.00000000058</v>
      </c>
      <c r="AS12" s="18">
        <f t="shared" si="61"/>
        <v>2680.00000000029</v>
      </c>
      <c r="AT12" s="18">
        <f t="shared" si="7"/>
        <v>8020.00000000116</v>
      </c>
      <c r="AU12" s="18">
        <f t="shared" ref="AU12:AY12" si="62">IF(OR(P13=""),"",(P13-P12)*1000)</f>
        <v>3800.00000000018</v>
      </c>
      <c r="AV12" s="18">
        <f t="shared" si="62"/>
        <v>7199.99999999982</v>
      </c>
      <c r="AW12" s="18">
        <f t="shared" si="62"/>
        <v>0</v>
      </c>
      <c r="AX12" s="18">
        <f t="shared" si="62"/>
        <v>0</v>
      </c>
      <c r="AY12" s="18">
        <f t="shared" si="62"/>
        <v>0</v>
      </c>
      <c r="AZ12" s="18">
        <f t="shared" si="9"/>
        <v>11000</v>
      </c>
      <c r="BA12" s="18">
        <v>9700</v>
      </c>
      <c r="BB12" s="18">
        <f t="shared" si="11"/>
        <v>695.999999999767</v>
      </c>
      <c r="BC12" s="18">
        <f t="shared" si="27"/>
        <v>1287.99999999988</v>
      </c>
      <c r="BD12" s="18">
        <f t="shared" si="12"/>
        <v>7671.19999998547</v>
      </c>
      <c r="BE12" s="18">
        <f t="shared" si="13"/>
        <v>46899.9999999869</v>
      </c>
      <c r="BF12" s="18">
        <f t="shared" si="14"/>
        <v>56.1999999999971</v>
      </c>
      <c r="BG12" s="21">
        <f t="shared" si="15"/>
        <v>0.228486242107661</v>
      </c>
      <c r="BH12" s="21">
        <f t="shared" si="16"/>
        <v>0.0415309065398736</v>
      </c>
      <c r="BI12" s="21">
        <f t="shared" si="17"/>
        <v>0</v>
      </c>
      <c r="BJ12" s="21">
        <f t="shared" si="18"/>
        <v>0.0390716345779151</v>
      </c>
      <c r="BK12" s="21">
        <f t="shared" ref="BK12:BO12" si="63">IF(OR($AD12=0),"",AZ12/$AD12)</f>
        <v>0.0535895237352872</v>
      </c>
      <c r="BL12" s="21">
        <f t="shared" si="63"/>
        <v>0.0472562163847533</v>
      </c>
      <c r="BM12" s="21">
        <f t="shared" si="63"/>
        <v>0.00339075531997704</v>
      </c>
      <c r="BN12" s="21">
        <f t="shared" si="63"/>
        <v>0.00627484605191307</v>
      </c>
      <c r="BO12" s="21">
        <f t="shared" si="63"/>
        <v>0.0373723594979415</v>
      </c>
    </row>
    <row r="13" spans="1:67">
      <c r="A13" s="9">
        <f t="shared" si="20"/>
        <v>44387</v>
      </c>
      <c r="B13" s="10">
        <v>16568.12</v>
      </c>
      <c r="C13" s="8">
        <v>91048.6</v>
      </c>
      <c r="D13" s="8">
        <v>58059.8</v>
      </c>
      <c r="E13" s="8">
        <v>57287.7</v>
      </c>
      <c r="F13" s="8">
        <v>4814.6</v>
      </c>
      <c r="G13" s="8">
        <v>112336.8</v>
      </c>
      <c r="H13" s="8">
        <v>5596.3</v>
      </c>
      <c r="I13" s="8">
        <v>2566.3</v>
      </c>
      <c r="J13" s="8">
        <v>967</v>
      </c>
      <c r="K13" s="8">
        <v>56</v>
      </c>
      <c r="L13" s="8">
        <v>90838</v>
      </c>
      <c r="M13" s="8">
        <v>61476.6</v>
      </c>
      <c r="N13" s="8">
        <v>72072</v>
      </c>
      <c r="O13" s="8">
        <v>102637.5</v>
      </c>
      <c r="P13" s="8">
        <v>5433.2</v>
      </c>
      <c r="Q13" s="8">
        <v>7228.8</v>
      </c>
      <c r="R13" s="8">
        <v>4593.9</v>
      </c>
      <c r="S13" s="8">
        <v>5177.5</v>
      </c>
      <c r="T13" s="8">
        <v>6755.2</v>
      </c>
      <c r="U13" s="8">
        <v>17289.1</v>
      </c>
      <c r="V13" s="8">
        <v>50667.5</v>
      </c>
      <c r="W13" s="8">
        <v>51998</v>
      </c>
      <c r="X13" s="8">
        <v>2264.1</v>
      </c>
      <c r="Y13" s="8">
        <v>1980.5</v>
      </c>
      <c r="Z13" s="16">
        <f t="shared" si="21"/>
        <v>56242.6</v>
      </c>
      <c r="AA13" s="8">
        <v>62648.3</v>
      </c>
      <c r="AB13" s="14">
        <v>3501</v>
      </c>
      <c r="AC13" s="7">
        <f t="shared" si="22"/>
        <v>66149.3</v>
      </c>
      <c r="AD13" s="17">
        <v>213509</v>
      </c>
      <c r="AE13" s="18">
        <f t="shared" ref="AE13:AI13" si="64">IF(OR(C14=""),"",(C14-C13)*80)</f>
        <v>3783.99999999907</v>
      </c>
      <c r="AF13" s="18">
        <f t="shared" si="64"/>
        <v>3063.99999999965</v>
      </c>
      <c r="AG13" s="18">
        <f t="shared" si="64"/>
        <v>0</v>
      </c>
      <c r="AH13" s="18">
        <f t="shared" si="64"/>
        <v>4.79999999995925</v>
      </c>
      <c r="AI13" s="18">
        <f t="shared" si="64"/>
        <v>2151.99999999953</v>
      </c>
      <c r="AJ13" s="18">
        <f t="shared" si="3"/>
        <v>9004.79999999821</v>
      </c>
      <c r="AK13" s="18">
        <f t="shared" ref="AK13:AN13" si="65">IF(OR(H14=""),"",(H14-H13)*80)</f>
        <v>0</v>
      </c>
      <c r="AL13" s="18">
        <f t="shared" si="65"/>
        <v>0</v>
      </c>
      <c r="AM13" s="18">
        <f t="shared" si="65"/>
        <v>0</v>
      </c>
      <c r="AN13" s="18">
        <f t="shared" si="65"/>
        <v>0</v>
      </c>
      <c r="AO13" s="18">
        <f t="shared" si="5"/>
        <v>0</v>
      </c>
      <c r="AP13" s="18">
        <f t="shared" ref="AP13:AS13" si="66">IF(OR(L14=""),"",(L14-L13)*100)</f>
        <v>2660.00000000058</v>
      </c>
      <c r="AQ13" s="18">
        <f t="shared" si="66"/>
        <v>0</v>
      </c>
      <c r="AR13" s="18">
        <f t="shared" si="66"/>
        <v>2869.99999999971</v>
      </c>
      <c r="AS13" s="18">
        <f t="shared" si="66"/>
        <v>2580.00000000029</v>
      </c>
      <c r="AT13" s="18">
        <f t="shared" si="7"/>
        <v>8110.00000000058</v>
      </c>
      <c r="AU13" s="18">
        <f t="shared" ref="AU13:AY13" si="67">IF(OR(P14=""),"",(P14-P13)*1000)</f>
        <v>4199.99999999982</v>
      </c>
      <c r="AV13" s="18">
        <f t="shared" si="67"/>
        <v>7899.99999999964</v>
      </c>
      <c r="AW13" s="18">
        <f t="shared" si="67"/>
        <v>0</v>
      </c>
      <c r="AX13" s="18">
        <f t="shared" si="67"/>
        <v>0</v>
      </c>
      <c r="AY13" s="18">
        <f t="shared" si="67"/>
        <v>0</v>
      </c>
      <c r="AZ13" s="18">
        <f t="shared" si="9"/>
        <v>12099.9999999995</v>
      </c>
      <c r="BA13" s="18">
        <f t="shared" si="10"/>
        <v>10200.0000000044</v>
      </c>
      <c r="BB13" s="18">
        <f t="shared" si="11"/>
        <v>1095.99999999977</v>
      </c>
      <c r="BC13" s="18">
        <f t="shared" si="27"/>
        <v>1316.00000000006</v>
      </c>
      <c r="BD13" s="18">
        <f t="shared" si="12"/>
        <v>7573.20000002084</v>
      </c>
      <c r="BE13" s="18">
        <f t="shared" si="13"/>
        <v>49400.0000000233</v>
      </c>
      <c r="BF13" s="18">
        <f t="shared" si="14"/>
        <v>59.1999999999971</v>
      </c>
      <c r="BG13" s="21">
        <f t="shared" si="15"/>
        <v>0.231371979635628</v>
      </c>
      <c r="BH13" s="21">
        <f t="shared" si="16"/>
        <v>0.0421752713000305</v>
      </c>
      <c r="BI13" s="21">
        <f t="shared" si="17"/>
        <v>0</v>
      </c>
      <c r="BJ13" s="21">
        <f t="shared" si="18"/>
        <v>0.0379843472640525</v>
      </c>
      <c r="BK13" s="21">
        <f t="shared" ref="BK13:BO13" si="68">IF(OR($AD13=0),"",AZ13/$AD13)</f>
        <v>0.0566720840807622</v>
      </c>
      <c r="BL13" s="21">
        <f t="shared" si="68"/>
        <v>0.0477731617871114</v>
      </c>
      <c r="BM13" s="21">
        <f t="shared" si="68"/>
        <v>0.00513327307045496</v>
      </c>
      <c r="BN13" s="21">
        <f t="shared" si="68"/>
        <v>0.0061636745991975</v>
      </c>
      <c r="BO13" s="21">
        <f t="shared" si="68"/>
        <v>0.0354701675340189</v>
      </c>
    </row>
    <row r="14" spans="1:67">
      <c r="A14" s="9">
        <f t="shared" si="20"/>
        <v>44388</v>
      </c>
      <c r="B14" s="10">
        <v>16573.06</v>
      </c>
      <c r="C14" s="8">
        <v>91095.9</v>
      </c>
      <c r="D14" s="8">
        <v>58098.1</v>
      </c>
      <c r="E14" s="8">
        <v>57287.7</v>
      </c>
      <c r="F14" s="8">
        <v>4814.66</v>
      </c>
      <c r="G14" s="8">
        <v>112363.7</v>
      </c>
      <c r="H14" s="8">
        <v>5596.3</v>
      </c>
      <c r="I14" s="8">
        <v>2566.3</v>
      </c>
      <c r="J14" s="8">
        <v>967</v>
      </c>
      <c r="K14" s="8">
        <v>56</v>
      </c>
      <c r="L14" s="8">
        <v>90864.6</v>
      </c>
      <c r="M14" s="8">
        <v>61476.6</v>
      </c>
      <c r="N14" s="8">
        <v>72100.7</v>
      </c>
      <c r="O14" s="8">
        <v>102663.3</v>
      </c>
      <c r="P14" s="8">
        <v>5437.4</v>
      </c>
      <c r="Q14" s="8">
        <v>7236.7</v>
      </c>
      <c r="R14" s="8">
        <v>4593.9</v>
      </c>
      <c r="S14" s="8">
        <v>5177.5</v>
      </c>
      <c r="T14" s="8">
        <v>6755.2</v>
      </c>
      <c r="U14" s="8">
        <v>17294.2</v>
      </c>
      <c r="V14" s="8">
        <v>50681.2</v>
      </c>
      <c r="W14" s="8">
        <v>52014.6</v>
      </c>
      <c r="X14" s="8">
        <v>2272.5</v>
      </c>
      <c r="Y14" s="8">
        <v>1988.4</v>
      </c>
      <c r="Z14" s="16">
        <f t="shared" si="21"/>
        <v>56275.5</v>
      </c>
      <c r="AA14" s="8">
        <v>62700.5</v>
      </c>
      <c r="AB14" s="14">
        <v>3508</v>
      </c>
      <c r="AC14" s="7">
        <f t="shared" si="22"/>
        <v>66208.5</v>
      </c>
      <c r="AD14" s="17">
        <v>210514</v>
      </c>
      <c r="AE14" s="18">
        <f t="shared" ref="AE14:AI14" si="69">IF(OR(C15=""),"",(C15-C14)*80)</f>
        <v>3624.00000000023</v>
      </c>
      <c r="AF14" s="18">
        <f t="shared" si="69"/>
        <v>2960</v>
      </c>
      <c r="AG14" s="18">
        <f t="shared" si="69"/>
        <v>0</v>
      </c>
      <c r="AH14" s="18">
        <f t="shared" si="69"/>
        <v>4.00000000001455</v>
      </c>
      <c r="AI14" s="18">
        <f t="shared" si="69"/>
        <v>2032.0000000007</v>
      </c>
      <c r="AJ14" s="18">
        <f t="shared" si="3"/>
        <v>8620.00000000095</v>
      </c>
      <c r="AK14" s="18">
        <f t="shared" ref="AK14:AN14" si="70">IF(OR(H15=""),"",(H15-H14)*80)</f>
        <v>0</v>
      </c>
      <c r="AL14" s="18">
        <f t="shared" si="70"/>
        <v>0</v>
      </c>
      <c r="AM14" s="18">
        <f t="shared" si="70"/>
        <v>0</v>
      </c>
      <c r="AN14" s="18">
        <f t="shared" si="70"/>
        <v>0</v>
      </c>
      <c r="AO14" s="18">
        <f t="shared" si="5"/>
        <v>0</v>
      </c>
      <c r="AP14" s="18">
        <f t="shared" ref="AP14:AS14" si="71">IF(OR(L15=""),"",(L15-L14)*100)</f>
        <v>2659.99999999913</v>
      </c>
      <c r="AQ14" s="18">
        <f t="shared" si="71"/>
        <v>0</v>
      </c>
      <c r="AR14" s="18">
        <f t="shared" si="71"/>
        <v>2840.00000000087</v>
      </c>
      <c r="AS14" s="18">
        <f t="shared" si="71"/>
        <v>2589.99999999942</v>
      </c>
      <c r="AT14" s="18">
        <f t="shared" si="7"/>
        <v>8089.99999999942</v>
      </c>
      <c r="AU14" s="18">
        <f t="shared" ref="AU14:AY14" si="72">IF(OR(P15=""),"",(P15-P14)*1000)</f>
        <v>3800.00000000018</v>
      </c>
      <c r="AV14" s="18">
        <f t="shared" si="72"/>
        <v>900.000000000546</v>
      </c>
      <c r="AW14" s="18">
        <f t="shared" si="72"/>
        <v>4000</v>
      </c>
      <c r="AX14" s="18">
        <f t="shared" si="72"/>
        <v>0</v>
      </c>
      <c r="AY14" s="18">
        <f t="shared" si="72"/>
        <v>0</v>
      </c>
      <c r="AZ14" s="18">
        <f t="shared" si="9"/>
        <v>8700.00000000073</v>
      </c>
      <c r="BA14" s="18">
        <f t="shared" si="10"/>
        <v>11199.9999999971</v>
      </c>
      <c r="BB14" s="18">
        <f t="shared" si="11"/>
        <v>1152.00000000012</v>
      </c>
      <c r="BC14" s="18">
        <f t="shared" si="27"/>
        <v>1263.99999999994</v>
      </c>
      <c r="BD14" s="18">
        <f t="shared" si="12"/>
        <v>12574.0000000003</v>
      </c>
      <c r="BE14" s="18">
        <f t="shared" si="13"/>
        <v>51599.9999999985</v>
      </c>
      <c r="BF14" s="18">
        <f t="shared" si="14"/>
        <v>57.1000000000058</v>
      </c>
      <c r="BG14" s="21">
        <f t="shared" si="15"/>
        <v>0.245114339188836</v>
      </c>
      <c r="BH14" s="21">
        <f t="shared" si="16"/>
        <v>0.0409473954226367</v>
      </c>
      <c r="BI14" s="21">
        <f t="shared" si="17"/>
        <v>0</v>
      </c>
      <c r="BJ14" s="21">
        <f t="shared" si="18"/>
        <v>0.0384297481402634</v>
      </c>
      <c r="BK14" s="21">
        <f t="shared" ref="BK14:BO14" si="73">IF(OR($AD14=0),"",AZ14/$AD14)</f>
        <v>0.0413274176539362</v>
      </c>
      <c r="BL14" s="21">
        <f t="shared" si="73"/>
        <v>0.0532031123820605</v>
      </c>
      <c r="BM14" s="21">
        <f t="shared" si="73"/>
        <v>0.0054723201307282</v>
      </c>
      <c r="BN14" s="21">
        <f t="shared" si="73"/>
        <v>0.00600435125454812</v>
      </c>
      <c r="BO14" s="21">
        <f t="shared" si="73"/>
        <v>0.0597299942046624</v>
      </c>
    </row>
    <row r="15" spans="1:67">
      <c r="A15" s="9">
        <f t="shared" si="20"/>
        <v>44389</v>
      </c>
      <c r="B15" s="10">
        <v>16578.22</v>
      </c>
      <c r="C15" s="8">
        <v>91141.2</v>
      </c>
      <c r="D15" s="8">
        <v>58135.1</v>
      </c>
      <c r="E15" s="8">
        <v>57287.7</v>
      </c>
      <c r="F15" s="8">
        <v>4814.71</v>
      </c>
      <c r="G15" s="8">
        <v>112389.1</v>
      </c>
      <c r="H15" s="8">
        <v>5596.3</v>
      </c>
      <c r="I15" s="8">
        <v>2566.3</v>
      </c>
      <c r="J15" s="8">
        <v>967</v>
      </c>
      <c r="K15" s="8">
        <v>56</v>
      </c>
      <c r="L15" s="8">
        <v>90891.2</v>
      </c>
      <c r="M15" s="8">
        <v>61476.6</v>
      </c>
      <c r="N15" s="8">
        <v>72129.1</v>
      </c>
      <c r="O15" s="8">
        <v>102689.2</v>
      </c>
      <c r="P15" s="8">
        <v>5441.2</v>
      </c>
      <c r="Q15" s="8">
        <v>7237.6</v>
      </c>
      <c r="R15" s="8">
        <v>4597.9</v>
      </c>
      <c r="S15" s="8">
        <v>5177.5</v>
      </c>
      <c r="T15" s="8">
        <v>6755.2</v>
      </c>
      <c r="U15" s="8">
        <v>17299.8</v>
      </c>
      <c r="V15" s="8">
        <v>50695.6</v>
      </c>
      <c r="W15" s="8">
        <v>52030.6</v>
      </c>
      <c r="X15" s="8">
        <v>2280.4</v>
      </c>
      <c r="Y15" s="8">
        <v>1996.1</v>
      </c>
      <c r="Z15" s="16">
        <f t="shared" si="21"/>
        <v>56307.1</v>
      </c>
      <c r="AA15" s="8">
        <v>62750.6</v>
      </c>
      <c r="AB15" s="14">
        <v>3515</v>
      </c>
      <c r="AC15" s="7">
        <f t="shared" si="22"/>
        <v>66265.6</v>
      </c>
      <c r="AD15" s="17">
        <v>211100</v>
      </c>
      <c r="AE15" s="18">
        <f t="shared" ref="AE15:AI15" si="74">IF(OR(C16=""),"",(C16-C15)*80)</f>
        <v>3744.00000000023</v>
      </c>
      <c r="AF15" s="18">
        <f t="shared" si="74"/>
        <v>3064.00000000023</v>
      </c>
      <c r="AG15" s="18">
        <f t="shared" si="74"/>
        <v>0</v>
      </c>
      <c r="AH15" s="18">
        <f t="shared" si="74"/>
        <v>4.80000000003201</v>
      </c>
      <c r="AI15" s="18">
        <f t="shared" si="74"/>
        <v>1983.99999999907</v>
      </c>
      <c r="AJ15" s="18">
        <f t="shared" si="3"/>
        <v>8796.79999999957</v>
      </c>
      <c r="AK15" s="18">
        <f t="shared" ref="AK15:AN15" si="75">IF(OR(H16=""),"",(H16-H15)*80)</f>
        <v>0</v>
      </c>
      <c r="AL15" s="18">
        <f t="shared" si="75"/>
        <v>0</v>
      </c>
      <c r="AM15" s="18">
        <f t="shared" si="75"/>
        <v>0</v>
      </c>
      <c r="AN15" s="18">
        <f t="shared" si="75"/>
        <v>0</v>
      </c>
      <c r="AO15" s="18">
        <f t="shared" si="5"/>
        <v>0</v>
      </c>
      <c r="AP15" s="18">
        <f t="shared" ref="AP15:AS15" si="76">IF(OR(L16=""),"",(L16-L15)*100)</f>
        <v>2650</v>
      </c>
      <c r="AQ15" s="18">
        <f t="shared" si="76"/>
        <v>0</v>
      </c>
      <c r="AR15" s="18">
        <f t="shared" si="76"/>
        <v>2859.99999999913</v>
      </c>
      <c r="AS15" s="18">
        <f t="shared" si="76"/>
        <v>2600</v>
      </c>
      <c r="AT15" s="18">
        <f t="shared" si="7"/>
        <v>8109.99999999913</v>
      </c>
      <c r="AU15" s="18">
        <f t="shared" ref="AU15:AY15" si="77">IF(OR(P16=""),"",(P16-P15)*1000)</f>
        <v>3600.00000000036</v>
      </c>
      <c r="AV15" s="18">
        <f t="shared" si="77"/>
        <v>0</v>
      </c>
      <c r="AW15" s="18">
        <f t="shared" si="77"/>
        <v>5000</v>
      </c>
      <c r="AX15" s="18">
        <f t="shared" si="77"/>
        <v>0</v>
      </c>
      <c r="AY15" s="18">
        <f t="shared" si="77"/>
        <v>0</v>
      </c>
      <c r="AZ15" s="18">
        <f t="shared" si="9"/>
        <v>8600.00000000036</v>
      </c>
      <c r="BA15" s="18">
        <f t="shared" si="10"/>
        <v>8800.00000000291</v>
      </c>
      <c r="BB15" s="18">
        <f t="shared" si="11"/>
        <v>1152.00000000012</v>
      </c>
      <c r="BC15" s="18">
        <f t="shared" si="27"/>
        <v>1296.00000000006</v>
      </c>
      <c r="BD15" s="18">
        <f t="shared" si="12"/>
        <v>15445.1999999731</v>
      </c>
      <c r="BE15" s="18">
        <f t="shared" si="13"/>
        <v>52199.9999999753</v>
      </c>
      <c r="BF15" s="18">
        <f t="shared" si="14"/>
        <v>56.3999999999942</v>
      </c>
      <c r="BG15" s="21">
        <f t="shared" si="15"/>
        <v>0.247276172430011</v>
      </c>
      <c r="BH15" s="21">
        <f t="shared" si="16"/>
        <v>0.0416712458550429</v>
      </c>
      <c r="BI15" s="21">
        <f t="shared" si="17"/>
        <v>0</v>
      </c>
      <c r="BJ15" s="21">
        <f t="shared" si="18"/>
        <v>0.0384178114637571</v>
      </c>
      <c r="BK15" s="21">
        <f t="shared" ref="BK15:BO15" si="78">IF(OR($AD15=0),"",AZ15/$AD15)</f>
        <v>0.0407389862624366</v>
      </c>
      <c r="BL15" s="21">
        <f t="shared" si="78"/>
        <v>0.0416864045476216</v>
      </c>
      <c r="BM15" s="21">
        <f t="shared" si="78"/>
        <v>0.00545712932259648</v>
      </c>
      <c r="BN15" s="21">
        <f t="shared" si="78"/>
        <v>0.00613927048792069</v>
      </c>
      <c r="BO15" s="21">
        <f t="shared" si="78"/>
        <v>0.0731653244906353</v>
      </c>
    </row>
    <row r="16" spans="1:67">
      <c r="A16" s="9">
        <f t="shared" si="20"/>
        <v>44390</v>
      </c>
      <c r="B16" s="10">
        <v>16583.44</v>
      </c>
      <c r="C16" s="8">
        <v>91188</v>
      </c>
      <c r="D16" s="8">
        <v>58173.4</v>
      </c>
      <c r="E16" s="8">
        <v>57287.7</v>
      </c>
      <c r="F16" s="8">
        <v>4814.77</v>
      </c>
      <c r="G16" s="8">
        <v>112413.9</v>
      </c>
      <c r="H16" s="8">
        <v>5596.3</v>
      </c>
      <c r="I16" s="8">
        <v>2566.3</v>
      </c>
      <c r="J16" s="8">
        <v>967</v>
      </c>
      <c r="K16" s="8">
        <v>56</v>
      </c>
      <c r="L16" s="8">
        <v>90917.7</v>
      </c>
      <c r="M16" s="8">
        <v>61476.6</v>
      </c>
      <c r="N16" s="8">
        <v>72157.7</v>
      </c>
      <c r="O16" s="8">
        <v>102715.2</v>
      </c>
      <c r="P16" s="8">
        <v>5444.8</v>
      </c>
      <c r="Q16" s="8">
        <v>7237.6</v>
      </c>
      <c r="R16" s="8">
        <v>4602.9</v>
      </c>
      <c r="S16" s="8">
        <v>5177.5</v>
      </c>
      <c r="T16" s="8">
        <v>6755.2</v>
      </c>
      <c r="U16" s="8">
        <v>17304.2</v>
      </c>
      <c r="V16" s="8">
        <v>50710</v>
      </c>
      <c r="W16" s="8">
        <v>52046.8</v>
      </c>
      <c r="X16" s="8">
        <v>2288.6</v>
      </c>
      <c r="Y16" s="8">
        <v>2004.1</v>
      </c>
      <c r="Z16" s="16">
        <f t="shared" si="21"/>
        <v>56339.5</v>
      </c>
      <c r="AA16" s="8">
        <v>62801</v>
      </c>
      <c r="AB16" s="14">
        <v>3521</v>
      </c>
      <c r="AC16" s="7">
        <f t="shared" si="22"/>
        <v>66322</v>
      </c>
      <c r="AD16" s="17">
        <v>209306</v>
      </c>
      <c r="AE16" s="18">
        <f t="shared" ref="AE16:AI16" si="79">IF(OR(C17=""),"",(C17-C16)*80)</f>
        <v>3711.99999999953</v>
      </c>
      <c r="AF16" s="18">
        <f t="shared" si="79"/>
        <v>3023.99999999965</v>
      </c>
      <c r="AG16" s="18">
        <f t="shared" si="79"/>
        <v>0</v>
      </c>
      <c r="AH16" s="18">
        <f t="shared" si="79"/>
        <v>3.99999999994179</v>
      </c>
      <c r="AI16" s="18">
        <f t="shared" si="79"/>
        <v>1976.00000000093</v>
      </c>
      <c r="AJ16" s="18">
        <f t="shared" si="3"/>
        <v>8716.00000000006</v>
      </c>
      <c r="AK16" s="18">
        <f t="shared" ref="AK16:AN16" si="80">IF(OR(H17=""),"",(H17-H16)*80)</f>
        <v>0</v>
      </c>
      <c r="AL16" s="18">
        <f t="shared" si="80"/>
        <v>0</v>
      </c>
      <c r="AM16" s="18">
        <f t="shared" si="80"/>
        <v>0</v>
      </c>
      <c r="AN16" s="18">
        <f t="shared" si="80"/>
        <v>0</v>
      </c>
      <c r="AO16" s="18">
        <f t="shared" si="5"/>
        <v>0</v>
      </c>
      <c r="AP16" s="18">
        <f t="shared" ref="AP16:AS16" si="81">IF(OR(L17=""),"",(L17-L16)*100)</f>
        <v>2490.00000000087</v>
      </c>
      <c r="AQ16" s="18">
        <f t="shared" si="81"/>
        <v>0</v>
      </c>
      <c r="AR16" s="18">
        <f t="shared" si="81"/>
        <v>3080.00000000029</v>
      </c>
      <c r="AS16" s="18">
        <f t="shared" si="81"/>
        <v>2630.00000000029</v>
      </c>
      <c r="AT16" s="18">
        <f t="shared" si="7"/>
        <v>8200.00000000146</v>
      </c>
      <c r="AU16" s="18">
        <f t="shared" ref="AU16:AY16" si="82">IF(OR(P17=""),"",(P17-P16)*1000)</f>
        <v>4000</v>
      </c>
      <c r="AV16" s="18">
        <f t="shared" si="82"/>
        <v>0</v>
      </c>
      <c r="AW16" s="18">
        <f t="shared" si="82"/>
        <v>4000</v>
      </c>
      <c r="AX16" s="18">
        <f t="shared" si="82"/>
        <v>0</v>
      </c>
      <c r="AY16" s="18">
        <f t="shared" si="82"/>
        <v>0</v>
      </c>
      <c r="AZ16" s="18">
        <f t="shared" si="9"/>
        <v>8000</v>
      </c>
      <c r="BA16" s="18">
        <f t="shared" si="10"/>
        <v>9599.99999999854</v>
      </c>
      <c r="BB16" s="18">
        <f t="shared" si="11"/>
        <v>824.000000000233</v>
      </c>
      <c r="BC16" s="18">
        <f t="shared" si="27"/>
        <v>1267.99999999988</v>
      </c>
      <c r="BD16" s="18">
        <f t="shared" si="12"/>
        <v>14392.0000000217</v>
      </c>
      <c r="BE16" s="18">
        <f t="shared" si="13"/>
        <v>51000.0000000218</v>
      </c>
      <c r="BF16" s="18">
        <f t="shared" si="14"/>
        <v>67.8000000000029</v>
      </c>
      <c r="BG16" s="21">
        <f t="shared" si="15"/>
        <v>0.243662389038163</v>
      </c>
      <c r="BH16" s="21">
        <f t="shared" si="16"/>
        <v>0.0416423800559948</v>
      </c>
      <c r="BI16" s="21">
        <f t="shared" si="17"/>
        <v>0</v>
      </c>
      <c r="BJ16" s="21">
        <f t="shared" si="18"/>
        <v>0.0391770900022047</v>
      </c>
      <c r="BK16" s="21">
        <f t="shared" ref="BK16:BO16" si="83">IF(OR($AD16=0),"",AZ16/$AD16)</f>
        <v>0.0382215512216563</v>
      </c>
      <c r="BL16" s="21">
        <f t="shared" si="83"/>
        <v>0.0458658614659806</v>
      </c>
      <c r="BM16" s="21">
        <f t="shared" si="83"/>
        <v>0.00393681977583171</v>
      </c>
      <c r="BN16" s="21">
        <f t="shared" si="83"/>
        <v>0.00605811586863197</v>
      </c>
      <c r="BO16" s="21">
        <f t="shared" si="83"/>
        <v>0.0687605706478632</v>
      </c>
    </row>
    <row r="17" spans="1:67">
      <c r="A17" s="9">
        <f t="shared" si="20"/>
        <v>44391</v>
      </c>
      <c r="B17" s="10">
        <v>16588.54</v>
      </c>
      <c r="C17" s="8">
        <v>91234.4</v>
      </c>
      <c r="D17" s="8">
        <v>58211.2</v>
      </c>
      <c r="E17" s="8">
        <v>57287.7</v>
      </c>
      <c r="F17" s="8">
        <v>4814.82</v>
      </c>
      <c r="G17" s="8">
        <v>112438.6</v>
      </c>
      <c r="H17" s="8">
        <v>5596.3</v>
      </c>
      <c r="I17" s="8">
        <v>2566.3</v>
      </c>
      <c r="J17" s="8">
        <v>967</v>
      </c>
      <c r="K17" s="8">
        <v>56</v>
      </c>
      <c r="L17" s="8">
        <v>90942.6</v>
      </c>
      <c r="M17" s="8">
        <v>61476.6</v>
      </c>
      <c r="N17" s="8">
        <v>72188.5</v>
      </c>
      <c r="O17" s="8">
        <v>102741.5</v>
      </c>
      <c r="P17" s="8">
        <v>5448.8</v>
      </c>
      <c r="Q17" s="8">
        <v>7237.6</v>
      </c>
      <c r="R17" s="8">
        <v>4606.9</v>
      </c>
      <c r="S17" s="8">
        <v>5177.5</v>
      </c>
      <c r="T17" s="8">
        <v>6755.2</v>
      </c>
      <c r="U17" s="8">
        <v>17309</v>
      </c>
      <c r="V17" s="8">
        <v>50720.3</v>
      </c>
      <c r="W17" s="8">
        <v>52062.9</v>
      </c>
      <c r="X17" s="8">
        <v>2296.6</v>
      </c>
      <c r="Y17" s="8">
        <v>2011.7</v>
      </c>
      <c r="Z17" s="16">
        <f t="shared" si="21"/>
        <v>56371.2</v>
      </c>
      <c r="AA17" s="8">
        <v>62851.8</v>
      </c>
      <c r="AB17" s="14">
        <v>3538</v>
      </c>
      <c r="AC17" s="7">
        <f t="shared" si="22"/>
        <v>66389.8</v>
      </c>
      <c r="AD17" s="17">
        <v>206936</v>
      </c>
      <c r="AE17" s="18">
        <f t="shared" ref="AE17:AI17" si="84">IF(OR(C18=""),"",(C18-C17)*80)</f>
        <v>3720</v>
      </c>
      <c r="AF17" s="18">
        <f t="shared" si="84"/>
        <v>3040</v>
      </c>
      <c r="AG17" s="18">
        <f t="shared" si="84"/>
        <v>0</v>
      </c>
      <c r="AH17" s="18">
        <f t="shared" si="84"/>
        <v>4.80000000003201</v>
      </c>
      <c r="AI17" s="18">
        <f t="shared" si="84"/>
        <v>2055.99999999977</v>
      </c>
      <c r="AJ17" s="18">
        <f t="shared" si="3"/>
        <v>8820.7999999998</v>
      </c>
      <c r="AK17" s="18">
        <f t="shared" ref="AK17:AN17" si="85">IF(OR(H18=""),"",(H18-H17)*80)</f>
        <v>0</v>
      </c>
      <c r="AL17" s="18">
        <f t="shared" si="85"/>
        <v>0</v>
      </c>
      <c r="AM17" s="18">
        <f t="shared" si="85"/>
        <v>0</v>
      </c>
      <c r="AN17" s="18">
        <f t="shared" si="85"/>
        <v>0</v>
      </c>
      <c r="AO17" s="18">
        <f t="shared" si="5"/>
        <v>0</v>
      </c>
      <c r="AP17" s="18">
        <f t="shared" ref="AP17:AS17" si="86">IF(OR(L18=""),"",(L18-L17)*100)</f>
        <v>2529.99999999884</v>
      </c>
      <c r="AQ17" s="18">
        <f t="shared" si="86"/>
        <v>0</v>
      </c>
      <c r="AR17" s="18">
        <f t="shared" si="86"/>
        <v>2689.99999999942</v>
      </c>
      <c r="AS17" s="18">
        <f t="shared" si="86"/>
        <v>2589.99999999942</v>
      </c>
      <c r="AT17" s="18">
        <f t="shared" si="7"/>
        <v>7809.99999999767</v>
      </c>
      <c r="AU17" s="18">
        <f t="shared" ref="AU17:AY17" si="87">IF(OR(P18=""),"",(P18-P17)*1000)</f>
        <v>3599.99999999945</v>
      </c>
      <c r="AV17" s="18">
        <f t="shared" si="87"/>
        <v>0</v>
      </c>
      <c r="AW17" s="18">
        <f t="shared" si="87"/>
        <v>4500</v>
      </c>
      <c r="AX17" s="18">
        <f t="shared" si="87"/>
        <v>0</v>
      </c>
      <c r="AY17" s="18">
        <f t="shared" si="87"/>
        <v>0</v>
      </c>
      <c r="AZ17" s="18">
        <f t="shared" si="9"/>
        <v>8099.99999999945</v>
      </c>
      <c r="BA17" s="18">
        <f t="shared" si="10"/>
        <v>10000</v>
      </c>
      <c r="BB17" s="18">
        <f t="shared" si="11"/>
        <v>615.999999999767</v>
      </c>
      <c r="BC17" s="18">
        <f t="shared" si="27"/>
        <v>1287.99999999988</v>
      </c>
      <c r="BD17" s="18">
        <f t="shared" si="12"/>
        <v>14665.1999999772</v>
      </c>
      <c r="BE17" s="18">
        <f t="shared" si="13"/>
        <v>51299.9999999738</v>
      </c>
      <c r="BF17" s="18">
        <f t="shared" si="14"/>
        <v>54.6999999999971</v>
      </c>
      <c r="BG17" s="21">
        <f t="shared" si="15"/>
        <v>0.247902733212074</v>
      </c>
      <c r="BH17" s="21">
        <f t="shared" si="16"/>
        <v>0.0426257393590279</v>
      </c>
      <c r="BI17" s="21">
        <f t="shared" si="17"/>
        <v>0</v>
      </c>
      <c r="BJ17" s="21">
        <f t="shared" si="18"/>
        <v>0.0377411373564661</v>
      </c>
      <c r="BK17" s="21">
        <f t="shared" ref="BK17:BO17" si="88">IF(OR($AD17=0),"",AZ17/$AD17)</f>
        <v>0.0391425368229764</v>
      </c>
      <c r="BL17" s="21">
        <f t="shared" si="88"/>
        <v>0.0483241195345421</v>
      </c>
      <c r="BM17" s="21">
        <f t="shared" si="88"/>
        <v>0.00297676576332667</v>
      </c>
      <c r="BN17" s="21">
        <f t="shared" si="88"/>
        <v>0.00622414659604846</v>
      </c>
      <c r="BO17" s="21">
        <f t="shared" si="88"/>
        <v>0.0708682877796866</v>
      </c>
    </row>
    <row r="18" spans="1:67">
      <c r="A18" s="9">
        <f t="shared" si="20"/>
        <v>44392</v>
      </c>
      <c r="B18" s="10">
        <v>16593.67</v>
      </c>
      <c r="C18" s="8">
        <v>91280.9</v>
      </c>
      <c r="D18" s="8">
        <v>58249.2</v>
      </c>
      <c r="E18" s="8">
        <v>57287.7</v>
      </c>
      <c r="F18" s="8">
        <v>4814.88</v>
      </c>
      <c r="G18" s="8">
        <v>112464.3</v>
      </c>
      <c r="H18" s="8">
        <v>5596.3</v>
      </c>
      <c r="I18" s="8">
        <v>2566.3</v>
      </c>
      <c r="J18" s="8">
        <v>967</v>
      </c>
      <c r="K18" s="8">
        <v>56</v>
      </c>
      <c r="L18" s="8">
        <v>90967.9</v>
      </c>
      <c r="M18" s="8">
        <v>61476.6</v>
      </c>
      <c r="N18" s="8">
        <v>72215.4</v>
      </c>
      <c r="O18" s="8">
        <v>102767.4</v>
      </c>
      <c r="P18" s="8">
        <v>5452.4</v>
      </c>
      <c r="Q18" s="8">
        <v>7237.6</v>
      </c>
      <c r="R18" s="8">
        <v>4611.4</v>
      </c>
      <c r="S18" s="8">
        <v>5177.5</v>
      </c>
      <c r="T18" s="8">
        <v>6755.2</v>
      </c>
      <c r="U18" s="8">
        <v>17314</v>
      </c>
      <c r="V18" s="8">
        <v>50728</v>
      </c>
      <c r="W18" s="8">
        <v>52079</v>
      </c>
      <c r="X18" s="8">
        <v>2304.7</v>
      </c>
      <c r="Y18" s="8">
        <v>2019.7</v>
      </c>
      <c r="Z18" s="16">
        <f t="shared" si="21"/>
        <v>56403.4</v>
      </c>
      <c r="AA18" s="8">
        <v>62898.5</v>
      </c>
      <c r="AB18" s="14">
        <v>3546</v>
      </c>
      <c r="AC18" s="7">
        <f t="shared" si="22"/>
        <v>66444.5</v>
      </c>
      <c r="AD18" s="17">
        <v>211202</v>
      </c>
      <c r="AE18" s="18">
        <f t="shared" ref="AE18:AI18" si="89">IF(OR(C19=""),"",(C19-C18)*80)</f>
        <v>3616.00000000093</v>
      </c>
      <c r="AF18" s="18">
        <f t="shared" si="89"/>
        <v>2984.00000000023</v>
      </c>
      <c r="AG18" s="18">
        <f t="shared" si="89"/>
        <v>8.00000000046566</v>
      </c>
      <c r="AH18" s="18">
        <f t="shared" si="89"/>
        <v>4.00000000001455</v>
      </c>
      <c r="AI18" s="18">
        <f t="shared" si="89"/>
        <v>2080</v>
      </c>
      <c r="AJ18" s="18">
        <f t="shared" si="3"/>
        <v>8692.00000000164</v>
      </c>
      <c r="AK18" s="18">
        <f t="shared" ref="AK18:AN18" si="90">IF(OR(H19=""),"",(H19-H18)*80)</f>
        <v>0</v>
      </c>
      <c r="AL18" s="18">
        <f t="shared" si="90"/>
        <v>0</v>
      </c>
      <c r="AM18" s="18">
        <f t="shared" si="90"/>
        <v>0</v>
      </c>
      <c r="AN18" s="18">
        <f t="shared" si="90"/>
        <v>0</v>
      </c>
      <c r="AO18" s="18">
        <f t="shared" si="5"/>
        <v>0</v>
      </c>
      <c r="AP18" s="18">
        <f t="shared" ref="AP18:AS18" si="91">IF(OR(L19=""),"",(L19-L18)*100)</f>
        <v>2560.00000000058</v>
      </c>
      <c r="AQ18" s="18">
        <f t="shared" si="91"/>
        <v>20.0000000004366</v>
      </c>
      <c r="AR18" s="18">
        <f t="shared" si="91"/>
        <v>2840.00000000087</v>
      </c>
      <c r="AS18" s="18">
        <f t="shared" si="91"/>
        <v>2500</v>
      </c>
      <c r="AT18" s="18">
        <f t="shared" si="7"/>
        <v>7920.00000000189</v>
      </c>
      <c r="AU18" s="18">
        <f t="shared" ref="AU18:AY18" si="92">IF(OR(P19=""),"",(P19-P18)*1000)</f>
        <v>3700.00000000073</v>
      </c>
      <c r="AV18" s="18">
        <f t="shared" si="92"/>
        <v>0</v>
      </c>
      <c r="AW18" s="18">
        <f t="shared" si="92"/>
        <v>4500</v>
      </c>
      <c r="AX18" s="18">
        <f t="shared" si="92"/>
        <v>0</v>
      </c>
      <c r="AY18" s="18">
        <f t="shared" si="92"/>
        <v>0</v>
      </c>
      <c r="AZ18" s="18">
        <f t="shared" si="9"/>
        <v>8200.00000000073</v>
      </c>
      <c r="BA18" s="18">
        <f t="shared" si="10"/>
        <v>9599.99999999854</v>
      </c>
      <c r="BB18" s="18">
        <f t="shared" si="11"/>
        <v>632.000000000116</v>
      </c>
      <c r="BC18" s="18">
        <f t="shared" si="27"/>
        <v>1280.00000000029</v>
      </c>
      <c r="BD18" s="18">
        <f t="shared" si="12"/>
        <v>14476.0000000142</v>
      </c>
      <c r="BE18" s="18">
        <f t="shared" si="13"/>
        <v>50800.0000000175</v>
      </c>
      <c r="BF18" s="18">
        <f t="shared" si="14"/>
        <v>58.3000000000029</v>
      </c>
      <c r="BG18" s="21">
        <f t="shared" si="15"/>
        <v>0.240528025302873</v>
      </c>
      <c r="BH18" s="21">
        <f t="shared" si="16"/>
        <v>0.041154913305753</v>
      </c>
      <c r="BI18" s="21">
        <f t="shared" si="17"/>
        <v>0</v>
      </c>
      <c r="BJ18" s="21">
        <f t="shared" si="18"/>
        <v>0.0374996448897354</v>
      </c>
      <c r="BK18" s="21">
        <f t="shared" ref="BK18:BO18" si="93">IF(OR($AD18=0),"",AZ18/$AD18)</f>
        <v>0.0388253899110838</v>
      </c>
      <c r="BL18" s="21">
        <f t="shared" si="93"/>
        <v>0.0454541150178433</v>
      </c>
      <c r="BM18" s="21">
        <f t="shared" si="93"/>
        <v>0.00299239590534236</v>
      </c>
      <c r="BN18" s="21">
        <f t="shared" si="93"/>
        <v>0.00606054866904807</v>
      </c>
      <c r="BO18" s="21">
        <f t="shared" si="93"/>
        <v>0.0685410176040674</v>
      </c>
    </row>
    <row r="19" spans="1:67">
      <c r="A19" s="9">
        <f t="shared" si="20"/>
        <v>44393</v>
      </c>
      <c r="B19" s="10">
        <v>16598.75</v>
      </c>
      <c r="C19" s="8">
        <v>91326.1</v>
      </c>
      <c r="D19" s="8">
        <v>58286.5</v>
      </c>
      <c r="E19" s="8">
        <v>57287.8</v>
      </c>
      <c r="F19" s="8">
        <v>4814.93</v>
      </c>
      <c r="G19" s="8">
        <v>112490.3</v>
      </c>
      <c r="H19" s="8">
        <v>5596.3</v>
      </c>
      <c r="I19" s="8">
        <v>2566.3</v>
      </c>
      <c r="J19" s="8">
        <v>967</v>
      </c>
      <c r="K19" s="8">
        <v>56</v>
      </c>
      <c r="L19" s="8">
        <v>90993.5</v>
      </c>
      <c r="M19" s="8">
        <v>61476.8</v>
      </c>
      <c r="N19" s="8">
        <v>72243.8</v>
      </c>
      <c r="O19" s="8">
        <v>102792.4</v>
      </c>
      <c r="P19" s="8">
        <v>5456.1</v>
      </c>
      <c r="Q19" s="8">
        <v>7237.6</v>
      </c>
      <c r="R19" s="8">
        <v>4615.9</v>
      </c>
      <c r="S19" s="8">
        <v>5177.5</v>
      </c>
      <c r="T19" s="8">
        <v>6755.2</v>
      </c>
      <c r="U19" s="8">
        <v>17318.8</v>
      </c>
      <c r="V19" s="8">
        <v>50735.9</v>
      </c>
      <c r="W19" s="8">
        <v>52095.4</v>
      </c>
      <c r="X19" s="8">
        <v>2312.7</v>
      </c>
      <c r="Y19" s="8">
        <v>2027.3</v>
      </c>
      <c r="Z19" s="16">
        <f t="shared" si="21"/>
        <v>56435.4</v>
      </c>
      <c r="AA19" s="8">
        <v>62950.8</v>
      </c>
      <c r="AB19" s="14">
        <v>3552</v>
      </c>
      <c r="AC19" s="7">
        <f t="shared" si="22"/>
        <v>66502.8</v>
      </c>
      <c r="AD19" s="17">
        <v>211945</v>
      </c>
      <c r="AE19" s="18">
        <f t="shared" ref="AE19:AI19" si="94">IF(OR(C20=""),"",(C20-C19)*80)</f>
        <v>3623.99999999907</v>
      </c>
      <c r="AF19" s="18">
        <f t="shared" si="94"/>
        <v>3055.99999999977</v>
      </c>
      <c r="AG19" s="18">
        <v>0</v>
      </c>
      <c r="AH19" s="18">
        <f t="shared" si="94"/>
        <v>18.3999999999651</v>
      </c>
      <c r="AI19" s="18">
        <f t="shared" si="94"/>
        <v>1855.99999999977</v>
      </c>
      <c r="AJ19" s="18">
        <f t="shared" si="3"/>
        <v>8554.39999999857</v>
      </c>
      <c r="AK19" s="18">
        <f t="shared" ref="AK19:AN19" si="95">IF(OR(H20=""),"",(H20-H19)*80)</f>
        <v>0</v>
      </c>
      <c r="AL19" s="18">
        <f t="shared" si="95"/>
        <v>0</v>
      </c>
      <c r="AM19" s="18">
        <f t="shared" si="95"/>
        <v>0</v>
      </c>
      <c r="AN19" s="18">
        <f t="shared" si="95"/>
        <v>0</v>
      </c>
      <c r="AO19" s="18">
        <f t="shared" si="5"/>
        <v>0</v>
      </c>
      <c r="AP19" s="18">
        <f t="shared" ref="AP19:AS19" si="96">IF(OR(L20=""),"",(L20-L19)*100)</f>
        <v>2689.99999999942</v>
      </c>
      <c r="AQ19" s="18">
        <v>0</v>
      </c>
      <c r="AR19" s="18">
        <f t="shared" si="96"/>
        <v>2880.00000000029</v>
      </c>
      <c r="AS19" s="18">
        <f t="shared" si="96"/>
        <v>2460.00000000058</v>
      </c>
      <c r="AT19" s="18">
        <f t="shared" si="7"/>
        <v>8030.00000000029</v>
      </c>
      <c r="AU19" s="18">
        <f t="shared" ref="AU19:AY19" si="97">IF(OR(P20=""),"",(P20-P19)*1000)</f>
        <v>3299.99999999927</v>
      </c>
      <c r="AV19" s="18">
        <f t="shared" si="97"/>
        <v>0</v>
      </c>
      <c r="AW19" s="18">
        <f t="shared" si="97"/>
        <v>4600.00000000036</v>
      </c>
      <c r="AX19" s="18">
        <f t="shared" si="97"/>
        <v>0</v>
      </c>
      <c r="AY19" s="18">
        <f t="shared" si="97"/>
        <v>0</v>
      </c>
      <c r="AZ19" s="18">
        <f t="shared" si="9"/>
        <v>7899.99999999964</v>
      </c>
      <c r="BA19" s="18">
        <f t="shared" si="10"/>
        <v>9800.00000000291</v>
      </c>
      <c r="BB19" s="18">
        <f t="shared" si="11"/>
        <v>607.999999999884</v>
      </c>
      <c r="BC19" s="18">
        <f t="shared" si="27"/>
        <v>1280</v>
      </c>
      <c r="BD19" s="18">
        <f t="shared" si="12"/>
        <v>14027.6000000031</v>
      </c>
      <c r="BE19" s="18">
        <f t="shared" si="13"/>
        <v>50200.0000000044</v>
      </c>
      <c r="BF19" s="18">
        <f t="shared" si="14"/>
        <v>56.5999999999913</v>
      </c>
      <c r="BG19" s="21">
        <f t="shared" si="15"/>
        <v>0.236853900776165</v>
      </c>
      <c r="BH19" s="21">
        <f t="shared" si="16"/>
        <v>0.0403614145179106</v>
      </c>
      <c r="BI19" s="21">
        <f t="shared" si="17"/>
        <v>0</v>
      </c>
      <c r="BJ19" s="21">
        <f t="shared" si="18"/>
        <v>0.037887187713795</v>
      </c>
      <c r="BK19" s="21">
        <f t="shared" ref="BK19:BO19" si="98">IF(OR($AD19=0),"",AZ19/$AD19)</f>
        <v>0.0372738210384752</v>
      </c>
      <c r="BL19" s="21">
        <f t="shared" si="98"/>
        <v>0.0462384109085041</v>
      </c>
      <c r="BM19" s="21">
        <f t="shared" si="98"/>
        <v>0.00286866875840375</v>
      </c>
      <c r="BN19" s="21">
        <f t="shared" si="98"/>
        <v>0.00603930264927222</v>
      </c>
      <c r="BO19" s="21">
        <f t="shared" si="98"/>
        <v>0.0661850951898043</v>
      </c>
    </row>
    <row r="20" spans="1:67">
      <c r="A20" s="9">
        <f t="shared" si="20"/>
        <v>44394</v>
      </c>
      <c r="B20" s="10">
        <v>16603.77</v>
      </c>
      <c r="C20" s="8">
        <v>91371.4</v>
      </c>
      <c r="D20" s="8">
        <v>58324.7</v>
      </c>
      <c r="E20" s="8">
        <v>57287.7</v>
      </c>
      <c r="F20" s="8">
        <v>4815.16</v>
      </c>
      <c r="G20" s="8">
        <v>112513.5</v>
      </c>
      <c r="H20" s="8">
        <v>5596.3</v>
      </c>
      <c r="I20" s="8">
        <v>2566.3</v>
      </c>
      <c r="J20" s="8">
        <v>967</v>
      </c>
      <c r="K20" s="8">
        <v>56</v>
      </c>
      <c r="L20" s="8">
        <v>91020.4</v>
      </c>
      <c r="M20" s="8">
        <v>61476.7</v>
      </c>
      <c r="N20" s="8">
        <v>72272.6</v>
      </c>
      <c r="O20" s="8">
        <v>102817</v>
      </c>
      <c r="P20" s="8">
        <v>5459.4</v>
      </c>
      <c r="Q20" s="8">
        <v>7237.6</v>
      </c>
      <c r="R20" s="8">
        <v>4620.5</v>
      </c>
      <c r="S20" s="8">
        <v>5177.5</v>
      </c>
      <c r="T20" s="8">
        <v>6755.2</v>
      </c>
      <c r="U20" s="8">
        <v>17323.7</v>
      </c>
      <c r="V20" s="8">
        <v>50743.5</v>
      </c>
      <c r="W20" s="8">
        <v>52111.5</v>
      </c>
      <c r="X20" s="8">
        <v>2320.8</v>
      </c>
      <c r="Y20" s="8">
        <v>2035.1</v>
      </c>
      <c r="Z20" s="16">
        <f t="shared" si="21"/>
        <v>56467.4</v>
      </c>
      <c r="AA20" s="8">
        <v>63001.4</v>
      </c>
      <c r="AB20" s="14">
        <v>3558</v>
      </c>
      <c r="AC20" s="7">
        <f t="shared" si="22"/>
        <v>66559.4</v>
      </c>
      <c r="AD20" s="17">
        <v>212463</v>
      </c>
      <c r="AE20" s="18">
        <f t="shared" ref="AE20:AI20" si="99">IF(OR(C21=""),"",(C21-C20)*80)</f>
        <v>3792.0000000007</v>
      </c>
      <c r="AF20" s="18">
        <f t="shared" si="99"/>
        <v>3056.00000000035</v>
      </c>
      <c r="AG20" s="18">
        <f t="shared" si="99"/>
        <v>0</v>
      </c>
      <c r="AH20" s="18">
        <f t="shared" si="99"/>
        <v>4.80000000003201</v>
      </c>
      <c r="AI20" s="18">
        <f t="shared" si="99"/>
        <v>1935.99999999977</v>
      </c>
      <c r="AJ20" s="18">
        <f t="shared" si="3"/>
        <v>8788.80000000085</v>
      </c>
      <c r="AK20" s="18">
        <f t="shared" ref="AK20:AN20" si="100">IF(OR(H21=""),"",(H21-H20)*80)</f>
        <v>0</v>
      </c>
      <c r="AL20" s="18">
        <f t="shared" si="100"/>
        <v>0</v>
      </c>
      <c r="AM20" s="18">
        <f t="shared" si="100"/>
        <v>0</v>
      </c>
      <c r="AN20" s="18">
        <f t="shared" si="100"/>
        <v>0</v>
      </c>
      <c r="AO20" s="18">
        <f t="shared" si="5"/>
        <v>0</v>
      </c>
      <c r="AP20" s="18">
        <f t="shared" ref="AP20:AS20" si="101">IF(OR(L21=""),"",(L21-L20)*100)</f>
        <v>2710.00000000058</v>
      </c>
      <c r="AQ20" s="18">
        <f t="shared" si="101"/>
        <v>10.0000000005821</v>
      </c>
      <c r="AR20" s="18">
        <f t="shared" si="101"/>
        <v>2889.99999999942</v>
      </c>
      <c r="AS20" s="18">
        <f t="shared" si="101"/>
        <v>2710.00000000058</v>
      </c>
      <c r="AT20" s="18">
        <f t="shared" si="7"/>
        <v>8320.00000000116</v>
      </c>
      <c r="AU20" s="18">
        <f t="shared" ref="AU20:AY20" si="102">IF(OR(P21=""),"",(P21-P20)*1000)</f>
        <v>3000</v>
      </c>
      <c r="AV20" s="18">
        <f t="shared" si="102"/>
        <v>5099.99999999945</v>
      </c>
      <c r="AW20" s="18">
        <f t="shared" si="102"/>
        <v>1100.00000000036</v>
      </c>
      <c r="AX20" s="18">
        <f t="shared" si="102"/>
        <v>0</v>
      </c>
      <c r="AY20" s="18">
        <f t="shared" si="102"/>
        <v>0</v>
      </c>
      <c r="AZ20" s="18">
        <f t="shared" si="9"/>
        <v>9199.99999999982</v>
      </c>
      <c r="BA20" s="18">
        <f t="shared" si="10"/>
        <v>9599.99999999854</v>
      </c>
      <c r="BB20" s="18">
        <f t="shared" si="11"/>
        <v>647.999999999884</v>
      </c>
      <c r="BC20" s="18">
        <f t="shared" si="27"/>
        <v>1283.99999999994</v>
      </c>
      <c r="BD20" s="18">
        <f t="shared" si="12"/>
        <v>8359.19999998961</v>
      </c>
      <c r="BE20" s="18">
        <f t="shared" si="13"/>
        <v>46199.9999999898</v>
      </c>
      <c r="BF20" s="18">
        <f t="shared" si="14"/>
        <v>58</v>
      </c>
      <c r="BG20" s="21">
        <f t="shared" si="15"/>
        <v>0.217449626523158</v>
      </c>
      <c r="BH20" s="21">
        <f t="shared" si="16"/>
        <v>0.0413662614196394</v>
      </c>
      <c r="BI20" s="21">
        <f t="shared" si="17"/>
        <v>0</v>
      </c>
      <c r="BJ20" s="21">
        <f t="shared" si="18"/>
        <v>0.0391597595816738</v>
      </c>
      <c r="BK20" s="21">
        <f t="shared" ref="BK20:BO20" si="103">IF(OR($AD20=0),"",AZ20/$AD20)</f>
        <v>0.0433016572297286</v>
      </c>
      <c r="BL20" s="21">
        <f t="shared" si="103"/>
        <v>0.0451843379788412</v>
      </c>
      <c r="BM20" s="21">
        <f t="shared" si="103"/>
        <v>0.0030499428135717</v>
      </c>
      <c r="BN20" s="21">
        <f t="shared" si="103"/>
        <v>0.00604340520467066</v>
      </c>
      <c r="BO20" s="21">
        <f t="shared" si="103"/>
        <v>0.0393442622950331</v>
      </c>
    </row>
    <row r="21" spans="1:67">
      <c r="A21" s="9">
        <f t="shared" si="20"/>
        <v>44395</v>
      </c>
      <c r="B21" s="10">
        <v>16608.39</v>
      </c>
      <c r="C21" s="8">
        <v>91418.8</v>
      </c>
      <c r="D21" s="8">
        <v>58362.9</v>
      </c>
      <c r="E21" s="8">
        <v>57287.7</v>
      </c>
      <c r="F21" s="8">
        <v>4815.22</v>
      </c>
      <c r="G21" s="8">
        <v>112537.7</v>
      </c>
      <c r="H21" s="8">
        <v>5596.3</v>
      </c>
      <c r="I21" s="8">
        <v>2566.3</v>
      </c>
      <c r="J21" s="8">
        <v>967</v>
      </c>
      <c r="K21" s="8">
        <v>56</v>
      </c>
      <c r="L21" s="8">
        <v>91047.5</v>
      </c>
      <c r="M21" s="8">
        <v>61476.8</v>
      </c>
      <c r="N21" s="8">
        <v>72301.5</v>
      </c>
      <c r="O21" s="8">
        <v>102844.1</v>
      </c>
      <c r="P21" s="8">
        <v>5462.4</v>
      </c>
      <c r="Q21" s="8">
        <v>7242.7</v>
      </c>
      <c r="R21" s="8">
        <v>4621.6</v>
      </c>
      <c r="S21" s="8">
        <v>5177.5</v>
      </c>
      <c r="T21" s="8">
        <v>6755.2</v>
      </c>
      <c r="U21" s="8">
        <v>17328.5</v>
      </c>
      <c r="V21" s="8">
        <v>50751.6</v>
      </c>
      <c r="W21" s="8">
        <v>52127.5</v>
      </c>
      <c r="X21" s="8">
        <v>2329</v>
      </c>
      <c r="Y21" s="8">
        <v>2043</v>
      </c>
      <c r="Z21" s="16">
        <f t="shared" si="21"/>
        <v>56499.5</v>
      </c>
      <c r="AA21" s="8">
        <v>63051.4</v>
      </c>
      <c r="AB21" s="14">
        <v>3566</v>
      </c>
      <c r="AC21" s="7">
        <f t="shared" si="22"/>
        <v>66617.4</v>
      </c>
      <c r="AD21" s="17">
        <v>212913</v>
      </c>
      <c r="AE21" s="18">
        <f t="shared" ref="AE21:AI21" si="104">IF(OR(C22=""),"",(C22-C21)*80)</f>
        <v>3944.00000000023</v>
      </c>
      <c r="AF21" s="18">
        <f t="shared" si="104"/>
        <v>3167.99999999988</v>
      </c>
      <c r="AG21" s="18">
        <f t="shared" si="104"/>
        <v>0</v>
      </c>
      <c r="AH21" s="18">
        <f t="shared" si="104"/>
        <v>4.00000000001455</v>
      </c>
      <c r="AI21" s="18">
        <f t="shared" si="104"/>
        <v>2215.99999999977</v>
      </c>
      <c r="AJ21" s="18">
        <f t="shared" si="3"/>
        <v>9331.9999999999</v>
      </c>
      <c r="AK21" s="18">
        <f t="shared" ref="AK21:AN21" si="105">IF(OR(H22=""),"",(H22-H21)*80)</f>
        <v>0</v>
      </c>
      <c r="AL21" s="18">
        <f t="shared" si="105"/>
        <v>0</v>
      </c>
      <c r="AM21" s="18">
        <f t="shared" si="105"/>
        <v>0</v>
      </c>
      <c r="AN21" s="18">
        <f t="shared" si="105"/>
        <v>0</v>
      </c>
      <c r="AO21" s="18">
        <f t="shared" si="5"/>
        <v>0</v>
      </c>
      <c r="AP21" s="18">
        <f t="shared" ref="AP21:AS21" si="106">IF(OR(L22=""),"",(L22-L21)*100)</f>
        <v>2830.00000000029</v>
      </c>
      <c r="AQ21" s="18">
        <f t="shared" si="106"/>
        <v>0</v>
      </c>
      <c r="AR21" s="18">
        <f t="shared" si="106"/>
        <v>2950</v>
      </c>
      <c r="AS21" s="18">
        <f t="shared" si="106"/>
        <v>2629.99999999884</v>
      </c>
      <c r="AT21" s="18">
        <f t="shared" si="7"/>
        <v>8409.99999999913</v>
      </c>
      <c r="AU21" s="18">
        <f t="shared" ref="AU21:AY21" si="107">IF(OR(P22=""),"",(P22-P21)*1000)</f>
        <v>3800.00000000018</v>
      </c>
      <c r="AV21" s="18">
        <f t="shared" si="107"/>
        <v>6100.00000000036</v>
      </c>
      <c r="AW21" s="18">
        <f t="shared" si="107"/>
        <v>199.999999999818</v>
      </c>
      <c r="AX21" s="18">
        <f t="shared" si="107"/>
        <v>500</v>
      </c>
      <c r="AY21" s="18">
        <f t="shared" si="107"/>
        <v>0</v>
      </c>
      <c r="AZ21" s="18">
        <f t="shared" si="9"/>
        <v>10600.0000000004</v>
      </c>
      <c r="BA21" s="18">
        <f t="shared" si="10"/>
        <v>10199.9999999971</v>
      </c>
      <c r="BB21" s="18">
        <f t="shared" si="11"/>
        <v>607.999999999884</v>
      </c>
      <c r="BC21" s="18">
        <f t="shared" si="27"/>
        <v>1323.99999999994</v>
      </c>
      <c r="BD21" s="18">
        <f t="shared" si="12"/>
        <v>8626.00000000224</v>
      </c>
      <c r="BE21" s="18">
        <f t="shared" si="13"/>
        <v>49099.9999999985</v>
      </c>
      <c r="BF21" s="18">
        <f t="shared" si="14"/>
        <v>58.1000000000058</v>
      </c>
      <c r="BG21" s="21">
        <f t="shared" si="15"/>
        <v>0.230610624997058</v>
      </c>
      <c r="BH21" s="21">
        <f t="shared" si="16"/>
        <v>0.0438301090116616</v>
      </c>
      <c r="BI21" s="21">
        <f t="shared" si="17"/>
        <v>0</v>
      </c>
      <c r="BJ21" s="21">
        <f t="shared" si="18"/>
        <v>0.0394997017561122</v>
      </c>
      <c r="BK21" s="21">
        <f t="shared" ref="BK21:BO21" si="108">IF(OR($AD21=0),"",AZ21/$AD21)</f>
        <v>0.0497855931765574</v>
      </c>
      <c r="BL21" s="21">
        <f t="shared" si="108"/>
        <v>0.047906891547238</v>
      </c>
      <c r="BM21" s="21">
        <f t="shared" si="108"/>
        <v>0.00285562647654152</v>
      </c>
      <c r="BN21" s="21">
        <f t="shared" si="108"/>
        <v>0.00621850239299593</v>
      </c>
      <c r="BO21" s="21">
        <f t="shared" si="108"/>
        <v>0.040514200635951</v>
      </c>
    </row>
    <row r="22" spans="1:67">
      <c r="A22" s="9">
        <f t="shared" si="20"/>
        <v>44396</v>
      </c>
      <c r="B22" s="10">
        <v>16613.3</v>
      </c>
      <c r="C22" s="8">
        <v>91468.1</v>
      </c>
      <c r="D22" s="8">
        <v>58402.5</v>
      </c>
      <c r="E22" s="8">
        <v>57287.7</v>
      </c>
      <c r="F22" s="8">
        <v>4815.27</v>
      </c>
      <c r="G22" s="8">
        <v>112565.4</v>
      </c>
      <c r="H22" s="8">
        <v>5596.3</v>
      </c>
      <c r="I22" s="8">
        <v>2566.3</v>
      </c>
      <c r="J22" s="8">
        <v>967</v>
      </c>
      <c r="K22" s="8">
        <v>56</v>
      </c>
      <c r="L22" s="8">
        <v>91075.8</v>
      </c>
      <c r="M22" s="8">
        <v>61476.8</v>
      </c>
      <c r="N22" s="8">
        <v>72331</v>
      </c>
      <c r="O22" s="8">
        <v>102870.4</v>
      </c>
      <c r="P22" s="8">
        <v>5466.2</v>
      </c>
      <c r="Q22" s="8">
        <v>7248.8</v>
      </c>
      <c r="R22" s="8">
        <v>4621.8</v>
      </c>
      <c r="S22" s="8">
        <v>5178</v>
      </c>
      <c r="T22" s="8">
        <v>6755.2</v>
      </c>
      <c r="U22" s="8">
        <v>17333.6</v>
      </c>
      <c r="V22" s="8">
        <v>50759.2</v>
      </c>
      <c r="W22" s="8">
        <v>52144.1</v>
      </c>
      <c r="X22" s="8">
        <v>2337.4</v>
      </c>
      <c r="Y22" s="8">
        <v>2051.1</v>
      </c>
      <c r="Z22" s="16">
        <f t="shared" si="21"/>
        <v>56532.6</v>
      </c>
      <c r="AA22" s="8">
        <v>63103.5</v>
      </c>
      <c r="AB22" s="14">
        <v>3572</v>
      </c>
      <c r="AC22" s="7">
        <f t="shared" si="22"/>
        <v>66675.5</v>
      </c>
      <c r="AD22" s="17">
        <v>209482</v>
      </c>
      <c r="AE22" s="18">
        <f t="shared" ref="AE22:AI22" si="109">IF(OR(C23=""),"",(C23-C22)*80)</f>
        <v>3751.99999999953</v>
      </c>
      <c r="AF22" s="18">
        <f t="shared" si="109"/>
        <v>3055.99999999977</v>
      </c>
      <c r="AG22" s="18">
        <f t="shared" si="109"/>
        <v>0</v>
      </c>
      <c r="AH22" s="18">
        <f t="shared" si="109"/>
        <v>6.39999999999418</v>
      </c>
      <c r="AI22" s="18">
        <f t="shared" si="109"/>
        <v>1960</v>
      </c>
      <c r="AJ22" s="18">
        <f t="shared" si="3"/>
        <v>8774.3999999993</v>
      </c>
      <c r="AK22" s="18">
        <f t="shared" ref="AK22:AN22" si="110">IF(OR(H23=""),"",(H23-H22)*80)</f>
        <v>0</v>
      </c>
      <c r="AL22" s="18">
        <f t="shared" si="110"/>
        <v>0</v>
      </c>
      <c r="AM22" s="18">
        <f t="shared" si="110"/>
        <v>0</v>
      </c>
      <c r="AN22" s="18">
        <f t="shared" si="110"/>
        <v>0</v>
      </c>
      <c r="AO22" s="18">
        <f t="shared" si="5"/>
        <v>0</v>
      </c>
      <c r="AP22" s="18">
        <f t="shared" ref="AP22:AS22" si="111">IF(OR(L23=""),"",(L23-L22)*100)</f>
        <v>2730.00000000029</v>
      </c>
      <c r="AQ22" s="18">
        <f t="shared" si="111"/>
        <v>0</v>
      </c>
      <c r="AR22" s="18">
        <f t="shared" si="111"/>
        <v>2900</v>
      </c>
      <c r="AS22" s="18">
        <f t="shared" si="111"/>
        <v>2570.00000000116</v>
      </c>
      <c r="AT22" s="18">
        <f t="shared" si="7"/>
        <v>8200.00000000146</v>
      </c>
      <c r="AU22" s="18">
        <f t="shared" ref="AU22:AY22" si="112">IF(OR(P23=""),"",(P23-P22)*1000)</f>
        <v>3800.00000000018</v>
      </c>
      <c r="AV22" s="18">
        <f t="shared" si="112"/>
        <v>0</v>
      </c>
      <c r="AW22" s="18">
        <f t="shared" si="112"/>
        <v>0</v>
      </c>
      <c r="AX22" s="18">
        <f t="shared" si="112"/>
        <v>4699.99999999982</v>
      </c>
      <c r="AY22" s="18">
        <f t="shared" si="112"/>
        <v>0</v>
      </c>
      <c r="AZ22" s="18">
        <f t="shared" si="9"/>
        <v>8500</v>
      </c>
      <c r="BA22" s="18">
        <f t="shared" si="10"/>
        <v>9400.00000000146</v>
      </c>
      <c r="BB22" s="18">
        <f t="shared" si="11"/>
        <v>616.000000000349</v>
      </c>
      <c r="BC22" s="18">
        <f t="shared" si="27"/>
        <v>1288.00000000017</v>
      </c>
      <c r="BD22" s="18">
        <f t="shared" si="12"/>
        <v>12221.6000000118</v>
      </c>
      <c r="BE22" s="18">
        <f t="shared" si="13"/>
        <v>49000.0000000146</v>
      </c>
      <c r="BF22" s="18">
        <f t="shared" si="14"/>
        <v>55.5</v>
      </c>
      <c r="BG22" s="21">
        <f t="shared" si="15"/>
        <v>0.233910312103257</v>
      </c>
      <c r="BH22" s="21">
        <f t="shared" si="16"/>
        <v>0.0418861763779193</v>
      </c>
      <c r="BI22" s="21">
        <f t="shared" si="17"/>
        <v>0</v>
      </c>
      <c r="BJ22" s="21">
        <f t="shared" si="18"/>
        <v>0.0391441746784996</v>
      </c>
      <c r="BK22" s="21">
        <f t="shared" ref="BK22:BO22" si="113">IF(OR($AD22=0),"",AZ22/$AD22)</f>
        <v>0.0405762786301448</v>
      </c>
      <c r="BL22" s="21">
        <f t="shared" si="113"/>
        <v>0.0448725904851083</v>
      </c>
      <c r="BM22" s="21">
        <f t="shared" si="113"/>
        <v>0.00294058678072746</v>
      </c>
      <c r="BN22" s="21">
        <f t="shared" si="113"/>
        <v>0.00614849963242749</v>
      </c>
      <c r="BO22" s="21">
        <f t="shared" si="113"/>
        <v>0.0583420055184303</v>
      </c>
    </row>
    <row r="23" spans="1:67">
      <c r="A23" s="9">
        <f t="shared" si="20"/>
        <v>44397</v>
      </c>
      <c r="B23" s="10">
        <v>16618.2</v>
      </c>
      <c r="C23" s="8">
        <v>91515</v>
      </c>
      <c r="D23" s="8">
        <v>58440.7</v>
      </c>
      <c r="E23" s="8">
        <v>57287.7</v>
      </c>
      <c r="F23" s="8">
        <v>4815.35</v>
      </c>
      <c r="G23" s="8">
        <v>112589.9</v>
      </c>
      <c r="H23" s="8">
        <v>5596.3</v>
      </c>
      <c r="I23" s="8">
        <v>2566.3</v>
      </c>
      <c r="J23" s="8">
        <v>967</v>
      </c>
      <c r="K23" s="8">
        <v>56</v>
      </c>
      <c r="L23" s="8">
        <v>91103.1</v>
      </c>
      <c r="M23" s="8">
        <v>61476.8</v>
      </c>
      <c r="N23" s="8">
        <v>72360</v>
      </c>
      <c r="O23" s="8">
        <v>102896.1</v>
      </c>
      <c r="P23" s="8">
        <v>5470</v>
      </c>
      <c r="Q23" s="8">
        <v>7248.8</v>
      </c>
      <c r="R23" s="8">
        <v>4621.8</v>
      </c>
      <c r="S23" s="8">
        <v>5182.7</v>
      </c>
      <c r="T23" s="8">
        <v>6755.2</v>
      </c>
      <c r="U23" s="8">
        <v>17338.3</v>
      </c>
      <c r="V23" s="8">
        <v>50766.9</v>
      </c>
      <c r="W23" s="8">
        <v>52160.3</v>
      </c>
      <c r="X23" s="8">
        <v>2345.5</v>
      </c>
      <c r="Y23" s="8">
        <v>2059</v>
      </c>
      <c r="Z23" s="16">
        <f t="shared" si="21"/>
        <v>56564.8</v>
      </c>
      <c r="AA23" s="8">
        <v>63179</v>
      </c>
      <c r="AB23" s="14">
        <v>3552</v>
      </c>
      <c r="AC23" s="7">
        <f t="shared" si="22"/>
        <v>66731</v>
      </c>
      <c r="AD23" s="17">
        <v>207400</v>
      </c>
      <c r="AE23" s="18">
        <f t="shared" ref="AE23:AI23" si="114">IF(OR(C24=""),"",(C24-C23)*80)</f>
        <v>3815.99999999977</v>
      </c>
      <c r="AF23" s="18">
        <f t="shared" si="114"/>
        <v>3096.00000000035</v>
      </c>
      <c r="AG23" s="18">
        <f t="shared" si="114"/>
        <v>0</v>
      </c>
      <c r="AH23" s="18">
        <f t="shared" si="114"/>
        <v>4.79999999995925</v>
      </c>
      <c r="AI23" s="18">
        <f t="shared" si="114"/>
        <v>1896.00000000093</v>
      </c>
      <c r="AJ23" s="18">
        <f t="shared" si="3"/>
        <v>8812.80000000101</v>
      </c>
      <c r="AK23" s="18">
        <f t="shared" ref="AK23:AN23" si="115">IF(OR(H24=""),"",(H24-H23)*80)</f>
        <v>0</v>
      </c>
      <c r="AL23" s="18">
        <f t="shared" si="115"/>
        <v>0</v>
      </c>
      <c r="AM23" s="18">
        <f t="shared" si="115"/>
        <v>0</v>
      </c>
      <c r="AN23" s="18">
        <f t="shared" si="115"/>
        <v>0</v>
      </c>
      <c r="AO23" s="18">
        <f t="shared" si="5"/>
        <v>0</v>
      </c>
      <c r="AP23" s="18">
        <f t="shared" ref="AP23:AS23" si="116">IF(OR(L24=""),"",(L24-L23)*100)</f>
        <v>2479.99999999884</v>
      </c>
      <c r="AQ23" s="18">
        <f t="shared" si="116"/>
        <v>0</v>
      </c>
      <c r="AR23" s="18">
        <f t="shared" si="116"/>
        <v>2939.99999999942</v>
      </c>
      <c r="AS23" s="18">
        <f t="shared" si="116"/>
        <v>2639.99999999942</v>
      </c>
      <c r="AT23" s="18">
        <f t="shared" si="7"/>
        <v>8059.99999999767</v>
      </c>
      <c r="AU23" s="18">
        <f t="shared" ref="AU23:AY23" si="117">IF(OR(P24=""),"",(P24-P23)*1000)</f>
        <v>3600.00000000036</v>
      </c>
      <c r="AV23" s="18">
        <f t="shared" si="117"/>
        <v>0</v>
      </c>
      <c r="AW23" s="18">
        <f t="shared" si="117"/>
        <v>0</v>
      </c>
      <c r="AX23" s="18">
        <f t="shared" si="117"/>
        <v>4900.00000000055</v>
      </c>
      <c r="AY23" s="18">
        <f t="shared" si="117"/>
        <v>0</v>
      </c>
      <c r="AZ23" s="18">
        <f t="shared" si="9"/>
        <v>8500.00000000091</v>
      </c>
      <c r="BA23" s="18">
        <f t="shared" si="10"/>
        <v>8800.00000000291</v>
      </c>
      <c r="BB23" s="18">
        <f t="shared" si="11"/>
        <v>623.999999999651</v>
      </c>
      <c r="BC23" s="18">
        <f t="shared" si="27"/>
        <v>1283.99999999965</v>
      </c>
      <c r="BD23" s="18">
        <f t="shared" si="12"/>
        <v>12019.1999999749</v>
      </c>
      <c r="BE23" s="18">
        <f t="shared" si="13"/>
        <v>48099.9999999767</v>
      </c>
      <c r="BF23" s="18">
        <f t="shared" si="14"/>
        <v>68.3999999999942</v>
      </c>
      <c r="BG23" s="21">
        <f t="shared" si="15"/>
        <v>0.231918997106927</v>
      </c>
      <c r="BH23" s="21">
        <f t="shared" si="16"/>
        <v>0.0424918032786934</v>
      </c>
      <c r="BI23" s="21">
        <f t="shared" si="17"/>
        <v>0</v>
      </c>
      <c r="BJ23" s="21">
        <f t="shared" si="18"/>
        <v>0.0388621022179251</v>
      </c>
      <c r="BK23" s="21">
        <f t="shared" ref="BK23:BO23" si="118">IF(OR($AD23=0),"",AZ23/$AD23)</f>
        <v>0.0409836065573814</v>
      </c>
      <c r="BL23" s="21">
        <f t="shared" si="118"/>
        <v>0.0424300867888279</v>
      </c>
      <c r="BM23" s="21">
        <f t="shared" si="118"/>
        <v>0.00300867888138694</v>
      </c>
      <c r="BN23" s="21">
        <f t="shared" si="118"/>
        <v>0.00619093539054798</v>
      </c>
      <c r="BO23" s="21">
        <f t="shared" si="118"/>
        <v>0.0579517839921645</v>
      </c>
    </row>
    <row r="24" spans="1:67">
      <c r="A24" s="9">
        <f t="shared" si="20"/>
        <v>44398</v>
      </c>
      <c r="B24" s="10">
        <v>16623.01</v>
      </c>
      <c r="C24" s="8">
        <v>91562.7</v>
      </c>
      <c r="D24" s="8">
        <v>58479.4</v>
      </c>
      <c r="E24" s="8">
        <v>57287.7</v>
      </c>
      <c r="F24" s="8">
        <v>4815.41</v>
      </c>
      <c r="G24" s="8">
        <v>112613.6</v>
      </c>
      <c r="H24" s="8">
        <v>5596.3</v>
      </c>
      <c r="I24" s="8">
        <v>2566.3</v>
      </c>
      <c r="J24" s="8">
        <v>967</v>
      </c>
      <c r="K24" s="8">
        <v>56</v>
      </c>
      <c r="L24" s="8">
        <v>91127.9</v>
      </c>
      <c r="M24" s="8">
        <v>61476.8</v>
      </c>
      <c r="N24" s="8">
        <v>72389.4</v>
      </c>
      <c r="O24" s="8">
        <v>102922.5</v>
      </c>
      <c r="P24" s="8">
        <v>5473.6</v>
      </c>
      <c r="Q24" s="8">
        <v>7248.8</v>
      </c>
      <c r="R24" s="8">
        <v>4621.8</v>
      </c>
      <c r="S24" s="8">
        <v>5187.6</v>
      </c>
      <c r="T24" s="8">
        <v>6755.2</v>
      </c>
      <c r="U24" s="8">
        <v>17342.7</v>
      </c>
      <c r="V24" s="8">
        <v>50774.7</v>
      </c>
      <c r="W24" s="8">
        <v>52176.6</v>
      </c>
      <c r="X24" s="8">
        <v>2353.6</v>
      </c>
      <c r="Y24" s="8">
        <v>2066.7</v>
      </c>
      <c r="Z24" s="16">
        <f t="shared" si="21"/>
        <v>56596.9</v>
      </c>
      <c r="AA24" s="8">
        <v>63203.4</v>
      </c>
      <c r="AB24" s="14">
        <v>3596</v>
      </c>
      <c r="AC24" s="7">
        <f t="shared" si="22"/>
        <v>66799.4</v>
      </c>
      <c r="AD24" s="17">
        <v>206572</v>
      </c>
      <c r="AE24" s="18">
        <f t="shared" ref="AE24:AI24" si="119">IF(OR(C25=""),"",(C25-C24)*80)</f>
        <v>3775.99999999977</v>
      </c>
      <c r="AF24" s="18">
        <f t="shared" si="119"/>
        <v>3080</v>
      </c>
      <c r="AG24" s="18">
        <f t="shared" si="119"/>
        <v>0</v>
      </c>
      <c r="AH24" s="18">
        <f t="shared" si="119"/>
        <v>4.00000000001455</v>
      </c>
      <c r="AI24" s="18">
        <f t="shared" si="119"/>
        <v>2287.9999999993</v>
      </c>
      <c r="AJ24" s="18">
        <f t="shared" si="3"/>
        <v>9147.99999999908</v>
      </c>
      <c r="AK24" s="18">
        <f t="shared" ref="AK24:AN24" si="120">IF(OR(H25=""),"",(H25-H24)*80)</f>
        <v>0</v>
      </c>
      <c r="AL24" s="18">
        <f t="shared" si="120"/>
        <v>0</v>
      </c>
      <c r="AM24" s="18">
        <f t="shared" si="120"/>
        <v>0</v>
      </c>
      <c r="AN24" s="18">
        <f t="shared" si="120"/>
        <v>0</v>
      </c>
      <c r="AO24" s="18">
        <f t="shared" si="5"/>
        <v>0</v>
      </c>
      <c r="AP24" s="18">
        <f t="shared" ref="AP24:AS24" si="121">IF(OR(L25=""),"",(L25-L24)*100)</f>
        <v>2490.00000000087</v>
      </c>
      <c r="AQ24" s="18">
        <f t="shared" si="121"/>
        <v>9.99999999985448</v>
      </c>
      <c r="AR24" s="18">
        <f t="shared" si="121"/>
        <v>2900</v>
      </c>
      <c r="AS24" s="18">
        <f t="shared" si="121"/>
        <v>2560.00000000058</v>
      </c>
      <c r="AT24" s="18">
        <f t="shared" si="7"/>
        <v>7960.00000000131</v>
      </c>
      <c r="AU24" s="18">
        <f t="shared" ref="AU24:AY24" si="122">IF(OR(P25=""),"",(P25-P24)*1000)</f>
        <v>3899.99999999964</v>
      </c>
      <c r="AV24" s="18">
        <f t="shared" si="122"/>
        <v>0</v>
      </c>
      <c r="AW24" s="18">
        <f t="shared" si="122"/>
        <v>0</v>
      </c>
      <c r="AX24" s="18">
        <f t="shared" si="122"/>
        <v>4599.99999999945</v>
      </c>
      <c r="AY24" s="18">
        <f t="shared" si="122"/>
        <v>0</v>
      </c>
      <c r="AZ24" s="18">
        <f t="shared" si="9"/>
        <v>8499.99999999909</v>
      </c>
      <c r="BA24" s="18">
        <f t="shared" si="10"/>
        <v>9400.00000000146</v>
      </c>
      <c r="BB24" s="18">
        <f t="shared" si="11"/>
        <v>624.000000000233</v>
      </c>
      <c r="BC24" s="18">
        <f t="shared" si="27"/>
        <v>1292.00000000012</v>
      </c>
      <c r="BD24" s="18">
        <f t="shared" si="12"/>
        <v>12276.0000000176</v>
      </c>
      <c r="BE24" s="18">
        <f t="shared" si="13"/>
        <v>49200.0000000189</v>
      </c>
      <c r="BF24" s="18">
        <f t="shared" si="14"/>
        <v>58.1000000000058</v>
      </c>
      <c r="BG24" s="21">
        <f t="shared" si="15"/>
        <v>0.238173615010838</v>
      </c>
      <c r="BH24" s="21">
        <f t="shared" si="16"/>
        <v>0.0442848014251645</v>
      </c>
      <c r="BI24" s="21">
        <f t="shared" si="17"/>
        <v>0</v>
      </c>
      <c r="BJ24" s="21">
        <f t="shared" si="18"/>
        <v>0.0385337799895499</v>
      </c>
      <c r="BK24" s="21">
        <f t="shared" ref="BK24:BO24" si="123">IF(OR($AD24=0),"",AZ24/$AD24)</f>
        <v>0.0411478806420962</v>
      </c>
      <c r="BL24" s="21">
        <f t="shared" si="123"/>
        <v>0.0455047150630359</v>
      </c>
      <c r="BM24" s="21">
        <f t="shared" si="123"/>
        <v>0.00302073853184475</v>
      </c>
      <c r="BN24" s="21">
        <f t="shared" si="123"/>
        <v>0.00625447785759985</v>
      </c>
      <c r="BO24" s="21">
        <f t="shared" si="123"/>
        <v>0.0594272215015473</v>
      </c>
    </row>
    <row r="25" spans="1:67">
      <c r="A25" s="9">
        <f t="shared" si="20"/>
        <v>44399</v>
      </c>
      <c r="B25" s="10">
        <v>16627.93</v>
      </c>
      <c r="C25" s="8">
        <v>91609.9</v>
      </c>
      <c r="D25" s="8">
        <v>58517.9</v>
      </c>
      <c r="E25" s="8">
        <v>57287.7</v>
      </c>
      <c r="F25" s="8">
        <v>4815.46</v>
      </c>
      <c r="G25" s="8">
        <v>112642.2</v>
      </c>
      <c r="H25" s="8">
        <v>5596.3</v>
      </c>
      <c r="I25" s="8">
        <v>2566.3</v>
      </c>
      <c r="J25" s="8">
        <v>967</v>
      </c>
      <c r="K25" s="8">
        <v>56</v>
      </c>
      <c r="L25" s="8">
        <v>91152.8</v>
      </c>
      <c r="M25" s="8">
        <v>61476.9</v>
      </c>
      <c r="N25" s="8">
        <v>72418.4</v>
      </c>
      <c r="O25" s="8">
        <v>102948.1</v>
      </c>
      <c r="P25" s="8">
        <v>5477.5</v>
      </c>
      <c r="Q25" s="8">
        <v>7248.8</v>
      </c>
      <c r="R25" s="8">
        <v>4621.8</v>
      </c>
      <c r="S25" s="8">
        <v>5192.2</v>
      </c>
      <c r="T25" s="8">
        <v>6755.2</v>
      </c>
      <c r="U25" s="8">
        <v>17347.4</v>
      </c>
      <c r="V25" s="8">
        <v>50782.5</v>
      </c>
      <c r="W25" s="8">
        <v>52192.9</v>
      </c>
      <c r="X25" s="8">
        <v>2361.7</v>
      </c>
      <c r="Y25" s="8">
        <v>2074.6</v>
      </c>
      <c r="Z25" s="16">
        <f t="shared" si="21"/>
        <v>56629.2</v>
      </c>
      <c r="AA25" s="8">
        <v>63255.5</v>
      </c>
      <c r="AB25" s="14">
        <v>3602</v>
      </c>
      <c r="AC25" s="7">
        <f t="shared" si="22"/>
        <v>66857.5</v>
      </c>
      <c r="AD25" s="17">
        <v>211257</v>
      </c>
      <c r="AE25" s="18">
        <f t="shared" ref="AE25:AI25" si="124">IF(OR(C26=""),"",(C26-C25)*80)</f>
        <v>3760</v>
      </c>
      <c r="AF25" s="18">
        <f t="shared" si="124"/>
        <v>3047.99999999988</v>
      </c>
      <c r="AG25" s="18">
        <f t="shared" si="124"/>
        <v>0</v>
      </c>
      <c r="AH25" s="18">
        <f t="shared" si="124"/>
        <v>4.80000000003201</v>
      </c>
      <c r="AI25" s="18">
        <f t="shared" si="124"/>
        <v>2535.99999999977</v>
      </c>
      <c r="AJ25" s="18">
        <f t="shared" si="3"/>
        <v>9348.79999999968</v>
      </c>
      <c r="AK25" s="18">
        <f t="shared" ref="AK25:AN25" si="125">IF(OR(H26=""),"",(H26-H25)*80)</f>
        <v>0</v>
      </c>
      <c r="AL25" s="18">
        <f t="shared" si="125"/>
        <v>0</v>
      </c>
      <c r="AM25" s="18">
        <f t="shared" si="125"/>
        <v>0</v>
      </c>
      <c r="AN25" s="18">
        <f t="shared" si="125"/>
        <v>0</v>
      </c>
      <c r="AO25" s="18">
        <f t="shared" si="5"/>
        <v>0</v>
      </c>
      <c r="AP25" s="18">
        <f t="shared" ref="AP25:AS25" si="126">IF(OR(L26=""),"",(L26-L25)*100)</f>
        <v>2700</v>
      </c>
      <c r="AQ25" s="18">
        <f t="shared" si="126"/>
        <v>0</v>
      </c>
      <c r="AR25" s="18">
        <f t="shared" si="126"/>
        <v>2900</v>
      </c>
      <c r="AS25" s="18">
        <f t="shared" si="126"/>
        <v>2559.99999999913</v>
      </c>
      <c r="AT25" s="18">
        <f t="shared" si="7"/>
        <v>8159.99999999913</v>
      </c>
      <c r="AU25" s="18">
        <f t="shared" ref="AU25:AY25" si="127">IF(OR(P26=""),"",(P26-P25)*1000)</f>
        <v>4100.00000000036</v>
      </c>
      <c r="AV25" s="18">
        <f t="shared" si="127"/>
        <v>0</v>
      </c>
      <c r="AW25" s="18">
        <f t="shared" si="127"/>
        <v>0</v>
      </c>
      <c r="AX25" s="18">
        <f t="shared" si="127"/>
        <v>4400.00000000055</v>
      </c>
      <c r="AY25" s="18">
        <f t="shared" si="127"/>
        <v>0</v>
      </c>
      <c r="AZ25" s="18">
        <f t="shared" si="9"/>
        <v>8500.00000000091</v>
      </c>
      <c r="BA25" s="18">
        <f t="shared" si="10"/>
        <v>9799.99999999563</v>
      </c>
      <c r="BB25" s="18">
        <f t="shared" si="11"/>
        <v>600</v>
      </c>
      <c r="BC25" s="18">
        <f t="shared" si="27"/>
        <v>1280.00000000029</v>
      </c>
      <c r="BD25" s="18">
        <f t="shared" si="12"/>
        <v>12211.199999984</v>
      </c>
      <c r="BE25" s="18">
        <f t="shared" si="13"/>
        <v>49899.9999999796</v>
      </c>
      <c r="BF25" s="18">
        <f t="shared" si="14"/>
        <v>58.1999999999971</v>
      </c>
      <c r="BG25" s="21">
        <f t="shared" si="15"/>
        <v>0.236205190833817</v>
      </c>
      <c r="BH25" s="21">
        <f t="shared" si="16"/>
        <v>0.0442532081777157</v>
      </c>
      <c r="BI25" s="21">
        <f t="shared" si="17"/>
        <v>0</v>
      </c>
      <c r="BJ25" s="21">
        <f t="shared" si="18"/>
        <v>0.0386259390221348</v>
      </c>
      <c r="BK25" s="21">
        <f t="shared" ref="BK25:BO25" si="128">IF(OR($AD25=0),"",AZ25/$AD25)</f>
        <v>0.0402353531480657</v>
      </c>
      <c r="BL25" s="21">
        <f t="shared" si="128"/>
        <v>0.0463889953942148</v>
      </c>
      <c r="BM25" s="21">
        <f t="shared" si="128"/>
        <v>0.00284014257515727</v>
      </c>
      <c r="BN25" s="21">
        <f t="shared" si="128"/>
        <v>0.00605897082700356</v>
      </c>
      <c r="BO25" s="21">
        <f t="shared" si="128"/>
        <v>0.057802581689525</v>
      </c>
    </row>
    <row r="26" spans="1:67">
      <c r="A26" s="9">
        <f t="shared" si="20"/>
        <v>44400</v>
      </c>
      <c r="B26" s="10">
        <v>16632.92</v>
      </c>
      <c r="C26" s="8">
        <v>91656.9</v>
      </c>
      <c r="D26" s="8">
        <v>58556</v>
      </c>
      <c r="E26" s="8">
        <v>57287.7</v>
      </c>
      <c r="F26" s="8">
        <v>4815.52</v>
      </c>
      <c r="G26" s="8">
        <v>112673.9</v>
      </c>
      <c r="H26" s="8">
        <v>5596.3</v>
      </c>
      <c r="I26" s="8">
        <v>2566.3</v>
      </c>
      <c r="J26" s="8">
        <v>967</v>
      </c>
      <c r="K26" s="8">
        <v>56</v>
      </c>
      <c r="L26" s="8">
        <v>91179.8</v>
      </c>
      <c r="M26" s="8">
        <v>61476.9</v>
      </c>
      <c r="N26" s="8">
        <v>72447.4</v>
      </c>
      <c r="O26" s="8">
        <v>102973.7</v>
      </c>
      <c r="P26" s="8">
        <v>5481.6</v>
      </c>
      <c r="Q26" s="8">
        <v>7248.8</v>
      </c>
      <c r="R26" s="8">
        <v>4621.8</v>
      </c>
      <c r="S26" s="8">
        <v>5196.6</v>
      </c>
      <c r="T26" s="8">
        <v>6755.2</v>
      </c>
      <c r="U26" s="8">
        <v>17352.3</v>
      </c>
      <c r="V26" s="8">
        <v>50790</v>
      </c>
      <c r="W26" s="8">
        <v>52209.1</v>
      </c>
      <c r="X26" s="8">
        <v>2369.8</v>
      </c>
      <c r="Y26" s="8">
        <v>2082.3</v>
      </c>
      <c r="Z26" s="16">
        <f t="shared" si="21"/>
        <v>56661.2</v>
      </c>
      <c r="AA26" s="8">
        <v>63306.7</v>
      </c>
      <c r="AB26" s="14">
        <v>3609</v>
      </c>
      <c r="AC26" s="7">
        <f t="shared" si="22"/>
        <v>66915.7</v>
      </c>
      <c r="AD26" s="17">
        <v>205613</v>
      </c>
      <c r="AE26" s="18">
        <f t="shared" ref="AE26:AI26" si="129">IF(OR(C27=""),"",(C27-C26)*80)</f>
        <v>3712.0000000007</v>
      </c>
      <c r="AF26" s="18">
        <f t="shared" si="129"/>
        <v>895.999999999767</v>
      </c>
      <c r="AG26" s="18">
        <f t="shared" si="129"/>
        <v>0</v>
      </c>
      <c r="AH26" s="18">
        <f t="shared" si="129"/>
        <v>1640</v>
      </c>
      <c r="AI26" s="18">
        <f t="shared" si="129"/>
        <v>2256.00000000093</v>
      </c>
      <c r="AJ26" s="18">
        <f t="shared" si="3"/>
        <v>8504.0000000014</v>
      </c>
      <c r="AK26" s="18">
        <f t="shared" ref="AK26:AN26" si="130">IF(OR(H27=""),"",(H27-H26)*80)</f>
        <v>0</v>
      </c>
      <c r="AL26" s="18">
        <f t="shared" si="130"/>
        <v>0</v>
      </c>
      <c r="AM26" s="18">
        <f t="shared" si="130"/>
        <v>0</v>
      </c>
      <c r="AN26" s="18">
        <f t="shared" si="130"/>
        <v>0</v>
      </c>
      <c r="AO26" s="18">
        <f t="shared" si="5"/>
        <v>0</v>
      </c>
      <c r="AP26" s="18">
        <f t="shared" ref="AP26:AS26" si="131">IF(OR(L27=""),"",(L27-L26)*100)</f>
        <v>2559.99999999913</v>
      </c>
      <c r="AQ26" s="18">
        <f t="shared" si="131"/>
        <v>0</v>
      </c>
      <c r="AR26" s="18">
        <f t="shared" si="131"/>
        <v>2860.00000000058</v>
      </c>
      <c r="AS26" s="18">
        <f t="shared" si="131"/>
        <v>2550</v>
      </c>
      <c r="AT26" s="18">
        <f t="shared" si="7"/>
        <v>7969.99999999971</v>
      </c>
      <c r="AU26" s="18">
        <f t="shared" ref="AU26:AY26" si="132">IF(OR(P27=""),"",(P27-P26)*1000)</f>
        <v>4099.99999999945</v>
      </c>
      <c r="AV26" s="18">
        <f t="shared" si="132"/>
        <v>0</v>
      </c>
      <c r="AW26" s="18">
        <f t="shared" si="132"/>
        <v>0</v>
      </c>
      <c r="AX26" s="18">
        <f t="shared" si="132"/>
        <v>4399.99999999964</v>
      </c>
      <c r="AY26" s="18">
        <f t="shared" si="132"/>
        <v>0</v>
      </c>
      <c r="AZ26" s="18">
        <f t="shared" si="9"/>
        <v>8499.99999999909</v>
      </c>
      <c r="BA26" s="18">
        <f t="shared" si="10"/>
        <v>9800.00000000291</v>
      </c>
      <c r="BB26" s="18">
        <f t="shared" si="11"/>
        <v>640</v>
      </c>
      <c r="BC26" s="18">
        <f t="shared" si="27"/>
        <v>1260</v>
      </c>
      <c r="BD26" s="18">
        <f t="shared" si="12"/>
        <v>12426.0000000318</v>
      </c>
      <c r="BE26" s="18">
        <f t="shared" si="13"/>
        <v>49100.0000000349</v>
      </c>
      <c r="BF26" s="18">
        <f t="shared" si="14"/>
        <v>58.1000000000058</v>
      </c>
      <c r="BG26" s="21">
        <f t="shared" si="15"/>
        <v>0.238798130468574</v>
      </c>
      <c r="BH26" s="21">
        <f t="shared" si="16"/>
        <v>0.0413592525764489</v>
      </c>
      <c r="BI26" s="21">
        <f t="shared" si="17"/>
        <v>0</v>
      </c>
      <c r="BJ26" s="21">
        <f t="shared" si="18"/>
        <v>0.0387621405261326</v>
      </c>
      <c r="BK26" s="21">
        <f t="shared" ref="BK26:BO26" si="133">IF(OR($AD26=0),"",AZ26/$AD26)</f>
        <v>0.041339798553589</v>
      </c>
      <c r="BL26" s="21">
        <f t="shared" si="133"/>
        <v>0.0476623559794513</v>
      </c>
      <c r="BM26" s="21">
        <f t="shared" si="133"/>
        <v>0.00311264365579997</v>
      </c>
      <c r="BN26" s="21">
        <f t="shared" si="133"/>
        <v>0.0061280171973562</v>
      </c>
      <c r="BO26" s="21">
        <f t="shared" si="133"/>
        <v>0.0604339219797961</v>
      </c>
    </row>
    <row r="27" spans="1:67">
      <c r="A27" s="9">
        <f t="shared" si="20"/>
        <v>44401</v>
      </c>
      <c r="B27" s="10">
        <v>16637.83</v>
      </c>
      <c r="C27" s="8">
        <v>91703.3</v>
      </c>
      <c r="D27" s="8">
        <v>58567.2</v>
      </c>
      <c r="E27" s="8">
        <v>57287.7</v>
      </c>
      <c r="F27" s="8">
        <v>4836.02</v>
      </c>
      <c r="G27" s="8">
        <v>112702.1</v>
      </c>
      <c r="H27" s="8">
        <v>5596.3</v>
      </c>
      <c r="I27" s="8">
        <v>2566.3</v>
      </c>
      <c r="J27" s="8">
        <v>967</v>
      </c>
      <c r="K27" s="8">
        <v>56</v>
      </c>
      <c r="L27" s="8">
        <v>91205.4</v>
      </c>
      <c r="M27" s="8">
        <v>61476.9</v>
      </c>
      <c r="N27" s="8">
        <v>72476</v>
      </c>
      <c r="O27" s="8">
        <v>102999.2</v>
      </c>
      <c r="P27" s="8">
        <v>5485.7</v>
      </c>
      <c r="Q27" s="8">
        <v>7248.8</v>
      </c>
      <c r="R27" s="8">
        <v>4621.8</v>
      </c>
      <c r="S27" s="8">
        <v>5201</v>
      </c>
      <c r="T27" s="8">
        <v>6755.2</v>
      </c>
      <c r="U27" s="8">
        <v>17357.2</v>
      </c>
      <c r="V27" s="8">
        <v>50798</v>
      </c>
      <c r="W27" s="8">
        <v>52225</v>
      </c>
      <c r="X27" s="8">
        <v>2377.8</v>
      </c>
      <c r="Y27" s="8">
        <v>2089.9</v>
      </c>
      <c r="Z27" s="16">
        <f t="shared" si="21"/>
        <v>56692.7</v>
      </c>
      <c r="AA27" s="8">
        <v>63357.8</v>
      </c>
      <c r="AB27" s="14">
        <v>3616</v>
      </c>
      <c r="AC27" s="7">
        <f t="shared" si="22"/>
        <v>66973.8</v>
      </c>
      <c r="AD27" s="17">
        <v>211466</v>
      </c>
      <c r="AE27" s="18">
        <f t="shared" ref="AE27:AI27" si="134">IF(OR(C28=""),"",(C28-C27)*80)</f>
        <v>3824.00000000023</v>
      </c>
      <c r="AF27" s="18">
        <f t="shared" si="134"/>
        <v>0</v>
      </c>
      <c r="AG27" s="18">
        <f t="shared" si="134"/>
        <v>0</v>
      </c>
      <c r="AH27" s="18">
        <f t="shared" si="134"/>
        <v>2487.99999999996</v>
      </c>
      <c r="AI27" s="18">
        <f t="shared" si="134"/>
        <v>2167.9999999993</v>
      </c>
      <c r="AJ27" s="18">
        <f t="shared" si="3"/>
        <v>8479.99999999949</v>
      </c>
      <c r="AK27" s="18">
        <f t="shared" ref="AK27:AN27" si="135">IF(OR(H28=""),"",(H28-H27)*80)</f>
        <v>0</v>
      </c>
      <c r="AL27" s="18">
        <f t="shared" si="135"/>
        <v>0</v>
      </c>
      <c r="AM27" s="18">
        <f t="shared" si="135"/>
        <v>0</v>
      </c>
      <c r="AN27" s="18">
        <f t="shared" si="135"/>
        <v>0</v>
      </c>
      <c r="AO27" s="18">
        <f t="shared" si="5"/>
        <v>0</v>
      </c>
      <c r="AP27" s="18">
        <f t="shared" ref="AP27:AS27" si="136">IF(OR(L28=""),"",(L28-L27)*100)</f>
        <v>2900</v>
      </c>
      <c r="AQ27" s="18">
        <f t="shared" si="136"/>
        <v>0</v>
      </c>
      <c r="AR27" s="18">
        <f t="shared" si="136"/>
        <v>2869.99999999971</v>
      </c>
      <c r="AS27" s="18">
        <f t="shared" si="136"/>
        <v>2569.99999999971</v>
      </c>
      <c r="AT27" s="18">
        <f t="shared" si="7"/>
        <v>8339.99999999942</v>
      </c>
      <c r="AU27" s="18">
        <f t="shared" ref="AU27:AY27" si="137">IF(OR(P28=""),"",(P28-P27)*1000)</f>
        <v>3699.99999999982</v>
      </c>
      <c r="AV27" s="18">
        <f t="shared" si="137"/>
        <v>0</v>
      </c>
      <c r="AW27" s="18">
        <f t="shared" si="137"/>
        <v>0</v>
      </c>
      <c r="AX27" s="18">
        <f t="shared" si="137"/>
        <v>5199.99999999982</v>
      </c>
      <c r="AY27" s="18">
        <f t="shared" si="137"/>
        <v>0</v>
      </c>
      <c r="AZ27" s="18">
        <f t="shared" si="9"/>
        <v>8899.99999999964</v>
      </c>
      <c r="BA27" s="18">
        <f t="shared" si="10"/>
        <v>10199.9999999971</v>
      </c>
      <c r="BB27" s="18">
        <f t="shared" si="11"/>
        <v>647.999999999884</v>
      </c>
      <c r="BC27" s="18">
        <f t="shared" si="27"/>
        <v>1347.99999999959</v>
      </c>
      <c r="BD27" s="18">
        <f t="shared" si="12"/>
        <v>13083.9999999903</v>
      </c>
      <c r="BE27" s="18">
        <f t="shared" si="13"/>
        <v>50999.9999999854</v>
      </c>
      <c r="BF27" s="18">
        <f t="shared" si="14"/>
        <v>58.3999999999942</v>
      </c>
      <c r="BG27" s="21">
        <f t="shared" si="15"/>
        <v>0.241173521984553</v>
      </c>
      <c r="BH27" s="21">
        <f t="shared" si="16"/>
        <v>0.0401010091456759</v>
      </c>
      <c r="BI27" s="21">
        <f t="shared" si="17"/>
        <v>0</v>
      </c>
      <c r="BJ27" s="21">
        <f t="shared" si="18"/>
        <v>0.0394389641833648</v>
      </c>
      <c r="BK27" s="21">
        <f t="shared" ref="BK27:BO27" si="138">IF(OR($AD27=0),"",AZ27/$AD27)</f>
        <v>0.0420871440326087</v>
      </c>
      <c r="BL27" s="21">
        <f t="shared" si="138"/>
        <v>0.0482347043969106</v>
      </c>
      <c r="BM27" s="21">
        <f t="shared" si="138"/>
        <v>0.00306432239698052</v>
      </c>
      <c r="BN27" s="21">
        <f t="shared" si="138"/>
        <v>0.00637454720853278</v>
      </c>
      <c r="BO27" s="21">
        <f t="shared" si="138"/>
        <v>0.0618728306204796</v>
      </c>
    </row>
    <row r="28" spans="1:67">
      <c r="A28" s="9">
        <f t="shared" si="20"/>
        <v>44402</v>
      </c>
      <c r="B28" s="10">
        <v>16642.93</v>
      </c>
      <c r="C28" s="8">
        <v>91751.1</v>
      </c>
      <c r="D28" s="8">
        <v>58567.2</v>
      </c>
      <c r="E28" s="8">
        <v>57287.7</v>
      </c>
      <c r="F28" s="8">
        <v>4867.12</v>
      </c>
      <c r="G28" s="8">
        <v>112729.2</v>
      </c>
      <c r="H28" s="8">
        <v>5596.3</v>
      </c>
      <c r="I28" s="8">
        <v>2566.3</v>
      </c>
      <c r="J28" s="8">
        <v>967</v>
      </c>
      <c r="K28" s="8">
        <v>56</v>
      </c>
      <c r="L28" s="8">
        <v>91234.4</v>
      </c>
      <c r="M28" s="8">
        <v>61476.9</v>
      </c>
      <c r="N28" s="8">
        <v>72504.7</v>
      </c>
      <c r="O28" s="8">
        <v>103024.9</v>
      </c>
      <c r="P28" s="8">
        <v>5489.4</v>
      </c>
      <c r="Q28" s="8">
        <v>7248.8</v>
      </c>
      <c r="R28" s="8">
        <v>4621.8</v>
      </c>
      <c r="S28" s="8">
        <v>5206.2</v>
      </c>
      <c r="T28" s="8">
        <v>6755.2</v>
      </c>
      <c r="U28" s="8">
        <v>17362.3</v>
      </c>
      <c r="V28" s="8">
        <v>50806.1</v>
      </c>
      <c r="W28" s="8">
        <v>52241.6</v>
      </c>
      <c r="X28" s="8">
        <v>2386.1</v>
      </c>
      <c r="Y28" s="8">
        <v>2098.7</v>
      </c>
      <c r="Z28" s="16">
        <f t="shared" si="21"/>
        <v>56726.4</v>
      </c>
      <c r="AA28" s="8">
        <v>63410.2</v>
      </c>
      <c r="AB28" s="14">
        <v>3622</v>
      </c>
      <c r="AC28" s="7">
        <f t="shared" si="22"/>
        <v>67032.2</v>
      </c>
      <c r="AD28" s="17">
        <v>210638</v>
      </c>
      <c r="AE28" s="18">
        <f t="shared" ref="AE28:AI28" si="139">IF(OR(C29=""),"",(C29-C28)*80)</f>
        <v>3720</v>
      </c>
      <c r="AF28" s="18">
        <f t="shared" si="139"/>
        <v>2304.00000000023</v>
      </c>
      <c r="AG28" s="18">
        <f t="shared" si="139"/>
        <v>0</v>
      </c>
      <c r="AH28" s="18">
        <f t="shared" si="139"/>
        <v>595.999999999985</v>
      </c>
      <c r="AI28" s="18">
        <f t="shared" si="139"/>
        <v>2368.00000000047</v>
      </c>
      <c r="AJ28" s="18">
        <f t="shared" si="3"/>
        <v>8988.00000000068</v>
      </c>
      <c r="AK28" s="18">
        <f t="shared" ref="AK28:AN28" si="140">IF(OR(H29=""),"",(H29-H28)*80)</f>
        <v>0</v>
      </c>
      <c r="AL28" s="18">
        <f t="shared" si="140"/>
        <v>0</v>
      </c>
      <c r="AM28" s="18">
        <f t="shared" si="140"/>
        <v>0</v>
      </c>
      <c r="AN28" s="18">
        <f t="shared" si="140"/>
        <v>0</v>
      </c>
      <c r="AO28" s="18">
        <f t="shared" si="5"/>
        <v>0</v>
      </c>
      <c r="AP28" s="18">
        <f t="shared" ref="AP28:AS28" si="141">IF(OR(L29=""),"",(L29-L28)*100)</f>
        <v>2800</v>
      </c>
      <c r="AQ28" s="18">
        <f t="shared" si="141"/>
        <v>0</v>
      </c>
      <c r="AR28" s="18">
        <f t="shared" si="141"/>
        <v>2869.99999999971</v>
      </c>
      <c r="AS28" s="18">
        <f t="shared" si="141"/>
        <v>2550</v>
      </c>
      <c r="AT28" s="18">
        <f t="shared" si="7"/>
        <v>8219.99999999971</v>
      </c>
      <c r="AU28" s="18">
        <f t="shared" ref="AU28:AY28" si="142">IF(OR(P29=""),"",(P29-P28)*1000)</f>
        <v>3900.00000000055</v>
      </c>
      <c r="AV28" s="18">
        <f t="shared" si="142"/>
        <v>0</v>
      </c>
      <c r="AW28" s="18">
        <f t="shared" si="142"/>
        <v>0</v>
      </c>
      <c r="AX28" s="18">
        <f t="shared" si="142"/>
        <v>4800.00000000018</v>
      </c>
      <c r="AY28" s="18">
        <f t="shared" si="142"/>
        <v>0</v>
      </c>
      <c r="AZ28" s="18">
        <f t="shared" si="9"/>
        <v>8700.00000000073</v>
      </c>
      <c r="BA28" s="18">
        <f t="shared" si="10"/>
        <v>10200.0000000044</v>
      </c>
      <c r="BB28" s="18">
        <f t="shared" si="11"/>
        <v>616.000000000349</v>
      </c>
      <c r="BC28" s="18">
        <f t="shared" si="27"/>
        <v>1244.00000000052</v>
      </c>
      <c r="BD28" s="18">
        <f t="shared" si="12"/>
        <v>12432.0000000024</v>
      </c>
      <c r="BE28" s="18">
        <f t="shared" si="13"/>
        <v>50400.0000000087</v>
      </c>
      <c r="BF28" s="18">
        <f t="shared" si="14"/>
        <v>58.9000000000087</v>
      </c>
      <c r="BG28" s="21">
        <f t="shared" si="15"/>
        <v>0.23927306563872</v>
      </c>
      <c r="BH28" s="21">
        <f t="shared" si="16"/>
        <v>0.0426703633722343</v>
      </c>
      <c r="BI28" s="21">
        <f t="shared" si="17"/>
        <v>0</v>
      </c>
      <c r="BJ28" s="21">
        <f t="shared" si="18"/>
        <v>0.0390242976101164</v>
      </c>
      <c r="BK28" s="21">
        <f t="shared" ref="BK28:BO28" si="143">IF(OR($AD28=0),"",AZ28/$AD28)</f>
        <v>0.041303088711442</v>
      </c>
      <c r="BL28" s="21">
        <f t="shared" si="143"/>
        <v>0.0484243109030867</v>
      </c>
      <c r="BM28" s="21">
        <f t="shared" si="143"/>
        <v>0.00292444858002995</v>
      </c>
      <c r="BN28" s="21">
        <f t="shared" si="143"/>
        <v>0.0059058669375921</v>
      </c>
      <c r="BO28" s="21">
        <f t="shared" si="143"/>
        <v>0.0590206895242187</v>
      </c>
    </row>
    <row r="29" spans="1:67">
      <c r="A29" s="9">
        <f t="shared" si="20"/>
        <v>44403</v>
      </c>
      <c r="B29" s="10">
        <v>16647.97</v>
      </c>
      <c r="C29" s="8">
        <v>91797.6</v>
      </c>
      <c r="D29" s="8">
        <v>58596</v>
      </c>
      <c r="E29" s="8">
        <v>57287.7</v>
      </c>
      <c r="F29" s="8">
        <v>4874.57</v>
      </c>
      <c r="G29" s="8">
        <v>112758.8</v>
      </c>
      <c r="H29" s="8">
        <v>5596.3</v>
      </c>
      <c r="I29" s="8">
        <v>2566.3</v>
      </c>
      <c r="J29" s="8">
        <v>967</v>
      </c>
      <c r="K29" s="8">
        <v>56</v>
      </c>
      <c r="L29" s="8">
        <v>91262.4</v>
      </c>
      <c r="M29" s="8">
        <v>61476.9</v>
      </c>
      <c r="N29" s="8">
        <v>72533.4</v>
      </c>
      <c r="O29" s="8">
        <v>103050.4</v>
      </c>
      <c r="P29" s="8">
        <v>5493.3</v>
      </c>
      <c r="Q29" s="8">
        <v>7248.8</v>
      </c>
      <c r="R29" s="8">
        <v>4621.8</v>
      </c>
      <c r="S29" s="8">
        <v>5211</v>
      </c>
      <c r="T29" s="8">
        <v>6755.2</v>
      </c>
      <c r="U29" s="8">
        <v>17367.4</v>
      </c>
      <c r="V29" s="8">
        <v>50813.8</v>
      </c>
      <c r="W29" s="8">
        <v>52257.9</v>
      </c>
      <c r="X29" s="8">
        <v>2394.3</v>
      </c>
      <c r="Y29" s="8">
        <v>2105.3</v>
      </c>
      <c r="Z29" s="16">
        <f t="shared" si="21"/>
        <v>56757.5</v>
      </c>
      <c r="AA29" s="8">
        <v>63462.1</v>
      </c>
      <c r="AB29" s="14">
        <v>3629</v>
      </c>
      <c r="AC29" s="7">
        <f t="shared" si="22"/>
        <v>67091.1</v>
      </c>
      <c r="AD29" s="17">
        <v>209521</v>
      </c>
      <c r="AE29" s="18">
        <f t="shared" ref="AE29:AI29" si="144">IF(OR(C30=""),"",(C30-C29)*80)</f>
        <v>3775.99999999977</v>
      </c>
      <c r="AF29" s="18">
        <f t="shared" si="144"/>
        <v>3095.99999999977</v>
      </c>
      <c r="AG29" s="18">
        <f t="shared" si="144"/>
        <v>0</v>
      </c>
      <c r="AH29" s="18">
        <f t="shared" si="144"/>
        <v>4.80000000003201</v>
      </c>
      <c r="AI29" s="18">
        <f t="shared" si="144"/>
        <v>2255.99999999977</v>
      </c>
      <c r="AJ29" s="18">
        <f t="shared" si="3"/>
        <v>9132.79999999933</v>
      </c>
      <c r="AK29" s="18">
        <f t="shared" ref="AK29:AN29" si="145">IF(OR(H30=""),"",(H30-H29)*80)</f>
        <v>0</v>
      </c>
      <c r="AL29" s="18">
        <f t="shared" si="145"/>
        <v>0</v>
      </c>
      <c r="AM29" s="18">
        <f t="shared" si="145"/>
        <v>0</v>
      </c>
      <c r="AN29" s="18">
        <f t="shared" si="145"/>
        <v>0</v>
      </c>
      <c r="AO29" s="18">
        <f t="shared" si="5"/>
        <v>0</v>
      </c>
      <c r="AP29" s="18">
        <f t="shared" ref="AP29:AS29" si="146">IF(OR(L30=""),"",(L30-L29)*100)</f>
        <v>2850</v>
      </c>
      <c r="AQ29" s="18">
        <f t="shared" si="146"/>
        <v>0</v>
      </c>
      <c r="AR29" s="18">
        <f t="shared" si="146"/>
        <v>2920.00000000116</v>
      </c>
      <c r="AS29" s="18">
        <f t="shared" si="146"/>
        <v>2600</v>
      </c>
      <c r="AT29" s="18">
        <f t="shared" si="7"/>
        <v>8370.00000000116</v>
      </c>
      <c r="AU29" s="18">
        <f t="shared" ref="AU29:AY29" si="147">IF(OR(P30=""),"",(P30-P29)*1000)</f>
        <v>3300.00000000018</v>
      </c>
      <c r="AV29" s="18">
        <f t="shared" si="147"/>
        <v>5500</v>
      </c>
      <c r="AW29" s="18">
        <f t="shared" si="147"/>
        <v>0</v>
      </c>
      <c r="AX29" s="18">
        <f t="shared" si="147"/>
        <v>1000</v>
      </c>
      <c r="AY29" s="18">
        <f t="shared" si="147"/>
        <v>0</v>
      </c>
      <c r="AZ29" s="18">
        <f t="shared" si="9"/>
        <v>9800.00000000018</v>
      </c>
      <c r="BA29" s="18">
        <f t="shared" si="10"/>
        <v>9799.99999999563</v>
      </c>
      <c r="BB29" s="18">
        <f t="shared" si="11"/>
        <v>631.999999999534</v>
      </c>
      <c r="BC29" s="18">
        <f t="shared" si="27"/>
        <v>1291.99999999953</v>
      </c>
      <c r="BD29" s="18">
        <f t="shared" si="12"/>
        <v>9473.19999999007</v>
      </c>
      <c r="BE29" s="18">
        <f t="shared" si="13"/>
        <v>48499.9999999854</v>
      </c>
      <c r="BF29" s="18">
        <f t="shared" si="14"/>
        <v>59.1999999999971</v>
      </c>
      <c r="BG29" s="21">
        <f t="shared" si="15"/>
        <v>0.231480376668618</v>
      </c>
      <c r="BH29" s="21">
        <f t="shared" si="16"/>
        <v>0.0435889481245285</v>
      </c>
      <c r="BI29" s="21">
        <f t="shared" si="17"/>
        <v>0</v>
      </c>
      <c r="BJ29" s="21">
        <f t="shared" si="18"/>
        <v>0.0399482629426223</v>
      </c>
      <c r="BK29" s="21">
        <f t="shared" ref="BK29:BO29" si="148">IF(OR($AD29=0),"",AZ29/$AD29)</f>
        <v>0.0467733544608902</v>
      </c>
      <c r="BL29" s="21">
        <f t="shared" si="148"/>
        <v>0.0467733544608685</v>
      </c>
      <c r="BM29" s="21">
        <f t="shared" si="148"/>
        <v>0.00301640408359799</v>
      </c>
      <c r="BN29" s="21">
        <f t="shared" si="148"/>
        <v>0.00616644632280074</v>
      </c>
      <c r="BO29" s="21">
        <f t="shared" si="148"/>
        <v>0.0452136062733094</v>
      </c>
    </row>
    <row r="30" spans="1:67">
      <c r="A30" s="9">
        <f t="shared" si="20"/>
        <v>44404</v>
      </c>
      <c r="B30" s="10">
        <v>16652.82</v>
      </c>
      <c r="C30" s="8">
        <v>91844.8</v>
      </c>
      <c r="D30" s="8">
        <v>58634.7</v>
      </c>
      <c r="E30" s="8">
        <v>57287.7</v>
      </c>
      <c r="F30" s="8">
        <v>4874.63</v>
      </c>
      <c r="G30" s="8">
        <v>112787</v>
      </c>
      <c r="H30" s="8">
        <v>5596.3</v>
      </c>
      <c r="I30" s="8">
        <v>2566.3</v>
      </c>
      <c r="J30" s="8">
        <v>967</v>
      </c>
      <c r="K30" s="8">
        <v>56</v>
      </c>
      <c r="L30" s="8">
        <v>91290.9</v>
      </c>
      <c r="M30" s="8">
        <v>61476.9</v>
      </c>
      <c r="N30" s="8">
        <v>72562.6</v>
      </c>
      <c r="O30" s="8">
        <v>103076.4</v>
      </c>
      <c r="P30" s="8">
        <v>5496.6</v>
      </c>
      <c r="Q30" s="8">
        <v>7254.3</v>
      </c>
      <c r="R30" s="8">
        <v>4621.8</v>
      </c>
      <c r="S30" s="8">
        <v>5212</v>
      </c>
      <c r="T30" s="8">
        <v>6755.2</v>
      </c>
      <c r="U30" s="8">
        <v>17372.3</v>
      </c>
      <c r="V30" s="8">
        <v>50821.7</v>
      </c>
      <c r="W30" s="8">
        <v>52274.2</v>
      </c>
      <c r="X30" s="8">
        <v>2402.5</v>
      </c>
      <c r="Y30" s="8">
        <v>2113.1</v>
      </c>
      <c r="Z30" s="16">
        <f t="shared" si="21"/>
        <v>56789.8</v>
      </c>
      <c r="AA30" s="8">
        <v>63515.3</v>
      </c>
      <c r="AB30" s="14">
        <v>3635</v>
      </c>
      <c r="AC30" s="7">
        <f t="shared" si="22"/>
        <v>67150.3</v>
      </c>
      <c r="AD30" s="17">
        <v>211416</v>
      </c>
      <c r="AE30" s="18">
        <f t="shared" ref="AE30:AI30" si="149">IF(OR(C31=""),"",(C31-C30)*80)</f>
        <v>3647.9999999993</v>
      </c>
      <c r="AF30" s="18">
        <f t="shared" si="149"/>
        <v>3024.00000000023</v>
      </c>
      <c r="AG30" s="18">
        <f t="shared" si="149"/>
        <v>0</v>
      </c>
      <c r="AH30" s="18">
        <f t="shared" si="149"/>
        <v>0</v>
      </c>
      <c r="AI30" s="18">
        <f t="shared" si="149"/>
        <v>2175.99999999977</v>
      </c>
      <c r="AJ30" s="18">
        <f t="shared" si="3"/>
        <v>8847.9999999993</v>
      </c>
      <c r="AK30" s="18">
        <f t="shared" ref="AK30:AN30" si="150">IF(OR(H31=""),"",(H31-H30)*80)</f>
        <v>0</v>
      </c>
      <c r="AL30" s="18">
        <f t="shared" si="150"/>
        <v>0</v>
      </c>
      <c r="AM30" s="18">
        <f t="shared" si="150"/>
        <v>0</v>
      </c>
      <c r="AN30" s="18">
        <f t="shared" si="150"/>
        <v>0</v>
      </c>
      <c r="AO30" s="18">
        <f t="shared" si="5"/>
        <v>0</v>
      </c>
      <c r="AP30" s="18">
        <f t="shared" ref="AP30:AS30" si="151">IF(OR(L31=""),"",(L31-L30)*100)</f>
        <v>2800</v>
      </c>
      <c r="AQ30" s="18">
        <f t="shared" si="151"/>
        <v>0</v>
      </c>
      <c r="AR30" s="18">
        <f t="shared" si="151"/>
        <v>2869.99999999971</v>
      </c>
      <c r="AS30" s="18">
        <f t="shared" si="151"/>
        <v>2630.00000000029</v>
      </c>
      <c r="AT30" s="18">
        <f t="shared" si="7"/>
        <v>8300</v>
      </c>
      <c r="AU30" s="18">
        <f t="shared" ref="AU30:AY30" si="152">IF(OR(P31=""),"",(P31-P30)*1000)</f>
        <v>1000</v>
      </c>
      <c r="AV30" s="18">
        <f t="shared" si="152"/>
        <v>1699.99999999982</v>
      </c>
      <c r="AW30" s="18">
        <f t="shared" si="152"/>
        <v>0</v>
      </c>
      <c r="AX30" s="18">
        <f t="shared" si="152"/>
        <v>3600.00000000036</v>
      </c>
      <c r="AY30" s="18">
        <f t="shared" si="152"/>
        <v>0</v>
      </c>
      <c r="AZ30" s="18">
        <f t="shared" si="9"/>
        <v>6300.00000000018</v>
      </c>
      <c r="BA30" s="18">
        <f t="shared" si="10"/>
        <v>9400.00000000146</v>
      </c>
      <c r="BB30" s="18">
        <f t="shared" si="11"/>
        <v>624.000000000233</v>
      </c>
      <c r="BC30" s="18">
        <f t="shared" si="27"/>
        <v>1284.00000000023</v>
      </c>
      <c r="BD30" s="18">
        <f t="shared" si="12"/>
        <v>9143.99999999277</v>
      </c>
      <c r="BE30" s="18">
        <f t="shared" si="13"/>
        <v>43899.9999999942</v>
      </c>
      <c r="BF30" s="18">
        <f t="shared" si="14"/>
        <v>68</v>
      </c>
      <c r="BG30" s="21">
        <f t="shared" si="15"/>
        <v>0.20764748174213</v>
      </c>
      <c r="BH30" s="21">
        <f t="shared" si="16"/>
        <v>0.0418511370946348</v>
      </c>
      <c r="BI30" s="21">
        <f t="shared" si="17"/>
        <v>0</v>
      </c>
      <c r="BJ30" s="21">
        <f t="shared" si="18"/>
        <v>0.0392590910810913</v>
      </c>
      <c r="BK30" s="21">
        <f t="shared" ref="BK30:BO30" si="153">IF(OR($AD30=0),"",AZ30/$AD30)</f>
        <v>0.0297990691338413</v>
      </c>
      <c r="BL30" s="21">
        <f t="shared" si="153"/>
        <v>0.0444621031520862</v>
      </c>
      <c r="BM30" s="21">
        <f t="shared" si="153"/>
        <v>0.00295152684754339</v>
      </c>
      <c r="BN30" s="21">
        <f t="shared" si="153"/>
        <v>0.00607333409013619</v>
      </c>
      <c r="BO30" s="21">
        <f t="shared" si="153"/>
        <v>0.043251220342797</v>
      </c>
    </row>
    <row r="31" spans="1:67">
      <c r="A31" s="9">
        <f t="shared" si="20"/>
        <v>44405</v>
      </c>
      <c r="B31" s="10">
        <v>16657.21</v>
      </c>
      <c r="C31" s="8">
        <v>91890.4</v>
      </c>
      <c r="D31" s="8">
        <v>58672.5</v>
      </c>
      <c r="E31" s="8">
        <v>57287.7</v>
      </c>
      <c r="F31" s="8">
        <v>4874.63</v>
      </c>
      <c r="G31" s="8">
        <v>112814.2</v>
      </c>
      <c r="H31" s="8">
        <v>5596.3</v>
      </c>
      <c r="I31" s="8">
        <v>2566.3</v>
      </c>
      <c r="J31" s="8">
        <v>967</v>
      </c>
      <c r="K31" s="8">
        <v>56</v>
      </c>
      <c r="L31" s="8">
        <v>91318.9</v>
      </c>
      <c r="M31" s="8">
        <v>61476.9</v>
      </c>
      <c r="N31" s="8">
        <v>72591.3</v>
      </c>
      <c r="O31" s="8">
        <v>103102.7</v>
      </c>
      <c r="P31" s="8">
        <v>5497.6</v>
      </c>
      <c r="Q31" s="8">
        <v>7256</v>
      </c>
      <c r="R31" s="8">
        <v>4621.8</v>
      </c>
      <c r="S31" s="8">
        <v>5215.6</v>
      </c>
      <c r="T31" s="8">
        <v>6755.2</v>
      </c>
      <c r="U31" s="8">
        <v>17377</v>
      </c>
      <c r="V31" s="8">
        <v>50829.5</v>
      </c>
      <c r="W31" s="8">
        <v>52290</v>
      </c>
      <c r="X31" s="8">
        <v>2410.5</v>
      </c>
      <c r="Y31" s="8">
        <v>2121.4</v>
      </c>
      <c r="Z31" s="16">
        <f t="shared" si="21"/>
        <v>56821.9</v>
      </c>
      <c r="AA31" s="8">
        <v>63567.3</v>
      </c>
      <c r="AB31" s="14">
        <v>3651</v>
      </c>
      <c r="AC31" s="7">
        <f t="shared" si="22"/>
        <v>67218.3</v>
      </c>
      <c r="AD31" s="17">
        <v>210167</v>
      </c>
      <c r="AE31" s="18">
        <f t="shared" ref="AE31:AI31" si="154">IF(OR(C32=""),"",(C32-C31)*80)</f>
        <v>3752.0000000007</v>
      </c>
      <c r="AF31" s="18">
        <f t="shared" si="154"/>
        <v>3064.00000000023</v>
      </c>
      <c r="AG31" s="18">
        <f t="shared" si="154"/>
        <v>0</v>
      </c>
      <c r="AH31" s="18">
        <f t="shared" si="154"/>
        <v>0</v>
      </c>
      <c r="AI31" s="18">
        <f t="shared" si="154"/>
        <v>2184.00000000023</v>
      </c>
      <c r="AJ31" s="18">
        <f t="shared" si="3"/>
        <v>9000.00000000116</v>
      </c>
      <c r="AK31" s="18">
        <f t="shared" ref="AK31:AN31" si="155">IF(OR(H32=""),"",(H32-H31)*80)</f>
        <v>0</v>
      </c>
      <c r="AL31" s="18">
        <f t="shared" si="155"/>
        <v>0</v>
      </c>
      <c r="AM31" s="18">
        <f t="shared" si="155"/>
        <v>0</v>
      </c>
      <c r="AN31" s="18">
        <f t="shared" si="155"/>
        <v>0</v>
      </c>
      <c r="AO31" s="18">
        <f t="shared" si="5"/>
        <v>0</v>
      </c>
      <c r="AP31" s="18">
        <f t="shared" ref="AP31:AS31" si="156">IF(OR(L32=""),"",(L32-L31)*100)</f>
        <v>2730.00000000029</v>
      </c>
      <c r="AQ31" s="18">
        <f t="shared" si="156"/>
        <v>0</v>
      </c>
      <c r="AR31" s="18">
        <f t="shared" si="156"/>
        <v>2859.99999999913</v>
      </c>
      <c r="AS31" s="18">
        <f t="shared" si="156"/>
        <v>2480.00000000029</v>
      </c>
      <c r="AT31" s="18">
        <f t="shared" si="7"/>
        <v>8069.99999999971</v>
      </c>
      <c r="AU31" s="18">
        <f t="shared" ref="AU31:AY31" si="157">IF(OR(P32=""),"",(P32-P31)*1000)</f>
        <v>0</v>
      </c>
      <c r="AV31" s="18">
        <f t="shared" si="157"/>
        <v>0</v>
      </c>
      <c r="AW31" s="18">
        <f t="shared" si="157"/>
        <v>0</v>
      </c>
      <c r="AX31" s="18">
        <f t="shared" si="157"/>
        <v>4599.99999999945</v>
      </c>
      <c r="AY31" s="18">
        <f t="shared" si="157"/>
        <v>0</v>
      </c>
      <c r="AZ31" s="18">
        <f t="shared" si="9"/>
        <v>4599.99999999945</v>
      </c>
      <c r="BA31" s="18">
        <f t="shared" si="10"/>
        <v>9400.00000000146</v>
      </c>
      <c r="BB31" s="18">
        <f t="shared" si="11"/>
        <v>520</v>
      </c>
      <c r="BC31" s="18">
        <f t="shared" si="27"/>
        <v>1336.00000000006</v>
      </c>
      <c r="BD31" s="18">
        <f t="shared" si="12"/>
        <v>9573.99999999816</v>
      </c>
      <c r="BE31" s="18">
        <f t="shared" si="13"/>
        <v>42500</v>
      </c>
      <c r="BF31" s="18">
        <f t="shared" si="14"/>
        <v>60</v>
      </c>
      <c r="BG31" s="21">
        <f t="shared" si="15"/>
        <v>0.202220139222618</v>
      </c>
      <c r="BH31" s="21">
        <f t="shared" si="16"/>
        <v>0.0428230883059718</v>
      </c>
      <c r="BI31" s="21">
        <f t="shared" si="17"/>
        <v>0</v>
      </c>
      <c r="BJ31" s="21">
        <f t="shared" si="18"/>
        <v>0.0383980358476817</v>
      </c>
      <c r="BK31" s="21">
        <f t="shared" ref="BK31:BO31" si="158">IF(OR($AD31=0),"",AZ31/$AD31)</f>
        <v>0.021887356245269</v>
      </c>
      <c r="BL31" s="21">
        <f t="shared" si="158"/>
        <v>0.0447263366751272</v>
      </c>
      <c r="BM31" s="21">
        <f t="shared" si="158"/>
        <v>0.00247422287990027</v>
      </c>
      <c r="BN31" s="21">
        <f t="shared" si="158"/>
        <v>0.00635684955297482</v>
      </c>
      <c r="BO31" s="21">
        <f t="shared" si="158"/>
        <v>0.0455542497156935</v>
      </c>
    </row>
    <row r="32" spans="1:67">
      <c r="A32" s="9">
        <f t="shared" si="20"/>
        <v>44406</v>
      </c>
      <c r="B32" s="10">
        <v>16661.46</v>
      </c>
      <c r="C32" s="8">
        <v>91937.3</v>
      </c>
      <c r="D32" s="8">
        <v>58710.8</v>
      </c>
      <c r="E32" s="8">
        <v>57287.7</v>
      </c>
      <c r="F32" s="8">
        <v>4874.63</v>
      </c>
      <c r="G32" s="8">
        <v>112841.5</v>
      </c>
      <c r="H32" s="8">
        <v>5596.3</v>
      </c>
      <c r="I32" s="8">
        <v>2566.3</v>
      </c>
      <c r="J32" s="8">
        <v>967</v>
      </c>
      <c r="K32" s="8">
        <v>56</v>
      </c>
      <c r="L32" s="8">
        <v>91346.2</v>
      </c>
      <c r="M32" s="8">
        <v>61476.9</v>
      </c>
      <c r="N32" s="8">
        <v>72619.9</v>
      </c>
      <c r="O32" s="8">
        <v>103127.5</v>
      </c>
      <c r="P32" s="8">
        <v>5497.6</v>
      </c>
      <c r="Q32" s="8">
        <v>7256</v>
      </c>
      <c r="R32" s="8">
        <v>4621.8</v>
      </c>
      <c r="S32" s="8">
        <v>5220.2</v>
      </c>
      <c r="T32" s="8">
        <v>6755.2</v>
      </c>
      <c r="U32" s="8">
        <v>17381.7</v>
      </c>
      <c r="V32" s="8">
        <v>50836</v>
      </c>
      <c r="W32" s="8">
        <v>52305.8</v>
      </c>
      <c r="X32" s="8">
        <v>2418.6</v>
      </c>
      <c r="Y32" s="8">
        <v>2130.9</v>
      </c>
      <c r="Z32" s="16">
        <f t="shared" si="21"/>
        <v>56855.3</v>
      </c>
      <c r="AA32" s="8">
        <v>63620.3</v>
      </c>
      <c r="AB32" s="14">
        <v>3658</v>
      </c>
      <c r="AC32" s="7">
        <f t="shared" si="22"/>
        <v>67278.3</v>
      </c>
      <c r="AD32" s="17">
        <v>208307</v>
      </c>
      <c r="AE32" s="18">
        <f t="shared" ref="AE32:AI32" si="159">IF(OR(C33=""),"",(C33-C32)*80)</f>
        <v>3791.99999999953</v>
      </c>
      <c r="AF32" s="18">
        <f t="shared" si="159"/>
        <v>3120</v>
      </c>
      <c r="AG32" s="18">
        <f t="shared" si="159"/>
        <v>0</v>
      </c>
      <c r="AH32" s="18">
        <f t="shared" si="159"/>
        <v>12.7999999999884</v>
      </c>
      <c r="AI32" s="18">
        <f t="shared" si="159"/>
        <v>2280</v>
      </c>
      <c r="AJ32" s="18">
        <f t="shared" si="3"/>
        <v>9204.79999999952</v>
      </c>
      <c r="AK32" s="18">
        <f t="shared" ref="AK32:AN32" si="160">IF(OR(H33=""),"",(H33-H32)*80)</f>
        <v>0</v>
      </c>
      <c r="AL32" s="18">
        <f t="shared" si="160"/>
        <v>0</v>
      </c>
      <c r="AM32" s="18">
        <f t="shared" si="160"/>
        <v>0</v>
      </c>
      <c r="AN32" s="18">
        <f t="shared" si="160"/>
        <v>0</v>
      </c>
      <c r="AO32" s="18">
        <f t="shared" si="5"/>
        <v>0</v>
      </c>
      <c r="AP32" s="18">
        <f t="shared" ref="AP32:AS32" si="161">IF(OR(L33=""),"",(L33-L32)*100)</f>
        <v>2600</v>
      </c>
      <c r="AQ32" s="18">
        <f t="shared" si="161"/>
        <v>0</v>
      </c>
      <c r="AR32" s="18">
        <f t="shared" si="161"/>
        <v>2900</v>
      </c>
      <c r="AS32" s="18">
        <f t="shared" si="161"/>
        <v>2539.99999999942</v>
      </c>
      <c r="AT32" s="18">
        <f t="shared" si="7"/>
        <v>8039.99999999942</v>
      </c>
      <c r="AU32" s="18">
        <f t="shared" ref="AU32:AY32" si="162">IF(OR(P33=""),"",(P33-P32)*1000)</f>
        <v>0</v>
      </c>
      <c r="AV32" s="18">
        <f t="shared" si="162"/>
        <v>0</v>
      </c>
      <c r="AW32" s="18">
        <f t="shared" si="162"/>
        <v>0</v>
      </c>
      <c r="AX32" s="18">
        <f t="shared" si="162"/>
        <v>5000</v>
      </c>
      <c r="AY32" s="18">
        <f t="shared" si="162"/>
        <v>0</v>
      </c>
      <c r="AZ32" s="18">
        <f t="shared" si="9"/>
        <v>5000</v>
      </c>
      <c r="BA32" s="18">
        <f t="shared" si="10"/>
        <v>10400.0000000015</v>
      </c>
      <c r="BB32" s="18">
        <f t="shared" si="11"/>
        <v>632.000000000116</v>
      </c>
      <c r="BC32" s="18">
        <f t="shared" si="27"/>
        <v>1363.99999999994</v>
      </c>
      <c r="BD32" s="18">
        <f t="shared" si="12"/>
        <v>7859.19999999955</v>
      </c>
      <c r="BE32" s="18">
        <f t="shared" si="13"/>
        <v>42500</v>
      </c>
      <c r="BF32" s="18">
        <f t="shared" si="14"/>
        <v>61.3999999999942</v>
      </c>
      <c r="BG32" s="21">
        <f t="shared" si="15"/>
        <v>0.204025788859712</v>
      </c>
      <c r="BH32" s="21">
        <f t="shared" si="16"/>
        <v>0.0441886254422536</v>
      </c>
      <c r="BI32" s="21">
        <f t="shared" si="17"/>
        <v>0</v>
      </c>
      <c r="BJ32" s="21">
        <f t="shared" si="18"/>
        <v>0.038596878645458</v>
      </c>
      <c r="BK32" s="21">
        <f t="shared" ref="BK32:BO32" si="163">IF(OR($AD32=0),"",AZ32/$AD32)</f>
        <v>0.0240030339834955</v>
      </c>
      <c r="BL32" s="21">
        <f t="shared" si="163"/>
        <v>0.0499263106856777</v>
      </c>
      <c r="BM32" s="21">
        <f t="shared" si="163"/>
        <v>0.00303398349551439</v>
      </c>
      <c r="BN32" s="21">
        <f t="shared" si="163"/>
        <v>0.0065480276706973</v>
      </c>
      <c r="BO32" s="21">
        <f t="shared" si="163"/>
        <v>0.0377289289366154</v>
      </c>
    </row>
    <row r="33" spans="1:67">
      <c r="A33" s="9">
        <f t="shared" si="20"/>
        <v>44407</v>
      </c>
      <c r="B33" s="10">
        <v>16665.71</v>
      </c>
      <c r="C33" s="8">
        <v>91984.7</v>
      </c>
      <c r="D33" s="8">
        <v>58749.8</v>
      </c>
      <c r="E33" s="8">
        <v>57287.7</v>
      </c>
      <c r="F33" s="8">
        <v>4874.79</v>
      </c>
      <c r="G33" s="8">
        <v>112870</v>
      </c>
      <c r="H33" s="8">
        <v>5596.3</v>
      </c>
      <c r="I33" s="8">
        <v>2566.3</v>
      </c>
      <c r="J33" s="8">
        <v>967</v>
      </c>
      <c r="K33" s="8">
        <v>56</v>
      </c>
      <c r="L33" s="8">
        <v>91372.2</v>
      </c>
      <c r="M33" s="8">
        <v>61476.9</v>
      </c>
      <c r="N33" s="8">
        <v>72648.9</v>
      </c>
      <c r="O33" s="8">
        <v>103152.9</v>
      </c>
      <c r="P33" s="8">
        <v>5497.6</v>
      </c>
      <c r="Q33" s="8">
        <v>7256</v>
      </c>
      <c r="R33" s="8">
        <v>4621.8</v>
      </c>
      <c r="S33" s="8">
        <v>5225.2</v>
      </c>
      <c r="T33" s="8">
        <v>6755.2</v>
      </c>
      <c r="U33" s="8">
        <v>17386.9</v>
      </c>
      <c r="V33" s="8">
        <v>50843.9</v>
      </c>
      <c r="W33" s="8">
        <v>52322</v>
      </c>
      <c r="X33" s="8">
        <v>2426.8</v>
      </c>
      <c r="Y33" s="8">
        <v>2140.6</v>
      </c>
      <c r="Z33" s="16">
        <f t="shared" si="21"/>
        <v>56889.4</v>
      </c>
      <c r="AA33" s="8">
        <v>63672.7</v>
      </c>
      <c r="AB33" s="14">
        <v>3667</v>
      </c>
      <c r="AC33" s="7">
        <f t="shared" si="22"/>
        <v>67339.7</v>
      </c>
      <c r="AD33" s="17">
        <v>206602</v>
      </c>
      <c r="AE33" s="18">
        <f t="shared" ref="AE33:AI33" si="164">IF(OR(C34=""),"",(C34-C33)*80)</f>
        <v>3792.0000000007</v>
      </c>
      <c r="AF33" s="18">
        <f t="shared" si="164"/>
        <v>3087.99999999988</v>
      </c>
      <c r="AG33" s="18">
        <f t="shared" si="164"/>
        <v>0</v>
      </c>
      <c r="AH33" s="18">
        <f t="shared" si="164"/>
        <v>24.800000000032</v>
      </c>
      <c r="AI33" s="18">
        <f t="shared" si="164"/>
        <v>2391.99999999953</v>
      </c>
      <c r="AJ33" s="18">
        <f t="shared" si="3"/>
        <v>9296.80000000015</v>
      </c>
      <c r="AK33" s="18">
        <f t="shared" ref="AK33:AN33" si="165">IF(OR(H34=""),"",(H34-H33)*80)</f>
        <v>0</v>
      </c>
      <c r="AL33" s="18">
        <f t="shared" si="165"/>
        <v>0</v>
      </c>
      <c r="AM33" s="18">
        <f t="shared" si="165"/>
        <v>0</v>
      </c>
      <c r="AN33" s="18">
        <f t="shared" si="165"/>
        <v>0</v>
      </c>
      <c r="AO33" s="18">
        <f t="shared" si="5"/>
        <v>0</v>
      </c>
      <c r="AP33" s="18">
        <f t="shared" ref="AP33:AS33" si="166">IF(OR(L34=""),"",(L34-L33)*100)</f>
        <v>2680.00000000029</v>
      </c>
      <c r="AQ33" s="18">
        <f t="shared" si="166"/>
        <v>0</v>
      </c>
      <c r="AR33" s="18">
        <f t="shared" si="166"/>
        <v>2940.00000000087</v>
      </c>
      <c r="AS33" s="18">
        <f t="shared" si="166"/>
        <v>2570.00000000116</v>
      </c>
      <c r="AT33" s="18">
        <f t="shared" si="7"/>
        <v>8190.00000000233</v>
      </c>
      <c r="AU33" s="18">
        <f t="shared" ref="AU33:AY33" si="167">IF(OR(P34=""),"",(P34-P33)*1000)</f>
        <v>1299.99999999927</v>
      </c>
      <c r="AV33" s="18">
        <f t="shared" si="167"/>
        <v>2300.00000000018</v>
      </c>
      <c r="AW33" s="18">
        <f t="shared" si="167"/>
        <v>0</v>
      </c>
      <c r="AX33" s="18">
        <f t="shared" si="167"/>
        <v>3400.00000000055</v>
      </c>
      <c r="AY33" s="18">
        <f t="shared" si="167"/>
        <v>0</v>
      </c>
      <c r="AZ33" s="18">
        <f t="shared" si="9"/>
        <v>7000</v>
      </c>
      <c r="BA33" s="18">
        <f t="shared" si="10"/>
        <v>10799.9999999956</v>
      </c>
      <c r="BB33" s="18">
        <f t="shared" si="11"/>
        <v>607.999999999884</v>
      </c>
      <c r="BC33" s="18">
        <f t="shared" si="27"/>
        <v>1367.99999999988</v>
      </c>
      <c r="BD33" s="18">
        <f t="shared" si="12"/>
        <v>8637.20000000358</v>
      </c>
      <c r="BE33" s="18">
        <f t="shared" si="13"/>
        <v>45900.0000000015</v>
      </c>
      <c r="BF33" s="18">
        <f t="shared" si="14"/>
        <v>60.9000000000087</v>
      </c>
      <c r="BG33" s="21">
        <f t="shared" si="15"/>
        <v>0.222166290742594</v>
      </c>
      <c r="BH33" s="21">
        <f t="shared" si="16"/>
        <v>0.044998596334983</v>
      </c>
      <c r="BI33" s="21">
        <f t="shared" si="17"/>
        <v>0</v>
      </c>
      <c r="BJ33" s="21">
        <f t="shared" si="18"/>
        <v>0.0396414361913357</v>
      </c>
      <c r="BK33" s="21">
        <f t="shared" ref="BK33:BO33" si="168">IF(OR($AD33=0),"",AZ33/$AD33)</f>
        <v>0.0338815693942943</v>
      </c>
      <c r="BL33" s="21">
        <f t="shared" si="168"/>
        <v>0.0522744213511759</v>
      </c>
      <c r="BM33" s="21">
        <f t="shared" si="168"/>
        <v>0.00294285631310386</v>
      </c>
      <c r="BN33" s="21">
        <f t="shared" si="168"/>
        <v>0.00662142670448439</v>
      </c>
      <c r="BO33" s="21">
        <f t="shared" si="168"/>
        <v>0.0418059844532172</v>
      </c>
    </row>
    <row r="34" spans="1:67">
      <c r="A34" s="9">
        <f t="shared" si="20"/>
        <v>44408</v>
      </c>
      <c r="B34" s="7">
        <v>16670.3</v>
      </c>
      <c r="C34" s="8">
        <v>92032.1</v>
      </c>
      <c r="D34" s="8">
        <v>58788.4</v>
      </c>
      <c r="E34" s="8">
        <v>57287.7</v>
      </c>
      <c r="F34" s="8">
        <v>4875.1</v>
      </c>
      <c r="G34" s="8">
        <v>112899.9</v>
      </c>
      <c r="H34" s="8">
        <v>5596.3</v>
      </c>
      <c r="I34" s="8">
        <v>2566.3</v>
      </c>
      <c r="J34" s="8">
        <v>967</v>
      </c>
      <c r="K34" s="8">
        <v>56</v>
      </c>
      <c r="L34" s="8">
        <v>91399</v>
      </c>
      <c r="M34" s="8">
        <v>61476.9</v>
      </c>
      <c r="N34" s="8">
        <v>72678.3</v>
      </c>
      <c r="O34" s="8">
        <v>103178.6</v>
      </c>
      <c r="P34" s="8">
        <v>5498.9</v>
      </c>
      <c r="Q34" s="8">
        <v>7258.3</v>
      </c>
      <c r="R34" s="8">
        <v>4621.8</v>
      </c>
      <c r="S34" s="8">
        <v>5228.6</v>
      </c>
      <c r="T34" s="8">
        <v>6755.2</v>
      </c>
      <c r="U34" s="8">
        <v>17392.3</v>
      </c>
      <c r="V34" s="8">
        <v>50851.5</v>
      </c>
      <c r="W34" s="8">
        <v>52338.2</v>
      </c>
      <c r="X34" s="8">
        <v>2435.1</v>
      </c>
      <c r="Y34" s="8">
        <v>2150.3</v>
      </c>
      <c r="Z34" s="16">
        <f t="shared" si="21"/>
        <v>56923.6</v>
      </c>
      <c r="AA34" s="8">
        <v>63725.6</v>
      </c>
      <c r="AB34" s="14">
        <v>3675</v>
      </c>
      <c r="AC34" s="7">
        <f t="shared" si="22"/>
        <v>67400.6</v>
      </c>
      <c r="AD34" s="17">
        <v>212582</v>
      </c>
      <c r="AE34" s="18">
        <f t="shared" ref="AE34:AI34" si="169">IF(OR(C35=""),"",(C35-C34)*80)</f>
        <v>3727.9999999993</v>
      </c>
      <c r="AF34" s="18">
        <f t="shared" si="169"/>
        <v>0</v>
      </c>
      <c r="AG34" s="18">
        <f t="shared" si="169"/>
        <v>0</v>
      </c>
      <c r="AH34" s="18">
        <f t="shared" si="169"/>
        <v>2271.99999999997</v>
      </c>
      <c r="AI34" s="18">
        <f t="shared" si="169"/>
        <v>1560</v>
      </c>
      <c r="AJ34" s="18">
        <f t="shared" si="3"/>
        <v>7559.99999999927</v>
      </c>
      <c r="AK34" s="18">
        <f t="shared" ref="AK34:AN34" si="170">IF(OR(H35=""),"",(H35-H34)*80)</f>
        <v>0</v>
      </c>
      <c r="AL34" s="18">
        <f t="shared" si="170"/>
        <v>0</v>
      </c>
      <c r="AM34" s="18">
        <f t="shared" si="170"/>
        <v>0</v>
      </c>
      <c r="AN34" s="18">
        <f t="shared" si="170"/>
        <v>0</v>
      </c>
      <c r="AO34" s="18">
        <f t="shared" si="5"/>
        <v>0</v>
      </c>
      <c r="AP34" s="18">
        <f t="shared" ref="AP34:AS34" si="171">IF(OR(L35=""),"",(L35-L34)*100)</f>
        <v>2830.00000000029</v>
      </c>
      <c r="AQ34" s="18">
        <f t="shared" si="171"/>
        <v>0</v>
      </c>
      <c r="AR34" s="18">
        <f t="shared" si="171"/>
        <v>2839.99999999942</v>
      </c>
      <c r="AS34" s="18">
        <f t="shared" si="171"/>
        <v>2459.99999999913</v>
      </c>
      <c r="AT34" s="18">
        <f t="shared" si="7"/>
        <v>8129.99999999884</v>
      </c>
      <c r="AU34" s="18">
        <f t="shared" ref="AU34:AY34" si="172">IF(OR(P35=""),"",(P35-P34)*1000)</f>
        <v>2900.00000000055</v>
      </c>
      <c r="AV34" s="18">
        <f t="shared" si="172"/>
        <v>4699.99999999982</v>
      </c>
      <c r="AW34" s="18">
        <f t="shared" si="172"/>
        <v>0</v>
      </c>
      <c r="AX34" s="18">
        <f t="shared" si="172"/>
        <v>899.999999999636</v>
      </c>
      <c r="AY34" s="18">
        <f t="shared" si="172"/>
        <v>0</v>
      </c>
      <c r="AZ34" s="18">
        <f t="shared" si="9"/>
        <v>8500</v>
      </c>
      <c r="BA34" s="18">
        <f t="shared" si="10"/>
        <v>9800.00000000291</v>
      </c>
      <c r="BB34" s="18">
        <f t="shared" si="11"/>
        <v>640</v>
      </c>
      <c r="BC34" s="18">
        <f t="shared" si="27"/>
        <v>1323.99999999994</v>
      </c>
      <c r="BD34" s="18">
        <f t="shared" si="12"/>
        <v>9446.00000000777</v>
      </c>
      <c r="BE34" s="18">
        <f t="shared" si="13"/>
        <v>45400.0000000087</v>
      </c>
      <c r="BF34" s="18">
        <v>60.9</v>
      </c>
      <c r="BG34" s="21">
        <f t="shared" si="15"/>
        <v>0.213564647994697</v>
      </c>
      <c r="BH34" s="21">
        <f t="shared" si="16"/>
        <v>0.0355627475515296</v>
      </c>
      <c r="BI34" s="21">
        <f t="shared" si="17"/>
        <v>0</v>
      </c>
      <c r="BJ34" s="21">
        <f t="shared" si="18"/>
        <v>0.0382440658193019</v>
      </c>
      <c r="BK34" s="21">
        <f t="shared" ref="BK34:BO34" si="173">IF(OR($AD34=0),"",AZ34/$AD34)</f>
        <v>0.0399845706597925</v>
      </c>
      <c r="BL34" s="21">
        <f t="shared" si="173"/>
        <v>0.0460998579371862</v>
      </c>
      <c r="BM34" s="21">
        <f t="shared" si="173"/>
        <v>0.00301060296732555</v>
      </c>
      <c r="BN34" s="21">
        <f t="shared" si="173"/>
        <v>0.00622818488865446</v>
      </c>
      <c r="BO34" s="21">
        <f t="shared" si="173"/>
        <v>0.0444346181709071</v>
      </c>
    </row>
    <row r="35" spans="1:67">
      <c r="A35" s="9">
        <f t="shared" si="20"/>
        <v>44409</v>
      </c>
      <c r="B35" s="10">
        <v>16674.84</v>
      </c>
      <c r="C35" s="11">
        <v>92078.7</v>
      </c>
      <c r="D35" s="11">
        <v>58788.4</v>
      </c>
      <c r="E35" s="8">
        <v>57287.7</v>
      </c>
      <c r="F35" s="11">
        <v>4903.5</v>
      </c>
      <c r="G35" s="11">
        <v>112919.4</v>
      </c>
      <c r="H35" s="8">
        <v>5596.3</v>
      </c>
      <c r="I35" s="8">
        <v>2566.3</v>
      </c>
      <c r="J35" s="8">
        <v>967</v>
      </c>
      <c r="K35" s="8">
        <v>56</v>
      </c>
      <c r="L35" s="11">
        <v>91427.3</v>
      </c>
      <c r="M35" s="11">
        <v>61476.9</v>
      </c>
      <c r="N35" s="11">
        <v>72706.7</v>
      </c>
      <c r="O35" s="11">
        <v>103203.2</v>
      </c>
      <c r="P35" s="11">
        <v>5501.8</v>
      </c>
      <c r="Q35" s="11">
        <v>7263</v>
      </c>
      <c r="R35" s="11">
        <v>4621.8</v>
      </c>
      <c r="S35" s="11">
        <v>5229.5</v>
      </c>
      <c r="T35" s="8">
        <v>6755.2</v>
      </c>
      <c r="U35" s="11">
        <v>17397.2</v>
      </c>
      <c r="V35" s="11">
        <v>50859.5</v>
      </c>
      <c r="W35" s="11">
        <v>52354.1</v>
      </c>
      <c r="X35" s="11">
        <v>2443</v>
      </c>
      <c r="Y35" s="11">
        <v>2159.6</v>
      </c>
      <c r="Z35" s="16">
        <f t="shared" si="21"/>
        <v>56956.7</v>
      </c>
      <c r="AA35" s="11">
        <v>63775.2</v>
      </c>
      <c r="AB35" s="3">
        <v>3682</v>
      </c>
      <c r="AC35" s="3">
        <f t="shared" si="22"/>
        <v>67457.2</v>
      </c>
      <c r="BE35" s="22" t="s">
        <v>44</v>
      </c>
      <c r="BF35" s="22" t="s">
        <v>19</v>
      </c>
      <c r="BG35" s="23">
        <f>SUM(BE4:BE34)</f>
        <v>1515099.99999998</v>
      </c>
      <c r="BH35" s="23">
        <f>SUM(AJ4:AJ34)</f>
        <v>270040</v>
      </c>
      <c r="BI35" s="23">
        <f>SUM(AO4:AO34)</f>
        <v>0</v>
      </c>
      <c r="BJ35" s="23">
        <f>SUM(AT4:AT34)</f>
        <v>250130</v>
      </c>
      <c r="BK35" s="23">
        <f t="shared" ref="BK35:BO35" si="174">SUM(AZ4:AZ34)</f>
        <v>284900.000000001</v>
      </c>
      <c r="BL35" s="23">
        <f t="shared" si="174"/>
        <v>291500.00000001</v>
      </c>
      <c r="BM35" s="23">
        <f t="shared" si="174"/>
        <v>21144.0000000002</v>
      </c>
      <c r="BN35" s="23">
        <f t="shared" si="174"/>
        <v>40407.9999999999</v>
      </c>
      <c r="BO35" s="23">
        <f t="shared" si="174"/>
        <v>356977.999999973</v>
      </c>
    </row>
    <row r="36" spans="37:67"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22">
        <f>SUM(AD4:AD34)</f>
        <v>6488345</v>
      </c>
      <c r="BF36" s="22" t="s">
        <v>21</v>
      </c>
      <c r="BG36" s="24">
        <f>IF(OR(BG35=0),"",ROUND(BG35/$BE$36,3))</f>
        <v>0.234</v>
      </c>
      <c r="BH36" s="24">
        <f t="shared" ref="BH36:BO36" si="175">IF(OR(BH35=0),"",ROUND(BH35/$BE$36,4))</f>
        <v>0.0416</v>
      </c>
      <c r="BI36" s="24" t="str">
        <f t="shared" si="175"/>
        <v/>
      </c>
      <c r="BJ36" s="24">
        <f t="shared" si="175"/>
        <v>0.0386</v>
      </c>
      <c r="BK36" s="24">
        <f t="shared" si="175"/>
        <v>0.0439</v>
      </c>
      <c r="BL36" s="24">
        <f t="shared" si="175"/>
        <v>0.0449</v>
      </c>
      <c r="BM36" s="24">
        <f t="shared" si="175"/>
        <v>0.0033</v>
      </c>
      <c r="BN36" s="24">
        <f t="shared" si="175"/>
        <v>0.0062</v>
      </c>
      <c r="BO36" s="24">
        <f t="shared" si="175"/>
        <v>0.055</v>
      </c>
    </row>
    <row r="41" spans="22:22">
      <c r="V41" s="3" t="s">
        <v>45</v>
      </c>
    </row>
  </sheetData>
  <mergeCells count="35">
    <mergeCell ref="A1:BO1"/>
    <mergeCell ref="C2:G2"/>
    <mergeCell ref="H2:K2"/>
    <mergeCell ref="L2:O2"/>
    <mergeCell ref="P2:T2"/>
    <mergeCell ref="X2:Y2"/>
    <mergeCell ref="AE2:AJ2"/>
    <mergeCell ref="AK2:AO2"/>
    <mergeCell ref="AP2:AT2"/>
    <mergeCell ref="AU2:AZ2"/>
    <mergeCell ref="A2:A3"/>
    <mergeCell ref="B2:B3"/>
    <mergeCell ref="U2:U3"/>
    <mergeCell ref="V2:V3"/>
    <mergeCell ref="W2:W3"/>
    <mergeCell ref="Z2:Z3"/>
    <mergeCell ref="AA2:AA3"/>
    <mergeCell ref="AB2:AB3"/>
    <mergeCell ref="AC2:AC3"/>
    <mergeCell ref="AD2:AD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"/>
  <sheetViews>
    <sheetView showGridLines="0" zoomScale="120" zoomScaleNormal="120" workbookViewId="0">
      <pane xSplit="1" ySplit="3" topLeftCell="AE4" activePane="bottomRight" state="frozen"/>
      <selection/>
      <selection pane="topRight"/>
      <selection pane="bottomLeft"/>
      <selection pane="bottomRight" activeCell="BC4" sqref="BC4"/>
    </sheetView>
  </sheetViews>
  <sheetFormatPr defaultColWidth="9" defaultRowHeight="14.25"/>
  <cols>
    <col min="1" max="1" width="7" style="1" customWidth="1"/>
    <col min="2" max="2" width="8.375" style="2" customWidth="1"/>
    <col min="3" max="6" width="7.5" style="3" customWidth="1"/>
    <col min="7" max="7" width="8.375" style="3" customWidth="1"/>
    <col min="8" max="9" width="6.625" style="3" customWidth="1"/>
    <col min="10" max="10" width="5.75" style="3" customWidth="1"/>
    <col min="11" max="11" width="4.875" style="3" customWidth="1"/>
    <col min="12" max="14" width="7.5" style="3" customWidth="1"/>
    <col min="15" max="15" width="8" style="3" customWidth="1"/>
    <col min="16" max="20" width="6.625" style="3" customWidth="1"/>
    <col min="21" max="24" width="7.5" style="3" customWidth="1"/>
    <col min="25" max="26" width="8.25" style="3" customWidth="1"/>
    <col min="27" max="28" width="7.5" style="3" customWidth="1"/>
    <col min="29" max="29" width="8" style="3" customWidth="1"/>
    <col min="30" max="30" width="6.75" style="3" customWidth="1"/>
    <col min="31" max="31" width="5" style="1" customWidth="1"/>
    <col min="32" max="32" width="4.875" style="1" customWidth="1"/>
    <col min="33" max="33" width="4.5" style="1" customWidth="1"/>
    <col min="34" max="34" width="5.125" style="1" customWidth="1"/>
    <col min="35" max="35" width="5.375" style="1" customWidth="1"/>
    <col min="36" max="36" width="6.625" style="1" customWidth="1"/>
    <col min="37" max="40" width="4" style="1" customWidth="1"/>
    <col min="41" max="41" width="6.625" style="1" customWidth="1"/>
    <col min="42" max="42" width="4.875" style="1" customWidth="1"/>
    <col min="43" max="43" width="4.5" style="1" customWidth="1"/>
    <col min="44" max="44" width="4.875" style="1" customWidth="1"/>
    <col min="45" max="45" width="5.25" style="1" customWidth="1"/>
    <col min="46" max="46" width="6.625" style="1" customWidth="1"/>
    <col min="47" max="51" width="5.5" style="1" customWidth="1"/>
    <col min="52" max="53" width="6.625" style="1" customWidth="1"/>
    <col min="54" max="54" width="5" style="1" customWidth="1"/>
    <col min="55" max="55" width="6.625" style="1" customWidth="1"/>
    <col min="56" max="56" width="6.125" style="1" customWidth="1"/>
    <col min="57" max="57" width="5.875" style="1" customWidth="1"/>
    <col min="58" max="58" width="6.625" style="1" customWidth="1"/>
    <col min="59" max="59" width="5.875" style="1" customWidth="1"/>
    <col min="60" max="60" width="6.5" style="1" customWidth="1"/>
    <col min="61" max="62" width="6" style="1" customWidth="1"/>
    <col min="63" max="63" width="5.875" style="1" customWidth="1"/>
    <col min="64" max="64" width="6.625" style="1" customWidth="1"/>
    <col min="65" max="65" width="5.875" style="1" customWidth="1"/>
    <col min="66" max="66" width="6" style="1" customWidth="1"/>
    <col min="67" max="67" width="7.125" style="1" customWidth="1"/>
    <col min="68" max="16384" width="9" style="1"/>
  </cols>
  <sheetData>
    <row r="1" spans="1:6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25"/>
    </row>
    <row r="2" spans="1:67">
      <c r="A2" s="6"/>
      <c r="B2" s="7" t="s">
        <v>0</v>
      </c>
      <c r="C2" s="8" t="s">
        <v>1</v>
      </c>
      <c r="D2" s="8"/>
      <c r="E2" s="8"/>
      <c r="F2" s="8"/>
      <c r="G2" s="8"/>
      <c r="H2" s="8" t="s">
        <v>2</v>
      </c>
      <c r="I2" s="8"/>
      <c r="J2" s="8"/>
      <c r="K2" s="8"/>
      <c r="L2" s="8" t="s">
        <v>3</v>
      </c>
      <c r="M2" s="8"/>
      <c r="N2" s="8"/>
      <c r="O2" s="8"/>
      <c r="P2" s="8" t="s">
        <v>4</v>
      </c>
      <c r="Q2" s="8"/>
      <c r="R2" s="8"/>
      <c r="S2" s="8"/>
      <c r="T2" s="8"/>
      <c r="U2" s="8" t="s">
        <v>5</v>
      </c>
      <c r="V2" s="8" t="s">
        <v>6</v>
      </c>
      <c r="W2" s="8" t="s">
        <v>7</v>
      </c>
      <c r="X2" s="12" t="s">
        <v>8</v>
      </c>
      <c r="Y2" s="14"/>
      <c r="Z2" s="8" t="s">
        <v>9</v>
      </c>
      <c r="AA2" s="8" t="s">
        <v>10</v>
      </c>
      <c r="AB2" s="8" t="s">
        <v>11</v>
      </c>
      <c r="AC2" s="8" t="s">
        <v>12</v>
      </c>
      <c r="AD2" s="6" t="s">
        <v>13</v>
      </c>
      <c r="AE2" s="15" t="s">
        <v>14</v>
      </c>
      <c r="AF2" s="15"/>
      <c r="AG2" s="15"/>
      <c r="AH2" s="15"/>
      <c r="AI2" s="15"/>
      <c r="AJ2" s="15"/>
      <c r="AK2" s="15" t="s">
        <v>2</v>
      </c>
      <c r="AL2" s="15"/>
      <c r="AM2" s="15"/>
      <c r="AN2" s="15"/>
      <c r="AO2" s="15"/>
      <c r="AP2" s="15" t="s">
        <v>3</v>
      </c>
      <c r="AQ2" s="15"/>
      <c r="AR2" s="15"/>
      <c r="AS2" s="15"/>
      <c r="AT2" s="15"/>
      <c r="AU2" s="15" t="s">
        <v>4</v>
      </c>
      <c r="AV2" s="15"/>
      <c r="AW2" s="15"/>
      <c r="AX2" s="15"/>
      <c r="AY2" s="15"/>
      <c r="AZ2" s="15"/>
      <c r="BA2" s="15" t="s">
        <v>15</v>
      </c>
      <c r="BB2" s="15" t="s">
        <v>16</v>
      </c>
      <c r="BC2" s="15" t="s">
        <v>17</v>
      </c>
      <c r="BD2" s="15" t="s">
        <v>18</v>
      </c>
      <c r="BE2" s="15" t="s">
        <v>19</v>
      </c>
      <c r="BF2" s="15" t="s">
        <v>20</v>
      </c>
      <c r="BG2" s="21" t="s">
        <v>21</v>
      </c>
      <c r="BH2" s="21" t="s">
        <v>22</v>
      </c>
      <c r="BI2" s="21" t="s">
        <v>23</v>
      </c>
      <c r="BJ2" s="21" t="s">
        <v>24</v>
      </c>
      <c r="BK2" s="21" t="s">
        <v>25</v>
      </c>
      <c r="BL2" s="21" t="s">
        <v>26</v>
      </c>
      <c r="BM2" s="21" t="s">
        <v>27</v>
      </c>
      <c r="BN2" s="21" t="s">
        <v>28</v>
      </c>
      <c r="BO2" s="21" t="s">
        <v>29</v>
      </c>
    </row>
    <row r="3" spans="1:67">
      <c r="A3" s="6"/>
      <c r="B3" s="7"/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/>
      <c r="V3" s="8"/>
      <c r="W3" s="8"/>
      <c r="X3" s="8" t="s">
        <v>40</v>
      </c>
      <c r="Y3" s="8" t="s">
        <v>41</v>
      </c>
      <c r="Z3" s="8"/>
      <c r="AA3" s="8"/>
      <c r="AB3" s="8"/>
      <c r="AC3" s="8"/>
      <c r="AD3" s="6"/>
      <c r="AE3" s="15" t="s">
        <v>30</v>
      </c>
      <c r="AF3" s="15" t="s">
        <v>31</v>
      </c>
      <c r="AG3" s="15" t="s">
        <v>32</v>
      </c>
      <c r="AH3" s="15" t="s">
        <v>33</v>
      </c>
      <c r="AI3" s="15" t="s">
        <v>34</v>
      </c>
      <c r="AJ3" s="15" t="s">
        <v>42</v>
      </c>
      <c r="AK3" s="15" t="s">
        <v>30</v>
      </c>
      <c r="AL3" s="15" t="s">
        <v>31</v>
      </c>
      <c r="AM3" s="15" t="s">
        <v>32</v>
      </c>
      <c r="AN3" s="15" t="s">
        <v>33</v>
      </c>
      <c r="AO3" s="15" t="s">
        <v>42</v>
      </c>
      <c r="AP3" s="15" t="s">
        <v>30</v>
      </c>
      <c r="AQ3" s="15" t="s">
        <v>31</v>
      </c>
      <c r="AR3" s="15" t="s">
        <v>32</v>
      </c>
      <c r="AS3" s="15" t="s">
        <v>33</v>
      </c>
      <c r="AT3" s="15" t="s">
        <v>42</v>
      </c>
      <c r="AU3" s="15" t="s">
        <v>35</v>
      </c>
      <c r="AV3" s="15" t="s">
        <v>36</v>
      </c>
      <c r="AW3" s="15" t="s">
        <v>37</v>
      </c>
      <c r="AX3" s="15" t="s">
        <v>38</v>
      </c>
      <c r="AY3" s="15" t="s">
        <v>39</v>
      </c>
      <c r="AZ3" s="15" t="s">
        <v>43</v>
      </c>
      <c r="BA3" s="20"/>
      <c r="BB3" s="20"/>
      <c r="BC3" s="20"/>
      <c r="BD3" s="20"/>
      <c r="BE3" s="20"/>
      <c r="BF3" s="20"/>
      <c r="BG3" s="21"/>
      <c r="BH3" s="21"/>
      <c r="BI3" s="21"/>
      <c r="BJ3" s="21"/>
      <c r="BK3" s="21"/>
      <c r="BL3" s="21"/>
      <c r="BM3" s="21"/>
      <c r="BN3" s="21"/>
      <c r="BO3" s="21"/>
    </row>
    <row r="4" spans="1:67">
      <c r="A4" s="9">
        <f>'7'!A35</f>
        <v>44409</v>
      </c>
      <c r="B4" s="10">
        <v>16674.84</v>
      </c>
      <c r="C4" s="11">
        <v>92078.7</v>
      </c>
      <c r="D4" s="11">
        <v>58788.4</v>
      </c>
      <c r="E4" s="8">
        <v>57287.7</v>
      </c>
      <c r="F4" s="11">
        <v>4903.5</v>
      </c>
      <c r="G4" s="11">
        <v>112919.4</v>
      </c>
      <c r="H4" s="8">
        <v>5596.3</v>
      </c>
      <c r="I4" s="8">
        <v>2566.3</v>
      </c>
      <c r="J4" s="8">
        <v>967</v>
      </c>
      <c r="K4" s="8">
        <v>56</v>
      </c>
      <c r="L4" s="11">
        <v>91427.3</v>
      </c>
      <c r="M4" s="11">
        <v>61476.9</v>
      </c>
      <c r="N4" s="11">
        <v>72706.7</v>
      </c>
      <c r="O4" s="11">
        <v>103203.2</v>
      </c>
      <c r="P4" s="11">
        <v>5501.8</v>
      </c>
      <c r="Q4" s="11">
        <v>7263</v>
      </c>
      <c r="R4" s="11">
        <v>4621.7</v>
      </c>
      <c r="S4" s="11">
        <v>5229.5</v>
      </c>
      <c r="T4" s="11">
        <v>6755.2</v>
      </c>
      <c r="U4" s="11">
        <v>17397.2</v>
      </c>
      <c r="V4" s="11">
        <v>50859.5</v>
      </c>
      <c r="W4" s="11">
        <v>52354.1</v>
      </c>
      <c r="X4" s="11">
        <v>2443</v>
      </c>
      <c r="Y4" s="11">
        <v>2159.6</v>
      </c>
      <c r="Z4" s="16">
        <f t="shared" ref="Z4" si="0">IF(OR(W4=""),"",(W4+X4+Y4))</f>
        <v>56956.7</v>
      </c>
      <c r="AA4" s="11">
        <v>63775.2</v>
      </c>
      <c r="AB4" s="14">
        <v>3682</v>
      </c>
      <c r="AC4" s="7">
        <f t="shared" ref="AC4:AC35" si="1">IF(OR(AA4=""),"",(AA4+AB4))</f>
        <v>67457.2</v>
      </c>
      <c r="AD4" s="17">
        <v>209240</v>
      </c>
      <c r="AE4" s="18">
        <f t="shared" ref="AE4:AI4" si="2">IF(OR(C5=""),"",(C5-C4)*80)</f>
        <v>3752.0000000007</v>
      </c>
      <c r="AF4" s="18">
        <f t="shared" si="2"/>
        <v>0</v>
      </c>
      <c r="AG4" s="18">
        <f t="shared" si="2"/>
        <v>0</v>
      </c>
      <c r="AH4" s="18">
        <f t="shared" si="2"/>
        <v>2476.8</v>
      </c>
      <c r="AI4" s="18">
        <f t="shared" si="2"/>
        <v>1968.00000000047</v>
      </c>
      <c r="AJ4" s="18">
        <f t="shared" ref="AJ4:AJ34" si="3">IF(OR(AE4="",AF4="",AG4=""),"",AE4+AF4+AG4+AH4+AI4)</f>
        <v>8196.80000000117</v>
      </c>
      <c r="AK4" s="18">
        <f t="shared" ref="AK4:AN4" si="4">IF(OR(H5=""),"",(H5-H4)*80)</f>
        <v>0</v>
      </c>
      <c r="AL4" s="18">
        <f t="shared" si="4"/>
        <v>0</v>
      </c>
      <c r="AM4" s="18">
        <f t="shared" si="4"/>
        <v>0</v>
      </c>
      <c r="AN4" s="18">
        <f t="shared" si="4"/>
        <v>0</v>
      </c>
      <c r="AO4" s="18">
        <f t="shared" ref="AO4:AO34" si="5">IF(OR(AK4="",AL4=""),"",AK4+AL4+AM4+AN4)</f>
        <v>0</v>
      </c>
      <c r="AP4" s="18">
        <f t="shared" ref="AP4:AS4" si="6">IF(OR(L5=""),"",(L5-L4)*100)</f>
        <v>2789.99999999942</v>
      </c>
      <c r="AQ4" s="18">
        <f t="shared" si="6"/>
        <v>0</v>
      </c>
      <c r="AR4" s="18">
        <f t="shared" si="6"/>
        <v>2910.00000000058</v>
      </c>
      <c r="AS4" s="18">
        <f t="shared" si="6"/>
        <v>2510.00000000058</v>
      </c>
      <c r="AT4" s="18">
        <f t="shared" ref="AT4:AT34" si="7">IF(OR(AP4="",AQ4=""),"",AP4+AQ4+AR4+AS4)</f>
        <v>8210.00000000058</v>
      </c>
      <c r="AU4" s="18">
        <f t="shared" ref="AU4:AY4" si="8">IF(OR(P5=""),"",(P5-P4)*1000)</f>
        <v>3699.99999999982</v>
      </c>
      <c r="AV4" s="18">
        <f t="shared" si="8"/>
        <v>8000</v>
      </c>
      <c r="AW4" s="18">
        <f t="shared" si="8"/>
        <v>0</v>
      </c>
      <c r="AX4" s="18">
        <f t="shared" si="8"/>
        <v>0</v>
      </c>
      <c r="AY4" s="18">
        <f t="shared" si="8"/>
        <v>0</v>
      </c>
      <c r="AZ4" s="18">
        <f t="shared" ref="AZ4:AZ34" si="9">IF(OR(AU4="",AV4="",AW4=""),"",AU4+AV4+AW4+AX4+AY4)</f>
        <v>11699.9999999998</v>
      </c>
      <c r="BA4" s="18">
        <f t="shared" ref="BA4:BA34" si="10">IF(OR(U5=""),"",(U5-U4)*2000)</f>
        <v>10000</v>
      </c>
      <c r="BB4" s="18">
        <f t="shared" ref="BB4:BB34" si="11">IF(OR(V5=""),"",(V5-V4)*80)</f>
        <v>655.999999999767</v>
      </c>
      <c r="BC4" s="18">
        <f>IF(OR(Z4=""),"",(Z5-Z4)*40)</f>
        <v>1363.99999999994</v>
      </c>
      <c r="BD4" s="18">
        <f t="shared" ref="BD4:BD34" si="12">IF(OR(BE4="",BC4=""),"",BE4-BC4-BB4-BA4-AZ4-AT4-AO4-AJ4)</f>
        <v>8173.19999997981</v>
      </c>
      <c r="BE4" s="18">
        <f t="shared" ref="BE4:BE34" si="13">IF(OR(B5=""),"",(B5-B4)*10000)</f>
        <v>48299.9999999811</v>
      </c>
      <c r="BF4" s="18">
        <f t="shared" ref="BF4:BF34" si="14">IF(OR(AC5=""),"",AC5-AC4)</f>
        <v>58.3000000000029</v>
      </c>
      <c r="BG4" s="21">
        <f t="shared" ref="BG4:BG34" si="15">IF(OR($AD4=0),"",BE4/$AD4)</f>
        <v>0.230835404320307</v>
      </c>
      <c r="BH4" s="21">
        <f t="shared" ref="BH4:BH34" si="16">IF(OR($AD4=0),"",AJ4/$AD4)</f>
        <v>0.0391741540814432</v>
      </c>
      <c r="BI4" s="21">
        <f t="shared" ref="BI4:BI34" si="17">IF(OR($AD4=0),"",AO4/$AD4)</f>
        <v>0</v>
      </c>
      <c r="BJ4" s="21">
        <f t="shared" ref="BJ4:BJ34" si="18">IF(OR($AD4=0),"",AT4/$AD4)</f>
        <v>0.0392372395335528</v>
      </c>
      <c r="BK4" s="21">
        <f t="shared" ref="BK4:BO4" si="19">IF(OR($AD4=0),"",AZ4/$AD4)</f>
        <v>0.0559166507359961</v>
      </c>
      <c r="BL4" s="21">
        <f t="shared" si="19"/>
        <v>0.0477920091760658</v>
      </c>
      <c r="BM4" s="21">
        <f t="shared" si="19"/>
        <v>0.0031351558019488</v>
      </c>
      <c r="BN4" s="21">
        <f t="shared" si="19"/>
        <v>0.00651883005161509</v>
      </c>
      <c r="BO4" s="21">
        <f t="shared" si="19"/>
        <v>0.0390613649396856</v>
      </c>
    </row>
    <row r="5" spans="1:67">
      <c r="A5" s="9">
        <f t="shared" ref="A5:A35" si="20">A4+1</f>
        <v>44410</v>
      </c>
      <c r="B5" s="10">
        <v>16679.67</v>
      </c>
      <c r="C5" s="8">
        <v>92125.6</v>
      </c>
      <c r="D5" s="8">
        <v>58788.4</v>
      </c>
      <c r="E5" s="8">
        <v>57287.7</v>
      </c>
      <c r="F5" s="8">
        <v>4934.46</v>
      </c>
      <c r="G5" s="8">
        <v>112944</v>
      </c>
      <c r="H5" s="8">
        <v>5596.3</v>
      </c>
      <c r="I5" s="8">
        <v>2566.3</v>
      </c>
      <c r="J5" s="8">
        <v>967</v>
      </c>
      <c r="K5" s="8">
        <v>56</v>
      </c>
      <c r="L5" s="8">
        <v>91455.2</v>
      </c>
      <c r="M5" s="8">
        <v>61476.9</v>
      </c>
      <c r="N5" s="8">
        <v>72735.8</v>
      </c>
      <c r="O5" s="8">
        <v>103228.3</v>
      </c>
      <c r="P5" s="8">
        <v>5505.5</v>
      </c>
      <c r="Q5" s="8">
        <v>7271</v>
      </c>
      <c r="R5" s="8">
        <v>4621.7</v>
      </c>
      <c r="S5" s="8">
        <v>5229.5</v>
      </c>
      <c r="T5" s="11">
        <v>6755.2</v>
      </c>
      <c r="U5" s="8">
        <v>17402.2</v>
      </c>
      <c r="V5" s="8">
        <v>50867.7</v>
      </c>
      <c r="W5" s="8">
        <v>52370.5</v>
      </c>
      <c r="X5" s="8">
        <v>2451.2</v>
      </c>
      <c r="Y5" s="8">
        <v>2169.1</v>
      </c>
      <c r="Z5" s="16">
        <f t="shared" ref="Z5:Z35" si="21">IF(OR(W5=""),"",(W5+X5+Y5))</f>
        <v>56990.8</v>
      </c>
      <c r="AA5" s="8">
        <v>63825.5</v>
      </c>
      <c r="AB5" s="14">
        <v>3690</v>
      </c>
      <c r="AC5" s="7">
        <f t="shared" si="1"/>
        <v>67515.5</v>
      </c>
      <c r="AD5" s="17">
        <v>209467</v>
      </c>
      <c r="AE5" s="18">
        <f t="shared" ref="AE5:AI5" si="22">IF(OR(C6=""),"",(C6-C5)*80)</f>
        <v>3647.9999999993</v>
      </c>
      <c r="AF5" s="18">
        <f t="shared" si="22"/>
        <v>143.999999999651</v>
      </c>
      <c r="AG5" s="18">
        <f t="shared" si="22"/>
        <v>0</v>
      </c>
      <c r="AH5" s="18">
        <f t="shared" si="22"/>
        <v>2380</v>
      </c>
      <c r="AI5" s="18">
        <f t="shared" si="22"/>
        <v>2080</v>
      </c>
      <c r="AJ5" s="18">
        <f t="shared" si="3"/>
        <v>8251.99999999895</v>
      </c>
      <c r="AK5" s="18">
        <f t="shared" ref="AK5:AN5" si="23">IF(OR(H6=""),"",(H6-H5)*80)</f>
        <v>0</v>
      </c>
      <c r="AL5" s="18">
        <f t="shared" si="23"/>
        <v>0</v>
      </c>
      <c r="AM5" s="18">
        <f t="shared" si="23"/>
        <v>0</v>
      </c>
      <c r="AN5" s="18">
        <f t="shared" si="23"/>
        <v>0</v>
      </c>
      <c r="AO5" s="18">
        <f t="shared" si="5"/>
        <v>0</v>
      </c>
      <c r="AP5" s="18">
        <f t="shared" ref="AP5:AS5" si="24">IF(OR(L6=""),"",(L6-L5)*100)</f>
        <v>2630.00000000029</v>
      </c>
      <c r="AQ5" s="18">
        <f t="shared" si="24"/>
        <v>0</v>
      </c>
      <c r="AR5" s="18">
        <f t="shared" si="24"/>
        <v>2880.00000000029</v>
      </c>
      <c r="AS5" s="18">
        <f t="shared" si="24"/>
        <v>2430.00000000029</v>
      </c>
      <c r="AT5" s="18">
        <f t="shared" si="7"/>
        <v>7940.00000000087</v>
      </c>
      <c r="AU5" s="18">
        <f t="shared" ref="AU5:AY5" si="25">IF(OR(P6=""),"",(P6-P5)*1000)</f>
        <v>3600.00000000036</v>
      </c>
      <c r="AV5" s="18">
        <f t="shared" si="25"/>
        <v>7199.99999999982</v>
      </c>
      <c r="AW5" s="18">
        <f t="shared" si="25"/>
        <v>100.000000000364</v>
      </c>
      <c r="AX5" s="18">
        <f t="shared" si="25"/>
        <v>0</v>
      </c>
      <c r="AY5" s="18">
        <f t="shared" si="25"/>
        <v>0</v>
      </c>
      <c r="AZ5" s="18">
        <f t="shared" si="9"/>
        <v>10900.0000000005</v>
      </c>
      <c r="BA5" s="18">
        <f t="shared" si="10"/>
        <v>9799.99999999563</v>
      </c>
      <c r="BB5" s="18">
        <f t="shared" si="11"/>
        <v>656.000000000349</v>
      </c>
      <c r="BC5" s="18">
        <f>IF(OR(Z5=""),"",(Z6-Z5)*40)</f>
        <v>1340.00000000029</v>
      </c>
      <c r="BD5" s="18">
        <f t="shared" si="12"/>
        <v>9212.00000001645</v>
      </c>
      <c r="BE5" s="18">
        <f t="shared" si="13"/>
        <v>48100.0000000131</v>
      </c>
      <c r="BF5" s="18">
        <f t="shared" si="14"/>
        <v>53.5</v>
      </c>
      <c r="BG5" s="21">
        <f t="shared" si="15"/>
        <v>0.229630442981535</v>
      </c>
      <c r="BH5" s="21">
        <f t="shared" si="16"/>
        <v>0.0393952269331157</v>
      </c>
      <c r="BI5" s="21">
        <f t="shared" si="17"/>
        <v>0</v>
      </c>
      <c r="BJ5" s="21">
        <f t="shared" si="18"/>
        <v>0.0379057321678397</v>
      </c>
      <c r="BK5" s="21">
        <f t="shared" ref="BK5:BO5" si="26">IF(OR($AD5=0),"",AZ5/$AD5)</f>
        <v>0.0520368363513133</v>
      </c>
      <c r="BL5" s="21">
        <f t="shared" si="26"/>
        <v>0.0467854124993227</v>
      </c>
      <c r="BM5" s="21">
        <f t="shared" si="26"/>
        <v>0.00313175822444752</v>
      </c>
      <c r="BN5" s="21">
        <f t="shared" si="26"/>
        <v>0.00639718905603408</v>
      </c>
      <c r="BO5" s="21">
        <f t="shared" si="26"/>
        <v>0.0439782877494615</v>
      </c>
    </row>
    <row r="6" spans="1:67">
      <c r="A6" s="9">
        <f t="shared" si="20"/>
        <v>44411</v>
      </c>
      <c r="B6" s="10">
        <v>16684.48</v>
      </c>
      <c r="C6" s="8">
        <v>92171.2</v>
      </c>
      <c r="D6" s="8">
        <v>58790.2</v>
      </c>
      <c r="E6" s="8">
        <v>57287.7</v>
      </c>
      <c r="F6" s="8">
        <v>4964.21</v>
      </c>
      <c r="G6" s="8">
        <v>112970</v>
      </c>
      <c r="H6" s="8">
        <v>5596.3</v>
      </c>
      <c r="I6" s="8">
        <v>2566.3</v>
      </c>
      <c r="J6" s="8">
        <v>967</v>
      </c>
      <c r="K6" s="8">
        <v>56</v>
      </c>
      <c r="L6" s="8">
        <v>91481.5</v>
      </c>
      <c r="M6" s="8">
        <v>61476.9</v>
      </c>
      <c r="N6" s="8">
        <v>72764.6</v>
      </c>
      <c r="O6" s="8">
        <v>103252.6</v>
      </c>
      <c r="P6" s="8">
        <v>5509.1</v>
      </c>
      <c r="Q6" s="8">
        <v>7278.2</v>
      </c>
      <c r="R6" s="8">
        <v>4621.8</v>
      </c>
      <c r="S6" s="8">
        <v>5229.5</v>
      </c>
      <c r="T6" s="11">
        <v>6755.2</v>
      </c>
      <c r="U6" s="8">
        <v>17407.1</v>
      </c>
      <c r="V6" s="8">
        <v>50875.9</v>
      </c>
      <c r="W6" s="8">
        <v>52386.5</v>
      </c>
      <c r="X6" s="8">
        <v>2459.4</v>
      </c>
      <c r="Y6" s="8">
        <v>2178.4</v>
      </c>
      <c r="Z6" s="16">
        <f t="shared" si="21"/>
        <v>57024.3</v>
      </c>
      <c r="AA6" s="8">
        <v>63871</v>
      </c>
      <c r="AB6" s="14">
        <v>3698</v>
      </c>
      <c r="AC6" s="7">
        <f t="shared" si="1"/>
        <v>67569</v>
      </c>
      <c r="AD6" s="17">
        <v>207904</v>
      </c>
      <c r="AE6" s="18">
        <f t="shared" ref="AE6:AI6" si="27">IF(OR(C7=""),"",(C7-C6)*80)</f>
        <v>3752.0000000007</v>
      </c>
      <c r="AF6" s="18">
        <f t="shared" si="27"/>
        <v>3064.00000000023</v>
      </c>
      <c r="AG6" s="18">
        <f t="shared" si="27"/>
        <v>0</v>
      </c>
      <c r="AH6" s="18">
        <f t="shared" si="27"/>
        <v>4.80000000003201</v>
      </c>
      <c r="AI6" s="18">
        <f t="shared" si="27"/>
        <v>2728.00000000047</v>
      </c>
      <c r="AJ6" s="18">
        <f t="shared" si="3"/>
        <v>9548.80000000143</v>
      </c>
      <c r="AK6" s="18">
        <f t="shared" ref="AK6:AN6" si="28">IF(OR(H7=""),"",(H7-H6)*80)</f>
        <v>0</v>
      </c>
      <c r="AL6" s="18">
        <f t="shared" si="28"/>
        <v>0</v>
      </c>
      <c r="AM6" s="18">
        <f t="shared" si="28"/>
        <v>0</v>
      </c>
      <c r="AN6" s="18">
        <f t="shared" si="28"/>
        <v>0</v>
      </c>
      <c r="AO6" s="18">
        <f t="shared" si="5"/>
        <v>0</v>
      </c>
      <c r="AP6" s="18">
        <f t="shared" ref="AP6:AS6" si="29">IF(OR(L7=""),"",(L7-L6)*100)</f>
        <v>2619.99999999971</v>
      </c>
      <c r="AQ6" s="18">
        <f t="shared" si="29"/>
        <v>0</v>
      </c>
      <c r="AR6" s="18">
        <f t="shared" si="29"/>
        <v>2950</v>
      </c>
      <c r="AS6" s="18">
        <f t="shared" si="29"/>
        <v>2519.99999999971</v>
      </c>
      <c r="AT6" s="18">
        <f t="shared" si="7"/>
        <v>8089.99999999942</v>
      </c>
      <c r="AU6" s="18">
        <f t="shared" ref="AU6:AY6" si="30">IF(OR(P7=""),"",(P7-P6)*1000)</f>
        <v>3699.99999999982</v>
      </c>
      <c r="AV6" s="18">
        <f t="shared" si="30"/>
        <v>7600.00000000036</v>
      </c>
      <c r="AW6" s="18">
        <f t="shared" si="30"/>
        <v>0</v>
      </c>
      <c r="AX6" s="18">
        <f t="shared" si="30"/>
        <v>0</v>
      </c>
      <c r="AY6" s="18">
        <f t="shared" si="30"/>
        <v>0</v>
      </c>
      <c r="AZ6" s="18">
        <f t="shared" si="9"/>
        <v>11300.0000000002</v>
      </c>
      <c r="BA6" s="18">
        <f t="shared" si="10"/>
        <v>9800.00000000291</v>
      </c>
      <c r="BB6" s="18">
        <f t="shared" si="11"/>
        <v>592.000000000116</v>
      </c>
      <c r="BC6" s="18">
        <f t="shared" ref="BC6:BC34" si="31">IF(OR(Z6=""),"",(Z7-Z6)*40)</f>
        <v>1327.99999999988</v>
      </c>
      <c r="BD6" s="18">
        <f t="shared" si="12"/>
        <v>8541.20000001498</v>
      </c>
      <c r="BE6" s="18">
        <f t="shared" si="13"/>
        <v>49200.0000000189</v>
      </c>
      <c r="BF6" s="18">
        <f t="shared" si="14"/>
        <v>62.6000000000058</v>
      </c>
      <c r="BG6" s="21">
        <f t="shared" si="15"/>
        <v>0.236647683546343</v>
      </c>
      <c r="BH6" s="21">
        <f t="shared" si="16"/>
        <v>0.0459288902570486</v>
      </c>
      <c r="BI6" s="21">
        <f t="shared" si="17"/>
        <v>0</v>
      </c>
      <c r="BJ6" s="21">
        <f t="shared" si="18"/>
        <v>0.0389121902416472</v>
      </c>
      <c r="BK6" s="21">
        <f t="shared" ref="BK6:BO6" si="32">IF(OR($AD6=0),"",AZ6/$AD6)</f>
        <v>0.0543520086193637</v>
      </c>
      <c r="BL6" s="21">
        <f t="shared" si="32"/>
        <v>0.0471371402185764</v>
      </c>
      <c r="BM6" s="21">
        <f t="shared" si="32"/>
        <v>0.00284746806218311</v>
      </c>
      <c r="BN6" s="21">
        <f t="shared" si="32"/>
        <v>0.00638756349084137</v>
      </c>
      <c r="BO6" s="21">
        <f t="shared" si="32"/>
        <v>0.0410824226566828</v>
      </c>
    </row>
    <row r="7" spans="1:67">
      <c r="A7" s="9">
        <f t="shared" si="20"/>
        <v>44412</v>
      </c>
      <c r="B7" s="10">
        <v>16689.4</v>
      </c>
      <c r="C7" s="8">
        <v>92218.1</v>
      </c>
      <c r="D7" s="8">
        <v>58828.5</v>
      </c>
      <c r="E7" s="8">
        <v>57287.7</v>
      </c>
      <c r="F7" s="8">
        <v>4964.27</v>
      </c>
      <c r="G7" s="8">
        <v>113004.1</v>
      </c>
      <c r="H7" s="8">
        <v>5596.3</v>
      </c>
      <c r="I7" s="8">
        <v>2566.3</v>
      </c>
      <c r="J7" s="8">
        <v>967</v>
      </c>
      <c r="K7" s="8">
        <v>56</v>
      </c>
      <c r="L7" s="8">
        <v>91507.7</v>
      </c>
      <c r="M7" s="8">
        <v>61476.9</v>
      </c>
      <c r="N7" s="8">
        <v>72794.1</v>
      </c>
      <c r="O7" s="8">
        <v>103277.8</v>
      </c>
      <c r="P7" s="8">
        <v>5512.8</v>
      </c>
      <c r="Q7" s="8">
        <v>7285.8</v>
      </c>
      <c r="R7" s="8">
        <v>4621.8</v>
      </c>
      <c r="S7" s="8">
        <v>5229.5</v>
      </c>
      <c r="T7" s="8">
        <v>6755.2</v>
      </c>
      <c r="U7" s="8">
        <v>17412</v>
      </c>
      <c r="V7" s="8">
        <v>50883.3</v>
      </c>
      <c r="W7" s="8">
        <v>52402.9</v>
      </c>
      <c r="X7" s="8">
        <v>2467.4</v>
      </c>
      <c r="Y7" s="8">
        <v>2187.2</v>
      </c>
      <c r="Z7" s="16">
        <f t="shared" si="21"/>
        <v>57057.5</v>
      </c>
      <c r="AA7" s="8">
        <v>63916.6</v>
      </c>
      <c r="AB7" s="14">
        <v>3715</v>
      </c>
      <c r="AC7" s="7">
        <f t="shared" si="1"/>
        <v>67631.6</v>
      </c>
      <c r="AD7" s="17">
        <v>204646</v>
      </c>
      <c r="AE7" s="18">
        <f t="shared" ref="AE7:AI7" si="33">IF(OR(C8=""),"",(C8-C7)*80)</f>
        <v>3663.99999999907</v>
      </c>
      <c r="AF7" s="18">
        <f t="shared" si="33"/>
        <v>2704.00000000023</v>
      </c>
      <c r="AG7" s="18">
        <f t="shared" si="33"/>
        <v>8.00000000046566</v>
      </c>
      <c r="AH7" s="18">
        <f t="shared" si="33"/>
        <v>179.199999999983</v>
      </c>
      <c r="AI7" s="18">
        <f t="shared" si="33"/>
        <v>2543.99999999907</v>
      </c>
      <c r="AJ7" s="18">
        <f t="shared" si="3"/>
        <v>9099.19999999882</v>
      </c>
      <c r="AK7" s="18">
        <f t="shared" ref="AK7:AN7" si="34">IF(OR(H8=""),"",(H8-H7)*80)</f>
        <v>0</v>
      </c>
      <c r="AL7" s="18">
        <f t="shared" si="34"/>
        <v>0</v>
      </c>
      <c r="AM7" s="18">
        <f t="shared" si="34"/>
        <v>0</v>
      </c>
      <c r="AN7" s="18">
        <f t="shared" si="34"/>
        <v>0</v>
      </c>
      <c r="AO7" s="18">
        <f t="shared" si="5"/>
        <v>0</v>
      </c>
      <c r="AP7" s="18">
        <f t="shared" ref="AP7:AS7" si="35">IF(OR(L8=""),"",(L8-L7)*100)</f>
        <v>2419.99999999971</v>
      </c>
      <c r="AQ7" s="18">
        <f t="shared" si="35"/>
        <v>0</v>
      </c>
      <c r="AR7" s="18">
        <f t="shared" si="35"/>
        <v>2879.99999999884</v>
      </c>
      <c r="AS7" s="18">
        <f t="shared" si="35"/>
        <v>2439.99999999942</v>
      </c>
      <c r="AT7" s="18">
        <f t="shared" si="7"/>
        <v>7739.99999999796</v>
      </c>
      <c r="AU7" s="18">
        <f t="shared" ref="AU7:AY7" si="36">IF(OR(P8=""),"",(P8-P7)*1000)</f>
        <v>3399.99999999964</v>
      </c>
      <c r="AV7" s="18">
        <f t="shared" si="36"/>
        <v>2300.00000000018</v>
      </c>
      <c r="AW7" s="18">
        <f t="shared" si="36"/>
        <v>0</v>
      </c>
      <c r="AX7" s="18">
        <f t="shared" si="36"/>
        <v>3500</v>
      </c>
      <c r="AY7" s="18">
        <f t="shared" si="36"/>
        <v>0</v>
      </c>
      <c r="AZ7" s="18">
        <f t="shared" si="9"/>
        <v>9199.99999999982</v>
      </c>
      <c r="BA7" s="18">
        <f t="shared" si="10"/>
        <v>9199.99999999709</v>
      </c>
      <c r="BB7" s="18">
        <f t="shared" si="11"/>
        <v>631.999999999534</v>
      </c>
      <c r="BC7" s="18">
        <f t="shared" si="31"/>
        <v>1300.00000000029</v>
      </c>
      <c r="BD7" s="18">
        <f t="shared" si="12"/>
        <v>13128.7999999948</v>
      </c>
      <c r="BE7" s="18">
        <f t="shared" si="13"/>
        <v>50299.9999999884</v>
      </c>
      <c r="BF7" s="18">
        <f t="shared" si="14"/>
        <v>50.8999999999942</v>
      </c>
      <c r="BG7" s="21">
        <f t="shared" si="15"/>
        <v>0.245790291527752</v>
      </c>
      <c r="BH7" s="21">
        <f t="shared" si="16"/>
        <v>0.0444631216832912</v>
      </c>
      <c r="BI7" s="21">
        <f t="shared" si="17"/>
        <v>0</v>
      </c>
      <c r="BJ7" s="21">
        <f t="shared" si="18"/>
        <v>0.0378214086764362</v>
      </c>
      <c r="BK7" s="21">
        <f t="shared" ref="BK7:BO7" si="37">IF(OR($AD7=0),"",AZ7/$AD7)</f>
        <v>0.0449556795637336</v>
      </c>
      <c r="BL7" s="21">
        <f t="shared" si="37"/>
        <v>0.0449556795637202</v>
      </c>
      <c r="BM7" s="21">
        <f t="shared" si="37"/>
        <v>0.00308825972654992</v>
      </c>
      <c r="BN7" s="21">
        <f t="shared" si="37"/>
        <v>0.00635243298183346</v>
      </c>
      <c r="BO7" s="21">
        <f t="shared" si="37"/>
        <v>0.0641537093321875</v>
      </c>
    </row>
    <row r="8" spans="1:67">
      <c r="A8" s="9">
        <f t="shared" si="20"/>
        <v>44413</v>
      </c>
      <c r="B8" s="10">
        <v>16694.43</v>
      </c>
      <c r="C8" s="8">
        <v>92263.9</v>
      </c>
      <c r="D8" s="8">
        <v>58862.3</v>
      </c>
      <c r="E8" s="8">
        <v>57287.8</v>
      </c>
      <c r="F8" s="8">
        <v>4966.51</v>
      </c>
      <c r="G8" s="8">
        <v>113035.9</v>
      </c>
      <c r="H8" s="8">
        <v>5596.3</v>
      </c>
      <c r="I8" s="8">
        <v>2566.3</v>
      </c>
      <c r="J8" s="8">
        <v>967</v>
      </c>
      <c r="K8" s="8">
        <v>56</v>
      </c>
      <c r="L8" s="8">
        <v>91531.9</v>
      </c>
      <c r="M8" s="8">
        <v>61476.9</v>
      </c>
      <c r="N8" s="8">
        <v>72822.9</v>
      </c>
      <c r="O8" s="8">
        <v>103302.2</v>
      </c>
      <c r="P8" s="8">
        <v>5516.2</v>
      </c>
      <c r="Q8" s="8">
        <v>7288.1</v>
      </c>
      <c r="R8" s="8">
        <v>4621.8</v>
      </c>
      <c r="S8" s="8">
        <v>5233</v>
      </c>
      <c r="T8" s="8">
        <v>6755.2</v>
      </c>
      <c r="U8" s="8">
        <v>17416.6</v>
      </c>
      <c r="V8" s="8">
        <v>50891.2</v>
      </c>
      <c r="W8" s="8">
        <v>52418.8</v>
      </c>
      <c r="X8" s="8">
        <v>2475.3</v>
      </c>
      <c r="Y8" s="8">
        <v>2195.9</v>
      </c>
      <c r="Z8" s="16">
        <f t="shared" si="21"/>
        <v>57090</v>
      </c>
      <c r="AA8" s="8">
        <v>63960.5</v>
      </c>
      <c r="AB8" s="14">
        <v>3722</v>
      </c>
      <c r="AC8" s="7">
        <f t="shared" si="1"/>
        <v>67682.5</v>
      </c>
      <c r="AD8" s="17">
        <v>210657</v>
      </c>
      <c r="AE8" s="18">
        <f t="shared" ref="AE8:AI8" si="38">IF(OR(C9=""),"",(C9-C8)*80)</f>
        <v>3840</v>
      </c>
      <c r="AF8" s="18">
        <f t="shared" si="38"/>
        <v>0</v>
      </c>
      <c r="AG8" s="18">
        <f t="shared" si="38"/>
        <v>0</v>
      </c>
      <c r="AH8" s="18">
        <f t="shared" si="38"/>
        <v>2356.8</v>
      </c>
      <c r="AI8" s="18">
        <f t="shared" si="38"/>
        <v>2192.0000000007</v>
      </c>
      <c r="AJ8" s="18">
        <f t="shared" si="3"/>
        <v>8388.8000000007</v>
      </c>
      <c r="AK8" s="18">
        <f t="shared" ref="AK8:AN8" si="39">IF(OR(H9=""),"",(H9-H8)*80)</f>
        <v>0</v>
      </c>
      <c r="AL8" s="18">
        <f t="shared" si="39"/>
        <v>0</v>
      </c>
      <c r="AM8" s="18">
        <f t="shared" si="39"/>
        <v>0</v>
      </c>
      <c r="AN8" s="18">
        <f t="shared" si="39"/>
        <v>0</v>
      </c>
      <c r="AO8" s="18">
        <f t="shared" si="5"/>
        <v>0</v>
      </c>
      <c r="AP8" s="18">
        <f t="shared" ref="AP8:AS8" si="40">IF(OR(L9=""),"",(L9-L8)*100)</f>
        <v>3010.00000000058</v>
      </c>
      <c r="AQ8" s="18">
        <f t="shared" si="40"/>
        <v>0</v>
      </c>
      <c r="AR8" s="18">
        <f t="shared" si="40"/>
        <v>2950</v>
      </c>
      <c r="AS8" s="18">
        <f t="shared" si="40"/>
        <v>2530.00000000029</v>
      </c>
      <c r="AT8" s="18">
        <f t="shared" si="7"/>
        <v>8490.00000000087</v>
      </c>
      <c r="AU8" s="18">
        <f t="shared" ref="AU8:AY8" si="41">IF(OR(P9=""),"",(P9-P8)*1000)</f>
        <v>4199.99999999982</v>
      </c>
      <c r="AV8" s="18">
        <f t="shared" si="41"/>
        <v>7099.99999999945</v>
      </c>
      <c r="AW8" s="18">
        <f t="shared" si="41"/>
        <v>0</v>
      </c>
      <c r="AX8" s="18">
        <f t="shared" si="41"/>
        <v>100.000000000364</v>
      </c>
      <c r="AY8" s="18">
        <f t="shared" si="41"/>
        <v>0</v>
      </c>
      <c r="AZ8" s="18">
        <f t="shared" si="9"/>
        <v>11399.9999999996</v>
      </c>
      <c r="BA8" s="18">
        <f t="shared" si="10"/>
        <v>10000</v>
      </c>
      <c r="BB8" s="18">
        <f t="shared" si="11"/>
        <v>640</v>
      </c>
      <c r="BC8" s="18">
        <f t="shared" si="31"/>
        <v>1343.99999999965</v>
      </c>
      <c r="BD8" s="18">
        <f t="shared" si="12"/>
        <v>11937.2000000108</v>
      </c>
      <c r="BE8" s="18">
        <f t="shared" si="13"/>
        <v>52200.0000000116</v>
      </c>
      <c r="BF8" s="18">
        <f t="shared" si="14"/>
        <v>52</v>
      </c>
      <c r="BG8" s="21">
        <f t="shared" si="15"/>
        <v>0.247796180520997</v>
      </c>
      <c r="BH8" s="21">
        <f t="shared" si="16"/>
        <v>0.039822080443568</v>
      </c>
      <c r="BI8" s="21">
        <f t="shared" si="17"/>
        <v>0</v>
      </c>
      <c r="BJ8" s="21">
        <f t="shared" si="18"/>
        <v>0.0403024822341573</v>
      </c>
      <c r="BK8" s="21">
        <f t="shared" ref="BK8:BO8" si="42">IF(OR($AD8=0),"",AZ8/$AD8)</f>
        <v>0.0541164072402039</v>
      </c>
      <c r="BL8" s="21">
        <f t="shared" si="42"/>
        <v>0.0474705326668471</v>
      </c>
      <c r="BM8" s="21">
        <f t="shared" si="42"/>
        <v>0.00303811409067821</v>
      </c>
      <c r="BN8" s="21">
        <f t="shared" si="42"/>
        <v>0.00638003959042259</v>
      </c>
      <c r="BO8" s="21">
        <f t="shared" si="42"/>
        <v>0.0566665242551198</v>
      </c>
    </row>
    <row r="9" spans="1:67">
      <c r="A9" s="9">
        <f t="shared" si="20"/>
        <v>44414</v>
      </c>
      <c r="B9" s="10">
        <v>16699.65</v>
      </c>
      <c r="C9" s="8">
        <v>92311.9</v>
      </c>
      <c r="D9" s="8">
        <v>58862.3</v>
      </c>
      <c r="E9" s="8">
        <v>57287.8</v>
      </c>
      <c r="F9" s="8">
        <v>4995.97</v>
      </c>
      <c r="G9" s="8">
        <v>113063.3</v>
      </c>
      <c r="H9" s="8">
        <v>5596.3</v>
      </c>
      <c r="I9" s="8">
        <v>2566.3</v>
      </c>
      <c r="J9" s="8">
        <v>967</v>
      </c>
      <c r="K9" s="8">
        <v>56</v>
      </c>
      <c r="L9" s="8">
        <v>91562</v>
      </c>
      <c r="M9" s="8">
        <v>61476.9</v>
      </c>
      <c r="N9" s="8">
        <v>72852.4</v>
      </c>
      <c r="O9" s="8">
        <v>103327.5</v>
      </c>
      <c r="P9" s="8">
        <v>5520.4</v>
      </c>
      <c r="Q9" s="8">
        <v>7295.2</v>
      </c>
      <c r="R9" s="8">
        <v>4621.8</v>
      </c>
      <c r="S9" s="8">
        <v>5233.1</v>
      </c>
      <c r="T9" s="8">
        <v>6755.2</v>
      </c>
      <c r="U9" s="8">
        <v>17421.6</v>
      </c>
      <c r="V9" s="8">
        <v>50899.2</v>
      </c>
      <c r="W9" s="8">
        <v>52435.2</v>
      </c>
      <c r="X9" s="8">
        <v>2483.5</v>
      </c>
      <c r="Y9" s="8">
        <v>2204.9</v>
      </c>
      <c r="Z9" s="16">
        <f t="shared" si="21"/>
        <v>57123.6</v>
      </c>
      <c r="AA9" s="8">
        <v>64004.5</v>
      </c>
      <c r="AB9" s="14">
        <v>3730</v>
      </c>
      <c r="AC9" s="7">
        <f t="shared" si="1"/>
        <v>67734.5</v>
      </c>
      <c r="AD9" s="17">
        <v>211744</v>
      </c>
      <c r="AE9" s="18">
        <f t="shared" ref="AE9:AI9" si="43">IF(OR(C10=""),"",(C10-C9)*80)</f>
        <v>3792.0000000007</v>
      </c>
      <c r="AF9" s="18">
        <f t="shared" si="43"/>
        <v>120</v>
      </c>
      <c r="AG9" s="18">
        <f t="shared" si="43"/>
        <v>0</v>
      </c>
      <c r="AH9" s="18">
        <f t="shared" si="43"/>
        <v>2186.39999999999</v>
      </c>
      <c r="AI9" s="18">
        <f t="shared" si="43"/>
        <v>1831.99999999953</v>
      </c>
      <c r="AJ9" s="18">
        <f t="shared" si="3"/>
        <v>7930.40000000023</v>
      </c>
      <c r="AK9" s="18">
        <f t="shared" ref="AK9:AN9" si="44">IF(OR(H10=""),"",(H10-H9)*80)</f>
        <v>0</v>
      </c>
      <c r="AL9" s="18">
        <f t="shared" si="44"/>
        <v>0</v>
      </c>
      <c r="AM9" s="18">
        <f t="shared" si="44"/>
        <v>0</v>
      </c>
      <c r="AN9" s="18">
        <f t="shared" si="44"/>
        <v>0</v>
      </c>
      <c r="AO9" s="18">
        <f t="shared" si="5"/>
        <v>0</v>
      </c>
      <c r="AP9" s="18">
        <f t="shared" ref="AP9:AS9" si="45">IF(OR(L10=""),"",(L10-L9)*100)</f>
        <v>2719.99999999971</v>
      </c>
      <c r="AQ9" s="18">
        <f t="shared" si="45"/>
        <v>0</v>
      </c>
      <c r="AR9" s="18">
        <f t="shared" si="45"/>
        <v>2930.00000000029</v>
      </c>
      <c r="AS9" s="18">
        <f t="shared" si="45"/>
        <v>2489.99999999942</v>
      </c>
      <c r="AT9" s="18">
        <f t="shared" si="7"/>
        <v>8139.99999999942</v>
      </c>
      <c r="AU9" s="18">
        <f t="shared" ref="AU9:AY9" si="46">IF(OR(P10=""),"",(P10-P9)*1000)</f>
        <v>4200.00000000073</v>
      </c>
      <c r="AV9" s="18">
        <f t="shared" si="46"/>
        <v>7500</v>
      </c>
      <c r="AW9" s="18">
        <f t="shared" si="46"/>
        <v>0</v>
      </c>
      <c r="AX9" s="18">
        <f t="shared" si="46"/>
        <v>0</v>
      </c>
      <c r="AY9" s="18">
        <f t="shared" si="46"/>
        <v>0</v>
      </c>
      <c r="AZ9" s="18">
        <f t="shared" si="9"/>
        <v>11700.0000000007</v>
      </c>
      <c r="BA9" s="18">
        <f t="shared" si="10"/>
        <v>9800.00000000291</v>
      </c>
      <c r="BB9" s="18">
        <f t="shared" si="11"/>
        <v>640</v>
      </c>
      <c r="BC9" s="18">
        <f t="shared" si="31"/>
        <v>1343.99999999994</v>
      </c>
      <c r="BD9" s="18">
        <f t="shared" si="12"/>
        <v>11345.5999999982</v>
      </c>
      <c r="BE9" s="18">
        <f t="shared" si="13"/>
        <v>50900.0000000015</v>
      </c>
      <c r="BF9" s="18">
        <f t="shared" si="14"/>
        <v>48.1000000000058</v>
      </c>
      <c r="BG9" s="21">
        <f t="shared" si="15"/>
        <v>0.240384615384622</v>
      </c>
      <c r="BH9" s="21">
        <f t="shared" si="16"/>
        <v>0.0374527731600434</v>
      </c>
      <c r="BI9" s="21">
        <f t="shared" si="17"/>
        <v>0</v>
      </c>
      <c r="BJ9" s="21">
        <f t="shared" si="18"/>
        <v>0.0384426477255526</v>
      </c>
      <c r="BK9" s="21">
        <f t="shared" ref="BK9:BO9" si="47">IF(OR($AD9=0),"",AZ9/$AD9)</f>
        <v>0.0552554027504946</v>
      </c>
      <c r="BL9" s="21">
        <f t="shared" si="47"/>
        <v>0.0462823031585448</v>
      </c>
      <c r="BM9" s="21">
        <f t="shared" si="47"/>
        <v>0.00302251775729182</v>
      </c>
      <c r="BN9" s="21">
        <f t="shared" si="47"/>
        <v>0.00634728729031256</v>
      </c>
      <c r="BO9" s="21">
        <f t="shared" si="47"/>
        <v>0.0535816835423825</v>
      </c>
    </row>
    <row r="10" spans="1:67">
      <c r="A10" s="9">
        <f t="shared" si="20"/>
        <v>44415</v>
      </c>
      <c r="B10" s="10">
        <v>16704.74</v>
      </c>
      <c r="C10" s="8">
        <v>92359.3</v>
      </c>
      <c r="D10" s="8">
        <v>58863.8</v>
      </c>
      <c r="E10" s="8">
        <v>57287.8</v>
      </c>
      <c r="F10" s="8">
        <v>5023.3</v>
      </c>
      <c r="G10" s="8">
        <v>113086.2</v>
      </c>
      <c r="H10" s="8">
        <v>5596.3</v>
      </c>
      <c r="I10" s="8">
        <v>2566.3</v>
      </c>
      <c r="J10" s="8">
        <v>967</v>
      </c>
      <c r="K10" s="8">
        <v>56</v>
      </c>
      <c r="L10" s="8">
        <v>91589.2</v>
      </c>
      <c r="M10" s="8">
        <v>61476.9</v>
      </c>
      <c r="N10" s="8">
        <v>72881.7</v>
      </c>
      <c r="O10" s="8">
        <v>103352.4</v>
      </c>
      <c r="P10" s="8">
        <v>5524.6</v>
      </c>
      <c r="Q10" s="8">
        <v>7302.7</v>
      </c>
      <c r="R10" s="8">
        <v>4621.8</v>
      </c>
      <c r="S10" s="8">
        <v>5233.1</v>
      </c>
      <c r="T10" s="8">
        <v>6755.2</v>
      </c>
      <c r="U10" s="8">
        <v>17426.5</v>
      </c>
      <c r="V10" s="8">
        <v>50907.2</v>
      </c>
      <c r="W10" s="8">
        <v>52451.7</v>
      </c>
      <c r="X10" s="8">
        <v>2491.7</v>
      </c>
      <c r="Y10" s="8">
        <v>2213.8</v>
      </c>
      <c r="Z10" s="16">
        <f t="shared" si="21"/>
        <v>57157.2</v>
      </c>
      <c r="AA10" s="8">
        <v>64045.6</v>
      </c>
      <c r="AB10" s="14">
        <v>3737</v>
      </c>
      <c r="AC10" s="7">
        <f t="shared" si="1"/>
        <v>67782.6</v>
      </c>
      <c r="AD10" s="17">
        <v>206688</v>
      </c>
      <c r="AE10" s="18">
        <f t="shared" ref="AE10:AI10" si="48">IF(OR(C11=""),"",(C11-C10)*80)</f>
        <v>3800</v>
      </c>
      <c r="AF10" s="18">
        <f t="shared" si="48"/>
        <v>3040</v>
      </c>
      <c r="AG10" s="18">
        <f t="shared" si="48"/>
        <v>0</v>
      </c>
      <c r="AH10" s="18">
        <f t="shared" si="48"/>
        <v>47.2000000000116</v>
      </c>
      <c r="AI10" s="18">
        <f t="shared" si="48"/>
        <v>2455.99999999977</v>
      </c>
      <c r="AJ10" s="18">
        <f t="shared" si="3"/>
        <v>9343.19999999978</v>
      </c>
      <c r="AK10" s="18">
        <f t="shared" ref="AK10:AN10" si="49">IF(OR(H11=""),"",(H11-H10)*80)</f>
        <v>0</v>
      </c>
      <c r="AL10" s="18">
        <f t="shared" si="49"/>
        <v>0</v>
      </c>
      <c r="AM10" s="18">
        <f t="shared" si="49"/>
        <v>0</v>
      </c>
      <c r="AN10" s="18">
        <f t="shared" si="49"/>
        <v>0</v>
      </c>
      <c r="AO10" s="18">
        <f t="shared" si="5"/>
        <v>0</v>
      </c>
      <c r="AP10" s="18">
        <f t="shared" ref="AP10:AS10" si="50">IF(OR(L11=""),"",(L11-L10)*100)</f>
        <v>2550</v>
      </c>
      <c r="AQ10" s="18">
        <f t="shared" si="50"/>
        <v>0</v>
      </c>
      <c r="AR10" s="18">
        <f t="shared" si="50"/>
        <v>3000</v>
      </c>
      <c r="AS10" s="18">
        <f t="shared" si="50"/>
        <v>2540.00000000087</v>
      </c>
      <c r="AT10" s="18">
        <f t="shared" si="7"/>
        <v>8090.00000000087</v>
      </c>
      <c r="AU10" s="18">
        <f t="shared" ref="AU10:AY10" si="51">IF(OR(P11=""),"",(P11-P10)*1000)</f>
        <v>4299.99999999927</v>
      </c>
      <c r="AV10" s="18">
        <f t="shared" si="51"/>
        <v>7699.99999999982</v>
      </c>
      <c r="AW10" s="18">
        <f t="shared" si="51"/>
        <v>0</v>
      </c>
      <c r="AX10" s="18">
        <f t="shared" si="51"/>
        <v>0</v>
      </c>
      <c r="AY10" s="18">
        <f t="shared" si="51"/>
        <v>0</v>
      </c>
      <c r="AZ10" s="18">
        <f t="shared" si="9"/>
        <v>11999.9999999991</v>
      </c>
      <c r="BA10" s="18">
        <f t="shared" si="10"/>
        <v>10000</v>
      </c>
      <c r="BB10" s="18">
        <f t="shared" si="11"/>
        <v>632.000000000116</v>
      </c>
      <c r="BC10" s="18">
        <f t="shared" si="31"/>
        <v>1323.99999999994</v>
      </c>
      <c r="BD10" s="18">
        <f t="shared" si="12"/>
        <v>10310.7999999827</v>
      </c>
      <c r="BE10" s="18">
        <f t="shared" si="13"/>
        <v>51699.9999999825</v>
      </c>
      <c r="BF10" s="18">
        <f t="shared" si="14"/>
        <v>49.3999999999942</v>
      </c>
      <c r="BG10" s="21">
        <f t="shared" si="15"/>
        <v>0.250135469886895</v>
      </c>
      <c r="BH10" s="21">
        <f t="shared" si="16"/>
        <v>0.0452043660009279</v>
      </c>
      <c r="BI10" s="21">
        <f t="shared" si="17"/>
        <v>0</v>
      </c>
      <c r="BJ10" s="21">
        <f t="shared" si="18"/>
        <v>0.0391411209165548</v>
      </c>
      <c r="BK10" s="21">
        <f t="shared" ref="BK10:BO10" si="52">IF(OR($AD10=0),"",AZ10/$AD10)</f>
        <v>0.0580585229911707</v>
      </c>
      <c r="BL10" s="21">
        <f t="shared" si="52"/>
        <v>0.0483821024926459</v>
      </c>
      <c r="BM10" s="21">
        <f t="shared" si="52"/>
        <v>0.00305774887753579</v>
      </c>
      <c r="BN10" s="21">
        <f t="shared" si="52"/>
        <v>0.00640579037002604</v>
      </c>
      <c r="BO10" s="21">
        <f t="shared" si="52"/>
        <v>0.0498858182380338</v>
      </c>
    </row>
    <row r="11" spans="1:67">
      <c r="A11" s="9">
        <f t="shared" si="20"/>
        <v>44416</v>
      </c>
      <c r="B11" s="10">
        <v>16709.91</v>
      </c>
      <c r="C11" s="8">
        <v>92406.8</v>
      </c>
      <c r="D11" s="8">
        <v>58901.8</v>
      </c>
      <c r="E11" s="8">
        <v>57287.8</v>
      </c>
      <c r="F11" s="8">
        <v>5023.89</v>
      </c>
      <c r="G11" s="8">
        <v>113116.9</v>
      </c>
      <c r="H11" s="8">
        <v>5596.3</v>
      </c>
      <c r="I11" s="8">
        <v>2566.3</v>
      </c>
      <c r="J11" s="8">
        <v>967</v>
      </c>
      <c r="K11" s="8">
        <v>56</v>
      </c>
      <c r="L11" s="8">
        <v>91614.7</v>
      </c>
      <c r="M11" s="8">
        <v>61476.9</v>
      </c>
      <c r="N11" s="8">
        <v>72911.7</v>
      </c>
      <c r="O11" s="8">
        <v>103377.8</v>
      </c>
      <c r="P11" s="8">
        <v>5528.9</v>
      </c>
      <c r="Q11" s="8">
        <v>7310.4</v>
      </c>
      <c r="R11" s="8">
        <v>4621.8</v>
      </c>
      <c r="S11" s="8">
        <v>5233.1</v>
      </c>
      <c r="T11" s="8">
        <v>6755.2</v>
      </c>
      <c r="U11" s="8">
        <v>17431.5</v>
      </c>
      <c r="V11" s="8">
        <v>50915.1</v>
      </c>
      <c r="W11" s="8">
        <v>52467.7</v>
      </c>
      <c r="X11" s="8">
        <v>2499.9</v>
      </c>
      <c r="Y11" s="8">
        <v>2222.7</v>
      </c>
      <c r="Z11" s="16">
        <f t="shared" si="21"/>
        <v>57190.3</v>
      </c>
      <c r="AA11" s="8">
        <v>64087</v>
      </c>
      <c r="AB11" s="14">
        <v>3745</v>
      </c>
      <c r="AC11" s="7">
        <f t="shared" si="1"/>
        <v>67832</v>
      </c>
      <c r="AD11" s="17">
        <v>206282</v>
      </c>
      <c r="AE11" s="18">
        <f t="shared" ref="AE11:AI11" si="53">IF(OR(C12=""),"",(C12-C11)*80)</f>
        <v>3744.00000000023</v>
      </c>
      <c r="AF11" s="18">
        <f t="shared" si="53"/>
        <v>823.999999999651</v>
      </c>
      <c r="AG11" s="18">
        <f t="shared" si="53"/>
        <v>0</v>
      </c>
      <c r="AH11" s="18">
        <f t="shared" si="53"/>
        <v>1953.60000000001</v>
      </c>
      <c r="AI11" s="18">
        <f t="shared" si="53"/>
        <v>2072.0000000007</v>
      </c>
      <c r="AJ11" s="18">
        <f t="shared" si="3"/>
        <v>8593.60000000059</v>
      </c>
      <c r="AK11" s="18">
        <f t="shared" ref="AK11:AN11" si="54">IF(OR(H12=""),"",(H12-H11)*80)</f>
        <v>0</v>
      </c>
      <c r="AL11" s="18">
        <f t="shared" si="54"/>
        <v>0</v>
      </c>
      <c r="AM11" s="18">
        <f t="shared" si="54"/>
        <v>0</v>
      </c>
      <c r="AN11" s="18">
        <f t="shared" si="54"/>
        <v>0</v>
      </c>
      <c r="AO11" s="18">
        <f t="shared" si="5"/>
        <v>0</v>
      </c>
      <c r="AP11" s="18">
        <f t="shared" ref="AP11:AS11" si="55">IF(OR(L12=""),"",(L12-L11)*100)</f>
        <v>2560.00000000058</v>
      </c>
      <c r="AQ11" s="18">
        <f t="shared" si="55"/>
        <v>0</v>
      </c>
      <c r="AR11" s="18">
        <f t="shared" si="55"/>
        <v>2890.00000000087</v>
      </c>
      <c r="AS11" s="18">
        <f t="shared" si="55"/>
        <v>2469.99999999971</v>
      </c>
      <c r="AT11" s="18">
        <f t="shared" si="7"/>
        <v>7920.00000000116</v>
      </c>
      <c r="AU11" s="18">
        <f t="shared" ref="AU11:AY11" si="56">IF(OR(P12=""),"",(P12-P11)*1000)</f>
        <v>4100.00000000036</v>
      </c>
      <c r="AV11" s="18">
        <f t="shared" si="56"/>
        <v>3200.00000000073</v>
      </c>
      <c r="AW11" s="18">
        <f t="shared" si="56"/>
        <v>0</v>
      </c>
      <c r="AX11" s="18">
        <f t="shared" si="56"/>
        <v>3099.99999999945</v>
      </c>
      <c r="AY11" s="18">
        <f t="shared" si="56"/>
        <v>0</v>
      </c>
      <c r="AZ11" s="18">
        <f t="shared" si="9"/>
        <v>10400.0000000005</v>
      </c>
      <c r="BA11" s="18">
        <f t="shared" si="10"/>
        <v>9599.99999999854</v>
      </c>
      <c r="BB11" s="18">
        <f t="shared" si="11"/>
        <v>640</v>
      </c>
      <c r="BC11" s="18">
        <f t="shared" si="31"/>
        <v>1308.00000000047</v>
      </c>
      <c r="BD11" s="18">
        <f t="shared" si="12"/>
        <v>14238.4000000031</v>
      </c>
      <c r="BE11" s="18">
        <f t="shared" si="13"/>
        <v>52700.0000000044</v>
      </c>
      <c r="BF11" s="18">
        <f t="shared" si="14"/>
        <v>46.3000000000029</v>
      </c>
      <c r="BG11" s="21">
        <f t="shared" si="15"/>
        <v>0.255475514102076</v>
      </c>
      <c r="BH11" s="21">
        <f t="shared" si="16"/>
        <v>0.0416594758631417</v>
      </c>
      <c r="BI11" s="21">
        <f t="shared" si="17"/>
        <v>0</v>
      </c>
      <c r="BJ11" s="21">
        <f t="shared" si="18"/>
        <v>0.0383940431060449</v>
      </c>
      <c r="BK11" s="21">
        <f t="shared" ref="BK11:BO11" si="57">IF(OR($AD11=0),"",AZ11/$AD11)</f>
        <v>0.0504164202402563</v>
      </c>
      <c r="BL11" s="21">
        <f t="shared" si="57"/>
        <v>0.0465382340679194</v>
      </c>
      <c r="BM11" s="21">
        <f t="shared" si="57"/>
        <v>0.00310254893786176</v>
      </c>
      <c r="BN11" s="21">
        <f t="shared" si="57"/>
        <v>0.00634083439175723</v>
      </c>
      <c r="BO11" s="21">
        <f t="shared" si="57"/>
        <v>0.0690239574950944</v>
      </c>
    </row>
    <row r="12" spans="1:67">
      <c r="A12" s="9">
        <f t="shared" si="20"/>
        <v>44417</v>
      </c>
      <c r="B12" s="10">
        <v>16715.18</v>
      </c>
      <c r="C12" s="8">
        <v>92453.6</v>
      </c>
      <c r="D12" s="8">
        <v>58912.1</v>
      </c>
      <c r="E12" s="8">
        <v>57287.8</v>
      </c>
      <c r="F12" s="8">
        <v>5048.31</v>
      </c>
      <c r="G12" s="8">
        <v>113142.8</v>
      </c>
      <c r="H12" s="8">
        <v>5596.3</v>
      </c>
      <c r="I12" s="8">
        <v>2566.3</v>
      </c>
      <c r="J12" s="8">
        <v>967</v>
      </c>
      <c r="K12" s="8">
        <v>56</v>
      </c>
      <c r="L12" s="8">
        <v>91640.3</v>
      </c>
      <c r="M12" s="8">
        <v>61476.9</v>
      </c>
      <c r="N12" s="8">
        <v>72940.6</v>
      </c>
      <c r="O12" s="8">
        <v>103402.5</v>
      </c>
      <c r="P12" s="8">
        <v>5533</v>
      </c>
      <c r="Q12" s="8">
        <v>7313.6</v>
      </c>
      <c r="R12" s="8">
        <v>4621.8</v>
      </c>
      <c r="S12" s="8">
        <v>5236.2</v>
      </c>
      <c r="T12" s="8">
        <v>6755.2</v>
      </c>
      <c r="U12" s="8">
        <v>17436.3</v>
      </c>
      <c r="V12" s="8">
        <v>50923.1</v>
      </c>
      <c r="W12" s="8">
        <v>52483.8</v>
      </c>
      <c r="X12" s="8">
        <v>2507.9</v>
      </c>
      <c r="Y12" s="8">
        <v>2231.3</v>
      </c>
      <c r="Z12" s="16">
        <f t="shared" si="21"/>
        <v>57223</v>
      </c>
      <c r="AA12" s="8">
        <v>64126.3</v>
      </c>
      <c r="AB12" s="14">
        <v>3752</v>
      </c>
      <c r="AC12" s="7">
        <f t="shared" si="1"/>
        <v>67878.3</v>
      </c>
      <c r="AD12" s="17">
        <v>204168</v>
      </c>
      <c r="AE12" s="18">
        <f t="shared" ref="AE12:AI12" si="58">IF(OR(C13=""),"",(C13-C12)*80)</f>
        <v>3831.99999999953</v>
      </c>
      <c r="AF12" s="18">
        <f t="shared" si="58"/>
        <v>2272.00000000012</v>
      </c>
      <c r="AG12" s="18">
        <f t="shared" si="58"/>
        <v>0</v>
      </c>
      <c r="AH12" s="18">
        <f t="shared" si="58"/>
        <v>2175.19999999997</v>
      </c>
      <c r="AI12" s="18">
        <f t="shared" si="58"/>
        <v>1935.99999999977</v>
      </c>
      <c r="AJ12" s="18">
        <f t="shared" si="3"/>
        <v>10215.1999999994</v>
      </c>
      <c r="AK12" s="18">
        <f t="shared" ref="AK12:AN12" si="59">IF(OR(H13=""),"",(H13-H12)*80)</f>
        <v>0</v>
      </c>
      <c r="AL12" s="18">
        <f t="shared" si="59"/>
        <v>0</v>
      </c>
      <c r="AM12" s="18">
        <f t="shared" si="59"/>
        <v>0</v>
      </c>
      <c r="AN12" s="18">
        <f t="shared" si="59"/>
        <v>0</v>
      </c>
      <c r="AO12" s="18">
        <f t="shared" si="5"/>
        <v>0</v>
      </c>
      <c r="AP12" s="18">
        <f t="shared" ref="AP12:AS12" si="60">IF(OR(L13=""),"",(L13-L12)*100)</f>
        <v>2650</v>
      </c>
      <c r="AQ12" s="18">
        <f t="shared" si="60"/>
        <v>0</v>
      </c>
      <c r="AR12" s="18">
        <f t="shared" si="60"/>
        <v>2929.99999999884</v>
      </c>
      <c r="AS12" s="18">
        <f t="shared" si="60"/>
        <v>2500</v>
      </c>
      <c r="AT12" s="18">
        <f t="shared" si="7"/>
        <v>8079.99999999884</v>
      </c>
      <c r="AU12" s="18">
        <f t="shared" ref="AU12:AY12" si="61">IF(OR(P13=""),"",(P13-P12)*1000)</f>
        <v>3399.99999999964</v>
      </c>
      <c r="AV12" s="18">
        <f t="shared" si="61"/>
        <v>1199.99999999982</v>
      </c>
      <c r="AW12" s="18">
        <f t="shared" si="61"/>
        <v>699.999999999818</v>
      </c>
      <c r="AX12" s="18">
        <f t="shared" si="61"/>
        <v>4100.00000000036</v>
      </c>
      <c r="AY12" s="18">
        <f t="shared" si="61"/>
        <v>0</v>
      </c>
      <c r="AZ12" s="18">
        <f t="shared" si="9"/>
        <v>9399.99999999964</v>
      </c>
      <c r="BA12" s="18">
        <f t="shared" si="10"/>
        <v>8599.99999999854</v>
      </c>
      <c r="BB12" s="18">
        <f t="shared" si="11"/>
        <v>640</v>
      </c>
      <c r="BC12" s="18">
        <f t="shared" si="31"/>
        <v>1307.99999999988</v>
      </c>
      <c r="BD12" s="18">
        <f t="shared" si="12"/>
        <v>16856.7999999877</v>
      </c>
      <c r="BE12" s="18">
        <f t="shared" si="13"/>
        <v>55099.999999984</v>
      </c>
      <c r="BF12" s="18">
        <f t="shared" si="14"/>
        <v>42.6999999999971</v>
      </c>
      <c r="BG12" s="21">
        <f t="shared" si="15"/>
        <v>0.2698757885662</v>
      </c>
      <c r="BH12" s="21">
        <f t="shared" si="16"/>
        <v>0.050033305904938</v>
      </c>
      <c r="BI12" s="21">
        <f t="shared" si="17"/>
        <v>0</v>
      </c>
      <c r="BJ12" s="21">
        <f t="shared" si="18"/>
        <v>0.0395752517534522</v>
      </c>
      <c r="BK12" s="21">
        <f t="shared" ref="BK12:BO12" si="62">IF(OR($AD12=0),"",AZ12/$AD12)</f>
        <v>0.0460405156537735</v>
      </c>
      <c r="BL12" s="21">
        <f t="shared" si="62"/>
        <v>0.0421221738960001</v>
      </c>
      <c r="BM12" s="21">
        <f t="shared" si="62"/>
        <v>0.00313467340621449</v>
      </c>
      <c r="BN12" s="21">
        <f t="shared" si="62"/>
        <v>0.00640648877395029</v>
      </c>
      <c r="BO12" s="21">
        <f t="shared" si="62"/>
        <v>0.0825633791778717</v>
      </c>
    </row>
    <row r="13" spans="1:67">
      <c r="A13" s="9">
        <f t="shared" si="20"/>
        <v>44418</v>
      </c>
      <c r="B13" s="10">
        <v>16720.69</v>
      </c>
      <c r="C13" s="8">
        <v>92501.5</v>
      </c>
      <c r="D13" s="8">
        <v>58940.5</v>
      </c>
      <c r="E13" s="8">
        <v>57287.8</v>
      </c>
      <c r="F13" s="8">
        <v>5075.5</v>
      </c>
      <c r="G13" s="8">
        <v>113167</v>
      </c>
      <c r="H13" s="8">
        <v>5596.3</v>
      </c>
      <c r="I13" s="8">
        <v>2566.3</v>
      </c>
      <c r="J13" s="8">
        <v>967</v>
      </c>
      <c r="K13" s="8">
        <v>56</v>
      </c>
      <c r="L13" s="8">
        <v>91666.8</v>
      </c>
      <c r="M13" s="8">
        <v>61476.9</v>
      </c>
      <c r="N13" s="8">
        <v>72969.9</v>
      </c>
      <c r="O13" s="8">
        <v>103427.5</v>
      </c>
      <c r="P13" s="8">
        <v>5536.4</v>
      </c>
      <c r="Q13" s="8">
        <v>7314.8</v>
      </c>
      <c r="R13" s="8">
        <v>4622.5</v>
      </c>
      <c r="S13" s="8">
        <v>5240.3</v>
      </c>
      <c r="T13" s="8">
        <v>6755.2</v>
      </c>
      <c r="U13" s="8">
        <v>17440.6</v>
      </c>
      <c r="V13" s="8">
        <v>50931.1</v>
      </c>
      <c r="W13" s="8">
        <v>52499.9</v>
      </c>
      <c r="X13" s="8">
        <v>2515.9</v>
      </c>
      <c r="Y13" s="8">
        <v>2239.9</v>
      </c>
      <c r="Z13" s="16">
        <f t="shared" si="21"/>
        <v>57255.7</v>
      </c>
      <c r="AA13" s="8">
        <v>64162</v>
      </c>
      <c r="AB13" s="14">
        <v>3759</v>
      </c>
      <c r="AC13" s="7">
        <f t="shared" si="1"/>
        <v>67921</v>
      </c>
      <c r="AD13" s="17">
        <v>204578</v>
      </c>
      <c r="AE13" s="18">
        <f t="shared" ref="AE13:AI13" si="63">IF(OR(C14=""),"",(C14-C13)*80)</f>
        <v>3848.00000000047</v>
      </c>
      <c r="AF13" s="18">
        <f t="shared" si="63"/>
        <v>2544.00000000023</v>
      </c>
      <c r="AG13" s="18">
        <f t="shared" si="63"/>
        <v>0</v>
      </c>
      <c r="AH13" s="18">
        <f t="shared" si="63"/>
        <v>2346.39999999999</v>
      </c>
      <c r="AI13" s="18">
        <f t="shared" si="63"/>
        <v>1480</v>
      </c>
      <c r="AJ13" s="18">
        <f t="shared" si="3"/>
        <v>10218.4000000007</v>
      </c>
      <c r="AK13" s="18">
        <f t="shared" ref="AK13:AN13" si="64">IF(OR(H14=""),"",(H14-H13)*80)</f>
        <v>0</v>
      </c>
      <c r="AL13" s="18">
        <f t="shared" si="64"/>
        <v>0</v>
      </c>
      <c r="AM13" s="18">
        <f t="shared" si="64"/>
        <v>0</v>
      </c>
      <c r="AN13" s="18">
        <f t="shared" si="64"/>
        <v>0</v>
      </c>
      <c r="AO13" s="18">
        <f t="shared" si="5"/>
        <v>0</v>
      </c>
      <c r="AP13" s="18">
        <f t="shared" ref="AP13:AS13" si="65">IF(OR(L14=""),"",(L14-L13)*100)</f>
        <v>2469.99999999971</v>
      </c>
      <c r="AQ13" s="18">
        <f t="shared" si="65"/>
        <v>0</v>
      </c>
      <c r="AR13" s="18">
        <f t="shared" si="65"/>
        <v>2640.00000000087</v>
      </c>
      <c r="AS13" s="18">
        <f t="shared" si="65"/>
        <v>2530.00000000029</v>
      </c>
      <c r="AT13" s="18">
        <f t="shared" si="7"/>
        <v>7640.00000000087</v>
      </c>
      <c r="AU13" s="18">
        <f t="shared" ref="AU13:AY13" si="66">IF(OR(P14=""),"",(P14-P13)*1000)</f>
        <v>4100.00000000036</v>
      </c>
      <c r="AV13" s="18">
        <f t="shared" si="66"/>
        <v>7500</v>
      </c>
      <c r="AW13" s="18">
        <f t="shared" si="66"/>
        <v>0</v>
      </c>
      <c r="AX13" s="18">
        <f t="shared" si="66"/>
        <v>300.000000000182</v>
      </c>
      <c r="AY13" s="18">
        <f t="shared" si="66"/>
        <v>0</v>
      </c>
      <c r="AZ13" s="18">
        <f t="shared" si="9"/>
        <v>11900.0000000005</v>
      </c>
      <c r="BA13" s="18">
        <f t="shared" si="10"/>
        <v>8400.00000000146</v>
      </c>
      <c r="BB13" s="18">
        <f t="shared" si="11"/>
        <v>640</v>
      </c>
      <c r="BC13" s="18">
        <f t="shared" si="31"/>
        <v>1283.99999999994</v>
      </c>
      <c r="BD13" s="18">
        <f t="shared" si="12"/>
        <v>12817.6000000052</v>
      </c>
      <c r="BE13" s="18">
        <f t="shared" si="13"/>
        <v>52900.0000000087</v>
      </c>
      <c r="BF13" s="18">
        <f t="shared" si="14"/>
        <v>54.1000000000058</v>
      </c>
      <c r="BG13" s="21">
        <f t="shared" si="15"/>
        <v>0.258581079099457</v>
      </c>
      <c r="BH13" s="21">
        <f t="shared" si="16"/>
        <v>0.0499486748330744</v>
      </c>
      <c r="BI13" s="21">
        <f t="shared" si="17"/>
        <v>0</v>
      </c>
      <c r="BJ13" s="21">
        <f t="shared" si="18"/>
        <v>0.0373451690797685</v>
      </c>
      <c r="BK13" s="21">
        <f t="shared" ref="BK13:BO13" si="67">IF(OR($AD13=0),"",AZ13/$AD13)</f>
        <v>0.0581685225195307</v>
      </c>
      <c r="BL13" s="21">
        <f t="shared" si="67"/>
        <v>0.0410601335432033</v>
      </c>
      <c r="BM13" s="21">
        <f t="shared" si="67"/>
        <v>0.00312839112710067</v>
      </c>
      <c r="BN13" s="21">
        <f t="shared" si="67"/>
        <v>0.00627633469874543</v>
      </c>
      <c r="BO13" s="21">
        <f t="shared" si="67"/>
        <v>0.0626538532980341</v>
      </c>
    </row>
    <row r="14" spans="1:67">
      <c r="A14" s="9">
        <f t="shared" si="20"/>
        <v>44419</v>
      </c>
      <c r="B14" s="10">
        <v>16725.98</v>
      </c>
      <c r="C14" s="8">
        <v>92549.6</v>
      </c>
      <c r="D14" s="8">
        <v>58972.3</v>
      </c>
      <c r="E14" s="8">
        <v>57287.8</v>
      </c>
      <c r="F14" s="8">
        <v>5104.83</v>
      </c>
      <c r="G14" s="8">
        <v>113185.5</v>
      </c>
      <c r="H14" s="8">
        <v>5596.3</v>
      </c>
      <c r="I14" s="8">
        <v>2566.3</v>
      </c>
      <c r="J14" s="8">
        <v>967</v>
      </c>
      <c r="K14" s="8">
        <v>56</v>
      </c>
      <c r="L14" s="8">
        <v>91691.5</v>
      </c>
      <c r="M14" s="8">
        <v>61476.9</v>
      </c>
      <c r="N14" s="8">
        <v>72996.3</v>
      </c>
      <c r="O14" s="8">
        <v>103452.8</v>
      </c>
      <c r="P14" s="8">
        <v>5540.5</v>
      </c>
      <c r="Q14" s="8">
        <v>7322.3</v>
      </c>
      <c r="R14" s="8">
        <v>4622.5</v>
      </c>
      <c r="S14" s="8">
        <v>5240.6</v>
      </c>
      <c r="T14" s="8">
        <v>6755.2</v>
      </c>
      <c r="U14" s="8">
        <v>17444.8</v>
      </c>
      <c r="V14" s="8">
        <v>50939.1</v>
      </c>
      <c r="W14" s="8">
        <v>52516</v>
      </c>
      <c r="X14" s="8">
        <v>2523.9</v>
      </c>
      <c r="Y14" s="8">
        <v>2247.9</v>
      </c>
      <c r="Z14" s="16">
        <f t="shared" si="21"/>
        <v>57287.8</v>
      </c>
      <c r="AA14" s="8">
        <v>64198.1</v>
      </c>
      <c r="AB14" s="14">
        <v>3777</v>
      </c>
      <c r="AC14" s="7">
        <f t="shared" si="1"/>
        <v>67975.1</v>
      </c>
      <c r="AD14" s="17">
        <v>203216</v>
      </c>
      <c r="AE14" s="18">
        <f t="shared" ref="AE14:AI14" si="68">IF(OR(C15=""),"",(C15-C14)*80)</f>
        <v>3880</v>
      </c>
      <c r="AF14" s="18">
        <f t="shared" si="68"/>
        <v>2511.99999999953</v>
      </c>
      <c r="AG14" s="18">
        <f t="shared" si="68"/>
        <v>0</v>
      </c>
      <c r="AH14" s="18">
        <f t="shared" si="68"/>
        <v>773.600000000006</v>
      </c>
      <c r="AI14" s="18">
        <f t="shared" si="68"/>
        <v>2064.00000000023</v>
      </c>
      <c r="AJ14" s="18">
        <f t="shared" si="3"/>
        <v>9229.59999999977</v>
      </c>
      <c r="AK14" s="18">
        <f t="shared" ref="AK14:AN14" si="69">IF(OR(H15=""),"",(H15-H14)*80)</f>
        <v>0</v>
      </c>
      <c r="AL14" s="18">
        <f t="shared" si="69"/>
        <v>0</v>
      </c>
      <c r="AM14" s="18">
        <f t="shared" si="69"/>
        <v>0</v>
      </c>
      <c r="AN14" s="18">
        <f t="shared" si="69"/>
        <v>0</v>
      </c>
      <c r="AO14" s="18">
        <f t="shared" si="5"/>
        <v>0</v>
      </c>
      <c r="AP14" s="18">
        <f t="shared" ref="AP14:AS14" si="70">IF(OR(L15=""),"",(L15-L14)*100)</f>
        <v>2650</v>
      </c>
      <c r="AQ14" s="18">
        <f t="shared" si="70"/>
        <v>0</v>
      </c>
      <c r="AR14" s="18">
        <f t="shared" si="70"/>
        <v>2850</v>
      </c>
      <c r="AS14" s="18">
        <f t="shared" si="70"/>
        <v>2559.99999999913</v>
      </c>
      <c r="AT14" s="18">
        <f t="shared" si="7"/>
        <v>8059.99999999913</v>
      </c>
      <c r="AU14" s="18">
        <f t="shared" ref="AU14:AY14" si="71">IF(OR(P15=""),"",(P15-P14)*1000)</f>
        <v>4000</v>
      </c>
      <c r="AV14" s="18">
        <f t="shared" si="71"/>
        <v>2000</v>
      </c>
      <c r="AW14" s="18">
        <f t="shared" si="71"/>
        <v>0</v>
      </c>
      <c r="AX14" s="18">
        <f t="shared" si="71"/>
        <v>3500</v>
      </c>
      <c r="AY14" s="18">
        <f t="shared" si="71"/>
        <v>0</v>
      </c>
      <c r="AZ14" s="18">
        <f t="shared" si="9"/>
        <v>9500</v>
      </c>
      <c r="BA14" s="18">
        <f t="shared" si="10"/>
        <v>10800.0000000029</v>
      </c>
      <c r="BB14" s="18">
        <f t="shared" si="11"/>
        <v>632.000000000116</v>
      </c>
      <c r="BC14" s="18">
        <f t="shared" si="31"/>
        <v>1343.99999999965</v>
      </c>
      <c r="BD14" s="18">
        <f t="shared" si="12"/>
        <v>14034.4000000042</v>
      </c>
      <c r="BE14" s="18">
        <f t="shared" si="13"/>
        <v>53600.0000000058</v>
      </c>
      <c r="BF14" s="18">
        <f t="shared" si="14"/>
        <v>40.5999999999913</v>
      </c>
      <c r="BG14" s="21">
        <f t="shared" si="15"/>
        <v>0.263758759152851</v>
      </c>
      <c r="BH14" s="21">
        <f t="shared" si="16"/>
        <v>0.0454176836469558</v>
      </c>
      <c r="BI14" s="21">
        <f t="shared" si="17"/>
        <v>0</v>
      </c>
      <c r="BJ14" s="21">
        <f t="shared" si="18"/>
        <v>0.0396622313203642</v>
      </c>
      <c r="BK14" s="21">
        <f t="shared" ref="BK14:BO14" si="72">IF(OR($AD14=0),"",AZ14/$AD14)</f>
        <v>0.0467482875364145</v>
      </c>
      <c r="BL14" s="21">
        <f t="shared" si="72"/>
        <v>0.0531454216203592</v>
      </c>
      <c r="BM14" s="21">
        <f t="shared" si="72"/>
        <v>0.0031099913392652</v>
      </c>
      <c r="BN14" s="21">
        <f t="shared" si="72"/>
        <v>0.00661365246830786</v>
      </c>
      <c r="BO14" s="21">
        <f t="shared" si="72"/>
        <v>0.0690614912211846</v>
      </c>
    </row>
    <row r="15" spans="1:67">
      <c r="A15" s="9">
        <f t="shared" si="20"/>
        <v>44420</v>
      </c>
      <c r="B15" s="10">
        <v>16731.34</v>
      </c>
      <c r="C15" s="8">
        <v>92598.1</v>
      </c>
      <c r="D15" s="8">
        <v>59003.7</v>
      </c>
      <c r="E15" s="8">
        <v>57287.8</v>
      </c>
      <c r="F15" s="8">
        <v>5114.5</v>
      </c>
      <c r="G15" s="8">
        <v>113211.3</v>
      </c>
      <c r="H15" s="8">
        <v>5596.3</v>
      </c>
      <c r="I15" s="8">
        <v>2566.3</v>
      </c>
      <c r="J15" s="8">
        <v>967</v>
      </c>
      <c r="K15" s="8">
        <v>56</v>
      </c>
      <c r="L15" s="8">
        <v>91718</v>
      </c>
      <c r="M15" s="8">
        <v>61476.9</v>
      </c>
      <c r="N15" s="8">
        <v>73024.8</v>
      </c>
      <c r="O15" s="8">
        <v>103478.4</v>
      </c>
      <c r="P15" s="8">
        <v>5544.5</v>
      </c>
      <c r="Q15" s="8">
        <v>7324.3</v>
      </c>
      <c r="R15" s="8">
        <v>4622.5</v>
      </c>
      <c r="S15" s="8">
        <v>5244.1</v>
      </c>
      <c r="T15" s="8">
        <v>6755.2</v>
      </c>
      <c r="U15" s="8">
        <v>17450.2</v>
      </c>
      <c r="V15" s="8">
        <v>50947</v>
      </c>
      <c r="W15" s="8">
        <v>52532.6</v>
      </c>
      <c r="X15" s="8">
        <v>2532.2</v>
      </c>
      <c r="Y15" s="8">
        <v>2256.6</v>
      </c>
      <c r="Z15" s="16">
        <f t="shared" si="21"/>
        <v>57321.4</v>
      </c>
      <c r="AA15" s="8">
        <v>64231.7</v>
      </c>
      <c r="AB15" s="14">
        <v>3784</v>
      </c>
      <c r="AC15" s="7">
        <f t="shared" si="1"/>
        <v>68015.7</v>
      </c>
      <c r="AD15" s="17">
        <v>207848</v>
      </c>
      <c r="AE15" s="18">
        <f t="shared" ref="AE15:AI15" si="73">IF(OR(C16=""),"",(C16-C15)*80)</f>
        <v>3703.99999999907</v>
      </c>
      <c r="AF15" s="18">
        <f t="shared" si="73"/>
        <v>3000</v>
      </c>
      <c r="AG15" s="18">
        <f t="shared" si="73"/>
        <v>0</v>
      </c>
      <c r="AH15" s="18">
        <f t="shared" si="73"/>
        <v>4.80000000003201</v>
      </c>
      <c r="AI15" s="18">
        <f t="shared" si="73"/>
        <v>1960</v>
      </c>
      <c r="AJ15" s="18">
        <f t="shared" si="3"/>
        <v>8668.7999999991</v>
      </c>
      <c r="AK15" s="18">
        <f t="shared" ref="AK15:AN15" si="74">IF(OR(H16=""),"",(H16-H15)*80)</f>
        <v>0</v>
      </c>
      <c r="AL15" s="18">
        <f t="shared" si="74"/>
        <v>0</v>
      </c>
      <c r="AM15" s="18">
        <f t="shared" si="74"/>
        <v>0</v>
      </c>
      <c r="AN15" s="18">
        <f t="shared" si="74"/>
        <v>0</v>
      </c>
      <c r="AO15" s="18">
        <f t="shared" si="5"/>
        <v>0</v>
      </c>
      <c r="AP15" s="18">
        <f t="shared" ref="AP15:AS15" si="75">IF(OR(L16=""),"",(L16-L15)*100)</f>
        <v>2480.00000000029</v>
      </c>
      <c r="AQ15" s="18">
        <f t="shared" si="75"/>
        <v>0</v>
      </c>
      <c r="AR15" s="18">
        <f t="shared" si="75"/>
        <v>2789.99999999942</v>
      </c>
      <c r="AS15" s="18">
        <f t="shared" si="75"/>
        <v>2520.00000000116</v>
      </c>
      <c r="AT15" s="18">
        <f t="shared" si="7"/>
        <v>7790.00000000087</v>
      </c>
      <c r="AU15" s="18">
        <f t="shared" ref="AU15:AY15" si="76">IF(OR(P16=""),"",(P16-P15)*1000)</f>
        <v>3699.99999999982</v>
      </c>
      <c r="AV15" s="18">
        <f t="shared" si="76"/>
        <v>6800.00000000018</v>
      </c>
      <c r="AW15" s="18">
        <f t="shared" si="76"/>
        <v>0</v>
      </c>
      <c r="AX15" s="18">
        <f t="shared" si="76"/>
        <v>0</v>
      </c>
      <c r="AY15" s="18">
        <f t="shared" si="76"/>
        <v>0</v>
      </c>
      <c r="AZ15" s="18">
        <f t="shared" si="9"/>
        <v>10500</v>
      </c>
      <c r="BA15" s="18">
        <f t="shared" si="10"/>
        <v>9199.99999999709</v>
      </c>
      <c r="BB15" s="18">
        <f t="shared" si="11"/>
        <v>664.000000000233</v>
      </c>
      <c r="BC15" s="18">
        <f t="shared" si="31"/>
        <v>1284.00000000023</v>
      </c>
      <c r="BD15" s="18">
        <f t="shared" si="12"/>
        <v>9593.20000000684</v>
      </c>
      <c r="BE15" s="18">
        <f t="shared" si="13"/>
        <v>47700.0000000044</v>
      </c>
      <c r="BF15" s="18">
        <f t="shared" si="14"/>
        <v>40.6999999999971</v>
      </c>
      <c r="BG15" s="21">
        <f t="shared" si="15"/>
        <v>0.22949463069168</v>
      </c>
      <c r="BH15" s="21">
        <f t="shared" si="16"/>
        <v>0.0417074015626761</v>
      </c>
      <c r="BI15" s="21">
        <f t="shared" si="17"/>
        <v>0</v>
      </c>
      <c r="BJ15" s="21">
        <f t="shared" si="18"/>
        <v>0.0374793118047846</v>
      </c>
      <c r="BK15" s="21">
        <f t="shared" ref="BK15:BO15" si="77">IF(OR($AD15=0),"",AZ15/$AD15)</f>
        <v>0.0505176860013086</v>
      </c>
      <c r="BL15" s="21">
        <f t="shared" si="77"/>
        <v>0.0442631153535136</v>
      </c>
      <c r="BM15" s="21">
        <f t="shared" si="77"/>
        <v>0.00319464223856007</v>
      </c>
      <c r="BN15" s="21">
        <f t="shared" si="77"/>
        <v>0.00617759131673258</v>
      </c>
      <c r="BO15" s="21">
        <f t="shared" si="77"/>
        <v>0.0461548824141047</v>
      </c>
    </row>
    <row r="16" spans="1:67">
      <c r="A16" s="9">
        <f t="shared" si="20"/>
        <v>44421</v>
      </c>
      <c r="B16" s="10">
        <v>16736.11</v>
      </c>
      <c r="C16" s="8">
        <v>92644.4</v>
      </c>
      <c r="D16" s="8">
        <v>59041.2</v>
      </c>
      <c r="E16" s="8">
        <v>57287.8</v>
      </c>
      <c r="F16" s="8">
        <v>5114.56</v>
      </c>
      <c r="G16" s="8">
        <v>113235.8</v>
      </c>
      <c r="H16" s="8">
        <v>5596.3</v>
      </c>
      <c r="I16" s="8">
        <v>2566.3</v>
      </c>
      <c r="J16" s="8">
        <v>967</v>
      </c>
      <c r="K16" s="8">
        <v>56</v>
      </c>
      <c r="L16" s="8">
        <v>91742.8</v>
      </c>
      <c r="M16" s="8">
        <v>61476.9</v>
      </c>
      <c r="N16" s="8">
        <v>73052.7</v>
      </c>
      <c r="O16" s="8">
        <v>103503.6</v>
      </c>
      <c r="P16" s="8">
        <v>5548.2</v>
      </c>
      <c r="Q16" s="8">
        <v>7331.1</v>
      </c>
      <c r="R16" s="8">
        <v>4622.5</v>
      </c>
      <c r="S16" s="8">
        <v>5244.1</v>
      </c>
      <c r="T16" s="8">
        <v>6755.2</v>
      </c>
      <c r="U16" s="8">
        <v>17454.8</v>
      </c>
      <c r="V16" s="8">
        <v>50955.3</v>
      </c>
      <c r="W16" s="8">
        <v>52548.5</v>
      </c>
      <c r="X16" s="8">
        <v>2540.2</v>
      </c>
      <c r="Y16" s="8">
        <v>2264.8</v>
      </c>
      <c r="Z16" s="16">
        <f t="shared" si="21"/>
        <v>57353.5</v>
      </c>
      <c r="AA16" s="8">
        <v>64265.4</v>
      </c>
      <c r="AB16" s="14">
        <v>3791</v>
      </c>
      <c r="AC16" s="7">
        <f t="shared" si="1"/>
        <v>68056.4</v>
      </c>
      <c r="AD16" s="17">
        <v>208651</v>
      </c>
      <c r="AE16" s="18">
        <f t="shared" ref="AE16:AI16" si="78">IF(OR(C17=""),"",(C17-C16)*80)</f>
        <v>3832.0000000007</v>
      </c>
      <c r="AF16" s="18">
        <f t="shared" si="78"/>
        <v>3096.00000000035</v>
      </c>
      <c r="AG16" s="18">
        <f t="shared" si="78"/>
        <v>0</v>
      </c>
      <c r="AH16" s="18">
        <f t="shared" si="78"/>
        <v>0</v>
      </c>
      <c r="AI16" s="18">
        <f t="shared" si="78"/>
        <v>2064.00000000023</v>
      </c>
      <c r="AJ16" s="18">
        <f t="shared" si="3"/>
        <v>8992.00000000128</v>
      </c>
      <c r="AK16" s="18">
        <f t="shared" ref="AK16:AN16" si="79">IF(OR(H17=""),"",(H17-H16)*80)</f>
        <v>0</v>
      </c>
      <c r="AL16" s="18">
        <f t="shared" si="79"/>
        <v>0</v>
      </c>
      <c r="AM16" s="18">
        <f t="shared" si="79"/>
        <v>0</v>
      </c>
      <c r="AN16" s="18">
        <f t="shared" si="79"/>
        <v>0</v>
      </c>
      <c r="AO16" s="18">
        <f t="shared" si="5"/>
        <v>0</v>
      </c>
      <c r="AP16" s="18">
        <f t="shared" ref="AP16:AS16" si="80">IF(OR(L17=""),"",(L17-L16)*100)</f>
        <v>2550</v>
      </c>
      <c r="AQ16" s="18">
        <f t="shared" si="80"/>
        <v>0</v>
      </c>
      <c r="AR16" s="18">
        <f t="shared" si="80"/>
        <v>2830.00000000029</v>
      </c>
      <c r="AS16" s="18">
        <f t="shared" si="80"/>
        <v>2559.99999999913</v>
      </c>
      <c r="AT16" s="18">
        <f t="shared" si="7"/>
        <v>7939.99999999942</v>
      </c>
      <c r="AU16" s="18">
        <f t="shared" ref="AU16:AY16" si="81">IF(OR(P17=""),"",(P17-P16)*1000)</f>
        <v>3900.00000000055</v>
      </c>
      <c r="AV16" s="18">
        <f t="shared" si="81"/>
        <v>6699.99999999982</v>
      </c>
      <c r="AW16" s="18">
        <f t="shared" si="81"/>
        <v>0</v>
      </c>
      <c r="AX16" s="18">
        <f t="shared" si="81"/>
        <v>0</v>
      </c>
      <c r="AY16" s="18">
        <f t="shared" si="81"/>
        <v>0</v>
      </c>
      <c r="AZ16" s="18">
        <f t="shared" si="9"/>
        <v>10600.0000000004</v>
      </c>
      <c r="BA16" s="18">
        <f t="shared" si="10"/>
        <v>9200.00000000437</v>
      </c>
      <c r="BB16" s="18">
        <f t="shared" si="11"/>
        <v>687.999999999884</v>
      </c>
      <c r="BC16" s="18">
        <f t="shared" si="31"/>
        <v>1300</v>
      </c>
      <c r="BD16" s="18">
        <f t="shared" si="12"/>
        <v>9079.99999998305</v>
      </c>
      <c r="BE16" s="18">
        <f t="shared" si="13"/>
        <v>47799.9999999884</v>
      </c>
      <c r="BF16" s="18">
        <f t="shared" si="14"/>
        <v>37.2000000000116</v>
      </c>
      <c r="BG16" s="21">
        <f t="shared" si="15"/>
        <v>0.229090682527227</v>
      </c>
      <c r="BH16" s="21">
        <f t="shared" si="16"/>
        <v>0.0430958873909125</v>
      </c>
      <c r="BI16" s="21">
        <f t="shared" si="17"/>
        <v>0</v>
      </c>
      <c r="BJ16" s="21">
        <f t="shared" si="18"/>
        <v>0.0380539752984621</v>
      </c>
      <c r="BK16" s="21">
        <f t="shared" ref="BK16:BO16" si="82">IF(OR($AD16=0),"",AZ16/$AD16)</f>
        <v>0.0508025362926627</v>
      </c>
      <c r="BL16" s="21">
        <f t="shared" si="82"/>
        <v>0.0440927673483682</v>
      </c>
      <c r="BM16" s="21">
        <f t="shared" si="82"/>
        <v>0.00329737216691932</v>
      </c>
      <c r="BN16" s="21">
        <f t="shared" si="82"/>
        <v>0.00623049973400559</v>
      </c>
      <c r="BO16" s="21">
        <f t="shared" si="82"/>
        <v>0.0435176442958962</v>
      </c>
    </row>
    <row r="17" spans="1:67">
      <c r="A17" s="9">
        <f t="shared" si="20"/>
        <v>44422</v>
      </c>
      <c r="B17" s="10">
        <v>16740.89</v>
      </c>
      <c r="C17" s="8">
        <v>92692.3</v>
      </c>
      <c r="D17" s="8">
        <v>59079.9</v>
      </c>
      <c r="E17" s="8">
        <v>57287.8</v>
      </c>
      <c r="F17" s="8">
        <v>5114.56</v>
      </c>
      <c r="G17" s="8">
        <v>113261.6</v>
      </c>
      <c r="H17" s="8">
        <v>5596.3</v>
      </c>
      <c r="I17" s="8">
        <v>2566.3</v>
      </c>
      <c r="J17" s="8">
        <v>967</v>
      </c>
      <c r="K17" s="8">
        <v>56</v>
      </c>
      <c r="L17" s="8">
        <v>91768.3</v>
      </c>
      <c r="M17" s="8">
        <v>61476.9</v>
      </c>
      <c r="N17" s="8">
        <v>73081</v>
      </c>
      <c r="O17" s="8">
        <v>103529.2</v>
      </c>
      <c r="P17" s="8">
        <v>5552.1</v>
      </c>
      <c r="Q17" s="8">
        <v>7337.8</v>
      </c>
      <c r="R17" s="8">
        <v>4622.5</v>
      </c>
      <c r="S17" s="8">
        <v>5244.1</v>
      </c>
      <c r="T17" s="8">
        <v>6755.2</v>
      </c>
      <c r="U17" s="8">
        <v>17459.4</v>
      </c>
      <c r="V17" s="8">
        <v>50963.9</v>
      </c>
      <c r="W17" s="8">
        <v>52564.4</v>
      </c>
      <c r="X17" s="8">
        <v>2548.4</v>
      </c>
      <c r="Y17" s="8">
        <v>2273.2</v>
      </c>
      <c r="Z17" s="16">
        <f t="shared" si="21"/>
        <v>57386</v>
      </c>
      <c r="AA17" s="8">
        <v>64296.3</v>
      </c>
      <c r="AB17" s="14">
        <v>3797.3</v>
      </c>
      <c r="AC17" s="7">
        <f t="shared" si="1"/>
        <v>68093.6</v>
      </c>
      <c r="AD17" s="17">
        <v>207121</v>
      </c>
      <c r="AE17" s="18">
        <f t="shared" ref="AE17:AI17" si="83">IF(OR(C18=""),"",(C18-C17)*80)</f>
        <v>3680</v>
      </c>
      <c r="AF17" s="18">
        <f t="shared" si="83"/>
        <v>3007.99999999988</v>
      </c>
      <c r="AG17" s="18">
        <f t="shared" si="83"/>
        <v>0</v>
      </c>
      <c r="AH17" s="18">
        <f t="shared" si="83"/>
        <v>8.79999999997381</v>
      </c>
      <c r="AI17" s="18">
        <f t="shared" si="83"/>
        <v>1903.99999999907</v>
      </c>
      <c r="AJ17" s="18">
        <f t="shared" si="3"/>
        <v>8600.79999999893</v>
      </c>
      <c r="AK17" s="18">
        <f t="shared" ref="AK17:AN17" si="84">IF(OR(H18=""),"",(H18-H17)*80)</f>
        <v>0</v>
      </c>
      <c r="AL17" s="18">
        <f t="shared" si="84"/>
        <v>0</v>
      </c>
      <c r="AM17" s="18">
        <f t="shared" si="84"/>
        <v>0</v>
      </c>
      <c r="AN17" s="18">
        <f t="shared" si="84"/>
        <v>0</v>
      </c>
      <c r="AO17" s="18">
        <f t="shared" si="5"/>
        <v>0</v>
      </c>
      <c r="AP17" s="18">
        <f t="shared" ref="AP17:AS17" si="85">IF(OR(L18=""),"",(L18-L17)*100)</f>
        <v>2600</v>
      </c>
      <c r="AQ17" s="18">
        <f t="shared" si="85"/>
        <v>0</v>
      </c>
      <c r="AR17" s="18">
        <f t="shared" si="85"/>
        <v>2910.00000000058</v>
      </c>
      <c r="AS17" s="18">
        <f t="shared" si="85"/>
        <v>2610.00000000058</v>
      </c>
      <c r="AT17" s="18">
        <f t="shared" si="7"/>
        <v>8120.00000000116</v>
      </c>
      <c r="AU17" s="18">
        <f t="shared" ref="AU17:AY17" si="86">IF(OR(P18=""),"",(P18-P17)*1000)</f>
        <v>3399.99999999964</v>
      </c>
      <c r="AV17" s="18">
        <f t="shared" si="86"/>
        <v>5899.99999999964</v>
      </c>
      <c r="AW17" s="18">
        <f t="shared" si="86"/>
        <v>0</v>
      </c>
      <c r="AX17" s="18">
        <f t="shared" si="86"/>
        <v>99.9999999994543</v>
      </c>
      <c r="AY17" s="18">
        <f t="shared" si="86"/>
        <v>0</v>
      </c>
      <c r="AZ17" s="18">
        <f t="shared" si="9"/>
        <v>9399.99999999873</v>
      </c>
      <c r="BA17" s="18">
        <f t="shared" si="10"/>
        <v>9399.99999999418</v>
      </c>
      <c r="BB17" s="18">
        <f t="shared" si="11"/>
        <v>647.999999999884</v>
      </c>
      <c r="BC17" s="18">
        <f t="shared" si="31"/>
        <v>1296.00000000006</v>
      </c>
      <c r="BD17" s="18">
        <f t="shared" si="12"/>
        <v>6435.20000000124</v>
      </c>
      <c r="BE17" s="18">
        <f t="shared" si="13"/>
        <v>43899.9999999942</v>
      </c>
      <c r="BF17" s="18">
        <f t="shared" si="14"/>
        <v>36.5</v>
      </c>
      <c r="BG17" s="21">
        <f t="shared" si="15"/>
        <v>0.211953399220717</v>
      </c>
      <c r="BH17" s="21">
        <f t="shared" si="16"/>
        <v>0.0415254851029057</v>
      </c>
      <c r="BI17" s="21">
        <f t="shared" si="17"/>
        <v>0</v>
      </c>
      <c r="BJ17" s="21">
        <f t="shared" si="18"/>
        <v>0.0392041367123622</v>
      </c>
      <c r="BK17" s="21">
        <f t="shared" ref="BK17:BO17" si="87">IF(OR($AD17=0),"",AZ17/$AD17)</f>
        <v>0.0453840991497662</v>
      </c>
      <c r="BL17" s="21">
        <f t="shared" si="87"/>
        <v>0.0453840991497442</v>
      </c>
      <c r="BM17" s="21">
        <f t="shared" si="87"/>
        <v>0.00312860598394119</v>
      </c>
      <c r="BN17" s="21">
        <f t="shared" si="87"/>
        <v>0.00625721196788379</v>
      </c>
      <c r="BO17" s="21">
        <f t="shared" si="87"/>
        <v>0.031069761154114</v>
      </c>
    </row>
    <row r="18" spans="1:67">
      <c r="A18" s="9">
        <f t="shared" si="20"/>
        <v>44423</v>
      </c>
      <c r="B18" s="10">
        <v>16745.28</v>
      </c>
      <c r="C18" s="8">
        <v>92738.3</v>
      </c>
      <c r="D18" s="8">
        <v>59117.5</v>
      </c>
      <c r="E18" s="8">
        <v>57287.8</v>
      </c>
      <c r="F18" s="8">
        <v>5114.67</v>
      </c>
      <c r="G18" s="8">
        <v>113285.4</v>
      </c>
      <c r="H18" s="8">
        <v>5596.3</v>
      </c>
      <c r="I18" s="8">
        <v>2566.3</v>
      </c>
      <c r="J18" s="8">
        <v>967</v>
      </c>
      <c r="K18" s="8">
        <v>56</v>
      </c>
      <c r="L18" s="8">
        <v>91794.3</v>
      </c>
      <c r="M18" s="8">
        <v>61476.9</v>
      </c>
      <c r="N18" s="8">
        <v>73110.1</v>
      </c>
      <c r="O18" s="8">
        <v>103555.3</v>
      </c>
      <c r="P18" s="8">
        <v>5555.5</v>
      </c>
      <c r="Q18" s="8">
        <v>7343.7</v>
      </c>
      <c r="R18" s="8">
        <v>4622.5</v>
      </c>
      <c r="S18" s="8">
        <v>5244.2</v>
      </c>
      <c r="T18" s="8">
        <v>6755.2</v>
      </c>
      <c r="U18" s="8">
        <v>17464.1</v>
      </c>
      <c r="V18" s="8">
        <v>50972</v>
      </c>
      <c r="W18" s="8">
        <v>52580.4</v>
      </c>
      <c r="X18" s="8">
        <v>2556.5</v>
      </c>
      <c r="Y18" s="8">
        <v>2281.5</v>
      </c>
      <c r="Z18" s="16">
        <f t="shared" si="21"/>
        <v>57418.4</v>
      </c>
      <c r="AA18" s="8">
        <v>64326.1</v>
      </c>
      <c r="AB18" s="14">
        <v>3804</v>
      </c>
      <c r="AC18" s="7">
        <f t="shared" si="1"/>
        <v>68130.1</v>
      </c>
      <c r="AD18" s="17">
        <v>207095</v>
      </c>
      <c r="AE18" s="18">
        <f t="shared" ref="AE18:AI18" si="88">IF(OR(C19=""),"",(C19-C18)*80)</f>
        <v>3855.99999999977</v>
      </c>
      <c r="AF18" s="18">
        <f t="shared" si="88"/>
        <v>3120</v>
      </c>
      <c r="AG18" s="18">
        <f t="shared" si="88"/>
        <v>0</v>
      </c>
      <c r="AH18" s="18">
        <f t="shared" si="88"/>
        <v>4.79999999995925</v>
      </c>
      <c r="AI18" s="18">
        <f t="shared" si="88"/>
        <v>1928.00000000047</v>
      </c>
      <c r="AJ18" s="18">
        <f t="shared" si="3"/>
        <v>8908.80000000019</v>
      </c>
      <c r="AK18" s="18">
        <f t="shared" ref="AK18:AN18" si="89">IF(OR(H19=""),"",(H19-H18)*80)</f>
        <v>0</v>
      </c>
      <c r="AL18" s="18">
        <f t="shared" si="89"/>
        <v>0</v>
      </c>
      <c r="AM18" s="18">
        <f t="shared" si="89"/>
        <v>0</v>
      </c>
      <c r="AN18" s="18">
        <f t="shared" si="89"/>
        <v>0</v>
      </c>
      <c r="AO18" s="18">
        <f t="shared" si="5"/>
        <v>0</v>
      </c>
      <c r="AP18" s="18">
        <f t="shared" ref="AP18:AS18" si="90">IF(OR(L19=""),"",(L19-L18)*100)</f>
        <v>2630.00000000029</v>
      </c>
      <c r="AQ18" s="18">
        <f t="shared" si="90"/>
        <v>0</v>
      </c>
      <c r="AR18" s="18">
        <f t="shared" si="90"/>
        <v>2769.99999999971</v>
      </c>
      <c r="AS18" s="18">
        <f t="shared" si="90"/>
        <v>2509.99999999913</v>
      </c>
      <c r="AT18" s="18">
        <f t="shared" si="7"/>
        <v>7909.99999999913</v>
      </c>
      <c r="AU18" s="18">
        <f t="shared" ref="AU18:AY18" si="91">IF(OR(P19=""),"",(P19-P18)*1000)</f>
        <v>3000</v>
      </c>
      <c r="AV18" s="18">
        <f t="shared" si="91"/>
        <v>6300.00000000018</v>
      </c>
      <c r="AW18" s="18">
        <f t="shared" si="91"/>
        <v>0</v>
      </c>
      <c r="AX18" s="18">
        <f t="shared" si="91"/>
        <v>300.000000000182</v>
      </c>
      <c r="AY18" s="18">
        <f t="shared" si="91"/>
        <v>0</v>
      </c>
      <c r="AZ18" s="18">
        <f t="shared" si="9"/>
        <v>9600.00000000036</v>
      </c>
      <c r="BA18" s="18">
        <f t="shared" si="10"/>
        <v>9800.00000000291</v>
      </c>
      <c r="BB18" s="18">
        <f t="shared" si="11"/>
        <v>575.999999999767</v>
      </c>
      <c r="BC18" s="18">
        <f t="shared" si="31"/>
        <v>1336.00000000006</v>
      </c>
      <c r="BD18" s="18">
        <f t="shared" si="12"/>
        <v>7169.20000002232</v>
      </c>
      <c r="BE18" s="18">
        <f t="shared" si="13"/>
        <v>45300.0000000247</v>
      </c>
      <c r="BF18" s="18">
        <f t="shared" si="14"/>
        <v>35</v>
      </c>
      <c r="BG18" s="21">
        <f t="shared" si="15"/>
        <v>0.218740191699581</v>
      </c>
      <c r="BH18" s="21">
        <f t="shared" si="16"/>
        <v>0.043017938627201</v>
      </c>
      <c r="BI18" s="21">
        <f t="shared" si="17"/>
        <v>0</v>
      </c>
      <c r="BJ18" s="21">
        <f t="shared" si="18"/>
        <v>0.03819503126584</v>
      </c>
      <c r="BK18" s="21">
        <f t="shared" ref="BK18:BO18" si="92">IF(OR($AD18=0),"",AZ18/$AD18)</f>
        <v>0.0463555373137949</v>
      </c>
      <c r="BL18" s="21">
        <f t="shared" si="92"/>
        <v>0.0473212776745113</v>
      </c>
      <c r="BM18" s="21">
        <f t="shared" si="92"/>
        <v>0.00278133223882647</v>
      </c>
      <c r="BN18" s="21">
        <f t="shared" si="92"/>
        <v>0.00645114560950317</v>
      </c>
      <c r="BO18" s="21">
        <f t="shared" si="92"/>
        <v>0.0346179289699042</v>
      </c>
    </row>
    <row r="19" spans="1:67">
      <c r="A19" s="9">
        <f t="shared" si="20"/>
        <v>44424</v>
      </c>
      <c r="B19" s="10">
        <v>16749.81</v>
      </c>
      <c r="C19" s="8">
        <v>92786.5</v>
      </c>
      <c r="D19" s="8">
        <v>59156.5</v>
      </c>
      <c r="E19" s="8">
        <v>57287.8</v>
      </c>
      <c r="F19" s="8">
        <v>5114.73</v>
      </c>
      <c r="G19" s="8">
        <v>113309.5</v>
      </c>
      <c r="H19" s="8">
        <v>5596.3</v>
      </c>
      <c r="I19" s="8">
        <v>2566.3</v>
      </c>
      <c r="J19" s="8">
        <v>967</v>
      </c>
      <c r="K19" s="8">
        <v>56</v>
      </c>
      <c r="L19" s="8">
        <v>91820.6</v>
      </c>
      <c r="M19" s="8">
        <v>61476.9</v>
      </c>
      <c r="N19" s="8">
        <v>73137.8</v>
      </c>
      <c r="O19" s="8">
        <v>103580.4</v>
      </c>
      <c r="P19" s="8">
        <v>5558.5</v>
      </c>
      <c r="Q19" s="8">
        <v>7350</v>
      </c>
      <c r="R19" s="8">
        <v>4622.5</v>
      </c>
      <c r="S19" s="8">
        <v>5244.5</v>
      </c>
      <c r="T19" s="8">
        <v>6755.2</v>
      </c>
      <c r="U19" s="8">
        <v>17469</v>
      </c>
      <c r="V19" s="8">
        <v>50979.2</v>
      </c>
      <c r="W19" s="8">
        <v>52596.9</v>
      </c>
      <c r="X19" s="8">
        <v>2564.9</v>
      </c>
      <c r="Y19" s="8">
        <v>2290</v>
      </c>
      <c r="Z19" s="16">
        <f t="shared" si="21"/>
        <v>57451.8</v>
      </c>
      <c r="AA19" s="8">
        <v>64354.1</v>
      </c>
      <c r="AB19" s="14">
        <v>3811</v>
      </c>
      <c r="AC19" s="7">
        <f t="shared" si="1"/>
        <v>68165.1</v>
      </c>
      <c r="AD19" s="17">
        <v>206956</v>
      </c>
      <c r="AE19" s="18">
        <f t="shared" ref="AE19:AI19" si="93">IF(OR(C20=""),"",(C20-C19)*80)</f>
        <v>3704.00000000023</v>
      </c>
      <c r="AF19" s="18">
        <f t="shared" si="93"/>
        <v>3000</v>
      </c>
      <c r="AG19" s="18">
        <f t="shared" si="93"/>
        <v>0</v>
      </c>
      <c r="AH19" s="18">
        <f t="shared" si="93"/>
        <v>4.00000000001455</v>
      </c>
      <c r="AI19" s="18">
        <f t="shared" si="93"/>
        <v>1920</v>
      </c>
      <c r="AJ19" s="18">
        <f t="shared" si="3"/>
        <v>8628.00000000025</v>
      </c>
      <c r="AK19" s="18">
        <f t="shared" ref="AK19:AN19" si="94">IF(OR(H20=""),"",(H20-H19)*80)</f>
        <v>0</v>
      </c>
      <c r="AL19" s="18">
        <f t="shared" si="94"/>
        <v>0</v>
      </c>
      <c r="AM19" s="18">
        <f t="shared" si="94"/>
        <v>0</v>
      </c>
      <c r="AN19" s="18">
        <f t="shared" si="94"/>
        <v>0</v>
      </c>
      <c r="AO19" s="18">
        <f t="shared" si="5"/>
        <v>0</v>
      </c>
      <c r="AP19" s="18">
        <f t="shared" ref="AP19:AS19" si="95">IF(OR(L20=""),"",(L20-L19)*100)</f>
        <v>2350</v>
      </c>
      <c r="AQ19" s="18">
        <f t="shared" si="95"/>
        <v>0</v>
      </c>
      <c r="AR19" s="18">
        <f t="shared" si="95"/>
        <v>2809.99999999913</v>
      </c>
      <c r="AS19" s="18">
        <f t="shared" si="95"/>
        <v>2560.00000000058</v>
      </c>
      <c r="AT19" s="18">
        <f t="shared" si="7"/>
        <v>7719.99999999971</v>
      </c>
      <c r="AU19" s="18">
        <f t="shared" ref="AU19:AY19" si="96">IF(OR(P20=""),"",(P20-P19)*1000)</f>
        <v>3199.99999999982</v>
      </c>
      <c r="AV19" s="18">
        <f t="shared" si="96"/>
        <v>6399.99999999964</v>
      </c>
      <c r="AW19" s="18">
        <f t="shared" si="96"/>
        <v>0</v>
      </c>
      <c r="AX19" s="18">
        <f t="shared" si="96"/>
        <v>399.999999999636</v>
      </c>
      <c r="AY19" s="18">
        <f t="shared" si="96"/>
        <v>0</v>
      </c>
      <c r="AZ19" s="18">
        <f t="shared" si="9"/>
        <v>9999.99999999909</v>
      </c>
      <c r="BA19" s="18">
        <f t="shared" si="10"/>
        <v>9199.99999999709</v>
      </c>
      <c r="BB19" s="18">
        <f t="shared" si="11"/>
        <v>632.000000000116</v>
      </c>
      <c r="BC19" s="18">
        <f t="shared" si="31"/>
        <v>1287.99999999988</v>
      </c>
      <c r="BD19" s="18">
        <f t="shared" si="12"/>
        <v>7331.9999999995</v>
      </c>
      <c r="BE19" s="18">
        <f t="shared" si="13"/>
        <v>44799.9999999956</v>
      </c>
      <c r="BF19" s="18">
        <f t="shared" si="14"/>
        <v>31.8999999999942</v>
      </c>
      <c r="BG19" s="21">
        <f t="shared" si="15"/>
        <v>0.216471133960821</v>
      </c>
      <c r="BH19" s="21">
        <f t="shared" si="16"/>
        <v>0.0416900210672812</v>
      </c>
      <c r="BI19" s="21">
        <f t="shared" si="17"/>
        <v>0</v>
      </c>
      <c r="BJ19" s="21">
        <f t="shared" si="18"/>
        <v>0.037302615048608</v>
      </c>
      <c r="BK19" s="21">
        <f t="shared" ref="BK19:BO19" si="97">IF(OR($AD19=0),"",AZ19/$AD19)</f>
        <v>0.0483194495448264</v>
      </c>
      <c r="BL19" s="21">
        <f t="shared" si="97"/>
        <v>0.0444538935812303</v>
      </c>
      <c r="BM19" s="21">
        <f t="shared" si="97"/>
        <v>0.00305378921123387</v>
      </c>
      <c r="BN19" s="21">
        <f t="shared" si="97"/>
        <v>0.00622354510137364</v>
      </c>
      <c r="BO19" s="21">
        <f t="shared" si="97"/>
        <v>0.0354278204062675</v>
      </c>
    </row>
    <row r="20" spans="1:67">
      <c r="A20" s="9">
        <f t="shared" si="20"/>
        <v>44425</v>
      </c>
      <c r="B20" s="10">
        <v>16754.29</v>
      </c>
      <c r="C20" s="8">
        <v>92832.8</v>
      </c>
      <c r="D20" s="8">
        <v>59194</v>
      </c>
      <c r="E20" s="8">
        <v>57287.8</v>
      </c>
      <c r="F20" s="8">
        <v>5114.78</v>
      </c>
      <c r="G20" s="8">
        <v>113333.5</v>
      </c>
      <c r="H20" s="8">
        <v>5596.3</v>
      </c>
      <c r="I20" s="8">
        <v>2566.3</v>
      </c>
      <c r="J20" s="8">
        <v>967</v>
      </c>
      <c r="K20" s="8">
        <v>56</v>
      </c>
      <c r="L20" s="8">
        <v>91844.1</v>
      </c>
      <c r="M20" s="8">
        <v>61476.9</v>
      </c>
      <c r="N20" s="8">
        <v>73165.9</v>
      </c>
      <c r="O20" s="8">
        <v>103606</v>
      </c>
      <c r="P20" s="8">
        <v>5561.7</v>
      </c>
      <c r="Q20" s="8">
        <v>7356.4</v>
      </c>
      <c r="R20" s="8">
        <v>4622.5</v>
      </c>
      <c r="S20" s="8">
        <v>5244.9</v>
      </c>
      <c r="T20" s="8">
        <v>6755.2</v>
      </c>
      <c r="U20" s="8">
        <v>17473.6</v>
      </c>
      <c r="V20" s="8">
        <v>50987.1</v>
      </c>
      <c r="W20" s="8">
        <v>52612.9</v>
      </c>
      <c r="X20" s="8">
        <v>2572.9</v>
      </c>
      <c r="Y20" s="8">
        <v>2298.2</v>
      </c>
      <c r="Z20" s="16">
        <f t="shared" si="21"/>
        <v>57484</v>
      </c>
      <c r="AA20" s="8">
        <v>64379</v>
      </c>
      <c r="AB20" s="14">
        <v>3818</v>
      </c>
      <c r="AC20" s="7">
        <f t="shared" si="1"/>
        <v>68197</v>
      </c>
      <c r="AD20" s="17">
        <v>206278</v>
      </c>
      <c r="AE20" s="18">
        <f t="shared" ref="AE20:AI20" si="98">IF(OR(C21=""),"",(C21-C20)*80)</f>
        <v>3791.99999999953</v>
      </c>
      <c r="AF20" s="18">
        <f t="shared" si="98"/>
        <v>3072.00000000012</v>
      </c>
      <c r="AG20" s="18">
        <f t="shared" si="98"/>
        <v>0</v>
      </c>
      <c r="AH20" s="18">
        <f t="shared" si="98"/>
        <v>4.80000000003201</v>
      </c>
      <c r="AI20" s="18">
        <f t="shared" si="98"/>
        <v>2120</v>
      </c>
      <c r="AJ20" s="18">
        <f t="shared" si="3"/>
        <v>8988.79999999968</v>
      </c>
      <c r="AK20" s="18">
        <f t="shared" ref="AK20:AN20" si="99">IF(OR(H21=""),"",(H21-H20)*80)</f>
        <v>0</v>
      </c>
      <c r="AL20" s="18">
        <f t="shared" si="99"/>
        <v>0</v>
      </c>
      <c r="AM20" s="18">
        <f t="shared" si="99"/>
        <v>0</v>
      </c>
      <c r="AN20" s="18">
        <f t="shared" si="99"/>
        <v>0</v>
      </c>
      <c r="AO20" s="18">
        <f t="shared" si="5"/>
        <v>0</v>
      </c>
      <c r="AP20" s="18">
        <f t="shared" ref="AP20:AS20" si="100">IF(OR(L21=""),"",(L21-L20)*100)</f>
        <v>2629.99999999884</v>
      </c>
      <c r="AQ20" s="18">
        <f t="shared" si="100"/>
        <v>9.99999999985448</v>
      </c>
      <c r="AR20" s="18">
        <f t="shared" si="100"/>
        <v>2790.00000000087</v>
      </c>
      <c r="AS20" s="18">
        <f t="shared" si="100"/>
        <v>2080.00000000029</v>
      </c>
      <c r="AT20" s="18">
        <f t="shared" si="7"/>
        <v>7509.99999999985</v>
      </c>
      <c r="AU20" s="18">
        <f t="shared" ref="AU20:AY20" si="101">IF(OR(P21=""),"",(P21-P20)*1000)</f>
        <v>3699.99999999982</v>
      </c>
      <c r="AV20" s="18">
        <f t="shared" si="101"/>
        <v>6100.00000000036</v>
      </c>
      <c r="AW20" s="18">
        <f t="shared" si="101"/>
        <v>0</v>
      </c>
      <c r="AX20" s="18">
        <f t="shared" si="101"/>
        <v>0</v>
      </c>
      <c r="AY20" s="18">
        <f t="shared" si="101"/>
        <v>0</v>
      </c>
      <c r="AZ20" s="18">
        <f t="shared" si="9"/>
        <v>9800.00000000018</v>
      </c>
      <c r="BA20" s="18">
        <f t="shared" si="10"/>
        <v>9800.00000000291</v>
      </c>
      <c r="BB20" s="18">
        <f t="shared" si="11"/>
        <v>640</v>
      </c>
      <c r="BC20" s="18">
        <f t="shared" si="31"/>
        <v>880</v>
      </c>
      <c r="BD20" s="18">
        <f t="shared" ref="BD20" si="102">IF(OR(BE20="",BC20=""),"",BE20-BC20-BB20-BA20-AZ20-AT20-AO20-AJ20)</f>
        <v>7281.199999977</v>
      </c>
      <c r="BE20" s="18">
        <f t="shared" ref="BE20" si="103">IF(OR(B21=""),"",(B21-B20)*10000)</f>
        <v>44899.9999999796</v>
      </c>
      <c r="BF20" s="18">
        <f t="shared" si="14"/>
        <v>35.3999999999942</v>
      </c>
      <c r="BG20" s="21">
        <f t="shared" si="15"/>
        <v>0.217667419695652</v>
      </c>
      <c r="BH20" s="21">
        <f t="shared" si="16"/>
        <v>0.0435761448142782</v>
      </c>
      <c r="BI20" s="21">
        <f t="shared" si="17"/>
        <v>0</v>
      </c>
      <c r="BJ20" s="21">
        <f t="shared" si="18"/>
        <v>0.0364071786618052</v>
      </c>
      <c r="BK20" s="21">
        <f t="shared" ref="BK20:BO20" si="104">IF(OR($AD20=0),"",AZ20/$AD20)</f>
        <v>0.047508701848962</v>
      </c>
      <c r="BL20" s="21">
        <f t="shared" si="104"/>
        <v>0.0475087018489752</v>
      </c>
      <c r="BM20" s="21">
        <f t="shared" si="104"/>
        <v>0.00310260910034032</v>
      </c>
      <c r="BN20" s="21">
        <f t="shared" si="104"/>
        <v>0.00426608751296794</v>
      </c>
      <c r="BO20" s="21">
        <f t="shared" si="104"/>
        <v>0.0352979959083227</v>
      </c>
    </row>
    <row r="21" spans="1:67">
      <c r="A21" s="9">
        <f t="shared" si="20"/>
        <v>44426</v>
      </c>
      <c r="B21" s="10">
        <v>16758.78</v>
      </c>
      <c r="C21" s="8">
        <v>92880.2</v>
      </c>
      <c r="D21" s="8">
        <v>59232.4</v>
      </c>
      <c r="E21" s="8">
        <v>57287.8</v>
      </c>
      <c r="F21" s="8">
        <v>5114.84</v>
      </c>
      <c r="G21" s="8">
        <v>113360</v>
      </c>
      <c r="H21" s="8">
        <v>5596.3</v>
      </c>
      <c r="I21" s="8">
        <v>2566.3</v>
      </c>
      <c r="J21" s="8">
        <v>967</v>
      </c>
      <c r="K21" s="8">
        <v>56</v>
      </c>
      <c r="L21" s="8">
        <v>91870.4</v>
      </c>
      <c r="M21" s="8">
        <v>61477</v>
      </c>
      <c r="N21" s="8">
        <v>73193.8</v>
      </c>
      <c r="O21" s="8">
        <v>103626.8</v>
      </c>
      <c r="P21" s="8">
        <v>5565.4</v>
      </c>
      <c r="Q21" s="8">
        <v>7362.5</v>
      </c>
      <c r="R21" s="8">
        <v>4622.5</v>
      </c>
      <c r="S21" s="8">
        <v>5244.9</v>
      </c>
      <c r="T21" s="8">
        <v>6755.2</v>
      </c>
      <c r="U21" s="8">
        <v>17478.5</v>
      </c>
      <c r="V21" s="8">
        <v>50995.1</v>
      </c>
      <c r="W21" s="8">
        <v>52619.9</v>
      </c>
      <c r="X21" s="8">
        <v>2580.6</v>
      </c>
      <c r="Y21" s="8">
        <v>2305.5</v>
      </c>
      <c r="Z21" s="16">
        <f t="shared" si="21"/>
        <v>57506</v>
      </c>
      <c r="AA21" s="8">
        <v>64398.4</v>
      </c>
      <c r="AB21" s="14">
        <v>3834</v>
      </c>
      <c r="AC21" s="7">
        <f t="shared" si="1"/>
        <v>68232.4</v>
      </c>
      <c r="AD21" s="17">
        <v>201903</v>
      </c>
      <c r="AE21" s="18">
        <f t="shared" ref="AE21:AI21" si="105">IF(OR(C22=""),"",(C22-C21)*80)</f>
        <v>3800</v>
      </c>
      <c r="AF21" s="18">
        <f t="shared" si="105"/>
        <v>3047.99999999988</v>
      </c>
      <c r="AG21" s="18">
        <f t="shared" si="105"/>
        <v>0</v>
      </c>
      <c r="AH21" s="18">
        <f t="shared" si="105"/>
        <v>4.00000000001455</v>
      </c>
      <c r="AI21" s="18">
        <f t="shared" si="105"/>
        <v>2344.00000000023</v>
      </c>
      <c r="AJ21" s="18">
        <f t="shared" si="3"/>
        <v>9196.00000000013</v>
      </c>
      <c r="AK21" s="18">
        <f t="shared" ref="AK21:AN21" si="106">IF(OR(H22=""),"",(H22-H21)*80)</f>
        <v>0</v>
      </c>
      <c r="AL21" s="18">
        <f t="shared" si="106"/>
        <v>0</v>
      </c>
      <c r="AM21" s="18">
        <f t="shared" si="106"/>
        <v>0</v>
      </c>
      <c r="AN21" s="18">
        <f t="shared" si="106"/>
        <v>0</v>
      </c>
      <c r="AO21" s="18">
        <f t="shared" si="5"/>
        <v>0</v>
      </c>
      <c r="AP21" s="18">
        <f t="shared" ref="AP21:AS21" si="107">IF(OR(L22=""),"",(L22-L21)*100)</f>
        <v>2740.00000000087</v>
      </c>
      <c r="AQ21" s="18">
        <f t="shared" si="107"/>
        <v>259.999999999854</v>
      </c>
      <c r="AR21" s="18">
        <f t="shared" si="107"/>
        <v>2730.00000000029</v>
      </c>
      <c r="AS21" s="18">
        <f t="shared" si="107"/>
        <v>2089.99999999942</v>
      </c>
      <c r="AT21" s="18">
        <f t="shared" si="7"/>
        <v>7820.00000000044</v>
      </c>
      <c r="AU21" s="18">
        <f t="shared" ref="AU21:AY21" si="108">IF(OR(P22=""),"",(P22-P21)*1000)</f>
        <v>3600.00000000036</v>
      </c>
      <c r="AV21" s="18">
        <f t="shared" si="108"/>
        <v>7000</v>
      </c>
      <c r="AW21" s="18">
        <f t="shared" si="108"/>
        <v>0</v>
      </c>
      <c r="AX21" s="18">
        <f t="shared" si="108"/>
        <v>0</v>
      </c>
      <c r="AY21" s="18">
        <f t="shared" si="108"/>
        <v>0</v>
      </c>
      <c r="AZ21" s="18">
        <f t="shared" si="9"/>
        <v>10600.0000000004</v>
      </c>
      <c r="BA21" s="18">
        <f t="shared" si="10"/>
        <v>9400.00000000146</v>
      </c>
      <c r="BB21" s="18">
        <f t="shared" si="11"/>
        <v>624.000000000233</v>
      </c>
      <c r="BC21" s="18">
        <f t="shared" si="31"/>
        <v>1212.00000000012</v>
      </c>
      <c r="BD21" s="18">
        <f t="shared" si="12"/>
        <v>7448.00000000745</v>
      </c>
      <c r="BE21" s="18">
        <f t="shared" si="13"/>
        <v>46300.0000000102</v>
      </c>
      <c r="BF21" s="18">
        <f t="shared" si="14"/>
        <v>47.5</v>
      </c>
      <c r="BG21" s="21">
        <f t="shared" si="15"/>
        <v>0.229318038860295</v>
      </c>
      <c r="BH21" s="21">
        <f t="shared" si="16"/>
        <v>0.0455466238738411</v>
      </c>
      <c r="BI21" s="21">
        <f t="shared" si="17"/>
        <v>0</v>
      </c>
      <c r="BJ21" s="21">
        <f t="shared" si="18"/>
        <v>0.0387314700623588</v>
      </c>
      <c r="BK21" s="21">
        <f t="shared" ref="BK21:BO21" si="109">IF(OR($AD21=0),"",AZ21/$AD21)</f>
        <v>0.0525004581407922</v>
      </c>
      <c r="BL21" s="21">
        <f t="shared" si="109"/>
        <v>0.0465570100493874</v>
      </c>
      <c r="BM21" s="21">
        <f t="shared" si="109"/>
        <v>0.00309059300753447</v>
      </c>
      <c r="BN21" s="21">
        <f t="shared" si="109"/>
        <v>0.00600288257232491</v>
      </c>
      <c r="BO21" s="21">
        <f t="shared" si="109"/>
        <v>0.0368890011540564</v>
      </c>
    </row>
    <row r="22" spans="1:67">
      <c r="A22" s="9">
        <f t="shared" si="20"/>
        <v>44427</v>
      </c>
      <c r="B22" s="10">
        <v>16763.41</v>
      </c>
      <c r="C22" s="8">
        <v>92927.7</v>
      </c>
      <c r="D22" s="8">
        <v>59270.5</v>
      </c>
      <c r="E22" s="8">
        <v>57287.8</v>
      </c>
      <c r="F22" s="8">
        <v>5114.89</v>
      </c>
      <c r="G22" s="8">
        <v>113389.3</v>
      </c>
      <c r="H22" s="8">
        <v>5596.3</v>
      </c>
      <c r="I22" s="8">
        <v>2566.3</v>
      </c>
      <c r="J22" s="8">
        <v>967</v>
      </c>
      <c r="K22" s="8">
        <v>56</v>
      </c>
      <c r="L22" s="8">
        <v>91897.8</v>
      </c>
      <c r="M22" s="8">
        <v>61479.6</v>
      </c>
      <c r="N22" s="8">
        <v>73221.1</v>
      </c>
      <c r="O22" s="8">
        <v>103647.7</v>
      </c>
      <c r="P22" s="8">
        <v>5569</v>
      </c>
      <c r="Q22" s="8">
        <v>7369.5</v>
      </c>
      <c r="R22" s="8">
        <v>4622.5</v>
      </c>
      <c r="S22" s="8">
        <v>5244.9</v>
      </c>
      <c r="T22" s="8">
        <v>6755.2</v>
      </c>
      <c r="U22" s="8">
        <v>17483.2</v>
      </c>
      <c r="V22" s="8">
        <v>51002.9</v>
      </c>
      <c r="W22" s="8">
        <v>52635.3</v>
      </c>
      <c r="X22" s="8">
        <v>2588.1</v>
      </c>
      <c r="Y22" s="8">
        <v>2312.9</v>
      </c>
      <c r="Z22" s="16">
        <f t="shared" si="21"/>
        <v>57536.3</v>
      </c>
      <c r="AA22" s="8">
        <v>64443.9</v>
      </c>
      <c r="AB22" s="14">
        <v>3836</v>
      </c>
      <c r="AC22" s="7">
        <f t="shared" si="1"/>
        <v>68279.9</v>
      </c>
      <c r="AD22" s="17">
        <v>201679</v>
      </c>
      <c r="AE22" s="18">
        <f t="shared" ref="AE22:AI22" si="110">IF(OR(C23=""),"",(C23-C22)*80)</f>
        <v>3712.0000000007</v>
      </c>
      <c r="AF22" s="18">
        <f t="shared" si="110"/>
        <v>7.99999999988358</v>
      </c>
      <c r="AG22" s="18">
        <f t="shared" si="110"/>
        <v>2775.99999999977</v>
      </c>
      <c r="AH22" s="18">
        <f t="shared" si="110"/>
        <v>2271.19999999995</v>
      </c>
      <c r="AI22" s="18">
        <f t="shared" si="110"/>
        <v>7.99999999930151</v>
      </c>
      <c r="AJ22" s="18">
        <f t="shared" si="3"/>
        <v>8775.1999999996</v>
      </c>
      <c r="AK22" s="18">
        <f t="shared" ref="AK22:AN22" si="111">IF(OR(H23=""),"",(H23-H22)*80)</f>
        <v>0</v>
      </c>
      <c r="AL22" s="18">
        <f t="shared" si="111"/>
        <v>0</v>
      </c>
      <c r="AM22" s="18">
        <f t="shared" si="111"/>
        <v>0</v>
      </c>
      <c r="AN22" s="18">
        <f t="shared" si="111"/>
        <v>0</v>
      </c>
      <c r="AO22" s="18">
        <f t="shared" si="5"/>
        <v>0</v>
      </c>
      <c r="AP22" s="18">
        <f t="shared" ref="AP22:AS22" si="112">IF(OR(L23=""),"",(L23-L22)*100)</f>
        <v>2739.99999999942</v>
      </c>
      <c r="AQ22" s="18">
        <f t="shared" si="112"/>
        <v>0</v>
      </c>
      <c r="AR22" s="18">
        <f t="shared" si="112"/>
        <v>2819.99999999971</v>
      </c>
      <c r="AS22" s="18">
        <f t="shared" si="112"/>
        <v>2140.00000000087</v>
      </c>
      <c r="AT22" s="18">
        <f t="shared" si="7"/>
        <v>7700</v>
      </c>
      <c r="AU22" s="18">
        <f t="shared" ref="AU22:AY22" si="113">IF(OR(P23=""),"",(P23-P22)*1000)</f>
        <v>4100.00000000036</v>
      </c>
      <c r="AV22" s="18">
        <f t="shared" si="113"/>
        <v>7800.00000000018</v>
      </c>
      <c r="AW22" s="18">
        <f t="shared" si="113"/>
        <v>100.000000000364</v>
      </c>
      <c r="AX22" s="18">
        <f t="shared" si="113"/>
        <v>0</v>
      </c>
      <c r="AY22" s="18">
        <f t="shared" si="113"/>
        <v>0</v>
      </c>
      <c r="AZ22" s="18">
        <f t="shared" si="9"/>
        <v>12000.0000000009</v>
      </c>
      <c r="BA22" s="18">
        <f t="shared" si="10"/>
        <v>9000</v>
      </c>
      <c r="BB22" s="18">
        <f t="shared" si="11"/>
        <v>623.999999999651</v>
      </c>
      <c r="BC22" s="18">
        <f t="shared" si="31"/>
        <v>1295.99999999977</v>
      </c>
      <c r="BD22" s="18">
        <f t="shared" si="12"/>
        <v>9804.80000001899</v>
      </c>
      <c r="BE22" s="18">
        <f t="shared" si="13"/>
        <v>49200.0000000189</v>
      </c>
      <c r="BF22" s="18">
        <f t="shared" si="14"/>
        <v>47.2000000000116</v>
      </c>
      <c r="BG22" s="21">
        <f t="shared" si="15"/>
        <v>0.243952022768949</v>
      </c>
      <c r="BH22" s="21">
        <f t="shared" si="16"/>
        <v>0.0435107274431131</v>
      </c>
      <c r="BI22" s="21">
        <f t="shared" si="17"/>
        <v>0</v>
      </c>
      <c r="BJ22" s="21">
        <f t="shared" si="18"/>
        <v>0.0381794832382152</v>
      </c>
      <c r="BK22" s="21">
        <f t="shared" ref="BK22:BO22" si="114">IF(OR($AD22=0),"",AZ22/$AD22)</f>
        <v>0.0595004933582619</v>
      </c>
      <c r="BL22" s="21">
        <f t="shared" si="114"/>
        <v>0.0446253700186931</v>
      </c>
      <c r="BM22" s="21">
        <f t="shared" si="114"/>
        <v>0.00309402565462765</v>
      </c>
      <c r="BN22" s="21">
        <f t="shared" si="114"/>
        <v>0.00642605328269065</v>
      </c>
      <c r="BO22" s="21">
        <f t="shared" si="114"/>
        <v>0.0486158697733477</v>
      </c>
    </row>
    <row r="23" spans="1:67">
      <c r="A23" s="9">
        <f t="shared" si="20"/>
        <v>44428</v>
      </c>
      <c r="B23" s="10">
        <v>16768.33</v>
      </c>
      <c r="C23" s="8">
        <v>92974.1</v>
      </c>
      <c r="D23" s="8">
        <v>59270.6</v>
      </c>
      <c r="E23" s="8">
        <v>57322.5</v>
      </c>
      <c r="F23" s="8">
        <v>5143.28</v>
      </c>
      <c r="G23" s="8">
        <v>113389.4</v>
      </c>
      <c r="H23" s="8">
        <v>5596.3</v>
      </c>
      <c r="I23" s="8">
        <v>2566.3</v>
      </c>
      <c r="J23" s="8">
        <v>967</v>
      </c>
      <c r="K23" s="8">
        <v>56</v>
      </c>
      <c r="L23" s="8">
        <v>91925.2</v>
      </c>
      <c r="M23" s="8">
        <v>61479.6</v>
      </c>
      <c r="N23" s="8">
        <v>73249.3</v>
      </c>
      <c r="O23" s="8">
        <v>103669.1</v>
      </c>
      <c r="P23" s="8">
        <v>5573.1</v>
      </c>
      <c r="Q23" s="8">
        <v>7377.3</v>
      </c>
      <c r="R23" s="8">
        <v>4622.6</v>
      </c>
      <c r="S23" s="8">
        <v>5244.9</v>
      </c>
      <c r="T23" s="8">
        <v>6755.2</v>
      </c>
      <c r="U23" s="8">
        <v>17487.7</v>
      </c>
      <c r="V23" s="8">
        <v>51010.7</v>
      </c>
      <c r="W23" s="8">
        <v>52651.5</v>
      </c>
      <c r="X23" s="8">
        <v>2596</v>
      </c>
      <c r="Y23" s="8">
        <v>2321.2</v>
      </c>
      <c r="Z23" s="16">
        <f t="shared" si="21"/>
        <v>57568.7</v>
      </c>
      <c r="AA23" s="8">
        <v>64490.1</v>
      </c>
      <c r="AB23" s="14">
        <v>3837</v>
      </c>
      <c r="AC23" s="7">
        <f t="shared" si="1"/>
        <v>68327.1</v>
      </c>
      <c r="AD23" s="17">
        <v>208856</v>
      </c>
      <c r="AE23" s="18">
        <f t="shared" ref="AE23:AI23" si="115">IF(OR(C24=""),"",(C24-C23)*80)</f>
        <v>111.999999999534</v>
      </c>
      <c r="AF23" s="18">
        <f t="shared" si="115"/>
        <v>0</v>
      </c>
      <c r="AG23" s="18">
        <f t="shared" si="115"/>
        <v>2655.99999999977</v>
      </c>
      <c r="AH23" s="18">
        <f t="shared" si="115"/>
        <v>2384.80000000003</v>
      </c>
      <c r="AI23" s="18">
        <f t="shared" si="115"/>
        <v>1912.0000000007</v>
      </c>
      <c r="AJ23" s="18">
        <f t="shared" si="3"/>
        <v>7064.80000000003</v>
      </c>
      <c r="AK23" s="18">
        <f t="shared" ref="AK23:AN23" si="116">IF(OR(H24=""),"",(H24-H23)*80)</f>
        <v>0</v>
      </c>
      <c r="AL23" s="18">
        <f t="shared" si="116"/>
        <v>0</v>
      </c>
      <c r="AM23" s="18">
        <f t="shared" si="116"/>
        <v>0</v>
      </c>
      <c r="AN23" s="18">
        <f t="shared" si="116"/>
        <v>0</v>
      </c>
      <c r="AO23" s="18">
        <f t="shared" si="5"/>
        <v>0</v>
      </c>
      <c r="AP23" s="18">
        <f t="shared" ref="AP23:AS23" si="117">IF(OR(L24=""),"",(L24-L23)*100)</f>
        <v>3060.00000000058</v>
      </c>
      <c r="AQ23" s="18">
        <f t="shared" si="117"/>
        <v>0</v>
      </c>
      <c r="AR23" s="18">
        <f t="shared" si="117"/>
        <v>2759.99999999913</v>
      </c>
      <c r="AS23" s="18">
        <f t="shared" si="117"/>
        <v>2129.99999999884</v>
      </c>
      <c r="AT23" s="18">
        <f t="shared" si="7"/>
        <v>7949.99999999854</v>
      </c>
      <c r="AU23" s="18">
        <f t="shared" ref="AU23:AY23" si="118">IF(OR(P24=""),"",(P24-P23)*1000)</f>
        <v>3699.99999999982</v>
      </c>
      <c r="AV23" s="18">
        <f t="shared" si="118"/>
        <v>1099.99999999945</v>
      </c>
      <c r="AW23" s="18">
        <f t="shared" si="118"/>
        <v>0</v>
      </c>
      <c r="AX23" s="18">
        <f t="shared" si="118"/>
        <v>3200.00000000073</v>
      </c>
      <c r="AY23" s="18">
        <f t="shared" si="118"/>
        <v>0</v>
      </c>
      <c r="AZ23" s="18">
        <f t="shared" si="9"/>
        <v>8000</v>
      </c>
      <c r="BA23" s="18">
        <f t="shared" si="10"/>
        <v>8799.99999999563</v>
      </c>
      <c r="BB23" s="18">
        <f t="shared" si="11"/>
        <v>648.000000000466</v>
      </c>
      <c r="BC23" s="18">
        <f t="shared" si="31"/>
        <v>1280.00000000029</v>
      </c>
      <c r="BD23" s="18">
        <f t="shared" si="12"/>
        <v>14257.1999999978</v>
      </c>
      <c r="BE23" s="18">
        <f t="shared" si="13"/>
        <v>47999.9999999927</v>
      </c>
      <c r="BF23" s="18">
        <f t="shared" si="14"/>
        <v>52.5</v>
      </c>
      <c r="BG23" s="21">
        <f t="shared" si="15"/>
        <v>0.229823419006362</v>
      </c>
      <c r="BH23" s="21">
        <f t="shared" si="16"/>
        <v>0.033826176887425</v>
      </c>
      <c r="BI23" s="21">
        <f t="shared" si="17"/>
        <v>0</v>
      </c>
      <c r="BJ23" s="21">
        <f t="shared" si="18"/>
        <v>0.0380645037729275</v>
      </c>
      <c r="BK23" s="21">
        <f t="shared" ref="BK23:BO23" si="119">IF(OR($AD23=0),"",AZ23/$AD23)</f>
        <v>0.0383039031677328</v>
      </c>
      <c r="BL23" s="21">
        <f t="shared" si="119"/>
        <v>0.0421342934844852</v>
      </c>
      <c r="BM23" s="21">
        <f t="shared" si="119"/>
        <v>0.00310261615658859</v>
      </c>
      <c r="BN23" s="21">
        <f t="shared" si="119"/>
        <v>0.00612862450683864</v>
      </c>
      <c r="BO23" s="21">
        <f t="shared" si="119"/>
        <v>0.0682633010303643</v>
      </c>
    </row>
    <row r="24" spans="1:67">
      <c r="A24" s="9">
        <f t="shared" si="20"/>
        <v>44429</v>
      </c>
      <c r="B24" s="10">
        <v>16773.13</v>
      </c>
      <c r="C24" s="8">
        <v>92975.5</v>
      </c>
      <c r="D24" s="8">
        <v>59270.6</v>
      </c>
      <c r="E24" s="8">
        <v>57355.7</v>
      </c>
      <c r="F24" s="8">
        <v>5173.09</v>
      </c>
      <c r="G24" s="8">
        <v>113413.3</v>
      </c>
      <c r="H24" s="8">
        <v>5596.3</v>
      </c>
      <c r="I24" s="8">
        <v>2566.3</v>
      </c>
      <c r="J24" s="8">
        <v>967</v>
      </c>
      <c r="K24" s="8">
        <v>56</v>
      </c>
      <c r="L24" s="8">
        <v>91955.8</v>
      </c>
      <c r="M24" s="8">
        <v>61479.6</v>
      </c>
      <c r="N24" s="8">
        <v>73276.9</v>
      </c>
      <c r="O24" s="8">
        <v>103690.4</v>
      </c>
      <c r="P24" s="8">
        <v>5576.8</v>
      </c>
      <c r="Q24" s="8">
        <v>7378.4</v>
      </c>
      <c r="R24" s="8">
        <v>4622.6</v>
      </c>
      <c r="S24" s="8">
        <v>5248.1</v>
      </c>
      <c r="T24" s="8">
        <v>6755.2</v>
      </c>
      <c r="U24" s="8">
        <v>17492.1</v>
      </c>
      <c r="V24" s="8">
        <v>51018.8</v>
      </c>
      <c r="W24" s="8">
        <v>52667.5</v>
      </c>
      <c r="X24" s="8">
        <v>2603.8</v>
      </c>
      <c r="Y24" s="8">
        <v>2329.4</v>
      </c>
      <c r="Z24" s="16">
        <f t="shared" si="21"/>
        <v>57600.7</v>
      </c>
      <c r="AA24" s="8">
        <v>64542.6</v>
      </c>
      <c r="AB24" s="14">
        <v>3837</v>
      </c>
      <c r="AC24" s="7">
        <f t="shared" si="1"/>
        <v>68379.6</v>
      </c>
      <c r="AD24" s="17">
        <v>209436</v>
      </c>
      <c r="AE24" s="18">
        <f t="shared" ref="AE24:AI24" si="120">IF(OR(C25=""),"",(C25-C24)*80)</f>
        <v>0</v>
      </c>
      <c r="AF24" s="18">
        <f t="shared" si="120"/>
        <v>0</v>
      </c>
      <c r="AG24" s="18">
        <f t="shared" si="120"/>
        <v>2624.00000000023</v>
      </c>
      <c r="AH24" s="18">
        <f t="shared" si="120"/>
        <v>2427.20000000001</v>
      </c>
      <c r="AI24" s="18">
        <f t="shared" si="120"/>
        <v>1960</v>
      </c>
      <c r="AJ24" s="18">
        <f t="shared" si="3"/>
        <v>7011.20000000024</v>
      </c>
      <c r="AK24" s="18">
        <f t="shared" ref="AK24:AN24" si="121">IF(OR(H25=""),"",(H25-H24)*80)</f>
        <v>0</v>
      </c>
      <c r="AL24" s="18">
        <f t="shared" si="121"/>
        <v>0</v>
      </c>
      <c r="AM24" s="18">
        <f t="shared" si="121"/>
        <v>0</v>
      </c>
      <c r="AN24" s="18">
        <f t="shared" si="121"/>
        <v>0</v>
      </c>
      <c r="AO24" s="18">
        <f t="shared" si="5"/>
        <v>0</v>
      </c>
      <c r="AP24" s="18">
        <f t="shared" ref="AP24:AS24" si="122">IF(OR(L25=""),"",(L25-L24)*100)</f>
        <v>3119.99999999971</v>
      </c>
      <c r="AQ24" s="18">
        <f t="shared" si="122"/>
        <v>0</v>
      </c>
      <c r="AR24" s="18">
        <f t="shared" si="122"/>
        <v>2800</v>
      </c>
      <c r="AS24" s="18">
        <f t="shared" si="122"/>
        <v>2130.00000000029</v>
      </c>
      <c r="AT24" s="18">
        <f t="shared" si="7"/>
        <v>8050</v>
      </c>
      <c r="AU24" s="18">
        <f t="shared" ref="AU24:AY24" si="123">IF(OR(P25=""),"",(P25-P24)*1000)</f>
        <v>3699.99999999982</v>
      </c>
      <c r="AV24" s="18">
        <f t="shared" si="123"/>
        <v>6000</v>
      </c>
      <c r="AW24" s="18">
        <f t="shared" si="123"/>
        <v>0</v>
      </c>
      <c r="AX24" s="18">
        <f t="shared" si="123"/>
        <v>1599.99999999945</v>
      </c>
      <c r="AY24" s="18">
        <f t="shared" si="123"/>
        <v>0</v>
      </c>
      <c r="AZ24" s="18">
        <f t="shared" si="9"/>
        <v>11299.9999999993</v>
      </c>
      <c r="BA24" s="18">
        <f t="shared" si="10"/>
        <v>9200.00000000437</v>
      </c>
      <c r="BB24" s="18">
        <f t="shared" si="11"/>
        <v>680</v>
      </c>
      <c r="BC24" s="18">
        <f t="shared" si="31"/>
        <v>1311.99999999983</v>
      </c>
      <c r="BD24" s="18">
        <f t="shared" si="12"/>
        <v>9546.79999998756</v>
      </c>
      <c r="BE24" s="18">
        <f t="shared" si="13"/>
        <v>47099.9999999913</v>
      </c>
      <c r="BF24" s="18">
        <f t="shared" si="14"/>
        <v>52.5</v>
      </c>
      <c r="BG24" s="21">
        <f t="shared" si="15"/>
        <v>0.224889703775813</v>
      </c>
      <c r="BH24" s="21">
        <f t="shared" si="16"/>
        <v>0.0334765751828733</v>
      </c>
      <c r="BI24" s="21">
        <f t="shared" si="17"/>
        <v>0</v>
      </c>
      <c r="BJ24" s="21">
        <f t="shared" si="18"/>
        <v>0.0384365629595676</v>
      </c>
      <c r="BK24" s="21">
        <f t="shared" ref="BK24:BO24" si="124">IF(OR($AD24=0),"",AZ24/$AD24)</f>
        <v>0.0539544299929299</v>
      </c>
      <c r="BL24" s="21">
        <f t="shared" si="124"/>
        <v>0.043927500525241</v>
      </c>
      <c r="BM24" s="21">
        <f t="shared" si="124"/>
        <v>0.00324681525621192</v>
      </c>
      <c r="BN24" s="21">
        <f t="shared" si="124"/>
        <v>0.00626444355316099</v>
      </c>
      <c r="BO24" s="21">
        <f t="shared" si="124"/>
        <v>0.0455833763058288</v>
      </c>
    </row>
    <row r="25" spans="1:67">
      <c r="A25" s="9">
        <f t="shared" si="20"/>
        <v>44430</v>
      </c>
      <c r="B25" s="10">
        <v>16777.84</v>
      </c>
      <c r="C25" s="8">
        <v>92975.5</v>
      </c>
      <c r="D25" s="8">
        <v>59270.6</v>
      </c>
      <c r="E25" s="8">
        <v>57388.5</v>
      </c>
      <c r="F25" s="8">
        <v>5203.43</v>
      </c>
      <c r="G25" s="8">
        <v>113437.8</v>
      </c>
      <c r="H25" s="8">
        <v>5596.3</v>
      </c>
      <c r="I25" s="8">
        <v>2566.3</v>
      </c>
      <c r="J25" s="8">
        <v>967</v>
      </c>
      <c r="K25" s="8">
        <v>56</v>
      </c>
      <c r="L25" s="8">
        <v>91987</v>
      </c>
      <c r="M25" s="8">
        <v>61479.6</v>
      </c>
      <c r="N25" s="8">
        <v>73304.9</v>
      </c>
      <c r="O25" s="8">
        <v>103711.7</v>
      </c>
      <c r="P25" s="8">
        <v>5580.5</v>
      </c>
      <c r="Q25" s="8">
        <v>7384.4</v>
      </c>
      <c r="R25" s="8">
        <v>4622.6</v>
      </c>
      <c r="S25" s="8">
        <v>5249.7</v>
      </c>
      <c r="T25" s="8">
        <v>6755.2</v>
      </c>
      <c r="U25" s="8">
        <v>17496.7</v>
      </c>
      <c r="V25" s="8">
        <v>51027.3</v>
      </c>
      <c r="W25" s="8">
        <v>52683.7</v>
      </c>
      <c r="X25" s="8">
        <v>2611.9</v>
      </c>
      <c r="Y25" s="8">
        <v>2337.9</v>
      </c>
      <c r="Z25" s="16">
        <f t="shared" si="21"/>
        <v>57633.5</v>
      </c>
      <c r="AA25" s="8">
        <v>64595.1</v>
      </c>
      <c r="AB25" s="14">
        <v>3837</v>
      </c>
      <c r="AC25" s="7">
        <f t="shared" si="1"/>
        <v>68432.1</v>
      </c>
      <c r="AD25" s="17">
        <v>206612</v>
      </c>
      <c r="AE25" s="18">
        <f t="shared" ref="AE25:AI25" si="125">IF(OR(C26=""),"",(C26-C25)*80)</f>
        <v>0</v>
      </c>
      <c r="AF25" s="18">
        <f t="shared" si="125"/>
        <v>56.0000000003492</v>
      </c>
      <c r="AG25" s="18">
        <f t="shared" si="125"/>
        <v>2784.00000000023</v>
      </c>
      <c r="AH25" s="18">
        <f t="shared" si="125"/>
        <v>2599.19999999998</v>
      </c>
      <c r="AI25" s="18">
        <f t="shared" si="125"/>
        <v>2520</v>
      </c>
      <c r="AJ25" s="18">
        <f t="shared" si="3"/>
        <v>7959.20000000056</v>
      </c>
      <c r="AK25" s="18">
        <f t="shared" ref="AK25:AN25" si="126">IF(OR(H26=""),"",(H26-H25)*80)</f>
        <v>0</v>
      </c>
      <c r="AL25" s="18">
        <f t="shared" si="126"/>
        <v>0</v>
      </c>
      <c r="AM25" s="18">
        <f t="shared" si="126"/>
        <v>0</v>
      </c>
      <c r="AN25" s="18">
        <f t="shared" si="126"/>
        <v>0</v>
      </c>
      <c r="AO25" s="18">
        <f t="shared" si="5"/>
        <v>0</v>
      </c>
      <c r="AP25" s="18">
        <f t="shared" ref="AP25:AS25" si="127">IF(OR(L26=""),"",(L26-L25)*100)</f>
        <v>3069.99999999971</v>
      </c>
      <c r="AQ25" s="18">
        <f t="shared" si="127"/>
        <v>0</v>
      </c>
      <c r="AR25" s="18">
        <f t="shared" si="127"/>
        <v>2910.00000000058</v>
      </c>
      <c r="AS25" s="18">
        <f t="shared" si="127"/>
        <v>2169.99999999971</v>
      </c>
      <c r="AT25" s="18">
        <f t="shared" si="7"/>
        <v>8150</v>
      </c>
      <c r="AU25" s="18">
        <f t="shared" ref="AU25:AY25" si="128">IF(OR(P26=""),"",(P26-P25)*1000)</f>
        <v>4300.00000000018</v>
      </c>
      <c r="AV25" s="18">
        <f t="shared" si="128"/>
        <v>8000</v>
      </c>
      <c r="AW25" s="18">
        <f t="shared" si="128"/>
        <v>0</v>
      </c>
      <c r="AX25" s="18">
        <f t="shared" si="128"/>
        <v>100.000000000364</v>
      </c>
      <c r="AY25" s="18">
        <f t="shared" si="128"/>
        <v>0</v>
      </c>
      <c r="AZ25" s="18">
        <f t="shared" si="9"/>
        <v>12400.0000000005</v>
      </c>
      <c r="BA25" s="18">
        <f t="shared" si="10"/>
        <v>9799.99999999563</v>
      </c>
      <c r="BB25" s="18">
        <f t="shared" si="11"/>
        <v>640</v>
      </c>
      <c r="BC25" s="18">
        <f t="shared" si="31"/>
        <v>1356.00000000035</v>
      </c>
      <c r="BD25" s="18">
        <f t="shared" si="12"/>
        <v>10694.7999999884</v>
      </c>
      <c r="BE25" s="18">
        <f t="shared" si="13"/>
        <v>50999.9999999854</v>
      </c>
      <c r="BF25" s="18">
        <f t="shared" si="14"/>
        <v>52.8999999999942</v>
      </c>
      <c r="BG25" s="21">
        <f t="shared" si="15"/>
        <v>0.246839486573798</v>
      </c>
      <c r="BH25" s="21">
        <f t="shared" si="16"/>
        <v>0.0385224478733112</v>
      </c>
      <c r="BI25" s="21">
        <f t="shared" si="17"/>
        <v>0</v>
      </c>
      <c r="BJ25" s="21">
        <f t="shared" si="18"/>
        <v>0.0394459179524907</v>
      </c>
      <c r="BK25" s="21">
        <f t="shared" ref="BK25:BO25" si="129">IF(OR($AD25=0),"",AZ25/$AD25)</f>
        <v>0.0600158751669823</v>
      </c>
      <c r="BL25" s="21">
        <f t="shared" si="129"/>
        <v>0.0474319013416241</v>
      </c>
      <c r="BM25" s="21">
        <f t="shared" si="129"/>
        <v>0.0030975935570054</v>
      </c>
      <c r="BN25" s="21">
        <f t="shared" si="129"/>
        <v>0.00656302634890688</v>
      </c>
      <c r="BO25" s="21">
        <f t="shared" si="129"/>
        <v>0.051762724333477</v>
      </c>
    </row>
    <row r="26" spans="1:67">
      <c r="A26" s="9">
        <f t="shared" si="20"/>
        <v>44431</v>
      </c>
      <c r="B26" s="10">
        <v>16782.94</v>
      </c>
      <c r="C26" s="8">
        <v>92975.5</v>
      </c>
      <c r="D26" s="8">
        <v>59271.3</v>
      </c>
      <c r="E26" s="8">
        <v>57423.3</v>
      </c>
      <c r="F26" s="8">
        <v>5235.92</v>
      </c>
      <c r="G26" s="8">
        <v>113469.3</v>
      </c>
      <c r="H26" s="8">
        <v>5596.3</v>
      </c>
      <c r="I26" s="8">
        <v>2566.3</v>
      </c>
      <c r="J26" s="8">
        <v>967</v>
      </c>
      <c r="K26" s="8">
        <v>56</v>
      </c>
      <c r="L26" s="8">
        <v>92017.7</v>
      </c>
      <c r="M26" s="8">
        <v>61479.6</v>
      </c>
      <c r="N26" s="8">
        <v>73334</v>
      </c>
      <c r="O26" s="8">
        <v>103733.4</v>
      </c>
      <c r="P26" s="8">
        <v>5584.8</v>
      </c>
      <c r="Q26" s="8">
        <v>7392.4</v>
      </c>
      <c r="R26" s="8">
        <v>4622.6</v>
      </c>
      <c r="S26" s="8">
        <v>5249.8</v>
      </c>
      <c r="T26" s="8">
        <v>6755.2</v>
      </c>
      <c r="U26" s="8">
        <v>17501.6</v>
      </c>
      <c r="V26" s="8">
        <v>51035.3</v>
      </c>
      <c r="W26" s="8">
        <v>52700.3</v>
      </c>
      <c r="X26" s="8">
        <v>2620.3</v>
      </c>
      <c r="Y26" s="8">
        <v>2346.8</v>
      </c>
      <c r="Z26" s="16">
        <f t="shared" si="21"/>
        <v>57667.4</v>
      </c>
      <c r="AA26" s="8">
        <v>64648</v>
      </c>
      <c r="AB26" s="14">
        <v>3837</v>
      </c>
      <c r="AC26" s="7">
        <f t="shared" si="1"/>
        <v>68485</v>
      </c>
      <c r="AD26" s="17">
        <v>204857</v>
      </c>
      <c r="AE26" s="18">
        <f t="shared" ref="AE26:AI26" si="130">IF(OR(C27=""),"",(C27-C26)*80)</f>
        <v>0</v>
      </c>
      <c r="AF26" s="18">
        <f t="shared" si="130"/>
        <v>2463.99999999965</v>
      </c>
      <c r="AG26" s="18">
        <f t="shared" si="130"/>
        <v>2463.99999999965</v>
      </c>
      <c r="AH26" s="18">
        <f t="shared" si="130"/>
        <v>2593.60000000001</v>
      </c>
      <c r="AI26" s="18">
        <f t="shared" si="130"/>
        <v>2231.99999999953</v>
      </c>
      <c r="AJ26" s="18">
        <f t="shared" si="3"/>
        <v>9753.59999999884</v>
      </c>
      <c r="AK26" s="18">
        <f t="shared" ref="AK26:AN26" si="131">IF(OR(H27=""),"",(H27-H26)*80)</f>
        <v>0</v>
      </c>
      <c r="AL26" s="18">
        <f t="shared" si="131"/>
        <v>0</v>
      </c>
      <c r="AM26" s="18">
        <f t="shared" si="131"/>
        <v>0</v>
      </c>
      <c r="AN26" s="18">
        <f t="shared" si="131"/>
        <v>0</v>
      </c>
      <c r="AO26" s="18">
        <f t="shared" si="5"/>
        <v>0</v>
      </c>
      <c r="AP26" s="18">
        <f t="shared" ref="AP26:AS26" si="132">IF(OR(L27=""),"",(L27-L26)*100)</f>
        <v>1280.00000000029</v>
      </c>
      <c r="AQ26" s="18">
        <f t="shared" si="132"/>
        <v>1720.00000000044</v>
      </c>
      <c r="AR26" s="18">
        <f t="shared" si="132"/>
        <v>2739.99999999942</v>
      </c>
      <c r="AS26" s="18">
        <f t="shared" si="132"/>
        <v>2020.00000000116</v>
      </c>
      <c r="AT26" s="18">
        <f t="shared" si="7"/>
        <v>7760.00000000131</v>
      </c>
      <c r="AU26" s="18">
        <f t="shared" ref="AU26:AY26" si="133">IF(OR(P27=""),"",(P27-P26)*1000)</f>
        <v>4099.99999999945</v>
      </c>
      <c r="AV26" s="18">
        <f t="shared" si="133"/>
        <v>7800.00000000018</v>
      </c>
      <c r="AW26" s="18">
        <f t="shared" si="133"/>
        <v>0</v>
      </c>
      <c r="AX26" s="18">
        <f t="shared" si="133"/>
        <v>0</v>
      </c>
      <c r="AY26" s="18">
        <f t="shared" si="133"/>
        <v>0</v>
      </c>
      <c r="AZ26" s="18">
        <f t="shared" si="9"/>
        <v>11899.9999999996</v>
      </c>
      <c r="BA26" s="18">
        <f t="shared" si="10"/>
        <v>9600.00000000582</v>
      </c>
      <c r="BB26" s="18">
        <f t="shared" si="11"/>
        <v>623.999999999651</v>
      </c>
      <c r="BC26" s="18">
        <f t="shared" si="31"/>
        <v>1307.99999999988</v>
      </c>
      <c r="BD26" s="18">
        <f t="shared" si="12"/>
        <v>11354.3999999905</v>
      </c>
      <c r="BE26" s="18">
        <f t="shared" si="13"/>
        <v>52299.9999999956</v>
      </c>
      <c r="BF26" s="18">
        <f t="shared" si="14"/>
        <v>52.1000000000058</v>
      </c>
      <c r="BG26" s="21">
        <f t="shared" si="15"/>
        <v>0.255300038563464</v>
      </c>
      <c r="BH26" s="21">
        <f t="shared" si="16"/>
        <v>0.0476117486832222</v>
      </c>
      <c r="BI26" s="21">
        <f t="shared" si="17"/>
        <v>0</v>
      </c>
      <c r="BJ26" s="21">
        <f t="shared" si="18"/>
        <v>0.0378800822036899</v>
      </c>
      <c r="BK26" s="21">
        <f t="shared" ref="BK26:BO26" si="134">IF(OR($AD26=0),"",AZ26/$AD26)</f>
        <v>0.0580893013175026</v>
      </c>
      <c r="BL26" s="21">
        <f t="shared" si="134"/>
        <v>0.0468619573654101</v>
      </c>
      <c r="BM26" s="21">
        <f t="shared" si="134"/>
        <v>0.00304602722874811</v>
      </c>
      <c r="BN26" s="21">
        <f t="shared" si="134"/>
        <v>0.00638494169103269</v>
      </c>
      <c r="BO26" s="21">
        <f t="shared" si="134"/>
        <v>0.0554259800738588</v>
      </c>
    </row>
    <row r="27" spans="1:67">
      <c r="A27" s="9">
        <f t="shared" si="20"/>
        <v>44432</v>
      </c>
      <c r="B27" s="10">
        <v>16788.17</v>
      </c>
      <c r="C27" s="8">
        <v>92975.5</v>
      </c>
      <c r="D27" s="8">
        <v>59302.1</v>
      </c>
      <c r="E27" s="8">
        <v>57454.1</v>
      </c>
      <c r="F27" s="8">
        <v>5268.34</v>
      </c>
      <c r="G27" s="8">
        <v>113497.2</v>
      </c>
      <c r="H27" s="8">
        <v>5596.3</v>
      </c>
      <c r="I27" s="8">
        <v>2566.3</v>
      </c>
      <c r="J27" s="8">
        <v>967</v>
      </c>
      <c r="K27" s="8">
        <v>56</v>
      </c>
      <c r="L27" s="8">
        <v>92030.5</v>
      </c>
      <c r="M27" s="8">
        <v>61496.8</v>
      </c>
      <c r="N27" s="8">
        <v>73361.4</v>
      </c>
      <c r="O27" s="8">
        <v>103753.6</v>
      </c>
      <c r="P27" s="8">
        <v>5588.9</v>
      </c>
      <c r="Q27" s="8">
        <v>7400.2</v>
      </c>
      <c r="R27" s="8">
        <v>4622.6</v>
      </c>
      <c r="S27" s="8">
        <v>5249.8</v>
      </c>
      <c r="T27" s="8">
        <v>6755.2</v>
      </c>
      <c r="U27" s="8">
        <v>17506.4</v>
      </c>
      <c r="V27" s="8">
        <v>51043.1</v>
      </c>
      <c r="W27" s="8">
        <v>52716.5</v>
      </c>
      <c r="X27" s="8">
        <v>2628.3</v>
      </c>
      <c r="Y27" s="8">
        <v>2355.3</v>
      </c>
      <c r="Z27" s="16">
        <f t="shared" si="21"/>
        <v>57700.1</v>
      </c>
      <c r="AA27" s="8">
        <v>64700.1</v>
      </c>
      <c r="AB27" s="14">
        <v>3837</v>
      </c>
      <c r="AC27" s="7">
        <f t="shared" si="1"/>
        <v>68537.1</v>
      </c>
      <c r="AD27" s="17">
        <v>209328</v>
      </c>
      <c r="AE27" s="18">
        <f t="shared" ref="AE27:AI27" si="135">IF(OR(C28=""),"",(C28-C27)*80)</f>
        <v>0</v>
      </c>
      <c r="AF27" s="18">
        <f t="shared" si="135"/>
        <v>1840</v>
      </c>
      <c r="AG27" s="18">
        <f t="shared" si="135"/>
        <v>1807.99999999988</v>
      </c>
      <c r="AH27" s="18">
        <f t="shared" si="135"/>
        <v>2460.80000000002</v>
      </c>
      <c r="AI27" s="18">
        <f t="shared" si="135"/>
        <v>1920</v>
      </c>
      <c r="AJ27" s="18">
        <f t="shared" si="3"/>
        <v>8028.7999999999</v>
      </c>
      <c r="AK27" s="18">
        <f t="shared" ref="AK27:AN27" si="136">IF(OR(H28=""),"",(H28-H27)*80)</f>
        <v>0</v>
      </c>
      <c r="AL27" s="18">
        <f t="shared" si="136"/>
        <v>0</v>
      </c>
      <c r="AM27" s="18">
        <f t="shared" si="136"/>
        <v>0</v>
      </c>
      <c r="AN27" s="18">
        <f t="shared" si="136"/>
        <v>0</v>
      </c>
      <c r="AO27" s="18">
        <f t="shared" si="5"/>
        <v>0</v>
      </c>
      <c r="AP27" s="18">
        <f t="shared" ref="AP27:AS27" si="137">IF(OR(L28=""),"",(L28-L27)*100)</f>
        <v>2819.99999999971</v>
      </c>
      <c r="AQ27" s="18">
        <f t="shared" si="137"/>
        <v>0</v>
      </c>
      <c r="AR27" s="18">
        <f t="shared" si="137"/>
        <v>2740.00000000087</v>
      </c>
      <c r="AS27" s="18">
        <f t="shared" si="137"/>
        <v>2079.99999999884</v>
      </c>
      <c r="AT27" s="18">
        <f t="shared" si="7"/>
        <v>7639.99999999942</v>
      </c>
      <c r="AU27" s="18">
        <f t="shared" ref="AU27:AY27" si="138">IF(OR(P28=""),"",(P28-P27)*1000)</f>
        <v>3800.00000000018</v>
      </c>
      <c r="AV27" s="18">
        <f t="shared" si="138"/>
        <v>7300.00000000018</v>
      </c>
      <c r="AW27" s="18">
        <f t="shared" si="138"/>
        <v>0</v>
      </c>
      <c r="AX27" s="18">
        <f t="shared" si="138"/>
        <v>0</v>
      </c>
      <c r="AY27" s="18">
        <f t="shared" si="138"/>
        <v>0</v>
      </c>
      <c r="AZ27" s="18">
        <f t="shared" si="9"/>
        <v>11100.0000000004</v>
      </c>
      <c r="BA27" s="18">
        <f t="shared" si="10"/>
        <v>9399.99999999418</v>
      </c>
      <c r="BB27" s="18">
        <f t="shared" si="11"/>
        <v>616.000000000349</v>
      </c>
      <c r="BC27" s="18">
        <f t="shared" si="31"/>
        <v>1295.99999999977</v>
      </c>
      <c r="BD27" s="18">
        <f t="shared" si="12"/>
        <v>10419.2000000278</v>
      </c>
      <c r="BE27" s="18">
        <f t="shared" si="13"/>
        <v>48500.0000000218</v>
      </c>
      <c r="BF27" s="18">
        <f t="shared" si="14"/>
        <v>59.0999999999913</v>
      </c>
      <c r="BG27" s="21">
        <f t="shared" si="15"/>
        <v>0.231693801116056</v>
      </c>
      <c r="BH27" s="21">
        <f t="shared" si="16"/>
        <v>0.0383551173278295</v>
      </c>
      <c r="BI27" s="21">
        <f t="shared" si="17"/>
        <v>0</v>
      </c>
      <c r="BJ27" s="21">
        <f t="shared" si="18"/>
        <v>0.0364977451654791</v>
      </c>
      <c r="BK27" s="21">
        <f t="shared" ref="BK27:BO27" si="139">IF(OR($AD27=0),"",AZ27/$AD27)</f>
        <v>0.0530268287090134</v>
      </c>
      <c r="BL27" s="21">
        <f t="shared" si="139"/>
        <v>0.0449056026904866</v>
      </c>
      <c r="BM27" s="21">
        <f t="shared" si="139"/>
        <v>0.00294275013376304</v>
      </c>
      <c r="BN27" s="21">
        <f t="shared" si="139"/>
        <v>0.00619124054115917</v>
      </c>
      <c r="BO27" s="21">
        <f t="shared" si="139"/>
        <v>0.0497745165483254</v>
      </c>
    </row>
    <row r="28" spans="1:67">
      <c r="A28" s="9">
        <f t="shared" si="20"/>
        <v>44433</v>
      </c>
      <c r="B28" s="10">
        <v>16793.02</v>
      </c>
      <c r="C28" s="8">
        <v>92975.5</v>
      </c>
      <c r="D28" s="8">
        <v>59325.1</v>
      </c>
      <c r="E28" s="8">
        <v>57476.7</v>
      </c>
      <c r="F28" s="8">
        <v>5299.1</v>
      </c>
      <c r="G28" s="8">
        <v>113521.2</v>
      </c>
      <c r="H28" s="8">
        <v>5596.3</v>
      </c>
      <c r="I28" s="8">
        <v>2566.3</v>
      </c>
      <c r="J28" s="8">
        <v>967</v>
      </c>
      <c r="K28" s="8">
        <v>56</v>
      </c>
      <c r="L28" s="8">
        <v>92058.7</v>
      </c>
      <c r="M28" s="8">
        <v>61496.8</v>
      </c>
      <c r="N28" s="8">
        <v>73388.8</v>
      </c>
      <c r="O28" s="8">
        <v>103774.4</v>
      </c>
      <c r="P28" s="8">
        <v>5592.7</v>
      </c>
      <c r="Q28" s="8">
        <v>7407.5</v>
      </c>
      <c r="R28" s="8">
        <v>4622.6</v>
      </c>
      <c r="S28" s="8">
        <v>5249.8</v>
      </c>
      <c r="T28" s="8">
        <v>6755.2</v>
      </c>
      <c r="U28" s="8">
        <v>17511.1</v>
      </c>
      <c r="V28" s="8">
        <v>51050.8</v>
      </c>
      <c r="W28" s="8">
        <v>52732.5</v>
      </c>
      <c r="X28" s="8">
        <v>2636.4</v>
      </c>
      <c r="Y28" s="8">
        <v>2363.6</v>
      </c>
      <c r="Z28" s="16">
        <f t="shared" si="21"/>
        <v>57732.5</v>
      </c>
      <c r="AA28" s="8">
        <v>64752.2</v>
      </c>
      <c r="AB28" s="14">
        <v>3844</v>
      </c>
      <c r="AC28" s="7">
        <f t="shared" si="1"/>
        <v>68596.2</v>
      </c>
      <c r="AD28" s="17">
        <v>204832</v>
      </c>
      <c r="AE28" s="18">
        <f t="shared" ref="AE28:AI28" si="140">IF(OR(C29=""),"",(C29-C28)*80)</f>
        <v>0</v>
      </c>
      <c r="AF28" s="18">
        <f t="shared" si="140"/>
        <v>3040</v>
      </c>
      <c r="AG28" s="18">
        <f t="shared" si="140"/>
        <v>3272.00000000012</v>
      </c>
      <c r="AH28" s="18">
        <f t="shared" si="140"/>
        <v>2463.99999999994</v>
      </c>
      <c r="AI28" s="18">
        <f t="shared" si="140"/>
        <v>0</v>
      </c>
      <c r="AJ28" s="18">
        <f t="shared" si="3"/>
        <v>8776.00000000006</v>
      </c>
      <c r="AK28" s="18">
        <f t="shared" ref="AK28:AN28" si="141">IF(OR(H29=""),"",(H29-H28)*80)</f>
        <v>0</v>
      </c>
      <c r="AL28" s="18">
        <f t="shared" si="141"/>
        <v>0</v>
      </c>
      <c r="AM28" s="18">
        <f t="shared" si="141"/>
        <v>0</v>
      </c>
      <c r="AN28" s="18">
        <f t="shared" si="141"/>
        <v>0</v>
      </c>
      <c r="AO28" s="18">
        <f t="shared" si="5"/>
        <v>0</v>
      </c>
      <c r="AP28" s="18">
        <f t="shared" ref="AP28:AS28" si="142">IF(OR(L29=""),"",(L29-L28)*100)</f>
        <v>2700</v>
      </c>
      <c r="AQ28" s="18">
        <f t="shared" si="142"/>
        <v>0</v>
      </c>
      <c r="AR28" s="18">
        <f t="shared" si="142"/>
        <v>2730.00000000029</v>
      </c>
      <c r="AS28" s="18">
        <f t="shared" si="142"/>
        <v>2090.00000000087</v>
      </c>
      <c r="AT28" s="18">
        <f t="shared" si="7"/>
        <v>7520.00000000116</v>
      </c>
      <c r="AU28" s="18">
        <f t="shared" ref="AU28:AY28" si="143">IF(OR(P29=""),"",(P29-P28)*1000)</f>
        <v>3400.00000000055</v>
      </c>
      <c r="AV28" s="18">
        <f t="shared" si="143"/>
        <v>6500</v>
      </c>
      <c r="AW28" s="18">
        <f t="shared" si="143"/>
        <v>0</v>
      </c>
      <c r="AX28" s="18">
        <f t="shared" si="143"/>
        <v>0</v>
      </c>
      <c r="AY28" s="18">
        <f t="shared" si="143"/>
        <v>0</v>
      </c>
      <c r="AZ28" s="18">
        <f t="shared" si="9"/>
        <v>9900.00000000055</v>
      </c>
      <c r="BA28" s="18">
        <f t="shared" si="10"/>
        <v>9200.00000000437</v>
      </c>
      <c r="BB28" s="18">
        <f t="shared" si="11"/>
        <v>631.999999999534</v>
      </c>
      <c r="BC28" s="18">
        <f t="shared" si="31"/>
        <v>1323.99999999994</v>
      </c>
      <c r="BD28" s="18">
        <f t="shared" si="12"/>
        <v>8647.99999997984</v>
      </c>
      <c r="BE28" s="18">
        <f t="shared" si="13"/>
        <v>45999.9999999854</v>
      </c>
      <c r="BF28" s="18">
        <f t="shared" si="14"/>
        <v>63.1999999999971</v>
      </c>
      <c r="BG28" s="21">
        <f t="shared" si="15"/>
        <v>0.224574285267856</v>
      </c>
      <c r="BH28" s="21">
        <f t="shared" si="16"/>
        <v>0.0428448679893769</v>
      </c>
      <c r="BI28" s="21">
        <f t="shared" si="17"/>
        <v>0</v>
      </c>
      <c r="BJ28" s="21">
        <f t="shared" si="18"/>
        <v>0.036713013591632</v>
      </c>
      <c r="BK28" s="21">
        <f t="shared" ref="BK28:BO28" si="144">IF(OR($AD28=0),"",AZ28/$AD28)</f>
        <v>0.0483322918294043</v>
      </c>
      <c r="BL28" s="21">
        <f t="shared" si="144"/>
        <v>0.0449148570536067</v>
      </c>
      <c r="BM28" s="21">
        <f t="shared" si="144"/>
        <v>0.00308545539759185</v>
      </c>
      <c r="BN28" s="21">
        <f t="shared" si="144"/>
        <v>0.00646383377597222</v>
      </c>
      <c r="BO28" s="21">
        <f t="shared" si="144"/>
        <v>0.0422199656302718</v>
      </c>
    </row>
    <row r="29" spans="1:67">
      <c r="A29" s="9">
        <f t="shared" si="20"/>
        <v>44434</v>
      </c>
      <c r="B29" s="10">
        <v>16797.62</v>
      </c>
      <c r="C29" s="8">
        <v>92975.5</v>
      </c>
      <c r="D29" s="8">
        <v>59363.1</v>
      </c>
      <c r="E29" s="8">
        <v>57517.6</v>
      </c>
      <c r="F29" s="8">
        <v>5329.9</v>
      </c>
      <c r="G29" s="8">
        <v>113521.2</v>
      </c>
      <c r="H29" s="8">
        <v>5596.3</v>
      </c>
      <c r="I29" s="8">
        <v>2566.3</v>
      </c>
      <c r="J29" s="8">
        <v>967</v>
      </c>
      <c r="K29" s="8">
        <v>56</v>
      </c>
      <c r="L29" s="8">
        <v>92085.7</v>
      </c>
      <c r="M29" s="8">
        <v>61496.8</v>
      </c>
      <c r="N29" s="8">
        <v>73416.1</v>
      </c>
      <c r="O29" s="8">
        <v>103795.3</v>
      </c>
      <c r="P29" s="8">
        <v>5596.1</v>
      </c>
      <c r="Q29" s="8">
        <v>7414</v>
      </c>
      <c r="R29" s="8">
        <v>4622.6</v>
      </c>
      <c r="S29" s="8">
        <v>5249.8</v>
      </c>
      <c r="T29" s="8">
        <v>6755.2</v>
      </c>
      <c r="U29" s="8">
        <v>17515.7</v>
      </c>
      <c r="V29" s="8">
        <v>51058.7</v>
      </c>
      <c r="W29" s="8">
        <v>52748.7</v>
      </c>
      <c r="X29" s="8">
        <v>2644.6</v>
      </c>
      <c r="Y29" s="8">
        <v>2372.3</v>
      </c>
      <c r="Z29" s="16">
        <f t="shared" si="21"/>
        <v>57765.6</v>
      </c>
      <c r="AA29" s="8">
        <v>64807.4</v>
      </c>
      <c r="AB29" s="14">
        <v>3852</v>
      </c>
      <c r="AC29" s="7">
        <f t="shared" si="1"/>
        <v>68659.4</v>
      </c>
      <c r="AD29" s="17">
        <v>203570</v>
      </c>
      <c r="AE29" s="18">
        <f t="shared" ref="AE29:AI29" si="145">IF(OR(C30=""),"",(C30-C29)*80)</f>
        <v>0</v>
      </c>
      <c r="AF29" s="18">
        <f t="shared" si="145"/>
        <v>3024.00000000023</v>
      </c>
      <c r="AG29" s="18">
        <f t="shared" si="145"/>
        <v>2816.00000000035</v>
      </c>
      <c r="AH29" s="18">
        <f t="shared" si="145"/>
        <v>2496.00000000006</v>
      </c>
      <c r="AI29" s="18">
        <f t="shared" si="145"/>
        <v>0</v>
      </c>
      <c r="AJ29" s="18">
        <f t="shared" si="3"/>
        <v>8336.00000000064</v>
      </c>
      <c r="AK29" s="18">
        <f t="shared" ref="AK29:AN29" si="146">IF(OR(H30=""),"",(H30-H29)*80)</f>
        <v>0</v>
      </c>
      <c r="AL29" s="18">
        <f t="shared" si="146"/>
        <v>0</v>
      </c>
      <c r="AM29" s="18">
        <f t="shared" si="146"/>
        <v>0</v>
      </c>
      <c r="AN29" s="18">
        <f t="shared" si="146"/>
        <v>0</v>
      </c>
      <c r="AO29" s="18">
        <f t="shared" si="5"/>
        <v>0</v>
      </c>
      <c r="AP29" s="18">
        <f t="shared" ref="AP29:AS29" si="147">IF(OR(L30=""),"",(L30-L29)*100)</f>
        <v>2610.00000000058</v>
      </c>
      <c r="AQ29" s="18">
        <f t="shared" si="147"/>
        <v>0</v>
      </c>
      <c r="AR29" s="18">
        <f t="shared" si="147"/>
        <v>2719.99999999971</v>
      </c>
      <c r="AS29" s="18">
        <f t="shared" si="147"/>
        <v>2080.00000000029</v>
      </c>
      <c r="AT29" s="18">
        <f t="shared" si="7"/>
        <v>7410.00000000058</v>
      </c>
      <c r="AU29" s="18">
        <f t="shared" ref="AU29:AY29" si="148">IF(OR(P30=""),"",(P30-P29)*1000)</f>
        <v>599.999999999454</v>
      </c>
      <c r="AV29" s="18">
        <f t="shared" si="148"/>
        <v>1300.00000000018</v>
      </c>
      <c r="AW29" s="18">
        <f t="shared" si="148"/>
        <v>0</v>
      </c>
      <c r="AX29" s="18">
        <f t="shared" si="148"/>
        <v>4399.99999999964</v>
      </c>
      <c r="AY29" s="18">
        <f t="shared" si="148"/>
        <v>0</v>
      </c>
      <c r="AZ29" s="18">
        <f t="shared" si="9"/>
        <v>6299.99999999927</v>
      </c>
      <c r="BA29" s="18">
        <f t="shared" si="10"/>
        <v>9799.99999999563</v>
      </c>
      <c r="BB29" s="18">
        <f t="shared" si="11"/>
        <v>608.000000000466</v>
      </c>
      <c r="BC29" s="18">
        <f t="shared" si="31"/>
        <v>1296.00000000006</v>
      </c>
      <c r="BD29" s="18">
        <f t="shared" si="12"/>
        <v>9950.00000002954</v>
      </c>
      <c r="BE29" s="18">
        <f t="shared" si="13"/>
        <v>43700.0000000262</v>
      </c>
      <c r="BF29" s="18">
        <f t="shared" si="14"/>
        <v>69.4000000000087</v>
      </c>
      <c r="BG29" s="21">
        <f t="shared" si="15"/>
        <v>0.214668173110115</v>
      </c>
      <c r="BH29" s="21">
        <f t="shared" si="16"/>
        <v>0.0409490592916473</v>
      </c>
      <c r="BI29" s="21">
        <f t="shared" si="17"/>
        <v>0</v>
      </c>
      <c r="BJ29" s="21">
        <f t="shared" si="18"/>
        <v>0.0364002554403919</v>
      </c>
      <c r="BK29" s="21">
        <f t="shared" ref="BK29:BO29" si="149">IF(OR($AD29=0),"",AZ29/$AD29)</f>
        <v>0.0309475855970883</v>
      </c>
      <c r="BL29" s="21">
        <f t="shared" si="149"/>
        <v>0.048140688706566</v>
      </c>
      <c r="BM29" s="21">
        <f t="shared" si="149"/>
        <v>0.00298668762588036</v>
      </c>
      <c r="BN29" s="21">
        <f t="shared" si="149"/>
        <v>0.00636636046568776</v>
      </c>
      <c r="BO29" s="21">
        <f t="shared" si="149"/>
        <v>0.0488775359828538</v>
      </c>
    </row>
    <row r="30" spans="1:67">
      <c r="A30" s="9">
        <f t="shared" si="20"/>
        <v>44435</v>
      </c>
      <c r="B30" s="10">
        <v>16801.99</v>
      </c>
      <c r="C30" s="8">
        <v>92975.5</v>
      </c>
      <c r="D30" s="8">
        <v>59400.9</v>
      </c>
      <c r="E30" s="8">
        <v>57552.8</v>
      </c>
      <c r="F30" s="8">
        <v>5361.1</v>
      </c>
      <c r="G30" s="8">
        <v>113521.2</v>
      </c>
      <c r="H30" s="8">
        <v>5596.3</v>
      </c>
      <c r="I30" s="8">
        <v>2566.3</v>
      </c>
      <c r="J30" s="8">
        <v>967</v>
      </c>
      <c r="K30" s="8">
        <v>56</v>
      </c>
      <c r="L30" s="8">
        <v>92111.8</v>
      </c>
      <c r="M30" s="8">
        <v>61496.8</v>
      </c>
      <c r="N30" s="8">
        <v>73443.3</v>
      </c>
      <c r="O30" s="8">
        <v>103816.1</v>
      </c>
      <c r="P30" s="8">
        <v>5596.7</v>
      </c>
      <c r="Q30" s="8">
        <v>7415.3</v>
      </c>
      <c r="R30" s="8">
        <v>4622.6</v>
      </c>
      <c r="S30" s="8">
        <v>5254.2</v>
      </c>
      <c r="T30" s="8">
        <v>6755.2</v>
      </c>
      <c r="U30" s="8">
        <v>17520.6</v>
      </c>
      <c r="V30" s="8">
        <v>51066.3</v>
      </c>
      <c r="W30" s="8">
        <v>52764.8</v>
      </c>
      <c r="X30" s="8">
        <v>2652.5</v>
      </c>
      <c r="Y30" s="8">
        <v>2380.7</v>
      </c>
      <c r="Z30" s="16">
        <f t="shared" si="21"/>
        <v>57798</v>
      </c>
      <c r="AA30" s="8">
        <v>64859.8</v>
      </c>
      <c r="AB30" s="14">
        <v>3869</v>
      </c>
      <c r="AC30" s="7">
        <f t="shared" si="1"/>
        <v>68728.8</v>
      </c>
      <c r="AD30" s="17">
        <v>207981</v>
      </c>
      <c r="AE30" s="18">
        <f t="shared" ref="AE30:AI30" si="150">IF(OR(C31=""),"",(C31-C30)*80)</f>
        <v>0</v>
      </c>
      <c r="AF30" s="18">
        <f t="shared" si="150"/>
        <v>3007.99999999988</v>
      </c>
      <c r="AG30" s="18">
        <f t="shared" si="150"/>
        <v>2495.99999999977</v>
      </c>
      <c r="AH30" s="18">
        <f t="shared" si="150"/>
        <v>174.399999999951</v>
      </c>
      <c r="AI30" s="18">
        <f t="shared" si="150"/>
        <v>2344.00000000023</v>
      </c>
      <c r="AJ30" s="18">
        <f t="shared" si="3"/>
        <v>8022.39999999983</v>
      </c>
      <c r="AK30" s="18">
        <f t="shared" ref="AK30:AN30" si="151">IF(OR(H31=""),"",(H31-H30)*80)</f>
        <v>0</v>
      </c>
      <c r="AL30" s="18">
        <f t="shared" si="151"/>
        <v>0</v>
      </c>
      <c r="AM30" s="18">
        <f t="shared" si="151"/>
        <v>0</v>
      </c>
      <c r="AN30" s="18">
        <f t="shared" si="151"/>
        <v>0</v>
      </c>
      <c r="AO30" s="18">
        <f t="shared" si="5"/>
        <v>0</v>
      </c>
      <c r="AP30" s="18">
        <f t="shared" ref="AP30:AS30" si="152">IF(OR(L31=""),"",(L31-L30)*100)</f>
        <v>2859.99999999913</v>
      </c>
      <c r="AQ30" s="18">
        <f t="shared" si="152"/>
        <v>0</v>
      </c>
      <c r="AR30" s="18">
        <f t="shared" si="152"/>
        <v>2800</v>
      </c>
      <c r="AS30" s="18">
        <f t="shared" si="152"/>
        <v>2150</v>
      </c>
      <c r="AT30" s="18">
        <f t="shared" si="7"/>
        <v>7809.99999999913</v>
      </c>
      <c r="AU30" s="18">
        <f t="shared" ref="AU30:AY30" si="153">IF(OR(P31=""),"",(P31-P30)*1000)</f>
        <v>3699.99999999982</v>
      </c>
      <c r="AV30" s="18">
        <f t="shared" si="153"/>
        <v>6800.00000000018</v>
      </c>
      <c r="AW30" s="18">
        <f t="shared" si="153"/>
        <v>0</v>
      </c>
      <c r="AX30" s="18">
        <f t="shared" si="153"/>
        <v>0</v>
      </c>
      <c r="AY30" s="18">
        <f t="shared" si="153"/>
        <v>0</v>
      </c>
      <c r="AZ30" s="18">
        <f t="shared" si="9"/>
        <v>10500</v>
      </c>
      <c r="BA30" s="18">
        <f t="shared" si="10"/>
        <v>9400.00000000146</v>
      </c>
      <c r="BB30" s="18">
        <f t="shared" si="11"/>
        <v>615.999999999767</v>
      </c>
      <c r="BC30" s="18">
        <f t="shared" si="31"/>
        <v>1319.99999999971</v>
      </c>
      <c r="BD30" s="18">
        <f t="shared" si="12"/>
        <v>8431.59999996955</v>
      </c>
      <c r="BE30" s="18">
        <f t="shared" si="13"/>
        <v>46099.9999999694</v>
      </c>
      <c r="BF30" s="18">
        <f t="shared" si="14"/>
        <v>63.3000000000029</v>
      </c>
      <c r="BG30" s="21">
        <f t="shared" si="15"/>
        <v>0.221654862703658</v>
      </c>
      <c r="BH30" s="21">
        <f t="shared" si="16"/>
        <v>0.0385727542419732</v>
      </c>
      <c r="BI30" s="21">
        <f t="shared" si="17"/>
        <v>0</v>
      </c>
      <c r="BJ30" s="21">
        <f t="shared" si="18"/>
        <v>0.0375515071088182</v>
      </c>
      <c r="BK30" s="21">
        <f t="shared" ref="BK30:BO30" si="154">IF(OR($AD30=0),"",AZ30/$AD30)</f>
        <v>0.0504853808761377</v>
      </c>
      <c r="BL30" s="21">
        <f t="shared" si="154"/>
        <v>0.0451964362129303</v>
      </c>
      <c r="BM30" s="21">
        <f t="shared" si="154"/>
        <v>0.00296180901139896</v>
      </c>
      <c r="BN30" s="21">
        <f t="shared" si="154"/>
        <v>0.00634673359585591</v>
      </c>
      <c r="BO30" s="21">
        <f t="shared" si="154"/>
        <v>0.0405402416565434</v>
      </c>
    </row>
    <row r="31" spans="1:67">
      <c r="A31" s="9">
        <f t="shared" si="20"/>
        <v>44436</v>
      </c>
      <c r="B31" s="10">
        <v>16806.6</v>
      </c>
      <c r="C31" s="8">
        <v>92975.5</v>
      </c>
      <c r="D31" s="8">
        <v>59438.5</v>
      </c>
      <c r="E31" s="8">
        <v>57584</v>
      </c>
      <c r="F31" s="8">
        <v>5363.28</v>
      </c>
      <c r="G31" s="8">
        <v>113550.5</v>
      </c>
      <c r="H31" s="8">
        <v>5596.3</v>
      </c>
      <c r="I31" s="8">
        <v>2566.3</v>
      </c>
      <c r="J31" s="8">
        <v>967</v>
      </c>
      <c r="K31" s="8">
        <v>56</v>
      </c>
      <c r="L31" s="8">
        <v>92140.4</v>
      </c>
      <c r="M31" s="8">
        <v>61496.8</v>
      </c>
      <c r="N31" s="8">
        <v>73471.3</v>
      </c>
      <c r="O31" s="8">
        <v>103837.6</v>
      </c>
      <c r="P31" s="8">
        <v>5600.4</v>
      </c>
      <c r="Q31" s="8">
        <v>7422.1</v>
      </c>
      <c r="R31" s="8">
        <v>4622.6</v>
      </c>
      <c r="S31" s="8">
        <v>5254.2</v>
      </c>
      <c r="T31" s="8">
        <v>6755.2</v>
      </c>
      <c r="U31" s="8">
        <v>17525.3</v>
      </c>
      <c r="V31" s="8">
        <v>51074</v>
      </c>
      <c r="W31" s="8">
        <v>52781.2</v>
      </c>
      <c r="X31" s="8">
        <v>2660.6</v>
      </c>
      <c r="Y31" s="8">
        <v>2389.2</v>
      </c>
      <c r="Z31" s="16">
        <f t="shared" si="21"/>
        <v>57831</v>
      </c>
      <c r="AA31" s="8">
        <v>64915.1</v>
      </c>
      <c r="AB31" s="14">
        <v>3877</v>
      </c>
      <c r="AC31" s="7">
        <f t="shared" si="1"/>
        <v>68792.1</v>
      </c>
      <c r="AD31" s="17">
        <v>205365</v>
      </c>
      <c r="AE31" s="18">
        <f t="shared" ref="AE31:AI31" si="155">IF(OR(C32=""),"",(C32-C31)*80)</f>
        <v>0</v>
      </c>
      <c r="AF31" s="18">
        <f t="shared" si="155"/>
        <v>0</v>
      </c>
      <c r="AG31" s="18">
        <f t="shared" si="155"/>
        <v>2304.00000000023</v>
      </c>
      <c r="AH31" s="18">
        <f t="shared" si="155"/>
        <v>1993.60000000001</v>
      </c>
      <c r="AI31" s="18">
        <f t="shared" si="155"/>
        <v>2000</v>
      </c>
      <c r="AJ31" s="18">
        <f t="shared" si="3"/>
        <v>6297.60000000024</v>
      </c>
      <c r="AK31" s="18">
        <f t="shared" ref="AK31:AN31" si="156">IF(OR(H32=""),"",(H32-H31)*80)</f>
        <v>0</v>
      </c>
      <c r="AL31" s="18">
        <f t="shared" si="156"/>
        <v>0</v>
      </c>
      <c r="AM31" s="18">
        <f t="shared" si="156"/>
        <v>0</v>
      </c>
      <c r="AN31" s="18">
        <f t="shared" si="156"/>
        <v>0</v>
      </c>
      <c r="AO31" s="18">
        <f t="shared" si="5"/>
        <v>0</v>
      </c>
      <c r="AP31" s="18">
        <f t="shared" ref="AP31:AS31" si="157">IF(OR(L32=""),"",(L32-L31)*100)</f>
        <v>2790.00000000087</v>
      </c>
      <c r="AQ31" s="18">
        <f t="shared" si="157"/>
        <v>0</v>
      </c>
      <c r="AR31" s="18">
        <f t="shared" si="157"/>
        <v>2630.00000000029</v>
      </c>
      <c r="AS31" s="18">
        <f t="shared" si="157"/>
        <v>1989.99999999942</v>
      </c>
      <c r="AT31" s="18">
        <f t="shared" si="7"/>
        <v>7410.00000000058</v>
      </c>
      <c r="AU31" s="18">
        <f t="shared" ref="AU31:AY31" si="158">IF(OR(P32=""),"",(P32-P31)*1000)</f>
        <v>3600.00000000036</v>
      </c>
      <c r="AV31" s="18">
        <f t="shared" si="158"/>
        <v>7000</v>
      </c>
      <c r="AW31" s="18">
        <f t="shared" si="158"/>
        <v>0</v>
      </c>
      <c r="AX31" s="18">
        <f t="shared" si="158"/>
        <v>0</v>
      </c>
      <c r="AY31" s="18">
        <f t="shared" si="158"/>
        <v>0</v>
      </c>
      <c r="AZ31" s="18">
        <f t="shared" si="9"/>
        <v>10600.0000000004</v>
      </c>
      <c r="BA31" s="18">
        <f t="shared" si="10"/>
        <v>9000</v>
      </c>
      <c r="BB31" s="18">
        <f t="shared" si="11"/>
        <v>632.000000000116</v>
      </c>
      <c r="BC31" s="18">
        <f t="shared" si="31"/>
        <v>1272.00000000012</v>
      </c>
      <c r="BD31" s="18">
        <f t="shared" si="12"/>
        <v>8888.39999999713</v>
      </c>
      <c r="BE31" s="18">
        <f t="shared" si="13"/>
        <v>44099.9999999985</v>
      </c>
      <c r="BF31" s="18">
        <f t="shared" si="14"/>
        <v>61.8999999999942</v>
      </c>
      <c r="BG31" s="21">
        <f t="shared" si="15"/>
        <v>0.214739609962742</v>
      </c>
      <c r="BH31" s="21">
        <f t="shared" si="16"/>
        <v>0.030665400628151</v>
      </c>
      <c r="BI31" s="21">
        <f t="shared" si="17"/>
        <v>0</v>
      </c>
      <c r="BJ31" s="21">
        <f t="shared" si="18"/>
        <v>0.0360820977284376</v>
      </c>
      <c r="BK31" s="21">
        <f t="shared" ref="BK31:BO31" si="159">IF(OR($AD31=0),"",AZ31/$AD31)</f>
        <v>0.0516154164536331</v>
      </c>
      <c r="BL31" s="21">
        <f t="shared" si="159"/>
        <v>0.0438244101964794</v>
      </c>
      <c r="BM31" s="21">
        <f t="shared" si="159"/>
        <v>0.00307744747157557</v>
      </c>
      <c r="BN31" s="21">
        <f t="shared" si="159"/>
        <v>0.00619384997443633</v>
      </c>
      <c r="BO31" s="21">
        <f t="shared" si="159"/>
        <v>0.0432809875100291</v>
      </c>
    </row>
    <row r="32" spans="1:67">
      <c r="A32" s="9">
        <f t="shared" si="20"/>
        <v>44437</v>
      </c>
      <c r="B32" s="10">
        <v>16811.01</v>
      </c>
      <c r="C32" s="8">
        <v>92975.5</v>
      </c>
      <c r="D32" s="8">
        <v>59438.5</v>
      </c>
      <c r="E32" s="8">
        <v>57612.8</v>
      </c>
      <c r="F32" s="8">
        <v>5388.2</v>
      </c>
      <c r="G32" s="8">
        <v>113575.5</v>
      </c>
      <c r="H32" s="8">
        <v>5596.3</v>
      </c>
      <c r="I32" s="8">
        <v>2566.3</v>
      </c>
      <c r="J32" s="8">
        <v>967</v>
      </c>
      <c r="K32" s="8">
        <v>56</v>
      </c>
      <c r="L32" s="8">
        <v>92168.3</v>
      </c>
      <c r="M32" s="8">
        <v>61496.8</v>
      </c>
      <c r="N32" s="8">
        <v>73497.6</v>
      </c>
      <c r="O32" s="8">
        <v>103857.5</v>
      </c>
      <c r="P32" s="8">
        <v>5604</v>
      </c>
      <c r="Q32" s="8">
        <v>7429.1</v>
      </c>
      <c r="R32" s="8">
        <v>4622.6</v>
      </c>
      <c r="S32" s="8">
        <v>5254.2</v>
      </c>
      <c r="T32" s="8">
        <v>6755.2</v>
      </c>
      <c r="U32" s="8">
        <v>17529.8</v>
      </c>
      <c r="V32" s="8">
        <v>51081.9</v>
      </c>
      <c r="W32" s="8">
        <v>52797.2</v>
      </c>
      <c r="X32" s="8">
        <v>2668.4</v>
      </c>
      <c r="Y32" s="8">
        <v>2397.2</v>
      </c>
      <c r="Z32" s="16">
        <f t="shared" si="21"/>
        <v>57862.8</v>
      </c>
      <c r="AA32" s="8">
        <v>64970</v>
      </c>
      <c r="AB32" s="14">
        <v>3884</v>
      </c>
      <c r="AC32" s="7">
        <f t="shared" si="1"/>
        <v>68854</v>
      </c>
      <c r="AD32" s="17">
        <v>209662</v>
      </c>
      <c r="AE32" s="18">
        <f t="shared" ref="AE32:AI32" si="160">IF(OR(C33=""),"",(C33-C32)*80)</f>
        <v>0</v>
      </c>
      <c r="AF32" s="18">
        <f t="shared" si="160"/>
        <v>1487.99999999988</v>
      </c>
      <c r="AG32" s="18">
        <f t="shared" si="160"/>
        <v>2391.99999999953</v>
      </c>
      <c r="AH32" s="18">
        <f t="shared" si="160"/>
        <v>1228.80000000005</v>
      </c>
      <c r="AI32" s="18">
        <f t="shared" si="160"/>
        <v>2384.00000000023</v>
      </c>
      <c r="AJ32" s="18">
        <f t="shared" si="3"/>
        <v>7492.7999999997</v>
      </c>
      <c r="AK32" s="18">
        <f t="shared" ref="AK32:AN32" si="161">IF(OR(H33=""),"",(H33-H32)*80)</f>
        <v>0</v>
      </c>
      <c r="AL32" s="18">
        <f t="shared" si="161"/>
        <v>0</v>
      </c>
      <c r="AM32" s="18">
        <f t="shared" si="161"/>
        <v>0</v>
      </c>
      <c r="AN32" s="18">
        <f t="shared" si="161"/>
        <v>0</v>
      </c>
      <c r="AO32" s="18">
        <f t="shared" si="5"/>
        <v>0</v>
      </c>
      <c r="AP32" s="18">
        <f t="shared" ref="AP32:AS32" si="162">IF(OR(L33=""),"",(L33-L32)*100)</f>
        <v>2969.99999999971</v>
      </c>
      <c r="AQ32" s="18">
        <f t="shared" si="162"/>
        <v>0</v>
      </c>
      <c r="AR32" s="18">
        <f t="shared" si="162"/>
        <v>2789.99999999942</v>
      </c>
      <c r="AS32" s="18">
        <f t="shared" si="162"/>
        <v>2150</v>
      </c>
      <c r="AT32" s="18">
        <f t="shared" si="7"/>
        <v>7909.99999999913</v>
      </c>
      <c r="AU32" s="18">
        <f t="shared" ref="AU32:AY32" si="163">IF(OR(P33=""),"",(P33-P32)*1000)</f>
        <v>3899.99999999964</v>
      </c>
      <c r="AV32" s="18">
        <f t="shared" si="163"/>
        <v>7599.99999999945</v>
      </c>
      <c r="AW32" s="18">
        <f t="shared" si="163"/>
        <v>0</v>
      </c>
      <c r="AX32" s="18">
        <f t="shared" si="163"/>
        <v>0</v>
      </c>
      <c r="AY32" s="18">
        <f t="shared" si="163"/>
        <v>0</v>
      </c>
      <c r="AZ32" s="18">
        <f t="shared" si="9"/>
        <v>11499.9999999991</v>
      </c>
      <c r="BA32" s="18">
        <f t="shared" si="10"/>
        <v>10000</v>
      </c>
      <c r="BB32" s="18">
        <f t="shared" si="11"/>
        <v>672.000000000116</v>
      </c>
      <c r="BC32" s="18">
        <f t="shared" si="31"/>
        <v>1331.99999999983</v>
      </c>
      <c r="BD32" s="18">
        <f t="shared" si="12"/>
        <v>9193.20000001524</v>
      </c>
      <c r="BE32" s="18">
        <f t="shared" si="13"/>
        <v>48100.0000000131</v>
      </c>
      <c r="BF32" s="18">
        <f t="shared" si="14"/>
        <v>64.6999999999971</v>
      </c>
      <c r="BG32" s="21">
        <f t="shared" si="15"/>
        <v>0.229416870963804</v>
      </c>
      <c r="BH32" s="21">
        <f t="shared" si="16"/>
        <v>0.0357375203899595</v>
      </c>
      <c r="BI32" s="21">
        <f t="shared" si="17"/>
        <v>0</v>
      </c>
      <c r="BJ32" s="21">
        <f t="shared" si="18"/>
        <v>0.0377273897988149</v>
      </c>
      <c r="BK32" s="21">
        <f t="shared" ref="BK32:BO32" si="164">IF(OR($AD32=0),"",AZ32/$AD32)</f>
        <v>0.0548501874445493</v>
      </c>
      <c r="BL32" s="21">
        <f t="shared" si="164"/>
        <v>0.0476958151691771</v>
      </c>
      <c r="BM32" s="21">
        <f t="shared" si="164"/>
        <v>0.00320515877936925</v>
      </c>
      <c r="BN32" s="21">
        <f t="shared" si="164"/>
        <v>0.00635308258053355</v>
      </c>
      <c r="BO32" s="21">
        <f t="shared" si="164"/>
        <v>0.0438477168014005</v>
      </c>
    </row>
    <row r="33" spans="1:67">
      <c r="A33" s="9">
        <f t="shared" si="20"/>
        <v>44438</v>
      </c>
      <c r="B33" s="10">
        <v>16815.82</v>
      </c>
      <c r="C33" s="8">
        <v>92975.5</v>
      </c>
      <c r="D33" s="8">
        <v>59457.1</v>
      </c>
      <c r="E33" s="8">
        <v>57642.7</v>
      </c>
      <c r="F33" s="8">
        <v>5403.56</v>
      </c>
      <c r="G33" s="8">
        <v>113605.3</v>
      </c>
      <c r="H33" s="8">
        <v>5596.3</v>
      </c>
      <c r="I33" s="8">
        <v>2566.3</v>
      </c>
      <c r="J33" s="8">
        <v>967</v>
      </c>
      <c r="K33" s="8">
        <v>56</v>
      </c>
      <c r="L33" s="8">
        <v>92198</v>
      </c>
      <c r="M33" s="8">
        <v>61496.8</v>
      </c>
      <c r="N33" s="8">
        <v>73525.5</v>
      </c>
      <c r="O33" s="8">
        <v>103879</v>
      </c>
      <c r="P33" s="8">
        <v>5607.9</v>
      </c>
      <c r="Q33" s="8">
        <v>7436.7</v>
      </c>
      <c r="R33" s="8">
        <v>4622.6</v>
      </c>
      <c r="S33" s="8">
        <v>5254.2</v>
      </c>
      <c r="T33" s="8">
        <v>6755.2</v>
      </c>
      <c r="U33" s="8">
        <v>17534.8</v>
      </c>
      <c r="V33" s="8">
        <v>51090.3</v>
      </c>
      <c r="W33" s="8">
        <v>52813.7</v>
      </c>
      <c r="X33" s="8">
        <v>2676.7</v>
      </c>
      <c r="Y33" s="8">
        <v>2405.7</v>
      </c>
      <c r="Z33" s="16">
        <f t="shared" si="21"/>
        <v>57896.1</v>
      </c>
      <c r="AA33" s="8">
        <v>65027.7</v>
      </c>
      <c r="AB33" s="14">
        <v>3891</v>
      </c>
      <c r="AC33" s="7">
        <f t="shared" si="1"/>
        <v>68918.7</v>
      </c>
      <c r="AD33" s="17">
        <v>207612</v>
      </c>
      <c r="AE33" s="18">
        <f t="shared" ref="AE33:AI33" si="165">IF(OR(C34=""),"",(C34-C33)*80)</f>
        <v>0</v>
      </c>
      <c r="AF33" s="18">
        <f t="shared" si="165"/>
        <v>3080</v>
      </c>
      <c r="AG33" s="18">
        <f t="shared" si="165"/>
        <v>2720</v>
      </c>
      <c r="AH33" s="18">
        <f t="shared" si="165"/>
        <v>3.99999999994179</v>
      </c>
      <c r="AI33" s="18">
        <f t="shared" si="165"/>
        <v>2255.99999999977</v>
      </c>
      <c r="AJ33" s="18">
        <f t="shared" si="3"/>
        <v>8059.99999999971</v>
      </c>
      <c r="AK33" s="18">
        <f t="shared" ref="AK33:AN33" si="166">IF(OR(H34=""),"",(H34-H33)*80)</f>
        <v>0</v>
      </c>
      <c r="AL33" s="18">
        <f t="shared" si="166"/>
        <v>0</v>
      </c>
      <c r="AM33" s="18">
        <f t="shared" si="166"/>
        <v>0</v>
      </c>
      <c r="AN33" s="18">
        <f t="shared" si="166"/>
        <v>0</v>
      </c>
      <c r="AO33" s="18">
        <f t="shared" si="5"/>
        <v>0</v>
      </c>
      <c r="AP33" s="18">
        <f t="shared" ref="AP33:AS33" si="167">IF(OR(L34=""),"",(L34-L33)*100)</f>
        <v>2839.99999999942</v>
      </c>
      <c r="AQ33" s="18">
        <f t="shared" si="167"/>
        <v>0</v>
      </c>
      <c r="AR33" s="18">
        <f t="shared" si="167"/>
        <v>2789.99999999942</v>
      </c>
      <c r="AS33" s="18">
        <f t="shared" si="167"/>
        <v>2139.99999999942</v>
      </c>
      <c r="AT33" s="18">
        <f t="shared" si="7"/>
        <v>7769.99999999825</v>
      </c>
      <c r="AU33" s="18">
        <f t="shared" ref="AU33:AY33" si="168">IF(OR(P34=""),"",(P34-P33)*1000)</f>
        <v>3700.00000000073</v>
      </c>
      <c r="AV33" s="18">
        <f t="shared" si="168"/>
        <v>6900.00000000055</v>
      </c>
      <c r="AW33" s="18">
        <f t="shared" si="168"/>
        <v>0</v>
      </c>
      <c r="AX33" s="18">
        <f t="shared" si="168"/>
        <v>0</v>
      </c>
      <c r="AY33" s="18">
        <f t="shared" si="168"/>
        <v>0</v>
      </c>
      <c r="AZ33" s="18">
        <f t="shared" si="9"/>
        <v>10600.0000000013</v>
      </c>
      <c r="BA33" s="18">
        <f t="shared" si="10"/>
        <v>9800.00000000291</v>
      </c>
      <c r="BB33" s="18">
        <f t="shared" si="11"/>
        <v>487.999999999884</v>
      </c>
      <c r="BC33" s="18">
        <f t="shared" si="31"/>
        <v>1340.00000000029</v>
      </c>
      <c r="BD33" s="18">
        <f t="shared" si="12"/>
        <v>10441.9999999831</v>
      </c>
      <c r="BE33" s="18">
        <f t="shared" si="13"/>
        <v>48499.9999999854</v>
      </c>
      <c r="BF33" s="18">
        <f t="shared" si="14"/>
        <v>65.1000000000058</v>
      </c>
      <c r="BG33" s="21">
        <f t="shared" si="15"/>
        <v>0.233608847272727</v>
      </c>
      <c r="BH33" s="21">
        <f t="shared" si="16"/>
        <v>0.0388224187426532</v>
      </c>
      <c r="BI33" s="21">
        <f t="shared" si="17"/>
        <v>0</v>
      </c>
      <c r="BJ33" s="21">
        <f t="shared" si="18"/>
        <v>0.0374255823362727</v>
      </c>
      <c r="BK33" s="21">
        <f t="shared" ref="BK33:BO33" si="169">IF(OR($AD33=0),"",AZ33/$AD33)</f>
        <v>0.0510567789915866</v>
      </c>
      <c r="BL33" s="21">
        <f t="shared" si="169"/>
        <v>0.0472034371809091</v>
      </c>
      <c r="BM33" s="21">
        <f t="shared" si="169"/>
        <v>0.00235053850451748</v>
      </c>
      <c r="BN33" s="21">
        <f t="shared" si="169"/>
        <v>0.00645434753289931</v>
      </c>
      <c r="BO33" s="21">
        <f t="shared" si="169"/>
        <v>0.0502957439838888</v>
      </c>
    </row>
    <row r="34" spans="1:67">
      <c r="A34" s="9">
        <f t="shared" si="20"/>
        <v>44439</v>
      </c>
      <c r="B34" s="7">
        <v>16820.67</v>
      </c>
      <c r="C34" s="8">
        <v>92975.5</v>
      </c>
      <c r="D34" s="8">
        <v>59495.6</v>
      </c>
      <c r="E34" s="8">
        <v>57676.7</v>
      </c>
      <c r="F34" s="8">
        <v>5403.61</v>
      </c>
      <c r="G34" s="8">
        <v>113633.5</v>
      </c>
      <c r="H34" s="8">
        <v>5596.3</v>
      </c>
      <c r="I34" s="8">
        <v>2566.3</v>
      </c>
      <c r="J34" s="8">
        <v>967</v>
      </c>
      <c r="K34" s="8">
        <v>56</v>
      </c>
      <c r="L34" s="8">
        <v>92226.4</v>
      </c>
      <c r="M34" s="8">
        <v>61496.8</v>
      </c>
      <c r="N34" s="8">
        <v>73553.4</v>
      </c>
      <c r="O34" s="8">
        <v>103900.4</v>
      </c>
      <c r="P34" s="8">
        <v>5611.6</v>
      </c>
      <c r="Q34" s="8">
        <v>7443.6</v>
      </c>
      <c r="R34" s="8">
        <v>4622.6</v>
      </c>
      <c r="S34" s="8">
        <v>5254.2</v>
      </c>
      <c r="T34" s="8">
        <v>6755.2</v>
      </c>
      <c r="U34" s="8">
        <v>17539.7</v>
      </c>
      <c r="V34" s="8">
        <v>51096.4</v>
      </c>
      <c r="W34" s="8">
        <v>52830.2</v>
      </c>
      <c r="X34" s="8">
        <v>2685</v>
      </c>
      <c r="Y34" s="8">
        <v>2414.4</v>
      </c>
      <c r="Z34" s="16">
        <f t="shared" si="21"/>
        <v>57929.6</v>
      </c>
      <c r="AA34" s="8">
        <v>65085.8</v>
      </c>
      <c r="AB34" s="14">
        <v>3898</v>
      </c>
      <c r="AC34" s="7">
        <f t="shared" si="1"/>
        <v>68983.8</v>
      </c>
      <c r="AD34" s="17">
        <v>203391</v>
      </c>
      <c r="AE34" s="18">
        <f t="shared" ref="AE34:AI34" si="170">IF(OR(C35=""),"",(C35-C34)*80)</f>
        <v>0</v>
      </c>
      <c r="AF34" s="18">
        <f t="shared" si="170"/>
        <v>2960</v>
      </c>
      <c r="AG34" s="18">
        <f t="shared" si="170"/>
        <v>2760</v>
      </c>
      <c r="AH34" s="18">
        <f t="shared" si="170"/>
        <v>4.80000000003201</v>
      </c>
      <c r="AI34" s="18">
        <f t="shared" si="170"/>
        <v>2384.00000000023</v>
      </c>
      <c r="AJ34" s="18">
        <f t="shared" si="3"/>
        <v>8108.80000000026</v>
      </c>
      <c r="AK34" s="18">
        <f t="shared" ref="AK34:AN34" si="171">IF(OR(H35=""),"",(H35-H34)*80)</f>
        <v>0</v>
      </c>
      <c r="AL34" s="18">
        <f t="shared" si="171"/>
        <v>0</v>
      </c>
      <c r="AM34" s="18">
        <f t="shared" si="171"/>
        <v>0</v>
      </c>
      <c r="AN34" s="18">
        <f t="shared" si="171"/>
        <v>0</v>
      </c>
      <c r="AO34" s="18">
        <f t="shared" si="5"/>
        <v>0</v>
      </c>
      <c r="AP34" s="18">
        <f t="shared" ref="AP34:AS34" si="172">IF(OR(L35=""),"",(L35-L34)*100)</f>
        <v>2830.00000000029</v>
      </c>
      <c r="AQ34" s="18">
        <f t="shared" si="172"/>
        <v>0</v>
      </c>
      <c r="AR34" s="18">
        <f t="shared" si="172"/>
        <v>2770.00000000116</v>
      </c>
      <c r="AS34" s="18">
        <f t="shared" si="172"/>
        <v>2150</v>
      </c>
      <c r="AT34" s="18">
        <f t="shared" si="7"/>
        <v>7750.00000000146</v>
      </c>
      <c r="AU34" s="18">
        <f t="shared" ref="AU34:AY34" si="173">IF(OR(P35=""),"",(P35-P34)*1000)</f>
        <v>3599.99999999945</v>
      </c>
      <c r="AV34" s="18">
        <f t="shared" si="173"/>
        <v>7099.99999999945</v>
      </c>
      <c r="AW34" s="18">
        <f t="shared" si="173"/>
        <v>0</v>
      </c>
      <c r="AX34" s="18">
        <f t="shared" si="173"/>
        <v>0</v>
      </c>
      <c r="AY34" s="18">
        <f t="shared" si="173"/>
        <v>0</v>
      </c>
      <c r="AZ34" s="18">
        <f t="shared" si="9"/>
        <v>10699.9999999989</v>
      </c>
      <c r="BA34" s="18">
        <f t="shared" si="10"/>
        <v>9799.99999999563</v>
      </c>
      <c r="BB34" s="18">
        <f t="shared" si="11"/>
        <v>543.999999999651</v>
      </c>
      <c r="BC34" s="18">
        <f t="shared" si="31"/>
        <v>1292.00000000012</v>
      </c>
      <c r="BD34" s="18">
        <f t="shared" si="12"/>
        <v>7805.2000000258</v>
      </c>
      <c r="BE34" s="18">
        <f t="shared" si="13"/>
        <v>46000.0000000218</v>
      </c>
      <c r="BF34" s="18">
        <f t="shared" si="14"/>
        <v>65.3000000000029</v>
      </c>
      <c r="BG34" s="21">
        <f t="shared" si="15"/>
        <v>0.226165366215918</v>
      </c>
      <c r="BH34" s="21">
        <f t="shared" si="16"/>
        <v>0.0398680374254528</v>
      </c>
      <c r="BI34" s="21">
        <f t="shared" si="17"/>
        <v>0</v>
      </c>
      <c r="BJ34" s="21">
        <f t="shared" si="18"/>
        <v>0.0381039475689753</v>
      </c>
      <c r="BK34" s="21">
        <f t="shared" ref="BK34:BO34" si="174">IF(OR($AD34=0),"",AZ34/$AD34)</f>
        <v>0.0526080308371507</v>
      </c>
      <c r="BL34" s="21">
        <f t="shared" si="174"/>
        <v>0.0481830562807383</v>
      </c>
      <c r="BM34" s="21">
        <f t="shared" si="174"/>
        <v>0.00267465128742005</v>
      </c>
      <c r="BN34" s="21">
        <f t="shared" si="174"/>
        <v>0.00635229680762726</v>
      </c>
      <c r="BO34" s="21">
        <f t="shared" si="174"/>
        <v>0.038375346008554</v>
      </c>
    </row>
    <row r="35" spans="1:67">
      <c r="A35" s="9">
        <f t="shared" si="20"/>
        <v>44440</v>
      </c>
      <c r="B35" s="10">
        <v>16825.27</v>
      </c>
      <c r="C35" s="11">
        <v>92975.5</v>
      </c>
      <c r="D35" s="11">
        <v>59532.6</v>
      </c>
      <c r="E35" s="11">
        <v>57711.2</v>
      </c>
      <c r="F35" s="11">
        <v>5403.67</v>
      </c>
      <c r="G35" s="11">
        <v>113663.3</v>
      </c>
      <c r="H35" s="8">
        <v>5596.3</v>
      </c>
      <c r="I35" s="8">
        <v>2566.3</v>
      </c>
      <c r="J35" s="8">
        <v>967</v>
      </c>
      <c r="K35" s="8">
        <v>56</v>
      </c>
      <c r="L35" s="11">
        <v>92254.7</v>
      </c>
      <c r="M35" s="11">
        <v>61496.8</v>
      </c>
      <c r="N35" s="11">
        <v>73581.1</v>
      </c>
      <c r="O35" s="11">
        <v>103921.9</v>
      </c>
      <c r="P35" s="11">
        <v>5615.2</v>
      </c>
      <c r="Q35" s="11">
        <v>7450.7</v>
      </c>
      <c r="R35" s="11">
        <v>4622.6</v>
      </c>
      <c r="S35" s="11">
        <v>5254.2</v>
      </c>
      <c r="T35" s="11">
        <v>6755.2</v>
      </c>
      <c r="U35" s="11">
        <v>17544.6</v>
      </c>
      <c r="V35" s="11">
        <v>51103.2</v>
      </c>
      <c r="W35" s="11">
        <v>52846.1</v>
      </c>
      <c r="X35" s="11">
        <v>2693</v>
      </c>
      <c r="Y35" s="11">
        <v>2422.8</v>
      </c>
      <c r="Z35" s="16">
        <f t="shared" si="21"/>
        <v>57961.9</v>
      </c>
      <c r="AA35" s="11">
        <v>65143.1</v>
      </c>
      <c r="AB35" s="3">
        <v>3906</v>
      </c>
      <c r="AC35" s="3">
        <f t="shared" si="1"/>
        <v>69049.1</v>
      </c>
      <c r="BE35" s="22" t="s">
        <v>44</v>
      </c>
      <c r="BF35" s="22" t="s">
        <v>19</v>
      </c>
      <c r="BG35" s="23">
        <f>SUM(BE4:BE34)</f>
        <v>1504300</v>
      </c>
      <c r="BH35" s="23">
        <f>SUM(AJ4:AJ34)</f>
        <v>264685.600000001</v>
      </c>
      <c r="BI35" s="23">
        <f>SUM(AO4:AO34)</f>
        <v>0</v>
      </c>
      <c r="BJ35" s="23">
        <f>SUM(AT4:AT34)</f>
        <v>244040</v>
      </c>
      <c r="BK35" s="23">
        <f t="shared" ref="BK35:BO35" si="175">SUM(AZ4:AZ34)</f>
        <v>326700</v>
      </c>
      <c r="BL35" s="23">
        <f t="shared" si="175"/>
        <v>294799.999999996</v>
      </c>
      <c r="BM35" s="23">
        <f t="shared" si="175"/>
        <v>19495.9999999998</v>
      </c>
      <c r="BN35" s="23">
        <f t="shared" si="175"/>
        <v>40208.0000000002</v>
      </c>
      <c r="BO35" s="23">
        <f t="shared" si="175"/>
        <v>314370.400000007</v>
      </c>
    </row>
    <row r="36" spans="37:67"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22">
        <f>SUM(AD4:AD34)</f>
        <v>6407623</v>
      </c>
      <c r="BF36" s="22" t="s">
        <v>21</v>
      </c>
      <c r="BG36" s="24">
        <f>IF(OR(BG35=0),"",ROUND(BG35/$BE$36,3))</f>
        <v>0.235</v>
      </c>
      <c r="BH36" s="24">
        <f t="shared" ref="BH36:BO36" si="176">IF(OR(BH35=0),"",ROUND(BH35/$BE$36,4))</f>
        <v>0.0413</v>
      </c>
      <c r="BI36" s="24" t="str">
        <f t="shared" si="176"/>
        <v/>
      </c>
      <c r="BJ36" s="24">
        <f t="shared" si="176"/>
        <v>0.0381</v>
      </c>
      <c r="BK36" s="24">
        <f t="shared" si="176"/>
        <v>0.051</v>
      </c>
      <c r="BL36" s="24">
        <f t="shared" si="176"/>
        <v>0.046</v>
      </c>
      <c r="BM36" s="24">
        <f t="shared" si="176"/>
        <v>0.003</v>
      </c>
      <c r="BN36" s="24">
        <f t="shared" si="176"/>
        <v>0.0063</v>
      </c>
      <c r="BO36" s="24">
        <f t="shared" si="176"/>
        <v>0.0491</v>
      </c>
    </row>
  </sheetData>
  <mergeCells count="35">
    <mergeCell ref="A1:BO1"/>
    <mergeCell ref="C2:G2"/>
    <mergeCell ref="H2:K2"/>
    <mergeCell ref="L2:O2"/>
    <mergeCell ref="P2:T2"/>
    <mergeCell ref="X2:Y2"/>
    <mergeCell ref="AE2:AJ2"/>
    <mergeCell ref="AK2:AO2"/>
    <mergeCell ref="AP2:AT2"/>
    <mergeCell ref="AU2:AZ2"/>
    <mergeCell ref="A2:A3"/>
    <mergeCell ref="B2:B3"/>
    <mergeCell ref="U2:U3"/>
    <mergeCell ref="V2:V3"/>
    <mergeCell ref="W2:W3"/>
    <mergeCell ref="Z2:Z3"/>
    <mergeCell ref="AA2:AA3"/>
    <mergeCell ref="AB2:AB3"/>
    <mergeCell ref="AC2:AC3"/>
    <mergeCell ref="AD2:AD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"/>
  <sheetViews>
    <sheetView showGridLines="0" zoomScale="120" zoomScaleNormal="120" workbookViewId="0">
      <pane xSplit="1" ySplit="3" topLeftCell="AE4" activePane="bottomRight" state="frozen"/>
      <selection/>
      <selection pane="topRight"/>
      <selection pane="bottomLeft"/>
      <selection pane="bottomRight" activeCell="BC4" sqref="BC4"/>
    </sheetView>
  </sheetViews>
  <sheetFormatPr defaultColWidth="9" defaultRowHeight="14.25"/>
  <cols>
    <col min="1" max="1" width="7" style="1" customWidth="1"/>
    <col min="2" max="2" width="8.375" style="2" customWidth="1"/>
    <col min="3" max="6" width="7.5" style="3" customWidth="1"/>
    <col min="7" max="7" width="9.125" style="3" customWidth="1"/>
    <col min="8" max="9" width="6.625" style="3" customWidth="1"/>
    <col min="10" max="10" width="5.75" style="3" customWidth="1"/>
    <col min="11" max="11" width="4.875" style="3" customWidth="1"/>
    <col min="12" max="14" width="7.5" style="3" customWidth="1"/>
    <col min="15" max="15" width="8.125" style="3" customWidth="1"/>
    <col min="16" max="20" width="6.625" style="3" customWidth="1"/>
    <col min="21" max="24" width="7.5" style="3" customWidth="1"/>
    <col min="25" max="26" width="8.25" style="3" customWidth="1"/>
    <col min="27" max="27" width="7.5" style="3" customWidth="1"/>
    <col min="28" max="29" width="8.25" style="3" customWidth="1"/>
    <col min="30" max="30" width="6.75" style="3" customWidth="1"/>
    <col min="31" max="31" width="5.5" style="1" customWidth="1"/>
    <col min="32" max="32" width="5.125" style="1" customWidth="1"/>
    <col min="33" max="33" width="5" style="1" customWidth="1"/>
    <col min="34" max="34" width="5.125" style="1" customWidth="1"/>
    <col min="35" max="35" width="4.625" style="1" customWidth="1"/>
    <col min="36" max="36" width="6.625" style="1" customWidth="1"/>
    <col min="37" max="40" width="4" style="1" customWidth="1"/>
    <col min="41" max="41" width="6.625" style="1" customWidth="1"/>
    <col min="42" max="42" width="4.75" style="1" customWidth="1"/>
    <col min="43" max="43" width="5" style="1" customWidth="1"/>
    <col min="44" max="45" width="4.75" style="1" customWidth="1"/>
    <col min="46" max="46" width="6.625" style="1" customWidth="1"/>
    <col min="47" max="51" width="5.5" style="1" customWidth="1"/>
    <col min="52" max="53" width="6.625" style="1" customWidth="1"/>
    <col min="54" max="54" width="5.125" style="1" customWidth="1"/>
    <col min="55" max="55" width="5.625" style="1" customWidth="1"/>
    <col min="56" max="56" width="9.875" style="1" customWidth="1"/>
    <col min="57" max="57" width="5.875" style="1" customWidth="1"/>
    <col min="58" max="58" width="4.625" style="1" customWidth="1"/>
    <col min="59" max="59" width="5.875" style="1" customWidth="1"/>
    <col min="60" max="60" width="6.125" style="1" customWidth="1"/>
    <col min="61" max="61" width="6.5" style="1" customWidth="1"/>
    <col min="62" max="63" width="6" style="1" customWidth="1"/>
    <col min="64" max="64" width="6.375" style="1" customWidth="1"/>
    <col min="65" max="66" width="6.25" style="1" customWidth="1"/>
    <col min="67" max="67" width="6.375" style="1" customWidth="1"/>
    <col min="68" max="16384" width="9" style="1"/>
  </cols>
  <sheetData>
    <row r="1" spans="1:6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25"/>
    </row>
    <row r="2" spans="1:67">
      <c r="A2" s="6"/>
      <c r="B2" s="7" t="s">
        <v>0</v>
      </c>
      <c r="C2" s="8" t="s">
        <v>1</v>
      </c>
      <c r="D2" s="8"/>
      <c r="E2" s="8"/>
      <c r="F2" s="8"/>
      <c r="G2" s="8"/>
      <c r="H2" s="8" t="s">
        <v>2</v>
      </c>
      <c r="I2" s="8"/>
      <c r="J2" s="8"/>
      <c r="K2" s="8"/>
      <c r="L2" s="8" t="s">
        <v>3</v>
      </c>
      <c r="M2" s="8"/>
      <c r="N2" s="8"/>
      <c r="O2" s="8"/>
      <c r="P2" s="8" t="s">
        <v>4</v>
      </c>
      <c r="Q2" s="8"/>
      <c r="R2" s="8"/>
      <c r="S2" s="8"/>
      <c r="T2" s="8"/>
      <c r="U2" s="8" t="s">
        <v>5</v>
      </c>
      <c r="V2" s="8" t="s">
        <v>6</v>
      </c>
      <c r="W2" s="8" t="s">
        <v>7</v>
      </c>
      <c r="X2" s="12" t="s">
        <v>8</v>
      </c>
      <c r="Y2" s="14"/>
      <c r="Z2" s="8" t="s">
        <v>9</v>
      </c>
      <c r="AA2" s="8" t="s">
        <v>10</v>
      </c>
      <c r="AB2" s="8" t="s">
        <v>11</v>
      </c>
      <c r="AC2" s="8" t="s">
        <v>12</v>
      </c>
      <c r="AD2" s="6" t="s">
        <v>13</v>
      </c>
      <c r="AE2" s="15" t="s">
        <v>14</v>
      </c>
      <c r="AF2" s="15"/>
      <c r="AG2" s="15"/>
      <c r="AH2" s="15"/>
      <c r="AI2" s="15"/>
      <c r="AJ2" s="15"/>
      <c r="AK2" s="15" t="s">
        <v>2</v>
      </c>
      <c r="AL2" s="15"/>
      <c r="AM2" s="15"/>
      <c r="AN2" s="15"/>
      <c r="AO2" s="15"/>
      <c r="AP2" s="15" t="s">
        <v>3</v>
      </c>
      <c r="AQ2" s="15"/>
      <c r="AR2" s="15"/>
      <c r="AS2" s="15"/>
      <c r="AT2" s="15"/>
      <c r="AU2" s="15" t="s">
        <v>4</v>
      </c>
      <c r="AV2" s="15"/>
      <c r="AW2" s="15"/>
      <c r="AX2" s="15"/>
      <c r="AY2" s="15"/>
      <c r="AZ2" s="15"/>
      <c r="BA2" s="15" t="s">
        <v>15</v>
      </c>
      <c r="BB2" s="15" t="s">
        <v>16</v>
      </c>
      <c r="BC2" s="15" t="s">
        <v>17</v>
      </c>
      <c r="BD2" s="15" t="s">
        <v>18</v>
      </c>
      <c r="BE2" s="15" t="s">
        <v>19</v>
      </c>
      <c r="BF2" s="15" t="s">
        <v>20</v>
      </c>
      <c r="BG2" s="21" t="s">
        <v>21</v>
      </c>
      <c r="BH2" s="21" t="s">
        <v>22</v>
      </c>
      <c r="BI2" s="21" t="s">
        <v>23</v>
      </c>
      <c r="BJ2" s="21" t="s">
        <v>24</v>
      </c>
      <c r="BK2" s="21" t="s">
        <v>25</v>
      </c>
      <c r="BL2" s="21" t="s">
        <v>26</v>
      </c>
      <c r="BM2" s="21" t="s">
        <v>27</v>
      </c>
      <c r="BN2" s="21" t="s">
        <v>28</v>
      </c>
      <c r="BO2" s="21" t="s">
        <v>29</v>
      </c>
    </row>
    <row r="3" spans="1:67">
      <c r="A3" s="6"/>
      <c r="B3" s="7"/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/>
      <c r="V3" s="8"/>
      <c r="W3" s="8"/>
      <c r="X3" s="8" t="s">
        <v>40</v>
      </c>
      <c r="Y3" s="8" t="s">
        <v>41</v>
      </c>
      <c r="Z3" s="8"/>
      <c r="AA3" s="8"/>
      <c r="AB3" s="8"/>
      <c r="AC3" s="8"/>
      <c r="AD3" s="6"/>
      <c r="AE3" s="15" t="s">
        <v>30</v>
      </c>
      <c r="AF3" s="15" t="s">
        <v>31</v>
      </c>
      <c r="AG3" s="15" t="s">
        <v>32</v>
      </c>
      <c r="AH3" s="15" t="s">
        <v>33</v>
      </c>
      <c r="AI3" s="15" t="s">
        <v>34</v>
      </c>
      <c r="AJ3" s="15" t="s">
        <v>42</v>
      </c>
      <c r="AK3" s="15" t="s">
        <v>30</v>
      </c>
      <c r="AL3" s="15" t="s">
        <v>31</v>
      </c>
      <c r="AM3" s="15" t="s">
        <v>32</v>
      </c>
      <c r="AN3" s="15" t="s">
        <v>33</v>
      </c>
      <c r="AO3" s="15" t="s">
        <v>42</v>
      </c>
      <c r="AP3" s="15" t="s">
        <v>30</v>
      </c>
      <c r="AQ3" s="15" t="s">
        <v>31</v>
      </c>
      <c r="AR3" s="15" t="s">
        <v>32</v>
      </c>
      <c r="AS3" s="15" t="s">
        <v>33</v>
      </c>
      <c r="AT3" s="15" t="s">
        <v>42</v>
      </c>
      <c r="AU3" s="15" t="s">
        <v>35</v>
      </c>
      <c r="AV3" s="15" t="s">
        <v>36</v>
      </c>
      <c r="AW3" s="15" t="s">
        <v>37</v>
      </c>
      <c r="AX3" s="15" t="s">
        <v>38</v>
      </c>
      <c r="AY3" s="15" t="s">
        <v>39</v>
      </c>
      <c r="AZ3" s="15" t="s">
        <v>43</v>
      </c>
      <c r="BA3" s="20"/>
      <c r="BB3" s="20"/>
      <c r="BC3" s="20"/>
      <c r="BD3" s="20"/>
      <c r="BE3" s="20"/>
      <c r="BF3" s="20"/>
      <c r="BG3" s="21"/>
      <c r="BH3" s="21"/>
      <c r="BI3" s="21"/>
      <c r="BJ3" s="21"/>
      <c r="BK3" s="21"/>
      <c r="BL3" s="21"/>
      <c r="BM3" s="21"/>
      <c r="BN3" s="21"/>
      <c r="BO3" s="21"/>
    </row>
    <row r="4" spans="1:67">
      <c r="A4" s="9">
        <f>'8'!A35</f>
        <v>44440</v>
      </c>
      <c r="B4" s="10">
        <v>16825.27</v>
      </c>
      <c r="C4" s="11">
        <v>92975.5</v>
      </c>
      <c r="D4" s="11">
        <v>59532.6</v>
      </c>
      <c r="E4" s="11">
        <v>57711.2</v>
      </c>
      <c r="F4" s="11">
        <v>5403.67</v>
      </c>
      <c r="G4" s="11">
        <v>113663.3</v>
      </c>
      <c r="H4" s="8">
        <v>5596.3</v>
      </c>
      <c r="I4" s="8">
        <v>2566.3</v>
      </c>
      <c r="J4" s="8">
        <v>967</v>
      </c>
      <c r="K4" s="8">
        <v>56</v>
      </c>
      <c r="L4" s="11">
        <v>92254.7</v>
      </c>
      <c r="M4" s="11">
        <v>61496.8</v>
      </c>
      <c r="N4" s="11">
        <v>73581.1</v>
      </c>
      <c r="O4" s="11">
        <v>103921.9</v>
      </c>
      <c r="P4" s="11">
        <v>5615.2</v>
      </c>
      <c r="Q4" s="11">
        <v>7450.7</v>
      </c>
      <c r="R4" s="11">
        <v>4622.6</v>
      </c>
      <c r="S4" s="11">
        <v>5254.2</v>
      </c>
      <c r="T4" s="11">
        <v>6755.2</v>
      </c>
      <c r="U4" s="11">
        <v>17544.6</v>
      </c>
      <c r="V4" s="11">
        <v>51103.2</v>
      </c>
      <c r="W4" s="11">
        <v>52846.1</v>
      </c>
      <c r="X4" s="11">
        <v>2693</v>
      </c>
      <c r="Y4" s="11">
        <v>2422.8</v>
      </c>
      <c r="Z4" s="16">
        <f t="shared" ref="Z4" si="0">IF(OR(W4=""),"",(W4+X4+Y4))</f>
        <v>57961.9</v>
      </c>
      <c r="AA4" s="11">
        <v>65143.1</v>
      </c>
      <c r="AB4" s="3">
        <v>3906</v>
      </c>
      <c r="AC4" s="3">
        <f t="shared" ref="AC4" si="1">IF(OR(AA4=""),"",(AA4+AB4))</f>
        <v>69049.1</v>
      </c>
      <c r="AD4" s="17">
        <v>209508</v>
      </c>
      <c r="AE4" s="18">
        <f t="shared" ref="AE4:AI4" si="2">IF(OR(C5=""),"",(C5-C4)*80)</f>
        <v>0</v>
      </c>
      <c r="AF4" s="18">
        <f t="shared" si="2"/>
        <v>2432.00000000012</v>
      </c>
      <c r="AG4" s="18">
        <f t="shared" si="2"/>
        <v>3344.00000000023</v>
      </c>
      <c r="AH4" s="18">
        <f t="shared" si="2"/>
        <v>391.200000000026</v>
      </c>
      <c r="AI4" s="18">
        <f t="shared" si="2"/>
        <v>2560</v>
      </c>
      <c r="AJ4" s="18">
        <f t="shared" ref="AJ4:AJ34" si="3">IF(OR(AE4="",AF4="",AG4=""),"",AE4+AF4+AG4+AH4+AI4)</f>
        <v>8727.20000000038</v>
      </c>
      <c r="AK4" s="18">
        <f t="shared" ref="AK4:AN4" si="4">IF(OR(H5=""),"",(H5-H4)*80)</f>
        <v>0</v>
      </c>
      <c r="AL4" s="18">
        <f t="shared" si="4"/>
        <v>0</v>
      </c>
      <c r="AM4" s="18">
        <f t="shared" si="4"/>
        <v>0</v>
      </c>
      <c r="AN4" s="18">
        <f t="shared" si="4"/>
        <v>0</v>
      </c>
      <c r="AO4" s="18">
        <f t="shared" ref="AO4:AO34" si="5">IF(OR(AK4="",AL4=""),"",AK4+AL4+AM4+AN4)</f>
        <v>0</v>
      </c>
      <c r="AP4" s="18">
        <f t="shared" ref="AP4:AS4" si="6">IF(OR(L5=""),"",(L5-L4)*100)</f>
        <v>3110.00000000058</v>
      </c>
      <c r="AQ4" s="18">
        <f t="shared" si="6"/>
        <v>0</v>
      </c>
      <c r="AR4" s="18">
        <f t="shared" si="6"/>
        <v>2829.99999999884</v>
      </c>
      <c r="AS4" s="18">
        <f t="shared" si="6"/>
        <v>2160.00000000058</v>
      </c>
      <c r="AT4" s="18">
        <f t="shared" ref="AT4:AT34" si="7">IF(OR(AP4="",AQ4=""),"",AP4+AQ4+AR4+AS4)</f>
        <v>8100</v>
      </c>
      <c r="AU4" s="18">
        <f t="shared" ref="AU4:AY4" si="8">IF(OR(P5=""),"",(P5-P4)*1000)</f>
        <v>3699.99999999982</v>
      </c>
      <c r="AV4" s="18">
        <f t="shared" si="8"/>
        <v>2800.00000000018</v>
      </c>
      <c r="AW4" s="18">
        <f t="shared" si="8"/>
        <v>0</v>
      </c>
      <c r="AX4" s="18">
        <f t="shared" si="8"/>
        <v>3000</v>
      </c>
      <c r="AY4" s="18">
        <f t="shared" si="8"/>
        <v>0</v>
      </c>
      <c r="AZ4" s="18">
        <f t="shared" ref="AZ4:AZ34" si="9">IF(OR(AU4="",AV4="",AW4=""),"",AU4+AV4+AW4+AX4+AY4)</f>
        <v>9500</v>
      </c>
      <c r="BA4" s="18">
        <f t="shared" ref="BA4:BA34" si="10">IF(OR(U5=""),"",(U5-U4)*2000)</f>
        <v>9400.00000000146</v>
      </c>
      <c r="BB4" s="18">
        <f t="shared" ref="BB4:BB34" si="11">IF(OR(V5=""),"",(V5-V4)*80)</f>
        <v>560</v>
      </c>
      <c r="BC4" s="18">
        <f>IF(OR(Z4=""),"",(Z5-Z4)*40)</f>
        <v>1291.99999999983</v>
      </c>
      <c r="BD4" s="18">
        <f t="shared" ref="BD4:BD34" si="12">IF(OR(BE4="",BC4=""),"",BE4-BC4-BB4-BA4-AZ4-AT4-AO4-AJ4)</f>
        <v>11720.8000000013</v>
      </c>
      <c r="BE4" s="18">
        <f t="shared" ref="BE4:BE34" si="13">IF(OR(B5=""),"",(B5-B4)*10000)</f>
        <v>49300.0000000029</v>
      </c>
      <c r="BF4" s="18">
        <f t="shared" ref="BF4:BF34" si="14">IF(OR(AC5=""),"",AC5-AC4)</f>
        <v>65.5</v>
      </c>
      <c r="BG4" s="21">
        <f t="shared" ref="BG4:BG34" si="15">IF(OR($AD4=0),"",BE4/$AD4)</f>
        <v>0.235313209996768</v>
      </c>
      <c r="BH4" s="21">
        <f t="shared" ref="BH4:BH34" si="16">IF(OR($AD4=0),"",AJ4/$AD4)</f>
        <v>0.0416556885655936</v>
      </c>
      <c r="BI4" s="21">
        <f t="shared" ref="BI4:BI34" si="17">IF(OR($AD4=0),"",AO4/$AD4)</f>
        <v>0</v>
      </c>
      <c r="BJ4" s="21">
        <f t="shared" ref="BJ4:BJ34" si="18">IF(OR($AD4=0),"",AT4/$AD4)</f>
        <v>0.038662008133341</v>
      </c>
      <c r="BK4" s="21">
        <f t="shared" ref="BK4:BO4" si="19">IF(OR($AD4=0),"",AZ4/$AD4)</f>
        <v>0.0453443305267579</v>
      </c>
      <c r="BL4" s="21">
        <f t="shared" si="19"/>
        <v>0.044867021784378</v>
      </c>
      <c r="BM4" s="21">
        <f t="shared" si="19"/>
        <v>0.00267292895736678</v>
      </c>
      <c r="BN4" s="21">
        <f t="shared" si="19"/>
        <v>0.00616682895163824</v>
      </c>
      <c r="BO4" s="21">
        <f t="shared" si="19"/>
        <v>0.0559444030776928</v>
      </c>
    </row>
    <row r="5" spans="1:67">
      <c r="A5" s="9">
        <f t="shared" ref="A5:A34" si="20">A4+1</f>
        <v>44441</v>
      </c>
      <c r="B5" s="10">
        <v>16830.2</v>
      </c>
      <c r="C5" s="8">
        <v>92975.5</v>
      </c>
      <c r="D5" s="8">
        <v>59563</v>
      </c>
      <c r="E5" s="8">
        <v>57753</v>
      </c>
      <c r="F5" s="8">
        <v>5408.56</v>
      </c>
      <c r="G5" s="8">
        <v>113695.3</v>
      </c>
      <c r="H5" s="8">
        <v>5596.3</v>
      </c>
      <c r="I5" s="8">
        <v>2566.3</v>
      </c>
      <c r="J5" s="8">
        <v>967</v>
      </c>
      <c r="K5" s="8">
        <v>56</v>
      </c>
      <c r="L5" s="8">
        <v>92285.8</v>
      </c>
      <c r="M5" s="8">
        <v>61496.8</v>
      </c>
      <c r="N5" s="8">
        <v>73609.4</v>
      </c>
      <c r="O5" s="8">
        <v>103943.5</v>
      </c>
      <c r="P5" s="8">
        <v>5618.9</v>
      </c>
      <c r="Q5" s="8">
        <v>7453.5</v>
      </c>
      <c r="R5" s="8">
        <v>4622.6</v>
      </c>
      <c r="S5" s="8">
        <v>5257.2</v>
      </c>
      <c r="T5" s="8">
        <v>6755.2</v>
      </c>
      <c r="U5" s="8">
        <v>17549.3</v>
      </c>
      <c r="V5" s="8">
        <v>51110.2</v>
      </c>
      <c r="W5" s="8">
        <v>52862.1</v>
      </c>
      <c r="X5" s="8">
        <v>2701</v>
      </c>
      <c r="Y5" s="8">
        <v>2431.1</v>
      </c>
      <c r="Z5" s="16">
        <f t="shared" ref="Z5:Z35" si="21">IF(OR(W5=""),"",(W5+X5+Y5))</f>
        <v>57994.2</v>
      </c>
      <c r="AA5" s="8">
        <v>65200.6</v>
      </c>
      <c r="AB5" s="14">
        <v>3914</v>
      </c>
      <c r="AC5" s="7">
        <f t="shared" ref="AC5:AC34" si="22">IF(OR(AA5=""),"",(AA5+AB5))</f>
        <v>69114.6</v>
      </c>
      <c r="AD5" s="17">
        <v>206865</v>
      </c>
      <c r="AE5" s="18">
        <f t="shared" ref="AE5:AI5" si="23">IF(OR(C6=""),"",(C6-C5)*80)</f>
        <v>1368.00000000047</v>
      </c>
      <c r="AF5" s="18">
        <f t="shared" si="23"/>
        <v>3000</v>
      </c>
      <c r="AG5" s="18">
        <f t="shared" si="23"/>
        <v>2824.00000000023</v>
      </c>
      <c r="AH5" s="18">
        <f t="shared" si="23"/>
        <v>14.3999999999505</v>
      </c>
      <c r="AI5" s="18">
        <f t="shared" si="23"/>
        <v>2575.99999999977</v>
      </c>
      <c r="AJ5" s="18">
        <f t="shared" si="3"/>
        <v>9782.40000000042</v>
      </c>
      <c r="AK5" s="18">
        <f t="shared" ref="AK5:AN5" si="24">IF(OR(H6=""),"",(H6-H5)*80)</f>
        <v>0</v>
      </c>
      <c r="AL5" s="18">
        <f t="shared" si="24"/>
        <v>0</v>
      </c>
      <c r="AM5" s="18">
        <f t="shared" si="24"/>
        <v>0</v>
      </c>
      <c r="AN5" s="18">
        <f t="shared" si="24"/>
        <v>0</v>
      </c>
      <c r="AO5" s="18">
        <f t="shared" si="5"/>
        <v>0</v>
      </c>
      <c r="AP5" s="18">
        <f t="shared" ref="AP5:AS5" si="25">IF(OR(L6=""),"",(L6-L5)*100)</f>
        <v>3009.99999999913</v>
      </c>
      <c r="AQ5" s="18">
        <f t="shared" si="25"/>
        <v>0</v>
      </c>
      <c r="AR5" s="18">
        <f t="shared" si="25"/>
        <v>2890.00000000087</v>
      </c>
      <c r="AS5" s="18">
        <f t="shared" si="25"/>
        <v>2160.00000000058</v>
      </c>
      <c r="AT5" s="18">
        <f t="shared" si="7"/>
        <v>8060.00000000058</v>
      </c>
      <c r="AU5" s="18">
        <f t="shared" ref="AU5:AY5" si="26">IF(OR(P6=""),"",(P6-P5)*1000)</f>
        <v>3800.00000000018</v>
      </c>
      <c r="AV5" s="18">
        <f t="shared" si="26"/>
        <v>7300.00000000018</v>
      </c>
      <c r="AW5" s="18">
        <f t="shared" si="26"/>
        <v>0</v>
      </c>
      <c r="AX5" s="18">
        <f t="shared" si="26"/>
        <v>0</v>
      </c>
      <c r="AY5" s="18">
        <f t="shared" si="26"/>
        <v>0</v>
      </c>
      <c r="AZ5" s="18">
        <f t="shared" si="9"/>
        <v>11100.0000000004</v>
      </c>
      <c r="BA5" s="18">
        <f t="shared" si="10"/>
        <v>9599.99999999854</v>
      </c>
      <c r="BB5" s="18">
        <f t="shared" si="11"/>
        <v>616.000000000349</v>
      </c>
      <c r="BC5" s="18">
        <f t="shared" ref="BC5:BC33" si="27">IF(OR(Z5=""),"",(Z6-Z5)*40)</f>
        <v>1312.00000000012</v>
      </c>
      <c r="BD5" s="18">
        <f t="shared" si="12"/>
        <v>9229.59999997489</v>
      </c>
      <c r="BE5" s="18">
        <f t="shared" si="13"/>
        <v>49699.9999999753</v>
      </c>
      <c r="BF5" s="18">
        <f t="shared" si="14"/>
        <v>78.3999999999942</v>
      </c>
      <c r="BG5" s="21">
        <f t="shared" si="15"/>
        <v>0.240253305295605</v>
      </c>
      <c r="BH5" s="21">
        <f t="shared" si="16"/>
        <v>0.0472888115437624</v>
      </c>
      <c r="BI5" s="21">
        <f t="shared" si="17"/>
        <v>0</v>
      </c>
      <c r="BJ5" s="21">
        <f t="shared" si="18"/>
        <v>0.0389626084644603</v>
      </c>
      <c r="BK5" s="21">
        <f t="shared" ref="BK5:BO5" si="28">IF(OR($AD5=0),"",AZ5/$AD5)</f>
        <v>0.0536581828728899</v>
      </c>
      <c r="BL5" s="21">
        <f t="shared" si="28"/>
        <v>0.0464070770792476</v>
      </c>
      <c r="BM5" s="21">
        <f t="shared" si="28"/>
        <v>0.00297778744592052</v>
      </c>
      <c r="BN5" s="21">
        <f t="shared" si="28"/>
        <v>0.00634230053416536</v>
      </c>
      <c r="BO5" s="21">
        <f t="shared" si="28"/>
        <v>0.0446165373551586</v>
      </c>
    </row>
    <row r="6" spans="1:67">
      <c r="A6" s="9">
        <f t="shared" si="20"/>
        <v>44442</v>
      </c>
      <c r="B6" s="10">
        <v>16835.17</v>
      </c>
      <c r="C6" s="8">
        <v>92992.6</v>
      </c>
      <c r="D6" s="8">
        <v>59600.5</v>
      </c>
      <c r="E6" s="8">
        <v>57788.3</v>
      </c>
      <c r="F6" s="8">
        <v>5408.74</v>
      </c>
      <c r="G6" s="8">
        <v>113727.5</v>
      </c>
      <c r="H6" s="8">
        <v>5596.3</v>
      </c>
      <c r="I6" s="8">
        <v>2566.3</v>
      </c>
      <c r="J6" s="8">
        <v>967</v>
      </c>
      <c r="K6" s="8">
        <v>56</v>
      </c>
      <c r="L6" s="8">
        <v>92315.9</v>
      </c>
      <c r="M6" s="8">
        <v>61496.8</v>
      </c>
      <c r="N6" s="8">
        <v>73638.3</v>
      </c>
      <c r="O6" s="8">
        <v>103965.1</v>
      </c>
      <c r="P6" s="8">
        <v>5622.7</v>
      </c>
      <c r="Q6" s="8">
        <v>7460.8</v>
      </c>
      <c r="R6" s="8">
        <v>4622.6</v>
      </c>
      <c r="S6" s="8">
        <v>5257.2</v>
      </c>
      <c r="T6" s="8">
        <v>6755.2</v>
      </c>
      <c r="U6" s="8">
        <v>17554.1</v>
      </c>
      <c r="V6" s="8">
        <v>51117.9</v>
      </c>
      <c r="W6" s="8">
        <v>52878.6</v>
      </c>
      <c r="X6" s="8">
        <v>2708.8</v>
      </c>
      <c r="Y6" s="8">
        <v>2439.6</v>
      </c>
      <c r="Z6" s="16">
        <f t="shared" si="21"/>
        <v>58027</v>
      </c>
      <c r="AA6" s="8">
        <v>65259</v>
      </c>
      <c r="AB6" s="14">
        <v>3934</v>
      </c>
      <c r="AC6" s="7">
        <f t="shared" si="22"/>
        <v>69193</v>
      </c>
      <c r="AD6" s="17">
        <v>208207</v>
      </c>
      <c r="AE6" s="18">
        <f t="shared" ref="AE6:AI6" si="29">IF(OR(C7=""),"",(C7-C6)*80)</f>
        <v>0</v>
      </c>
      <c r="AF6" s="18">
        <f t="shared" si="29"/>
        <v>2767.99999999988</v>
      </c>
      <c r="AG6" s="18">
        <f t="shared" si="29"/>
        <v>3543.99999999965</v>
      </c>
      <c r="AH6" s="18">
        <f t="shared" si="29"/>
        <v>276.800000000003</v>
      </c>
      <c r="AI6" s="18">
        <f t="shared" si="29"/>
        <v>2688.00000000047</v>
      </c>
      <c r="AJ6" s="18">
        <f t="shared" si="3"/>
        <v>9276.8</v>
      </c>
      <c r="AK6" s="18">
        <f t="shared" ref="AK6:AN6" si="30">IF(OR(H7=""),"",(H7-H6)*80)</f>
        <v>0</v>
      </c>
      <c r="AL6" s="18">
        <f t="shared" si="30"/>
        <v>0</v>
      </c>
      <c r="AM6" s="18">
        <f t="shared" si="30"/>
        <v>0</v>
      </c>
      <c r="AN6" s="18">
        <f t="shared" si="30"/>
        <v>0</v>
      </c>
      <c r="AO6" s="18">
        <f t="shared" si="5"/>
        <v>0</v>
      </c>
      <c r="AP6" s="18">
        <f t="shared" ref="AP6:AS6" si="31">IF(OR(L7=""),"",(L7-L6)*100)</f>
        <v>3080.00000000029</v>
      </c>
      <c r="AQ6" s="18">
        <f t="shared" si="31"/>
        <v>0</v>
      </c>
      <c r="AR6" s="18">
        <f t="shared" si="31"/>
        <v>2869.99999999971</v>
      </c>
      <c r="AS6" s="18">
        <f t="shared" si="31"/>
        <v>2159.99999999913</v>
      </c>
      <c r="AT6" s="18">
        <f t="shared" si="7"/>
        <v>8109.99999999913</v>
      </c>
      <c r="AU6" s="18">
        <f t="shared" ref="AU6:AY6" si="32">IF(OR(P7=""),"",(P7-P6)*1000)</f>
        <v>4000</v>
      </c>
      <c r="AV6" s="18">
        <f t="shared" si="32"/>
        <v>7599.99999999945</v>
      </c>
      <c r="AW6" s="18">
        <f t="shared" si="32"/>
        <v>0</v>
      </c>
      <c r="AX6" s="18">
        <f t="shared" si="32"/>
        <v>0</v>
      </c>
      <c r="AY6" s="18">
        <f t="shared" si="32"/>
        <v>0</v>
      </c>
      <c r="AZ6" s="18">
        <f t="shared" si="9"/>
        <v>11599.9999999995</v>
      </c>
      <c r="BA6" s="18">
        <f t="shared" si="10"/>
        <v>9800.00000000291</v>
      </c>
      <c r="BB6" s="18">
        <f t="shared" si="11"/>
        <v>583.999999999651</v>
      </c>
      <c r="BC6" s="18">
        <f t="shared" si="27"/>
        <v>1343.99999999994</v>
      </c>
      <c r="BD6" s="18">
        <f t="shared" si="12"/>
        <v>8885.20000002656</v>
      </c>
      <c r="BE6" s="18">
        <f t="shared" si="13"/>
        <v>49600.0000000276</v>
      </c>
      <c r="BF6" s="18">
        <f t="shared" si="14"/>
        <v>64.6000000000058</v>
      </c>
      <c r="BG6" s="21">
        <f t="shared" si="15"/>
        <v>0.23822445931226</v>
      </c>
      <c r="BH6" s="21">
        <f t="shared" si="16"/>
        <v>0.0445556585513456</v>
      </c>
      <c r="BI6" s="21">
        <f t="shared" si="17"/>
        <v>0</v>
      </c>
      <c r="BJ6" s="21">
        <f t="shared" si="18"/>
        <v>0.038951620262523</v>
      </c>
      <c r="BK6" s="21">
        <f t="shared" ref="BK6:BO6" si="33">IF(OR($AD6=0),"",AZ6/$AD6)</f>
        <v>0.0557137848391238</v>
      </c>
      <c r="BL6" s="21">
        <f t="shared" si="33"/>
        <v>0.0470685423641036</v>
      </c>
      <c r="BM6" s="21">
        <f t="shared" si="33"/>
        <v>0.00280490089189917</v>
      </c>
      <c r="BN6" s="21">
        <f t="shared" si="33"/>
        <v>0.00645511438136058</v>
      </c>
      <c r="BO6" s="21">
        <f t="shared" si="33"/>
        <v>0.042674838021904</v>
      </c>
    </row>
    <row r="7" spans="1:67">
      <c r="A7" s="9">
        <f t="shared" si="20"/>
        <v>44443</v>
      </c>
      <c r="B7" s="10">
        <v>16840.13</v>
      </c>
      <c r="C7" s="8">
        <v>92992.6</v>
      </c>
      <c r="D7" s="8">
        <v>59635.1</v>
      </c>
      <c r="E7" s="8">
        <v>57832.6</v>
      </c>
      <c r="F7" s="8">
        <v>5412.2</v>
      </c>
      <c r="G7" s="8">
        <v>113761.1</v>
      </c>
      <c r="H7" s="8">
        <v>5596.3</v>
      </c>
      <c r="I7" s="8">
        <v>2566.3</v>
      </c>
      <c r="J7" s="8">
        <v>967</v>
      </c>
      <c r="K7" s="8">
        <v>56</v>
      </c>
      <c r="L7" s="8">
        <v>92346.7</v>
      </c>
      <c r="M7" s="8">
        <v>61496.8</v>
      </c>
      <c r="N7" s="8">
        <v>73667</v>
      </c>
      <c r="O7" s="8">
        <v>103986.7</v>
      </c>
      <c r="P7" s="8">
        <v>5626.7</v>
      </c>
      <c r="Q7" s="8">
        <v>7468.4</v>
      </c>
      <c r="R7" s="8">
        <v>4622.6</v>
      </c>
      <c r="S7" s="8">
        <v>5257.2</v>
      </c>
      <c r="T7" s="8">
        <v>6755.2</v>
      </c>
      <c r="U7" s="8">
        <v>17559</v>
      </c>
      <c r="V7" s="8">
        <v>51125.2</v>
      </c>
      <c r="W7" s="8">
        <v>52895</v>
      </c>
      <c r="X7" s="8">
        <v>2717.1</v>
      </c>
      <c r="Y7" s="8">
        <v>2448.5</v>
      </c>
      <c r="Z7" s="16">
        <f t="shared" si="21"/>
        <v>58060.6</v>
      </c>
      <c r="AA7" s="8">
        <v>65316.6</v>
      </c>
      <c r="AB7" s="14">
        <v>3941</v>
      </c>
      <c r="AC7" s="7">
        <f t="shared" si="22"/>
        <v>69257.6</v>
      </c>
      <c r="AD7" s="17">
        <v>204510</v>
      </c>
      <c r="AE7" s="18">
        <f t="shared" ref="AE7:AI7" si="34">IF(OR(C8=""),"",(C8-C7)*80)</f>
        <v>0</v>
      </c>
      <c r="AF7" s="18">
        <f t="shared" si="34"/>
        <v>2807.99999999988</v>
      </c>
      <c r="AG7" s="18">
        <f t="shared" si="34"/>
        <v>2400</v>
      </c>
      <c r="AH7" s="18">
        <f t="shared" si="34"/>
        <v>2244.00000000001</v>
      </c>
      <c r="AI7" s="18">
        <f t="shared" si="34"/>
        <v>2191.99999999953</v>
      </c>
      <c r="AJ7" s="18">
        <f t="shared" si="3"/>
        <v>9643.99999999943</v>
      </c>
      <c r="AK7" s="18">
        <f t="shared" ref="AK7:AN7" si="35">IF(OR(H8=""),"",(H8-H7)*80)</f>
        <v>0</v>
      </c>
      <c r="AL7" s="18">
        <f t="shared" si="35"/>
        <v>0</v>
      </c>
      <c r="AM7" s="18">
        <f t="shared" si="35"/>
        <v>0</v>
      </c>
      <c r="AN7" s="18">
        <f t="shared" si="35"/>
        <v>0</v>
      </c>
      <c r="AO7" s="18">
        <f t="shared" si="5"/>
        <v>0</v>
      </c>
      <c r="AP7" s="18">
        <f t="shared" ref="AP7:AS7" si="36">IF(OR(L8=""),"",(L8-L7)*100)</f>
        <v>3030.00000000029</v>
      </c>
      <c r="AQ7" s="18">
        <f t="shared" si="36"/>
        <v>0</v>
      </c>
      <c r="AR7" s="18">
        <f t="shared" si="36"/>
        <v>2919.99999999971</v>
      </c>
      <c r="AS7" s="18">
        <f t="shared" si="36"/>
        <v>2190.00000000087</v>
      </c>
      <c r="AT7" s="18">
        <f t="shared" si="7"/>
        <v>8140.00000000087</v>
      </c>
      <c r="AU7" s="18">
        <f t="shared" ref="AU7:AY7" si="37">IF(OR(P8=""),"",(P8-P7)*1000)</f>
        <v>4000</v>
      </c>
      <c r="AV7" s="18">
        <f t="shared" si="37"/>
        <v>7800.00000000018</v>
      </c>
      <c r="AW7" s="18">
        <f t="shared" si="37"/>
        <v>0</v>
      </c>
      <c r="AX7" s="18">
        <f t="shared" si="37"/>
        <v>0</v>
      </c>
      <c r="AY7" s="18">
        <f t="shared" si="37"/>
        <v>0</v>
      </c>
      <c r="AZ7" s="18">
        <f t="shared" si="9"/>
        <v>11800.0000000002</v>
      </c>
      <c r="BA7" s="18">
        <f t="shared" si="10"/>
        <v>9599.99999999854</v>
      </c>
      <c r="BB7" s="18">
        <f t="shared" si="11"/>
        <v>616.000000000349</v>
      </c>
      <c r="BC7" s="18">
        <f t="shared" si="27"/>
        <v>1327.99999999988</v>
      </c>
      <c r="BD7" s="18">
        <f t="shared" si="12"/>
        <v>9571.99999999782</v>
      </c>
      <c r="BE7" s="18">
        <f t="shared" si="13"/>
        <v>50699.9999999971</v>
      </c>
      <c r="BF7" s="18">
        <f t="shared" si="14"/>
        <v>65.3999999999942</v>
      </c>
      <c r="BG7" s="21">
        <f t="shared" si="15"/>
        <v>0.247909637670515</v>
      </c>
      <c r="BH7" s="21">
        <f t="shared" si="16"/>
        <v>0.0471566182582731</v>
      </c>
      <c r="BI7" s="21">
        <f t="shared" si="17"/>
        <v>0</v>
      </c>
      <c r="BJ7" s="21">
        <f t="shared" si="18"/>
        <v>0.0398024546476988</v>
      </c>
      <c r="BK7" s="21">
        <f t="shared" ref="BK7:BO7" si="38">IF(OR($AD7=0),"",AZ7/$AD7)</f>
        <v>0.0576988900298283</v>
      </c>
      <c r="BL7" s="21">
        <f t="shared" si="38"/>
        <v>0.0469414698547677</v>
      </c>
      <c r="BM7" s="21">
        <f t="shared" si="38"/>
        <v>0.00301207764901643</v>
      </c>
      <c r="BN7" s="21">
        <f t="shared" si="38"/>
        <v>0.00649356999657661</v>
      </c>
      <c r="BO7" s="21">
        <f t="shared" si="38"/>
        <v>0.0468045572343544</v>
      </c>
    </row>
    <row r="8" spans="1:67">
      <c r="A8" s="9">
        <f t="shared" si="20"/>
        <v>44444</v>
      </c>
      <c r="B8" s="10">
        <v>16845.2</v>
      </c>
      <c r="C8" s="8">
        <v>92992.6</v>
      </c>
      <c r="D8" s="8">
        <v>59670.2</v>
      </c>
      <c r="E8" s="8">
        <v>57862.6</v>
      </c>
      <c r="F8" s="8">
        <v>5440.25</v>
      </c>
      <c r="G8" s="8">
        <v>113788.5</v>
      </c>
      <c r="H8" s="8">
        <v>5596.3</v>
      </c>
      <c r="I8" s="8">
        <v>2566.3</v>
      </c>
      <c r="J8" s="8">
        <v>967</v>
      </c>
      <c r="K8" s="8">
        <v>56</v>
      </c>
      <c r="L8" s="8">
        <v>92377</v>
      </c>
      <c r="M8" s="8">
        <v>61496.8</v>
      </c>
      <c r="N8" s="8">
        <v>73696.2</v>
      </c>
      <c r="O8" s="8">
        <v>104008.6</v>
      </c>
      <c r="P8" s="8">
        <v>5630.7</v>
      </c>
      <c r="Q8" s="8">
        <v>7476.2</v>
      </c>
      <c r="R8" s="8">
        <v>4622.6</v>
      </c>
      <c r="S8" s="8">
        <v>5257.2</v>
      </c>
      <c r="T8" s="8">
        <v>6755.2</v>
      </c>
      <c r="U8" s="8">
        <v>17563.8</v>
      </c>
      <c r="V8" s="8">
        <v>51132.9</v>
      </c>
      <c r="W8" s="8">
        <v>52911.5</v>
      </c>
      <c r="X8" s="8">
        <v>2725.2</v>
      </c>
      <c r="Y8" s="8">
        <v>2457.1</v>
      </c>
      <c r="Z8" s="16">
        <f t="shared" si="21"/>
        <v>58093.8</v>
      </c>
      <c r="AA8" s="8">
        <v>65374</v>
      </c>
      <c r="AB8" s="14">
        <v>3949</v>
      </c>
      <c r="AC8" s="7">
        <f t="shared" si="22"/>
        <v>69323</v>
      </c>
      <c r="AD8" s="17">
        <v>199900</v>
      </c>
      <c r="AE8" s="18">
        <f t="shared" ref="AE8:AI8" si="39">IF(OR(C9=""),"",(C9-C8)*80)</f>
        <v>0</v>
      </c>
      <c r="AF8" s="18">
        <f t="shared" si="39"/>
        <v>1848.00000000047</v>
      </c>
      <c r="AG8" s="18">
        <f t="shared" si="39"/>
        <v>2856.00000000035</v>
      </c>
      <c r="AH8" s="18">
        <f t="shared" si="39"/>
        <v>1939.19999999998</v>
      </c>
      <c r="AI8" s="18">
        <f t="shared" si="39"/>
        <v>2304.00000000023</v>
      </c>
      <c r="AJ8" s="18">
        <f t="shared" si="3"/>
        <v>8947.20000000103</v>
      </c>
      <c r="AK8" s="18">
        <f t="shared" ref="AK8:AN8" si="40">IF(OR(H9=""),"",(H9-H8)*80)</f>
        <v>0</v>
      </c>
      <c r="AL8" s="18">
        <f t="shared" si="40"/>
        <v>0</v>
      </c>
      <c r="AM8" s="18">
        <f t="shared" si="40"/>
        <v>0</v>
      </c>
      <c r="AN8" s="18">
        <f t="shared" si="40"/>
        <v>0</v>
      </c>
      <c r="AO8" s="18">
        <f t="shared" si="5"/>
        <v>0</v>
      </c>
      <c r="AP8" s="18">
        <f t="shared" ref="AP8:AS8" si="41">IF(OR(L9=""),"",(L9-L8)*100)</f>
        <v>2780.00000000029</v>
      </c>
      <c r="AQ8" s="18">
        <f t="shared" si="41"/>
        <v>0</v>
      </c>
      <c r="AR8" s="18">
        <f t="shared" si="41"/>
        <v>2840.00000000087</v>
      </c>
      <c r="AS8" s="18">
        <f t="shared" si="41"/>
        <v>2119.99999999971</v>
      </c>
      <c r="AT8" s="18">
        <f t="shared" si="7"/>
        <v>7740.00000000087</v>
      </c>
      <c r="AU8" s="18">
        <f t="shared" ref="AU8:AY8" si="42">IF(OR(P9=""),"",(P9-P8)*1000)</f>
        <v>3900.00000000055</v>
      </c>
      <c r="AV8" s="18">
        <f t="shared" si="42"/>
        <v>7699.99999999982</v>
      </c>
      <c r="AW8" s="18">
        <f t="shared" si="42"/>
        <v>0</v>
      </c>
      <c r="AX8" s="18">
        <f t="shared" si="42"/>
        <v>0</v>
      </c>
      <c r="AY8" s="18">
        <f t="shared" si="42"/>
        <v>0</v>
      </c>
      <c r="AZ8" s="18">
        <f t="shared" si="9"/>
        <v>11600.0000000004</v>
      </c>
      <c r="BA8" s="18">
        <f t="shared" si="10"/>
        <v>9400.00000000146</v>
      </c>
      <c r="BB8" s="18">
        <f t="shared" si="11"/>
        <v>600</v>
      </c>
      <c r="BC8" s="18">
        <f t="shared" si="27"/>
        <v>1312.00000000012</v>
      </c>
      <c r="BD8" s="18">
        <f t="shared" si="12"/>
        <v>9800.79999998306</v>
      </c>
      <c r="BE8" s="18">
        <f t="shared" si="13"/>
        <v>49399.9999999869</v>
      </c>
      <c r="BF8" s="18">
        <f t="shared" si="14"/>
        <v>62.6000000000058</v>
      </c>
      <c r="BG8" s="21">
        <f t="shared" si="15"/>
        <v>0.247123561780825</v>
      </c>
      <c r="BH8" s="21">
        <f t="shared" si="16"/>
        <v>0.0447583791896</v>
      </c>
      <c r="BI8" s="21">
        <f t="shared" si="17"/>
        <v>0</v>
      </c>
      <c r="BJ8" s="21">
        <f t="shared" si="18"/>
        <v>0.0387193596798443</v>
      </c>
      <c r="BK8" s="21">
        <f t="shared" ref="BK8:BO8" si="43">IF(OR($AD8=0),"",AZ8/$AD8)</f>
        <v>0.0580290145072554</v>
      </c>
      <c r="BL8" s="21">
        <f t="shared" si="43"/>
        <v>0.0470235117558852</v>
      </c>
      <c r="BM8" s="21">
        <f t="shared" si="43"/>
        <v>0.00300150075037519</v>
      </c>
      <c r="BN8" s="21">
        <f t="shared" si="43"/>
        <v>0.00656328164082099</v>
      </c>
      <c r="BO8" s="21">
        <f t="shared" si="43"/>
        <v>0.0490285142570438</v>
      </c>
    </row>
    <row r="9" spans="1:67">
      <c r="A9" s="9">
        <f t="shared" si="20"/>
        <v>44445</v>
      </c>
      <c r="B9" s="10">
        <v>16850.14</v>
      </c>
      <c r="C9" s="8">
        <v>92992.6</v>
      </c>
      <c r="D9" s="8">
        <v>59693.3</v>
      </c>
      <c r="E9" s="8">
        <v>57898.3</v>
      </c>
      <c r="F9" s="8">
        <v>5464.49</v>
      </c>
      <c r="G9" s="8">
        <v>113817.3</v>
      </c>
      <c r="H9" s="8">
        <v>5596.3</v>
      </c>
      <c r="I9" s="8">
        <v>2566.3</v>
      </c>
      <c r="J9" s="8">
        <v>967</v>
      </c>
      <c r="K9" s="8">
        <v>56</v>
      </c>
      <c r="L9" s="8">
        <v>92404.8</v>
      </c>
      <c r="M9" s="8">
        <v>61496.8</v>
      </c>
      <c r="N9" s="8">
        <v>73724.6</v>
      </c>
      <c r="O9" s="8">
        <v>104029.8</v>
      </c>
      <c r="P9" s="8">
        <v>5634.6</v>
      </c>
      <c r="Q9" s="8">
        <v>7483.9</v>
      </c>
      <c r="R9" s="8">
        <v>4622.6</v>
      </c>
      <c r="S9" s="8">
        <v>5257.2</v>
      </c>
      <c r="T9" s="8">
        <v>6755.2</v>
      </c>
      <c r="U9" s="8">
        <v>17568.5</v>
      </c>
      <c r="V9" s="8">
        <v>51140.4</v>
      </c>
      <c r="W9" s="8">
        <v>52927.8</v>
      </c>
      <c r="X9" s="8">
        <v>2733.1</v>
      </c>
      <c r="Y9" s="8">
        <v>2465.7</v>
      </c>
      <c r="Z9" s="16">
        <f t="shared" si="21"/>
        <v>58126.6</v>
      </c>
      <c r="AA9" s="8">
        <v>65428.6</v>
      </c>
      <c r="AB9" s="14">
        <v>3957</v>
      </c>
      <c r="AC9" s="7">
        <f t="shared" si="22"/>
        <v>69385.6</v>
      </c>
      <c r="AD9" s="17">
        <v>199293</v>
      </c>
      <c r="AE9" s="18">
        <f t="shared" ref="AE9:AI9" si="44">IF(OR(C10=""),"",(C10-C9)*80)</f>
        <v>0</v>
      </c>
      <c r="AF9" s="18">
        <f t="shared" si="44"/>
        <v>2655.99999999977</v>
      </c>
      <c r="AG9" s="18">
        <f t="shared" si="44"/>
        <v>2440</v>
      </c>
      <c r="AH9" s="18">
        <f t="shared" si="44"/>
        <v>1833.60000000001</v>
      </c>
      <c r="AI9" s="18">
        <f t="shared" si="44"/>
        <v>2287.9999999993</v>
      </c>
      <c r="AJ9" s="18">
        <f t="shared" si="3"/>
        <v>9217.59999999907</v>
      </c>
      <c r="AK9" s="18">
        <f t="shared" ref="AK9:AN9" si="45">IF(OR(H10=""),"",(H10-H9)*80)</f>
        <v>0</v>
      </c>
      <c r="AL9" s="18">
        <f t="shared" si="45"/>
        <v>0</v>
      </c>
      <c r="AM9" s="18">
        <f t="shared" si="45"/>
        <v>0</v>
      </c>
      <c r="AN9" s="18">
        <f t="shared" si="45"/>
        <v>0</v>
      </c>
      <c r="AO9" s="18">
        <f t="shared" si="5"/>
        <v>0</v>
      </c>
      <c r="AP9" s="18">
        <f t="shared" ref="AP9:AS9" si="46">IF(OR(L10=""),"",(L10-L9)*100)</f>
        <v>2739.99999999942</v>
      </c>
      <c r="AQ9" s="18">
        <f t="shared" si="46"/>
        <v>0</v>
      </c>
      <c r="AR9" s="18">
        <f t="shared" si="46"/>
        <v>2579.99999999884</v>
      </c>
      <c r="AS9" s="18">
        <f t="shared" si="46"/>
        <v>2119.99999999971</v>
      </c>
      <c r="AT9" s="18">
        <f t="shared" si="7"/>
        <v>7439.99999999796</v>
      </c>
      <c r="AU9" s="18">
        <f t="shared" ref="AU9:AY9" si="47">IF(OR(P10=""),"",(P10-P9)*1000)</f>
        <v>3799.99999999927</v>
      </c>
      <c r="AV9" s="18">
        <f t="shared" si="47"/>
        <v>2900.00000000055</v>
      </c>
      <c r="AW9" s="18">
        <f t="shared" si="47"/>
        <v>0</v>
      </c>
      <c r="AX9" s="18">
        <f t="shared" si="47"/>
        <v>3100.00000000036</v>
      </c>
      <c r="AY9" s="18">
        <f t="shared" si="47"/>
        <v>0</v>
      </c>
      <c r="AZ9" s="18">
        <f t="shared" si="9"/>
        <v>9800.00000000018</v>
      </c>
      <c r="BA9" s="18">
        <f t="shared" si="10"/>
        <v>9000</v>
      </c>
      <c r="BB9" s="18">
        <f t="shared" si="11"/>
        <v>600</v>
      </c>
      <c r="BC9" s="18">
        <f t="shared" si="27"/>
        <v>1328.00000000017</v>
      </c>
      <c r="BD9" s="18">
        <f t="shared" si="12"/>
        <v>13314.3999999997</v>
      </c>
      <c r="BE9" s="18">
        <f t="shared" si="13"/>
        <v>50699.9999999971</v>
      </c>
      <c r="BF9" s="18">
        <f t="shared" si="14"/>
        <v>62.8999999999942</v>
      </c>
      <c r="BG9" s="21">
        <f t="shared" si="15"/>
        <v>0.254399301530897</v>
      </c>
      <c r="BH9" s="21">
        <f t="shared" si="16"/>
        <v>0.0462514990491341</v>
      </c>
      <c r="BI9" s="21">
        <f t="shared" si="17"/>
        <v>0</v>
      </c>
      <c r="BJ9" s="21">
        <f t="shared" si="18"/>
        <v>0.037331968508668</v>
      </c>
      <c r="BK9" s="21">
        <f t="shared" ref="BK9:BO9" si="48">IF(OR($AD9=0),"",AZ9/$AD9)</f>
        <v>0.0491738294872383</v>
      </c>
      <c r="BL9" s="21">
        <f t="shared" si="48"/>
        <v>0.0451596393250139</v>
      </c>
      <c r="BM9" s="21">
        <f t="shared" si="48"/>
        <v>0.0030106426216676</v>
      </c>
      <c r="BN9" s="21">
        <f t="shared" si="48"/>
        <v>0.00666355566929182</v>
      </c>
      <c r="BO9" s="21">
        <f t="shared" si="48"/>
        <v>0.0668081668698835</v>
      </c>
    </row>
    <row r="10" spans="1:67">
      <c r="A10" s="9">
        <f t="shared" si="20"/>
        <v>44446</v>
      </c>
      <c r="B10" s="10">
        <v>16855.21</v>
      </c>
      <c r="C10" s="8">
        <v>92992.6</v>
      </c>
      <c r="D10" s="8">
        <v>59726.5</v>
      </c>
      <c r="E10" s="8">
        <v>57928.8</v>
      </c>
      <c r="F10" s="8">
        <v>5487.41</v>
      </c>
      <c r="G10" s="8">
        <v>113845.9</v>
      </c>
      <c r="H10" s="8">
        <v>5596.3</v>
      </c>
      <c r="I10" s="8">
        <v>2566.3</v>
      </c>
      <c r="J10" s="8">
        <v>967</v>
      </c>
      <c r="K10" s="8">
        <v>56</v>
      </c>
      <c r="L10" s="8">
        <v>92432.2</v>
      </c>
      <c r="M10" s="8">
        <v>61496.8</v>
      </c>
      <c r="N10" s="8">
        <v>73750.4</v>
      </c>
      <c r="O10" s="8">
        <v>104051</v>
      </c>
      <c r="P10" s="8">
        <v>5638.4</v>
      </c>
      <c r="Q10" s="8">
        <v>7486.8</v>
      </c>
      <c r="R10" s="8">
        <v>4622.6</v>
      </c>
      <c r="S10" s="8">
        <v>5260.3</v>
      </c>
      <c r="T10" s="8">
        <v>6755.2</v>
      </c>
      <c r="U10" s="8">
        <v>17573</v>
      </c>
      <c r="V10" s="8">
        <v>51147.9</v>
      </c>
      <c r="W10" s="8">
        <v>52944.3</v>
      </c>
      <c r="X10" s="8">
        <v>2741.2</v>
      </c>
      <c r="Y10" s="8">
        <v>2474.3</v>
      </c>
      <c r="Z10" s="16">
        <f t="shared" si="21"/>
        <v>58159.8</v>
      </c>
      <c r="AA10" s="8">
        <v>65484.5</v>
      </c>
      <c r="AB10" s="14">
        <v>3964</v>
      </c>
      <c r="AC10" s="7">
        <f t="shared" si="22"/>
        <v>69448.5</v>
      </c>
      <c r="AD10" s="17">
        <v>209444</v>
      </c>
      <c r="AE10" s="18">
        <f t="shared" ref="AE10:AI10" si="49">IF(OR(C11=""),"",(C11-C10)*80)</f>
        <v>0</v>
      </c>
      <c r="AF10" s="18">
        <f t="shared" si="49"/>
        <v>2775.99999999977</v>
      </c>
      <c r="AG10" s="18">
        <f t="shared" si="49"/>
        <v>2743.99999999965</v>
      </c>
      <c r="AH10" s="18">
        <f t="shared" si="49"/>
        <v>2207.20000000001</v>
      </c>
      <c r="AI10" s="18">
        <f t="shared" si="49"/>
        <v>2088.00000000047</v>
      </c>
      <c r="AJ10" s="18">
        <f t="shared" si="3"/>
        <v>9815.1999999999</v>
      </c>
      <c r="AK10" s="18">
        <f t="shared" ref="AK10:AN10" si="50">IF(OR(H11=""),"",(H11-H10)*80)</f>
        <v>0</v>
      </c>
      <c r="AL10" s="18">
        <f t="shared" si="50"/>
        <v>0</v>
      </c>
      <c r="AM10" s="18">
        <f t="shared" si="50"/>
        <v>0</v>
      </c>
      <c r="AN10" s="18">
        <f t="shared" si="50"/>
        <v>0</v>
      </c>
      <c r="AO10" s="18">
        <f t="shared" si="5"/>
        <v>0</v>
      </c>
      <c r="AP10" s="18">
        <f t="shared" ref="AP10:AS10" si="51">IF(OR(L11=""),"",(L11-L10)*100)</f>
        <v>3000</v>
      </c>
      <c r="AQ10" s="18">
        <f t="shared" si="51"/>
        <v>0</v>
      </c>
      <c r="AR10" s="18">
        <f t="shared" si="51"/>
        <v>2780.00000000029</v>
      </c>
      <c r="AS10" s="18">
        <f t="shared" si="51"/>
        <v>2119.99999999971</v>
      </c>
      <c r="AT10" s="18">
        <f t="shared" si="7"/>
        <v>7900</v>
      </c>
      <c r="AU10" s="18">
        <f t="shared" ref="AU10:AY10" si="52">IF(OR(P11=""),"",(P11-P10)*1000)</f>
        <v>3900.00000000055</v>
      </c>
      <c r="AV10" s="18">
        <f t="shared" si="52"/>
        <v>7399.99999999964</v>
      </c>
      <c r="AW10" s="18">
        <f t="shared" si="52"/>
        <v>0</v>
      </c>
      <c r="AX10" s="18">
        <f t="shared" si="52"/>
        <v>0</v>
      </c>
      <c r="AY10" s="18">
        <f t="shared" si="52"/>
        <v>0</v>
      </c>
      <c r="AZ10" s="18">
        <f t="shared" si="9"/>
        <v>11300.0000000002</v>
      </c>
      <c r="BA10" s="18">
        <f t="shared" si="10"/>
        <v>8000</v>
      </c>
      <c r="BB10" s="18">
        <f t="shared" si="11"/>
        <v>583.999999999651</v>
      </c>
      <c r="BC10" s="18">
        <f t="shared" si="27"/>
        <v>1323.99999999994</v>
      </c>
      <c r="BD10" s="18">
        <f t="shared" si="12"/>
        <v>11676.8000000134</v>
      </c>
      <c r="BE10" s="18">
        <f t="shared" si="13"/>
        <v>50600.0000000131</v>
      </c>
      <c r="BF10" s="18">
        <f t="shared" si="14"/>
        <v>63.3000000000029</v>
      </c>
      <c r="BG10" s="21">
        <f t="shared" si="15"/>
        <v>0.241592024598523</v>
      </c>
      <c r="BH10" s="21">
        <f t="shared" si="16"/>
        <v>0.0468631233169721</v>
      </c>
      <c r="BI10" s="21">
        <f t="shared" si="17"/>
        <v>0</v>
      </c>
      <c r="BJ10" s="21">
        <f t="shared" si="18"/>
        <v>0.0377189129313802</v>
      </c>
      <c r="BK10" s="21">
        <f t="shared" ref="BK10:BO10" si="53">IF(OR($AD10=0),"",AZ10/$AD10)</f>
        <v>0.0539523691296966</v>
      </c>
      <c r="BL10" s="21">
        <f t="shared" si="53"/>
        <v>0.0381963675254483</v>
      </c>
      <c r="BM10" s="21">
        <f t="shared" si="53"/>
        <v>0.00278833482935606</v>
      </c>
      <c r="BN10" s="21">
        <f t="shared" si="53"/>
        <v>0.00632149882546142</v>
      </c>
      <c r="BO10" s="21">
        <f t="shared" si="53"/>
        <v>0.0557514180402085</v>
      </c>
    </row>
    <row r="11" spans="1:67">
      <c r="A11" s="9">
        <f t="shared" si="20"/>
        <v>44447</v>
      </c>
      <c r="B11" s="10">
        <v>16860.27</v>
      </c>
      <c r="C11" s="8">
        <v>92992.6</v>
      </c>
      <c r="D11" s="8">
        <v>59761.2</v>
      </c>
      <c r="E11" s="8">
        <v>57963.1</v>
      </c>
      <c r="F11" s="8">
        <v>5515</v>
      </c>
      <c r="G11" s="8">
        <v>113872</v>
      </c>
      <c r="H11" s="8">
        <v>5596.3</v>
      </c>
      <c r="I11" s="8">
        <v>2566.3</v>
      </c>
      <c r="J11" s="8">
        <v>967</v>
      </c>
      <c r="K11" s="8">
        <v>56</v>
      </c>
      <c r="L11" s="8">
        <v>92462.2</v>
      </c>
      <c r="M11" s="8">
        <v>61496.8</v>
      </c>
      <c r="N11" s="8">
        <v>73778.2</v>
      </c>
      <c r="O11" s="8">
        <v>104072.2</v>
      </c>
      <c r="P11" s="8">
        <v>5642.3</v>
      </c>
      <c r="Q11" s="8">
        <v>7494.2</v>
      </c>
      <c r="R11" s="8">
        <v>4622.6</v>
      </c>
      <c r="S11" s="8">
        <v>5260.3</v>
      </c>
      <c r="T11" s="8">
        <v>6755.2</v>
      </c>
      <c r="U11" s="8">
        <v>17577</v>
      </c>
      <c r="V11" s="8">
        <v>51155.2</v>
      </c>
      <c r="W11" s="8">
        <v>52960.7</v>
      </c>
      <c r="X11" s="8">
        <v>2749.3</v>
      </c>
      <c r="Y11" s="8">
        <v>2482.9</v>
      </c>
      <c r="Z11" s="16">
        <f t="shared" si="21"/>
        <v>58192.9</v>
      </c>
      <c r="AA11" s="8">
        <v>65541.8</v>
      </c>
      <c r="AB11" s="14">
        <v>3970</v>
      </c>
      <c r="AC11" s="7">
        <f t="shared" si="22"/>
        <v>69511.8</v>
      </c>
      <c r="AD11" s="17">
        <v>203852</v>
      </c>
      <c r="AE11" s="18">
        <f t="shared" ref="AE11:AI11" si="54">IF(OR(C12=""),"",(C12-C11)*80)</f>
        <v>0</v>
      </c>
      <c r="AF11" s="18">
        <f t="shared" si="54"/>
        <v>2816.00000000035</v>
      </c>
      <c r="AG11" s="18">
        <f t="shared" si="54"/>
        <v>2112.00000000012</v>
      </c>
      <c r="AH11" s="18">
        <f t="shared" si="54"/>
        <v>2237.60000000002</v>
      </c>
      <c r="AI11" s="18">
        <f t="shared" si="54"/>
        <v>2048.00000000047</v>
      </c>
      <c r="AJ11" s="18">
        <f t="shared" si="3"/>
        <v>9213.60000000095</v>
      </c>
      <c r="AK11" s="18">
        <f t="shared" ref="AK11:AN11" si="55">IF(OR(H12=""),"",(H12-H11)*80)</f>
        <v>0</v>
      </c>
      <c r="AL11" s="18">
        <f t="shared" si="55"/>
        <v>0</v>
      </c>
      <c r="AM11" s="18">
        <f t="shared" si="55"/>
        <v>0</v>
      </c>
      <c r="AN11" s="18">
        <f t="shared" si="55"/>
        <v>0</v>
      </c>
      <c r="AO11" s="18">
        <f t="shared" si="5"/>
        <v>0</v>
      </c>
      <c r="AP11" s="18">
        <f t="shared" ref="AP11:AS11" si="56">IF(OR(L12=""),"",(L12-L11)*100)</f>
        <v>2850</v>
      </c>
      <c r="AQ11" s="18">
        <f t="shared" si="56"/>
        <v>0</v>
      </c>
      <c r="AR11" s="18">
        <f t="shared" si="56"/>
        <v>2850</v>
      </c>
      <c r="AS11" s="18">
        <f t="shared" si="56"/>
        <v>2130.00000000029</v>
      </c>
      <c r="AT11" s="18">
        <f t="shared" si="7"/>
        <v>7830.00000000029</v>
      </c>
      <c r="AU11" s="18">
        <f t="shared" ref="AU11:AY11" si="57">IF(OR(P12=""),"",(P12-P11)*1000)</f>
        <v>4000</v>
      </c>
      <c r="AV11" s="18">
        <f t="shared" si="57"/>
        <v>7800.00000000018</v>
      </c>
      <c r="AW11" s="18">
        <f t="shared" si="57"/>
        <v>0</v>
      </c>
      <c r="AX11" s="18">
        <f t="shared" si="57"/>
        <v>0</v>
      </c>
      <c r="AY11" s="18">
        <f t="shared" si="57"/>
        <v>0</v>
      </c>
      <c r="AZ11" s="18">
        <f t="shared" si="9"/>
        <v>11800.0000000002</v>
      </c>
      <c r="BA11" s="18">
        <f t="shared" si="10"/>
        <v>11599.9999999985</v>
      </c>
      <c r="BB11" s="18">
        <f t="shared" si="11"/>
        <v>600</v>
      </c>
      <c r="BC11" s="18">
        <f t="shared" si="27"/>
        <v>1343.99999999994</v>
      </c>
      <c r="BD11" s="18">
        <f t="shared" si="12"/>
        <v>8312.39999999718</v>
      </c>
      <c r="BE11" s="18">
        <f t="shared" si="13"/>
        <v>50699.9999999971</v>
      </c>
      <c r="BF11" s="18">
        <f t="shared" si="14"/>
        <v>63.6999999999971</v>
      </c>
      <c r="BG11" s="21">
        <f t="shared" si="15"/>
        <v>0.248709848321317</v>
      </c>
      <c r="BH11" s="21">
        <f t="shared" si="16"/>
        <v>0.0451974962227545</v>
      </c>
      <c r="BI11" s="21">
        <f t="shared" si="17"/>
        <v>0</v>
      </c>
      <c r="BJ11" s="21">
        <f t="shared" si="18"/>
        <v>0.0384102191786212</v>
      </c>
      <c r="BK11" s="21">
        <f t="shared" ref="BK11:BO11" si="58">IF(OR($AD11=0),"",AZ11/$AD11)</f>
        <v>0.0578851323509222</v>
      </c>
      <c r="BL11" s="21">
        <f t="shared" si="58"/>
        <v>0.0569040284127629</v>
      </c>
      <c r="BM11" s="21">
        <f t="shared" si="58"/>
        <v>0.00294331181445362</v>
      </c>
      <c r="BN11" s="21">
        <f t="shared" si="58"/>
        <v>0.00659301846437583</v>
      </c>
      <c r="BO11" s="21">
        <f t="shared" si="58"/>
        <v>0.0407766418774267</v>
      </c>
    </row>
    <row r="12" spans="1:67">
      <c r="A12" s="9">
        <f t="shared" si="20"/>
        <v>44448</v>
      </c>
      <c r="B12" s="10">
        <v>16865.34</v>
      </c>
      <c r="C12" s="8">
        <v>92992.6</v>
      </c>
      <c r="D12" s="8">
        <v>59796.4</v>
      </c>
      <c r="E12" s="8">
        <v>57989.5</v>
      </c>
      <c r="F12" s="8">
        <v>5542.97</v>
      </c>
      <c r="G12" s="8">
        <v>113897.6</v>
      </c>
      <c r="H12" s="8">
        <v>5596.3</v>
      </c>
      <c r="I12" s="8">
        <v>2566.3</v>
      </c>
      <c r="J12" s="8">
        <v>967</v>
      </c>
      <c r="K12" s="8">
        <v>56</v>
      </c>
      <c r="L12" s="8">
        <v>92490.7</v>
      </c>
      <c r="M12" s="8">
        <v>61496.8</v>
      </c>
      <c r="N12" s="8">
        <v>73806.7</v>
      </c>
      <c r="O12" s="8">
        <v>104093.5</v>
      </c>
      <c r="P12" s="8">
        <v>5646.3</v>
      </c>
      <c r="Q12" s="8">
        <v>7502</v>
      </c>
      <c r="R12" s="8">
        <v>4622.6</v>
      </c>
      <c r="S12" s="8">
        <v>5260.3</v>
      </c>
      <c r="T12" s="8">
        <v>6755.2</v>
      </c>
      <c r="U12" s="8">
        <v>17582.8</v>
      </c>
      <c r="V12" s="8">
        <v>51162.7</v>
      </c>
      <c r="W12" s="8">
        <v>52977.4</v>
      </c>
      <c r="X12" s="8">
        <v>2757.5</v>
      </c>
      <c r="Y12" s="8">
        <v>2491.6</v>
      </c>
      <c r="Z12" s="16">
        <f t="shared" si="21"/>
        <v>58226.5</v>
      </c>
      <c r="AA12" s="8">
        <v>65598.5</v>
      </c>
      <c r="AB12" s="14">
        <v>3977</v>
      </c>
      <c r="AC12" s="7">
        <f t="shared" si="22"/>
        <v>69575.5</v>
      </c>
      <c r="AD12" s="17">
        <v>206760</v>
      </c>
      <c r="AE12" s="18">
        <f t="shared" ref="AE12:AI12" si="59">IF(OR(C13=""),"",(C13-C12)*80)</f>
        <v>0</v>
      </c>
      <c r="AF12" s="18">
        <f t="shared" si="59"/>
        <v>2592.00000000012</v>
      </c>
      <c r="AG12" s="18">
        <f t="shared" si="59"/>
        <v>2167.99999999988</v>
      </c>
      <c r="AH12" s="18">
        <f t="shared" si="59"/>
        <v>2108.79999999997</v>
      </c>
      <c r="AI12" s="18">
        <f t="shared" si="59"/>
        <v>2640</v>
      </c>
      <c r="AJ12" s="18">
        <f t="shared" si="3"/>
        <v>9508.79999999997</v>
      </c>
      <c r="AK12" s="18">
        <f t="shared" ref="AK12:AN12" si="60">IF(OR(H13=""),"",(H13-H12)*80)</f>
        <v>0</v>
      </c>
      <c r="AL12" s="18">
        <f t="shared" si="60"/>
        <v>0</v>
      </c>
      <c r="AM12" s="18">
        <f t="shared" si="60"/>
        <v>0</v>
      </c>
      <c r="AN12" s="18">
        <f t="shared" si="60"/>
        <v>0</v>
      </c>
      <c r="AO12" s="18">
        <f t="shared" si="5"/>
        <v>0</v>
      </c>
      <c r="AP12" s="18">
        <f t="shared" ref="AP12:AS12" si="61">IF(OR(L13=""),"",(L13-L12)*100)</f>
        <v>2990.00000000087</v>
      </c>
      <c r="AQ12" s="18">
        <f t="shared" si="61"/>
        <v>0</v>
      </c>
      <c r="AR12" s="18">
        <f t="shared" si="61"/>
        <v>2840.00000000087</v>
      </c>
      <c r="AS12" s="18">
        <f t="shared" si="61"/>
        <v>2119.99999999971</v>
      </c>
      <c r="AT12" s="18">
        <f t="shared" si="7"/>
        <v>7950.00000000146</v>
      </c>
      <c r="AU12" s="18">
        <f t="shared" ref="AU12:AY12" si="62">IF(OR(P13=""),"",(P13-P12)*1000)</f>
        <v>3899.99999999964</v>
      </c>
      <c r="AV12" s="18">
        <f t="shared" si="62"/>
        <v>7199.99999999982</v>
      </c>
      <c r="AW12" s="18">
        <f t="shared" si="62"/>
        <v>0</v>
      </c>
      <c r="AX12" s="18">
        <f t="shared" si="62"/>
        <v>0</v>
      </c>
      <c r="AY12" s="18">
        <f t="shared" si="62"/>
        <v>0</v>
      </c>
      <c r="AZ12" s="18">
        <f t="shared" si="9"/>
        <v>11099.9999999995</v>
      </c>
      <c r="BA12" s="18">
        <f t="shared" si="10"/>
        <v>9599.99999999854</v>
      </c>
      <c r="BB12" s="18">
        <f t="shared" si="11"/>
        <v>640</v>
      </c>
      <c r="BC12" s="18">
        <f t="shared" si="27"/>
        <v>1276.00000000006</v>
      </c>
      <c r="BD12" s="18">
        <f t="shared" si="12"/>
        <v>9925.20000000051</v>
      </c>
      <c r="BE12" s="18">
        <f t="shared" si="13"/>
        <v>50000</v>
      </c>
      <c r="BF12" s="18">
        <f t="shared" si="14"/>
        <v>70.6999999999971</v>
      </c>
      <c r="BG12" s="21">
        <f t="shared" si="15"/>
        <v>0.241826272006191</v>
      </c>
      <c r="BH12" s="21">
        <f t="shared" si="16"/>
        <v>0.0459895531050492</v>
      </c>
      <c r="BI12" s="21">
        <f t="shared" si="17"/>
        <v>0</v>
      </c>
      <c r="BJ12" s="21">
        <f t="shared" si="18"/>
        <v>0.0384503772489914</v>
      </c>
      <c r="BK12" s="21">
        <f t="shared" ref="BK12:BO12" si="63">IF(OR($AD12=0),"",AZ12/$AD12)</f>
        <v>0.0536854323853717</v>
      </c>
      <c r="BL12" s="21">
        <f t="shared" si="63"/>
        <v>0.0464306442251816</v>
      </c>
      <c r="BM12" s="21">
        <f t="shared" si="63"/>
        <v>0.00309537628167924</v>
      </c>
      <c r="BN12" s="21">
        <f t="shared" si="63"/>
        <v>0.00617140646159827</v>
      </c>
      <c r="BO12" s="21">
        <f t="shared" si="63"/>
        <v>0.0480034822983194</v>
      </c>
    </row>
    <row r="13" spans="1:67">
      <c r="A13" s="9">
        <f t="shared" si="20"/>
        <v>44449</v>
      </c>
      <c r="B13" s="10">
        <v>16870.34</v>
      </c>
      <c r="C13" s="8">
        <v>92992.6</v>
      </c>
      <c r="D13" s="8">
        <v>59828.8</v>
      </c>
      <c r="E13" s="8">
        <v>58016.6</v>
      </c>
      <c r="F13" s="8">
        <v>5569.33</v>
      </c>
      <c r="G13" s="8">
        <v>113930.6</v>
      </c>
      <c r="H13" s="8">
        <v>5596.3</v>
      </c>
      <c r="I13" s="8">
        <v>2566.3</v>
      </c>
      <c r="J13" s="8">
        <v>967</v>
      </c>
      <c r="K13" s="8">
        <v>56</v>
      </c>
      <c r="L13" s="8">
        <v>92520.6</v>
      </c>
      <c r="M13" s="8">
        <v>61496.8</v>
      </c>
      <c r="N13" s="8">
        <v>73835.1</v>
      </c>
      <c r="O13" s="8">
        <v>104114.7</v>
      </c>
      <c r="P13" s="8">
        <v>5650.2</v>
      </c>
      <c r="Q13" s="8">
        <v>7509.2</v>
      </c>
      <c r="R13" s="8">
        <v>4622.6</v>
      </c>
      <c r="S13" s="8">
        <v>5260.3</v>
      </c>
      <c r="T13" s="8">
        <v>6755.2</v>
      </c>
      <c r="U13" s="8">
        <v>17587.6</v>
      </c>
      <c r="V13" s="8">
        <v>51170.7</v>
      </c>
      <c r="W13" s="8">
        <v>52993.5</v>
      </c>
      <c r="X13" s="8">
        <v>2765.3</v>
      </c>
      <c r="Y13" s="8">
        <v>2499.6</v>
      </c>
      <c r="Z13" s="16">
        <f t="shared" si="21"/>
        <v>58258.4</v>
      </c>
      <c r="AA13" s="8">
        <v>65652.2</v>
      </c>
      <c r="AB13" s="14">
        <v>3994</v>
      </c>
      <c r="AC13" s="7">
        <f t="shared" si="22"/>
        <v>69646.2</v>
      </c>
      <c r="AD13" s="17">
        <v>206252</v>
      </c>
      <c r="AE13" s="18">
        <f t="shared" ref="AE13:AI13" si="64">IF(OR(C14=""),"",(C14-C13)*80)</f>
        <v>0</v>
      </c>
      <c r="AF13" s="18">
        <f t="shared" si="64"/>
        <v>2727.99999999988</v>
      </c>
      <c r="AG13" s="18">
        <f t="shared" si="64"/>
        <v>2216.00000000035</v>
      </c>
      <c r="AH13" s="18">
        <f t="shared" si="64"/>
        <v>2380</v>
      </c>
      <c r="AI13" s="18">
        <f t="shared" si="64"/>
        <v>2631.99999999953</v>
      </c>
      <c r="AJ13" s="18">
        <f t="shared" si="3"/>
        <v>9955.99999999977</v>
      </c>
      <c r="AK13" s="18">
        <f t="shared" ref="AK13:AN13" si="65">IF(OR(H14=""),"",(H14-H13)*80)</f>
        <v>0</v>
      </c>
      <c r="AL13" s="18">
        <f t="shared" si="65"/>
        <v>0</v>
      </c>
      <c r="AM13" s="18">
        <f t="shared" si="65"/>
        <v>0</v>
      </c>
      <c r="AN13" s="18">
        <f t="shared" si="65"/>
        <v>0</v>
      </c>
      <c r="AO13" s="18">
        <f t="shared" si="5"/>
        <v>0</v>
      </c>
      <c r="AP13" s="18">
        <f t="shared" ref="AP13:AS13" si="66">IF(OR(L14=""),"",(L14-L13)*100)</f>
        <v>2939.99999999942</v>
      </c>
      <c r="AQ13" s="18">
        <f t="shared" si="66"/>
        <v>0</v>
      </c>
      <c r="AR13" s="18">
        <f t="shared" si="66"/>
        <v>2859.99999999913</v>
      </c>
      <c r="AS13" s="18">
        <f t="shared" si="66"/>
        <v>2119.99999999971</v>
      </c>
      <c r="AT13" s="18">
        <f t="shared" si="7"/>
        <v>7919.99999999825</v>
      </c>
      <c r="AU13" s="18">
        <f t="shared" ref="AU13:AY13" si="67">IF(OR(P14=""),"",(P14-P13)*1000)</f>
        <v>4500</v>
      </c>
      <c r="AV13" s="18">
        <f t="shared" si="67"/>
        <v>5600.00000000036</v>
      </c>
      <c r="AW13" s="18">
        <f t="shared" si="67"/>
        <v>0</v>
      </c>
      <c r="AX13" s="18">
        <f t="shared" si="67"/>
        <v>1000</v>
      </c>
      <c r="AY13" s="18">
        <f t="shared" si="67"/>
        <v>0</v>
      </c>
      <c r="AZ13" s="18">
        <f t="shared" si="9"/>
        <v>11100.0000000004</v>
      </c>
      <c r="BA13" s="18">
        <f t="shared" si="10"/>
        <v>9600.00000000582</v>
      </c>
      <c r="BB13" s="18">
        <f t="shared" si="11"/>
        <v>648.000000000466</v>
      </c>
      <c r="BC13" s="18">
        <f t="shared" si="27"/>
        <v>1320</v>
      </c>
      <c r="BD13" s="18">
        <f t="shared" si="12"/>
        <v>10556.0000000011</v>
      </c>
      <c r="BE13" s="18">
        <f t="shared" si="13"/>
        <v>51100.0000000058</v>
      </c>
      <c r="BF13" s="18">
        <f t="shared" si="14"/>
        <v>64.2700000000041</v>
      </c>
      <c r="BG13" s="21">
        <f t="shared" si="15"/>
        <v>0.247755173283196</v>
      </c>
      <c r="BH13" s="21">
        <f t="shared" si="16"/>
        <v>0.0482710470686334</v>
      </c>
      <c r="BI13" s="21">
        <f t="shared" si="17"/>
        <v>0</v>
      </c>
      <c r="BJ13" s="21">
        <f t="shared" si="18"/>
        <v>0.0383996276399659</v>
      </c>
      <c r="BK13" s="21">
        <f t="shared" ref="BK13:BO13" si="68">IF(OR($AD13=0),"",AZ13/$AD13)</f>
        <v>0.0538176599499659</v>
      </c>
      <c r="BL13" s="21">
        <f t="shared" si="68"/>
        <v>0.0465450031999972</v>
      </c>
      <c r="BM13" s="21">
        <f t="shared" si="68"/>
        <v>0.00314178771600016</v>
      </c>
      <c r="BN13" s="21">
        <f t="shared" si="68"/>
        <v>0.00639993793999573</v>
      </c>
      <c r="BO13" s="21">
        <f t="shared" si="68"/>
        <v>0.0511801097686381</v>
      </c>
    </row>
    <row r="14" spans="1:67">
      <c r="A14" s="9">
        <f t="shared" si="20"/>
        <v>44450</v>
      </c>
      <c r="B14" s="10">
        <v>16875.45</v>
      </c>
      <c r="C14" s="8">
        <v>92992.6</v>
      </c>
      <c r="D14" s="8">
        <v>59862.9</v>
      </c>
      <c r="E14" s="8">
        <v>58044.3</v>
      </c>
      <c r="F14" s="8">
        <v>5599.08</v>
      </c>
      <c r="G14" s="8">
        <v>113963.5</v>
      </c>
      <c r="H14" s="8">
        <v>5596.3</v>
      </c>
      <c r="I14" s="8">
        <v>2566.3</v>
      </c>
      <c r="J14" s="8">
        <v>967</v>
      </c>
      <c r="K14" s="8">
        <v>56</v>
      </c>
      <c r="L14" s="8">
        <v>92550</v>
      </c>
      <c r="M14" s="8">
        <v>61496.8</v>
      </c>
      <c r="N14" s="8">
        <v>73863.7</v>
      </c>
      <c r="O14" s="8">
        <v>104135.9</v>
      </c>
      <c r="P14" s="8">
        <v>5654.7</v>
      </c>
      <c r="Q14" s="8">
        <v>7514.8</v>
      </c>
      <c r="R14" s="8">
        <v>4622.6</v>
      </c>
      <c r="S14" s="8">
        <v>5261.3</v>
      </c>
      <c r="T14" s="8">
        <v>6755.2</v>
      </c>
      <c r="U14" s="8">
        <v>17592.4</v>
      </c>
      <c r="V14" s="8">
        <v>51178.8</v>
      </c>
      <c r="W14" s="8">
        <v>53010.1</v>
      </c>
      <c r="X14" s="8">
        <v>2773.3</v>
      </c>
      <c r="Y14" s="8">
        <v>2508</v>
      </c>
      <c r="Z14" s="16">
        <f t="shared" si="21"/>
        <v>58291.4</v>
      </c>
      <c r="AA14" s="8">
        <v>65710.47</v>
      </c>
      <c r="AB14" s="14">
        <v>4000</v>
      </c>
      <c r="AC14" s="7">
        <f t="shared" si="22"/>
        <v>69710.47</v>
      </c>
      <c r="AD14" s="17">
        <v>205095</v>
      </c>
      <c r="AE14" s="18">
        <f t="shared" ref="AE14:AI14" si="69">IF(OR(C15=""),"",(C15-C14)*80)</f>
        <v>0</v>
      </c>
      <c r="AF14" s="18">
        <f t="shared" si="69"/>
        <v>2663.99999999965</v>
      </c>
      <c r="AG14" s="18">
        <f t="shared" si="69"/>
        <v>2263.99999999965</v>
      </c>
      <c r="AH14" s="18">
        <f t="shared" si="69"/>
        <v>2345.59999999998</v>
      </c>
      <c r="AI14" s="18">
        <f t="shared" si="69"/>
        <v>2240</v>
      </c>
      <c r="AJ14" s="18">
        <f t="shared" si="3"/>
        <v>9513.59999999928</v>
      </c>
      <c r="AK14" s="18">
        <f t="shared" ref="AK14:AN14" si="70">IF(OR(H15=""),"",(H15-H14)*80)</f>
        <v>0</v>
      </c>
      <c r="AL14" s="18">
        <f t="shared" si="70"/>
        <v>0</v>
      </c>
      <c r="AM14" s="18">
        <f t="shared" si="70"/>
        <v>0</v>
      </c>
      <c r="AN14" s="18">
        <f t="shared" si="70"/>
        <v>0</v>
      </c>
      <c r="AO14" s="18">
        <f t="shared" si="5"/>
        <v>0</v>
      </c>
      <c r="AP14" s="18">
        <f t="shared" ref="AP14:AS14" si="71">IF(OR(L15=""),"",(L15-L14)*100)</f>
        <v>3050</v>
      </c>
      <c r="AQ14" s="18">
        <f t="shared" si="71"/>
        <v>0</v>
      </c>
      <c r="AR14" s="18">
        <f t="shared" si="71"/>
        <v>2769.99999999971</v>
      </c>
      <c r="AS14" s="18">
        <f t="shared" si="71"/>
        <v>2160.00000000058</v>
      </c>
      <c r="AT14" s="18">
        <f t="shared" si="7"/>
        <v>7980.00000000029</v>
      </c>
      <c r="AU14" s="18">
        <f t="shared" ref="AU14:AY14" si="72">IF(OR(P15=""),"",(P15-P14)*1000)</f>
        <v>3500</v>
      </c>
      <c r="AV14" s="18">
        <f t="shared" si="72"/>
        <v>7399.99999999964</v>
      </c>
      <c r="AW14" s="18">
        <f t="shared" si="72"/>
        <v>0</v>
      </c>
      <c r="AX14" s="18">
        <f t="shared" si="72"/>
        <v>0</v>
      </c>
      <c r="AY14" s="18">
        <f t="shared" si="72"/>
        <v>0</v>
      </c>
      <c r="AZ14" s="18">
        <f t="shared" si="9"/>
        <v>10899.9999999996</v>
      </c>
      <c r="BA14" s="18">
        <f t="shared" si="10"/>
        <v>9799.99999999563</v>
      </c>
      <c r="BB14" s="18">
        <f t="shared" si="11"/>
        <v>655.999999999767</v>
      </c>
      <c r="BC14" s="18">
        <f t="shared" si="27"/>
        <v>1300.00000000029</v>
      </c>
      <c r="BD14" s="18">
        <f t="shared" si="12"/>
        <v>10150.3999999935</v>
      </c>
      <c r="BE14" s="18">
        <f t="shared" si="13"/>
        <v>50299.9999999884</v>
      </c>
      <c r="BF14" s="18">
        <f t="shared" si="14"/>
        <v>63.6300000000047</v>
      </c>
      <c r="BG14" s="21">
        <f t="shared" si="15"/>
        <v>0.245252200199851</v>
      </c>
      <c r="BH14" s="21">
        <f t="shared" si="16"/>
        <v>0.0463863087837308</v>
      </c>
      <c r="BI14" s="21">
        <f t="shared" si="17"/>
        <v>0</v>
      </c>
      <c r="BJ14" s="21">
        <f t="shared" si="18"/>
        <v>0.0389087983617362</v>
      </c>
      <c r="BK14" s="21">
        <f t="shared" ref="BK14:BO14" si="73">IF(OR($AD14=0),"",AZ14/$AD14)</f>
        <v>0.0531461030254255</v>
      </c>
      <c r="BL14" s="21">
        <f t="shared" si="73"/>
        <v>0.0477827348301794</v>
      </c>
      <c r="BM14" s="21">
        <f t="shared" si="73"/>
        <v>0.00319851776006127</v>
      </c>
      <c r="BN14" s="21">
        <f t="shared" si="73"/>
        <v>0.00633852604890559</v>
      </c>
      <c r="BO14" s="21">
        <f t="shared" si="73"/>
        <v>0.0494912113898118</v>
      </c>
    </row>
    <row r="15" spans="1:67">
      <c r="A15" s="9">
        <f t="shared" si="20"/>
        <v>44451</v>
      </c>
      <c r="B15" s="10">
        <v>16880.48</v>
      </c>
      <c r="C15" s="8">
        <v>92992.6</v>
      </c>
      <c r="D15" s="8">
        <v>59896.2</v>
      </c>
      <c r="E15" s="8">
        <v>58072.6</v>
      </c>
      <c r="F15" s="8">
        <v>5628.4</v>
      </c>
      <c r="G15" s="8">
        <v>113991.5</v>
      </c>
      <c r="H15" s="8">
        <v>5596.3</v>
      </c>
      <c r="I15" s="8">
        <v>2566.3</v>
      </c>
      <c r="J15" s="8">
        <v>967</v>
      </c>
      <c r="K15" s="8">
        <v>56</v>
      </c>
      <c r="L15" s="8">
        <v>92580.5</v>
      </c>
      <c r="M15" s="8">
        <v>61496.8</v>
      </c>
      <c r="N15" s="8">
        <v>73891.4</v>
      </c>
      <c r="O15" s="8">
        <v>104157.5</v>
      </c>
      <c r="P15" s="8">
        <v>5658.2</v>
      </c>
      <c r="Q15" s="8">
        <v>7522.2</v>
      </c>
      <c r="R15" s="8">
        <v>4622.6</v>
      </c>
      <c r="S15" s="8">
        <v>5261.3</v>
      </c>
      <c r="T15" s="8">
        <v>6755.2</v>
      </c>
      <c r="U15" s="8">
        <v>17597.3</v>
      </c>
      <c r="V15" s="8">
        <v>51187</v>
      </c>
      <c r="W15" s="8">
        <v>53026.3</v>
      </c>
      <c r="X15" s="8">
        <v>2781.3</v>
      </c>
      <c r="Y15" s="8">
        <v>2516.3</v>
      </c>
      <c r="Z15" s="16">
        <f t="shared" si="21"/>
        <v>58323.9</v>
      </c>
      <c r="AA15" s="8">
        <v>65767.1</v>
      </c>
      <c r="AB15" s="14">
        <v>4007</v>
      </c>
      <c r="AC15" s="7">
        <f t="shared" si="22"/>
        <v>69774.1</v>
      </c>
      <c r="AD15" s="17">
        <v>205446</v>
      </c>
      <c r="AE15" s="18">
        <f t="shared" ref="AE15:AI15" si="74">IF(OR(C16=""),"",(C16-C15)*80)</f>
        <v>0</v>
      </c>
      <c r="AF15" s="18">
        <f t="shared" si="74"/>
        <v>2424.00000000023</v>
      </c>
      <c r="AG15" s="18">
        <f t="shared" si="74"/>
        <v>2616.00000000035</v>
      </c>
      <c r="AH15" s="18">
        <f t="shared" si="74"/>
        <v>2582.40000000005</v>
      </c>
      <c r="AI15" s="18">
        <f t="shared" si="74"/>
        <v>2391.99999999953</v>
      </c>
      <c r="AJ15" s="18">
        <f t="shared" si="3"/>
        <v>10014.4000000002</v>
      </c>
      <c r="AK15" s="18">
        <f t="shared" ref="AK15:AN15" si="75">IF(OR(H16=""),"",(H16-H15)*80)</f>
        <v>0</v>
      </c>
      <c r="AL15" s="18">
        <f t="shared" si="75"/>
        <v>0</v>
      </c>
      <c r="AM15" s="18">
        <f t="shared" si="75"/>
        <v>0</v>
      </c>
      <c r="AN15" s="18">
        <f t="shared" si="75"/>
        <v>0</v>
      </c>
      <c r="AO15" s="18">
        <f t="shared" si="5"/>
        <v>0</v>
      </c>
      <c r="AP15" s="18">
        <f t="shared" ref="AP15:AS15" si="76">IF(OR(L16=""),"",(L16-L15)*100)</f>
        <v>2960.00000000058</v>
      </c>
      <c r="AQ15" s="18">
        <f t="shared" si="76"/>
        <v>0</v>
      </c>
      <c r="AR15" s="18">
        <f t="shared" si="76"/>
        <v>2770.00000000116</v>
      </c>
      <c r="AS15" s="18">
        <f t="shared" si="76"/>
        <v>2169.99999999971</v>
      </c>
      <c r="AT15" s="18">
        <f t="shared" si="7"/>
        <v>7900.00000000146</v>
      </c>
      <c r="AU15" s="18">
        <f t="shared" ref="AU15:AY15" si="77">IF(OR(P16=""),"",(P16-P15)*1000)</f>
        <v>4199.99999999982</v>
      </c>
      <c r="AV15" s="18">
        <f t="shared" si="77"/>
        <v>7600.00000000036</v>
      </c>
      <c r="AW15" s="18">
        <f t="shared" si="77"/>
        <v>0</v>
      </c>
      <c r="AX15" s="18">
        <f t="shared" si="77"/>
        <v>0</v>
      </c>
      <c r="AY15" s="18">
        <f t="shared" si="77"/>
        <v>0</v>
      </c>
      <c r="AZ15" s="18">
        <f t="shared" si="9"/>
        <v>11800.0000000002</v>
      </c>
      <c r="BA15" s="18">
        <f t="shared" si="10"/>
        <v>10200.0000000044</v>
      </c>
      <c r="BB15" s="18">
        <f t="shared" si="11"/>
        <v>655.999999999767</v>
      </c>
      <c r="BC15" s="18">
        <f t="shared" si="27"/>
        <v>1351.99999999953</v>
      </c>
      <c r="BD15" s="18">
        <f t="shared" si="12"/>
        <v>10177.5999999858</v>
      </c>
      <c r="BE15" s="18">
        <f t="shared" si="13"/>
        <v>52099.9999999913</v>
      </c>
      <c r="BF15" s="18">
        <f t="shared" si="14"/>
        <v>66</v>
      </c>
      <c r="BG15" s="21">
        <f t="shared" si="15"/>
        <v>0.253594618537189</v>
      </c>
      <c r="BH15" s="21">
        <f t="shared" si="16"/>
        <v>0.0487446823009461</v>
      </c>
      <c r="BI15" s="21">
        <f t="shared" si="17"/>
        <v>0</v>
      </c>
      <c r="BJ15" s="21">
        <f t="shared" si="18"/>
        <v>0.0384529268031573</v>
      </c>
      <c r="BK15" s="21">
        <f t="shared" ref="BK15:BO15" si="78">IF(OR($AD15=0),"",AZ15/$AD15)</f>
        <v>0.0574360172502759</v>
      </c>
      <c r="BL15" s="21">
        <f t="shared" si="78"/>
        <v>0.0496480827078861</v>
      </c>
      <c r="BM15" s="21">
        <f t="shared" si="78"/>
        <v>0.00319305316238704</v>
      </c>
      <c r="BN15" s="21">
        <f t="shared" si="78"/>
        <v>0.00658080468833433</v>
      </c>
      <c r="BO15" s="21">
        <f t="shared" si="78"/>
        <v>0.049539051624202</v>
      </c>
    </row>
    <row r="16" spans="1:67">
      <c r="A16" s="9">
        <f t="shared" si="20"/>
        <v>44452</v>
      </c>
      <c r="B16" s="10">
        <v>16885.69</v>
      </c>
      <c r="C16" s="8">
        <v>92992.6</v>
      </c>
      <c r="D16" s="8">
        <v>59926.5</v>
      </c>
      <c r="E16" s="8">
        <v>58105.3</v>
      </c>
      <c r="F16" s="8">
        <v>5660.68</v>
      </c>
      <c r="G16" s="8">
        <v>114021.4</v>
      </c>
      <c r="H16" s="8">
        <v>5596.3</v>
      </c>
      <c r="I16" s="8">
        <v>2566.3</v>
      </c>
      <c r="J16" s="8">
        <v>967</v>
      </c>
      <c r="K16" s="8">
        <v>56</v>
      </c>
      <c r="L16" s="8">
        <v>92610.1</v>
      </c>
      <c r="M16" s="8">
        <v>61496.8</v>
      </c>
      <c r="N16" s="8">
        <v>73919.1</v>
      </c>
      <c r="O16" s="8">
        <v>104179.2</v>
      </c>
      <c r="P16" s="8">
        <v>5662.4</v>
      </c>
      <c r="Q16" s="8">
        <v>7529.8</v>
      </c>
      <c r="R16" s="8">
        <v>4622.6</v>
      </c>
      <c r="S16" s="8">
        <v>5261.3</v>
      </c>
      <c r="T16" s="8">
        <v>6755.2</v>
      </c>
      <c r="U16" s="8">
        <v>17602.4</v>
      </c>
      <c r="V16" s="8">
        <v>51195.2</v>
      </c>
      <c r="W16" s="8">
        <v>53043.1</v>
      </c>
      <c r="X16" s="8">
        <v>2789.7</v>
      </c>
      <c r="Y16" s="8">
        <v>2524.9</v>
      </c>
      <c r="Z16" s="16">
        <f t="shared" si="21"/>
        <v>58357.7</v>
      </c>
      <c r="AA16" s="8">
        <v>65826.1</v>
      </c>
      <c r="AB16" s="14">
        <v>4014</v>
      </c>
      <c r="AC16" s="7">
        <f t="shared" si="22"/>
        <v>69840.1</v>
      </c>
      <c r="AD16" s="17">
        <v>208659</v>
      </c>
      <c r="AE16" s="18">
        <f t="shared" ref="AE16:AI16" si="79">IF(OR(C17=""),"",(C17-C16)*80)</f>
        <v>0</v>
      </c>
      <c r="AF16" s="18">
        <f t="shared" si="79"/>
        <v>2224.00000000023</v>
      </c>
      <c r="AG16" s="18">
        <f t="shared" si="79"/>
        <v>2231.99999999953</v>
      </c>
      <c r="AH16" s="18">
        <f t="shared" si="79"/>
        <v>2249.59999999999</v>
      </c>
      <c r="AI16" s="18">
        <f t="shared" si="79"/>
        <v>2184.00000000023</v>
      </c>
      <c r="AJ16" s="18">
        <f t="shared" si="3"/>
        <v>8889.59999999999</v>
      </c>
      <c r="AK16" s="18">
        <f t="shared" ref="AK16:AN16" si="80">IF(OR(H17=""),"",(H17-H16)*80)</f>
        <v>0</v>
      </c>
      <c r="AL16" s="18">
        <f t="shared" si="80"/>
        <v>0</v>
      </c>
      <c r="AM16" s="18">
        <f t="shared" si="80"/>
        <v>0</v>
      </c>
      <c r="AN16" s="18">
        <f t="shared" si="80"/>
        <v>0</v>
      </c>
      <c r="AO16" s="18">
        <f t="shared" si="5"/>
        <v>0</v>
      </c>
      <c r="AP16" s="18">
        <f t="shared" ref="AP16:AS16" si="81">IF(OR(L17=""),"",(L17-L16)*100)</f>
        <v>3069.99999999971</v>
      </c>
      <c r="AQ16" s="18">
        <f t="shared" si="81"/>
        <v>0</v>
      </c>
      <c r="AR16" s="18">
        <f t="shared" si="81"/>
        <v>2719.99999999971</v>
      </c>
      <c r="AS16" s="18">
        <f t="shared" si="81"/>
        <v>2130.00000000029</v>
      </c>
      <c r="AT16" s="18">
        <f t="shared" si="7"/>
        <v>7919.99999999971</v>
      </c>
      <c r="AU16" s="18">
        <f t="shared" ref="AU16:AY16" si="82">IF(OR(P17=""),"",(P17-P16)*1000)</f>
        <v>4000</v>
      </c>
      <c r="AV16" s="18">
        <f t="shared" si="82"/>
        <v>7500</v>
      </c>
      <c r="AW16" s="18">
        <f t="shared" si="82"/>
        <v>0</v>
      </c>
      <c r="AX16" s="18">
        <f t="shared" si="82"/>
        <v>0</v>
      </c>
      <c r="AY16" s="18">
        <f t="shared" si="82"/>
        <v>0</v>
      </c>
      <c r="AZ16" s="18">
        <f t="shared" si="9"/>
        <v>11500</v>
      </c>
      <c r="BA16" s="18">
        <f t="shared" si="10"/>
        <v>10199.9999999971</v>
      </c>
      <c r="BB16" s="18">
        <f t="shared" si="11"/>
        <v>624.000000000233</v>
      </c>
      <c r="BC16" s="18">
        <f t="shared" si="27"/>
        <v>1283.99999999994</v>
      </c>
      <c r="BD16" s="18">
        <f t="shared" si="12"/>
        <v>9182.40000003068</v>
      </c>
      <c r="BE16" s="18">
        <f t="shared" si="13"/>
        <v>49600.0000000276</v>
      </c>
      <c r="BF16" s="18">
        <f t="shared" si="14"/>
        <v>63.2999999999884</v>
      </c>
      <c r="BG16" s="21">
        <f t="shared" si="15"/>
        <v>0.237708414207044</v>
      </c>
      <c r="BH16" s="21">
        <f t="shared" si="16"/>
        <v>0.0426034822365678</v>
      </c>
      <c r="BI16" s="21">
        <f t="shared" si="17"/>
        <v>0</v>
      </c>
      <c r="BJ16" s="21">
        <f t="shared" si="18"/>
        <v>0.0379566661394894</v>
      </c>
      <c r="BK16" s="21">
        <f t="shared" ref="BK16:BO16" si="83">IF(OR($AD16=0),"",AZ16/$AD16)</f>
        <v>0.0551138460358767</v>
      </c>
      <c r="BL16" s="21">
        <f t="shared" si="83"/>
        <v>0.0488835851796332</v>
      </c>
      <c r="BM16" s="21">
        <f t="shared" si="83"/>
        <v>0.0029905252109913</v>
      </c>
      <c r="BN16" s="21">
        <f t="shared" si="83"/>
        <v>0.00615358072261413</v>
      </c>
      <c r="BO16" s="21">
        <f t="shared" si="83"/>
        <v>0.0440067286818718</v>
      </c>
    </row>
    <row r="17" spans="1:67">
      <c r="A17" s="9">
        <f t="shared" si="20"/>
        <v>44453</v>
      </c>
      <c r="B17" s="10">
        <v>16890.65</v>
      </c>
      <c r="C17" s="8">
        <v>92992.6</v>
      </c>
      <c r="D17" s="8">
        <v>59954.3</v>
      </c>
      <c r="E17" s="8">
        <v>58133.2</v>
      </c>
      <c r="F17" s="8">
        <v>5688.8</v>
      </c>
      <c r="G17" s="8">
        <v>114048.7</v>
      </c>
      <c r="H17" s="8">
        <v>5596.3</v>
      </c>
      <c r="I17" s="8">
        <v>2566.3</v>
      </c>
      <c r="J17" s="8">
        <v>967</v>
      </c>
      <c r="K17" s="8">
        <v>56</v>
      </c>
      <c r="L17" s="8">
        <v>92640.8</v>
      </c>
      <c r="M17" s="8">
        <v>61496.8</v>
      </c>
      <c r="N17" s="8">
        <v>73946.3</v>
      </c>
      <c r="O17" s="8">
        <v>104200.5</v>
      </c>
      <c r="P17" s="8">
        <v>5666.4</v>
      </c>
      <c r="Q17" s="8">
        <v>7537.3</v>
      </c>
      <c r="R17" s="8">
        <v>4622.6</v>
      </c>
      <c r="S17" s="8">
        <v>5261.3</v>
      </c>
      <c r="T17" s="8">
        <v>6755.2</v>
      </c>
      <c r="U17" s="8">
        <v>17607.5</v>
      </c>
      <c r="V17" s="8">
        <v>51203</v>
      </c>
      <c r="W17" s="8">
        <v>53059.1</v>
      </c>
      <c r="X17" s="8">
        <v>2797.7</v>
      </c>
      <c r="Y17" s="8">
        <v>2533</v>
      </c>
      <c r="Z17" s="16">
        <f t="shared" si="21"/>
        <v>58389.8</v>
      </c>
      <c r="AA17" s="8">
        <v>65882.4</v>
      </c>
      <c r="AB17" s="14">
        <v>4021</v>
      </c>
      <c r="AC17" s="7">
        <f t="shared" si="22"/>
        <v>69903.4</v>
      </c>
      <c r="AD17" s="17">
        <v>206680</v>
      </c>
      <c r="AE17" s="18">
        <f t="shared" ref="AE17:AI17" si="84">IF(OR(C18=""),"",(C18-C17)*80)</f>
        <v>0</v>
      </c>
      <c r="AF17" s="18">
        <f t="shared" si="84"/>
        <v>887.999999999884</v>
      </c>
      <c r="AG17" s="18">
        <f t="shared" si="84"/>
        <v>2928.00000000047</v>
      </c>
      <c r="AH17" s="18">
        <f t="shared" si="84"/>
        <v>1549.59999999999</v>
      </c>
      <c r="AI17" s="18">
        <f t="shared" si="84"/>
        <v>2584.00000000023</v>
      </c>
      <c r="AJ17" s="18">
        <f t="shared" si="3"/>
        <v>7949.60000000057</v>
      </c>
      <c r="AK17" s="18">
        <f t="shared" ref="AK17:AN17" si="85">IF(OR(H18=""),"",(H18-H17)*80)</f>
        <v>0</v>
      </c>
      <c r="AL17" s="18">
        <f t="shared" si="85"/>
        <v>0</v>
      </c>
      <c r="AM17" s="18">
        <f t="shared" si="85"/>
        <v>0</v>
      </c>
      <c r="AN17" s="18">
        <f t="shared" si="85"/>
        <v>0</v>
      </c>
      <c r="AO17" s="18">
        <f t="shared" si="5"/>
        <v>0</v>
      </c>
      <c r="AP17" s="18">
        <f t="shared" ref="AP17:AS17" si="86">IF(OR(L18=""),"",(L18-L17)*100)</f>
        <v>2950</v>
      </c>
      <c r="AQ17" s="18">
        <f t="shared" si="86"/>
        <v>0</v>
      </c>
      <c r="AR17" s="18">
        <f t="shared" si="86"/>
        <v>2719.99999999971</v>
      </c>
      <c r="AS17" s="18">
        <f t="shared" si="86"/>
        <v>2139.99999999942</v>
      </c>
      <c r="AT17" s="18">
        <f t="shared" si="7"/>
        <v>7809.99999999913</v>
      </c>
      <c r="AU17" s="18">
        <f t="shared" ref="AU17:AY17" si="87">IF(OR(P18=""),"",(P18-P17)*1000)</f>
        <v>4100.00000000036</v>
      </c>
      <c r="AV17" s="18">
        <f t="shared" si="87"/>
        <v>7199.99999999982</v>
      </c>
      <c r="AW17" s="18">
        <f t="shared" si="87"/>
        <v>0</v>
      </c>
      <c r="AX17" s="18">
        <f t="shared" si="87"/>
        <v>0</v>
      </c>
      <c r="AY17" s="18">
        <f t="shared" si="87"/>
        <v>0</v>
      </c>
      <c r="AZ17" s="18">
        <f t="shared" si="9"/>
        <v>11300.0000000002</v>
      </c>
      <c r="BA17" s="18">
        <f t="shared" si="10"/>
        <v>9599.99999999854</v>
      </c>
      <c r="BB17" s="18">
        <f t="shared" si="11"/>
        <v>687.999999999884</v>
      </c>
      <c r="BC17" s="18">
        <f t="shared" si="27"/>
        <v>1312.00000000012</v>
      </c>
      <c r="BD17" s="18">
        <f t="shared" si="12"/>
        <v>9040.39999996956</v>
      </c>
      <c r="BE17" s="18">
        <f t="shared" si="13"/>
        <v>47699.999999968</v>
      </c>
      <c r="BF17" s="18">
        <f t="shared" si="14"/>
        <v>62.9000000000087</v>
      </c>
      <c r="BG17" s="21">
        <f t="shared" si="15"/>
        <v>0.230791561834565</v>
      </c>
      <c r="BH17" s="21">
        <f t="shared" si="16"/>
        <v>0.0384633249467804</v>
      </c>
      <c r="BI17" s="21">
        <f t="shared" si="17"/>
        <v>0</v>
      </c>
      <c r="BJ17" s="21">
        <f t="shared" si="18"/>
        <v>0.0377878846525988</v>
      </c>
      <c r="BK17" s="21">
        <f t="shared" ref="BK17:BO17" si="88">IF(OR($AD17=0),"",AZ17/$AD17)</f>
        <v>0.0546738920069682</v>
      </c>
      <c r="BL17" s="21">
        <f t="shared" si="88"/>
        <v>0.0464486162183015</v>
      </c>
      <c r="BM17" s="21">
        <f t="shared" si="88"/>
        <v>0.00332881749564488</v>
      </c>
      <c r="BN17" s="21">
        <f t="shared" si="88"/>
        <v>0.00634797754983606</v>
      </c>
      <c r="BO17" s="21">
        <f t="shared" si="88"/>
        <v>0.0437410489644356</v>
      </c>
    </row>
    <row r="18" spans="1:67">
      <c r="A18" s="9">
        <f t="shared" si="20"/>
        <v>44454</v>
      </c>
      <c r="B18" s="10">
        <v>16895.42</v>
      </c>
      <c r="C18" s="8">
        <v>92992.6</v>
      </c>
      <c r="D18" s="8">
        <v>59965.4</v>
      </c>
      <c r="E18" s="8">
        <v>58169.8</v>
      </c>
      <c r="F18" s="8">
        <v>5708.17</v>
      </c>
      <c r="G18" s="8">
        <v>114081</v>
      </c>
      <c r="H18" s="8">
        <v>5596.3</v>
      </c>
      <c r="I18" s="8">
        <v>2566.3</v>
      </c>
      <c r="J18" s="8">
        <v>967</v>
      </c>
      <c r="K18" s="8">
        <v>56</v>
      </c>
      <c r="L18" s="8">
        <v>92670.3</v>
      </c>
      <c r="M18" s="8">
        <v>61496.8</v>
      </c>
      <c r="N18" s="8">
        <v>73973.5</v>
      </c>
      <c r="O18" s="8">
        <v>104221.9</v>
      </c>
      <c r="P18" s="8">
        <v>5670.5</v>
      </c>
      <c r="Q18" s="8">
        <v>7544.5</v>
      </c>
      <c r="R18" s="8">
        <v>4622.6</v>
      </c>
      <c r="S18" s="8">
        <v>5261.3</v>
      </c>
      <c r="T18" s="8">
        <v>6755.2</v>
      </c>
      <c r="U18" s="8">
        <v>17612.3</v>
      </c>
      <c r="V18" s="8">
        <v>51211.6</v>
      </c>
      <c r="W18" s="8">
        <v>53075.9</v>
      </c>
      <c r="X18" s="8">
        <v>2805.6</v>
      </c>
      <c r="Y18" s="8">
        <v>2541.1</v>
      </c>
      <c r="Z18" s="16">
        <f t="shared" si="21"/>
        <v>58422.6</v>
      </c>
      <c r="AA18" s="8">
        <v>65939.3</v>
      </c>
      <c r="AB18" s="14">
        <v>4027</v>
      </c>
      <c r="AC18" s="7">
        <f t="shared" si="22"/>
        <v>69966.3</v>
      </c>
      <c r="AD18" s="17">
        <v>207117</v>
      </c>
      <c r="AE18" s="18">
        <f t="shared" ref="AE18:AI18" si="89">IF(OR(C19=""),"",(C19-C18)*80)</f>
        <v>3903.99999999907</v>
      </c>
      <c r="AF18" s="18">
        <f t="shared" si="89"/>
        <v>87.9999999998836</v>
      </c>
      <c r="AG18" s="18">
        <f t="shared" si="89"/>
        <v>2127.99999999988</v>
      </c>
      <c r="AH18" s="18">
        <f t="shared" si="89"/>
        <v>1911.20000000003</v>
      </c>
      <c r="AI18" s="18">
        <f t="shared" si="89"/>
        <v>2160</v>
      </c>
      <c r="AJ18" s="18">
        <f t="shared" si="3"/>
        <v>10191.1999999989</v>
      </c>
      <c r="AK18" s="18">
        <f t="shared" ref="AK18:AN18" si="90">IF(OR(H19=""),"",(H19-H18)*80)</f>
        <v>0</v>
      </c>
      <c r="AL18" s="18">
        <f t="shared" si="90"/>
        <v>0</v>
      </c>
      <c r="AM18" s="18">
        <f t="shared" si="90"/>
        <v>0</v>
      </c>
      <c r="AN18" s="18">
        <f t="shared" si="90"/>
        <v>0</v>
      </c>
      <c r="AO18" s="18">
        <f t="shared" si="5"/>
        <v>0</v>
      </c>
      <c r="AP18" s="18">
        <f t="shared" ref="AP18:AS18" si="91">IF(OR(L19=""),"",(L19-L18)*100)</f>
        <v>3000</v>
      </c>
      <c r="AQ18" s="18">
        <f t="shared" si="91"/>
        <v>0</v>
      </c>
      <c r="AR18" s="18">
        <f t="shared" si="91"/>
        <v>2739.99999999942</v>
      </c>
      <c r="AS18" s="18">
        <f t="shared" si="91"/>
        <v>2180.00000000029</v>
      </c>
      <c r="AT18" s="18">
        <f t="shared" si="7"/>
        <v>7919.99999999971</v>
      </c>
      <c r="AU18" s="18">
        <f t="shared" ref="AU18:AY18" si="92">IF(OR(P19=""),"",(P19-P18)*1000)</f>
        <v>4199.99999999982</v>
      </c>
      <c r="AV18" s="18">
        <f t="shared" si="92"/>
        <v>7699.99999999982</v>
      </c>
      <c r="AW18" s="18">
        <f t="shared" si="92"/>
        <v>0</v>
      </c>
      <c r="AX18" s="18">
        <f t="shared" si="92"/>
        <v>0</v>
      </c>
      <c r="AY18" s="18">
        <f t="shared" si="92"/>
        <v>0</v>
      </c>
      <c r="AZ18" s="18">
        <f t="shared" si="9"/>
        <v>11899.9999999996</v>
      </c>
      <c r="BA18" s="18">
        <f t="shared" si="10"/>
        <v>10200.0000000044</v>
      </c>
      <c r="BB18" s="18">
        <f t="shared" si="11"/>
        <v>640</v>
      </c>
      <c r="BC18" s="18">
        <f t="shared" si="27"/>
        <v>1324.00000000023</v>
      </c>
      <c r="BD18" s="18">
        <f t="shared" si="12"/>
        <v>8824.80000001902</v>
      </c>
      <c r="BE18" s="18">
        <f t="shared" si="13"/>
        <v>51000.0000000218</v>
      </c>
      <c r="BF18" s="18">
        <f t="shared" si="14"/>
        <v>64.5</v>
      </c>
      <c r="BG18" s="21">
        <f t="shared" si="15"/>
        <v>0.24623763380129</v>
      </c>
      <c r="BH18" s="21">
        <f t="shared" si="16"/>
        <v>0.0492050386979285</v>
      </c>
      <c r="BI18" s="21">
        <f t="shared" si="17"/>
        <v>0</v>
      </c>
      <c r="BJ18" s="21">
        <f t="shared" si="18"/>
        <v>0.0382392560726532</v>
      </c>
      <c r="BK18" s="21">
        <f t="shared" ref="BK18:BO18" si="93">IF(OR($AD18=0),"",AZ18/$AD18)</f>
        <v>0.0574554478869414</v>
      </c>
      <c r="BL18" s="21">
        <f t="shared" si="93"/>
        <v>0.049247526760258</v>
      </c>
      <c r="BM18" s="21">
        <f t="shared" si="93"/>
        <v>0.00309004089475997</v>
      </c>
      <c r="BN18" s="21">
        <f t="shared" si="93"/>
        <v>0.00639252210103581</v>
      </c>
      <c r="BO18" s="21">
        <f t="shared" si="93"/>
        <v>0.0426078013877133</v>
      </c>
    </row>
    <row r="19" spans="1:67">
      <c r="A19" s="9">
        <f t="shared" si="20"/>
        <v>44455</v>
      </c>
      <c r="B19" s="10">
        <v>16900.52</v>
      </c>
      <c r="C19" s="8">
        <v>93041.4</v>
      </c>
      <c r="D19" s="8">
        <v>59966.5</v>
      </c>
      <c r="E19" s="8">
        <v>58196.4</v>
      </c>
      <c r="F19" s="8">
        <v>5732.06</v>
      </c>
      <c r="G19" s="8">
        <v>114108</v>
      </c>
      <c r="H19" s="8">
        <v>5596.3</v>
      </c>
      <c r="I19" s="8">
        <v>2566.3</v>
      </c>
      <c r="J19" s="8">
        <v>967</v>
      </c>
      <c r="K19" s="8">
        <v>56</v>
      </c>
      <c r="L19" s="8">
        <v>92700.3</v>
      </c>
      <c r="M19" s="8">
        <v>61496.8</v>
      </c>
      <c r="N19" s="8">
        <v>74000.9</v>
      </c>
      <c r="O19" s="8">
        <v>104243.7</v>
      </c>
      <c r="P19" s="8">
        <v>5674.7</v>
      </c>
      <c r="Q19" s="8">
        <v>7552.2</v>
      </c>
      <c r="R19" s="8">
        <v>4622.6</v>
      </c>
      <c r="S19" s="8">
        <v>5261.3</v>
      </c>
      <c r="T19" s="8">
        <v>6755.2</v>
      </c>
      <c r="U19" s="8">
        <v>17617.4</v>
      </c>
      <c r="V19" s="8">
        <v>51219.6</v>
      </c>
      <c r="W19" s="8">
        <v>53092.6</v>
      </c>
      <c r="X19" s="8">
        <v>2813.8</v>
      </c>
      <c r="Y19" s="8">
        <v>2549.3</v>
      </c>
      <c r="Z19" s="16">
        <f t="shared" si="21"/>
        <v>58455.7</v>
      </c>
      <c r="AA19" s="8">
        <v>65996.8</v>
      </c>
      <c r="AB19" s="14">
        <v>4034</v>
      </c>
      <c r="AC19" s="7">
        <f t="shared" si="22"/>
        <v>70030.8</v>
      </c>
      <c r="AD19" s="17">
        <v>207069</v>
      </c>
      <c r="AE19" s="18">
        <f t="shared" ref="AE19:AI19" si="94">IF(OR(C20=""),"",(C20-C19)*80)</f>
        <v>3840</v>
      </c>
      <c r="AF19" s="18">
        <f t="shared" si="94"/>
        <v>2687.99999999988</v>
      </c>
      <c r="AG19" s="18">
        <f t="shared" si="94"/>
        <v>2487.99999999988</v>
      </c>
      <c r="AH19" s="18">
        <f t="shared" si="94"/>
        <v>3.99999999994179</v>
      </c>
      <c r="AI19" s="18">
        <f t="shared" si="94"/>
        <v>2151.99999999953</v>
      </c>
      <c r="AJ19" s="18">
        <f t="shared" si="3"/>
        <v>11171.9999999992</v>
      </c>
      <c r="AK19" s="18">
        <f t="shared" ref="AK19:AN19" si="95">IF(OR(H20=""),"",(H20-H19)*80)</f>
        <v>0</v>
      </c>
      <c r="AL19" s="18">
        <f t="shared" si="95"/>
        <v>0</v>
      </c>
      <c r="AM19" s="18">
        <f t="shared" si="95"/>
        <v>0</v>
      </c>
      <c r="AN19" s="18">
        <f t="shared" si="95"/>
        <v>0</v>
      </c>
      <c r="AO19" s="18">
        <f t="shared" si="5"/>
        <v>0</v>
      </c>
      <c r="AP19" s="18">
        <f t="shared" ref="AP19:AS19" si="96">IF(OR(L20=""),"",(L20-L19)*100)</f>
        <v>3130.00000000029</v>
      </c>
      <c r="AQ19" s="18">
        <f t="shared" si="96"/>
        <v>0</v>
      </c>
      <c r="AR19" s="18">
        <f t="shared" si="96"/>
        <v>2780.00000000029</v>
      </c>
      <c r="AS19" s="18">
        <f t="shared" si="96"/>
        <v>2169.99999999971</v>
      </c>
      <c r="AT19" s="18">
        <f t="shared" si="7"/>
        <v>8080.00000000029</v>
      </c>
      <c r="AU19" s="18">
        <f t="shared" ref="AU19:AY19" si="97">IF(OR(P20=""),"",(P20-P19)*1000)</f>
        <v>4199.99999999982</v>
      </c>
      <c r="AV19" s="18">
        <f t="shared" si="97"/>
        <v>7900.00000000055</v>
      </c>
      <c r="AW19" s="18">
        <f t="shared" si="97"/>
        <v>0</v>
      </c>
      <c r="AX19" s="18">
        <f t="shared" si="97"/>
        <v>0</v>
      </c>
      <c r="AY19" s="18">
        <f t="shared" si="97"/>
        <v>0</v>
      </c>
      <c r="AZ19" s="18">
        <f t="shared" si="9"/>
        <v>12100.0000000004</v>
      </c>
      <c r="BA19" s="18">
        <f t="shared" si="10"/>
        <v>10000</v>
      </c>
      <c r="BB19" s="18">
        <f t="shared" si="11"/>
        <v>664.000000000233</v>
      </c>
      <c r="BC19" s="18">
        <f t="shared" si="27"/>
        <v>1303.99999999994</v>
      </c>
      <c r="BD19" s="18">
        <f t="shared" si="12"/>
        <v>8379.99999998246</v>
      </c>
      <c r="BE19" s="18">
        <f t="shared" si="13"/>
        <v>51699.9999999825</v>
      </c>
      <c r="BF19" s="18">
        <f t="shared" si="14"/>
        <v>72.1999999999971</v>
      </c>
      <c r="BG19" s="21">
        <f t="shared" si="15"/>
        <v>0.249675229029853</v>
      </c>
      <c r="BH19" s="21">
        <f t="shared" si="16"/>
        <v>0.0539530301493668</v>
      </c>
      <c r="BI19" s="21">
        <f t="shared" si="17"/>
        <v>0</v>
      </c>
      <c r="BJ19" s="21">
        <f t="shared" si="18"/>
        <v>0.039020809488626</v>
      </c>
      <c r="BK19" s="21">
        <f t="shared" ref="BK19:BO19" si="98">IF(OR($AD19=0),"",AZ19/$AD19)</f>
        <v>0.058434628070838</v>
      </c>
      <c r="BL19" s="21">
        <f t="shared" si="98"/>
        <v>0.0482930810502779</v>
      </c>
      <c r="BM19" s="21">
        <f t="shared" si="98"/>
        <v>0.00320666058173958</v>
      </c>
      <c r="BN19" s="21">
        <f t="shared" si="98"/>
        <v>0.00629741776895596</v>
      </c>
      <c r="BO19" s="21">
        <f t="shared" si="98"/>
        <v>0.0404696019200482</v>
      </c>
    </row>
    <row r="20" spans="1:67">
      <c r="A20" s="9">
        <f t="shared" si="20"/>
        <v>44456</v>
      </c>
      <c r="B20" s="10">
        <v>16905.69</v>
      </c>
      <c r="C20" s="8">
        <v>93089.4</v>
      </c>
      <c r="D20" s="8">
        <v>60000.1</v>
      </c>
      <c r="E20" s="8">
        <v>58227.5</v>
      </c>
      <c r="F20" s="8">
        <v>5732.11</v>
      </c>
      <c r="G20" s="8">
        <v>114134.9</v>
      </c>
      <c r="H20" s="8">
        <v>5596.3</v>
      </c>
      <c r="I20" s="8">
        <v>2566.3</v>
      </c>
      <c r="J20" s="8">
        <v>967</v>
      </c>
      <c r="K20" s="8">
        <v>56</v>
      </c>
      <c r="L20" s="8">
        <v>92731.6</v>
      </c>
      <c r="M20" s="8">
        <v>61496.8</v>
      </c>
      <c r="N20" s="8">
        <v>74028.7</v>
      </c>
      <c r="O20" s="8">
        <v>104265.4</v>
      </c>
      <c r="P20" s="8">
        <v>5678.9</v>
      </c>
      <c r="Q20" s="8">
        <v>7560.1</v>
      </c>
      <c r="R20" s="8">
        <v>4622.6</v>
      </c>
      <c r="S20" s="8">
        <v>5261.3</v>
      </c>
      <c r="T20" s="8">
        <v>6755.2</v>
      </c>
      <c r="U20" s="8">
        <v>17622.4</v>
      </c>
      <c r="V20" s="8">
        <v>51227.9</v>
      </c>
      <c r="W20" s="8">
        <v>53109</v>
      </c>
      <c r="X20" s="8">
        <v>2821.8</v>
      </c>
      <c r="Y20" s="8">
        <v>2557.5</v>
      </c>
      <c r="Z20" s="16">
        <f t="shared" si="21"/>
        <v>58488.3</v>
      </c>
      <c r="AA20" s="8">
        <v>66053</v>
      </c>
      <c r="AB20" s="14">
        <v>4050</v>
      </c>
      <c r="AC20" s="7">
        <f t="shared" si="22"/>
        <v>70103</v>
      </c>
      <c r="AD20" s="17">
        <v>209295</v>
      </c>
      <c r="AE20" s="18">
        <f t="shared" ref="AE20:AI20" si="99">IF(OR(C21=""),"",(C21-C20)*80)</f>
        <v>3704.00000000023</v>
      </c>
      <c r="AF20" s="18">
        <f t="shared" si="99"/>
        <v>2567.99999999988</v>
      </c>
      <c r="AG20" s="18">
        <f t="shared" si="99"/>
        <v>1935.99999999977</v>
      </c>
      <c r="AH20" s="18">
        <f t="shared" si="99"/>
        <v>4.80000000003201</v>
      </c>
      <c r="AI20" s="18">
        <f t="shared" si="99"/>
        <v>2248.00000000047</v>
      </c>
      <c r="AJ20" s="18">
        <f t="shared" si="3"/>
        <v>10460.8000000004</v>
      </c>
      <c r="AK20" s="18">
        <f t="shared" ref="AK20:AN20" si="100">IF(OR(H21=""),"",(H21-H20)*80)</f>
        <v>0</v>
      </c>
      <c r="AL20" s="18">
        <f t="shared" si="100"/>
        <v>0</v>
      </c>
      <c r="AM20" s="18">
        <f t="shared" si="100"/>
        <v>0</v>
      </c>
      <c r="AN20" s="18">
        <f t="shared" si="100"/>
        <v>0</v>
      </c>
      <c r="AO20" s="18">
        <f t="shared" si="5"/>
        <v>0</v>
      </c>
      <c r="AP20" s="18">
        <f t="shared" ref="AP20:AS20" si="101">IF(OR(L21=""),"",(L21-L20)*100)</f>
        <v>3139.99999999942</v>
      </c>
      <c r="AQ20" s="18">
        <f t="shared" si="101"/>
        <v>0</v>
      </c>
      <c r="AR20" s="18">
        <f t="shared" si="101"/>
        <v>2740.00000000087</v>
      </c>
      <c r="AS20" s="18">
        <f t="shared" si="101"/>
        <v>2140.00000000087</v>
      </c>
      <c r="AT20" s="18">
        <f t="shared" si="7"/>
        <v>8020.00000000116</v>
      </c>
      <c r="AU20" s="18">
        <f t="shared" ref="AU20:AY20" si="102">IF(OR(P21=""),"",(P21-P20)*1000)</f>
        <v>3900.00000000055</v>
      </c>
      <c r="AV20" s="18">
        <f t="shared" si="102"/>
        <v>6899.99999999964</v>
      </c>
      <c r="AW20" s="18">
        <f t="shared" si="102"/>
        <v>0</v>
      </c>
      <c r="AX20" s="18">
        <f t="shared" si="102"/>
        <v>500</v>
      </c>
      <c r="AY20" s="18">
        <f t="shared" si="102"/>
        <v>0</v>
      </c>
      <c r="AZ20" s="18">
        <f t="shared" si="9"/>
        <v>11300.0000000002</v>
      </c>
      <c r="BA20" s="18">
        <f t="shared" si="10"/>
        <v>10000</v>
      </c>
      <c r="BB20" s="18">
        <f t="shared" si="11"/>
        <v>672.000000000116</v>
      </c>
      <c r="BC20" s="18">
        <f t="shared" si="27"/>
        <v>1299.99999999971</v>
      </c>
      <c r="BD20" s="18">
        <f t="shared" si="12"/>
        <v>8647.20000000718</v>
      </c>
      <c r="BE20" s="18">
        <f t="shared" si="13"/>
        <v>50400.0000000087</v>
      </c>
      <c r="BF20" s="18">
        <f t="shared" si="14"/>
        <v>63.8999999999942</v>
      </c>
      <c r="BG20" s="21">
        <f t="shared" si="15"/>
        <v>0.240808428295032</v>
      </c>
      <c r="BH20" s="21">
        <f t="shared" si="16"/>
        <v>0.0499811271172287</v>
      </c>
      <c r="BI20" s="21">
        <f t="shared" si="17"/>
        <v>0</v>
      </c>
      <c r="BJ20" s="21">
        <f t="shared" si="18"/>
        <v>0.0383191189469465</v>
      </c>
      <c r="BK20" s="21">
        <f t="shared" ref="BK20:BO20" si="103">IF(OR($AD20=0),"",AZ20/$AD20)</f>
        <v>0.0539907785661396</v>
      </c>
      <c r="BL20" s="21">
        <f t="shared" si="103"/>
        <v>0.0477794500585298</v>
      </c>
      <c r="BM20" s="21">
        <f t="shared" si="103"/>
        <v>0.00321077904393376</v>
      </c>
      <c r="BN20" s="21">
        <f t="shared" si="103"/>
        <v>0.00621132850760749</v>
      </c>
      <c r="BO20" s="21">
        <f t="shared" si="103"/>
        <v>0.0413158460546462</v>
      </c>
    </row>
    <row r="21" spans="1:67">
      <c r="A21" s="9">
        <f t="shared" si="20"/>
        <v>44457</v>
      </c>
      <c r="B21" s="10">
        <v>16910.73</v>
      </c>
      <c r="C21" s="8">
        <v>93135.7</v>
      </c>
      <c r="D21" s="8">
        <v>60032.2</v>
      </c>
      <c r="E21" s="8">
        <v>58251.7</v>
      </c>
      <c r="F21" s="8">
        <v>5732.17</v>
      </c>
      <c r="G21" s="8">
        <v>114163</v>
      </c>
      <c r="H21" s="8">
        <v>5596.3</v>
      </c>
      <c r="I21" s="8">
        <v>2566.3</v>
      </c>
      <c r="J21" s="8">
        <v>967</v>
      </c>
      <c r="K21" s="8">
        <v>56</v>
      </c>
      <c r="L21" s="8">
        <v>92763</v>
      </c>
      <c r="M21" s="8">
        <v>61496.8</v>
      </c>
      <c r="N21" s="8">
        <v>74056.1</v>
      </c>
      <c r="O21" s="8">
        <v>104286.8</v>
      </c>
      <c r="P21" s="8">
        <v>5682.8</v>
      </c>
      <c r="Q21" s="8">
        <v>7567</v>
      </c>
      <c r="R21" s="8">
        <v>4622.6</v>
      </c>
      <c r="S21" s="8">
        <v>5261.8</v>
      </c>
      <c r="T21" s="8">
        <v>6755.2</v>
      </c>
      <c r="U21" s="8">
        <v>17627.4</v>
      </c>
      <c r="V21" s="8">
        <v>51236.3</v>
      </c>
      <c r="W21" s="8">
        <v>53125.4</v>
      </c>
      <c r="X21" s="8">
        <v>2829.7</v>
      </c>
      <c r="Y21" s="8">
        <v>2565.7</v>
      </c>
      <c r="Z21" s="16">
        <f t="shared" si="21"/>
        <v>58520.8</v>
      </c>
      <c r="AA21" s="8">
        <v>66109.9</v>
      </c>
      <c r="AB21" s="14">
        <v>4057</v>
      </c>
      <c r="AC21" s="7">
        <f t="shared" si="22"/>
        <v>70166.9</v>
      </c>
      <c r="AD21" s="17">
        <v>208375</v>
      </c>
      <c r="AE21" s="18">
        <f t="shared" ref="AE21:AI21" si="104">IF(OR(C22=""),"",(C22-C21)*80)</f>
        <v>3792.0000000007</v>
      </c>
      <c r="AF21" s="18">
        <f t="shared" si="104"/>
        <v>2680</v>
      </c>
      <c r="AG21" s="18">
        <f t="shared" si="104"/>
        <v>2040</v>
      </c>
      <c r="AH21" s="18">
        <f t="shared" si="104"/>
        <v>4.00000000001455</v>
      </c>
      <c r="AI21" s="18">
        <f t="shared" si="104"/>
        <v>2344.00000000023</v>
      </c>
      <c r="AJ21" s="18">
        <f t="shared" si="3"/>
        <v>10860.0000000009</v>
      </c>
      <c r="AK21" s="18">
        <f t="shared" ref="AK21:AN21" si="105">IF(OR(H22=""),"",(H22-H21)*80)</f>
        <v>0</v>
      </c>
      <c r="AL21" s="18">
        <f t="shared" si="105"/>
        <v>0</v>
      </c>
      <c r="AM21" s="18">
        <f t="shared" si="105"/>
        <v>0</v>
      </c>
      <c r="AN21" s="18">
        <f t="shared" si="105"/>
        <v>0</v>
      </c>
      <c r="AO21" s="18">
        <f t="shared" si="5"/>
        <v>0</v>
      </c>
      <c r="AP21" s="18">
        <f t="shared" ref="AP21:AS21" si="106">IF(OR(L22=""),"",(L22-L21)*100)</f>
        <v>3119.99999999971</v>
      </c>
      <c r="AQ21" s="18">
        <f t="shared" si="106"/>
        <v>0</v>
      </c>
      <c r="AR21" s="18">
        <f t="shared" si="106"/>
        <v>2739.99999999942</v>
      </c>
      <c r="AS21" s="18">
        <f t="shared" si="106"/>
        <v>2139.99999999942</v>
      </c>
      <c r="AT21" s="18">
        <f t="shared" si="7"/>
        <v>7999.99999999854</v>
      </c>
      <c r="AU21" s="18">
        <f t="shared" ref="AU21:AY21" si="107">IF(OR(P22=""),"",(P22-P21)*1000)</f>
        <v>4000</v>
      </c>
      <c r="AV21" s="18">
        <f t="shared" si="107"/>
        <v>0</v>
      </c>
      <c r="AW21" s="18">
        <f t="shared" si="107"/>
        <v>0</v>
      </c>
      <c r="AX21" s="18">
        <f t="shared" si="107"/>
        <v>4899.99999999964</v>
      </c>
      <c r="AY21" s="18">
        <f t="shared" si="107"/>
        <v>0</v>
      </c>
      <c r="AZ21" s="18">
        <f t="shared" si="9"/>
        <v>8899.99999999964</v>
      </c>
      <c r="BA21" s="18">
        <f t="shared" si="10"/>
        <v>9000</v>
      </c>
      <c r="BB21" s="18">
        <f t="shared" si="11"/>
        <v>671.999999999534</v>
      </c>
      <c r="BC21" s="18">
        <f t="shared" si="27"/>
        <v>1312.00000000012</v>
      </c>
      <c r="BD21" s="18">
        <f t="shared" si="12"/>
        <v>13756.0000000012</v>
      </c>
      <c r="BE21" s="18">
        <f t="shared" si="13"/>
        <v>52500</v>
      </c>
      <c r="BF21" s="18">
        <f t="shared" si="14"/>
        <v>65.4000000000087</v>
      </c>
      <c r="BG21" s="21">
        <f t="shared" si="15"/>
        <v>0.251949610077984</v>
      </c>
      <c r="BH21" s="21">
        <f t="shared" si="16"/>
        <v>0.0521175764847076</v>
      </c>
      <c r="BI21" s="21">
        <f t="shared" si="17"/>
        <v>0</v>
      </c>
      <c r="BJ21" s="21">
        <f t="shared" si="18"/>
        <v>0.0383923215356859</v>
      </c>
      <c r="BK21" s="21">
        <f t="shared" ref="BK21:BO21" si="108">IF(OR($AD21=0),"",AZ21/$AD21)</f>
        <v>0.0427114577084566</v>
      </c>
      <c r="BL21" s="21">
        <f t="shared" si="108"/>
        <v>0.0431913617276545</v>
      </c>
      <c r="BM21" s="21">
        <f t="shared" si="108"/>
        <v>0.00322495500899597</v>
      </c>
      <c r="BN21" s="21">
        <f t="shared" si="108"/>
        <v>0.00629634073185419</v>
      </c>
      <c r="BO21" s="21">
        <f t="shared" si="108"/>
        <v>0.0660155968806297</v>
      </c>
    </row>
    <row r="22" spans="1:67">
      <c r="A22" s="9">
        <f t="shared" si="20"/>
        <v>44458</v>
      </c>
      <c r="B22" s="10">
        <v>16915.98</v>
      </c>
      <c r="C22" s="8">
        <v>93183.1</v>
      </c>
      <c r="D22" s="8">
        <v>60065.7</v>
      </c>
      <c r="E22" s="8">
        <v>58277.2</v>
      </c>
      <c r="F22" s="8">
        <v>5732.22</v>
      </c>
      <c r="G22" s="8">
        <v>114192.3</v>
      </c>
      <c r="H22" s="8">
        <v>5596.3</v>
      </c>
      <c r="I22" s="8">
        <v>2566.3</v>
      </c>
      <c r="J22" s="8">
        <v>967</v>
      </c>
      <c r="K22" s="8">
        <v>56</v>
      </c>
      <c r="L22" s="8">
        <v>92794.2</v>
      </c>
      <c r="M22" s="8">
        <v>61496.8</v>
      </c>
      <c r="N22" s="8">
        <v>74083.5</v>
      </c>
      <c r="O22" s="8">
        <v>104308.2</v>
      </c>
      <c r="P22" s="8">
        <v>5686.8</v>
      </c>
      <c r="Q22" s="8">
        <v>7567</v>
      </c>
      <c r="R22" s="8">
        <v>4622.6</v>
      </c>
      <c r="S22" s="8">
        <v>5266.7</v>
      </c>
      <c r="T22" s="8">
        <v>6755.2</v>
      </c>
      <c r="U22" s="8">
        <v>17631.9</v>
      </c>
      <c r="V22" s="8">
        <v>51244.7</v>
      </c>
      <c r="W22" s="8">
        <v>53142.1</v>
      </c>
      <c r="X22" s="8">
        <v>2837.6</v>
      </c>
      <c r="Y22" s="8">
        <v>2573.9</v>
      </c>
      <c r="Z22" s="16">
        <f t="shared" si="21"/>
        <v>58553.6</v>
      </c>
      <c r="AA22" s="8">
        <v>66168.3</v>
      </c>
      <c r="AB22" s="14">
        <v>4064</v>
      </c>
      <c r="AC22" s="7">
        <f t="shared" si="22"/>
        <v>70232.3</v>
      </c>
      <c r="AD22" s="17">
        <v>140007</v>
      </c>
      <c r="AE22" s="18">
        <f t="shared" ref="AE22:AI22" si="109">IF(OR(C23=""),"",(C23-C22)*80)</f>
        <v>520</v>
      </c>
      <c r="AF22" s="18">
        <f t="shared" si="109"/>
        <v>752.000000000116</v>
      </c>
      <c r="AG22" s="18">
        <f t="shared" si="109"/>
        <v>2560</v>
      </c>
      <c r="AH22" s="18">
        <f t="shared" si="109"/>
        <v>1338.39999999997</v>
      </c>
      <c r="AI22" s="18">
        <f t="shared" si="109"/>
        <v>2231.99999999953</v>
      </c>
      <c r="AJ22" s="18">
        <f t="shared" si="3"/>
        <v>7402.39999999962</v>
      </c>
      <c r="AK22" s="18">
        <f t="shared" ref="AK22:AN22" si="110">IF(OR(H23=""),"",(H23-H22)*80)</f>
        <v>0</v>
      </c>
      <c r="AL22" s="18">
        <f t="shared" si="110"/>
        <v>0</v>
      </c>
      <c r="AM22" s="18">
        <f t="shared" si="110"/>
        <v>0</v>
      </c>
      <c r="AN22" s="18">
        <f t="shared" si="110"/>
        <v>0</v>
      </c>
      <c r="AO22" s="18">
        <f t="shared" si="5"/>
        <v>0</v>
      </c>
      <c r="AP22" s="18">
        <f t="shared" ref="AP22:AS22" si="111">IF(OR(L23=""),"",(L23-L22)*100)</f>
        <v>1869.99999999971</v>
      </c>
      <c r="AQ22" s="18">
        <f t="shared" si="111"/>
        <v>0</v>
      </c>
      <c r="AR22" s="18">
        <f t="shared" si="111"/>
        <v>1960.00000000058</v>
      </c>
      <c r="AS22" s="18">
        <f t="shared" si="111"/>
        <v>1610.00000000058</v>
      </c>
      <c r="AT22" s="18">
        <f t="shared" si="7"/>
        <v>5440.00000000087</v>
      </c>
      <c r="AU22" s="18">
        <f t="shared" ref="AU22:AY22" si="112">IF(OR(P23=""),"",(P23-P22)*1000)</f>
        <v>2300.00000000018</v>
      </c>
      <c r="AV22" s="18">
        <f t="shared" si="112"/>
        <v>0</v>
      </c>
      <c r="AW22" s="18">
        <f t="shared" si="112"/>
        <v>599.999999999454</v>
      </c>
      <c r="AX22" s="18">
        <f t="shared" si="112"/>
        <v>5300.00000000018</v>
      </c>
      <c r="AY22" s="18">
        <f t="shared" si="112"/>
        <v>0</v>
      </c>
      <c r="AZ22" s="18">
        <f t="shared" si="9"/>
        <v>8199.99999999982</v>
      </c>
      <c r="BA22" s="18">
        <f t="shared" si="10"/>
        <v>6199.99999999709</v>
      </c>
      <c r="BB22" s="18">
        <f t="shared" si="11"/>
        <v>608.000000000466</v>
      </c>
      <c r="BC22" s="18">
        <f t="shared" si="27"/>
        <v>1320</v>
      </c>
      <c r="BD22" s="18">
        <f t="shared" si="12"/>
        <v>13229.6000000181</v>
      </c>
      <c r="BE22" s="18">
        <f t="shared" si="13"/>
        <v>42400.000000016</v>
      </c>
      <c r="BF22" s="18">
        <f t="shared" si="14"/>
        <v>63.8999999999942</v>
      </c>
      <c r="BG22" s="21">
        <f t="shared" si="15"/>
        <v>0.302842000757219</v>
      </c>
      <c r="BH22" s="21">
        <f t="shared" si="16"/>
        <v>0.0528716421321764</v>
      </c>
      <c r="BI22" s="21">
        <f t="shared" si="17"/>
        <v>0</v>
      </c>
      <c r="BJ22" s="21">
        <f t="shared" si="18"/>
        <v>0.0388552000971442</v>
      </c>
      <c r="BK22" s="21">
        <f t="shared" ref="BK22:BO22" si="113">IF(OR($AD22=0),"",AZ22/$AD22)</f>
        <v>0.0585685001464199</v>
      </c>
      <c r="BL22" s="21">
        <f t="shared" si="113"/>
        <v>0.044283500110688</v>
      </c>
      <c r="BM22" s="21">
        <f t="shared" si="113"/>
        <v>0.00434264001085993</v>
      </c>
      <c r="BN22" s="21">
        <f t="shared" si="113"/>
        <v>0.00942810002357025</v>
      </c>
      <c r="BO22" s="21">
        <f t="shared" si="113"/>
        <v>0.0944924182363606</v>
      </c>
    </row>
    <row r="23" spans="1:67">
      <c r="A23" s="9">
        <f t="shared" si="20"/>
        <v>44459</v>
      </c>
      <c r="B23" s="10">
        <v>16920.22</v>
      </c>
      <c r="C23" s="8">
        <v>93189.6</v>
      </c>
      <c r="D23" s="8">
        <v>60075.1</v>
      </c>
      <c r="E23" s="8">
        <v>58309.2</v>
      </c>
      <c r="F23" s="8">
        <v>5748.95</v>
      </c>
      <c r="G23" s="8">
        <v>114220.2</v>
      </c>
      <c r="H23" s="8">
        <v>5596.3</v>
      </c>
      <c r="I23" s="8">
        <v>2566.3</v>
      </c>
      <c r="J23" s="8">
        <v>967</v>
      </c>
      <c r="K23" s="8">
        <v>56</v>
      </c>
      <c r="L23" s="8">
        <v>92812.9</v>
      </c>
      <c r="M23" s="8">
        <v>61496.8</v>
      </c>
      <c r="N23" s="8">
        <v>74103.1</v>
      </c>
      <c r="O23" s="8">
        <v>104324.3</v>
      </c>
      <c r="P23" s="8">
        <v>5689.1</v>
      </c>
      <c r="Q23" s="8">
        <v>7567</v>
      </c>
      <c r="R23" s="8">
        <v>4623.2</v>
      </c>
      <c r="S23" s="8">
        <v>5272</v>
      </c>
      <c r="T23" s="8">
        <v>6755.2</v>
      </c>
      <c r="U23" s="8">
        <v>17635</v>
      </c>
      <c r="V23" s="8">
        <v>51252.3</v>
      </c>
      <c r="W23" s="8">
        <v>53158.5</v>
      </c>
      <c r="X23" s="8">
        <v>2845.7</v>
      </c>
      <c r="Y23" s="8">
        <v>2582.4</v>
      </c>
      <c r="Z23" s="16">
        <f t="shared" si="21"/>
        <v>58586.6</v>
      </c>
      <c r="AA23" s="8">
        <v>66226.2</v>
      </c>
      <c r="AB23" s="14">
        <v>4070</v>
      </c>
      <c r="AC23" s="7">
        <f t="shared" si="22"/>
        <v>70296.2</v>
      </c>
      <c r="AD23" s="17">
        <v>207284</v>
      </c>
      <c r="AE23" s="18">
        <f t="shared" ref="AE23:AI23" si="114">IF(OR(C24=""),"",(C24-C23)*80)</f>
        <v>0</v>
      </c>
      <c r="AF23" s="18">
        <f t="shared" si="114"/>
        <v>2984.00000000023</v>
      </c>
      <c r="AG23" s="18">
        <f t="shared" si="114"/>
        <v>1776.00000000035</v>
      </c>
      <c r="AH23" s="18">
        <f t="shared" si="114"/>
        <v>2399.19999999998</v>
      </c>
      <c r="AI23" s="18">
        <f t="shared" si="114"/>
        <v>2032.0000000007</v>
      </c>
      <c r="AJ23" s="18">
        <f t="shared" si="3"/>
        <v>9191.20000000126</v>
      </c>
      <c r="AK23" s="18">
        <f t="shared" ref="AK23:AN23" si="115">IF(OR(H24=""),"",(H24-H23)*80)</f>
        <v>0</v>
      </c>
      <c r="AL23" s="18">
        <f t="shared" si="115"/>
        <v>0</v>
      </c>
      <c r="AM23" s="18">
        <f t="shared" si="115"/>
        <v>0</v>
      </c>
      <c r="AN23" s="18">
        <f t="shared" si="115"/>
        <v>0</v>
      </c>
      <c r="AO23" s="18">
        <f t="shared" si="5"/>
        <v>0</v>
      </c>
      <c r="AP23" s="18">
        <f t="shared" ref="AP23:AS23" si="116">IF(OR(L24=""),"",(L24-L23)*100)</f>
        <v>3170.00000000116</v>
      </c>
      <c r="AQ23" s="18">
        <f t="shared" si="116"/>
        <v>0</v>
      </c>
      <c r="AR23" s="18">
        <f t="shared" si="116"/>
        <v>2719.99999999971</v>
      </c>
      <c r="AS23" s="18">
        <f t="shared" si="116"/>
        <v>2109.99999999913</v>
      </c>
      <c r="AT23" s="18">
        <f t="shared" si="7"/>
        <v>8000</v>
      </c>
      <c r="AU23" s="18">
        <f t="shared" ref="AU23:AY23" si="117">IF(OR(P24=""),"",(P24-P23)*1000)</f>
        <v>3899.99999999964</v>
      </c>
      <c r="AV23" s="18">
        <f t="shared" si="117"/>
        <v>0</v>
      </c>
      <c r="AW23" s="18">
        <f t="shared" si="117"/>
        <v>0</v>
      </c>
      <c r="AX23" s="18">
        <f t="shared" si="117"/>
        <v>5100.00000000036</v>
      </c>
      <c r="AY23" s="18">
        <f t="shared" si="117"/>
        <v>0</v>
      </c>
      <c r="AZ23" s="18">
        <f t="shared" si="9"/>
        <v>9000</v>
      </c>
      <c r="BA23" s="18">
        <f t="shared" si="10"/>
        <v>11000</v>
      </c>
      <c r="BB23" s="18">
        <f t="shared" si="11"/>
        <v>583.999999999651</v>
      </c>
      <c r="BC23" s="18">
        <f t="shared" si="27"/>
        <v>1332.00000000041</v>
      </c>
      <c r="BD23" s="18">
        <f t="shared" si="12"/>
        <v>12892.7999999696</v>
      </c>
      <c r="BE23" s="18">
        <f t="shared" si="13"/>
        <v>51999.9999999709</v>
      </c>
      <c r="BF23" s="18">
        <f t="shared" si="14"/>
        <v>65.6000000000058</v>
      </c>
      <c r="BG23" s="21">
        <f t="shared" si="15"/>
        <v>0.250863549526113</v>
      </c>
      <c r="BH23" s="21">
        <f t="shared" si="16"/>
        <v>0.0443410972385773</v>
      </c>
      <c r="BI23" s="21">
        <f t="shared" si="17"/>
        <v>0</v>
      </c>
      <c r="BJ23" s="21">
        <f t="shared" si="18"/>
        <v>0.0385943922348083</v>
      </c>
      <c r="BK23" s="21">
        <f t="shared" ref="BK23:BO23" si="118">IF(OR($AD23=0),"",AZ23/$AD23)</f>
        <v>0.0434186912641593</v>
      </c>
      <c r="BL23" s="21">
        <f t="shared" si="118"/>
        <v>0.0530672893228614</v>
      </c>
      <c r="BM23" s="21">
        <f t="shared" si="118"/>
        <v>0.00281739063313932</v>
      </c>
      <c r="BN23" s="21">
        <f t="shared" si="118"/>
        <v>0.00642596630709754</v>
      </c>
      <c r="BO23" s="21">
        <f t="shared" si="118"/>
        <v>0.0621987225254702</v>
      </c>
    </row>
    <row r="24" spans="1:67">
      <c r="A24" s="9">
        <f t="shared" si="20"/>
        <v>44460</v>
      </c>
      <c r="B24" s="10">
        <v>16925.42</v>
      </c>
      <c r="C24" s="8">
        <v>93189.6</v>
      </c>
      <c r="D24" s="8">
        <v>60112.4</v>
      </c>
      <c r="E24" s="8">
        <v>58331.4</v>
      </c>
      <c r="F24" s="8">
        <v>5778.94</v>
      </c>
      <c r="G24" s="8">
        <v>114245.6</v>
      </c>
      <c r="H24" s="8">
        <v>5596.3</v>
      </c>
      <c r="I24" s="8">
        <v>2566.3</v>
      </c>
      <c r="J24" s="8">
        <v>967</v>
      </c>
      <c r="K24" s="8">
        <v>56</v>
      </c>
      <c r="L24" s="8">
        <v>92844.6</v>
      </c>
      <c r="M24" s="8">
        <v>61496.8</v>
      </c>
      <c r="N24" s="8">
        <v>74130.3</v>
      </c>
      <c r="O24" s="8">
        <v>104345.4</v>
      </c>
      <c r="P24" s="8">
        <v>5693</v>
      </c>
      <c r="Q24" s="8">
        <v>7567</v>
      </c>
      <c r="R24" s="8">
        <v>4623.2</v>
      </c>
      <c r="S24" s="8">
        <v>5277.1</v>
      </c>
      <c r="T24" s="8">
        <v>6755.2</v>
      </c>
      <c r="U24" s="8">
        <v>17640.5</v>
      </c>
      <c r="V24" s="8">
        <v>51259.6</v>
      </c>
      <c r="W24" s="8">
        <v>53175.3</v>
      </c>
      <c r="X24" s="8">
        <v>2853.8</v>
      </c>
      <c r="Y24" s="8">
        <v>2590.8</v>
      </c>
      <c r="Z24" s="16">
        <f t="shared" si="21"/>
        <v>58619.9</v>
      </c>
      <c r="AA24" s="8">
        <v>66285.8</v>
      </c>
      <c r="AB24" s="14">
        <v>4076</v>
      </c>
      <c r="AC24" s="7">
        <f t="shared" si="22"/>
        <v>70361.8</v>
      </c>
      <c r="AD24" s="17">
        <v>210684</v>
      </c>
      <c r="AE24" s="18">
        <f t="shared" ref="AE24:AI24" si="119">IF(OR(C25=""),"",(C25-C24)*80)</f>
        <v>0</v>
      </c>
      <c r="AF24" s="18">
        <f t="shared" si="119"/>
        <v>2680</v>
      </c>
      <c r="AG24" s="18">
        <f t="shared" si="119"/>
        <v>1912.00000000012</v>
      </c>
      <c r="AH24" s="18">
        <f t="shared" si="119"/>
        <v>2162.40000000005</v>
      </c>
      <c r="AI24" s="18">
        <f t="shared" si="119"/>
        <v>2040</v>
      </c>
      <c r="AJ24" s="18">
        <f t="shared" si="3"/>
        <v>8794.40000000017</v>
      </c>
      <c r="AK24" s="18">
        <f t="shared" ref="AK24:AN24" si="120">IF(OR(H25=""),"",(H25-H24)*80)</f>
        <v>0</v>
      </c>
      <c r="AL24" s="18">
        <f t="shared" si="120"/>
        <v>0</v>
      </c>
      <c r="AM24" s="18">
        <f t="shared" si="120"/>
        <v>0</v>
      </c>
      <c r="AN24" s="18">
        <f t="shared" si="120"/>
        <v>0</v>
      </c>
      <c r="AO24" s="18">
        <f t="shared" si="5"/>
        <v>0</v>
      </c>
      <c r="AP24" s="18">
        <f t="shared" ref="AP24:AS24" si="121">IF(OR(L25=""),"",(L25-L24)*100)</f>
        <v>3109.99999999913</v>
      </c>
      <c r="AQ24" s="18">
        <f t="shared" si="121"/>
        <v>0</v>
      </c>
      <c r="AR24" s="18">
        <f t="shared" si="121"/>
        <v>2709.99999999913</v>
      </c>
      <c r="AS24" s="18">
        <f t="shared" si="121"/>
        <v>2130.00000000029</v>
      </c>
      <c r="AT24" s="18">
        <f t="shared" si="7"/>
        <v>7949.99999999854</v>
      </c>
      <c r="AU24" s="18">
        <f t="shared" ref="AU24:AY24" si="122">IF(OR(P25=""),"",(P25-P24)*1000)</f>
        <v>2800.00000000018</v>
      </c>
      <c r="AV24" s="18">
        <f t="shared" si="122"/>
        <v>100.000000000364</v>
      </c>
      <c r="AW24" s="18">
        <f t="shared" si="122"/>
        <v>1500</v>
      </c>
      <c r="AX24" s="18">
        <f t="shared" si="122"/>
        <v>5299.99999999927</v>
      </c>
      <c r="AY24" s="18">
        <f t="shared" si="122"/>
        <v>0</v>
      </c>
      <c r="AZ24" s="18">
        <f t="shared" si="9"/>
        <v>9699.99999999982</v>
      </c>
      <c r="BA24" s="18">
        <f t="shared" si="10"/>
        <v>10000</v>
      </c>
      <c r="BB24" s="18">
        <f t="shared" si="11"/>
        <v>624.000000000233</v>
      </c>
      <c r="BC24" s="18">
        <f t="shared" si="27"/>
        <v>1319.99999999971</v>
      </c>
      <c r="BD24" s="18">
        <f t="shared" si="12"/>
        <v>14711.6000000146</v>
      </c>
      <c r="BE24" s="18">
        <f t="shared" si="13"/>
        <v>53100.0000000131</v>
      </c>
      <c r="BF24" s="18">
        <f t="shared" si="14"/>
        <v>66.3000000000029</v>
      </c>
      <c r="BG24" s="21">
        <f t="shared" si="15"/>
        <v>0.252036224867636</v>
      </c>
      <c r="BH24" s="21">
        <f t="shared" si="16"/>
        <v>0.0417421351407804</v>
      </c>
      <c r="BI24" s="21">
        <f t="shared" si="17"/>
        <v>0</v>
      </c>
      <c r="BJ24" s="21">
        <f t="shared" si="18"/>
        <v>0.0377342370564378</v>
      </c>
      <c r="BK24" s="21">
        <f t="shared" ref="BK24:BO24" si="123">IF(OR($AD24=0),"",AZ24/$AD24)</f>
        <v>0.0460405156537745</v>
      </c>
      <c r="BL24" s="21">
        <f t="shared" si="123"/>
        <v>0.0474644491276034</v>
      </c>
      <c r="BM24" s="21">
        <f t="shared" si="123"/>
        <v>0.00296178162556356</v>
      </c>
      <c r="BN24" s="21">
        <f t="shared" si="123"/>
        <v>0.00626530728484227</v>
      </c>
      <c r="BO24" s="21">
        <f t="shared" si="123"/>
        <v>0.0698277989786345</v>
      </c>
    </row>
    <row r="25" spans="1:67">
      <c r="A25" s="9">
        <f t="shared" si="20"/>
        <v>44461</v>
      </c>
      <c r="B25" s="10">
        <v>16930.73</v>
      </c>
      <c r="C25" s="8">
        <v>93189.6</v>
      </c>
      <c r="D25" s="8">
        <v>60145.9</v>
      </c>
      <c r="E25" s="8">
        <v>58355.3</v>
      </c>
      <c r="F25" s="8">
        <v>5805.97</v>
      </c>
      <c r="G25" s="8">
        <v>114271.1</v>
      </c>
      <c r="H25" s="8">
        <v>5596.3</v>
      </c>
      <c r="I25" s="8">
        <v>2566.3</v>
      </c>
      <c r="J25" s="8">
        <v>967</v>
      </c>
      <c r="K25" s="8">
        <v>56</v>
      </c>
      <c r="L25" s="8">
        <v>92875.7</v>
      </c>
      <c r="M25" s="8">
        <v>61496.8</v>
      </c>
      <c r="N25" s="8">
        <v>74157.4</v>
      </c>
      <c r="O25" s="8">
        <v>104366.7</v>
      </c>
      <c r="P25" s="8">
        <v>5695.8</v>
      </c>
      <c r="Q25" s="8">
        <v>7567.1</v>
      </c>
      <c r="R25" s="8">
        <v>4624.7</v>
      </c>
      <c r="S25" s="8">
        <v>5282.4</v>
      </c>
      <c r="T25" s="8">
        <v>6755.2</v>
      </c>
      <c r="U25" s="8">
        <v>17645.5</v>
      </c>
      <c r="V25" s="8">
        <v>51267.4</v>
      </c>
      <c r="W25" s="8">
        <v>53191.9</v>
      </c>
      <c r="X25" s="8">
        <v>2861.8</v>
      </c>
      <c r="Y25" s="8">
        <v>2599.2</v>
      </c>
      <c r="Z25" s="16">
        <f t="shared" si="21"/>
        <v>58652.9</v>
      </c>
      <c r="AA25" s="8">
        <v>66344.1</v>
      </c>
      <c r="AB25" s="14">
        <v>4084</v>
      </c>
      <c r="AC25" s="7">
        <f t="shared" si="22"/>
        <v>70428.1</v>
      </c>
      <c r="AD25" s="17">
        <v>204238</v>
      </c>
      <c r="AE25" s="18">
        <f t="shared" ref="AE25:AI25" si="124">IF(OR(C26=""),"",(C26-C25)*80)</f>
        <v>0</v>
      </c>
      <c r="AF25" s="18">
        <f t="shared" si="124"/>
        <v>2800</v>
      </c>
      <c r="AG25" s="18">
        <f t="shared" si="124"/>
        <v>1880</v>
      </c>
      <c r="AH25" s="18">
        <f t="shared" si="124"/>
        <v>1986.39999999999</v>
      </c>
      <c r="AI25" s="18">
        <f t="shared" si="124"/>
        <v>2175.99999999977</v>
      </c>
      <c r="AJ25" s="18">
        <f t="shared" si="3"/>
        <v>8842.39999999976</v>
      </c>
      <c r="AK25" s="18">
        <f t="shared" ref="AK25:AN25" si="125">IF(OR(H26=""),"",(H26-H25)*80)</f>
        <v>0</v>
      </c>
      <c r="AL25" s="18">
        <f t="shared" si="125"/>
        <v>0</v>
      </c>
      <c r="AM25" s="18">
        <f t="shared" si="125"/>
        <v>0</v>
      </c>
      <c r="AN25" s="18">
        <f t="shared" si="125"/>
        <v>0</v>
      </c>
      <c r="AO25" s="18">
        <f t="shared" si="5"/>
        <v>0</v>
      </c>
      <c r="AP25" s="18">
        <f t="shared" ref="AP25:AS25" si="126">IF(OR(L26=""),"",(L26-L25)*100)</f>
        <v>2769.99999999971</v>
      </c>
      <c r="AQ25" s="18">
        <f t="shared" si="126"/>
        <v>0</v>
      </c>
      <c r="AR25" s="18">
        <f t="shared" si="126"/>
        <v>2710.00000000058</v>
      </c>
      <c r="AS25" s="18">
        <f t="shared" si="126"/>
        <v>2069.99999999971</v>
      </c>
      <c r="AT25" s="18">
        <f t="shared" si="7"/>
        <v>7550</v>
      </c>
      <c r="AU25" s="18">
        <f t="shared" ref="AU25:AY25" si="127">IF(OR(P26=""),"",(P26-P25)*1000)</f>
        <v>3599.99999999945</v>
      </c>
      <c r="AV25" s="18">
        <f t="shared" si="127"/>
        <v>2799.99999999927</v>
      </c>
      <c r="AW25" s="18">
        <f t="shared" si="127"/>
        <v>2699.99999999982</v>
      </c>
      <c r="AX25" s="18">
        <f t="shared" si="127"/>
        <v>800.000000000182</v>
      </c>
      <c r="AY25" s="18">
        <f t="shared" si="127"/>
        <v>0</v>
      </c>
      <c r="AZ25" s="18">
        <f t="shared" si="9"/>
        <v>9899.99999999873</v>
      </c>
      <c r="BA25" s="18">
        <f t="shared" si="10"/>
        <v>8400.00000000146</v>
      </c>
      <c r="BB25" s="18">
        <f t="shared" si="11"/>
        <v>600</v>
      </c>
      <c r="BC25" s="18">
        <f t="shared" si="27"/>
        <v>1311.99999999983</v>
      </c>
      <c r="BD25" s="18">
        <f t="shared" si="12"/>
        <v>14695.6000000104</v>
      </c>
      <c r="BE25" s="18">
        <f t="shared" si="13"/>
        <v>51300.0000000102</v>
      </c>
      <c r="BF25" s="18">
        <f t="shared" si="14"/>
        <v>62.8999999999942</v>
      </c>
      <c r="BG25" s="21">
        <f t="shared" si="15"/>
        <v>0.251177547762954</v>
      </c>
      <c r="BH25" s="21">
        <f t="shared" si="16"/>
        <v>0.0432945876869131</v>
      </c>
      <c r="BI25" s="21">
        <f t="shared" si="17"/>
        <v>0</v>
      </c>
      <c r="BJ25" s="21">
        <f t="shared" si="18"/>
        <v>0.0369666761327471</v>
      </c>
      <c r="BK25" s="21">
        <f t="shared" ref="BK25:BO25" si="128">IF(OR($AD25=0),"",AZ25/$AD25)</f>
        <v>0.0484728600945893</v>
      </c>
      <c r="BL25" s="21">
        <f t="shared" si="128"/>
        <v>0.0411284873529973</v>
      </c>
      <c r="BM25" s="21">
        <f t="shared" si="128"/>
        <v>0.00293774909664215</v>
      </c>
      <c r="BN25" s="21">
        <f t="shared" si="128"/>
        <v>0.00642387802465665</v>
      </c>
      <c r="BO25" s="21">
        <f t="shared" si="128"/>
        <v>0.0719533093744084</v>
      </c>
    </row>
    <row r="26" spans="1:67">
      <c r="A26" s="9">
        <f t="shared" si="20"/>
        <v>44462</v>
      </c>
      <c r="B26" s="10">
        <v>16935.86</v>
      </c>
      <c r="C26" s="8">
        <v>93189.6</v>
      </c>
      <c r="D26" s="8">
        <v>60180.9</v>
      </c>
      <c r="E26" s="8">
        <v>58378.8</v>
      </c>
      <c r="F26" s="8">
        <v>5830.8</v>
      </c>
      <c r="G26" s="8">
        <v>114298.3</v>
      </c>
      <c r="H26" s="8">
        <v>5596.3</v>
      </c>
      <c r="I26" s="8">
        <v>2566.3</v>
      </c>
      <c r="J26" s="8">
        <v>967</v>
      </c>
      <c r="K26" s="8">
        <v>56</v>
      </c>
      <c r="L26" s="8">
        <v>92903.4</v>
      </c>
      <c r="M26" s="8">
        <v>61496.8</v>
      </c>
      <c r="N26" s="8">
        <v>74184.5</v>
      </c>
      <c r="O26" s="8">
        <v>104387.4</v>
      </c>
      <c r="P26" s="8">
        <v>5699.4</v>
      </c>
      <c r="Q26" s="8">
        <v>7569.9</v>
      </c>
      <c r="R26" s="8">
        <v>4627.4</v>
      </c>
      <c r="S26" s="8">
        <v>5283.2</v>
      </c>
      <c r="T26" s="8">
        <v>6755.2</v>
      </c>
      <c r="U26" s="8">
        <v>17649.7</v>
      </c>
      <c r="V26" s="8">
        <v>51274.9</v>
      </c>
      <c r="W26" s="8">
        <v>53208.3</v>
      </c>
      <c r="X26" s="8">
        <v>2869.7</v>
      </c>
      <c r="Y26" s="8">
        <v>2607.7</v>
      </c>
      <c r="Z26" s="16">
        <f t="shared" si="21"/>
        <v>58685.7</v>
      </c>
      <c r="AA26" s="8">
        <v>66401</v>
      </c>
      <c r="AB26" s="14">
        <v>4090</v>
      </c>
      <c r="AC26" s="7">
        <f t="shared" si="22"/>
        <v>70491</v>
      </c>
      <c r="AD26" s="17">
        <v>187689</v>
      </c>
      <c r="AE26" s="18">
        <f t="shared" ref="AE26:AI26" si="129">IF(OR(C27=""),"",(C27-C26)*80)</f>
        <v>3823.99999999907</v>
      </c>
      <c r="AF26" s="18">
        <f t="shared" si="129"/>
        <v>2695.99999999977</v>
      </c>
      <c r="AG26" s="18">
        <f t="shared" si="129"/>
        <v>2343.99999999965</v>
      </c>
      <c r="AH26" s="18">
        <f t="shared" si="129"/>
        <v>20</v>
      </c>
      <c r="AI26" s="18">
        <f t="shared" si="129"/>
        <v>2111.99999999953</v>
      </c>
      <c r="AJ26" s="18">
        <f t="shared" si="3"/>
        <v>10995.999999998</v>
      </c>
      <c r="AK26" s="18">
        <f t="shared" ref="AK26:AN26" si="130">IF(OR(H27=""),"",(H27-H26)*80)</f>
        <v>0</v>
      </c>
      <c r="AL26" s="18">
        <f t="shared" si="130"/>
        <v>0</v>
      </c>
      <c r="AM26" s="18">
        <f t="shared" si="130"/>
        <v>0</v>
      </c>
      <c r="AN26" s="18">
        <f t="shared" si="130"/>
        <v>0</v>
      </c>
      <c r="AO26" s="18">
        <f t="shared" si="5"/>
        <v>0</v>
      </c>
      <c r="AP26" s="18">
        <f t="shared" ref="AP26:AS26" si="131">IF(OR(L27=""),"",(L27-L26)*100)</f>
        <v>2400</v>
      </c>
      <c r="AQ26" s="18">
        <f t="shared" si="131"/>
        <v>2809.99999999985</v>
      </c>
      <c r="AR26" s="18">
        <f t="shared" si="131"/>
        <v>280.000000000291</v>
      </c>
      <c r="AS26" s="18">
        <f t="shared" si="131"/>
        <v>2030.00000000029</v>
      </c>
      <c r="AT26" s="18">
        <f t="shared" si="7"/>
        <v>7520.00000000044</v>
      </c>
      <c r="AU26" s="18">
        <f t="shared" ref="AU26:AY26" si="132">IF(OR(P27=""),"",(P27-P26)*1000)</f>
        <v>1300.00000000018</v>
      </c>
      <c r="AV26" s="18">
        <f t="shared" si="132"/>
        <v>400.000000000546</v>
      </c>
      <c r="AW26" s="18">
        <f t="shared" si="132"/>
        <v>3900.00000000055</v>
      </c>
      <c r="AX26" s="18">
        <f t="shared" si="132"/>
        <v>2800.00000000018</v>
      </c>
      <c r="AY26" s="18">
        <f t="shared" si="132"/>
        <v>0</v>
      </c>
      <c r="AZ26" s="18">
        <f t="shared" si="9"/>
        <v>8400.00000000146</v>
      </c>
      <c r="BA26" s="18">
        <f t="shared" si="10"/>
        <v>8199.99999999709</v>
      </c>
      <c r="BB26" s="18">
        <f t="shared" si="11"/>
        <v>623.999999999651</v>
      </c>
      <c r="BC26" s="18">
        <f t="shared" si="27"/>
        <v>1296.00000000006</v>
      </c>
      <c r="BD26" s="18">
        <f t="shared" si="12"/>
        <v>15263.9999999989</v>
      </c>
      <c r="BE26" s="18">
        <f t="shared" si="13"/>
        <v>52299.9999999956</v>
      </c>
      <c r="BF26" s="18">
        <f t="shared" si="14"/>
        <v>70.8000000000029</v>
      </c>
      <c r="BG26" s="21">
        <f t="shared" si="15"/>
        <v>0.278652451662035</v>
      </c>
      <c r="BH26" s="21">
        <f t="shared" si="16"/>
        <v>0.0585862783647311</v>
      </c>
      <c r="BI26" s="21">
        <f t="shared" si="17"/>
        <v>0</v>
      </c>
      <c r="BJ26" s="21">
        <f t="shared" si="18"/>
        <v>0.0400662798565736</v>
      </c>
      <c r="BK26" s="21">
        <f t="shared" ref="BK26:BO26" si="133">IF(OR($AD26=0),"",AZ26/$AD26)</f>
        <v>0.0447548870738373</v>
      </c>
      <c r="BL26" s="21">
        <f t="shared" si="133"/>
        <v>0.0436892945244372</v>
      </c>
      <c r="BM26" s="21">
        <f t="shared" si="133"/>
        <v>0.00332464875405405</v>
      </c>
      <c r="BN26" s="21">
        <f t="shared" si="133"/>
        <v>0.00690503971996259</v>
      </c>
      <c r="BO26" s="21">
        <f t="shared" si="133"/>
        <v>0.0813260233684389</v>
      </c>
    </row>
    <row r="27" spans="1:67">
      <c r="A27" s="9">
        <f t="shared" si="20"/>
        <v>44463</v>
      </c>
      <c r="B27" s="10">
        <v>16941.09</v>
      </c>
      <c r="C27" s="8">
        <v>93237.4</v>
      </c>
      <c r="D27" s="8">
        <v>60214.6</v>
      </c>
      <c r="E27" s="8">
        <v>58408.1</v>
      </c>
      <c r="F27" s="8">
        <v>5831.05</v>
      </c>
      <c r="G27" s="8">
        <v>114324.7</v>
      </c>
      <c r="H27" s="8">
        <v>5596.3</v>
      </c>
      <c r="I27" s="8">
        <v>2566.3</v>
      </c>
      <c r="J27" s="8">
        <v>967</v>
      </c>
      <c r="K27" s="8">
        <v>56</v>
      </c>
      <c r="L27" s="8">
        <v>92927.4</v>
      </c>
      <c r="M27" s="8">
        <v>61524.9</v>
      </c>
      <c r="N27" s="8">
        <v>74187.3</v>
      </c>
      <c r="O27" s="8">
        <v>104407.7</v>
      </c>
      <c r="P27" s="8">
        <v>5700.7</v>
      </c>
      <c r="Q27" s="8">
        <v>7570.3</v>
      </c>
      <c r="R27" s="8">
        <v>4631.3</v>
      </c>
      <c r="S27" s="8">
        <v>5286</v>
      </c>
      <c r="T27" s="8">
        <v>6755.2</v>
      </c>
      <c r="U27" s="8">
        <v>17653.8</v>
      </c>
      <c r="V27" s="8">
        <v>51282.7</v>
      </c>
      <c r="W27" s="8">
        <v>53224.7</v>
      </c>
      <c r="X27" s="8">
        <v>2877.5</v>
      </c>
      <c r="Y27" s="8">
        <v>2615.9</v>
      </c>
      <c r="Z27" s="16">
        <f t="shared" si="21"/>
        <v>58718.1</v>
      </c>
      <c r="AA27" s="8">
        <v>66456.8</v>
      </c>
      <c r="AB27" s="14">
        <v>4105</v>
      </c>
      <c r="AC27" s="7">
        <f t="shared" si="22"/>
        <v>70561.8</v>
      </c>
      <c r="AD27" s="17">
        <v>196401</v>
      </c>
      <c r="AE27" s="18">
        <f t="shared" ref="AE27:AI27" si="134">IF(OR(C28=""),"",(C28-C27)*80)</f>
        <v>3792.0000000007</v>
      </c>
      <c r="AF27" s="18">
        <f t="shared" si="134"/>
        <v>2472.00000000012</v>
      </c>
      <c r="AG27" s="18">
        <f t="shared" si="134"/>
        <v>2592.00000000012</v>
      </c>
      <c r="AH27" s="18">
        <f t="shared" si="134"/>
        <v>4.00000000001455</v>
      </c>
      <c r="AI27" s="18">
        <f t="shared" si="134"/>
        <v>2392.0000000007</v>
      </c>
      <c r="AJ27" s="18">
        <f t="shared" si="3"/>
        <v>11252.0000000016</v>
      </c>
      <c r="AK27" s="18">
        <f t="shared" ref="AK27:AN27" si="135">IF(OR(H28=""),"",(H28-H27)*80)</f>
        <v>0</v>
      </c>
      <c r="AL27" s="18">
        <f t="shared" si="135"/>
        <v>0</v>
      </c>
      <c r="AM27" s="18">
        <f t="shared" si="135"/>
        <v>0</v>
      </c>
      <c r="AN27" s="18">
        <f t="shared" si="135"/>
        <v>0</v>
      </c>
      <c r="AO27" s="18">
        <f t="shared" si="5"/>
        <v>0</v>
      </c>
      <c r="AP27" s="18">
        <f t="shared" ref="AP27:AS27" si="136">IF(OR(L28=""),"",(L28-L27)*100)</f>
        <v>2640.00000000087</v>
      </c>
      <c r="AQ27" s="18">
        <f t="shared" si="136"/>
        <v>409.999999999854</v>
      </c>
      <c r="AR27" s="18">
        <f t="shared" si="136"/>
        <v>2380.00000000029</v>
      </c>
      <c r="AS27" s="18">
        <f t="shared" si="136"/>
        <v>1960.00000000058</v>
      </c>
      <c r="AT27" s="18">
        <f t="shared" si="7"/>
        <v>7390.0000000016</v>
      </c>
      <c r="AU27" s="18">
        <f t="shared" ref="AU27:AY27" si="137">IF(OR(P28=""),"",(P28-P27)*1000)</f>
        <v>2400.00000000055</v>
      </c>
      <c r="AV27" s="18">
        <f t="shared" si="137"/>
        <v>1899.99999999964</v>
      </c>
      <c r="AW27" s="18">
        <f t="shared" si="137"/>
        <v>899.999999999636</v>
      </c>
      <c r="AX27" s="18">
        <f t="shared" si="137"/>
        <v>4000</v>
      </c>
      <c r="AY27" s="18">
        <f t="shared" si="137"/>
        <v>600.000000000364</v>
      </c>
      <c r="AZ27" s="18">
        <f t="shared" si="9"/>
        <v>9800.00000000018</v>
      </c>
      <c r="BA27" s="18">
        <f t="shared" si="10"/>
        <v>8599.99999999854</v>
      </c>
      <c r="BB27" s="18">
        <f t="shared" si="11"/>
        <v>576.000000000349</v>
      </c>
      <c r="BC27" s="18">
        <f t="shared" si="27"/>
        <v>1336.00000000006</v>
      </c>
      <c r="BD27" s="18">
        <f t="shared" si="12"/>
        <v>12846.0000000005</v>
      </c>
      <c r="BE27" s="18">
        <f t="shared" si="13"/>
        <v>51800.0000000029</v>
      </c>
      <c r="BF27" s="18">
        <f t="shared" si="14"/>
        <v>67</v>
      </c>
      <c r="BG27" s="21">
        <f t="shared" si="15"/>
        <v>0.263746111272361</v>
      </c>
      <c r="BH27" s="21">
        <f t="shared" si="16"/>
        <v>0.0572909506570824</v>
      </c>
      <c r="BI27" s="21">
        <f t="shared" si="17"/>
        <v>0</v>
      </c>
      <c r="BJ27" s="21">
        <f t="shared" si="18"/>
        <v>0.0376270996583602</v>
      </c>
      <c r="BK27" s="21">
        <f t="shared" ref="BK27:BO27" si="138">IF(OR($AD27=0),"",AZ27/$AD27)</f>
        <v>0.0498979129434177</v>
      </c>
      <c r="BL27" s="21">
        <f t="shared" si="138"/>
        <v>0.0437879644197257</v>
      </c>
      <c r="BM27" s="21">
        <f t="shared" si="138"/>
        <v>0.00293277529136995</v>
      </c>
      <c r="BN27" s="21">
        <f t="shared" si="138"/>
        <v>0.00680240935636814</v>
      </c>
      <c r="BO27" s="21">
        <f t="shared" si="138"/>
        <v>0.0654069989460366</v>
      </c>
    </row>
    <row r="28" spans="1:67">
      <c r="A28" s="9">
        <f t="shared" si="20"/>
        <v>44464</v>
      </c>
      <c r="B28" s="10">
        <v>16946.27</v>
      </c>
      <c r="C28" s="8">
        <v>93284.8</v>
      </c>
      <c r="D28" s="8">
        <v>60245.5</v>
      </c>
      <c r="E28" s="8">
        <v>58440.5</v>
      </c>
      <c r="F28" s="8">
        <v>5831.1</v>
      </c>
      <c r="G28" s="8">
        <v>114354.6</v>
      </c>
      <c r="H28" s="8">
        <v>5596.3</v>
      </c>
      <c r="I28" s="8">
        <v>2566.3</v>
      </c>
      <c r="J28" s="8">
        <v>967</v>
      </c>
      <c r="K28" s="8">
        <v>56</v>
      </c>
      <c r="L28" s="8">
        <v>92953.8</v>
      </c>
      <c r="M28" s="8">
        <v>61529</v>
      </c>
      <c r="N28" s="8">
        <v>74211.1</v>
      </c>
      <c r="O28" s="8">
        <v>104427.3</v>
      </c>
      <c r="P28" s="8">
        <v>5703.1</v>
      </c>
      <c r="Q28" s="8">
        <v>7572.2</v>
      </c>
      <c r="R28" s="8">
        <v>4632.2</v>
      </c>
      <c r="S28" s="8">
        <v>5290</v>
      </c>
      <c r="T28" s="8">
        <v>6755.8</v>
      </c>
      <c r="U28" s="8">
        <v>17658.1</v>
      </c>
      <c r="V28" s="8">
        <v>51289.9</v>
      </c>
      <c r="W28" s="8">
        <v>53241.6</v>
      </c>
      <c r="X28" s="8">
        <v>2885.6</v>
      </c>
      <c r="Y28" s="8">
        <v>2624.3</v>
      </c>
      <c r="Z28" s="16">
        <f t="shared" si="21"/>
        <v>58751.5</v>
      </c>
      <c r="AA28" s="8">
        <v>66515.8</v>
      </c>
      <c r="AB28" s="14">
        <v>4113</v>
      </c>
      <c r="AC28" s="7">
        <f t="shared" si="22"/>
        <v>70628.8</v>
      </c>
      <c r="AD28" s="17">
        <v>200241</v>
      </c>
      <c r="AE28" s="18">
        <f t="shared" ref="AE28:AI28" si="139">IF(OR(C29=""),"",(C29-C28)*80)</f>
        <v>775.999999999767</v>
      </c>
      <c r="AF28" s="18">
        <f t="shared" si="139"/>
        <v>2152.00000000012</v>
      </c>
      <c r="AG28" s="18">
        <f t="shared" si="139"/>
        <v>2304.00000000023</v>
      </c>
      <c r="AH28" s="18">
        <f t="shared" si="139"/>
        <v>1762.39999999998</v>
      </c>
      <c r="AI28" s="18">
        <f t="shared" si="139"/>
        <v>2351.99999999953</v>
      </c>
      <c r="AJ28" s="18">
        <f t="shared" si="3"/>
        <v>9346.39999999963</v>
      </c>
      <c r="AK28" s="18">
        <f t="shared" ref="AK28:AN28" si="140">IF(OR(H29=""),"",(H29-H28)*80)</f>
        <v>0</v>
      </c>
      <c r="AL28" s="18">
        <f t="shared" si="140"/>
        <v>0</v>
      </c>
      <c r="AM28" s="18">
        <f t="shared" si="140"/>
        <v>0</v>
      </c>
      <c r="AN28" s="18">
        <f t="shared" si="140"/>
        <v>0</v>
      </c>
      <c r="AO28" s="18">
        <f t="shared" si="5"/>
        <v>0</v>
      </c>
      <c r="AP28" s="18">
        <f t="shared" ref="AP28:AS28" si="141">IF(OR(L29=""),"",(L29-L28)*100)</f>
        <v>2689.99999999942</v>
      </c>
      <c r="AQ28" s="18">
        <f t="shared" si="141"/>
        <v>0</v>
      </c>
      <c r="AR28" s="18">
        <f t="shared" si="141"/>
        <v>2729.99999999884</v>
      </c>
      <c r="AS28" s="18">
        <f t="shared" si="141"/>
        <v>2009.99999999913</v>
      </c>
      <c r="AT28" s="18">
        <f t="shared" si="7"/>
        <v>7429.99999999738</v>
      </c>
      <c r="AU28" s="18">
        <f t="shared" ref="AU28:AY28" si="142">IF(OR(P29=""),"",(P29-P28)*1000)</f>
        <v>3500</v>
      </c>
      <c r="AV28" s="18">
        <f t="shared" si="142"/>
        <v>100.000000000364</v>
      </c>
      <c r="AW28" s="18">
        <f t="shared" si="142"/>
        <v>0</v>
      </c>
      <c r="AX28" s="18">
        <f t="shared" si="142"/>
        <v>5100.00000000036</v>
      </c>
      <c r="AY28" s="18">
        <f t="shared" si="142"/>
        <v>599.999999999454</v>
      </c>
      <c r="AZ28" s="18">
        <f t="shared" si="9"/>
        <v>9300.00000000018</v>
      </c>
      <c r="BA28" s="18">
        <f t="shared" si="10"/>
        <v>8600.00000000582</v>
      </c>
      <c r="BB28" s="18">
        <f t="shared" si="11"/>
        <v>632.000000000116</v>
      </c>
      <c r="BC28" s="18">
        <f t="shared" si="27"/>
        <v>1343.99999999994</v>
      </c>
      <c r="BD28" s="18">
        <f t="shared" si="12"/>
        <v>14547.5999999867</v>
      </c>
      <c r="BE28" s="18">
        <f t="shared" si="13"/>
        <v>51199.9999999898</v>
      </c>
      <c r="BF28" s="18">
        <f t="shared" si="14"/>
        <v>65.3999999999942</v>
      </c>
      <c r="BG28" s="21">
        <f t="shared" si="15"/>
        <v>0.255691891270968</v>
      </c>
      <c r="BH28" s="21">
        <f t="shared" si="16"/>
        <v>0.0466757557143623</v>
      </c>
      <c r="BI28" s="21">
        <f t="shared" si="17"/>
        <v>0</v>
      </c>
      <c r="BJ28" s="21">
        <f t="shared" si="18"/>
        <v>0.0371052881277929</v>
      </c>
      <c r="BK28" s="21">
        <f t="shared" ref="BK28:BO28" si="143">IF(OR($AD28=0),"",AZ28/$AD28)</f>
        <v>0.0464440349379007</v>
      </c>
      <c r="BL28" s="21">
        <f t="shared" si="143"/>
        <v>0.0429482473619579</v>
      </c>
      <c r="BM28" s="21">
        <f t="shared" si="143"/>
        <v>0.00315619678287721</v>
      </c>
      <c r="BN28" s="21">
        <f t="shared" si="143"/>
        <v>0.00671191214586394</v>
      </c>
      <c r="BO28" s="21">
        <f t="shared" si="143"/>
        <v>0.0726504562002124</v>
      </c>
    </row>
    <row r="29" spans="1:67">
      <c r="A29" s="9">
        <f t="shared" si="20"/>
        <v>44465</v>
      </c>
      <c r="B29" s="10">
        <v>16951.39</v>
      </c>
      <c r="C29" s="8">
        <v>93294.5</v>
      </c>
      <c r="D29" s="8">
        <v>60272.4</v>
      </c>
      <c r="E29" s="8">
        <v>58469.3</v>
      </c>
      <c r="F29" s="8">
        <v>5853.13</v>
      </c>
      <c r="G29" s="8">
        <v>114384</v>
      </c>
      <c r="H29" s="8">
        <v>5596.3</v>
      </c>
      <c r="I29" s="8">
        <v>2566.3</v>
      </c>
      <c r="J29" s="8">
        <v>967</v>
      </c>
      <c r="K29" s="8">
        <v>56</v>
      </c>
      <c r="L29" s="8">
        <v>92980.7</v>
      </c>
      <c r="M29" s="8">
        <v>61529</v>
      </c>
      <c r="N29" s="8">
        <v>74238.4</v>
      </c>
      <c r="O29" s="8">
        <v>104447.4</v>
      </c>
      <c r="P29" s="8">
        <v>5706.6</v>
      </c>
      <c r="Q29" s="8">
        <v>7572.3</v>
      </c>
      <c r="R29" s="8">
        <v>4632.2</v>
      </c>
      <c r="S29" s="8">
        <v>5295.1</v>
      </c>
      <c r="T29" s="8">
        <v>6756.4</v>
      </c>
      <c r="U29" s="8">
        <v>17662.4</v>
      </c>
      <c r="V29" s="8">
        <v>51297.8</v>
      </c>
      <c r="W29" s="8">
        <v>53258.9</v>
      </c>
      <c r="X29" s="8">
        <v>2893.6</v>
      </c>
      <c r="Y29" s="8">
        <v>2632.6</v>
      </c>
      <c r="Z29" s="16">
        <f t="shared" si="21"/>
        <v>58785.1</v>
      </c>
      <c r="AA29" s="8">
        <v>66574.2</v>
      </c>
      <c r="AB29" s="14">
        <v>4120</v>
      </c>
      <c r="AC29" s="7">
        <f t="shared" si="22"/>
        <v>70694.2</v>
      </c>
      <c r="AD29" s="17">
        <v>179179</v>
      </c>
      <c r="AE29" s="18">
        <f t="shared" ref="AE29:AI29" si="144">IF(OR(C30=""),"",(C30-C29)*80)</f>
        <v>3160</v>
      </c>
      <c r="AF29" s="18">
        <f t="shared" si="144"/>
        <v>2335.99999999977</v>
      </c>
      <c r="AG29" s="18">
        <f t="shared" si="144"/>
        <v>2103.99999999965</v>
      </c>
      <c r="AH29" s="18">
        <f t="shared" si="144"/>
        <v>4.79999999995925</v>
      </c>
      <c r="AI29" s="18">
        <f t="shared" si="144"/>
        <v>2464.00000000023</v>
      </c>
      <c r="AJ29" s="18">
        <f t="shared" si="3"/>
        <v>10068.7999999996</v>
      </c>
      <c r="AK29" s="18">
        <f t="shared" ref="AK29:AN29" si="145">IF(OR(H30=""),"",(H30-H29)*80)</f>
        <v>0</v>
      </c>
      <c r="AL29" s="18">
        <f t="shared" si="145"/>
        <v>0</v>
      </c>
      <c r="AM29" s="18">
        <f t="shared" si="145"/>
        <v>0</v>
      </c>
      <c r="AN29" s="18">
        <f t="shared" si="145"/>
        <v>0</v>
      </c>
      <c r="AO29" s="18">
        <f t="shared" si="5"/>
        <v>0</v>
      </c>
      <c r="AP29" s="18">
        <f t="shared" ref="AP29:AS29" si="146">IF(OR(L30=""),"",(L30-L29)*100)</f>
        <v>2240.00000000087</v>
      </c>
      <c r="AQ29" s="18">
        <f t="shared" si="146"/>
        <v>0</v>
      </c>
      <c r="AR29" s="18">
        <f t="shared" si="146"/>
        <v>2560.00000000058</v>
      </c>
      <c r="AS29" s="18">
        <f t="shared" si="146"/>
        <v>1910.00000000058</v>
      </c>
      <c r="AT29" s="18">
        <f t="shared" si="7"/>
        <v>6710.00000000204</v>
      </c>
      <c r="AU29" s="18">
        <f t="shared" ref="AU29:AY29" si="147">IF(OR(P30=""),"",(P30-P29)*1000)</f>
        <v>3500</v>
      </c>
      <c r="AV29" s="18">
        <f t="shared" si="147"/>
        <v>500</v>
      </c>
      <c r="AW29" s="18">
        <f t="shared" si="147"/>
        <v>0</v>
      </c>
      <c r="AX29" s="18">
        <f t="shared" si="147"/>
        <v>4599.99999999945</v>
      </c>
      <c r="AY29" s="18">
        <f t="shared" si="147"/>
        <v>0</v>
      </c>
      <c r="AZ29" s="18">
        <f t="shared" si="9"/>
        <v>8599.99999999945</v>
      </c>
      <c r="BA29" s="18">
        <f t="shared" si="10"/>
        <v>7799.99999999563</v>
      </c>
      <c r="BB29" s="18">
        <f t="shared" si="11"/>
        <v>607.999999999884</v>
      </c>
      <c r="BC29" s="18">
        <f t="shared" si="27"/>
        <v>1284.00000000023</v>
      </c>
      <c r="BD29" s="18">
        <f t="shared" si="12"/>
        <v>14929.2000000031</v>
      </c>
      <c r="BE29" s="18">
        <f t="shared" si="13"/>
        <v>50000</v>
      </c>
      <c r="BF29" s="18">
        <f t="shared" si="14"/>
        <v>63.4000000000087</v>
      </c>
      <c r="BG29" s="21">
        <f t="shared" si="15"/>
        <v>0.279050558380167</v>
      </c>
      <c r="BH29" s="21">
        <f t="shared" si="16"/>
        <v>0.0561940852443624</v>
      </c>
      <c r="BI29" s="21">
        <f t="shared" si="17"/>
        <v>0</v>
      </c>
      <c r="BJ29" s="21">
        <f t="shared" si="18"/>
        <v>0.0374485849346298</v>
      </c>
      <c r="BK29" s="21">
        <f t="shared" ref="BK29:BO29" si="148">IF(OR($AD29=0),"",AZ29/$AD29)</f>
        <v>0.0479966960413857</v>
      </c>
      <c r="BL29" s="21">
        <f t="shared" si="148"/>
        <v>0.0435318871072817</v>
      </c>
      <c r="BM29" s="21">
        <f t="shared" si="148"/>
        <v>0.00339325478990218</v>
      </c>
      <c r="BN29" s="21">
        <f t="shared" si="148"/>
        <v>0.007166018339204</v>
      </c>
      <c r="BO29" s="21">
        <f t="shared" si="148"/>
        <v>0.0833200319234014</v>
      </c>
    </row>
    <row r="30" spans="1:67">
      <c r="A30" s="9">
        <f t="shared" si="20"/>
        <v>44466</v>
      </c>
      <c r="B30" s="10">
        <v>16956.39</v>
      </c>
      <c r="C30" s="8">
        <v>93334</v>
      </c>
      <c r="D30" s="8">
        <v>60301.6</v>
      </c>
      <c r="E30" s="8">
        <v>58495.6</v>
      </c>
      <c r="F30" s="8">
        <v>5853.19</v>
      </c>
      <c r="G30" s="8">
        <v>114414.8</v>
      </c>
      <c r="H30" s="8">
        <v>5596.3</v>
      </c>
      <c r="I30" s="8">
        <v>2566.3</v>
      </c>
      <c r="J30" s="8">
        <v>967</v>
      </c>
      <c r="K30" s="8">
        <v>56</v>
      </c>
      <c r="L30" s="8">
        <v>93003.1</v>
      </c>
      <c r="M30" s="8">
        <v>61529</v>
      </c>
      <c r="N30" s="8">
        <v>74264</v>
      </c>
      <c r="O30" s="8">
        <v>104466.5</v>
      </c>
      <c r="P30" s="8">
        <v>5710.1</v>
      </c>
      <c r="Q30" s="8">
        <v>7572.8</v>
      </c>
      <c r="R30" s="8">
        <v>4632.2</v>
      </c>
      <c r="S30" s="8">
        <v>5299.7</v>
      </c>
      <c r="T30" s="8">
        <v>6756.4</v>
      </c>
      <c r="U30" s="8">
        <v>17666.3</v>
      </c>
      <c r="V30" s="8">
        <v>51305.4</v>
      </c>
      <c r="W30" s="8">
        <v>53274.9</v>
      </c>
      <c r="X30" s="8">
        <v>2901.5</v>
      </c>
      <c r="Y30" s="8">
        <v>2640.8</v>
      </c>
      <c r="Z30" s="16">
        <f t="shared" si="21"/>
        <v>58817.2</v>
      </c>
      <c r="AA30" s="8">
        <v>66631.6</v>
      </c>
      <c r="AB30" s="14">
        <v>4126</v>
      </c>
      <c r="AC30" s="7">
        <f t="shared" si="22"/>
        <v>70757.6</v>
      </c>
      <c r="AD30" s="17">
        <v>193327</v>
      </c>
      <c r="AE30" s="18">
        <f t="shared" ref="AE30:AI30" si="149">IF(OR(C31=""),"",(C31-C30)*80)</f>
        <v>3815.99999999977</v>
      </c>
      <c r="AF30" s="18">
        <f t="shared" si="149"/>
        <v>2024.00000000023</v>
      </c>
      <c r="AG30" s="18">
        <f t="shared" si="149"/>
        <v>2496.00000000035</v>
      </c>
      <c r="AH30" s="18">
        <f t="shared" si="149"/>
        <v>4.00000000001455</v>
      </c>
      <c r="AI30" s="18">
        <f t="shared" si="149"/>
        <v>2360</v>
      </c>
      <c r="AJ30" s="18">
        <f t="shared" si="3"/>
        <v>10700.0000000004</v>
      </c>
      <c r="AK30" s="18">
        <f t="shared" ref="AK30:AN30" si="150">IF(OR(H31=""),"",(H31-H30)*80)</f>
        <v>0</v>
      </c>
      <c r="AL30" s="18">
        <f t="shared" si="150"/>
        <v>0</v>
      </c>
      <c r="AM30" s="18">
        <f t="shared" si="150"/>
        <v>0</v>
      </c>
      <c r="AN30" s="18">
        <f t="shared" si="150"/>
        <v>0</v>
      </c>
      <c r="AO30" s="18">
        <f t="shared" si="5"/>
        <v>0</v>
      </c>
      <c r="AP30" s="18">
        <f t="shared" ref="AP30:AS30" si="151">IF(OR(L31=""),"",(L31-L30)*100)</f>
        <v>2389.99999999942</v>
      </c>
      <c r="AQ30" s="18">
        <f t="shared" si="151"/>
        <v>0</v>
      </c>
      <c r="AR30" s="18">
        <f t="shared" si="151"/>
        <v>2630.00000000029</v>
      </c>
      <c r="AS30" s="18">
        <f t="shared" si="151"/>
        <v>2339.99999999942</v>
      </c>
      <c r="AT30" s="18">
        <f t="shared" si="7"/>
        <v>7359.99999999913</v>
      </c>
      <c r="AU30" s="18">
        <f t="shared" ref="AU30:AY30" si="152">IF(OR(P31=""),"",(P31-P30)*1000)</f>
        <v>3699.99999999982</v>
      </c>
      <c r="AV30" s="18">
        <f t="shared" si="152"/>
        <v>5199.99999999982</v>
      </c>
      <c r="AW30" s="18">
        <f t="shared" si="152"/>
        <v>0</v>
      </c>
      <c r="AX30" s="18">
        <f t="shared" si="152"/>
        <v>1900.00000000055</v>
      </c>
      <c r="AY30" s="18">
        <f t="shared" si="152"/>
        <v>0</v>
      </c>
      <c r="AZ30" s="18">
        <f t="shared" si="9"/>
        <v>10800.0000000002</v>
      </c>
      <c r="BA30" s="18">
        <f t="shared" si="10"/>
        <v>8400.00000000146</v>
      </c>
      <c r="BB30" s="18">
        <f t="shared" si="11"/>
        <v>623.999999999651</v>
      </c>
      <c r="BC30" s="18">
        <f t="shared" si="27"/>
        <v>1315.99999999977</v>
      </c>
      <c r="BD30" s="18">
        <f t="shared" si="12"/>
        <v>11499.9999999965</v>
      </c>
      <c r="BE30" s="18">
        <f t="shared" si="13"/>
        <v>50699.9999999971</v>
      </c>
      <c r="BF30" s="18">
        <f t="shared" si="14"/>
        <v>62.0999999999913</v>
      </c>
      <c r="BG30" s="21">
        <f t="shared" si="15"/>
        <v>0.262249970257631</v>
      </c>
      <c r="BH30" s="21">
        <f t="shared" si="16"/>
        <v>0.0553466406658168</v>
      </c>
      <c r="BI30" s="21">
        <f t="shared" si="17"/>
        <v>0</v>
      </c>
      <c r="BJ30" s="21">
        <f t="shared" si="18"/>
        <v>0.0380702126448925</v>
      </c>
      <c r="BK30" s="21">
        <f t="shared" ref="BK30:BO30" si="153">IF(OR($AD30=0),"",AZ30/$AD30)</f>
        <v>0.0558638989897954</v>
      </c>
      <c r="BL30" s="21">
        <f t="shared" si="153"/>
        <v>0.0434496992142921</v>
      </c>
      <c r="BM30" s="21">
        <f t="shared" si="153"/>
        <v>0.00322769194163076</v>
      </c>
      <c r="BN30" s="21">
        <f t="shared" si="153"/>
        <v>0.00680711954357005</v>
      </c>
      <c r="BO30" s="21">
        <f t="shared" si="153"/>
        <v>0.0594847072576337</v>
      </c>
    </row>
    <row r="31" spans="1:67">
      <c r="A31" s="9">
        <f t="shared" si="20"/>
        <v>44467</v>
      </c>
      <c r="B31" s="10">
        <v>16961.46</v>
      </c>
      <c r="C31" s="8">
        <v>93381.7</v>
      </c>
      <c r="D31" s="8">
        <v>60326.9</v>
      </c>
      <c r="E31" s="8">
        <v>58526.8</v>
      </c>
      <c r="F31" s="8">
        <v>5853.24</v>
      </c>
      <c r="G31" s="8">
        <v>114444.3</v>
      </c>
      <c r="H31" s="8">
        <v>5596.3</v>
      </c>
      <c r="I31" s="8">
        <v>2566.3</v>
      </c>
      <c r="J31" s="8">
        <v>967</v>
      </c>
      <c r="K31" s="8">
        <v>56</v>
      </c>
      <c r="L31" s="8">
        <v>93027</v>
      </c>
      <c r="M31" s="8">
        <v>61529</v>
      </c>
      <c r="N31" s="8">
        <v>74290.3</v>
      </c>
      <c r="O31" s="8">
        <v>104489.9</v>
      </c>
      <c r="P31" s="8">
        <v>5713.8</v>
      </c>
      <c r="Q31" s="8">
        <v>7578</v>
      </c>
      <c r="R31" s="8">
        <v>4632.2</v>
      </c>
      <c r="S31" s="8">
        <v>5301.6</v>
      </c>
      <c r="T31" s="8">
        <v>6756.4</v>
      </c>
      <c r="U31" s="8">
        <v>17670.5</v>
      </c>
      <c r="V31" s="8">
        <v>51313.2</v>
      </c>
      <c r="W31" s="8">
        <v>53291.4</v>
      </c>
      <c r="X31" s="8">
        <v>2909.5</v>
      </c>
      <c r="Y31" s="8">
        <v>2649.2</v>
      </c>
      <c r="Z31" s="16">
        <f t="shared" si="21"/>
        <v>58850.1</v>
      </c>
      <c r="AA31" s="8">
        <v>66688.7</v>
      </c>
      <c r="AB31" s="14">
        <v>4131</v>
      </c>
      <c r="AC31" s="7">
        <f t="shared" si="22"/>
        <v>70819.7</v>
      </c>
      <c r="AD31" s="17">
        <v>190333</v>
      </c>
      <c r="AE31" s="18">
        <f t="shared" ref="AE31:AI31" si="154">IF(OR(C32=""),"",(C32-C31)*80)</f>
        <v>3744.00000000023</v>
      </c>
      <c r="AF31" s="18">
        <f t="shared" si="154"/>
        <v>2152.00000000012</v>
      </c>
      <c r="AG31" s="18">
        <f t="shared" si="154"/>
        <v>2631.99999999953</v>
      </c>
      <c r="AH31" s="18">
        <f t="shared" si="154"/>
        <v>54.4000000000233</v>
      </c>
      <c r="AI31" s="18">
        <f t="shared" si="154"/>
        <v>2391.99999999953</v>
      </c>
      <c r="AJ31" s="18">
        <f t="shared" si="3"/>
        <v>10974.3999999994</v>
      </c>
      <c r="AK31" s="18">
        <f t="shared" ref="AK31:AN31" si="155">IF(OR(H32=""),"",(H32-H31)*80)</f>
        <v>0</v>
      </c>
      <c r="AL31" s="18">
        <f t="shared" si="155"/>
        <v>0</v>
      </c>
      <c r="AM31" s="18">
        <f t="shared" si="155"/>
        <v>0</v>
      </c>
      <c r="AN31" s="18">
        <f t="shared" si="155"/>
        <v>0</v>
      </c>
      <c r="AO31" s="18">
        <f t="shared" si="5"/>
        <v>0</v>
      </c>
      <c r="AP31" s="18">
        <f t="shared" ref="AP31:AS31" si="156">IF(OR(L32=""),"",(L32-L31)*100)</f>
        <v>2510.00000000058</v>
      </c>
      <c r="AQ31" s="18">
        <f t="shared" si="156"/>
        <v>0</v>
      </c>
      <c r="AR31" s="18">
        <f t="shared" si="156"/>
        <v>2619.99999999971</v>
      </c>
      <c r="AS31" s="18">
        <f t="shared" si="156"/>
        <v>2390.00000000087</v>
      </c>
      <c r="AT31" s="18">
        <f t="shared" si="7"/>
        <v>7520.00000000116</v>
      </c>
      <c r="AU31" s="18">
        <f t="shared" ref="AU31:AY31" si="157">IF(OR(P32=""),"",(P32-P31)*1000)</f>
        <v>3599.99999999945</v>
      </c>
      <c r="AV31" s="18">
        <f t="shared" si="157"/>
        <v>1699.99999999982</v>
      </c>
      <c r="AW31" s="18">
        <f t="shared" si="157"/>
        <v>0</v>
      </c>
      <c r="AX31" s="18">
        <f t="shared" si="157"/>
        <v>4099.99999999945</v>
      </c>
      <c r="AY31" s="18">
        <f t="shared" si="157"/>
        <v>0</v>
      </c>
      <c r="AZ31" s="18">
        <f t="shared" si="9"/>
        <v>9399.99999999873</v>
      </c>
      <c r="BA31" s="18">
        <f t="shared" si="10"/>
        <v>9199.99999999709</v>
      </c>
      <c r="BB31" s="18">
        <f t="shared" si="11"/>
        <v>608.000000000466</v>
      </c>
      <c r="BC31" s="18">
        <f t="shared" si="27"/>
        <v>1303.99999999994</v>
      </c>
      <c r="BD31" s="18">
        <f t="shared" si="12"/>
        <v>13893.6000000119</v>
      </c>
      <c r="BE31" s="18">
        <f t="shared" si="13"/>
        <v>52900.0000000087</v>
      </c>
      <c r="BF31" s="18">
        <f t="shared" si="14"/>
        <v>66</v>
      </c>
      <c r="BG31" s="21">
        <f t="shared" si="15"/>
        <v>0.277933936837063</v>
      </c>
      <c r="BH31" s="21">
        <f t="shared" si="16"/>
        <v>0.057658945111985</v>
      </c>
      <c r="BI31" s="21">
        <f t="shared" si="17"/>
        <v>0</v>
      </c>
      <c r="BJ31" s="21">
        <f t="shared" si="18"/>
        <v>0.0395097014180471</v>
      </c>
      <c r="BK31" s="21">
        <f t="shared" ref="BK31:BO31" si="158">IF(OR($AD31=0),"",AZ31/$AD31)</f>
        <v>0.0493871267725446</v>
      </c>
      <c r="BL31" s="21">
        <f t="shared" si="158"/>
        <v>0.0483363368412051</v>
      </c>
      <c r="BM31" s="21">
        <f t="shared" si="158"/>
        <v>0.00319440139124832</v>
      </c>
      <c r="BN31" s="21">
        <f t="shared" si="158"/>
        <v>0.00685115035227702</v>
      </c>
      <c r="BO31" s="21">
        <f t="shared" si="158"/>
        <v>0.072996274949756</v>
      </c>
    </row>
    <row r="32" spans="1:67">
      <c r="A32" s="9">
        <f t="shared" si="20"/>
        <v>44468</v>
      </c>
      <c r="B32" s="10">
        <v>16966.75</v>
      </c>
      <c r="C32" s="8">
        <v>93428.5</v>
      </c>
      <c r="D32" s="8">
        <v>60353.8</v>
      </c>
      <c r="E32" s="8">
        <v>58559.7</v>
      </c>
      <c r="F32" s="8">
        <v>5853.92</v>
      </c>
      <c r="G32" s="8">
        <v>114474.2</v>
      </c>
      <c r="H32" s="8">
        <v>5596.3</v>
      </c>
      <c r="I32" s="8">
        <v>2566.3</v>
      </c>
      <c r="J32" s="8">
        <v>967</v>
      </c>
      <c r="K32" s="8">
        <v>56</v>
      </c>
      <c r="L32" s="8">
        <v>93052.1</v>
      </c>
      <c r="M32" s="8">
        <v>61529</v>
      </c>
      <c r="N32" s="8">
        <v>74316.5</v>
      </c>
      <c r="O32" s="8">
        <v>104513.8</v>
      </c>
      <c r="P32" s="8">
        <v>5717.4</v>
      </c>
      <c r="Q32" s="8">
        <v>7579.7</v>
      </c>
      <c r="R32" s="8">
        <v>4632.2</v>
      </c>
      <c r="S32" s="8">
        <v>5305.7</v>
      </c>
      <c r="T32" s="8">
        <v>6756.4</v>
      </c>
      <c r="U32" s="8">
        <v>17675.1</v>
      </c>
      <c r="V32" s="8">
        <v>51320.8</v>
      </c>
      <c r="W32" s="8">
        <v>53308</v>
      </c>
      <c r="X32" s="8">
        <v>2917.5</v>
      </c>
      <c r="Y32" s="8">
        <v>2657.2</v>
      </c>
      <c r="Z32" s="16">
        <f t="shared" si="21"/>
        <v>58882.7</v>
      </c>
      <c r="AA32" s="8">
        <v>66745.7</v>
      </c>
      <c r="AB32" s="14">
        <v>4140</v>
      </c>
      <c r="AC32" s="7">
        <f t="shared" si="22"/>
        <v>70885.7</v>
      </c>
      <c r="AD32" s="17">
        <v>205617</v>
      </c>
      <c r="AE32" s="18">
        <f t="shared" ref="AE32:AI32" si="159">IF(OR(C33=""),"",(C33-C32)*80)</f>
        <v>3584.00000000023</v>
      </c>
      <c r="AF32" s="18">
        <f t="shared" si="159"/>
        <v>1127.99999999988</v>
      </c>
      <c r="AG32" s="18">
        <f t="shared" si="159"/>
        <v>2024.00000000023</v>
      </c>
      <c r="AH32" s="18">
        <f t="shared" si="159"/>
        <v>4.00000000001455</v>
      </c>
      <c r="AI32" s="18">
        <f t="shared" si="159"/>
        <v>2208.00000000047</v>
      </c>
      <c r="AJ32" s="18">
        <f t="shared" si="3"/>
        <v>8948.00000000083</v>
      </c>
      <c r="AK32" s="18">
        <f t="shared" ref="AK32:AN32" si="160">IF(OR(H33=""),"",(H33-H32)*80)</f>
        <v>0</v>
      </c>
      <c r="AL32" s="18">
        <f t="shared" si="160"/>
        <v>0</v>
      </c>
      <c r="AM32" s="18">
        <f t="shared" si="160"/>
        <v>0</v>
      </c>
      <c r="AN32" s="18">
        <f t="shared" si="160"/>
        <v>0</v>
      </c>
      <c r="AO32" s="18">
        <f t="shared" si="5"/>
        <v>0</v>
      </c>
      <c r="AP32" s="18">
        <f t="shared" ref="AP32:AS32" si="161">IF(OR(L33=""),"",(L33-L32)*100)</f>
        <v>2919.99999999971</v>
      </c>
      <c r="AQ32" s="18">
        <f t="shared" si="161"/>
        <v>0</v>
      </c>
      <c r="AR32" s="18">
        <f t="shared" si="161"/>
        <v>2650</v>
      </c>
      <c r="AS32" s="18">
        <f t="shared" si="161"/>
        <v>2339.99999999942</v>
      </c>
      <c r="AT32" s="18">
        <f t="shared" si="7"/>
        <v>7909.99999999913</v>
      </c>
      <c r="AU32" s="18">
        <f t="shared" ref="AU32:AY32" si="162">IF(OR(P33=""),"",(P33-P32)*1000)</f>
        <v>3800.00000000018</v>
      </c>
      <c r="AV32" s="18">
        <f t="shared" si="162"/>
        <v>6800.00000000018</v>
      </c>
      <c r="AW32" s="18">
        <f t="shared" si="162"/>
        <v>0</v>
      </c>
      <c r="AX32" s="18">
        <f t="shared" si="162"/>
        <v>100.000000000364</v>
      </c>
      <c r="AY32" s="18">
        <f t="shared" si="162"/>
        <v>0</v>
      </c>
      <c r="AZ32" s="18">
        <f t="shared" si="9"/>
        <v>10700.0000000007</v>
      </c>
      <c r="BA32" s="18">
        <f t="shared" si="10"/>
        <v>9600.00000000582</v>
      </c>
      <c r="BB32" s="18">
        <f t="shared" si="11"/>
        <v>560</v>
      </c>
      <c r="BC32" s="18">
        <f t="shared" si="27"/>
        <v>1272.00000000012</v>
      </c>
      <c r="BD32" s="18">
        <f t="shared" si="12"/>
        <v>9110.00000000648</v>
      </c>
      <c r="BE32" s="18">
        <f t="shared" si="13"/>
        <v>48100.0000000131</v>
      </c>
      <c r="BF32" s="18">
        <f t="shared" si="14"/>
        <v>61.1000000000058</v>
      </c>
      <c r="BG32" s="21">
        <f t="shared" si="15"/>
        <v>0.233930073875278</v>
      </c>
      <c r="BH32" s="21">
        <f t="shared" si="16"/>
        <v>0.0435178025163329</v>
      </c>
      <c r="BI32" s="21">
        <f t="shared" si="17"/>
        <v>0</v>
      </c>
      <c r="BJ32" s="21">
        <f t="shared" si="18"/>
        <v>0.0384695817952753</v>
      </c>
      <c r="BK32" s="21">
        <f t="shared" ref="BK32:BO32" si="163">IF(OR($AD32=0),"",AZ32/$AD32)</f>
        <v>0.0520384987622654</v>
      </c>
      <c r="BL32" s="21">
        <f t="shared" si="163"/>
        <v>0.0466887465530857</v>
      </c>
      <c r="BM32" s="21">
        <f t="shared" si="163"/>
        <v>0.00272351021559501</v>
      </c>
      <c r="BN32" s="21">
        <f t="shared" si="163"/>
        <v>0.00618625891828067</v>
      </c>
      <c r="BO32" s="21">
        <f t="shared" si="163"/>
        <v>0.0443056751144432</v>
      </c>
    </row>
    <row r="33" spans="1:67">
      <c r="A33" s="9">
        <f t="shared" si="20"/>
        <v>44469</v>
      </c>
      <c r="B33" s="10">
        <v>16971.56</v>
      </c>
      <c r="C33" s="8">
        <v>93473.3</v>
      </c>
      <c r="D33" s="8">
        <v>60367.9</v>
      </c>
      <c r="E33" s="8">
        <v>58585</v>
      </c>
      <c r="F33" s="8">
        <v>5853.97</v>
      </c>
      <c r="G33" s="8">
        <v>114501.8</v>
      </c>
      <c r="H33" s="8">
        <v>5596.3</v>
      </c>
      <c r="I33" s="8">
        <v>2566.3</v>
      </c>
      <c r="J33" s="8">
        <v>967</v>
      </c>
      <c r="K33" s="8">
        <v>56</v>
      </c>
      <c r="L33" s="8">
        <v>93081.3</v>
      </c>
      <c r="M33" s="8">
        <v>61529</v>
      </c>
      <c r="N33" s="8">
        <v>74343</v>
      </c>
      <c r="O33" s="8">
        <v>104537.2</v>
      </c>
      <c r="P33" s="8">
        <v>5721.2</v>
      </c>
      <c r="Q33" s="8">
        <v>7586.5</v>
      </c>
      <c r="R33" s="8">
        <v>4632.2</v>
      </c>
      <c r="S33" s="8">
        <v>5305.8</v>
      </c>
      <c r="T33" s="8">
        <v>6756.4</v>
      </c>
      <c r="U33" s="8">
        <v>17679.9</v>
      </c>
      <c r="V33" s="8">
        <v>51327.8</v>
      </c>
      <c r="W33" s="8">
        <v>53324.3</v>
      </c>
      <c r="X33" s="8">
        <v>2925.2</v>
      </c>
      <c r="Y33" s="8">
        <v>2665</v>
      </c>
      <c r="Z33" s="16">
        <f t="shared" si="21"/>
        <v>58914.5</v>
      </c>
      <c r="AA33" s="8">
        <v>66801.8</v>
      </c>
      <c r="AB33" s="14">
        <v>4145</v>
      </c>
      <c r="AC33" s="7">
        <f t="shared" si="22"/>
        <v>70946.8</v>
      </c>
      <c r="AD33" s="17">
        <v>210402</v>
      </c>
      <c r="AE33" s="18">
        <f t="shared" ref="AE33:AI33" si="164">IF(OR(C34=""),"",(C34-C33)*80)</f>
        <v>3767.9999999993</v>
      </c>
      <c r="AF33" s="18">
        <f t="shared" si="164"/>
        <v>0</v>
      </c>
      <c r="AG33" s="18">
        <f t="shared" si="164"/>
        <v>2855.99999999977</v>
      </c>
      <c r="AH33" s="18">
        <f t="shared" si="164"/>
        <v>4.79999999995925</v>
      </c>
      <c r="AI33" s="18">
        <f t="shared" si="164"/>
        <v>2487.9999999993</v>
      </c>
      <c r="AJ33" s="18">
        <f t="shared" si="3"/>
        <v>9116.79999999833</v>
      </c>
      <c r="AK33" s="18">
        <f t="shared" ref="AK33:AN33" si="165">IF(OR(H34=""),"",(H34-H33)*80)</f>
        <v>0</v>
      </c>
      <c r="AL33" s="18">
        <f t="shared" si="165"/>
        <v>0</v>
      </c>
      <c r="AM33" s="18">
        <f t="shared" si="165"/>
        <v>0</v>
      </c>
      <c r="AN33" s="18">
        <f t="shared" si="165"/>
        <v>0</v>
      </c>
      <c r="AO33" s="18">
        <f t="shared" si="5"/>
        <v>0</v>
      </c>
      <c r="AP33" s="18">
        <f t="shared" ref="AP33:AS33" si="166">IF(OR(L34=""),"",(L34-L33)*100)</f>
        <v>3209.99999999913</v>
      </c>
      <c r="AQ33" s="18">
        <f t="shared" si="166"/>
        <v>0</v>
      </c>
      <c r="AR33" s="18">
        <f t="shared" si="166"/>
        <v>2760.00000000058</v>
      </c>
      <c r="AS33" s="18">
        <f t="shared" si="166"/>
        <v>2380.00000000029</v>
      </c>
      <c r="AT33" s="18">
        <f t="shared" si="7"/>
        <v>8350</v>
      </c>
      <c r="AU33" s="18">
        <f t="shared" ref="AU33:AY33" si="167">IF(OR(P34=""),"",(P34-P33)*1000)</f>
        <v>4100.00000000036</v>
      </c>
      <c r="AV33" s="18">
        <f t="shared" si="167"/>
        <v>7100.00000000036</v>
      </c>
      <c r="AW33" s="18">
        <f t="shared" si="167"/>
        <v>0</v>
      </c>
      <c r="AX33" s="18">
        <f t="shared" si="167"/>
        <v>0</v>
      </c>
      <c r="AY33" s="18">
        <f t="shared" si="167"/>
        <v>0</v>
      </c>
      <c r="AZ33" s="18">
        <f t="shared" si="9"/>
        <v>11200.0000000007</v>
      </c>
      <c r="BA33" s="18">
        <f t="shared" si="10"/>
        <v>10599.9999999985</v>
      </c>
      <c r="BB33" s="18">
        <f t="shared" si="11"/>
        <v>600</v>
      </c>
      <c r="BC33" s="18">
        <f t="shared" si="27"/>
        <v>1295.99999999977</v>
      </c>
      <c r="BD33" s="18">
        <f t="shared" si="12"/>
        <v>9037.200000007</v>
      </c>
      <c r="BE33" s="18">
        <f t="shared" si="13"/>
        <v>50200.0000000044</v>
      </c>
      <c r="BF33" s="18">
        <f t="shared" si="14"/>
        <v>77.3000000000029</v>
      </c>
      <c r="BG33" s="21">
        <f t="shared" si="15"/>
        <v>0.238590887919337</v>
      </c>
      <c r="BH33" s="21">
        <f t="shared" si="16"/>
        <v>0.0433303865932754</v>
      </c>
      <c r="BI33" s="21">
        <f t="shared" si="17"/>
        <v>0</v>
      </c>
      <c r="BJ33" s="21">
        <f t="shared" si="18"/>
        <v>0.0396859345443484</v>
      </c>
      <c r="BK33" s="21">
        <f t="shared" ref="BK33:BO33" si="168">IF(OR($AD33=0),"",AZ33/$AD33)</f>
        <v>0.0532314331612852</v>
      </c>
      <c r="BL33" s="21">
        <f t="shared" si="168"/>
        <v>0.0503797492419204</v>
      </c>
      <c r="BM33" s="21">
        <f t="shared" si="168"/>
        <v>0.00285168391935438</v>
      </c>
      <c r="BN33" s="21">
        <f t="shared" si="168"/>
        <v>0.00615963726580435</v>
      </c>
      <c r="BO33" s="21">
        <f t="shared" si="168"/>
        <v>0.0429520631933489</v>
      </c>
    </row>
    <row r="34" spans="1:67">
      <c r="A34" s="9">
        <f t="shared" si="20"/>
        <v>44470</v>
      </c>
      <c r="B34" s="7">
        <v>16976.58</v>
      </c>
      <c r="C34" s="8">
        <v>93520.4</v>
      </c>
      <c r="D34" s="8">
        <v>60367.9</v>
      </c>
      <c r="E34" s="8">
        <v>58620.7</v>
      </c>
      <c r="F34" s="8">
        <v>5854.03</v>
      </c>
      <c r="G34" s="8">
        <v>114532.9</v>
      </c>
      <c r="H34" s="8">
        <v>5596.3</v>
      </c>
      <c r="I34" s="8">
        <v>2566.3</v>
      </c>
      <c r="J34" s="8">
        <v>967</v>
      </c>
      <c r="K34" s="8">
        <v>56</v>
      </c>
      <c r="L34" s="8">
        <v>93113.4</v>
      </c>
      <c r="M34" s="8">
        <v>61529</v>
      </c>
      <c r="N34" s="8">
        <v>74370.6</v>
      </c>
      <c r="O34" s="8">
        <v>104561</v>
      </c>
      <c r="P34" s="8">
        <v>5725.3</v>
      </c>
      <c r="Q34" s="8">
        <v>7593.6</v>
      </c>
      <c r="R34" s="8">
        <v>4632.2</v>
      </c>
      <c r="S34" s="8">
        <v>5305.8</v>
      </c>
      <c r="T34" s="8">
        <v>6756.4</v>
      </c>
      <c r="U34" s="8">
        <v>17685.2</v>
      </c>
      <c r="V34" s="8">
        <v>51335.3</v>
      </c>
      <c r="W34" s="8">
        <v>53340.7</v>
      </c>
      <c r="X34" s="8">
        <v>2933.1</v>
      </c>
      <c r="Y34" s="8">
        <v>2673.1</v>
      </c>
      <c r="Z34" s="16">
        <f t="shared" si="21"/>
        <v>58946.9</v>
      </c>
      <c r="AA34" s="8">
        <v>66857.1</v>
      </c>
      <c r="AB34" s="14">
        <v>4167</v>
      </c>
      <c r="AC34" s="7">
        <f t="shared" si="22"/>
        <v>71024.1</v>
      </c>
      <c r="AD34" s="17">
        <v>146334</v>
      </c>
      <c r="AE34" s="18" t="str">
        <f t="shared" ref="AE34:AI34" si="169">IF(OR(C35=""),"",(C35-C34)*80)</f>
        <v/>
      </c>
      <c r="AF34" s="18" t="str">
        <f t="shared" si="169"/>
        <v/>
      </c>
      <c r="AG34" s="18" t="str">
        <f t="shared" si="169"/>
        <v/>
      </c>
      <c r="AH34" s="18" t="str">
        <f t="shared" si="169"/>
        <v/>
      </c>
      <c r="AI34" s="18" t="str">
        <f t="shared" si="169"/>
        <v/>
      </c>
      <c r="AJ34" s="18" t="str">
        <f t="shared" si="3"/>
        <v/>
      </c>
      <c r="AK34" s="18" t="str">
        <f t="shared" ref="AK34:AN34" si="170">IF(OR(H35=""),"",(H35-H34)*80)</f>
        <v/>
      </c>
      <c r="AL34" s="18" t="str">
        <f t="shared" si="170"/>
        <v/>
      </c>
      <c r="AM34" s="18" t="str">
        <f t="shared" si="170"/>
        <v/>
      </c>
      <c r="AN34" s="18" t="str">
        <f t="shared" si="170"/>
        <v/>
      </c>
      <c r="AO34" s="18" t="str">
        <f t="shared" si="5"/>
        <v/>
      </c>
      <c r="AP34" s="18" t="str">
        <f t="shared" ref="AP34:AS34" si="171">IF(OR(L35=""),"",(L35-L34)*100)</f>
        <v/>
      </c>
      <c r="AQ34" s="18" t="str">
        <f t="shared" si="171"/>
        <v/>
      </c>
      <c r="AR34" s="18" t="str">
        <f t="shared" si="171"/>
        <v/>
      </c>
      <c r="AS34" s="18" t="str">
        <f t="shared" si="171"/>
        <v/>
      </c>
      <c r="AT34" s="18" t="str">
        <f t="shared" si="7"/>
        <v/>
      </c>
      <c r="AU34" s="18" t="str">
        <f t="shared" ref="AU34:AY34" si="172">IF(OR(P35=""),"",(P35-P34)*1000)</f>
        <v/>
      </c>
      <c r="AV34" s="18" t="str">
        <f t="shared" si="172"/>
        <v/>
      </c>
      <c r="AW34" s="18" t="str">
        <f t="shared" si="172"/>
        <v/>
      </c>
      <c r="AX34" s="18" t="str">
        <f t="shared" si="172"/>
        <v/>
      </c>
      <c r="AY34" s="18" t="str">
        <f t="shared" si="172"/>
        <v/>
      </c>
      <c r="AZ34" s="18" t="str">
        <f t="shared" si="9"/>
        <v/>
      </c>
      <c r="BA34" s="18" t="str">
        <f t="shared" si="10"/>
        <v/>
      </c>
      <c r="BB34" s="18" t="str">
        <f t="shared" si="11"/>
        <v/>
      </c>
      <c r="BC34" s="18" t="str">
        <f t="shared" ref="BC34" si="173">IF(OR(W35=""),"",(W35-W34)*40)</f>
        <v/>
      </c>
      <c r="BD34" s="18" t="str">
        <f t="shared" si="12"/>
        <v/>
      </c>
      <c r="BE34" s="18" t="str">
        <f t="shared" si="13"/>
        <v/>
      </c>
      <c r="BF34" s="18" t="str">
        <f t="shared" si="14"/>
        <v/>
      </c>
      <c r="BG34" s="21" t="e">
        <f t="shared" si="15"/>
        <v>#VALUE!</v>
      </c>
      <c r="BH34" s="21" t="e">
        <f t="shared" si="16"/>
        <v>#VALUE!</v>
      </c>
      <c r="BI34" s="21" t="e">
        <f t="shared" si="17"/>
        <v>#VALUE!</v>
      </c>
      <c r="BJ34" s="21" t="e">
        <f t="shared" si="18"/>
        <v>#VALUE!</v>
      </c>
      <c r="BK34" s="21" t="e">
        <f t="shared" ref="BK34:BO34" si="174">IF(OR($AD34=0),"",AZ34/$AD34)</f>
        <v>#VALUE!</v>
      </c>
      <c r="BL34" s="21" t="e">
        <f t="shared" si="174"/>
        <v>#VALUE!</v>
      </c>
      <c r="BM34" s="21" t="e">
        <f t="shared" si="174"/>
        <v>#VALUE!</v>
      </c>
      <c r="BN34" s="21" t="e">
        <f t="shared" si="174"/>
        <v>#VALUE!</v>
      </c>
      <c r="BO34" s="21" t="e">
        <f t="shared" si="174"/>
        <v>#VALUE!</v>
      </c>
    </row>
    <row r="35" spans="1:67">
      <c r="A35" s="9"/>
      <c r="B35" s="10"/>
      <c r="C35" s="11"/>
      <c r="D35" s="11"/>
      <c r="E35" s="11"/>
      <c r="F35" s="11"/>
      <c r="G35" s="11"/>
      <c r="H35" s="8"/>
      <c r="I35" s="8"/>
      <c r="J35" s="8"/>
      <c r="K35" s="8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6" t="str">
        <f t="shared" si="21"/>
        <v/>
      </c>
      <c r="AA35" s="11"/>
      <c r="BE35" s="22" t="s">
        <v>44</v>
      </c>
      <c r="BF35" s="22" t="s">
        <v>19</v>
      </c>
      <c r="BG35" s="23">
        <f>SUM(BE4:BE34)</f>
        <v>1513100.00000001</v>
      </c>
      <c r="BH35" s="23">
        <f>SUM(AJ4:AJ34)</f>
        <v>288772.799999999</v>
      </c>
      <c r="BI35" s="23">
        <f>SUM(AO4:AO34)</f>
        <v>0</v>
      </c>
      <c r="BJ35" s="23">
        <f>SUM(AT4:AT34)</f>
        <v>231950</v>
      </c>
      <c r="BK35" s="23">
        <f t="shared" ref="BK35:BO35" si="175">SUM(AZ4:AZ34)</f>
        <v>315400</v>
      </c>
      <c r="BL35" s="23">
        <f t="shared" si="175"/>
        <v>281200.000000004</v>
      </c>
      <c r="BM35" s="23">
        <f t="shared" si="175"/>
        <v>18568.0000000005</v>
      </c>
      <c r="BN35" s="23">
        <f t="shared" si="175"/>
        <v>39399.9999999997</v>
      </c>
      <c r="BO35" s="23">
        <f t="shared" si="175"/>
        <v>337809.200000009</v>
      </c>
    </row>
    <row r="36" spans="37:67"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22">
        <f>SUM(AD4:AD34)</f>
        <v>6184063</v>
      </c>
      <c r="BF36" s="22" t="s">
        <v>21</v>
      </c>
      <c r="BG36" s="24">
        <f>IF(OR(BG35=0),"",ROUND(BG35/$BE$36,3))</f>
        <v>0.245</v>
      </c>
      <c r="BH36" s="24">
        <f t="shared" ref="BH36:BO36" si="176">IF(OR(BH35=0),"",ROUND(BH35/$BE$36,4))</f>
        <v>0.0467</v>
      </c>
      <c r="BI36" s="24" t="str">
        <f t="shared" si="176"/>
        <v/>
      </c>
      <c r="BJ36" s="24">
        <f t="shared" si="176"/>
        <v>0.0375</v>
      </c>
      <c r="BK36" s="24">
        <f t="shared" si="176"/>
        <v>0.051</v>
      </c>
      <c r="BL36" s="24">
        <f t="shared" si="176"/>
        <v>0.0455</v>
      </c>
      <c r="BM36" s="24">
        <f t="shared" si="176"/>
        <v>0.003</v>
      </c>
      <c r="BN36" s="24">
        <f t="shared" si="176"/>
        <v>0.0064</v>
      </c>
      <c r="BO36" s="24">
        <f t="shared" si="176"/>
        <v>0.0546</v>
      </c>
    </row>
  </sheetData>
  <mergeCells count="35">
    <mergeCell ref="A1:BO1"/>
    <mergeCell ref="C2:G2"/>
    <mergeCell ref="H2:K2"/>
    <mergeCell ref="L2:O2"/>
    <mergeCell ref="P2:T2"/>
    <mergeCell ref="X2:Y2"/>
    <mergeCell ref="AE2:AJ2"/>
    <mergeCell ref="AK2:AO2"/>
    <mergeCell ref="AP2:AT2"/>
    <mergeCell ref="AU2:AZ2"/>
    <mergeCell ref="A2:A3"/>
    <mergeCell ref="B2:B3"/>
    <mergeCell ref="U2:U3"/>
    <mergeCell ref="V2:V3"/>
    <mergeCell ref="W2:W3"/>
    <mergeCell ref="Z2:Z3"/>
    <mergeCell ref="AA2:AA3"/>
    <mergeCell ref="AB2:AB3"/>
    <mergeCell ref="AC2:AC3"/>
    <mergeCell ref="AD2:AD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"/>
  <sheetViews>
    <sheetView showGridLines="0" zoomScale="120" zoomScaleNormal="120" workbookViewId="0">
      <pane xSplit="1" ySplit="3" topLeftCell="AK4" activePane="bottomRight" state="frozen"/>
      <selection/>
      <selection pane="topRight"/>
      <selection pane="bottomLeft"/>
      <selection pane="bottomRight" activeCell="BC4" sqref="BC4"/>
    </sheetView>
  </sheetViews>
  <sheetFormatPr defaultColWidth="9" defaultRowHeight="14.25"/>
  <cols>
    <col min="1" max="1" width="7.75" style="1" customWidth="1"/>
    <col min="2" max="2" width="8.375" style="2" customWidth="1"/>
    <col min="3" max="6" width="7.5" style="3" customWidth="1"/>
    <col min="7" max="7" width="8.375" style="3" customWidth="1"/>
    <col min="8" max="9" width="6.625" style="3" customWidth="1"/>
    <col min="10" max="10" width="5.75" style="3" customWidth="1"/>
    <col min="11" max="11" width="4.875" style="3" customWidth="1"/>
    <col min="12" max="14" width="7.5" style="3" customWidth="1"/>
    <col min="15" max="15" width="8.75" style="3" customWidth="1"/>
    <col min="16" max="20" width="6.625" style="3" customWidth="1"/>
    <col min="21" max="24" width="7.5" style="3" customWidth="1"/>
    <col min="25" max="26" width="8.25" style="3" customWidth="1"/>
    <col min="27" max="28" width="7.5" style="3" customWidth="1"/>
    <col min="29" max="29" width="8.625" style="3" customWidth="1"/>
    <col min="30" max="30" width="6.75" style="3" customWidth="1"/>
    <col min="31" max="31" width="5" style="1" customWidth="1"/>
    <col min="32" max="32" width="4.625" style="1" customWidth="1"/>
    <col min="33" max="34" width="5.375" style="1" customWidth="1"/>
    <col min="35" max="35" width="5.875" style="1" customWidth="1"/>
    <col min="36" max="36" width="7.875" style="1" customWidth="1"/>
    <col min="37" max="40" width="4" style="1" customWidth="1"/>
    <col min="41" max="41" width="6.625" style="1" customWidth="1"/>
    <col min="42" max="42" width="5" style="1" customWidth="1"/>
    <col min="43" max="44" width="5.25" style="1" customWidth="1"/>
    <col min="45" max="45" width="5" style="1" customWidth="1"/>
    <col min="46" max="46" width="6.625" style="1" customWidth="1"/>
    <col min="47" max="51" width="5.5" style="1" customWidth="1"/>
    <col min="52" max="55" width="6.625" style="1" customWidth="1"/>
    <col min="56" max="56" width="8.125" style="1" customWidth="1"/>
    <col min="57" max="57" width="5.875" style="1" customWidth="1"/>
    <col min="58" max="58" width="6.625" style="1" customWidth="1"/>
    <col min="59" max="59" width="7" style="1" customWidth="1"/>
    <col min="60" max="60" width="7.625" style="1" customWidth="1"/>
    <col min="61" max="61" width="6.875" style="1" customWidth="1"/>
    <col min="62" max="62" width="7.25" style="1" customWidth="1"/>
    <col min="63" max="63" width="6" style="1" customWidth="1"/>
    <col min="64" max="64" width="6.5" style="1" customWidth="1"/>
    <col min="65" max="65" width="5.875" style="1" customWidth="1"/>
    <col min="66" max="66" width="6.375" style="1" customWidth="1"/>
    <col min="67" max="67" width="6" style="1" customWidth="1"/>
    <col min="68" max="16384" width="9" style="1"/>
  </cols>
  <sheetData>
    <row r="1" spans="1:6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25"/>
    </row>
    <row r="2" spans="1:67">
      <c r="A2" s="6"/>
      <c r="B2" s="7" t="s">
        <v>0</v>
      </c>
      <c r="C2" s="8" t="s">
        <v>1</v>
      </c>
      <c r="D2" s="8"/>
      <c r="E2" s="8"/>
      <c r="F2" s="8"/>
      <c r="G2" s="8"/>
      <c r="H2" s="8" t="s">
        <v>2</v>
      </c>
      <c r="I2" s="8"/>
      <c r="J2" s="8"/>
      <c r="K2" s="8"/>
      <c r="L2" s="8" t="s">
        <v>3</v>
      </c>
      <c r="M2" s="8"/>
      <c r="N2" s="8"/>
      <c r="O2" s="8"/>
      <c r="P2" s="8" t="s">
        <v>4</v>
      </c>
      <c r="Q2" s="8"/>
      <c r="R2" s="8"/>
      <c r="S2" s="8"/>
      <c r="T2" s="8"/>
      <c r="U2" s="8" t="s">
        <v>5</v>
      </c>
      <c r="V2" s="8" t="s">
        <v>6</v>
      </c>
      <c r="W2" s="8" t="s">
        <v>7</v>
      </c>
      <c r="X2" s="12" t="s">
        <v>8</v>
      </c>
      <c r="Y2" s="14"/>
      <c r="Z2" s="8" t="s">
        <v>9</v>
      </c>
      <c r="AA2" s="8" t="s">
        <v>10</v>
      </c>
      <c r="AB2" s="8" t="s">
        <v>11</v>
      </c>
      <c r="AC2" s="8" t="s">
        <v>12</v>
      </c>
      <c r="AD2" s="6" t="s">
        <v>13</v>
      </c>
      <c r="AE2" s="15" t="s">
        <v>14</v>
      </c>
      <c r="AF2" s="15"/>
      <c r="AG2" s="15"/>
      <c r="AH2" s="15"/>
      <c r="AI2" s="15"/>
      <c r="AJ2" s="15"/>
      <c r="AK2" s="15" t="s">
        <v>2</v>
      </c>
      <c r="AL2" s="15"/>
      <c r="AM2" s="15"/>
      <c r="AN2" s="15"/>
      <c r="AO2" s="15"/>
      <c r="AP2" s="15" t="s">
        <v>3</v>
      </c>
      <c r="AQ2" s="15"/>
      <c r="AR2" s="15"/>
      <c r="AS2" s="15"/>
      <c r="AT2" s="15"/>
      <c r="AU2" s="15" t="s">
        <v>4</v>
      </c>
      <c r="AV2" s="15"/>
      <c r="AW2" s="15"/>
      <c r="AX2" s="15"/>
      <c r="AY2" s="15"/>
      <c r="AZ2" s="15"/>
      <c r="BA2" s="15" t="s">
        <v>15</v>
      </c>
      <c r="BB2" s="15" t="s">
        <v>16</v>
      </c>
      <c r="BC2" s="15" t="s">
        <v>17</v>
      </c>
      <c r="BD2" s="15" t="s">
        <v>18</v>
      </c>
      <c r="BE2" s="15" t="s">
        <v>19</v>
      </c>
      <c r="BF2" s="15" t="s">
        <v>20</v>
      </c>
      <c r="BG2" s="21" t="s">
        <v>21</v>
      </c>
      <c r="BH2" s="21" t="s">
        <v>22</v>
      </c>
      <c r="BI2" s="21" t="s">
        <v>23</v>
      </c>
      <c r="BJ2" s="21" t="s">
        <v>24</v>
      </c>
      <c r="BK2" s="21" t="s">
        <v>25</v>
      </c>
      <c r="BL2" s="21" t="s">
        <v>26</v>
      </c>
      <c r="BM2" s="21" t="s">
        <v>27</v>
      </c>
      <c r="BN2" s="21" t="s">
        <v>28</v>
      </c>
      <c r="BO2" s="21" t="s">
        <v>29</v>
      </c>
    </row>
    <row r="3" spans="1:67">
      <c r="A3" s="6"/>
      <c r="B3" s="7"/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/>
      <c r="V3" s="8"/>
      <c r="W3" s="8"/>
      <c r="X3" s="8" t="s">
        <v>40</v>
      </c>
      <c r="Y3" s="8" t="s">
        <v>41</v>
      </c>
      <c r="Z3" s="8"/>
      <c r="AA3" s="8"/>
      <c r="AB3" s="8"/>
      <c r="AC3" s="8"/>
      <c r="AD3" s="6"/>
      <c r="AE3" s="15" t="s">
        <v>30</v>
      </c>
      <c r="AF3" s="15" t="s">
        <v>31</v>
      </c>
      <c r="AG3" s="15" t="s">
        <v>32</v>
      </c>
      <c r="AH3" s="15" t="s">
        <v>33</v>
      </c>
      <c r="AI3" s="15" t="s">
        <v>34</v>
      </c>
      <c r="AJ3" s="15" t="s">
        <v>42</v>
      </c>
      <c r="AK3" s="15" t="s">
        <v>30</v>
      </c>
      <c r="AL3" s="15" t="s">
        <v>31</v>
      </c>
      <c r="AM3" s="15" t="s">
        <v>32</v>
      </c>
      <c r="AN3" s="15" t="s">
        <v>33</v>
      </c>
      <c r="AO3" s="15" t="s">
        <v>42</v>
      </c>
      <c r="AP3" s="15" t="s">
        <v>30</v>
      </c>
      <c r="AQ3" s="15" t="s">
        <v>31</v>
      </c>
      <c r="AR3" s="15" t="s">
        <v>32</v>
      </c>
      <c r="AS3" s="15" t="s">
        <v>33</v>
      </c>
      <c r="AT3" s="15" t="s">
        <v>42</v>
      </c>
      <c r="AU3" s="15" t="s">
        <v>35</v>
      </c>
      <c r="AV3" s="15" t="s">
        <v>36</v>
      </c>
      <c r="AW3" s="15" t="s">
        <v>37</v>
      </c>
      <c r="AX3" s="15" t="s">
        <v>38</v>
      </c>
      <c r="AY3" s="15" t="s">
        <v>39</v>
      </c>
      <c r="AZ3" s="15" t="s">
        <v>43</v>
      </c>
      <c r="BA3" s="20"/>
      <c r="BB3" s="20"/>
      <c r="BC3" s="20"/>
      <c r="BD3" s="20"/>
      <c r="BE3" s="20"/>
      <c r="BF3" s="20"/>
      <c r="BG3" s="21"/>
      <c r="BH3" s="21"/>
      <c r="BI3" s="21"/>
      <c r="BJ3" s="21"/>
      <c r="BK3" s="21"/>
      <c r="BL3" s="21"/>
      <c r="BM3" s="21"/>
      <c r="BN3" s="21"/>
      <c r="BO3" s="21"/>
    </row>
    <row r="4" spans="1:67">
      <c r="A4" s="9">
        <f>'9'!A34</f>
        <v>44470</v>
      </c>
      <c r="B4" s="7">
        <v>16976.58</v>
      </c>
      <c r="C4" s="8">
        <v>93520.4</v>
      </c>
      <c r="D4" s="8">
        <v>60367.9</v>
      </c>
      <c r="E4" s="8">
        <v>58620.7</v>
      </c>
      <c r="F4" s="8">
        <v>5854.03</v>
      </c>
      <c r="G4" s="8">
        <v>114532.9</v>
      </c>
      <c r="H4" s="8">
        <v>5596.3</v>
      </c>
      <c r="I4" s="8">
        <v>2566.3</v>
      </c>
      <c r="J4" s="8">
        <v>967</v>
      </c>
      <c r="K4" s="8">
        <v>56</v>
      </c>
      <c r="L4" s="8">
        <v>93113.4</v>
      </c>
      <c r="M4" s="8">
        <v>61529</v>
      </c>
      <c r="N4" s="8">
        <v>74370.6</v>
      </c>
      <c r="O4" s="8">
        <v>104561</v>
      </c>
      <c r="P4" s="8">
        <v>5725.3</v>
      </c>
      <c r="Q4" s="8">
        <v>7593.6</v>
      </c>
      <c r="R4" s="8">
        <v>4632.2</v>
      </c>
      <c r="S4" s="8">
        <v>5305.8</v>
      </c>
      <c r="T4" s="8">
        <v>6756.4</v>
      </c>
      <c r="U4" s="8">
        <v>17685.2</v>
      </c>
      <c r="V4" s="8">
        <v>51335.3</v>
      </c>
      <c r="W4" s="8">
        <v>53340.7</v>
      </c>
      <c r="X4" s="8">
        <v>2933.1</v>
      </c>
      <c r="Y4" s="8">
        <v>2673.1</v>
      </c>
      <c r="Z4" s="16">
        <f t="shared" ref="Z4" si="0">IF(OR(W4=""),"",(W4+X4+Y4))</f>
        <v>58946.9</v>
      </c>
      <c r="AA4" s="8">
        <v>66857.1</v>
      </c>
      <c r="AB4" s="14">
        <v>4167</v>
      </c>
      <c r="AC4" s="7">
        <f t="shared" ref="AC4" si="1">IF(OR(AA4=""),"",(AA4+AB4))</f>
        <v>71024.1</v>
      </c>
      <c r="AD4" s="17">
        <v>146334</v>
      </c>
      <c r="AE4" s="18">
        <f t="shared" ref="AE4:AI4" si="2">IF(OR(C5=""),"",(C5-C4)*80)</f>
        <v>1016.00000000093</v>
      </c>
      <c r="AF4" s="18">
        <f t="shared" si="2"/>
        <v>295.999999999767</v>
      </c>
      <c r="AG4" s="18">
        <f t="shared" si="2"/>
        <v>2344.00000000023</v>
      </c>
      <c r="AH4" s="18">
        <f t="shared" si="2"/>
        <v>453.600000000006</v>
      </c>
      <c r="AI4" s="18">
        <f t="shared" si="2"/>
        <v>2136.00000000093</v>
      </c>
      <c r="AJ4" s="18">
        <f t="shared" ref="AJ4:AJ34" si="3">IF(OR(AE4="",AF4="",AG4=""),"",AE4+AF4+AG4+AH4+AI4)</f>
        <v>6245.60000000187</v>
      </c>
      <c r="AK4" s="18">
        <f t="shared" ref="AK4:AN4" si="4">IF(OR(H5=""),"",(H5-H4)*80)</f>
        <v>0</v>
      </c>
      <c r="AL4" s="18">
        <f t="shared" si="4"/>
        <v>0</v>
      </c>
      <c r="AM4" s="18">
        <f t="shared" si="4"/>
        <v>0</v>
      </c>
      <c r="AN4" s="18">
        <f t="shared" si="4"/>
        <v>0</v>
      </c>
      <c r="AO4" s="18">
        <f t="shared" ref="AO4:AO34" si="5">IF(OR(AK4="",AL4=""),"",AK4+AL4+AM4+AN4)</f>
        <v>0</v>
      </c>
      <c r="AP4" s="18">
        <f t="shared" ref="AP4:AS4" si="6">IF(OR(L5=""),"",(L5-L4)*100)</f>
        <v>1840.00000000087</v>
      </c>
      <c r="AQ4" s="18">
        <f t="shared" si="6"/>
        <v>9.99999999985448</v>
      </c>
      <c r="AR4" s="18">
        <f t="shared" si="6"/>
        <v>1479.99999999884</v>
      </c>
      <c r="AS4" s="18">
        <f t="shared" si="6"/>
        <v>2360.00000000058</v>
      </c>
      <c r="AT4" s="18">
        <f t="shared" ref="AT4:AT34" si="7">IF(OR(AP4="",AQ4=""),"",AP4+AQ4+AR4+AS4)</f>
        <v>5690.00000000015</v>
      </c>
      <c r="AU4" s="18">
        <f t="shared" ref="AU4:AY4" si="8">IF(OR(P5=""),"",(P5-P4)*1000)</f>
        <v>3800.00000000018</v>
      </c>
      <c r="AV4" s="18">
        <f t="shared" si="8"/>
        <v>6799.99999999927</v>
      </c>
      <c r="AW4" s="18">
        <f t="shared" si="8"/>
        <v>0</v>
      </c>
      <c r="AX4" s="18">
        <f t="shared" si="8"/>
        <v>599.999999999454</v>
      </c>
      <c r="AY4" s="18">
        <f t="shared" si="8"/>
        <v>0</v>
      </c>
      <c r="AZ4" s="18">
        <f t="shared" ref="AZ4:AZ34" si="9">IF(OR(AU4="",AV4="",AW4=""),"",AU4+AV4+AW4+AX4+AY4)</f>
        <v>11199.9999999989</v>
      </c>
      <c r="BA4" s="18">
        <f t="shared" ref="BA4:BA34" si="10">IF(OR(U5=""),"",(U5-U4)*2000)</f>
        <v>6599.99999999854</v>
      </c>
      <c r="BB4" s="18">
        <f t="shared" ref="BB4:BB34" si="11">IF(OR(V5=""),"",(V5-V4)*80)</f>
        <v>575.999999999767</v>
      </c>
      <c r="BC4" s="18">
        <f>IF(OR(Z4=""),"",(Z5-Z4)*40)</f>
        <v>1324.00000000023</v>
      </c>
      <c r="BD4" s="18">
        <f t="shared" ref="BD4:BD34" si="12">IF(OR(BE4="",BC4=""),"",BE4-BC4-BB4-BA4-AZ4-AT4-AO4-AJ4)</f>
        <v>9964.39999999908</v>
      </c>
      <c r="BE4" s="18">
        <f t="shared" ref="BE4:BE34" si="13">IF(OR(B5=""),"",(B5-B4)*10000)</f>
        <v>41599.9999999985</v>
      </c>
      <c r="BF4" s="18">
        <f t="shared" ref="BF4:BF34" si="14">IF(OR(AC5=""),"",AC5-AC4)</f>
        <v>56</v>
      </c>
      <c r="BG4" s="21">
        <f t="shared" ref="BG4:BG34" si="15">IF(OR($AD4=0),"",BE4/$AD4)</f>
        <v>0.284281165006072</v>
      </c>
      <c r="BH4" s="21">
        <f t="shared" ref="BH4:BH34" si="16">IF(OR($AD4=0),"",AJ4/$AD4)</f>
        <v>0.0426804433692913</v>
      </c>
      <c r="BI4" s="21">
        <f t="shared" ref="BI4:BI34" si="17">IF(OR($AD4=0),"",AO4/$AD4)</f>
        <v>0</v>
      </c>
      <c r="BJ4" s="21">
        <f t="shared" ref="BJ4:BJ34" si="18">IF(OR($AD4=0),"",AT4/$AD4)</f>
        <v>0.038883649732804</v>
      </c>
      <c r="BK4" s="21">
        <f t="shared" ref="BK4:BO4" si="19">IF(OR($AD4=0),"",AZ4/$AD4)</f>
        <v>0.0765372367323992</v>
      </c>
      <c r="BL4" s="21">
        <f t="shared" si="19"/>
        <v>0.0451023002173011</v>
      </c>
      <c r="BM4" s="21">
        <f t="shared" si="19"/>
        <v>0.00393620074623647</v>
      </c>
      <c r="BN4" s="21">
        <f t="shared" si="19"/>
        <v>0.00904779477086824</v>
      </c>
      <c r="BO4" s="21">
        <f t="shared" si="19"/>
        <v>0.0680935394371717</v>
      </c>
    </row>
    <row r="5" spans="1:67">
      <c r="A5" s="9">
        <f t="shared" ref="A5:A35" si="20">A4+1</f>
        <v>44471</v>
      </c>
      <c r="B5" s="7">
        <v>16980.74</v>
      </c>
      <c r="C5" s="8">
        <v>93533.1</v>
      </c>
      <c r="D5" s="8">
        <v>60371.6</v>
      </c>
      <c r="E5" s="8">
        <v>58650</v>
      </c>
      <c r="F5" s="8">
        <v>5859.7</v>
      </c>
      <c r="G5" s="8">
        <v>114559.6</v>
      </c>
      <c r="H5" s="8">
        <v>5596.3</v>
      </c>
      <c r="I5" s="8">
        <v>2566.3</v>
      </c>
      <c r="J5" s="8">
        <v>967</v>
      </c>
      <c r="K5" s="8">
        <v>56</v>
      </c>
      <c r="L5" s="8">
        <v>93131.8</v>
      </c>
      <c r="M5" s="8">
        <v>61529.1</v>
      </c>
      <c r="N5" s="8">
        <v>74385.4</v>
      </c>
      <c r="O5" s="8">
        <v>104584.6</v>
      </c>
      <c r="P5" s="8">
        <v>5729.1</v>
      </c>
      <c r="Q5" s="8">
        <v>7600.4</v>
      </c>
      <c r="R5" s="8">
        <v>4632.2</v>
      </c>
      <c r="S5" s="8">
        <v>5306.4</v>
      </c>
      <c r="T5" s="8">
        <v>6756.4</v>
      </c>
      <c r="U5" s="8">
        <v>17688.5</v>
      </c>
      <c r="V5" s="8">
        <v>51342.5</v>
      </c>
      <c r="W5" s="8">
        <v>53357.6</v>
      </c>
      <c r="X5" s="8">
        <v>2941.1</v>
      </c>
      <c r="Y5" s="8">
        <v>2681.3</v>
      </c>
      <c r="Z5" s="16">
        <f t="shared" ref="Z5" si="21">IF(OR(W5=""),"",(W5+X5+Y5))</f>
        <v>58980</v>
      </c>
      <c r="AA5" s="8">
        <v>66913.1</v>
      </c>
      <c r="AB5" s="14">
        <v>4167</v>
      </c>
      <c r="AC5" s="7">
        <f t="shared" ref="AC5" si="22">IF(OR(AA5=""),"",(AA5+AB5))</f>
        <v>71080.1</v>
      </c>
      <c r="AD5" s="17">
        <v>72280</v>
      </c>
      <c r="AE5" s="18">
        <f t="shared" ref="AE5:AI5" si="23">IF(OR(C6=""),"",(C6-C5)*80)</f>
        <v>47.9999999993015</v>
      </c>
      <c r="AF5" s="18">
        <f t="shared" si="23"/>
        <v>0</v>
      </c>
      <c r="AG5" s="18">
        <f t="shared" si="23"/>
        <v>2575.99999999977</v>
      </c>
      <c r="AH5" s="18">
        <f t="shared" si="23"/>
        <v>15.9999999999854</v>
      </c>
      <c r="AI5" s="18">
        <f t="shared" si="23"/>
        <v>2111.99999999953</v>
      </c>
      <c r="AJ5" s="18">
        <f t="shared" si="3"/>
        <v>4751.99999999859</v>
      </c>
      <c r="AK5" s="18">
        <f t="shared" ref="AK5:AN5" si="24">IF(OR(H6=""),"",(H6-H5)*80)</f>
        <v>0</v>
      </c>
      <c r="AL5" s="18">
        <f t="shared" si="24"/>
        <v>0</v>
      </c>
      <c r="AM5" s="18">
        <f t="shared" si="24"/>
        <v>0</v>
      </c>
      <c r="AN5" s="18">
        <f t="shared" si="24"/>
        <v>0</v>
      </c>
      <c r="AO5" s="18">
        <f t="shared" si="5"/>
        <v>0</v>
      </c>
      <c r="AP5" s="18">
        <f t="shared" ref="AP5:AS5" si="25">IF(OR(L6=""),"",(L6-L5)*100)</f>
        <v>1739.99999999942</v>
      </c>
      <c r="AQ5" s="18">
        <f t="shared" si="25"/>
        <v>0</v>
      </c>
      <c r="AR5" s="18">
        <f t="shared" si="25"/>
        <v>30.000000000291</v>
      </c>
      <c r="AS5" s="18">
        <f t="shared" si="25"/>
        <v>1350</v>
      </c>
      <c r="AT5" s="18">
        <f t="shared" si="7"/>
        <v>3119.99999999971</v>
      </c>
      <c r="AU5" s="18">
        <f t="shared" ref="AU5:AY5" si="26">IF(OR(P6=""),"",(P6-P5)*1000)</f>
        <v>2099.99999999945</v>
      </c>
      <c r="AV5" s="18">
        <f t="shared" si="26"/>
        <v>4000</v>
      </c>
      <c r="AW5" s="18">
        <f t="shared" si="26"/>
        <v>0</v>
      </c>
      <c r="AX5" s="18">
        <f t="shared" si="26"/>
        <v>2900.00000000055</v>
      </c>
      <c r="AY5" s="18">
        <f t="shared" si="26"/>
        <v>0</v>
      </c>
      <c r="AZ5" s="18">
        <f t="shared" si="9"/>
        <v>9000</v>
      </c>
      <c r="BA5" s="18">
        <f t="shared" si="10"/>
        <v>3400.00000000146</v>
      </c>
      <c r="BB5" s="18">
        <f t="shared" si="11"/>
        <v>527.999999999884</v>
      </c>
      <c r="BC5" s="18">
        <f t="shared" ref="BC5:BC33" si="27">IF(OR(Z5=""),"",(Z6-Z5)*40)</f>
        <v>1352.00000000012</v>
      </c>
      <c r="BD5" s="18">
        <f t="shared" si="12"/>
        <v>9747.99999998715</v>
      </c>
      <c r="BE5" s="18">
        <f t="shared" si="13"/>
        <v>31899.9999999869</v>
      </c>
      <c r="BF5" s="18">
        <f t="shared" si="14"/>
        <v>66.8999999999942</v>
      </c>
      <c r="BG5" s="21">
        <f t="shared" si="15"/>
        <v>0.441339236303084</v>
      </c>
      <c r="BH5" s="21">
        <f t="shared" si="16"/>
        <v>0.0657443276148117</v>
      </c>
      <c r="BI5" s="21">
        <f t="shared" si="17"/>
        <v>0</v>
      </c>
      <c r="BJ5" s="21">
        <f t="shared" si="18"/>
        <v>0.0431654676258953</v>
      </c>
      <c r="BK5" s="21">
        <f t="shared" ref="BK5:BO5" si="28">IF(OR($AD5=0),"",AZ5/$AD5)</f>
        <v>0.124515771997786</v>
      </c>
      <c r="BL5" s="21">
        <f t="shared" si="28"/>
        <v>0.0470392916436283</v>
      </c>
      <c r="BM5" s="21">
        <f t="shared" si="28"/>
        <v>0.00730492529053519</v>
      </c>
      <c r="BN5" s="21">
        <f t="shared" si="28"/>
        <v>0.0187050359712246</v>
      </c>
      <c r="BO5" s="21">
        <f t="shared" si="28"/>
        <v>0.134864416159202</v>
      </c>
    </row>
    <row r="6" spans="1:67">
      <c r="A6" s="9">
        <f t="shared" si="20"/>
        <v>44472</v>
      </c>
      <c r="B6" s="10">
        <v>16983.93</v>
      </c>
      <c r="C6" s="8">
        <v>93533.7</v>
      </c>
      <c r="D6" s="8">
        <v>60371.6</v>
      </c>
      <c r="E6" s="8">
        <v>58682.2</v>
      </c>
      <c r="F6" s="8">
        <v>5859.9</v>
      </c>
      <c r="G6" s="8">
        <v>114586</v>
      </c>
      <c r="H6" s="8">
        <v>5596.3</v>
      </c>
      <c r="I6" s="8">
        <v>2566.3</v>
      </c>
      <c r="J6" s="8">
        <v>967</v>
      </c>
      <c r="K6" s="8">
        <v>56</v>
      </c>
      <c r="L6" s="8">
        <v>93149.2</v>
      </c>
      <c r="M6" s="8">
        <v>61529.1</v>
      </c>
      <c r="N6" s="8">
        <v>74385.7</v>
      </c>
      <c r="O6" s="8">
        <v>104598.1</v>
      </c>
      <c r="P6" s="8">
        <v>5731.2</v>
      </c>
      <c r="Q6" s="8">
        <v>7604.4</v>
      </c>
      <c r="R6" s="8">
        <v>4632.2</v>
      </c>
      <c r="S6" s="8">
        <v>5309.3</v>
      </c>
      <c r="T6" s="8">
        <v>6756.4</v>
      </c>
      <c r="U6" s="8">
        <v>17690.2</v>
      </c>
      <c r="V6" s="8">
        <v>51349.1</v>
      </c>
      <c r="W6" s="8">
        <v>53374.8</v>
      </c>
      <c r="X6" s="8">
        <v>2949.2</v>
      </c>
      <c r="Y6" s="8">
        <v>2689.8</v>
      </c>
      <c r="Z6" s="16">
        <f t="shared" ref="Z6" si="29">IF(OR(W6=""),"",(W6+X6+Y6))</f>
        <v>59013.8</v>
      </c>
      <c r="AA6" s="8">
        <v>66972</v>
      </c>
      <c r="AB6" s="14">
        <v>4175</v>
      </c>
      <c r="AC6" s="7">
        <f t="shared" ref="AC6" si="30">IF(OR(AA6=""),"",(AA6+AB6))</f>
        <v>71147</v>
      </c>
      <c r="AD6" s="17">
        <v>136403</v>
      </c>
      <c r="AE6" s="18">
        <f t="shared" ref="AE6:AI6" si="31">IF(OR(C7=""),"",(C7-C6)*80)</f>
        <v>0</v>
      </c>
      <c r="AF6" s="18">
        <f t="shared" si="31"/>
        <v>1832.00000000012</v>
      </c>
      <c r="AG6" s="18">
        <f t="shared" si="31"/>
        <v>2232.00000000012</v>
      </c>
      <c r="AH6" s="18">
        <f t="shared" si="31"/>
        <v>1258.40000000004</v>
      </c>
      <c r="AI6" s="18">
        <f t="shared" si="31"/>
        <v>2160</v>
      </c>
      <c r="AJ6" s="18">
        <f t="shared" si="3"/>
        <v>7482.40000000027</v>
      </c>
      <c r="AK6" s="18">
        <f t="shared" ref="AK6:AN6" si="32">IF(OR(H7=""),"",(H7-H6)*80)</f>
        <v>0</v>
      </c>
      <c r="AL6" s="18">
        <f t="shared" si="32"/>
        <v>0</v>
      </c>
      <c r="AM6" s="18">
        <f t="shared" si="32"/>
        <v>0</v>
      </c>
      <c r="AN6" s="18">
        <f t="shared" si="32"/>
        <v>0</v>
      </c>
      <c r="AO6" s="18">
        <f t="shared" si="5"/>
        <v>0</v>
      </c>
      <c r="AP6" s="18">
        <f t="shared" ref="AP6:AS6" si="33">IF(OR(L7=""),"",(L7-L6)*100)</f>
        <v>1710.00000000058</v>
      </c>
      <c r="AQ6" s="18">
        <f t="shared" si="33"/>
        <v>0</v>
      </c>
      <c r="AR6" s="18">
        <f t="shared" si="33"/>
        <v>1800</v>
      </c>
      <c r="AS6" s="18">
        <f t="shared" si="33"/>
        <v>1709.99999999913</v>
      </c>
      <c r="AT6" s="18">
        <f t="shared" si="7"/>
        <v>5219.99999999971</v>
      </c>
      <c r="AU6" s="18">
        <f t="shared" ref="AU6:AY6" si="34">IF(OR(P7=""),"",(P7-P6)*1000)</f>
        <v>3900.00000000055</v>
      </c>
      <c r="AV6" s="18">
        <f t="shared" si="34"/>
        <v>2400.00000000055</v>
      </c>
      <c r="AW6" s="18">
        <f t="shared" si="34"/>
        <v>0</v>
      </c>
      <c r="AX6" s="18">
        <f t="shared" si="34"/>
        <v>3599.99999999945</v>
      </c>
      <c r="AY6" s="18">
        <f t="shared" si="34"/>
        <v>0</v>
      </c>
      <c r="AZ6" s="18">
        <f t="shared" si="9"/>
        <v>9900.00000000055</v>
      </c>
      <c r="BA6" s="18">
        <f t="shared" si="10"/>
        <v>6799.99999999563</v>
      </c>
      <c r="BB6" s="18">
        <f t="shared" si="11"/>
        <v>592.000000000116</v>
      </c>
      <c r="BC6" s="18">
        <f t="shared" si="27"/>
        <v>1263.99999999994</v>
      </c>
      <c r="BD6" s="18">
        <f t="shared" si="12"/>
        <v>14941.5999999936</v>
      </c>
      <c r="BE6" s="18">
        <f t="shared" si="13"/>
        <v>46199.9999999898</v>
      </c>
      <c r="BF6" s="18">
        <f t="shared" si="14"/>
        <v>62.1999999999971</v>
      </c>
      <c r="BG6" s="21">
        <f t="shared" si="15"/>
        <v>0.338702227956788</v>
      </c>
      <c r="BH6" s="21">
        <f t="shared" si="16"/>
        <v>0.0548550984949031</v>
      </c>
      <c r="BI6" s="21">
        <f t="shared" si="17"/>
        <v>0</v>
      </c>
      <c r="BJ6" s="21">
        <f t="shared" si="18"/>
        <v>0.0382689530288902</v>
      </c>
      <c r="BK6" s="21">
        <f t="shared" ref="BK6:BO6" si="35">IF(OR($AD6=0),"",AZ6/$AD6)</f>
        <v>0.0725790488479032</v>
      </c>
      <c r="BL6" s="21">
        <f t="shared" si="35"/>
        <v>0.0498522759763028</v>
      </c>
      <c r="BM6" s="21">
        <f t="shared" si="35"/>
        <v>0.00434008049676412</v>
      </c>
      <c r="BN6" s="21">
        <f t="shared" si="35"/>
        <v>0.00926665835795358</v>
      </c>
      <c r="BO6" s="21">
        <f t="shared" si="35"/>
        <v>0.109540112754071</v>
      </c>
    </row>
    <row r="7" spans="1:67">
      <c r="A7" s="9">
        <f t="shared" si="20"/>
        <v>44473</v>
      </c>
      <c r="B7" s="10">
        <v>16988.55</v>
      </c>
      <c r="C7" s="8">
        <v>93533.7</v>
      </c>
      <c r="D7" s="8">
        <v>60394.5</v>
      </c>
      <c r="E7" s="8">
        <v>58710.1</v>
      </c>
      <c r="F7" s="8">
        <v>5875.63</v>
      </c>
      <c r="G7" s="8">
        <v>114613</v>
      </c>
      <c r="H7" s="8">
        <v>5596.3</v>
      </c>
      <c r="I7" s="8">
        <v>2566.3</v>
      </c>
      <c r="J7" s="8">
        <v>967</v>
      </c>
      <c r="K7" s="8">
        <v>56</v>
      </c>
      <c r="L7" s="8">
        <v>93166.3</v>
      </c>
      <c r="M7" s="8">
        <v>61529.1</v>
      </c>
      <c r="N7" s="8">
        <v>74403.7</v>
      </c>
      <c r="O7" s="8">
        <v>104615.2</v>
      </c>
      <c r="P7" s="8">
        <v>5735.1</v>
      </c>
      <c r="Q7" s="8">
        <v>7606.8</v>
      </c>
      <c r="R7" s="8">
        <v>4632.2</v>
      </c>
      <c r="S7" s="8">
        <v>5312.9</v>
      </c>
      <c r="T7" s="8">
        <v>6756.4</v>
      </c>
      <c r="U7" s="8">
        <v>17693.6</v>
      </c>
      <c r="V7" s="8">
        <v>51356.5</v>
      </c>
      <c r="W7" s="8">
        <v>53390.7</v>
      </c>
      <c r="X7" s="8">
        <v>2956.9</v>
      </c>
      <c r="Y7" s="8">
        <v>2697.8</v>
      </c>
      <c r="Z7" s="16">
        <f t="shared" ref="Z7:Z35" si="36">IF(OR(W7=""),"",(W7+X7+Y7))</f>
        <v>59045.4</v>
      </c>
      <c r="AA7" s="8">
        <v>67028.2</v>
      </c>
      <c r="AB7" s="14">
        <v>4181</v>
      </c>
      <c r="AC7" s="7">
        <f t="shared" ref="AC7:AC34" si="37">IF(OR(AA7=""),"",(AA7+AB7))</f>
        <v>71209.2</v>
      </c>
      <c r="AD7" s="17">
        <v>182136</v>
      </c>
      <c r="AE7" s="18">
        <f t="shared" ref="AE7:AI7" si="38">IF(OR(C8=""),"",(C8-C7)*80)</f>
        <v>2728.00000000047</v>
      </c>
      <c r="AF7" s="18">
        <f t="shared" si="38"/>
        <v>2504.00000000023</v>
      </c>
      <c r="AG7" s="18">
        <f t="shared" si="38"/>
        <v>2904.00000000023</v>
      </c>
      <c r="AH7" s="18">
        <f t="shared" si="38"/>
        <v>2.39999999997963</v>
      </c>
      <c r="AI7" s="18">
        <f t="shared" si="38"/>
        <v>2328.00000000047</v>
      </c>
      <c r="AJ7" s="18">
        <f t="shared" si="3"/>
        <v>10466.4000000014</v>
      </c>
      <c r="AK7" s="18">
        <f t="shared" ref="AK7:AN7" si="39">IF(OR(H8=""),"",(H8-H7)*80)</f>
        <v>0</v>
      </c>
      <c r="AL7" s="18">
        <f t="shared" si="39"/>
        <v>0</v>
      </c>
      <c r="AM7" s="18">
        <f t="shared" si="39"/>
        <v>0</v>
      </c>
      <c r="AN7" s="18">
        <f t="shared" si="39"/>
        <v>0</v>
      </c>
      <c r="AO7" s="18">
        <f t="shared" si="5"/>
        <v>0</v>
      </c>
      <c r="AP7" s="18">
        <f t="shared" ref="AP7:AS7" si="40">IF(OR(L8=""),"",(L8-L7)*100)</f>
        <v>2789.99999999942</v>
      </c>
      <c r="AQ7" s="18">
        <f t="shared" si="40"/>
        <v>0</v>
      </c>
      <c r="AR7" s="18">
        <f t="shared" si="40"/>
        <v>1960.00000000058</v>
      </c>
      <c r="AS7" s="18">
        <f t="shared" si="40"/>
        <v>1900</v>
      </c>
      <c r="AT7" s="18">
        <f t="shared" si="7"/>
        <v>6650</v>
      </c>
      <c r="AU7" s="18">
        <f t="shared" ref="AU7:AY7" si="41">IF(OR(P8=""),"",(P8-P7)*1000)</f>
        <v>3000</v>
      </c>
      <c r="AV7" s="18">
        <f t="shared" si="41"/>
        <v>0</v>
      </c>
      <c r="AW7" s="18">
        <f t="shared" si="41"/>
        <v>0</v>
      </c>
      <c r="AX7" s="18">
        <f t="shared" si="41"/>
        <v>5300.00000000018</v>
      </c>
      <c r="AY7" s="18">
        <f t="shared" si="41"/>
        <v>0</v>
      </c>
      <c r="AZ7" s="18">
        <f t="shared" si="9"/>
        <v>8300.00000000018</v>
      </c>
      <c r="BA7" s="18">
        <f t="shared" si="10"/>
        <v>8200.00000000437</v>
      </c>
      <c r="BB7" s="18">
        <f t="shared" si="11"/>
        <v>607.999999999884</v>
      </c>
      <c r="BC7" s="18">
        <f t="shared" si="27"/>
        <v>1347.99999999988</v>
      </c>
      <c r="BD7" s="18">
        <f t="shared" si="12"/>
        <v>15827.5999999885</v>
      </c>
      <c r="BE7" s="18">
        <f t="shared" si="13"/>
        <v>51399.9999999942</v>
      </c>
      <c r="BF7" s="18">
        <f t="shared" si="14"/>
        <v>64.9000000000087</v>
      </c>
      <c r="BG7" s="21">
        <f t="shared" si="15"/>
        <v>0.282206702683677</v>
      </c>
      <c r="BH7" s="21">
        <f t="shared" si="16"/>
        <v>0.057464751614186</v>
      </c>
      <c r="BI7" s="21">
        <f t="shared" si="17"/>
        <v>0</v>
      </c>
      <c r="BJ7" s="21">
        <f t="shared" si="18"/>
        <v>0.0365111784600518</v>
      </c>
      <c r="BK7" s="21">
        <f t="shared" ref="BK7:BO7" si="42">IF(OR($AD7=0),"",AZ7/$AD7)</f>
        <v>0.0455703430403664</v>
      </c>
      <c r="BL7" s="21">
        <f t="shared" si="42"/>
        <v>0.0450213027627946</v>
      </c>
      <c r="BM7" s="21">
        <f t="shared" si="42"/>
        <v>0.00333816488777553</v>
      </c>
      <c r="BN7" s="21">
        <f t="shared" si="42"/>
        <v>0.00740106294197678</v>
      </c>
      <c r="BO7" s="21">
        <f t="shared" si="42"/>
        <v>0.0868998989765257</v>
      </c>
    </row>
    <row r="8" spans="1:67">
      <c r="A8" s="9">
        <f t="shared" si="20"/>
        <v>44474</v>
      </c>
      <c r="B8" s="10">
        <v>16993.69</v>
      </c>
      <c r="C8" s="8">
        <v>93567.8</v>
      </c>
      <c r="D8" s="8">
        <v>60425.8</v>
      </c>
      <c r="E8" s="8">
        <v>58746.4</v>
      </c>
      <c r="F8" s="8">
        <v>5875.66</v>
      </c>
      <c r="G8" s="8">
        <v>114642.1</v>
      </c>
      <c r="H8" s="8">
        <v>5596.3</v>
      </c>
      <c r="I8" s="8">
        <v>2566.3</v>
      </c>
      <c r="J8" s="8">
        <v>967</v>
      </c>
      <c r="K8" s="8">
        <v>56</v>
      </c>
      <c r="L8" s="8">
        <v>93194.2</v>
      </c>
      <c r="M8" s="8">
        <v>61529.1</v>
      </c>
      <c r="N8" s="8">
        <v>74423.3</v>
      </c>
      <c r="O8" s="8">
        <v>104634.2</v>
      </c>
      <c r="P8" s="8">
        <v>5738.1</v>
      </c>
      <c r="Q8" s="8">
        <v>7606.8</v>
      </c>
      <c r="R8" s="8">
        <v>4632.2</v>
      </c>
      <c r="S8" s="8">
        <v>5318.2</v>
      </c>
      <c r="T8" s="8">
        <v>6756.4</v>
      </c>
      <c r="U8" s="8">
        <v>17697.7</v>
      </c>
      <c r="V8" s="8">
        <v>51364.1</v>
      </c>
      <c r="W8" s="8">
        <v>53407.7</v>
      </c>
      <c r="X8" s="8">
        <v>2965.1</v>
      </c>
      <c r="Y8" s="8">
        <v>2706.3</v>
      </c>
      <c r="Z8" s="16">
        <f t="shared" si="36"/>
        <v>59079.1</v>
      </c>
      <c r="AA8" s="8">
        <v>67087.1</v>
      </c>
      <c r="AB8" s="14">
        <v>4187</v>
      </c>
      <c r="AC8" s="7">
        <f t="shared" si="37"/>
        <v>71274.1</v>
      </c>
      <c r="AD8" s="17">
        <v>195086</v>
      </c>
      <c r="AE8" s="18">
        <f t="shared" ref="AE8:AI8" si="43">IF(OR(C9=""),"",(C9-C8)*80)</f>
        <v>0</v>
      </c>
      <c r="AF8" s="18">
        <f t="shared" si="43"/>
        <v>2607.99999999988</v>
      </c>
      <c r="AG8" s="18">
        <f t="shared" si="43"/>
        <v>2903.99999999965</v>
      </c>
      <c r="AH8" s="18">
        <f t="shared" si="43"/>
        <v>1996.8</v>
      </c>
      <c r="AI8" s="18">
        <f t="shared" si="43"/>
        <v>2215.99999999977</v>
      </c>
      <c r="AJ8" s="18">
        <f t="shared" si="3"/>
        <v>9724.7999999993</v>
      </c>
      <c r="AK8" s="18">
        <f t="shared" ref="AK8:AN8" si="44">IF(OR(H9=""),"",(H9-H8)*80)</f>
        <v>0</v>
      </c>
      <c r="AL8" s="18">
        <f t="shared" si="44"/>
        <v>0</v>
      </c>
      <c r="AM8" s="18">
        <f t="shared" si="44"/>
        <v>0</v>
      </c>
      <c r="AN8" s="18">
        <f t="shared" si="44"/>
        <v>0</v>
      </c>
      <c r="AO8" s="18">
        <f t="shared" si="5"/>
        <v>0</v>
      </c>
      <c r="AP8" s="18">
        <f t="shared" ref="AP8:AS8" si="45">IF(OR(L9=""),"",(L9-L8)*100)</f>
        <v>2750</v>
      </c>
      <c r="AQ8" s="18">
        <f t="shared" si="45"/>
        <v>0</v>
      </c>
      <c r="AR8" s="18">
        <f t="shared" si="45"/>
        <v>2469.99999999971</v>
      </c>
      <c r="AS8" s="18">
        <f t="shared" si="45"/>
        <v>1969.99999999971</v>
      </c>
      <c r="AT8" s="18">
        <f t="shared" si="7"/>
        <v>7189.99999999942</v>
      </c>
      <c r="AU8" s="18">
        <f t="shared" ref="AU8:AY8" si="46">IF(OR(P9=""),"",(P9-P8)*1000)</f>
        <v>3500</v>
      </c>
      <c r="AV8" s="18">
        <f t="shared" si="46"/>
        <v>0</v>
      </c>
      <c r="AW8" s="18">
        <f t="shared" si="46"/>
        <v>0</v>
      </c>
      <c r="AX8" s="18">
        <f t="shared" si="46"/>
        <v>4800.00000000018</v>
      </c>
      <c r="AY8" s="18">
        <f t="shared" si="46"/>
        <v>0</v>
      </c>
      <c r="AZ8" s="18">
        <f t="shared" si="9"/>
        <v>8300.00000000018</v>
      </c>
      <c r="BA8" s="18">
        <f t="shared" si="10"/>
        <v>8400.00000000146</v>
      </c>
      <c r="BB8" s="18">
        <f t="shared" si="11"/>
        <v>536.000000000349</v>
      </c>
      <c r="BC8" s="18">
        <f t="shared" si="27"/>
        <v>1296.00000000006</v>
      </c>
      <c r="BD8" s="18">
        <f t="shared" si="12"/>
        <v>15653.2000000051</v>
      </c>
      <c r="BE8" s="18">
        <f t="shared" si="13"/>
        <v>51100.0000000058</v>
      </c>
      <c r="BF8" s="18">
        <f t="shared" si="14"/>
        <v>63.8999999999942</v>
      </c>
      <c r="BG8" s="21">
        <f t="shared" si="15"/>
        <v>0.261935761664116</v>
      </c>
      <c r="BH8" s="21">
        <f t="shared" si="16"/>
        <v>0.0498487846385661</v>
      </c>
      <c r="BI8" s="21">
        <f t="shared" si="17"/>
        <v>0</v>
      </c>
      <c r="BJ8" s="21">
        <f t="shared" si="18"/>
        <v>0.0368555406333587</v>
      </c>
      <c r="BK8" s="21">
        <f t="shared" ref="BK8:BO8" si="47">IF(OR($AD8=0),"",AZ8/$AD8)</f>
        <v>0.0425453389787078</v>
      </c>
      <c r="BL8" s="21">
        <f t="shared" si="47"/>
        <v>0.0430579334242409</v>
      </c>
      <c r="BM8" s="21">
        <f t="shared" si="47"/>
        <v>0.0027475062280243</v>
      </c>
      <c r="BN8" s="21">
        <f t="shared" si="47"/>
        <v>0.00664322401402488</v>
      </c>
      <c r="BO8" s="21">
        <f t="shared" si="47"/>
        <v>0.0802374337471938</v>
      </c>
    </row>
    <row r="9" spans="1:67">
      <c r="A9" s="9">
        <f t="shared" si="20"/>
        <v>44475</v>
      </c>
      <c r="B9" s="10">
        <v>16998.8</v>
      </c>
      <c r="C9" s="8">
        <v>93567.8</v>
      </c>
      <c r="D9" s="8">
        <v>60458.4</v>
      </c>
      <c r="E9" s="8">
        <v>58782.7</v>
      </c>
      <c r="F9" s="8">
        <v>5900.62</v>
      </c>
      <c r="G9" s="8">
        <v>114669.8</v>
      </c>
      <c r="H9" s="8">
        <v>5596.3</v>
      </c>
      <c r="I9" s="8">
        <v>2566.3</v>
      </c>
      <c r="J9" s="8">
        <v>967</v>
      </c>
      <c r="K9" s="8">
        <v>56</v>
      </c>
      <c r="L9" s="8">
        <v>93221.7</v>
      </c>
      <c r="M9" s="8">
        <v>61529.1</v>
      </c>
      <c r="N9" s="8">
        <v>74448</v>
      </c>
      <c r="O9" s="8">
        <v>104653.9</v>
      </c>
      <c r="P9" s="8">
        <v>5741.6</v>
      </c>
      <c r="Q9" s="8">
        <v>7606.8</v>
      </c>
      <c r="R9" s="8">
        <v>4632.2</v>
      </c>
      <c r="S9" s="8">
        <v>5323</v>
      </c>
      <c r="T9" s="8">
        <v>6756.4</v>
      </c>
      <c r="U9" s="8">
        <v>17701.9</v>
      </c>
      <c r="V9" s="8">
        <v>51370.8</v>
      </c>
      <c r="W9" s="8">
        <v>53424.1</v>
      </c>
      <c r="X9" s="8">
        <v>2972.9</v>
      </c>
      <c r="Y9" s="8">
        <v>2714.5</v>
      </c>
      <c r="Z9" s="16">
        <f t="shared" si="36"/>
        <v>59111.5</v>
      </c>
      <c r="AA9" s="8">
        <v>67144</v>
      </c>
      <c r="AB9" s="14">
        <v>4194</v>
      </c>
      <c r="AC9" s="7">
        <f t="shared" si="37"/>
        <v>71338</v>
      </c>
      <c r="AD9" s="17">
        <v>203474</v>
      </c>
      <c r="AE9" s="18">
        <f t="shared" ref="AE9:AI9" si="48">IF(OR(C10=""),"",(C10-C9)*80)</f>
        <v>2551.99999999953</v>
      </c>
      <c r="AF9" s="18">
        <f t="shared" si="48"/>
        <v>2303.99999999965</v>
      </c>
      <c r="AG9" s="18">
        <f t="shared" si="48"/>
        <v>2848.00000000047</v>
      </c>
      <c r="AH9" s="18">
        <f t="shared" si="48"/>
        <v>894.400000000023</v>
      </c>
      <c r="AI9" s="18">
        <f t="shared" si="48"/>
        <v>2431.99999999953</v>
      </c>
      <c r="AJ9" s="18">
        <f t="shared" si="3"/>
        <v>11030.3999999992</v>
      </c>
      <c r="AK9" s="18">
        <f t="shared" ref="AK9:AN9" si="49">IF(OR(H10=""),"",(H10-H9)*80)</f>
        <v>0</v>
      </c>
      <c r="AL9" s="18">
        <f t="shared" si="49"/>
        <v>0</v>
      </c>
      <c r="AM9" s="18">
        <f t="shared" si="49"/>
        <v>0</v>
      </c>
      <c r="AN9" s="18">
        <f t="shared" si="49"/>
        <v>0</v>
      </c>
      <c r="AO9" s="18">
        <f t="shared" si="5"/>
        <v>0</v>
      </c>
      <c r="AP9" s="18">
        <f t="shared" ref="AP9:AS9" si="50">IF(OR(L10=""),"",(L10-L9)*100)</f>
        <v>2790.00000000087</v>
      </c>
      <c r="AQ9" s="18">
        <f t="shared" si="50"/>
        <v>0</v>
      </c>
      <c r="AR9" s="18">
        <f t="shared" si="50"/>
        <v>2719.99999999971</v>
      </c>
      <c r="AS9" s="18">
        <f t="shared" si="50"/>
        <v>1840.00000000087</v>
      </c>
      <c r="AT9" s="18">
        <f t="shared" si="7"/>
        <v>7350.00000000146</v>
      </c>
      <c r="AU9" s="18">
        <f t="shared" ref="AU9:AY9" si="51">IF(OR(P10=""),"",(P10-P9)*1000)</f>
        <v>3599.99999999945</v>
      </c>
      <c r="AV9" s="18">
        <f t="shared" si="51"/>
        <v>0</v>
      </c>
      <c r="AW9" s="18">
        <f t="shared" si="51"/>
        <v>0</v>
      </c>
      <c r="AX9" s="18">
        <f t="shared" si="51"/>
        <v>5199.99999999982</v>
      </c>
      <c r="AY9" s="18">
        <f t="shared" si="51"/>
        <v>0</v>
      </c>
      <c r="AZ9" s="18">
        <f t="shared" si="9"/>
        <v>8799.99999999927</v>
      </c>
      <c r="BA9" s="18">
        <f t="shared" si="10"/>
        <v>9199.99999999709</v>
      </c>
      <c r="BB9" s="18">
        <f t="shared" si="11"/>
        <v>551.999999999534</v>
      </c>
      <c r="BC9" s="18">
        <f t="shared" si="27"/>
        <v>1336.00000000006</v>
      </c>
      <c r="BD9" s="18">
        <f t="shared" si="12"/>
        <v>15531.6000000136</v>
      </c>
      <c r="BE9" s="18">
        <f t="shared" si="13"/>
        <v>53800.0000000102</v>
      </c>
      <c r="BF9" s="18">
        <f t="shared" si="14"/>
        <v>66.3999999999942</v>
      </c>
      <c r="BG9" s="21">
        <f t="shared" si="15"/>
        <v>0.264407246134691</v>
      </c>
      <c r="BH9" s="21">
        <f t="shared" si="16"/>
        <v>0.0542103659435565</v>
      </c>
      <c r="BI9" s="21">
        <f t="shared" si="17"/>
        <v>0</v>
      </c>
      <c r="BJ9" s="21">
        <f t="shared" si="18"/>
        <v>0.0361225512842007</v>
      </c>
      <c r="BK9" s="21">
        <f t="shared" ref="BK9:BO9" si="52">IF(OR($AD9=0),"",AZ9/$AD9)</f>
        <v>0.0432487688844731</v>
      </c>
      <c r="BL9" s="21">
        <f t="shared" si="52"/>
        <v>0.0452146220155749</v>
      </c>
      <c r="BM9" s="21">
        <f t="shared" si="52"/>
        <v>0.00271287732093306</v>
      </c>
      <c r="BN9" s="21">
        <f t="shared" si="52"/>
        <v>0.00656594945791629</v>
      </c>
      <c r="BO9" s="21">
        <f t="shared" si="52"/>
        <v>0.0763321112280368</v>
      </c>
    </row>
    <row r="10" spans="1:67">
      <c r="A10" s="9">
        <f t="shared" si="20"/>
        <v>44476</v>
      </c>
      <c r="B10" s="10">
        <v>17004.18</v>
      </c>
      <c r="C10" s="8">
        <v>93599.7</v>
      </c>
      <c r="D10" s="8">
        <v>60487.2</v>
      </c>
      <c r="E10" s="8">
        <v>58818.3</v>
      </c>
      <c r="F10" s="8">
        <v>5911.8</v>
      </c>
      <c r="G10" s="8">
        <v>114700.2</v>
      </c>
      <c r="H10" s="8">
        <v>5596.3</v>
      </c>
      <c r="I10" s="8">
        <v>2566.3</v>
      </c>
      <c r="J10" s="8">
        <v>967</v>
      </c>
      <c r="K10" s="8">
        <v>56</v>
      </c>
      <c r="L10" s="8">
        <v>93249.6</v>
      </c>
      <c r="M10" s="8">
        <v>61529.1</v>
      </c>
      <c r="N10" s="8">
        <v>74475.2</v>
      </c>
      <c r="O10" s="8">
        <v>104672.3</v>
      </c>
      <c r="P10" s="8">
        <v>5745.2</v>
      </c>
      <c r="Q10" s="8">
        <v>7606.8</v>
      </c>
      <c r="R10" s="8">
        <v>4632.2</v>
      </c>
      <c r="S10" s="8">
        <v>5328.2</v>
      </c>
      <c r="T10" s="8">
        <v>6756.4</v>
      </c>
      <c r="U10" s="8">
        <v>17706.5</v>
      </c>
      <c r="V10" s="8">
        <v>51377.7</v>
      </c>
      <c r="W10" s="8">
        <v>53441.1</v>
      </c>
      <c r="X10" s="8">
        <v>2981</v>
      </c>
      <c r="Y10" s="8">
        <v>2722.8</v>
      </c>
      <c r="Z10" s="16">
        <f t="shared" si="36"/>
        <v>59144.9</v>
      </c>
      <c r="AA10" s="8">
        <v>67203.4</v>
      </c>
      <c r="AB10" s="14">
        <v>4201</v>
      </c>
      <c r="AC10" s="7">
        <f t="shared" si="37"/>
        <v>71404.4</v>
      </c>
      <c r="AD10" s="17">
        <v>210747</v>
      </c>
      <c r="AE10" s="18">
        <f t="shared" ref="AE10:AI10" si="53">IF(OR(C11=""),"",(C11-C10)*80)</f>
        <v>3752.0000000007</v>
      </c>
      <c r="AF10" s="18">
        <f t="shared" si="53"/>
        <v>2544.00000000023</v>
      </c>
      <c r="AG10" s="18">
        <f t="shared" si="53"/>
        <v>2183.99999999965</v>
      </c>
      <c r="AH10" s="18">
        <f t="shared" si="53"/>
        <v>4.00000000001455</v>
      </c>
      <c r="AI10" s="18">
        <f t="shared" si="53"/>
        <v>2168.00000000047</v>
      </c>
      <c r="AJ10" s="18">
        <f t="shared" si="3"/>
        <v>10652.0000000011</v>
      </c>
      <c r="AK10" s="18">
        <f t="shared" ref="AK10:AN10" si="54">IF(OR(H11=""),"",(H11-H10)*80)</f>
        <v>0</v>
      </c>
      <c r="AL10" s="18">
        <f t="shared" si="54"/>
        <v>0</v>
      </c>
      <c r="AM10" s="18">
        <f t="shared" si="54"/>
        <v>0</v>
      </c>
      <c r="AN10" s="18">
        <f t="shared" si="54"/>
        <v>0</v>
      </c>
      <c r="AO10" s="18">
        <f t="shared" si="5"/>
        <v>0</v>
      </c>
      <c r="AP10" s="18">
        <f t="shared" ref="AP10:AS10" si="55">IF(OR(L11=""),"",(L11-L10)*100)</f>
        <v>3029.99999999884</v>
      </c>
      <c r="AQ10" s="18">
        <f t="shared" si="55"/>
        <v>0</v>
      </c>
      <c r="AR10" s="18">
        <f t="shared" si="55"/>
        <v>2710.00000000058</v>
      </c>
      <c r="AS10" s="18">
        <f t="shared" si="55"/>
        <v>2209.99999999913</v>
      </c>
      <c r="AT10" s="18">
        <f t="shared" si="7"/>
        <v>7949.99999999854</v>
      </c>
      <c r="AU10" s="18">
        <f t="shared" ref="AU10:AY10" si="56">IF(OR(P11=""),"",(P11-P10)*1000)</f>
        <v>3800.00000000018</v>
      </c>
      <c r="AV10" s="18">
        <f t="shared" si="56"/>
        <v>0</v>
      </c>
      <c r="AW10" s="18">
        <f t="shared" si="56"/>
        <v>0</v>
      </c>
      <c r="AX10" s="18">
        <f t="shared" si="56"/>
        <v>5000</v>
      </c>
      <c r="AY10" s="18">
        <f t="shared" si="56"/>
        <v>0</v>
      </c>
      <c r="AZ10" s="18">
        <f t="shared" si="9"/>
        <v>8800.00000000018</v>
      </c>
      <c r="BA10" s="18">
        <f t="shared" si="10"/>
        <v>9400.00000000146</v>
      </c>
      <c r="BB10" s="18">
        <f t="shared" si="11"/>
        <v>568.000000000466</v>
      </c>
      <c r="BC10" s="18">
        <f t="shared" si="27"/>
        <v>1300</v>
      </c>
      <c r="BD10" s="18">
        <f t="shared" si="12"/>
        <v>14230.000000007</v>
      </c>
      <c r="BE10" s="18">
        <f t="shared" si="13"/>
        <v>52900.0000000087</v>
      </c>
      <c r="BF10" s="18">
        <f t="shared" si="14"/>
        <v>71.7000000000116</v>
      </c>
      <c r="BG10" s="21">
        <f t="shared" si="15"/>
        <v>0.251011876800186</v>
      </c>
      <c r="BH10" s="21">
        <f t="shared" si="16"/>
        <v>0.0505440172339396</v>
      </c>
      <c r="BI10" s="21">
        <f t="shared" si="17"/>
        <v>0</v>
      </c>
      <c r="BJ10" s="21">
        <f t="shared" si="18"/>
        <v>0.0377229569104117</v>
      </c>
      <c r="BK10" s="21">
        <f t="shared" ref="BK10:BO10" si="57">IF(OR($AD10=0),"",AZ10/$AD10)</f>
        <v>0.0417562290329171</v>
      </c>
      <c r="BL10" s="21">
        <f t="shared" si="57"/>
        <v>0.0446032446488038</v>
      </c>
      <c r="BM10" s="21">
        <f t="shared" si="57"/>
        <v>0.00269517478303589</v>
      </c>
      <c r="BN10" s="21">
        <f t="shared" si="57"/>
        <v>0.00616853383440808</v>
      </c>
      <c r="BO10" s="21">
        <f t="shared" si="57"/>
        <v>0.0675217203566695</v>
      </c>
    </row>
    <row r="11" spans="1:67">
      <c r="A11" s="9">
        <f t="shared" si="20"/>
        <v>44477</v>
      </c>
      <c r="B11" s="10">
        <v>17009.47</v>
      </c>
      <c r="C11" s="8">
        <v>93646.6</v>
      </c>
      <c r="D11" s="8">
        <v>60519</v>
      </c>
      <c r="E11" s="8">
        <v>58845.6</v>
      </c>
      <c r="F11" s="8">
        <v>5911.85</v>
      </c>
      <c r="G11" s="8">
        <v>114727.3</v>
      </c>
      <c r="H11" s="8">
        <v>5596.3</v>
      </c>
      <c r="I11" s="8">
        <v>2566.3</v>
      </c>
      <c r="J11" s="8">
        <v>967</v>
      </c>
      <c r="K11" s="8">
        <v>56</v>
      </c>
      <c r="L11" s="8">
        <v>93279.9</v>
      </c>
      <c r="M11" s="8">
        <v>61529.1</v>
      </c>
      <c r="N11" s="8">
        <v>74502.3</v>
      </c>
      <c r="O11" s="8">
        <v>104694.4</v>
      </c>
      <c r="P11" s="8">
        <v>5749</v>
      </c>
      <c r="Q11" s="8">
        <v>7606.8</v>
      </c>
      <c r="R11" s="8">
        <v>4632.2</v>
      </c>
      <c r="S11" s="8">
        <v>5333.2</v>
      </c>
      <c r="T11" s="8">
        <v>6756.4</v>
      </c>
      <c r="U11" s="8">
        <v>17711.2</v>
      </c>
      <c r="V11" s="8">
        <v>51384.8</v>
      </c>
      <c r="W11" s="8">
        <v>53457.7</v>
      </c>
      <c r="X11" s="8">
        <v>2988.8</v>
      </c>
      <c r="Y11" s="8">
        <v>2730.9</v>
      </c>
      <c r="Z11" s="16">
        <f t="shared" si="36"/>
        <v>59177.4</v>
      </c>
      <c r="AA11" s="8">
        <v>67259.1</v>
      </c>
      <c r="AB11" s="14">
        <v>4217</v>
      </c>
      <c r="AC11" s="7">
        <f t="shared" si="37"/>
        <v>71476.1</v>
      </c>
      <c r="AD11" s="17">
        <v>207772</v>
      </c>
      <c r="AE11" s="18">
        <f t="shared" ref="AE11:AI11" si="58">IF(OR(C12=""),"",(C12-C11)*80)</f>
        <v>3655.99999999977</v>
      </c>
      <c r="AF11" s="18">
        <f t="shared" si="58"/>
        <v>2735.99999999977</v>
      </c>
      <c r="AG11" s="18">
        <f t="shared" si="58"/>
        <v>1672.00000000012</v>
      </c>
      <c r="AH11" s="18">
        <f t="shared" si="58"/>
        <v>4.79999999995925</v>
      </c>
      <c r="AI11" s="18">
        <f t="shared" si="58"/>
        <v>2127.9999999993</v>
      </c>
      <c r="AJ11" s="18">
        <f t="shared" si="3"/>
        <v>10196.7999999989</v>
      </c>
      <c r="AK11" s="18">
        <f t="shared" ref="AK11:AN11" si="59">IF(OR(H12=""),"",(H12-H11)*80)</f>
        <v>0</v>
      </c>
      <c r="AL11" s="18">
        <f t="shared" si="59"/>
        <v>0</v>
      </c>
      <c r="AM11" s="18">
        <f t="shared" si="59"/>
        <v>0</v>
      </c>
      <c r="AN11" s="18">
        <f t="shared" si="59"/>
        <v>0</v>
      </c>
      <c r="AO11" s="18">
        <f t="shared" si="5"/>
        <v>0</v>
      </c>
      <c r="AP11" s="18">
        <f t="shared" ref="AP11:AS11" si="60">IF(OR(L12=""),"",(L12-L11)*100)</f>
        <v>3030.00000000029</v>
      </c>
      <c r="AQ11" s="18">
        <f t="shared" si="60"/>
        <v>0</v>
      </c>
      <c r="AR11" s="18">
        <f t="shared" si="60"/>
        <v>2759.99999999913</v>
      </c>
      <c r="AS11" s="18">
        <f t="shared" si="60"/>
        <v>2390.00000000087</v>
      </c>
      <c r="AT11" s="18">
        <f t="shared" si="7"/>
        <v>8180.00000000029</v>
      </c>
      <c r="AU11" s="18">
        <f t="shared" ref="AU11:AY11" si="61">IF(OR(P12=""),"",(P12-P11)*1000)</f>
        <v>3699.99999999982</v>
      </c>
      <c r="AV11" s="18">
        <f t="shared" si="61"/>
        <v>0</v>
      </c>
      <c r="AW11" s="18">
        <f t="shared" si="61"/>
        <v>0</v>
      </c>
      <c r="AX11" s="18">
        <f t="shared" si="61"/>
        <v>4800.00000000018</v>
      </c>
      <c r="AY11" s="18">
        <f t="shared" si="61"/>
        <v>0</v>
      </c>
      <c r="AZ11" s="18">
        <f t="shared" si="9"/>
        <v>8500</v>
      </c>
      <c r="BA11" s="18">
        <f t="shared" si="10"/>
        <v>9799.99999999563</v>
      </c>
      <c r="BB11" s="18">
        <f t="shared" si="11"/>
        <v>495.999999999767</v>
      </c>
      <c r="BC11" s="18">
        <f t="shared" si="27"/>
        <v>1299.99999999971</v>
      </c>
      <c r="BD11" s="18">
        <f t="shared" si="12"/>
        <v>13027.1999999839</v>
      </c>
      <c r="BE11" s="18">
        <f t="shared" si="13"/>
        <v>51499.9999999782</v>
      </c>
      <c r="BF11" s="18">
        <f t="shared" si="14"/>
        <v>64.2999999999884</v>
      </c>
      <c r="BG11" s="21">
        <f t="shared" si="15"/>
        <v>0.247867855148808</v>
      </c>
      <c r="BH11" s="21">
        <f t="shared" si="16"/>
        <v>0.0490768727258674</v>
      </c>
      <c r="BI11" s="21">
        <f t="shared" si="17"/>
        <v>0</v>
      </c>
      <c r="BJ11" s="21">
        <f t="shared" si="18"/>
        <v>0.0393700787401589</v>
      </c>
      <c r="BK11" s="21">
        <f t="shared" ref="BK11:BO11" si="62">IF(OR($AD11=0),"",AZ11/$AD11)</f>
        <v>0.0409102285197235</v>
      </c>
      <c r="BL11" s="21">
        <f t="shared" si="62"/>
        <v>0.0471670869991897</v>
      </c>
      <c r="BM11" s="21">
        <f t="shared" si="62"/>
        <v>0.00238723215832628</v>
      </c>
      <c r="BN11" s="21">
        <f t="shared" si="62"/>
        <v>0.00625685847948573</v>
      </c>
      <c r="BO11" s="21">
        <f t="shared" si="62"/>
        <v>0.0626994975260567</v>
      </c>
    </row>
    <row r="12" spans="1:67">
      <c r="A12" s="9">
        <f t="shared" si="20"/>
        <v>44478</v>
      </c>
      <c r="B12" s="10">
        <v>17014.62</v>
      </c>
      <c r="C12" s="8">
        <v>93692.3</v>
      </c>
      <c r="D12" s="8">
        <v>60553.2</v>
      </c>
      <c r="E12" s="8">
        <v>58866.5</v>
      </c>
      <c r="F12" s="8">
        <v>5911.91</v>
      </c>
      <c r="G12" s="8">
        <v>114753.9</v>
      </c>
      <c r="H12" s="8">
        <v>5596.3</v>
      </c>
      <c r="I12" s="8">
        <v>2566.3</v>
      </c>
      <c r="J12" s="8">
        <v>967</v>
      </c>
      <c r="K12" s="8">
        <v>56</v>
      </c>
      <c r="L12" s="8">
        <v>93310.2</v>
      </c>
      <c r="M12" s="8">
        <v>61529.1</v>
      </c>
      <c r="N12" s="8">
        <v>74529.9</v>
      </c>
      <c r="O12" s="8">
        <v>104718.3</v>
      </c>
      <c r="P12" s="8">
        <v>5752.7</v>
      </c>
      <c r="Q12" s="8">
        <v>7606.8</v>
      </c>
      <c r="R12" s="8">
        <v>4632.2</v>
      </c>
      <c r="S12" s="8">
        <v>5338</v>
      </c>
      <c r="T12" s="8">
        <v>6756.4</v>
      </c>
      <c r="U12" s="8">
        <v>17716.1</v>
      </c>
      <c r="V12" s="8">
        <v>51391</v>
      </c>
      <c r="W12" s="8">
        <v>53474.2</v>
      </c>
      <c r="X12" s="8">
        <v>2996.6</v>
      </c>
      <c r="Y12" s="8">
        <v>2739.1</v>
      </c>
      <c r="Z12" s="16">
        <f t="shared" si="36"/>
        <v>59209.9</v>
      </c>
      <c r="AA12" s="8">
        <v>67316.4</v>
      </c>
      <c r="AB12" s="14">
        <v>4224</v>
      </c>
      <c r="AC12" s="7">
        <f t="shared" si="37"/>
        <v>71540.4</v>
      </c>
      <c r="AD12" s="17">
        <v>206203</v>
      </c>
      <c r="AE12" s="18">
        <f t="shared" ref="AE12:AI12" si="63">IF(OR(C13=""),"",(C13-C12)*80)</f>
        <v>3695.99999999977</v>
      </c>
      <c r="AF12" s="18">
        <f t="shared" si="63"/>
        <v>2128.00000000047</v>
      </c>
      <c r="AG12" s="18">
        <f t="shared" si="63"/>
        <v>2335.99999999977</v>
      </c>
      <c r="AH12" s="18">
        <f t="shared" si="63"/>
        <v>4.00000000001455</v>
      </c>
      <c r="AI12" s="18">
        <f t="shared" si="63"/>
        <v>2008.00000000047</v>
      </c>
      <c r="AJ12" s="18">
        <f t="shared" si="3"/>
        <v>10172.0000000005</v>
      </c>
      <c r="AK12" s="18">
        <f t="shared" ref="AK12:AN12" si="64">IF(OR(H13=""),"",(H13-H12)*80)</f>
        <v>0</v>
      </c>
      <c r="AL12" s="18">
        <f t="shared" si="64"/>
        <v>0</v>
      </c>
      <c r="AM12" s="18">
        <f t="shared" si="64"/>
        <v>0</v>
      </c>
      <c r="AN12" s="18">
        <f t="shared" si="64"/>
        <v>0</v>
      </c>
      <c r="AO12" s="18">
        <f t="shared" si="5"/>
        <v>0</v>
      </c>
      <c r="AP12" s="18">
        <f t="shared" ref="AP12:AS12" si="65">IF(OR(L13=""),"",(L13-L12)*100)</f>
        <v>2919.99999999971</v>
      </c>
      <c r="AQ12" s="18">
        <f t="shared" si="65"/>
        <v>0</v>
      </c>
      <c r="AR12" s="18">
        <f t="shared" si="65"/>
        <v>2760.00000000058</v>
      </c>
      <c r="AS12" s="18">
        <f t="shared" si="65"/>
        <v>2439.99999999942</v>
      </c>
      <c r="AT12" s="18">
        <f t="shared" si="7"/>
        <v>8119.99999999971</v>
      </c>
      <c r="AU12" s="18">
        <f t="shared" ref="AU12:AY12" si="66">IF(OR(P13=""),"",(P13-P12)*1000)</f>
        <v>3400.00000000055</v>
      </c>
      <c r="AV12" s="18">
        <f t="shared" si="66"/>
        <v>0</v>
      </c>
      <c r="AW12" s="18">
        <f t="shared" si="66"/>
        <v>0</v>
      </c>
      <c r="AX12" s="18">
        <f t="shared" si="66"/>
        <v>5100.00000000036</v>
      </c>
      <c r="AY12" s="18">
        <f t="shared" si="66"/>
        <v>0</v>
      </c>
      <c r="AZ12" s="18">
        <f t="shared" si="9"/>
        <v>8500.00000000091</v>
      </c>
      <c r="BA12" s="18">
        <f t="shared" si="10"/>
        <v>9600.00000000582</v>
      </c>
      <c r="BB12" s="18">
        <f t="shared" si="11"/>
        <v>480</v>
      </c>
      <c r="BC12" s="18">
        <f t="shared" si="27"/>
        <v>1304.00000000023</v>
      </c>
      <c r="BD12" s="18">
        <f t="shared" si="12"/>
        <v>12923.9999999987</v>
      </c>
      <c r="BE12" s="18">
        <f t="shared" si="13"/>
        <v>51100.0000000058</v>
      </c>
      <c r="BF12" s="18">
        <f t="shared" si="14"/>
        <v>62.6000000000058</v>
      </c>
      <c r="BG12" s="21">
        <f t="shared" si="15"/>
        <v>0.247814047322327</v>
      </c>
      <c r="BH12" s="21">
        <f t="shared" si="16"/>
        <v>0.049330029146038</v>
      </c>
      <c r="BI12" s="21">
        <f t="shared" si="17"/>
        <v>0</v>
      </c>
      <c r="BJ12" s="21">
        <f t="shared" si="18"/>
        <v>0.039378670533405</v>
      </c>
      <c r="BK12" s="21">
        <f t="shared" ref="BK12:BO12" si="67">IF(OR($AD12=0),"",AZ12/$AD12)</f>
        <v>0.0412215147209348</v>
      </c>
      <c r="BL12" s="21">
        <f t="shared" si="67"/>
        <v>0.0465560636848437</v>
      </c>
      <c r="BM12" s="21">
        <f t="shared" si="67"/>
        <v>0.00232780318424077</v>
      </c>
      <c r="BN12" s="21">
        <f t="shared" si="67"/>
        <v>0.00632386531718856</v>
      </c>
      <c r="BO12" s="21">
        <f t="shared" si="67"/>
        <v>0.0626761007356763</v>
      </c>
    </row>
    <row r="13" spans="1:67">
      <c r="A13" s="9">
        <f t="shared" si="20"/>
        <v>44479</v>
      </c>
      <c r="B13" s="10">
        <v>17019.73</v>
      </c>
      <c r="C13" s="8">
        <v>93738.5</v>
      </c>
      <c r="D13" s="8">
        <v>60579.8</v>
      </c>
      <c r="E13" s="8">
        <v>58895.7</v>
      </c>
      <c r="F13" s="8">
        <v>5911.96</v>
      </c>
      <c r="G13" s="8">
        <v>114779</v>
      </c>
      <c r="H13" s="8">
        <v>5596.3</v>
      </c>
      <c r="I13" s="8">
        <v>2566.3</v>
      </c>
      <c r="J13" s="8">
        <v>967</v>
      </c>
      <c r="K13" s="8">
        <v>56</v>
      </c>
      <c r="L13" s="8">
        <v>93339.4</v>
      </c>
      <c r="M13" s="8">
        <v>61529.1</v>
      </c>
      <c r="N13" s="8">
        <v>74557.5</v>
      </c>
      <c r="O13" s="8">
        <v>104742.7</v>
      </c>
      <c r="P13" s="8">
        <v>5756.1</v>
      </c>
      <c r="Q13" s="8">
        <v>7606.8</v>
      </c>
      <c r="R13" s="8">
        <v>4632.2</v>
      </c>
      <c r="S13" s="8">
        <v>5343.1</v>
      </c>
      <c r="T13" s="8">
        <v>6756.4</v>
      </c>
      <c r="U13" s="8">
        <v>17720.9</v>
      </c>
      <c r="V13" s="8">
        <v>51397</v>
      </c>
      <c r="W13" s="8">
        <v>53490.7</v>
      </c>
      <c r="X13" s="8">
        <v>3004.4</v>
      </c>
      <c r="Y13" s="8">
        <v>2747.4</v>
      </c>
      <c r="Z13" s="16">
        <f t="shared" si="36"/>
        <v>59242.5</v>
      </c>
      <c r="AA13" s="8">
        <v>67373</v>
      </c>
      <c r="AB13" s="14">
        <v>4230</v>
      </c>
      <c r="AC13" s="7">
        <f t="shared" si="37"/>
        <v>71603</v>
      </c>
      <c r="AD13" s="17">
        <v>207522</v>
      </c>
      <c r="AE13" s="18">
        <f t="shared" ref="AE13:AI13" si="68">IF(OR(C14=""),"",(C14-C13)*80)</f>
        <v>3840</v>
      </c>
      <c r="AF13" s="18">
        <f t="shared" si="68"/>
        <v>2215.99999999977</v>
      </c>
      <c r="AG13" s="18">
        <f t="shared" si="68"/>
        <v>2120</v>
      </c>
      <c r="AH13" s="18">
        <f t="shared" si="68"/>
        <v>4.80000000003201</v>
      </c>
      <c r="AI13" s="18">
        <f t="shared" si="68"/>
        <v>2255.99999999977</v>
      </c>
      <c r="AJ13" s="18">
        <f t="shared" si="3"/>
        <v>10436.7999999996</v>
      </c>
      <c r="AK13" s="18">
        <f t="shared" ref="AK13:AN13" si="69">IF(OR(H14=""),"",(H14-H13)*80)</f>
        <v>0</v>
      </c>
      <c r="AL13" s="18">
        <f t="shared" si="69"/>
        <v>0</v>
      </c>
      <c r="AM13" s="18">
        <f t="shared" si="69"/>
        <v>0</v>
      </c>
      <c r="AN13" s="18">
        <f t="shared" si="69"/>
        <v>0</v>
      </c>
      <c r="AO13" s="18">
        <f t="shared" si="5"/>
        <v>0</v>
      </c>
      <c r="AP13" s="18">
        <f t="shared" ref="AP13:AS13" si="70">IF(OR(L14=""),"",(L14-L13)*100)</f>
        <v>3010.00000000058</v>
      </c>
      <c r="AQ13" s="18">
        <f t="shared" si="70"/>
        <v>0</v>
      </c>
      <c r="AR13" s="18">
        <f t="shared" si="70"/>
        <v>2630.00000000029</v>
      </c>
      <c r="AS13" s="18">
        <f t="shared" si="70"/>
        <v>2360.00000000058</v>
      </c>
      <c r="AT13" s="18">
        <f t="shared" si="7"/>
        <v>8000.00000000146</v>
      </c>
      <c r="AU13" s="18">
        <f t="shared" ref="AU13:AY13" si="71">IF(OR(P14=""),"",(P14-P13)*1000)</f>
        <v>3699.99999999982</v>
      </c>
      <c r="AV13" s="18">
        <f t="shared" si="71"/>
        <v>0</v>
      </c>
      <c r="AW13" s="18">
        <f t="shared" si="71"/>
        <v>0</v>
      </c>
      <c r="AX13" s="18">
        <f t="shared" si="71"/>
        <v>5399.99999999964</v>
      </c>
      <c r="AY13" s="18">
        <f t="shared" si="71"/>
        <v>0</v>
      </c>
      <c r="AZ13" s="18">
        <f t="shared" si="9"/>
        <v>9099.99999999945</v>
      </c>
      <c r="BA13" s="18">
        <f t="shared" si="10"/>
        <v>10000</v>
      </c>
      <c r="BB13" s="18">
        <f t="shared" si="11"/>
        <v>240</v>
      </c>
      <c r="BC13" s="18">
        <f t="shared" si="27"/>
        <v>1347.99999999988</v>
      </c>
      <c r="BD13" s="18">
        <f t="shared" si="12"/>
        <v>13275.2000000156</v>
      </c>
      <c r="BE13" s="18">
        <f t="shared" si="13"/>
        <v>52400.000000016</v>
      </c>
      <c r="BF13" s="18">
        <f t="shared" si="14"/>
        <v>66.1000000000058</v>
      </c>
      <c r="BG13" s="21">
        <f t="shared" si="15"/>
        <v>0.252503349042588</v>
      </c>
      <c r="BH13" s="21">
        <f t="shared" si="16"/>
        <v>0.0502924991085262</v>
      </c>
      <c r="BI13" s="21">
        <f t="shared" si="17"/>
        <v>0</v>
      </c>
      <c r="BJ13" s="21">
        <f t="shared" si="18"/>
        <v>0.0385501296248179</v>
      </c>
      <c r="BK13" s="21">
        <f t="shared" ref="BK13:BO13" si="72">IF(OR($AD13=0),"",AZ13/$AD13)</f>
        <v>0.0438507724482197</v>
      </c>
      <c r="BL13" s="21">
        <f t="shared" si="72"/>
        <v>0.0481876620310136</v>
      </c>
      <c r="BM13" s="21">
        <f t="shared" si="72"/>
        <v>0.00115650388874433</v>
      </c>
      <c r="BN13" s="21">
        <f t="shared" si="72"/>
        <v>0.00649569684178007</v>
      </c>
      <c r="BO13" s="21">
        <f t="shared" si="72"/>
        <v>0.0639700850994866</v>
      </c>
    </row>
    <row r="14" spans="1:67">
      <c r="A14" s="9">
        <f t="shared" si="20"/>
        <v>44480</v>
      </c>
      <c r="B14" s="10">
        <v>17024.97</v>
      </c>
      <c r="C14" s="8">
        <v>93786.5</v>
      </c>
      <c r="D14" s="8">
        <v>60607.5</v>
      </c>
      <c r="E14" s="8">
        <v>58922.2</v>
      </c>
      <c r="F14" s="8">
        <v>5912.02</v>
      </c>
      <c r="G14" s="8">
        <v>114807.2</v>
      </c>
      <c r="H14" s="8">
        <v>5596.3</v>
      </c>
      <c r="I14" s="8">
        <v>2566.3</v>
      </c>
      <c r="J14" s="8">
        <v>967</v>
      </c>
      <c r="K14" s="8">
        <v>56</v>
      </c>
      <c r="L14" s="8">
        <v>93369.5</v>
      </c>
      <c r="M14" s="8">
        <v>61529.1</v>
      </c>
      <c r="N14" s="8">
        <v>74583.8</v>
      </c>
      <c r="O14" s="8">
        <v>104766.3</v>
      </c>
      <c r="P14" s="8">
        <v>5759.8</v>
      </c>
      <c r="Q14" s="8">
        <v>7606.8</v>
      </c>
      <c r="R14" s="8">
        <v>4632.2</v>
      </c>
      <c r="S14" s="8">
        <v>5348.5</v>
      </c>
      <c r="T14" s="8">
        <v>6756.4</v>
      </c>
      <c r="U14" s="8">
        <v>17725.9</v>
      </c>
      <c r="V14" s="8">
        <v>51400</v>
      </c>
      <c r="W14" s="8">
        <v>53507.7</v>
      </c>
      <c r="X14" s="8">
        <v>3012.5</v>
      </c>
      <c r="Y14" s="8">
        <v>2756</v>
      </c>
      <c r="Z14" s="16">
        <f t="shared" si="36"/>
        <v>59276.2</v>
      </c>
      <c r="AA14" s="8">
        <v>67432.1</v>
      </c>
      <c r="AB14" s="14">
        <v>4237</v>
      </c>
      <c r="AC14" s="7">
        <f t="shared" si="37"/>
        <v>71669.1</v>
      </c>
      <c r="AD14" s="17">
        <v>210106</v>
      </c>
      <c r="AE14" s="18">
        <f t="shared" ref="AE14:AI14" si="73">IF(OR(C15=""),"",(C15-C14)*80)</f>
        <v>3760</v>
      </c>
      <c r="AF14" s="18">
        <f t="shared" si="73"/>
        <v>840</v>
      </c>
      <c r="AG14" s="18">
        <f t="shared" si="73"/>
        <v>2424.00000000023</v>
      </c>
      <c r="AH14" s="18">
        <f t="shared" si="73"/>
        <v>3.99999999994179</v>
      </c>
      <c r="AI14" s="18">
        <f t="shared" si="73"/>
        <v>2264.00000000023</v>
      </c>
      <c r="AJ14" s="18">
        <f t="shared" si="3"/>
        <v>9292.00000000041</v>
      </c>
      <c r="AK14" s="18">
        <f t="shared" ref="AK14:AN14" si="74">IF(OR(H15=""),"",(H15-H14)*80)</f>
        <v>0</v>
      </c>
      <c r="AL14" s="18">
        <f t="shared" si="74"/>
        <v>0</v>
      </c>
      <c r="AM14" s="18">
        <f t="shared" si="74"/>
        <v>0</v>
      </c>
      <c r="AN14" s="18">
        <f t="shared" si="74"/>
        <v>0</v>
      </c>
      <c r="AO14" s="18">
        <f t="shared" si="5"/>
        <v>0</v>
      </c>
      <c r="AP14" s="18">
        <f t="shared" ref="AP14:AS14" si="75">IF(OR(L15=""),"",(L15-L14)*100)</f>
        <v>3060.00000000058</v>
      </c>
      <c r="AQ14" s="18">
        <f t="shared" si="75"/>
        <v>0</v>
      </c>
      <c r="AR14" s="18">
        <f t="shared" si="75"/>
        <v>2719.99999999971</v>
      </c>
      <c r="AS14" s="18">
        <f t="shared" si="75"/>
        <v>2430.00000000029</v>
      </c>
      <c r="AT14" s="18">
        <f t="shared" si="7"/>
        <v>8210.00000000058</v>
      </c>
      <c r="AU14" s="18">
        <f t="shared" ref="AU14:AY14" si="76">IF(OR(P15=""),"",(P15-P14)*1000)</f>
        <v>3300.00000000018</v>
      </c>
      <c r="AV14" s="18">
        <f t="shared" si="76"/>
        <v>0</v>
      </c>
      <c r="AW14" s="18">
        <f t="shared" si="76"/>
        <v>0</v>
      </c>
      <c r="AX14" s="18">
        <f t="shared" si="76"/>
        <v>5399.99999999964</v>
      </c>
      <c r="AY14" s="18">
        <f t="shared" si="76"/>
        <v>0</v>
      </c>
      <c r="AZ14" s="18">
        <f t="shared" si="9"/>
        <v>8699.99999999982</v>
      </c>
      <c r="BA14" s="18">
        <f t="shared" si="10"/>
        <v>10000</v>
      </c>
      <c r="BB14" s="18">
        <f t="shared" si="11"/>
        <v>447.999999999884</v>
      </c>
      <c r="BC14" s="18">
        <f t="shared" si="27"/>
        <v>1344.00000000023</v>
      </c>
      <c r="BD14" s="18">
        <f t="shared" si="12"/>
        <v>12505.9999999918</v>
      </c>
      <c r="BE14" s="18">
        <f t="shared" si="13"/>
        <v>50499.9999999927</v>
      </c>
      <c r="BF14" s="18">
        <f t="shared" si="14"/>
        <v>64.1999999999971</v>
      </c>
      <c r="BG14" s="21">
        <f t="shared" si="15"/>
        <v>0.240354868494916</v>
      </c>
      <c r="BH14" s="21">
        <f t="shared" si="16"/>
        <v>0.0442252958030728</v>
      </c>
      <c r="BI14" s="21">
        <f t="shared" si="17"/>
        <v>0</v>
      </c>
      <c r="BJ14" s="21">
        <f t="shared" si="18"/>
        <v>0.0390755142642313</v>
      </c>
      <c r="BK14" s="21">
        <f t="shared" ref="BK14:BO14" si="77">IF(OR($AD14=0),"",AZ14/$AD14)</f>
        <v>0.0414076704139806</v>
      </c>
      <c r="BL14" s="21">
        <f t="shared" si="77"/>
        <v>0.0475950234643466</v>
      </c>
      <c r="BM14" s="21">
        <f t="shared" si="77"/>
        <v>0.00213225705120217</v>
      </c>
      <c r="BN14" s="21">
        <f t="shared" si="77"/>
        <v>0.00639677115360929</v>
      </c>
      <c r="BO14" s="21">
        <f t="shared" si="77"/>
        <v>0.0595223363444728</v>
      </c>
    </row>
    <row r="15" spans="1:67">
      <c r="A15" s="9">
        <f t="shared" si="20"/>
        <v>44481</v>
      </c>
      <c r="B15" s="10">
        <v>17030.02</v>
      </c>
      <c r="C15" s="8">
        <v>93833.5</v>
      </c>
      <c r="D15" s="8">
        <v>60618</v>
      </c>
      <c r="E15" s="8">
        <v>58952.5</v>
      </c>
      <c r="F15" s="8">
        <v>5912.07</v>
      </c>
      <c r="G15" s="8">
        <v>114835.5</v>
      </c>
      <c r="H15" s="8">
        <v>5596.3</v>
      </c>
      <c r="I15" s="8">
        <v>2566.3</v>
      </c>
      <c r="J15" s="8">
        <v>967</v>
      </c>
      <c r="K15" s="8">
        <v>56</v>
      </c>
      <c r="L15" s="8">
        <v>93400.1</v>
      </c>
      <c r="M15" s="8">
        <v>61529.1</v>
      </c>
      <c r="N15" s="8">
        <v>74611</v>
      </c>
      <c r="O15" s="8">
        <v>104790.6</v>
      </c>
      <c r="P15" s="8">
        <v>5763.1</v>
      </c>
      <c r="Q15" s="8">
        <v>7606.8</v>
      </c>
      <c r="R15" s="8">
        <v>4632.2</v>
      </c>
      <c r="S15" s="8">
        <v>5353.9</v>
      </c>
      <c r="T15" s="8">
        <v>6756.4</v>
      </c>
      <c r="U15" s="8">
        <v>17730.9</v>
      </c>
      <c r="V15" s="8">
        <v>51405.6</v>
      </c>
      <c r="W15" s="8">
        <v>53524.8</v>
      </c>
      <c r="X15" s="8">
        <v>3020.5</v>
      </c>
      <c r="Y15" s="8">
        <v>2764.5</v>
      </c>
      <c r="Z15" s="16">
        <f t="shared" si="36"/>
        <v>59309.8</v>
      </c>
      <c r="AA15" s="8">
        <v>67489.3</v>
      </c>
      <c r="AB15" s="14">
        <v>4244</v>
      </c>
      <c r="AC15" s="7">
        <f t="shared" si="37"/>
        <v>71733.3</v>
      </c>
      <c r="AD15" s="17">
        <v>208343</v>
      </c>
      <c r="AE15" s="18">
        <f t="shared" ref="AE15:AI15" si="78">IF(OR(C16=""),"",(C16-C15)*80)</f>
        <v>3735.99999999977</v>
      </c>
      <c r="AF15" s="18">
        <f t="shared" si="78"/>
        <v>1327.99999999988</v>
      </c>
      <c r="AG15" s="18">
        <f t="shared" si="78"/>
        <v>1527.99999999988</v>
      </c>
      <c r="AH15" s="18">
        <f t="shared" si="78"/>
        <v>1085.60000000005</v>
      </c>
      <c r="AI15" s="18">
        <f t="shared" si="78"/>
        <v>2191.99999999953</v>
      </c>
      <c r="AJ15" s="18">
        <f t="shared" si="3"/>
        <v>9869.59999999912</v>
      </c>
      <c r="AK15" s="18">
        <f t="shared" ref="AK15:AN15" si="79">IF(OR(H16=""),"",(H16-H15)*80)</f>
        <v>0</v>
      </c>
      <c r="AL15" s="18">
        <f t="shared" si="79"/>
        <v>0</v>
      </c>
      <c r="AM15" s="18">
        <f t="shared" si="79"/>
        <v>0</v>
      </c>
      <c r="AN15" s="18">
        <f t="shared" si="79"/>
        <v>0</v>
      </c>
      <c r="AO15" s="18">
        <f t="shared" si="5"/>
        <v>0</v>
      </c>
      <c r="AP15" s="18">
        <f t="shared" ref="AP15:AS15" si="80">IF(OR(L16=""),"",(L16-L15)*100)</f>
        <v>2959.99999999913</v>
      </c>
      <c r="AQ15" s="18">
        <f t="shared" si="80"/>
        <v>0</v>
      </c>
      <c r="AR15" s="18">
        <f t="shared" si="80"/>
        <v>2719.99999999971</v>
      </c>
      <c r="AS15" s="18">
        <f t="shared" si="80"/>
        <v>2379.99999999884</v>
      </c>
      <c r="AT15" s="18">
        <f t="shared" si="7"/>
        <v>8059.99999999767</v>
      </c>
      <c r="AU15" s="18">
        <f t="shared" ref="AU15:AY15" si="81">IF(OR(P16=""),"",(P16-P15)*1000)</f>
        <v>3299.99999999927</v>
      </c>
      <c r="AV15" s="18">
        <f t="shared" si="81"/>
        <v>0</v>
      </c>
      <c r="AW15" s="18">
        <f t="shared" si="81"/>
        <v>4600.00000000036</v>
      </c>
      <c r="AX15" s="18">
        <f t="shared" si="81"/>
        <v>700.000000000728</v>
      </c>
      <c r="AY15" s="18">
        <f t="shared" si="81"/>
        <v>0</v>
      </c>
      <c r="AZ15" s="18">
        <f t="shared" si="9"/>
        <v>8600.00000000036</v>
      </c>
      <c r="BA15" s="18">
        <f t="shared" si="10"/>
        <v>9599.99999999854</v>
      </c>
      <c r="BB15" s="18">
        <f t="shared" si="11"/>
        <v>560</v>
      </c>
      <c r="BC15" s="18">
        <f t="shared" si="27"/>
        <v>1316.00000000006</v>
      </c>
      <c r="BD15" s="18">
        <f t="shared" si="12"/>
        <v>13094.4000000101</v>
      </c>
      <c r="BE15" s="18">
        <f t="shared" si="13"/>
        <v>51100.0000000058</v>
      </c>
      <c r="BF15" s="18">
        <f t="shared" si="14"/>
        <v>60</v>
      </c>
      <c r="BG15" s="21">
        <f t="shared" si="15"/>
        <v>0.245268619536081</v>
      </c>
      <c r="BH15" s="21">
        <f t="shared" si="16"/>
        <v>0.0473718819446735</v>
      </c>
      <c r="BI15" s="21">
        <f t="shared" si="17"/>
        <v>0</v>
      </c>
      <c r="BJ15" s="21">
        <f t="shared" si="18"/>
        <v>0.0386862049600787</v>
      </c>
      <c r="BK15" s="21">
        <f t="shared" ref="BK15:BO15" si="82">IF(OR($AD15=0),"",AZ15/$AD15)</f>
        <v>0.0412780846968718</v>
      </c>
      <c r="BL15" s="21">
        <f t="shared" si="82"/>
        <v>0.0460778619871968</v>
      </c>
      <c r="BM15" s="21">
        <f t="shared" si="82"/>
        <v>0.00268787528258689</v>
      </c>
      <c r="BN15" s="21">
        <f t="shared" si="82"/>
        <v>0.00631650691407947</v>
      </c>
      <c r="BO15" s="21">
        <f t="shared" si="82"/>
        <v>0.0628502037505943</v>
      </c>
    </row>
    <row r="16" spans="1:67">
      <c r="A16" s="9">
        <f t="shared" si="20"/>
        <v>44482</v>
      </c>
      <c r="B16" s="10">
        <v>17035.13</v>
      </c>
      <c r="C16" s="8">
        <v>93880.2</v>
      </c>
      <c r="D16" s="8">
        <v>60634.6</v>
      </c>
      <c r="E16" s="8">
        <v>58971.6</v>
      </c>
      <c r="F16" s="8">
        <v>5925.64</v>
      </c>
      <c r="G16" s="8">
        <v>114862.9</v>
      </c>
      <c r="H16" s="8">
        <v>5596.3</v>
      </c>
      <c r="I16" s="8">
        <v>2566.3</v>
      </c>
      <c r="J16" s="8">
        <v>967</v>
      </c>
      <c r="K16" s="8">
        <v>56</v>
      </c>
      <c r="L16" s="8">
        <v>93429.7</v>
      </c>
      <c r="M16" s="8">
        <v>61529.1</v>
      </c>
      <c r="N16" s="8">
        <v>74638.2</v>
      </c>
      <c r="O16" s="8">
        <v>104814.4</v>
      </c>
      <c r="P16" s="8">
        <v>5766.4</v>
      </c>
      <c r="Q16" s="8">
        <v>7606.8</v>
      </c>
      <c r="R16" s="8">
        <v>4636.8</v>
      </c>
      <c r="S16" s="8">
        <v>5354.6</v>
      </c>
      <c r="T16" s="8">
        <v>6756.4</v>
      </c>
      <c r="U16" s="8">
        <v>17735.7</v>
      </c>
      <c r="V16" s="8">
        <v>51412.6</v>
      </c>
      <c r="W16" s="8">
        <v>53541.4</v>
      </c>
      <c r="X16" s="8">
        <v>3028.5</v>
      </c>
      <c r="Y16" s="8">
        <v>2772.8</v>
      </c>
      <c r="Z16" s="16">
        <f t="shared" si="36"/>
        <v>59342.7</v>
      </c>
      <c r="AA16" s="8">
        <v>67543.3</v>
      </c>
      <c r="AB16" s="14">
        <v>4250</v>
      </c>
      <c r="AC16" s="7">
        <f t="shared" si="37"/>
        <v>71793.3</v>
      </c>
      <c r="AD16" s="17">
        <v>202689</v>
      </c>
      <c r="AE16" s="18">
        <f t="shared" ref="AE16:AI16" si="83">IF(OR(C17=""),"",(C17-C16)*80)</f>
        <v>3880</v>
      </c>
      <c r="AF16" s="18">
        <f t="shared" si="83"/>
        <v>2392.00000000012</v>
      </c>
      <c r="AG16" s="18">
        <f t="shared" si="83"/>
        <v>2784.00000000023</v>
      </c>
      <c r="AH16" s="18">
        <f t="shared" si="83"/>
        <v>3.99999999994179</v>
      </c>
      <c r="AI16" s="18">
        <f t="shared" si="83"/>
        <v>2336.00000000093</v>
      </c>
      <c r="AJ16" s="18">
        <f t="shared" si="3"/>
        <v>11396.0000000012</v>
      </c>
      <c r="AK16" s="18">
        <f t="shared" ref="AK16:AN16" si="84">IF(OR(H17=""),"",(H17-H16)*80)</f>
        <v>0</v>
      </c>
      <c r="AL16" s="18">
        <f t="shared" si="84"/>
        <v>0</v>
      </c>
      <c r="AM16" s="18">
        <f t="shared" si="84"/>
        <v>0</v>
      </c>
      <c r="AN16" s="18">
        <f t="shared" si="84"/>
        <v>0</v>
      </c>
      <c r="AO16" s="18">
        <f t="shared" si="5"/>
        <v>0</v>
      </c>
      <c r="AP16" s="18">
        <f t="shared" ref="AP16:AS16" si="85">IF(OR(L17=""),"",(L17-L16)*100)</f>
        <v>2800</v>
      </c>
      <c r="AQ16" s="18">
        <f t="shared" si="85"/>
        <v>0</v>
      </c>
      <c r="AR16" s="18">
        <f t="shared" si="85"/>
        <v>2780.00000000029</v>
      </c>
      <c r="AS16" s="18">
        <f t="shared" si="85"/>
        <v>2440.00000000087</v>
      </c>
      <c r="AT16" s="18">
        <f t="shared" si="7"/>
        <v>8020.00000000116</v>
      </c>
      <c r="AU16" s="18">
        <f t="shared" ref="AU16:AY16" si="86">IF(OR(P17=""),"",(P17-P16)*1000)</f>
        <v>3300.00000000018</v>
      </c>
      <c r="AV16" s="18">
        <f t="shared" si="86"/>
        <v>399.999999999636</v>
      </c>
      <c r="AW16" s="18">
        <f t="shared" si="86"/>
        <v>3399.99999999964</v>
      </c>
      <c r="AX16" s="18">
        <f t="shared" si="86"/>
        <v>0</v>
      </c>
      <c r="AY16" s="18">
        <f t="shared" si="86"/>
        <v>0</v>
      </c>
      <c r="AZ16" s="18">
        <f t="shared" si="9"/>
        <v>7099.99999999945</v>
      </c>
      <c r="BA16" s="18">
        <f t="shared" si="10"/>
        <v>9199.99999999709</v>
      </c>
      <c r="BB16" s="18">
        <f t="shared" si="11"/>
        <v>616.000000000349</v>
      </c>
      <c r="BC16" s="18">
        <f t="shared" si="27"/>
        <v>1319.99999999971</v>
      </c>
      <c r="BD16" s="18">
        <f t="shared" si="12"/>
        <v>14247.9999999879</v>
      </c>
      <c r="BE16" s="18">
        <f t="shared" si="13"/>
        <v>51899.9999999869</v>
      </c>
      <c r="BF16" s="18">
        <f t="shared" si="14"/>
        <v>61.3000000000029</v>
      </c>
      <c r="BG16" s="21">
        <f t="shared" si="15"/>
        <v>0.256057309474056</v>
      </c>
      <c r="BH16" s="21">
        <f t="shared" si="16"/>
        <v>0.0562240674136299</v>
      </c>
      <c r="BI16" s="21">
        <f t="shared" si="17"/>
        <v>0</v>
      </c>
      <c r="BJ16" s="21">
        <f t="shared" si="18"/>
        <v>0.0395680081306887</v>
      </c>
      <c r="BK16" s="21">
        <f t="shared" ref="BK16:BO16" si="87">IF(OR($AD16=0),"",AZ16/$AD16)</f>
        <v>0.0350290346294049</v>
      </c>
      <c r="BL16" s="21">
        <f t="shared" si="87"/>
        <v>0.0453897350127392</v>
      </c>
      <c r="BM16" s="21">
        <f t="shared" si="87"/>
        <v>0.00303913877911652</v>
      </c>
      <c r="BN16" s="21">
        <f t="shared" si="87"/>
        <v>0.00651244024095885</v>
      </c>
      <c r="BO16" s="21">
        <f t="shared" si="87"/>
        <v>0.0702948852675178</v>
      </c>
    </row>
    <row r="17" spans="1:67">
      <c r="A17" s="9">
        <f t="shared" si="20"/>
        <v>44483</v>
      </c>
      <c r="B17" s="10">
        <v>17040.32</v>
      </c>
      <c r="C17" s="8">
        <v>93928.7</v>
      </c>
      <c r="D17" s="8">
        <v>60664.5</v>
      </c>
      <c r="E17" s="8">
        <v>59006.4</v>
      </c>
      <c r="F17" s="8">
        <v>5925.69</v>
      </c>
      <c r="G17" s="8">
        <v>114892.1</v>
      </c>
      <c r="H17" s="8">
        <v>5596.3</v>
      </c>
      <c r="I17" s="8">
        <v>2566.3</v>
      </c>
      <c r="J17" s="8">
        <v>967</v>
      </c>
      <c r="K17" s="8">
        <v>56</v>
      </c>
      <c r="L17" s="8">
        <v>93457.7</v>
      </c>
      <c r="M17" s="8">
        <v>61529.1</v>
      </c>
      <c r="N17" s="8">
        <v>74666</v>
      </c>
      <c r="O17" s="8">
        <v>104838.8</v>
      </c>
      <c r="P17" s="8">
        <v>5769.7</v>
      </c>
      <c r="Q17" s="8">
        <v>7607.2</v>
      </c>
      <c r="R17" s="8">
        <v>4640.2</v>
      </c>
      <c r="S17" s="8">
        <v>5354.6</v>
      </c>
      <c r="T17" s="8">
        <v>6756.4</v>
      </c>
      <c r="U17" s="8">
        <v>17740.3</v>
      </c>
      <c r="V17" s="8">
        <v>51420.3</v>
      </c>
      <c r="W17" s="8">
        <v>53558.1</v>
      </c>
      <c r="X17" s="8">
        <v>3036.4</v>
      </c>
      <c r="Y17" s="8">
        <v>2781.2</v>
      </c>
      <c r="Z17" s="16">
        <f t="shared" si="36"/>
        <v>59375.7</v>
      </c>
      <c r="AA17" s="8">
        <v>67597.6</v>
      </c>
      <c r="AB17" s="14">
        <v>4257</v>
      </c>
      <c r="AC17" s="7">
        <f t="shared" si="37"/>
        <v>71854.6</v>
      </c>
      <c r="AD17" s="17">
        <v>201589</v>
      </c>
      <c r="AE17" s="18">
        <f t="shared" ref="AE17:AI17" si="88">IF(OR(C18=""),"",(C18-C17)*80)</f>
        <v>3888.00000000047</v>
      </c>
      <c r="AF17" s="18">
        <f t="shared" si="88"/>
        <v>2360</v>
      </c>
      <c r="AG17" s="18">
        <f t="shared" si="88"/>
        <v>2655.99999999977</v>
      </c>
      <c r="AH17" s="18">
        <f t="shared" si="88"/>
        <v>4.80000000003201</v>
      </c>
      <c r="AI17" s="18">
        <f t="shared" si="88"/>
        <v>2431.99999999953</v>
      </c>
      <c r="AJ17" s="18">
        <f t="shared" si="3"/>
        <v>11340.7999999998</v>
      </c>
      <c r="AK17" s="18">
        <f t="shared" ref="AK17:AN17" si="89">IF(OR(H18=""),"",(H18-H17)*80)</f>
        <v>0</v>
      </c>
      <c r="AL17" s="18">
        <f t="shared" si="89"/>
        <v>0</v>
      </c>
      <c r="AM17" s="18">
        <f t="shared" si="89"/>
        <v>0</v>
      </c>
      <c r="AN17" s="18">
        <f t="shared" si="89"/>
        <v>0</v>
      </c>
      <c r="AO17" s="18">
        <f t="shared" si="5"/>
        <v>0</v>
      </c>
      <c r="AP17" s="18">
        <f t="shared" ref="AP17:AS17" si="90">IF(OR(L18=""),"",(L18-L17)*100)</f>
        <v>2790.00000000087</v>
      </c>
      <c r="AQ17" s="18">
        <f t="shared" si="90"/>
        <v>0</v>
      </c>
      <c r="AR17" s="18">
        <f t="shared" si="90"/>
        <v>2780.00000000029</v>
      </c>
      <c r="AS17" s="18">
        <f t="shared" si="90"/>
        <v>2419.99999999971</v>
      </c>
      <c r="AT17" s="18">
        <f t="shared" si="7"/>
        <v>7990.00000000087</v>
      </c>
      <c r="AU17" s="18">
        <f t="shared" ref="AU17:AY17" si="91">IF(OR(P18=""),"",(P18-P17)*1000)</f>
        <v>3900.00000000055</v>
      </c>
      <c r="AV17" s="18">
        <f t="shared" si="91"/>
        <v>7900.00000000055</v>
      </c>
      <c r="AW17" s="18">
        <f t="shared" si="91"/>
        <v>0</v>
      </c>
      <c r="AX17" s="18">
        <f t="shared" si="91"/>
        <v>0</v>
      </c>
      <c r="AY17" s="18">
        <f t="shared" si="91"/>
        <v>0</v>
      </c>
      <c r="AZ17" s="18">
        <f t="shared" si="9"/>
        <v>11800.0000000011</v>
      </c>
      <c r="BA17" s="18">
        <f t="shared" si="10"/>
        <v>9400.00000000146</v>
      </c>
      <c r="BB17" s="18">
        <f t="shared" si="11"/>
        <v>600</v>
      </c>
      <c r="BC17" s="18">
        <f t="shared" si="27"/>
        <v>1320.00000000029</v>
      </c>
      <c r="BD17" s="18">
        <f t="shared" si="12"/>
        <v>10249.2000000009</v>
      </c>
      <c r="BE17" s="18">
        <f t="shared" si="13"/>
        <v>52700.0000000044</v>
      </c>
      <c r="BF17" s="18">
        <f t="shared" si="14"/>
        <v>71</v>
      </c>
      <c r="BG17" s="21">
        <f t="shared" si="15"/>
        <v>0.261422994310227</v>
      </c>
      <c r="BH17" s="21">
        <f t="shared" si="16"/>
        <v>0.0562570378344047</v>
      </c>
      <c r="BI17" s="21">
        <f t="shared" si="17"/>
        <v>0</v>
      </c>
      <c r="BJ17" s="21">
        <f t="shared" si="18"/>
        <v>0.0396350991373581</v>
      </c>
      <c r="BK17" s="21">
        <f t="shared" ref="BK17:BO17" si="92">IF(OR($AD17=0),"",AZ17/$AD17)</f>
        <v>0.0585349399024803</v>
      </c>
      <c r="BL17" s="21">
        <f t="shared" si="92"/>
        <v>0.046629528396894</v>
      </c>
      <c r="BM17" s="21">
        <f t="shared" si="92"/>
        <v>0.00297635287639703</v>
      </c>
      <c r="BN17" s="21">
        <f t="shared" si="92"/>
        <v>0.0065479763280749</v>
      </c>
      <c r="BO17" s="21">
        <f t="shared" si="92"/>
        <v>0.0508420598346182</v>
      </c>
    </row>
    <row r="18" spans="1:67">
      <c r="A18" s="9">
        <f t="shared" si="20"/>
        <v>44484</v>
      </c>
      <c r="B18" s="10">
        <v>17045.59</v>
      </c>
      <c r="C18" s="8">
        <v>93977.3</v>
      </c>
      <c r="D18" s="8">
        <v>60694</v>
      </c>
      <c r="E18" s="8">
        <v>59039.6</v>
      </c>
      <c r="F18" s="8">
        <v>5925.75</v>
      </c>
      <c r="G18" s="8">
        <v>114922.5</v>
      </c>
      <c r="H18" s="8">
        <v>5596.3</v>
      </c>
      <c r="I18" s="8">
        <v>2566.3</v>
      </c>
      <c r="J18" s="8">
        <v>967</v>
      </c>
      <c r="K18" s="8">
        <v>56</v>
      </c>
      <c r="L18" s="8">
        <v>93485.6</v>
      </c>
      <c r="M18" s="8">
        <v>61529.1</v>
      </c>
      <c r="N18" s="8">
        <v>74693.8</v>
      </c>
      <c r="O18" s="8">
        <v>104863</v>
      </c>
      <c r="P18" s="8">
        <v>5773.6</v>
      </c>
      <c r="Q18" s="8">
        <v>7615.1</v>
      </c>
      <c r="R18" s="8">
        <v>4640.2</v>
      </c>
      <c r="S18" s="8">
        <v>5354.6</v>
      </c>
      <c r="T18" s="8">
        <v>6756.4</v>
      </c>
      <c r="U18" s="8">
        <v>17745</v>
      </c>
      <c r="V18" s="8">
        <v>51427.8</v>
      </c>
      <c r="W18" s="8">
        <v>53575</v>
      </c>
      <c r="X18" s="8">
        <v>3044.3</v>
      </c>
      <c r="Y18" s="8">
        <v>2789.4</v>
      </c>
      <c r="Z18" s="16">
        <f t="shared" si="36"/>
        <v>59408.7</v>
      </c>
      <c r="AA18" s="8">
        <v>67652.6</v>
      </c>
      <c r="AB18" s="14">
        <v>4273</v>
      </c>
      <c r="AC18" s="7">
        <f t="shared" si="37"/>
        <v>71925.6</v>
      </c>
      <c r="AD18" s="17">
        <v>210847</v>
      </c>
      <c r="AE18" s="18">
        <f t="shared" ref="AE18:AI18" si="93">IF(OR(C19=""),"",(C19-C18)*80)</f>
        <v>3735.99999999977</v>
      </c>
      <c r="AF18" s="18">
        <f t="shared" si="93"/>
        <v>0</v>
      </c>
      <c r="AG18" s="18">
        <f t="shared" si="93"/>
        <v>2847.99999999988</v>
      </c>
      <c r="AH18" s="18">
        <f t="shared" si="93"/>
        <v>4.00000000001455</v>
      </c>
      <c r="AI18" s="18">
        <f t="shared" si="93"/>
        <v>2144.00000000023</v>
      </c>
      <c r="AJ18" s="18">
        <f t="shared" si="3"/>
        <v>8731.9999999999</v>
      </c>
      <c r="AK18" s="18">
        <f t="shared" ref="AK18:AN18" si="94">IF(OR(H19=""),"",(H19-H18)*80)</f>
        <v>0</v>
      </c>
      <c r="AL18" s="18">
        <f t="shared" si="94"/>
        <v>0</v>
      </c>
      <c r="AM18" s="18">
        <f t="shared" si="94"/>
        <v>0</v>
      </c>
      <c r="AN18" s="18">
        <f t="shared" si="94"/>
        <v>0</v>
      </c>
      <c r="AO18" s="18">
        <f t="shared" si="5"/>
        <v>0</v>
      </c>
      <c r="AP18" s="18">
        <f t="shared" ref="AP18:AS18" si="95">IF(OR(L19=""),"",(L19-L18)*100)</f>
        <v>3209.99999999913</v>
      </c>
      <c r="AQ18" s="18">
        <f t="shared" si="95"/>
        <v>0</v>
      </c>
      <c r="AR18" s="18">
        <f t="shared" si="95"/>
        <v>2680.00000000029</v>
      </c>
      <c r="AS18" s="18">
        <f t="shared" si="95"/>
        <v>2419.99999999971</v>
      </c>
      <c r="AT18" s="18">
        <f t="shared" si="7"/>
        <v>8309.99999999913</v>
      </c>
      <c r="AU18" s="18">
        <f t="shared" ref="AU18:AY18" si="96">IF(OR(P19=""),"",(P19-P18)*1000)</f>
        <v>3899.99999999964</v>
      </c>
      <c r="AV18" s="18">
        <f t="shared" si="96"/>
        <v>6599.99999999945</v>
      </c>
      <c r="AW18" s="18">
        <f t="shared" si="96"/>
        <v>0</v>
      </c>
      <c r="AX18" s="18">
        <f t="shared" si="96"/>
        <v>0</v>
      </c>
      <c r="AY18" s="18">
        <f t="shared" si="96"/>
        <v>0</v>
      </c>
      <c r="AZ18" s="18">
        <f t="shared" si="9"/>
        <v>10499.9999999991</v>
      </c>
      <c r="BA18" s="18">
        <f t="shared" si="10"/>
        <v>9599.99999999854</v>
      </c>
      <c r="BB18" s="18">
        <f t="shared" si="11"/>
        <v>920</v>
      </c>
      <c r="BC18" s="18">
        <f t="shared" si="27"/>
        <v>1323.99999999994</v>
      </c>
      <c r="BD18" s="18">
        <f t="shared" si="12"/>
        <v>9113.99999998885</v>
      </c>
      <c r="BE18" s="18">
        <f t="shared" si="13"/>
        <v>48499.9999999854</v>
      </c>
      <c r="BF18" s="18">
        <f t="shared" si="14"/>
        <v>61.5</v>
      </c>
      <c r="BG18" s="21">
        <f t="shared" si="15"/>
        <v>0.230024615005124</v>
      </c>
      <c r="BH18" s="21">
        <f t="shared" si="16"/>
        <v>0.0414139162520686</v>
      </c>
      <c r="BI18" s="21">
        <f t="shared" si="17"/>
        <v>0</v>
      </c>
      <c r="BJ18" s="21">
        <f t="shared" si="18"/>
        <v>0.0394124649627414</v>
      </c>
      <c r="BK18" s="21">
        <f t="shared" ref="BK18:BO18" si="97">IF(OR($AD18=0),"",AZ18/$AD18)</f>
        <v>0.0497991434547283</v>
      </c>
      <c r="BL18" s="21">
        <f t="shared" si="97"/>
        <v>0.04553064544432</v>
      </c>
      <c r="BM18" s="21">
        <f t="shared" si="97"/>
        <v>0.004363353521748</v>
      </c>
      <c r="BN18" s="21">
        <f t="shared" si="97"/>
        <v>0.00627943485086315</v>
      </c>
      <c r="BO18" s="21">
        <f t="shared" si="97"/>
        <v>0.043225656518655</v>
      </c>
    </row>
    <row r="19" spans="1:67">
      <c r="A19" s="9">
        <f t="shared" si="20"/>
        <v>44485</v>
      </c>
      <c r="B19" s="10">
        <v>17050.44</v>
      </c>
      <c r="C19" s="8">
        <v>94024</v>
      </c>
      <c r="D19" s="8">
        <v>60694</v>
      </c>
      <c r="E19" s="8">
        <v>59075.2</v>
      </c>
      <c r="F19" s="8">
        <v>5925.8</v>
      </c>
      <c r="G19" s="8">
        <v>114949.3</v>
      </c>
      <c r="H19" s="8">
        <v>5596.3</v>
      </c>
      <c r="I19" s="8">
        <v>2566.3</v>
      </c>
      <c r="J19" s="8">
        <v>967</v>
      </c>
      <c r="K19" s="8">
        <v>56</v>
      </c>
      <c r="L19" s="8">
        <v>93517.7</v>
      </c>
      <c r="M19" s="8">
        <v>61529.1</v>
      </c>
      <c r="N19" s="8">
        <v>74720.6</v>
      </c>
      <c r="O19" s="8">
        <v>104887.2</v>
      </c>
      <c r="P19" s="8">
        <v>5777.5</v>
      </c>
      <c r="Q19" s="8">
        <v>7621.7</v>
      </c>
      <c r="R19" s="8">
        <v>4640.2</v>
      </c>
      <c r="S19" s="8">
        <v>5354.6</v>
      </c>
      <c r="T19" s="8">
        <v>6756.4</v>
      </c>
      <c r="U19" s="8">
        <v>17749.8</v>
      </c>
      <c r="V19" s="8">
        <v>51439.3</v>
      </c>
      <c r="W19" s="8">
        <v>53591.8</v>
      </c>
      <c r="X19" s="8">
        <v>3052.2</v>
      </c>
      <c r="Y19" s="8">
        <v>2797.8</v>
      </c>
      <c r="Z19" s="16">
        <f t="shared" si="36"/>
        <v>59441.8</v>
      </c>
      <c r="AA19" s="8">
        <v>67707.1</v>
      </c>
      <c r="AB19" s="14">
        <v>4280</v>
      </c>
      <c r="AC19" s="7">
        <f t="shared" si="37"/>
        <v>71987.1</v>
      </c>
      <c r="AD19" s="17">
        <v>210810</v>
      </c>
      <c r="AE19" s="18">
        <f t="shared" ref="AE19:AI19" si="98">IF(OR(C20=""),"",(C20-C19)*80)</f>
        <v>3680</v>
      </c>
      <c r="AF19" s="18">
        <f t="shared" si="98"/>
        <v>0</v>
      </c>
      <c r="AG19" s="18">
        <f t="shared" si="98"/>
        <v>3192.00000000012</v>
      </c>
      <c r="AH19" s="18">
        <f t="shared" si="98"/>
        <v>4.79999999995925</v>
      </c>
      <c r="AI19" s="18">
        <f t="shared" si="98"/>
        <v>2031.99999999953</v>
      </c>
      <c r="AJ19" s="18">
        <f t="shared" si="3"/>
        <v>8908.79999999961</v>
      </c>
      <c r="AK19" s="18">
        <f t="shared" ref="AK19:AN19" si="99">IF(OR(H20=""),"",(H20-H19)*80)</f>
        <v>0</v>
      </c>
      <c r="AL19" s="18">
        <f t="shared" si="99"/>
        <v>0</v>
      </c>
      <c r="AM19" s="18">
        <f t="shared" si="99"/>
        <v>0</v>
      </c>
      <c r="AN19" s="18">
        <f t="shared" si="99"/>
        <v>0</v>
      </c>
      <c r="AO19" s="18">
        <f t="shared" si="5"/>
        <v>0</v>
      </c>
      <c r="AP19" s="18">
        <f t="shared" ref="AP19:AS19" si="100">IF(OR(L20=""),"",(L20-L19)*100)</f>
        <v>3090.00000000087</v>
      </c>
      <c r="AQ19" s="18">
        <f t="shared" si="100"/>
        <v>0</v>
      </c>
      <c r="AR19" s="18">
        <f t="shared" si="100"/>
        <v>2639.99999999942</v>
      </c>
      <c r="AS19" s="18">
        <f t="shared" si="100"/>
        <v>2380.00000000029</v>
      </c>
      <c r="AT19" s="18">
        <f t="shared" si="7"/>
        <v>8110.00000000058</v>
      </c>
      <c r="AU19" s="18">
        <f t="shared" ref="AU19:AY19" si="101">IF(OR(P20=""),"",(P20-P19)*1000)</f>
        <v>3199.99999999982</v>
      </c>
      <c r="AV19" s="18">
        <f t="shared" si="101"/>
        <v>6600.00000000036</v>
      </c>
      <c r="AW19" s="18">
        <f t="shared" si="101"/>
        <v>0</v>
      </c>
      <c r="AX19" s="18">
        <f t="shared" si="101"/>
        <v>0</v>
      </c>
      <c r="AY19" s="18">
        <f t="shared" si="101"/>
        <v>0</v>
      </c>
      <c r="AZ19" s="18">
        <f t="shared" si="9"/>
        <v>9800.00000000018</v>
      </c>
      <c r="BA19" s="18">
        <f t="shared" si="10"/>
        <v>9200.00000000437</v>
      </c>
      <c r="BB19" s="18">
        <f t="shared" si="11"/>
        <v>1095.99999999977</v>
      </c>
      <c r="BC19" s="18">
        <f t="shared" si="27"/>
        <v>1331.99999999983</v>
      </c>
      <c r="BD19" s="18">
        <f t="shared" si="12"/>
        <v>7653.20000000149</v>
      </c>
      <c r="BE19" s="18">
        <f t="shared" si="13"/>
        <v>46100.0000000058</v>
      </c>
      <c r="BF19" s="18">
        <f t="shared" si="14"/>
        <v>59</v>
      </c>
      <c r="BG19" s="21">
        <f t="shared" si="15"/>
        <v>0.2186803282577</v>
      </c>
      <c r="BH19" s="21">
        <f t="shared" si="16"/>
        <v>0.0422598548455937</v>
      </c>
      <c r="BI19" s="21">
        <f t="shared" si="17"/>
        <v>0</v>
      </c>
      <c r="BJ19" s="21">
        <f t="shared" si="18"/>
        <v>0.0384706607845955</v>
      </c>
      <c r="BK19" s="21">
        <f t="shared" ref="BK19:BO19" si="102">IF(OR($AD19=0),"",AZ19/$AD19)</f>
        <v>0.0464873582847122</v>
      </c>
      <c r="BL19" s="21">
        <f t="shared" si="102"/>
        <v>0.0436411934917905</v>
      </c>
      <c r="BM19" s="21">
        <f t="shared" si="102"/>
        <v>0.00519899435510539</v>
      </c>
      <c r="BN19" s="21">
        <f t="shared" si="102"/>
        <v>0.00631848584032933</v>
      </c>
      <c r="BO19" s="21">
        <f t="shared" si="102"/>
        <v>0.0363037806555737</v>
      </c>
    </row>
    <row r="20" spans="1:67">
      <c r="A20" s="9">
        <f t="shared" si="20"/>
        <v>44486</v>
      </c>
      <c r="B20" s="10">
        <v>17055.05</v>
      </c>
      <c r="C20" s="8">
        <v>94070</v>
      </c>
      <c r="D20" s="8">
        <v>60694</v>
      </c>
      <c r="E20" s="8">
        <v>59115.1</v>
      </c>
      <c r="F20" s="8">
        <v>5925.86</v>
      </c>
      <c r="G20" s="8">
        <v>114974.7</v>
      </c>
      <c r="H20" s="8">
        <v>5596.3</v>
      </c>
      <c r="I20" s="8">
        <v>2566.3</v>
      </c>
      <c r="J20" s="8">
        <v>967</v>
      </c>
      <c r="K20" s="8">
        <v>56</v>
      </c>
      <c r="L20" s="8">
        <v>93548.6</v>
      </c>
      <c r="M20" s="8">
        <v>61529.1</v>
      </c>
      <c r="N20" s="8">
        <v>74747</v>
      </c>
      <c r="O20" s="8">
        <v>104911</v>
      </c>
      <c r="P20" s="8">
        <v>5780.7</v>
      </c>
      <c r="Q20" s="8">
        <v>7628.3</v>
      </c>
      <c r="R20" s="8">
        <v>4640.2</v>
      </c>
      <c r="S20" s="8">
        <v>5354.6</v>
      </c>
      <c r="T20" s="8">
        <v>6756.4</v>
      </c>
      <c r="U20" s="8">
        <v>17754.4</v>
      </c>
      <c r="V20" s="8">
        <v>51453</v>
      </c>
      <c r="W20" s="8">
        <v>53608.6</v>
      </c>
      <c r="X20" s="8">
        <v>3060.2</v>
      </c>
      <c r="Y20" s="8">
        <v>2806.3</v>
      </c>
      <c r="Z20" s="16">
        <f t="shared" si="36"/>
        <v>59475.1</v>
      </c>
      <c r="AA20" s="8">
        <v>67759.1</v>
      </c>
      <c r="AB20" s="14">
        <v>4287</v>
      </c>
      <c r="AC20" s="7">
        <f t="shared" si="37"/>
        <v>72046.1</v>
      </c>
      <c r="AD20" s="17">
        <v>203169</v>
      </c>
      <c r="AE20" s="18">
        <f t="shared" ref="AE20:AI20" si="103">IF(OR(C21=""),"",(C21-C20)*80)</f>
        <v>3840</v>
      </c>
      <c r="AF20" s="18">
        <f t="shared" si="103"/>
        <v>40</v>
      </c>
      <c r="AG20" s="18">
        <f t="shared" si="103"/>
        <v>3080</v>
      </c>
      <c r="AH20" s="18">
        <f t="shared" si="103"/>
        <v>4.00000000001455</v>
      </c>
      <c r="AI20" s="18">
        <f t="shared" si="103"/>
        <v>2272.0000000007</v>
      </c>
      <c r="AJ20" s="18">
        <f t="shared" si="3"/>
        <v>9236.00000000071</v>
      </c>
      <c r="AK20" s="18">
        <f t="shared" ref="AK20:AN20" si="104">IF(OR(H21=""),"",(H21-H20)*80)</f>
        <v>0</v>
      </c>
      <c r="AL20" s="18">
        <f t="shared" si="104"/>
        <v>0</v>
      </c>
      <c r="AM20" s="18">
        <f t="shared" si="104"/>
        <v>0</v>
      </c>
      <c r="AN20" s="18">
        <f t="shared" si="104"/>
        <v>0</v>
      </c>
      <c r="AO20" s="18">
        <f t="shared" si="5"/>
        <v>0</v>
      </c>
      <c r="AP20" s="18">
        <f t="shared" ref="AP20:AS20" si="105">IF(OR(L21=""),"",(L21-L20)*100)</f>
        <v>2950</v>
      </c>
      <c r="AQ20" s="18">
        <f t="shared" si="105"/>
        <v>0</v>
      </c>
      <c r="AR20" s="18">
        <f t="shared" si="105"/>
        <v>2780.00000000029</v>
      </c>
      <c r="AS20" s="18">
        <f t="shared" si="105"/>
        <v>2480.00000000029</v>
      </c>
      <c r="AT20" s="18">
        <f t="shared" si="7"/>
        <v>8210.00000000058</v>
      </c>
      <c r="AU20" s="18">
        <f t="shared" ref="AU20:AY20" si="106">IF(OR(P21=""),"",(P21-P20)*1000)</f>
        <v>3600.00000000036</v>
      </c>
      <c r="AV20" s="18">
        <f t="shared" si="106"/>
        <v>7399.99999999964</v>
      </c>
      <c r="AW20" s="18">
        <f t="shared" si="106"/>
        <v>0</v>
      </c>
      <c r="AX20" s="18">
        <f t="shared" si="106"/>
        <v>0</v>
      </c>
      <c r="AY20" s="18">
        <f t="shared" si="106"/>
        <v>0</v>
      </c>
      <c r="AZ20" s="18">
        <f t="shared" si="9"/>
        <v>11000</v>
      </c>
      <c r="BA20" s="18">
        <f t="shared" si="10"/>
        <v>9399.99999999418</v>
      </c>
      <c r="BB20" s="18">
        <f t="shared" si="11"/>
        <v>1015.99999999977</v>
      </c>
      <c r="BC20" s="18">
        <f t="shared" si="27"/>
        <v>1383.99999999994</v>
      </c>
      <c r="BD20" s="18">
        <f t="shared" si="12"/>
        <v>8054.00000002228</v>
      </c>
      <c r="BE20" s="18">
        <f t="shared" si="13"/>
        <v>48300.0000000175</v>
      </c>
      <c r="BF20" s="18">
        <f t="shared" si="14"/>
        <v>62.5999999999913</v>
      </c>
      <c r="BG20" s="21">
        <f t="shared" si="15"/>
        <v>0.237733118733751</v>
      </c>
      <c r="BH20" s="21">
        <f t="shared" si="16"/>
        <v>0.0454596911930497</v>
      </c>
      <c r="BI20" s="21">
        <f t="shared" si="17"/>
        <v>0</v>
      </c>
      <c r="BJ20" s="21">
        <f t="shared" si="18"/>
        <v>0.0404097081739861</v>
      </c>
      <c r="BK20" s="21">
        <f t="shared" ref="BK20:BO20" si="107">IF(OR($AD20=0),"",AZ20/$AD20)</f>
        <v>0.0541421181381018</v>
      </c>
      <c r="BL20" s="21">
        <f t="shared" si="107"/>
        <v>0.0462669009543492</v>
      </c>
      <c r="BM20" s="21">
        <f t="shared" si="107"/>
        <v>0.00500076291166353</v>
      </c>
      <c r="BN20" s="21">
        <f t="shared" si="107"/>
        <v>0.00681206286392088</v>
      </c>
      <c r="BO20" s="21">
        <f t="shared" si="107"/>
        <v>0.0396418744986798</v>
      </c>
    </row>
    <row r="21" spans="1:67">
      <c r="A21" s="9">
        <f t="shared" si="20"/>
        <v>44487</v>
      </c>
      <c r="B21" s="10">
        <v>17059.88</v>
      </c>
      <c r="C21" s="8">
        <v>94118</v>
      </c>
      <c r="D21" s="8">
        <v>60694.5</v>
      </c>
      <c r="E21" s="8">
        <v>59153.6</v>
      </c>
      <c r="F21" s="8">
        <v>5925.91</v>
      </c>
      <c r="G21" s="8">
        <v>115003.1</v>
      </c>
      <c r="H21" s="8">
        <v>5596.3</v>
      </c>
      <c r="I21" s="8">
        <v>2566.3</v>
      </c>
      <c r="J21" s="8">
        <v>967</v>
      </c>
      <c r="K21" s="8">
        <v>56</v>
      </c>
      <c r="L21" s="8">
        <v>93578.1</v>
      </c>
      <c r="M21" s="8">
        <v>61529.1</v>
      </c>
      <c r="N21" s="8">
        <v>74774.8</v>
      </c>
      <c r="O21" s="8">
        <v>104935.8</v>
      </c>
      <c r="P21" s="8">
        <v>5784.3</v>
      </c>
      <c r="Q21" s="8">
        <v>7635.7</v>
      </c>
      <c r="R21" s="8">
        <v>4640.2</v>
      </c>
      <c r="S21" s="8">
        <v>5354.6</v>
      </c>
      <c r="T21" s="8">
        <v>6756.4</v>
      </c>
      <c r="U21" s="8">
        <v>17759.1</v>
      </c>
      <c r="V21" s="8">
        <v>51465.7</v>
      </c>
      <c r="W21" s="8">
        <v>53626</v>
      </c>
      <c r="X21" s="8">
        <v>3068.5</v>
      </c>
      <c r="Y21" s="8">
        <v>2815.2</v>
      </c>
      <c r="Z21" s="16">
        <f t="shared" si="36"/>
        <v>59509.7</v>
      </c>
      <c r="AA21" s="8">
        <v>67814.7</v>
      </c>
      <c r="AB21" s="14">
        <v>4294</v>
      </c>
      <c r="AC21" s="7">
        <f t="shared" si="37"/>
        <v>72108.7</v>
      </c>
      <c r="AD21" s="17">
        <v>203923</v>
      </c>
      <c r="AE21" s="18">
        <f t="shared" ref="AE21:AI21" si="108">IF(OR(C22=""),"",(C22-C21)*80)</f>
        <v>3720</v>
      </c>
      <c r="AF21" s="18">
        <f t="shared" si="108"/>
        <v>2864.00000000023</v>
      </c>
      <c r="AG21" s="18">
        <f t="shared" si="108"/>
        <v>1887.99999999988</v>
      </c>
      <c r="AH21" s="18">
        <f t="shared" si="108"/>
        <v>4.80000000003201</v>
      </c>
      <c r="AI21" s="18">
        <f t="shared" si="108"/>
        <v>2455.99999999977</v>
      </c>
      <c r="AJ21" s="18">
        <f t="shared" si="3"/>
        <v>10932.7999999999</v>
      </c>
      <c r="AK21" s="18">
        <f t="shared" ref="AK21:AN21" si="109">IF(OR(H22=""),"",(H22-H21)*80)</f>
        <v>0</v>
      </c>
      <c r="AL21" s="18">
        <f t="shared" si="109"/>
        <v>0</v>
      </c>
      <c r="AM21" s="18">
        <f t="shared" si="109"/>
        <v>0</v>
      </c>
      <c r="AN21" s="18">
        <f t="shared" si="109"/>
        <v>0</v>
      </c>
      <c r="AO21" s="18">
        <f t="shared" si="5"/>
        <v>0</v>
      </c>
      <c r="AP21" s="18">
        <f t="shared" ref="AP21:AS21" si="110">IF(OR(L22=""),"",(L22-L21)*100)</f>
        <v>2809.99999999913</v>
      </c>
      <c r="AQ21" s="18">
        <f t="shared" si="110"/>
        <v>0</v>
      </c>
      <c r="AR21" s="18">
        <f t="shared" si="110"/>
        <v>2700</v>
      </c>
      <c r="AS21" s="18">
        <f t="shared" si="110"/>
        <v>2450</v>
      </c>
      <c r="AT21" s="18">
        <f t="shared" si="7"/>
        <v>7959.99999999913</v>
      </c>
      <c r="AU21" s="18">
        <f t="shared" ref="AU21:AY21" si="111">IF(OR(P22=""),"",(P22-P21)*1000)</f>
        <v>3399.99999999964</v>
      </c>
      <c r="AV21" s="18">
        <f t="shared" si="111"/>
        <v>1900.00000000055</v>
      </c>
      <c r="AW21" s="18">
        <f t="shared" si="111"/>
        <v>3300.00000000018</v>
      </c>
      <c r="AX21" s="18">
        <f t="shared" si="111"/>
        <v>0</v>
      </c>
      <c r="AY21" s="18">
        <f t="shared" si="111"/>
        <v>0</v>
      </c>
      <c r="AZ21" s="18">
        <f t="shared" si="9"/>
        <v>8600.00000000036</v>
      </c>
      <c r="BA21" s="18">
        <f t="shared" si="10"/>
        <v>8800.00000000291</v>
      </c>
      <c r="BB21" s="18">
        <f t="shared" si="11"/>
        <v>1072.00000000012</v>
      </c>
      <c r="BC21" s="18">
        <f t="shared" si="27"/>
        <v>1332.00000000012</v>
      </c>
      <c r="BD21" s="18">
        <f t="shared" si="12"/>
        <v>13703.1999999771</v>
      </c>
      <c r="BE21" s="18">
        <f t="shared" si="13"/>
        <v>52399.9999999796</v>
      </c>
      <c r="BF21" s="18">
        <f t="shared" si="14"/>
        <v>57</v>
      </c>
      <c r="BG21" s="21">
        <f t="shared" si="15"/>
        <v>0.256959734801762</v>
      </c>
      <c r="BH21" s="21">
        <f t="shared" si="16"/>
        <v>0.0536123929130109</v>
      </c>
      <c r="BI21" s="21">
        <f t="shared" si="17"/>
        <v>0</v>
      </c>
      <c r="BJ21" s="21">
        <f t="shared" si="18"/>
        <v>0.0390343413935609</v>
      </c>
      <c r="BK21" s="21">
        <f t="shared" ref="BK21:BO21" si="112">IF(OR($AD21=0),"",AZ21/$AD21)</f>
        <v>0.0421727809025974</v>
      </c>
      <c r="BL21" s="21">
        <f t="shared" si="112"/>
        <v>0.0431535432491819</v>
      </c>
      <c r="BM21" s="21">
        <f t="shared" si="112"/>
        <v>0.00525688617762644</v>
      </c>
      <c r="BN21" s="21">
        <f t="shared" si="112"/>
        <v>0.00653187722817003</v>
      </c>
      <c r="BO21" s="21">
        <f t="shared" si="112"/>
        <v>0.0671979129376141</v>
      </c>
    </row>
    <row r="22" spans="1:67">
      <c r="A22" s="9">
        <f t="shared" si="20"/>
        <v>44488</v>
      </c>
      <c r="B22" s="10">
        <v>17065.12</v>
      </c>
      <c r="C22" s="8">
        <v>94164.5</v>
      </c>
      <c r="D22" s="8">
        <v>60730.3</v>
      </c>
      <c r="E22" s="8">
        <v>59177.2</v>
      </c>
      <c r="F22" s="8">
        <v>5925.97</v>
      </c>
      <c r="G22" s="8">
        <v>115033.8</v>
      </c>
      <c r="H22" s="8">
        <v>5596.3</v>
      </c>
      <c r="I22" s="8">
        <v>2566.3</v>
      </c>
      <c r="J22" s="8">
        <v>967</v>
      </c>
      <c r="K22" s="8">
        <v>56</v>
      </c>
      <c r="L22" s="8">
        <v>93606.2</v>
      </c>
      <c r="M22" s="8">
        <v>61529.1</v>
      </c>
      <c r="N22" s="8">
        <v>74801.8</v>
      </c>
      <c r="O22" s="8">
        <v>104960.3</v>
      </c>
      <c r="P22" s="8">
        <v>5787.7</v>
      </c>
      <c r="Q22" s="8">
        <v>7637.6</v>
      </c>
      <c r="R22" s="8">
        <v>4643.5</v>
      </c>
      <c r="S22" s="8">
        <v>5354.6</v>
      </c>
      <c r="T22" s="8">
        <v>6756.4</v>
      </c>
      <c r="U22" s="8">
        <v>17763.5</v>
      </c>
      <c r="V22" s="8">
        <v>51479.1</v>
      </c>
      <c r="W22" s="8">
        <v>53643.1</v>
      </c>
      <c r="X22" s="8">
        <v>3076.5</v>
      </c>
      <c r="Y22" s="8">
        <v>2823.4</v>
      </c>
      <c r="Z22" s="16">
        <f t="shared" si="36"/>
        <v>59543</v>
      </c>
      <c r="AA22" s="8">
        <v>67865.7</v>
      </c>
      <c r="AB22" s="14">
        <v>4300</v>
      </c>
      <c r="AC22" s="7">
        <f t="shared" si="37"/>
        <v>72165.7</v>
      </c>
      <c r="AD22" s="17">
        <v>208621</v>
      </c>
      <c r="AE22" s="18">
        <f t="shared" ref="AE22:AI22" si="113">IF(OR(C23=""),"",(C23-C22)*80)</f>
        <v>3664.00000000023</v>
      </c>
      <c r="AF22" s="18">
        <f t="shared" si="113"/>
        <v>2720</v>
      </c>
      <c r="AG22" s="18">
        <f t="shared" si="113"/>
        <v>2208.00000000047</v>
      </c>
      <c r="AH22" s="18">
        <f t="shared" si="113"/>
        <v>4.00000000001455</v>
      </c>
      <c r="AI22" s="18">
        <f t="shared" si="113"/>
        <v>2671.99999999953</v>
      </c>
      <c r="AJ22" s="18">
        <f t="shared" si="3"/>
        <v>11268.0000000002</v>
      </c>
      <c r="AK22" s="18">
        <f t="shared" ref="AK22:AN22" si="114">IF(OR(H23=""),"",(H23-H22)*80)</f>
        <v>0</v>
      </c>
      <c r="AL22" s="18">
        <f t="shared" si="114"/>
        <v>0</v>
      </c>
      <c r="AM22" s="18">
        <f t="shared" si="114"/>
        <v>0</v>
      </c>
      <c r="AN22" s="18">
        <f t="shared" si="114"/>
        <v>0</v>
      </c>
      <c r="AO22" s="18">
        <f t="shared" si="5"/>
        <v>0</v>
      </c>
      <c r="AP22" s="18">
        <f t="shared" ref="AP22:AS22" si="115">IF(OR(L23=""),"",(L23-L22)*100)</f>
        <v>3080.00000000029</v>
      </c>
      <c r="AQ22" s="18">
        <f t="shared" si="115"/>
        <v>0</v>
      </c>
      <c r="AR22" s="18">
        <f t="shared" si="115"/>
        <v>2730.00000000029</v>
      </c>
      <c r="AS22" s="18">
        <f t="shared" si="115"/>
        <v>2419.99999999971</v>
      </c>
      <c r="AT22" s="18">
        <f t="shared" si="7"/>
        <v>8230.00000000029</v>
      </c>
      <c r="AU22" s="18">
        <f t="shared" ref="AU22:AY22" si="116">IF(OR(P23=""),"",(P23-P22)*1000)</f>
        <v>3500</v>
      </c>
      <c r="AV22" s="18">
        <f t="shared" si="116"/>
        <v>0</v>
      </c>
      <c r="AW22" s="18">
        <f t="shared" si="116"/>
        <v>4100.00000000036</v>
      </c>
      <c r="AX22" s="18">
        <f t="shared" si="116"/>
        <v>0</v>
      </c>
      <c r="AY22" s="18">
        <f t="shared" si="116"/>
        <v>0</v>
      </c>
      <c r="AZ22" s="18">
        <f t="shared" si="9"/>
        <v>7600.00000000036</v>
      </c>
      <c r="BA22" s="18">
        <f t="shared" si="10"/>
        <v>9599.99999999854</v>
      </c>
      <c r="BB22" s="18">
        <f t="shared" si="11"/>
        <v>1072.00000000012</v>
      </c>
      <c r="BC22" s="18">
        <f t="shared" si="27"/>
        <v>1316.00000000006</v>
      </c>
      <c r="BD22" s="18">
        <f t="shared" si="12"/>
        <v>14914.0000000149</v>
      </c>
      <c r="BE22" s="18">
        <f t="shared" si="13"/>
        <v>54000.0000000146</v>
      </c>
      <c r="BF22" s="18">
        <f t="shared" si="14"/>
        <v>61.1999999999971</v>
      </c>
      <c r="BG22" s="21">
        <f t="shared" si="15"/>
        <v>0.258842590151589</v>
      </c>
      <c r="BH22" s="21">
        <f t="shared" si="16"/>
        <v>0.0540118204782848</v>
      </c>
      <c r="BI22" s="21">
        <f t="shared" si="17"/>
        <v>0</v>
      </c>
      <c r="BJ22" s="21">
        <f t="shared" si="18"/>
        <v>0.0394495280916125</v>
      </c>
      <c r="BK22" s="21">
        <f t="shared" ref="BK22:BO22" si="117">IF(OR($AD22=0),"",AZ22/$AD22)</f>
        <v>0.0364296978731785</v>
      </c>
      <c r="BL22" s="21">
        <f t="shared" si="117"/>
        <v>0.0460164604713741</v>
      </c>
      <c r="BM22" s="21">
        <f t="shared" si="117"/>
        <v>0.00513850475263812</v>
      </c>
      <c r="BN22" s="21">
        <f t="shared" si="117"/>
        <v>0.00630808978961877</v>
      </c>
      <c r="BO22" s="21">
        <f t="shared" si="117"/>
        <v>0.0714884886948818</v>
      </c>
    </row>
    <row r="23" spans="1:67">
      <c r="A23" s="9">
        <f t="shared" si="20"/>
        <v>44489</v>
      </c>
      <c r="B23" s="10">
        <v>17070.52</v>
      </c>
      <c r="C23" s="8">
        <v>94210.3</v>
      </c>
      <c r="D23" s="8">
        <v>60764.3</v>
      </c>
      <c r="E23" s="8">
        <v>59204.8</v>
      </c>
      <c r="F23" s="8">
        <v>5926.02</v>
      </c>
      <c r="G23" s="8">
        <v>115067.2</v>
      </c>
      <c r="H23" s="8">
        <v>5596.3</v>
      </c>
      <c r="I23" s="8">
        <v>2566.3</v>
      </c>
      <c r="J23" s="8">
        <v>967</v>
      </c>
      <c r="K23" s="8">
        <v>56</v>
      </c>
      <c r="L23" s="8">
        <v>93637</v>
      </c>
      <c r="M23" s="8">
        <v>61529.1</v>
      </c>
      <c r="N23" s="8">
        <v>74829.1</v>
      </c>
      <c r="O23" s="8">
        <v>104984.5</v>
      </c>
      <c r="P23" s="8">
        <v>5791.2</v>
      </c>
      <c r="Q23" s="8">
        <v>7637.6</v>
      </c>
      <c r="R23" s="8">
        <v>4647.6</v>
      </c>
      <c r="S23" s="8">
        <v>5354.6</v>
      </c>
      <c r="T23" s="8">
        <v>6756.4</v>
      </c>
      <c r="U23" s="8">
        <v>17768.3</v>
      </c>
      <c r="V23" s="8">
        <v>51492.5</v>
      </c>
      <c r="W23" s="8">
        <v>53659.9</v>
      </c>
      <c r="X23" s="8">
        <v>3084.5</v>
      </c>
      <c r="Y23" s="8">
        <v>2831.5</v>
      </c>
      <c r="Z23" s="16">
        <f t="shared" si="36"/>
        <v>59575.9</v>
      </c>
      <c r="AA23" s="8">
        <v>67918.9</v>
      </c>
      <c r="AB23" s="14">
        <v>4308</v>
      </c>
      <c r="AC23" s="7">
        <f t="shared" si="37"/>
        <v>72226.9</v>
      </c>
      <c r="AD23" s="17">
        <v>213491</v>
      </c>
      <c r="AE23" s="18">
        <f t="shared" ref="AE23:AI23" si="118">IF(OR(C24=""),"",(C24-C23)*80)</f>
        <v>3720</v>
      </c>
      <c r="AF23" s="18">
        <f t="shared" si="118"/>
        <v>2783.99999999965</v>
      </c>
      <c r="AG23" s="18">
        <f t="shared" si="118"/>
        <v>2095.99999999977</v>
      </c>
      <c r="AH23" s="18">
        <f t="shared" si="118"/>
        <v>148.799999999974</v>
      </c>
      <c r="AI23" s="18">
        <f t="shared" si="118"/>
        <v>2455.99999999977</v>
      </c>
      <c r="AJ23" s="18">
        <f t="shared" si="3"/>
        <v>11204.7999999992</v>
      </c>
      <c r="AK23" s="18">
        <f t="shared" ref="AK23:AN23" si="119">IF(OR(H24=""),"",(H24-H23)*80)</f>
        <v>0</v>
      </c>
      <c r="AL23" s="18">
        <f t="shared" si="119"/>
        <v>0</v>
      </c>
      <c r="AM23" s="18">
        <f t="shared" si="119"/>
        <v>0</v>
      </c>
      <c r="AN23" s="18">
        <f t="shared" si="119"/>
        <v>0</v>
      </c>
      <c r="AO23" s="18">
        <f t="shared" si="5"/>
        <v>0</v>
      </c>
      <c r="AP23" s="18">
        <f t="shared" ref="AP23:AS23" si="120">IF(OR(L24=""),"",(L24-L23)*100)</f>
        <v>3039.99999999942</v>
      </c>
      <c r="AQ23" s="18">
        <f t="shared" si="120"/>
        <v>0</v>
      </c>
      <c r="AR23" s="18">
        <f t="shared" si="120"/>
        <v>2769.99999999971</v>
      </c>
      <c r="AS23" s="18">
        <f t="shared" si="120"/>
        <v>2430.00000000029</v>
      </c>
      <c r="AT23" s="18">
        <f t="shared" si="7"/>
        <v>8239.99999999942</v>
      </c>
      <c r="AU23" s="18">
        <f t="shared" ref="AU23:AY23" si="121">IF(OR(P24=""),"",(P24-P23)*1000)</f>
        <v>3500</v>
      </c>
      <c r="AV23" s="18">
        <f t="shared" si="121"/>
        <v>2599.99999999945</v>
      </c>
      <c r="AW23" s="18">
        <f t="shared" si="121"/>
        <v>2799.99999999927</v>
      </c>
      <c r="AX23" s="18">
        <f t="shared" si="121"/>
        <v>0</v>
      </c>
      <c r="AY23" s="18">
        <f t="shared" si="121"/>
        <v>0</v>
      </c>
      <c r="AZ23" s="18">
        <f t="shared" si="9"/>
        <v>8899.99999999873</v>
      </c>
      <c r="BA23" s="18">
        <f t="shared" si="10"/>
        <v>9200.00000000437</v>
      </c>
      <c r="BB23" s="18">
        <f t="shared" si="11"/>
        <v>1087.99999999988</v>
      </c>
      <c r="BC23" s="18">
        <f t="shared" si="27"/>
        <v>1331.99999999983</v>
      </c>
      <c r="BD23" s="18">
        <f t="shared" si="12"/>
        <v>13535.1999999841</v>
      </c>
      <c r="BE23" s="18">
        <f t="shared" si="13"/>
        <v>53499.9999999854</v>
      </c>
      <c r="BF23" s="18">
        <f t="shared" si="14"/>
        <v>59.4000000000087</v>
      </c>
      <c r="BG23" s="21">
        <f t="shared" si="15"/>
        <v>0.250596043861266</v>
      </c>
      <c r="BH23" s="21">
        <f t="shared" si="16"/>
        <v>0.0524837112571451</v>
      </c>
      <c r="BI23" s="21">
        <f t="shared" si="17"/>
        <v>0</v>
      </c>
      <c r="BJ23" s="21">
        <f t="shared" si="18"/>
        <v>0.0385964747928457</v>
      </c>
      <c r="BK23" s="21">
        <f t="shared" ref="BK23:BO23" si="122">IF(OR($AD23=0),"",AZ23/$AD23)</f>
        <v>0.0416879400068327</v>
      </c>
      <c r="BL23" s="21">
        <f t="shared" si="122"/>
        <v>0.0430931514677638</v>
      </c>
      <c r="BM23" s="21">
        <f t="shared" si="122"/>
        <v>0.00509623356488041</v>
      </c>
      <c r="BN23" s="21">
        <f t="shared" si="122"/>
        <v>0.00623913888641594</v>
      </c>
      <c r="BO23" s="21">
        <f t="shared" si="122"/>
        <v>0.0633993938853819</v>
      </c>
    </row>
    <row r="24" spans="1:67">
      <c r="A24" s="9">
        <f t="shared" si="20"/>
        <v>44490</v>
      </c>
      <c r="B24" s="10">
        <v>17075.87</v>
      </c>
      <c r="C24" s="8">
        <v>94256.8</v>
      </c>
      <c r="D24" s="8">
        <v>60799.1</v>
      </c>
      <c r="E24" s="8">
        <v>59231</v>
      </c>
      <c r="F24" s="8">
        <v>5927.88</v>
      </c>
      <c r="G24" s="8">
        <v>115097.9</v>
      </c>
      <c r="H24" s="8">
        <v>5596.3</v>
      </c>
      <c r="I24" s="8">
        <v>2566.3</v>
      </c>
      <c r="J24" s="8">
        <v>967</v>
      </c>
      <c r="K24" s="8">
        <v>56</v>
      </c>
      <c r="L24" s="8">
        <v>93667.4</v>
      </c>
      <c r="M24" s="8">
        <v>61529.1</v>
      </c>
      <c r="N24" s="8">
        <v>74856.8</v>
      </c>
      <c r="O24" s="8">
        <v>105008.8</v>
      </c>
      <c r="P24" s="8">
        <v>5794.7</v>
      </c>
      <c r="Q24" s="8">
        <v>7640.2</v>
      </c>
      <c r="R24" s="8">
        <v>4650.4</v>
      </c>
      <c r="S24" s="8">
        <v>5354.6</v>
      </c>
      <c r="T24" s="8">
        <v>6756.4</v>
      </c>
      <c r="U24" s="8">
        <v>17772.9</v>
      </c>
      <c r="V24" s="8">
        <v>51506.1</v>
      </c>
      <c r="W24" s="8">
        <v>53677.1</v>
      </c>
      <c r="X24" s="8">
        <v>3092.5</v>
      </c>
      <c r="Y24" s="8">
        <v>2839.6</v>
      </c>
      <c r="Z24" s="16">
        <f t="shared" si="36"/>
        <v>59609.2</v>
      </c>
      <c r="AA24" s="8">
        <v>67972.3</v>
      </c>
      <c r="AB24" s="14">
        <v>4314</v>
      </c>
      <c r="AC24" s="7">
        <f t="shared" si="37"/>
        <v>72286.3</v>
      </c>
      <c r="AD24" s="17">
        <v>213075</v>
      </c>
      <c r="AE24" s="18">
        <f t="shared" ref="AE24:AI24" si="123">IF(OR(C25=""),"",(C25-C24)*80)</f>
        <v>944.000000000233</v>
      </c>
      <c r="AF24" s="18">
        <f t="shared" si="123"/>
        <v>744.000000000233</v>
      </c>
      <c r="AG24" s="18">
        <f t="shared" si="123"/>
        <v>1935.99999999977</v>
      </c>
      <c r="AH24" s="18">
        <f t="shared" si="123"/>
        <v>1595.19999999997</v>
      </c>
      <c r="AI24" s="18">
        <f t="shared" si="123"/>
        <v>2264.00000000023</v>
      </c>
      <c r="AJ24" s="18">
        <f t="shared" si="3"/>
        <v>7483.20000000043</v>
      </c>
      <c r="AK24" s="18">
        <f t="shared" ref="AK24:AN24" si="124">IF(OR(H25=""),"",(H25-H24)*80)</f>
        <v>0</v>
      </c>
      <c r="AL24" s="18">
        <f t="shared" si="124"/>
        <v>0</v>
      </c>
      <c r="AM24" s="18">
        <f t="shared" si="124"/>
        <v>0</v>
      </c>
      <c r="AN24" s="18">
        <f t="shared" si="124"/>
        <v>0</v>
      </c>
      <c r="AO24" s="18">
        <f t="shared" si="5"/>
        <v>0</v>
      </c>
      <c r="AP24" s="18">
        <f t="shared" ref="AP24:AS24" si="125">IF(OR(L25=""),"",(L25-L24)*100)</f>
        <v>3440.00000000087</v>
      </c>
      <c r="AQ24" s="18">
        <f t="shared" si="125"/>
        <v>0</v>
      </c>
      <c r="AR24" s="18">
        <f t="shared" si="125"/>
        <v>2839.99999999942</v>
      </c>
      <c r="AS24" s="18">
        <f t="shared" si="125"/>
        <v>2459.99999999913</v>
      </c>
      <c r="AT24" s="18">
        <f t="shared" si="7"/>
        <v>8739.99999999942</v>
      </c>
      <c r="AU24" s="18">
        <f t="shared" ref="AU24:AY24" si="126">IF(OR(P25=""),"",(P25-P24)*1000)</f>
        <v>3500</v>
      </c>
      <c r="AV24" s="18">
        <f t="shared" si="126"/>
        <v>7699.99999999982</v>
      </c>
      <c r="AW24" s="18">
        <f t="shared" si="126"/>
        <v>0</v>
      </c>
      <c r="AX24" s="18">
        <f t="shared" si="126"/>
        <v>0</v>
      </c>
      <c r="AY24" s="18">
        <f t="shared" si="126"/>
        <v>0</v>
      </c>
      <c r="AZ24" s="18">
        <f t="shared" si="9"/>
        <v>11199.9999999998</v>
      </c>
      <c r="BA24" s="18">
        <f t="shared" si="10"/>
        <v>9199.99999999709</v>
      </c>
      <c r="BB24" s="18">
        <f t="shared" si="11"/>
        <v>1096.00000000035</v>
      </c>
      <c r="BC24" s="18">
        <f t="shared" si="27"/>
        <v>1096.00000000006</v>
      </c>
      <c r="BD24" s="18">
        <f t="shared" si="12"/>
        <v>9784.80000000865</v>
      </c>
      <c r="BE24" s="18">
        <f t="shared" si="13"/>
        <v>48600.0000000058</v>
      </c>
      <c r="BF24" s="18">
        <f t="shared" si="14"/>
        <v>56</v>
      </c>
      <c r="BG24" s="21">
        <f t="shared" si="15"/>
        <v>0.22808870116159</v>
      </c>
      <c r="BH24" s="21">
        <f t="shared" si="16"/>
        <v>0.0351200281591009</v>
      </c>
      <c r="BI24" s="21">
        <f t="shared" si="17"/>
        <v>0</v>
      </c>
      <c r="BJ24" s="21">
        <f t="shared" si="18"/>
        <v>0.0410184207438668</v>
      </c>
      <c r="BK24" s="21">
        <f t="shared" ref="BK24:BO24" si="127">IF(OR($AD24=0),"",AZ24/$AD24)</f>
        <v>0.052563651296491</v>
      </c>
      <c r="BL24" s="21">
        <f t="shared" si="127"/>
        <v>0.0431772849935332</v>
      </c>
      <c r="BM24" s="21">
        <f t="shared" si="127"/>
        <v>0.00514372873401548</v>
      </c>
      <c r="BN24" s="21">
        <f t="shared" si="127"/>
        <v>0.00514372873401412</v>
      </c>
      <c r="BO24" s="21">
        <f t="shared" si="127"/>
        <v>0.0459218585005686</v>
      </c>
    </row>
    <row r="25" spans="1:67">
      <c r="A25" s="9">
        <f t="shared" si="20"/>
        <v>44491</v>
      </c>
      <c r="B25" s="10">
        <v>17080.73</v>
      </c>
      <c r="C25" s="8">
        <v>94268.6</v>
      </c>
      <c r="D25" s="8">
        <v>60808.4</v>
      </c>
      <c r="E25" s="8">
        <v>59255.2</v>
      </c>
      <c r="F25" s="8">
        <v>5947.82</v>
      </c>
      <c r="G25" s="8">
        <v>115126.2</v>
      </c>
      <c r="H25" s="8">
        <v>5596.3</v>
      </c>
      <c r="I25" s="8">
        <v>2566.3</v>
      </c>
      <c r="J25" s="8">
        <v>967</v>
      </c>
      <c r="K25" s="8">
        <v>56</v>
      </c>
      <c r="L25" s="8">
        <v>93701.8</v>
      </c>
      <c r="M25" s="8">
        <v>61529.1</v>
      </c>
      <c r="N25" s="8">
        <v>74885.2</v>
      </c>
      <c r="O25" s="8">
        <v>105033.4</v>
      </c>
      <c r="P25" s="8">
        <v>5798.2</v>
      </c>
      <c r="Q25" s="8">
        <v>7647.9</v>
      </c>
      <c r="R25" s="8">
        <v>4650.4</v>
      </c>
      <c r="S25" s="8">
        <v>5354.6</v>
      </c>
      <c r="T25" s="8">
        <v>6756.4</v>
      </c>
      <c r="U25" s="8">
        <v>17777.5</v>
      </c>
      <c r="V25" s="8">
        <v>51519.8</v>
      </c>
      <c r="W25" s="8">
        <v>53694.1</v>
      </c>
      <c r="X25" s="8">
        <v>3098.2</v>
      </c>
      <c r="Y25" s="8">
        <v>2844.3</v>
      </c>
      <c r="Z25" s="16">
        <f t="shared" si="36"/>
        <v>59636.6</v>
      </c>
      <c r="AA25" s="8">
        <v>68025.3</v>
      </c>
      <c r="AB25" s="14">
        <v>4317</v>
      </c>
      <c r="AC25" s="7">
        <f t="shared" si="37"/>
        <v>72342.3</v>
      </c>
      <c r="AD25" s="17">
        <v>209802</v>
      </c>
      <c r="AE25" s="18">
        <f t="shared" ref="AE25:AI25" si="128">IF(OR(C26=""),"",(C26-C25)*80)</f>
        <v>0</v>
      </c>
      <c r="AF25" s="18">
        <f t="shared" si="128"/>
        <v>63.9999999996508</v>
      </c>
      <c r="AG25" s="18">
        <f t="shared" si="128"/>
        <v>2184.00000000023</v>
      </c>
      <c r="AH25" s="18">
        <f t="shared" si="128"/>
        <v>2243.2</v>
      </c>
      <c r="AI25" s="18">
        <f t="shared" si="128"/>
        <v>2672.0000000007</v>
      </c>
      <c r="AJ25" s="18">
        <f t="shared" si="3"/>
        <v>7163.20000000058</v>
      </c>
      <c r="AK25" s="18">
        <f t="shared" ref="AK25:AN25" si="129">IF(OR(H26=""),"",(H26-H25)*80)</f>
        <v>0</v>
      </c>
      <c r="AL25" s="18">
        <f t="shared" si="129"/>
        <v>0</v>
      </c>
      <c r="AM25" s="18">
        <f t="shared" si="129"/>
        <v>0</v>
      </c>
      <c r="AN25" s="18">
        <f t="shared" si="129"/>
        <v>0</v>
      </c>
      <c r="AO25" s="18">
        <f t="shared" si="5"/>
        <v>0</v>
      </c>
      <c r="AP25" s="18">
        <f t="shared" ref="AP25:AS25" si="130">IF(OR(L26=""),"",(L26-L25)*100)</f>
        <v>3339.99999999942</v>
      </c>
      <c r="AQ25" s="18">
        <f t="shared" si="130"/>
        <v>0</v>
      </c>
      <c r="AR25" s="18">
        <f t="shared" si="130"/>
        <v>2760.00000000058</v>
      </c>
      <c r="AS25" s="18">
        <f t="shared" si="130"/>
        <v>2430.00000000029</v>
      </c>
      <c r="AT25" s="18">
        <f t="shared" si="7"/>
        <v>8530.00000000029</v>
      </c>
      <c r="AU25" s="18">
        <f t="shared" ref="AU25:AY25" si="131">IF(OR(P26=""),"",(P26-P25)*1000)</f>
        <v>3800.00000000018</v>
      </c>
      <c r="AV25" s="18">
        <f t="shared" si="131"/>
        <v>7500</v>
      </c>
      <c r="AW25" s="18">
        <f t="shared" si="131"/>
        <v>200.000000000728</v>
      </c>
      <c r="AX25" s="18">
        <f t="shared" si="131"/>
        <v>0</v>
      </c>
      <c r="AY25" s="18">
        <f t="shared" si="131"/>
        <v>0</v>
      </c>
      <c r="AZ25" s="18">
        <f t="shared" si="9"/>
        <v>11500.0000000009</v>
      </c>
      <c r="BA25" s="18">
        <f t="shared" si="10"/>
        <v>10199.9999999971</v>
      </c>
      <c r="BB25" s="18">
        <f t="shared" si="11"/>
        <v>1055.99999999977</v>
      </c>
      <c r="BC25" s="18">
        <f t="shared" si="27"/>
        <v>1828.00000000017</v>
      </c>
      <c r="BD25" s="18">
        <f t="shared" si="12"/>
        <v>10322.8000000143</v>
      </c>
      <c r="BE25" s="18">
        <f t="shared" si="13"/>
        <v>50600.0000000131</v>
      </c>
      <c r="BF25" s="18">
        <f t="shared" si="14"/>
        <v>70.5</v>
      </c>
      <c r="BG25" s="21">
        <f t="shared" si="15"/>
        <v>0.241179779029814</v>
      </c>
      <c r="BH25" s="21">
        <f t="shared" si="16"/>
        <v>0.0341426678487363</v>
      </c>
      <c r="BI25" s="21">
        <f t="shared" si="17"/>
        <v>0</v>
      </c>
      <c r="BJ25" s="21">
        <f t="shared" si="18"/>
        <v>0.0406573817218153</v>
      </c>
      <c r="BK25" s="21">
        <f t="shared" ref="BK25:BO25" si="132">IF(OR($AD25=0),"",AZ25/$AD25)</f>
        <v>0.0548135861431298</v>
      </c>
      <c r="BL25" s="21">
        <f t="shared" si="132"/>
        <v>0.0486172677095408</v>
      </c>
      <c r="BM25" s="21">
        <f t="shared" si="132"/>
        <v>0.00503331712757632</v>
      </c>
      <c r="BN25" s="21">
        <f t="shared" si="132"/>
        <v>0.00871297699736025</v>
      </c>
      <c r="BO25" s="21">
        <f t="shared" si="132"/>
        <v>0.0492025814816555</v>
      </c>
    </row>
    <row r="26" spans="1:67">
      <c r="A26" s="9">
        <f t="shared" si="20"/>
        <v>44492</v>
      </c>
      <c r="B26" s="10">
        <v>17085.79</v>
      </c>
      <c r="C26" s="8">
        <v>94268.6</v>
      </c>
      <c r="D26" s="8">
        <v>60809.2</v>
      </c>
      <c r="E26" s="8">
        <v>59282.5</v>
      </c>
      <c r="F26" s="8">
        <v>5975.86</v>
      </c>
      <c r="G26" s="8">
        <v>115159.6</v>
      </c>
      <c r="H26" s="8">
        <v>5596.3</v>
      </c>
      <c r="I26" s="8">
        <v>2566.3</v>
      </c>
      <c r="J26" s="8">
        <v>967</v>
      </c>
      <c r="K26" s="8">
        <v>56</v>
      </c>
      <c r="L26" s="8">
        <v>93735.2</v>
      </c>
      <c r="M26" s="8">
        <v>61529.1</v>
      </c>
      <c r="N26" s="8">
        <v>74912.8</v>
      </c>
      <c r="O26" s="8">
        <v>105057.7</v>
      </c>
      <c r="P26" s="8">
        <v>5802</v>
      </c>
      <c r="Q26" s="8">
        <v>7655.4</v>
      </c>
      <c r="R26" s="8">
        <v>4650.6</v>
      </c>
      <c r="S26" s="8">
        <v>5354.6</v>
      </c>
      <c r="T26" s="8">
        <v>6756.4</v>
      </c>
      <c r="U26" s="8">
        <v>17782.6</v>
      </c>
      <c r="V26" s="8">
        <v>51533</v>
      </c>
      <c r="W26" s="8">
        <v>53711.4</v>
      </c>
      <c r="X26" s="8">
        <v>3112.9</v>
      </c>
      <c r="Y26" s="8">
        <v>2858</v>
      </c>
      <c r="Z26" s="16">
        <f t="shared" si="36"/>
        <v>59682.3</v>
      </c>
      <c r="AA26" s="8">
        <v>68075.8</v>
      </c>
      <c r="AB26" s="14">
        <v>4337</v>
      </c>
      <c r="AC26" s="7">
        <f t="shared" si="37"/>
        <v>72412.8</v>
      </c>
      <c r="AD26" s="17">
        <v>214041</v>
      </c>
      <c r="AE26" s="18">
        <f t="shared" ref="AE26:AI26" si="133">IF(OR(C27=""),"",(C27-C26)*80)</f>
        <v>0</v>
      </c>
      <c r="AF26" s="18">
        <f t="shared" si="133"/>
        <v>2720</v>
      </c>
      <c r="AG26" s="18">
        <f t="shared" si="133"/>
        <v>1415.99999999977</v>
      </c>
      <c r="AH26" s="18">
        <f t="shared" si="133"/>
        <v>2336.8</v>
      </c>
      <c r="AI26" s="18">
        <f t="shared" si="133"/>
        <v>1880</v>
      </c>
      <c r="AJ26" s="18">
        <f t="shared" si="3"/>
        <v>8352.79999999977</v>
      </c>
      <c r="AK26" s="18">
        <f t="shared" ref="AK26:AN26" si="134">IF(OR(H27=""),"",(H27-H26)*80)</f>
        <v>0</v>
      </c>
      <c r="AL26" s="18">
        <f t="shared" si="134"/>
        <v>0</v>
      </c>
      <c r="AM26" s="18">
        <f t="shared" si="134"/>
        <v>0</v>
      </c>
      <c r="AN26" s="18">
        <f t="shared" si="134"/>
        <v>0</v>
      </c>
      <c r="AO26" s="18">
        <f t="shared" si="5"/>
        <v>0</v>
      </c>
      <c r="AP26" s="18">
        <f t="shared" ref="AP26:AS26" si="135">IF(OR(L27=""),"",(L27-L26)*100)</f>
        <v>3280.00000000029</v>
      </c>
      <c r="AQ26" s="18">
        <f t="shared" si="135"/>
        <v>0</v>
      </c>
      <c r="AR26" s="18">
        <f t="shared" si="135"/>
        <v>2750</v>
      </c>
      <c r="AS26" s="18">
        <f t="shared" si="135"/>
        <v>2369.99999999971</v>
      </c>
      <c r="AT26" s="18">
        <f t="shared" si="7"/>
        <v>8400</v>
      </c>
      <c r="AU26" s="18">
        <f t="shared" ref="AU26:AY26" si="136">IF(OR(P27=""),"",(P27-P26)*1000)</f>
        <v>3899.99999999964</v>
      </c>
      <c r="AV26" s="18">
        <f t="shared" si="136"/>
        <v>6700.00000000073</v>
      </c>
      <c r="AW26" s="18">
        <f t="shared" si="136"/>
        <v>0</v>
      </c>
      <c r="AX26" s="18">
        <f t="shared" si="136"/>
        <v>399.999999999636</v>
      </c>
      <c r="AY26" s="18">
        <f t="shared" si="136"/>
        <v>0</v>
      </c>
      <c r="AZ26" s="18">
        <f t="shared" si="9"/>
        <v>11000</v>
      </c>
      <c r="BA26" s="18">
        <f t="shared" si="10"/>
        <v>9400.00000000146</v>
      </c>
      <c r="BB26" s="18">
        <f t="shared" si="11"/>
        <v>1055.99999999977</v>
      </c>
      <c r="BC26" s="18">
        <f t="shared" si="27"/>
        <v>1807.99999999988</v>
      </c>
      <c r="BD26" s="18">
        <f t="shared" si="12"/>
        <v>10383.2000000079</v>
      </c>
      <c r="BE26" s="18">
        <f t="shared" si="13"/>
        <v>50400.0000000087</v>
      </c>
      <c r="BF26" s="18">
        <f t="shared" si="14"/>
        <v>69.6999999999971</v>
      </c>
      <c r="BG26" s="21">
        <f t="shared" si="15"/>
        <v>0.23546890549011</v>
      </c>
      <c r="BH26" s="21">
        <f t="shared" si="16"/>
        <v>0.0390242990828849</v>
      </c>
      <c r="BI26" s="21">
        <f t="shared" si="17"/>
        <v>0</v>
      </c>
      <c r="BJ26" s="21">
        <f t="shared" si="18"/>
        <v>0.0392448175816783</v>
      </c>
      <c r="BK26" s="21">
        <f t="shared" ref="BK26:BO26" si="137">IF(OR($AD26=0),"",AZ26/$AD26)</f>
        <v>0.0513920230236263</v>
      </c>
      <c r="BL26" s="21">
        <f t="shared" si="137"/>
        <v>0.043916819674742</v>
      </c>
      <c r="BM26" s="21">
        <f t="shared" si="137"/>
        <v>0.00493363421026704</v>
      </c>
      <c r="BN26" s="21">
        <f t="shared" si="137"/>
        <v>0.0084469797842464</v>
      </c>
      <c r="BO26" s="21">
        <f t="shared" si="137"/>
        <v>0.0485103321326655</v>
      </c>
    </row>
    <row r="27" spans="1:67">
      <c r="A27" s="9">
        <f t="shared" si="20"/>
        <v>44493</v>
      </c>
      <c r="B27" s="10">
        <v>17090.83</v>
      </c>
      <c r="C27" s="8">
        <v>94268.6</v>
      </c>
      <c r="D27" s="8">
        <v>60843.2</v>
      </c>
      <c r="E27" s="8">
        <v>59300.2</v>
      </c>
      <c r="F27" s="8">
        <v>6005.07</v>
      </c>
      <c r="G27" s="8">
        <v>115183.1</v>
      </c>
      <c r="H27" s="8">
        <v>5596.3</v>
      </c>
      <c r="I27" s="8">
        <v>2566.3</v>
      </c>
      <c r="J27" s="8">
        <v>967</v>
      </c>
      <c r="K27" s="8">
        <v>56</v>
      </c>
      <c r="L27" s="8">
        <v>93768</v>
      </c>
      <c r="M27" s="8">
        <v>61529.1</v>
      </c>
      <c r="N27" s="8">
        <v>74940.3</v>
      </c>
      <c r="O27" s="8">
        <v>105081.4</v>
      </c>
      <c r="P27" s="8">
        <v>5805.9</v>
      </c>
      <c r="Q27" s="8">
        <v>7662.1</v>
      </c>
      <c r="R27" s="8">
        <v>4650.6</v>
      </c>
      <c r="S27" s="8">
        <v>5355</v>
      </c>
      <c r="T27" s="8">
        <v>6756.4</v>
      </c>
      <c r="U27" s="8">
        <v>17787.3</v>
      </c>
      <c r="V27" s="8">
        <v>51546.2</v>
      </c>
      <c r="W27" s="8">
        <v>53728.2</v>
      </c>
      <c r="X27" s="8">
        <v>3127.4</v>
      </c>
      <c r="Y27" s="8">
        <v>2871.9</v>
      </c>
      <c r="Z27" s="16">
        <f t="shared" si="36"/>
        <v>59727.5</v>
      </c>
      <c r="AA27" s="8">
        <v>68127.5</v>
      </c>
      <c r="AB27" s="14">
        <v>4355</v>
      </c>
      <c r="AC27" s="7">
        <f t="shared" si="37"/>
        <v>72482.5</v>
      </c>
      <c r="AD27" s="17">
        <v>209127</v>
      </c>
      <c r="AE27" s="18">
        <f t="shared" ref="AE27:AI27" si="138">IF(OR(C28=""),"",(C28-C27)*80)</f>
        <v>3743.99999999907</v>
      </c>
      <c r="AF27" s="18">
        <f t="shared" si="138"/>
        <v>2864.00000000023</v>
      </c>
      <c r="AG27" s="18">
        <f t="shared" si="138"/>
        <v>1120</v>
      </c>
      <c r="AH27" s="18">
        <f t="shared" si="138"/>
        <v>24.0000000000146</v>
      </c>
      <c r="AI27" s="18">
        <f t="shared" si="138"/>
        <v>2207.9999999993</v>
      </c>
      <c r="AJ27" s="18">
        <f t="shared" si="3"/>
        <v>9959.99999999862</v>
      </c>
      <c r="AK27" s="18">
        <f t="shared" ref="AK27:AN27" si="139">IF(OR(H28=""),"",(H28-H27)*80)</f>
        <v>0</v>
      </c>
      <c r="AL27" s="18">
        <f t="shared" si="139"/>
        <v>0</v>
      </c>
      <c r="AM27" s="18">
        <f t="shared" si="139"/>
        <v>0</v>
      </c>
      <c r="AN27" s="18">
        <f t="shared" si="139"/>
        <v>0</v>
      </c>
      <c r="AO27" s="18">
        <f t="shared" si="5"/>
        <v>0</v>
      </c>
      <c r="AP27" s="18">
        <f t="shared" ref="AP27:AS27" si="140">IF(OR(L28=""),"",(L28-L27)*100)</f>
        <v>3269.99999999971</v>
      </c>
      <c r="AQ27" s="18">
        <f t="shared" si="140"/>
        <v>0</v>
      </c>
      <c r="AR27" s="18">
        <f t="shared" si="140"/>
        <v>2900</v>
      </c>
      <c r="AS27" s="18">
        <f t="shared" si="140"/>
        <v>2430.00000000029</v>
      </c>
      <c r="AT27" s="18">
        <f t="shared" si="7"/>
        <v>8600</v>
      </c>
      <c r="AU27" s="18">
        <f t="shared" ref="AU27:AY27" si="141">IF(OR(P28=""),"",(P28-P27)*1000)</f>
        <v>4100.00000000036</v>
      </c>
      <c r="AV27" s="18">
        <f t="shared" si="141"/>
        <v>5699.99999999982</v>
      </c>
      <c r="AW27" s="18">
        <f t="shared" si="141"/>
        <v>1299.99999999927</v>
      </c>
      <c r="AX27" s="18">
        <f t="shared" si="141"/>
        <v>0</v>
      </c>
      <c r="AY27" s="18">
        <f t="shared" si="141"/>
        <v>0</v>
      </c>
      <c r="AZ27" s="18">
        <f t="shared" si="9"/>
        <v>11099.9999999995</v>
      </c>
      <c r="BA27" s="18">
        <f t="shared" si="10"/>
        <v>9200.00000000437</v>
      </c>
      <c r="BB27" s="18">
        <f t="shared" si="11"/>
        <v>1032.00000000012</v>
      </c>
      <c r="BC27" s="18">
        <f t="shared" si="27"/>
        <v>1864.00000000023</v>
      </c>
      <c r="BD27" s="18">
        <f t="shared" si="12"/>
        <v>11243.9999999899</v>
      </c>
      <c r="BE27" s="18">
        <f t="shared" si="13"/>
        <v>52999.9999999927</v>
      </c>
      <c r="BF27" s="18">
        <f t="shared" si="14"/>
        <v>73</v>
      </c>
      <c r="BG27" s="21">
        <f t="shared" si="15"/>
        <v>0.253434515868313</v>
      </c>
      <c r="BH27" s="21">
        <f t="shared" si="16"/>
        <v>0.0476265618499697</v>
      </c>
      <c r="BI27" s="21">
        <f t="shared" si="17"/>
        <v>0</v>
      </c>
      <c r="BJ27" s="21">
        <f t="shared" si="18"/>
        <v>0.0411233365371282</v>
      </c>
      <c r="BK27" s="21">
        <f t="shared" ref="BK27:BO27" si="142">IF(OR($AD27=0),"",AZ27/$AD27)</f>
        <v>0.0530777948328023</v>
      </c>
      <c r="BL27" s="21">
        <f t="shared" si="142"/>
        <v>0.0439924065281115</v>
      </c>
      <c r="BM27" s="21">
        <f t="shared" si="142"/>
        <v>0.00493480038445594</v>
      </c>
      <c r="BN27" s="21">
        <f t="shared" si="142"/>
        <v>0.00891324410525773</v>
      </c>
      <c r="BO27" s="21">
        <f t="shared" si="142"/>
        <v>0.0537663716305878</v>
      </c>
    </row>
    <row r="28" spans="1:67">
      <c r="A28" s="9">
        <f t="shared" si="20"/>
        <v>44494</v>
      </c>
      <c r="B28" s="10">
        <v>17096.13</v>
      </c>
      <c r="C28" s="8">
        <v>94315.4</v>
      </c>
      <c r="D28" s="8">
        <v>60879</v>
      </c>
      <c r="E28" s="8">
        <v>59314.2</v>
      </c>
      <c r="F28" s="8">
        <v>6005.37</v>
      </c>
      <c r="G28" s="8">
        <v>115210.7</v>
      </c>
      <c r="H28" s="8">
        <v>5596.3</v>
      </c>
      <c r="I28" s="8">
        <v>2566.3</v>
      </c>
      <c r="J28" s="8">
        <v>967</v>
      </c>
      <c r="K28" s="8">
        <v>56</v>
      </c>
      <c r="L28" s="8">
        <v>93800.7</v>
      </c>
      <c r="M28" s="8">
        <v>61529.1</v>
      </c>
      <c r="N28" s="8">
        <v>74969.3</v>
      </c>
      <c r="O28" s="8">
        <v>105105.7</v>
      </c>
      <c r="P28" s="8">
        <v>5810</v>
      </c>
      <c r="Q28" s="8">
        <v>7667.8</v>
      </c>
      <c r="R28" s="8">
        <v>4651.9</v>
      </c>
      <c r="S28" s="8">
        <v>5355</v>
      </c>
      <c r="T28" s="8">
        <v>6756.4</v>
      </c>
      <c r="U28" s="8">
        <v>17791.9</v>
      </c>
      <c r="V28" s="8">
        <v>51559.1</v>
      </c>
      <c r="W28" s="8">
        <v>53745.4</v>
      </c>
      <c r="X28" s="8">
        <v>3142.3</v>
      </c>
      <c r="Y28" s="8">
        <v>2886.4</v>
      </c>
      <c r="Z28" s="16">
        <f t="shared" si="36"/>
        <v>59774.1</v>
      </c>
      <c r="AA28" s="8">
        <v>68181.5</v>
      </c>
      <c r="AB28" s="14">
        <v>4374</v>
      </c>
      <c r="AC28" s="7">
        <f t="shared" si="37"/>
        <v>72555.5</v>
      </c>
      <c r="AD28" s="17">
        <v>203806</v>
      </c>
      <c r="AE28" s="18">
        <f t="shared" ref="AE28:AI28" si="143">IF(OR(C29=""),"",(C29-C28)*80)</f>
        <v>3712.0000000007</v>
      </c>
      <c r="AF28" s="18">
        <f t="shared" si="143"/>
        <v>2864.00000000023</v>
      </c>
      <c r="AG28" s="18">
        <f t="shared" si="143"/>
        <v>2272.00000000012</v>
      </c>
      <c r="AH28" s="18">
        <f t="shared" si="143"/>
        <v>4.80000000003201</v>
      </c>
      <c r="AI28" s="18">
        <f t="shared" si="143"/>
        <v>2528.00000000047</v>
      </c>
      <c r="AJ28" s="18">
        <f t="shared" si="3"/>
        <v>11380.8000000015</v>
      </c>
      <c r="AK28" s="18">
        <f t="shared" ref="AK28:AN28" si="144">IF(OR(H29=""),"",(H29-H28)*80)</f>
        <v>0</v>
      </c>
      <c r="AL28" s="18">
        <f t="shared" si="144"/>
        <v>0</v>
      </c>
      <c r="AM28" s="18">
        <f t="shared" si="144"/>
        <v>0</v>
      </c>
      <c r="AN28" s="18">
        <f t="shared" si="144"/>
        <v>0</v>
      </c>
      <c r="AO28" s="18">
        <f t="shared" si="5"/>
        <v>0</v>
      </c>
      <c r="AP28" s="18">
        <f t="shared" ref="AP28:AS28" si="145">IF(OR(L29=""),"",(L29-L28)*100)</f>
        <v>2850</v>
      </c>
      <c r="AQ28" s="18">
        <f t="shared" si="145"/>
        <v>0</v>
      </c>
      <c r="AR28" s="18">
        <f t="shared" si="145"/>
        <v>2819.99999999971</v>
      </c>
      <c r="AS28" s="18">
        <f t="shared" si="145"/>
        <v>2400</v>
      </c>
      <c r="AT28" s="18">
        <f t="shared" si="7"/>
        <v>8069.99999999971</v>
      </c>
      <c r="AU28" s="18">
        <f t="shared" ref="AU28:AY28" si="146">IF(OR(P29=""),"",(P29-P28)*1000)</f>
        <v>3600.00000000036</v>
      </c>
      <c r="AV28" s="18">
        <f t="shared" si="146"/>
        <v>1899.99999999964</v>
      </c>
      <c r="AW28" s="18">
        <f t="shared" si="146"/>
        <v>3500</v>
      </c>
      <c r="AX28" s="18">
        <f t="shared" si="146"/>
        <v>0</v>
      </c>
      <c r="AY28" s="18">
        <f t="shared" si="146"/>
        <v>0</v>
      </c>
      <c r="AZ28" s="18">
        <f t="shared" si="9"/>
        <v>9000</v>
      </c>
      <c r="BA28" s="18">
        <f t="shared" si="10"/>
        <v>8599.99999999854</v>
      </c>
      <c r="BB28" s="18">
        <f t="shared" si="11"/>
        <v>1032.00000000012</v>
      </c>
      <c r="BC28" s="18">
        <f t="shared" si="27"/>
        <v>1823.99999999965</v>
      </c>
      <c r="BD28" s="18">
        <f t="shared" si="12"/>
        <v>14093.1999999786</v>
      </c>
      <c r="BE28" s="18">
        <f t="shared" si="13"/>
        <v>53999.9999999782</v>
      </c>
      <c r="BF28" s="18">
        <f t="shared" si="14"/>
        <v>71.6000000000058</v>
      </c>
      <c r="BG28" s="21">
        <f t="shared" si="15"/>
        <v>0.264957852074905</v>
      </c>
      <c r="BH28" s="21">
        <f t="shared" si="16"/>
        <v>0.0558413393128836</v>
      </c>
      <c r="BI28" s="21">
        <f t="shared" si="17"/>
        <v>0</v>
      </c>
      <c r="BJ28" s="21">
        <f t="shared" si="18"/>
        <v>0.0395964790045421</v>
      </c>
      <c r="BK28" s="21">
        <f t="shared" ref="BK28:BO28" si="147">IF(OR($AD28=0),"",AZ28/$AD28)</f>
        <v>0.0441596420125021</v>
      </c>
      <c r="BL28" s="21">
        <f t="shared" si="147"/>
        <v>0.0421969912563837</v>
      </c>
      <c r="BM28" s="21">
        <f t="shared" si="147"/>
        <v>0.00506363895076748</v>
      </c>
      <c r="BN28" s="21">
        <f t="shared" si="147"/>
        <v>0.00894968744786538</v>
      </c>
      <c r="BO28" s="21">
        <f t="shared" si="147"/>
        <v>0.0691500740899611</v>
      </c>
    </row>
    <row r="29" spans="1:67">
      <c r="A29" s="9">
        <f t="shared" si="20"/>
        <v>44495</v>
      </c>
      <c r="B29" s="10">
        <v>17101.53</v>
      </c>
      <c r="C29" s="8">
        <v>94361.8</v>
      </c>
      <c r="D29" s="8">
        <v>60914.8</v>
      </c>
      <c r="E29" s="8">
        <v>59342.6</v>
      </c>
      <c r="F29" s="8">
        <v>6005.43</v>
      </c>
      <c r="G29" s="8">
        <v>115242.3</v>
      </c>
      <c r="H29" s="8">
        <v>5596.3</v>
      </c>
      <c r="I29" s="8">
        <v>2566.3</v>
      </c>
      <c r="J29" s="8">
        <v>967</v>
      </c>
      <c r="K29" s="8">
        <v>56</v>
      </c>
      <c r="L29" s="8">
        <v>93829.2</v>
      </c>
      <c r="M29" s="8">
        <v>61529.1</v>
      </c>
      <c r="N29" s="8">
        <v>74997.5</v>
      </c>
      <c r="O29" s="8">
        <v>105129.7</v>
      </c>
      <c r="P29" s="8">
        <v>5813.6</v>
      </c>
      <c r="Q29" s="8">
        <v>7669.7</v>
      </c>
      <c r="R29" s="8">
        <v>4655.4</v>
      </c>
      <c r="S29" s="8">
        <v>5355</v>
      </c>
      <c r="T29" s="8">
        <v>6756.4</v>
      </c>
      <c r="U29" s="8">
        <v>17796.2</v>
      </c>
      <c r="V29" s="8">
        <v>51572</v>
      </c>
      <c r="W29" s="8">
        <v>53762.3</v>
      </c>
      <c r="X29" s="8">
        <v>3156.7</v>
      </c>
      <c r="Y29" s="8">
        <v>2900.7</v>
      </c>
      <c r="Z29" s="16">
        <f t="shared" si="36"/>
        <v>59819.7</v>
      </c>
      <c r="AA29" s="8">
        <v>68233.1</v>
      </c>
      <c r="AB29" s="14">
        <v>4394</v>
      </c>
      <c r="AC29" s="7">
        <f t="shared" si="37"/>
        <v>72627.1</v>
      </c>
      <c r="AD29" s="17">
        <v>201875</v>
      </c>
      <c r="AE29" s="18">
        <f t="shared" ref="AE29:AI29" si="148">IF(OR(C30=""),"",(C30-C29)*80)</f>
        <v>3815.99999999977</v>
      </c>
      <c r="AF29" s="18">
        <f t="shared" si="148"/>
        <v>1111.99999999953</v>
      </c>
      <c r="AG29" s="18">
        <f t="shared" si="148"/>
        <v>1847.99999999988</v>
      </c>
      <c r="AH29" s="18">
        <f t="shared" si="148"/>
        <v>1343.2</v>
      </c>
      <c r="AI29" s="18">
        <f t="shared" si="148"/>
        <v>2575.99999999977</v>
      </c>
      <c r="AJ29" s="18">
        <f t="shared" si="3"/>
        <v>10695.1999999989</v>
      </c>
      <c r="AK29" s="18">
        <f t="shared" ref="AK29:AN29" si="149">IF(OR(H30=""),"",(H30-H29)*80)</f>
        <v>0</v>
      </c>
      <c r="AL29" s="18">
        <f t="shared" si="149"/>
        <v>0</v>
      </c>
      <c r="AM29" s="18">
        <f t="shared" si="149"/>
        <v>0</v>
      </c>
      <c r="AN29" s="18">
        <f t="shared" si="149"/>
        <v>0</v>
      </c>
      <c r="AO29" s="18">
        <f t="shared" si="5"/>
        <v>0</v>
      </c>
      <c r="AP29" s="18">
        <f t="shared" ref="AP29:AS29" si="150">IF(OR(L30=""),"",(L30-L29)*100)</f>
        <v>2880.00000000029</v>
      </c>
      <c r="AQ29" s="18">
        <f t="shared" si="150"/>
        <v>0</v>
      </c>
      <c r="AR29" s="18">
        <f t="shared" si="150"/>
        <v>2880.00000000029</v>
      </c>
      <c r="AS29" s="18">
        <f t="shared" si="150"/>
        <v>2469.99999999971</v>
      </c>
      <c r="AT29" s="18">
        <f t="shared" si="7"/>
        <v>8230.00000000029</v>
      </c>
      <c r="AU29" s="18">
        <f t="shared" ref="AU29:AY29" si="151">IF(OR(P30=""),"",(P30-P29)*1000)</f>
        <v>3899.99999999964</v>
      </c>
      <c r="AV29" s="18">
        <f t="shared" si="151"/>
        <v>0</v>
      </c>
      <c r="AW29" s="18">
        <f t="shared" si="151"/>
        <v>300.000000000182</v>
      </c>
      <c r="AX29" s="18">
        <f t="shared" si="151"/>
        <v>0</v>
      </c>
      <c r="AY29" s="18">
        <f t="shared" si="151"/>
        <v>8100.00000000036</v>
      </c>
      <c r="AZ29" s="18">
        <f t="shared" si="9"/>
        <v>12300.0000000002</v>
      </c>
      <c r="BA29" s="18">
        <f t="shared" si="10"/>
        <v>9000</v>
      </c>
      <c r="BB29" s="18">
        <f t="shared" si="11"/>
        <v>1055.99999999977</v>
      </c>
      <c r="BC29" s="18">
        <f t="shared" si="27"/>
        <v>1848.00000000017</v>
      </c>
      <c r="BD29" s="18">
        <f t="shared" si="12"/>
        <v>11970.800000021</v>
      </c>
      <c r="BE29" s="18">
        <f t="shared" si="13"/>
        <v>55100.0000000204</v>
      </c>
      <c r="BF29" s="18">
        <f t="shared" si="14"/>
        <v>71.1999999999971</v>
      </c>
      <c r="BG29" s="21">
        <f t="shared" si="15"/>
        <v>0.272941176470689</v>
      </c>
      <c r="BH29" s="21">
        <f t="shared" si="16"/>
        <v>0.0529793188854437</v>
      </c>
      <c r="BI29" s="21">
        <f t="shared" si="17"/>
        <v>0</v>
      </c>
      <c r="BJ29" s="21">
        <f t="shared" si="18"/>
        <v>0.0407678018575866</v>
      </c>
      <c r="BK29" s="21">
        <f t="shared" ref="BK29:BO29" si="152">IF(OR($AD29=0),"",AZ29/$AD29)</f>
        <v>0.0609287925696603</v>
      </c>
      <c r="BL29" s="21">
        <f t="shared" si="152"/>
        <v>0.0445820433436533</v>
      </c>
      <c r="BM29" s="21">
        <f t="shared" si="152"/>
        <v>0.00523095975232083</v>
      </c>
      <c r="BN29" s="21">
        <f t="shared" si="152"/>
        <v>0.00915417956656433</v>
      </c>
      <c r="BO29" s="21">
        <f t="shared" si="152"/>
        <v>0.0592980804954601</v>
      </c>
    </row>
    <row r="30" spans="1:67">
      <c r="A30" s="9">
        <f t="shared" si="20"/>
        <v>44496</v>
      </c>
      <c r="B30" s="10">
        <v>17107.04</v>
      </c>
      <c r="C30" s="8">
        <v>94409.5</v>
      </c>
      <c r="D30" s="8">
        <v>60928.7</v>
      </c>
      <c r="E30" s="8">
        <v>59365.7</v>
      </c>
      <c r="F30" s="8">
        <v>6022.22</v>
      </c>
      <c r="G30" s="8">
        <v>115274.5</v>
      </c>
      <c r="H30" s="8">
        <v>5596.3</v>
      </c>
      <c r="I30" s="8">
        <v>2566.3</v>
      </c>
      <c r="J30" s="8">
        <v>967</v>
      </c>
      <c r="K30" s="8">
        <v>56</v>
      </c>
      <c r="L30" s="8">
        <v>93858</v>
      </c>
      <c r="M30" s="8">
        <v>61529.1</v>
      </c>
      <c r="N30" s="8">
        <v>75026.3</v>
      </c>
      <c r="O30" s="8">
        <v>105154.4</v>
      </c>
      <c r="P30" s="8">
        <v>5817.5</v>
      </c>
      <c r="Q30" s="8">
        <v>7669.7</v>
      </c>
      <c r="R30" s="8">
        <v>4655.7</v>
      </c>
      <c r="S30" s="8">
        <v>5355</v>
      </c>
      <c r="T30" s="8">
        <v>6764.5</v>
      </c>
      <c r="U30" s="8">
        <v>17800.7</v>
      </c>
      <c r="V30" s="8">
        <v>51585.2</v>
      </c>
      <c r="W30" s="8">
        <v>53779.5</v>
      </c>
      <c r="X30" s="8">
        <v>3171.3</v>
      </c>
      <c r="Y30" s="8">
        <v>2915.1</v>
      </c>
      <c r="Z30" s="16">
        <f t="shared" si="36"/>
        <v>59865.9</v>
      </c>
      <c r="AA30" s="8">
        <v>68287.3</v>
      </c>
      <c r="AB30" s="14">
        <v>4411</v>
      </c>
      <c r="AC30" s="7">
        <f t="shared" si="37"/>
        <v>72698.3</v>
      </c>
      <c r="AD30" s="17">
        <v>206277</v>
      </c>
      <c r="AE30" s="18">
        <f t="shared" ref="AE30:AI30" si="153">IF(OR(C31=""),"",(C31-C30)*80)</f>
        <v>3768.00000000047</v>
      </c>
      <c r="AF30" s="18">
        <f t="shared" si="153"/>
        <v>288.000000000466</v>
      </c>
      <c r="AG30" s="18">
        <f t="shared" si="153"/>
        <v>2048.00000000047</v>
      </c>
      <c r="AH30" s="18">
        <f t="shared" si="153"/>
        <v>1756.8</v>
      </c>
      <c r="AI30" s="18">
        <f t="shared" si="153"/>
        <v>2600</v>
      </c>
      <c r="AJ30" s="18">
        <f t="shared" si="3"/>
        <v>10460.8000000014</v>
      </c>
      <c r="AK30" s="18">
        <f t="shared" ref="AK30:AN30" si="154">IF(OR(H31=""),"",(H31-H30)*80)</f>
        <v>0</v>
      </c>
      <c r="AL30" s="18">
        <f t="shared" si="154"/>
        <v>0</v>
      </c>
      <c r="AM30" s="18">
        <f t="shared" si="154"/>
        <v>0</v>
      </c>
      <c r="AN30" s="18">
        <f t="shared" si="154"/>
        <v>0</v>
      </c>
      <c r="AO30" s="18">
        <f t="shared" si="5"/>
        <v>0</v>
      </c>
      <c r="AP30" s="18">
        <f t="shared" ref="AP30:AS30" si="155">IF(OR(L31=""),"",(L31-L30)*100)</f>
        <v>2950</v>
      </c>
      <c r="AQ30" s="18">
        <f t="shared" si="155"/>
        <v>0</v>
      </c>
      <c r="AR30" s="18">
        <f t="shared" si="155"/>
        <v>2859.99999999913</v>
      </c>
      <c r="AS30" s="18">
        <f t="shared" si="155"/>
        <v>2430.00000000029</v>
      </c>
      <c r="AT30" s="18">
        <f t="shared" si="7"/>
        <v>8239.99999999942</v>
      </c>
      <c r="AU30" s="18">
        <f t="shared" ref="AU30:AY30" si="156">IF(OR(P31=""),"",(P31-P30)*1000)</f>
        <v>3899.99999999964</v>
      </c>
      <c r="AV30" s="18">
        <f t="shared" si="156"/>
        <v>0</v>
      </c>
      <c r="AW30" s="18">
        <f t="shared" si="156"/>
        <v>0</v>
      </c>
      <c r="AX30" s="18">
        <f t="shared" si="156"/>
        <v>0</v>
      </c>
      <c r="AY30" s="18">
        <f t="shared" si="156"/>
        <v>8800.00000000018</v>
      </c>
      <c r="AZ30" s="18">
        <f t="shared" si="9"/>
        <v>12699.9999999998</v>
      </c>
      <c r="BA30" s="18">
        <f t="shared" si="10"/>
        <v>8799.99999999563</v>
      </c>
      <c r="BB30" s="18">
        <f t="shared" si="11"/>
        <v>856.000000000349</v>
      </c>
      <c r="BC30" s="18">
        <f t="shared" si="27"/>
        <v>1767.99999999988</v>
      </c>
      <c r="BD30" s="18">
        <f t="shared" si="12"/>
        <v>11375.199999986</v>
      </c>
      <c r="BE30" s="18">
        <f t="shared" si="13"/>
        <v>54199.9999999825</v>
      </c>
      <c r="BF30" s="18">
        <f t="shared" si="14"/>
        <v>69.1999999999971</v>
      </c>
      <c r="BG30" s="21">
        <f t="shared" si="15"/>
        <v>0.262753481968336</v>
      </c>
      <c r="BH30" s="21">
        <f t="shared" si="16"/>
        <v>0.0507123915899562</v>
      </c>
      <c r="BI30" s="21">
        <f t="shared" si="17"/>
        <v>0</v>
      </c>
      <c r="BJ30" s="21">
        <f t="shared" si="18"/>
        <v>0.0399462858195505</v>
      </c>
      <c r="BK30" s="21">
        <f t="shared" ref="BK30:BO30" si="157">IF(OR($AD30=0),"",AZ30/$AD30)</f>
        <v>0.0615676978044078</v>
      </c>
      <c r="BL30" s="21">
        <f t="shared" si="157"/>
        <v>0.0426610819431911</v>
      </c>
      <c r="BM30" s="21">
        <f t="shared" si="157"/>
        <v>0.00414975978902325</v>
      </c>
      <c r="BN30" s="21">
        <f t="shared" si="157"/>
        <v>0.00857099919040845</v>
      </c>
      <c r="BO30" s="21">
        <f t="shared" si="157"/>
        <v>0.0551452658317992</v>
      </c>
    </row>
    <row r="31" spans="1:67">
      <c r="A31" s="9">
        <f t="shared" si="20"/>
        <v>44497</v>
      </c>
      <c r="B31" s="10">
        <v>17112.46</v>
      </c>
      <c r="C31" s="8">
        <v>94456.6</v>
      </c>
      <c r="D31" s="8">
        <v>60932.3</v>
      </c>
      <c r="E31" s="8">
        <v>59391.3</v>
      </c>
      <c r="F31" s="8">
        <v>6044.18</v>
      </c>
      <c r="G31" s="8">
        <v>115307</v>
      </c>
      <c r="H31" s="8">
        <v>5596.3</v>
      </c>
      <c r="I31" s="8">
        <v>2566.3</v>
      </c>
      <c r="J31" s="8">
        <v>967</v>
      </c>
      <c r="K31" s="8">
        <v>56</v>
      </c>
      <c r="L31" s="8">
        <v>93887.5</v>
      </c>
      <c r="M31" s="8">
        <v>61529.1</v>
      </c>
      <c r="N31" s="8">
        <v>75054.9</v>
      </c>
      <c r="O31" s="8">
        <v>105178.7</v>
      </c>
      <c r="P31" s="8">
        <v>5821.4</v>
      </c>
      <c r="Q31" s="8">
        <v>7669.7</v>
      </c>
      <c r="R31" s="8">
        <v>4655.7</v>
      </c>
      <c r="S31" s="8">
        <v>5355</v>
      </c>
      <c r="T31" s="8">
        <v>6773.3</v>
      </c>
      <c r="U31" s="8">
        <v>17805.1</v>
      </c>
      <c r="V31" s="8">
        <v>51595.9</v>
      </c>
      <c r="W31" s="8">
        <v>53796.1</v>
      </c>
      <c r="X31" s="8">
        <v>3185.1</v>
      </c>
      <c r="Y31" s="8">
        <v>2928.9</v>
      </c>
      <c r="Z31" s="16">
        <f t="shared" si="36"/>
        <v>59910.1</v>
      </c>
      <c r="AA31" s="8">
        <v>68340.5</v>
      </c>
      <c r="AB31" s="14">
        <v>4427</v>
      </c>
      <c r="AC31" s="7">
        <f t="shared" si="37"/>
        <v>72767.5</v>
      </c>
      <c r="AD31" s="17">
        <v>188522</v>
      </c>
      <c r="AE31" s="18">
        <f t="shared" ref="AE31:AI31" si="158">IF(OR(C32=""),"",(C32-C31)*80)</f>
        <v>3847.9999999993</v>
      </c>
      <c r="AF31" s="18">
        <f t="shared" si="158"/>
        <v>175.999999999767</v>
      </c>
      <c r="AG31" s="18">
        <f t="shared" si="158"/>
        <v>2167.99999999988</v>
      </c>
      <c r="AH31" s="18">
        <f t="shared" si="158"/>
        <v>1709.59999999999</v>
      </c>
      <c r="AI31" s="18">
        <f t="shared" si="158"/>
        <v>2280</v>
      </c>
      <c r="AJ31" s="18">
        <f t="shared" si="3"/>
        <v>10181.5999999989</v>
      </c>
      <c r="AK31" s="18">
        <f t="shared" ref="AK31:AN31" si="159">IF(OR(H32=""),"",(H32-H31)*80)</f>
        <v>0</v>
      </c>
      <c r="AL31" s="18">
        <f t="shared" si="159"/>
        <v>0</v>
      </c>
      <c r="AM31" s="18">
        <f t="shared" si="159"/>
        <v>0</v>
      </c>
      <c r="AN31" s="18">
        <f t="shared" si="159"/>
        <v>0</v>
      </c>
      <c r="AO31" s="18">
        <f t="shared" si="5"/>
        <v>0</v>
      </c>
      <c r="AP31" s="18">
        <f t="shared" ref="AP31:AS31" si="160">IF(OR(L32=""),"",(L32-L31)*100)</f>
        <v>2600</v>
      </c>
      <c r="AQ31" s="18">
        <f t="shared" si="160"/>
        <v>0</v>
      </c>
      <c r="AR31" s="18">
        <f t="shared" si="160"/>
        <v>2350</v>
      </c>
      <c r="AS31" s="18">
        <f t="shared" si="160"/>
        <v>2340.00000000087</v>
      </c>
      <c r="AT31" s="18">
        <f t="shared" si="7"/>
        <v>7290.00000000087</v>
      </c>
      <c r="AU31" s="18">
        <f t="shared" ref="AU31:AY31" si="161">IF(OR(P32=""),"",(P32-P31)*1000)</f>
        <v>3700.00000000073</v>
      </c>
      <c r="AV31" s="18">
        <f t="shared" si="161"/>
        <v>0</v>
      </c>
      <c r="AW31" s="18">
        <f t="shared" si="161"/>
        <v>0</v>
      </c>
      <c r="AX31" s="18">
        <f t="shared" si="161"/>
        <v>0</v>
      </c>
      <c r="AY31" s="18">
        <f t="shared" si="161"/>
        <v>8699.99999999982</v>
      </c>
      <c r="AZ31" s="18">
        <f t="shared" si="9"/>
        <v>12400.0000000005</v>
      </c>
      <c r="BA31" s="18">
        <f t="shared" si="10"/>
        <v>8200.00000000437</v>
      </c>
      <c r="BB31" s="18">
        <f t="shared" si="11"/>
        <v>912.000000000116</v>
      </c>
      <c r="BC31" s="18">
        <f t="shared" si="27"/>
        <v>1816.00000000006</v>
      </c>
      <c r="BD31" s="18">
        <f t="shared" si="12"/>
        <v>12600.3999999966</v>
      </c>
      <c r="BE31" s="18">
        <f t="shared" si="13"/>
        <v>53400.0000000015</v>
      </c>
      <c r="BF31" s="18">
        <f t="shared" si="14"/>
        <v>71.6999999999971</v>
      </c>
      <c r="BG31" s="21">
        <f t="shared" si="15"/>
        <v>0.283256065605083</v>
      </c>
      <c r="BH31" s="21">
        <f t="shared" si="16"/>
        <v>0.0540074898420287</v>
      </c>
      <c r="BI31" s="21">
        <f t="shared" si="17"/>
        <v>0</v>
      </c>
      <c r="BJ31" s="21">
        <f t="shared" si="18"/>
        <v>0.0386692269337312</v>
      </c>
      <c r="BK31" s="21">
        <f t="shared" ref="BK31:BO31" si="162">IF(OR($AD31=0),"",AZ31/$AD31)</f>
        <v>0.0657748167322676</v>
      </c>
      <c r="BL31" s="21">
        <f t="shared" si="162"/>
        <v>0.0434962497745853</v>
      </c>
      <c r="BM31" s="21">
        <f t="shared" si="162"/>
        <v>0.0048376316822446</v>
      </c>
      <c r="BN31" s="21">
        <f t="shared" si="162"/>
        <v>0.00963282799885455</v>
      </c>
      <c r="BO31" s="21">
        <f t="shared" si="162"/>
        <v>0.066837822641371</v>
      </c>
    </row>
    <row r="32" spans="1:67">
      <c r="A32" s="9">
        <f t="shared" si="20"/>
        <v>44498</v>
      </c>
      <c r="B32" s="10">
        <v>17117.8</v>
      </c>
      <c r="C32" s="8">
        <v>94504.7</v>
      </c>
      <c r="D32" s="8">
        <v>60934.5</v>
      </c>
      <c r="E32" s="8">
        <v>59418.4</v>
      </c>
      <c r="F32" s="8">
        <v>6065.55</v>
      </c>
      <c r="G32" s="8">
        <v>115335.5</v>
      </c>
      <c r="H32" s="8">
        <v>5596.3</v>
      </c>
      <c r="I32" s="8">
        <v>2566.3</v>
      </c>
      <c r="J32" s="8">
        <v>967</v>
      </c>
      <c r="K32" s="8">
        <v>56</v>
      </c>
      <c r="L32" s="8">
        <v>93913.5</v>
      </c>
      <c r="M32" s="8">
        <v>61529.1</v>
      </c>
      <c r="N32" s="8">
        <v>75078.4</v>
      </c>
      <c r="O32" s="8">
        <v>105202.1</v>
      </c>
      <c r="P32" s="8">
        <v>5825.1</v>
      </c>
      <c r="Q32" s="8">
        <v>7669.7</v>
      </c>
      <c r="R32" s="8">
        <v>4655.7</v>
      </c>
      <c r="S32" s="8">
        <v>5355</v>
      </c>
      <c r="T32" s="8">
        <v>6782</v>
      </c>
      <c r="U32" s="8">
        <v>17809.2</v>
      </c>
      <c r="V32" s="8">
        <v>51607.3</v>
      </c>
      <c r="W32" s="8">
        <v>53813.3</v>
      </c>
      <c r="X32" s="8">
        <v>3199</v>
      </c>
      <c r="Y32" s="8">
        <v>2943.2</v>
      </c>
      <c r="Z32" s="16">
        <f t="shared" si="36"/>
        <v>59955.5</v>
      </c>
      <c r="AA32" s="8">
        <v>68396.2</v>
      </c>
      <c r="AB32" s="14">
        <v>4443</v>
      </c>
      <c r="AC32" s="7">
        <f t="shared" si="37"/>
        <v>72839.2</v>
      </c>
      <c r="AD32" s="17">
        <v>201279</v>
      </c>
      <c r="AE32" s="18">
        <f t="shared" ref="AE32:AI32" si="163">IF(OR(C33=""),"",(C33-C32)*80)</f>
        <v>3952.0000000007</v>
      </c>
      <c r="AF32" s="18">
        <f t="shared" si="163"/>
        <v>2624.00000000023</v>
      </c>
      <c r="AG32" s="18">
        <f t="shared" si="163"/>
        <v>0</v>
      </c>
      <c r="AH32" s="18">
        <f t="shared" si="163"/>
        <v>2020</v>
      </c>
      <c r="AI32" s="18">
        <f t="shared" si="163"/>
        <v>1911.99999999953</v>
      </c>
      <c r="AJ32" s="18">
        <f t="shared" si="3"/>
        <v>10508.0000000005</v>
      </c>
      <c r="AK32" s="18">
        <f t="shared" ref="AK32:AN32" si="164">IF(OR(H33=""),"",(H33-H32)*80)</f>
        <v>0</v>
      </c>
      <c r="AL32" s="18">
        <f t="shared" si="164"/>
        <v>0</v>
      </c>
      <c r="AM32" s="18">
        <f t="shared" si="164"/>
        <v>0</v>
      </c>
      <c r="AN32" s="18">
        <f t="shared" si="164"/>
        <v>0</v>
      </c>
      <c r="AO32" s="18">
        <f t="shared" si="5"/>
        <v>0</v>
      </c>
      <c r="AP32" s="18">
        <f t="shared" ref="AP32:AS32" si="165">IF(OR(L33=""),"",(L33-L32)*100)</f>
        <v>2769.99999999971</v>
      </c>
      <c r="AQ32" s="18">
        <f t="shared" si="165"/>
        <v>0</v>
      </c>
      <c r="AR32" s="18">
        <f t="shared" si="165"/>
        <v>2540.00000000087</v>
      </c>
      <c r="AS32" s="18">
        <f t="shared" si="165"/>
        <v>2400</v>
      </c>
      <c r="AT32" s="18">
        <f t="shared" si="7"/>
        <v>7710.00000000058</v>
      </c>
      <c r="AU32" s="18">
        <f t="shared" ref="AU32:AY32" si="166">IF(OR(P33=""),"",(P33-P32)*1000)</f>
        <v>4000</v>
      </c>
      <c r="AV32" s="18">
        <f t="shared" si="166"/>
        <v>2800.00000000018</v>
      </c>
      <c r="AW32" s="18">
        <f t="shared" si="166"/>
        <v>0</v>
      </c>
      <c r="AX32" s="18">
        <f t="shared" si="166"/>
        <v>0</v>
      </c>
      <c r="AY32" s="18">
        <f t="shared" si="166"/>
        <v>6100.00000000036</v>
      </c>
      <c r="AZ32" s="18">
        <f t="shared" si="9"/>
        <v>12900.0000000005</v>
      </c>
      <c r="BA32" s="18">
        <f t="shared" si="10"/>
        <v>8400.00000000146</v>
      </c>
      <c r="BB32" s="18">
        <f t="shared" si="11"/>
        <v>1120</v>
      </c>
      <c r="BC32" s="18">
        <f t="shared" si="27"/>
        <v>1820</v>
      </c>
      <c r="BD32" s="18">
        <f t="shared" si="12"/>
        <v>11542.0000000115</v>
      </c>
      <c r="BE32" s="18">
        <f t="shared" si="13"/>
        <v>54000.0000000146</v>
      </c>
      <c r="BF32" s="18">
        <f t="shared" si="14"/>
        <v>72.3000000000029</v>
      </c>
      <c r="BG32" s="21">
        <f t="shared" si="15"/>
        <v>0.268284321762402</v>
      </c>
      <c r="BH32" s="21">
        <f t="shared" si="16"/>
        <v>0.0522061417236794</v>
      </c>
      <c r="BI32" s="21">
        <f t="shared" si="17"/>
        <v>0</v>
      </c>
      <c r="BJ32" s="21">
        <f t="shared" si="18"/>
        <v>0.0383050392738467</v>
      </c>
      <c r="BK32" s="21">
        <f t="shared" ref="BK32:BO32" si="167">IF(OR($AD32=0),"",AZ32/$AD32)</f>
        <v>0.0640901435321149</v>
      </c>
      <c r="BL32" s="21">
        <f t="shared" si="167"/>
        <v>0.0417331167185919</v>
      </c>
      <c r="BM32" s="21">
        <f t="shared" si="167"/>
        <v>0.00556441556247795</v>
      </c>
      <c r="BN32" s="21">
        <f t="shared" si="167"/>
        <v>0.00904217528902667</v>
      </c>
      <c r="BO32" s="21">
        <f t="shared" si="167"/>
        <v>0.0573432896626648</v>
      </c>
    </row>
    <row r="33" spans="1:67">
      <c r="A33" s="9">
        <f t="shared" si="20"/>
        <v>44499</v>
      </c>
      <c r="B33" s="10">
        <v>17123.2</v>
      </c>
      <c r="C33" s="8">
        <v>94554.1</v>
      </c>
      <c r="D33" s="8">
        <v>60967.3</v>
      </c>
      <c r="E33" s="8">
        <v>59418.4</v>
      </c>
      <c r="F33" s="8">
        <v>6090.8</v>
      </c>
      <c r="G33" s="8">
        <v>115359.4</v>
      </c>
      <c r="H33" s="8">
        <v>5596.3</v>
      </c>
      <c r="I33" s="8">
        <v>2566.3</v>
      </c>
      <c r="J33" s="8">
        <v>967</v>
      </c>
      <c r="K33" s="8">
        <v>56</v>
      </c>
      <c r="L33" s="8">
        <v>93941.2</v>
      </c>
      <c r="M33" s="8">
        <v>61529.1</v>
      </c>
      <c r="N33" s="8">
        <v>75103.8</v>
      </c>
      <c r="O33" s="8">
        <v>105226.1</v>
      </c>
      <c r="P33" s="8">
        <v>5829.1</v>
      </c>
      <c r="Q33" s="8">
        <v>7672.5</v>
      </c>
      <c r="R33" s="8">
        <v>4655.7</v>
      </c>
      <c r="S33" s="8">
        <v>5355</v>
      </c>
      <c r="T33" s="8">
        <v>6788.1</v>
      </c>
      <c r="U33" s="8">
        <v>17813.4</v>
      </c>
      <c r="V33" s="8">
        <v>51621.3</v>
      </c>
      <c r="W33" s="8">
        <v>53830.5</v>
      </c>
      <c r="X33" s="8">
        <v>3213.1</v>
      </c>
      <c r="Y33" s="8">
        <v>2957.4</v>
      </c>
      <c r="Z33" s="16">
        <f t="shared" si="36"/>
        <v>60001</v>
      </c>
      <c r="AA33" s="8">
        <v>68451.5</v>
      </c>
      <c r="AB33" s="14">
        <v>4460</v>
      </c>
      <c r="AC33" s="7">
        <f t="shared" si="37"/>
        <v>72911.5</v>
      </c>
      <c r="AD33" s="17">
        <v>179395</v>
      </c>
      <c r="AE33" s="18">
        <f t="shared" ref="AE33:AI33" si="168">IF(OR(C34=""),"",(C34-C33)*80)</f>
        <v>3855.99999999977</v>
      </c>
      <c r="AF33" s="18">
        <f t="shared" si="168"/>
        <v>2143.99999999965</v>
      </c>
      <c r="AG33" s="18">
        <f t="shared" si="168"/>
        <v>0</v>
      </c>
      <c r="AH33" s="18">
        <f t="shared" si="168"/>
        <v>1932.79999999999</v>
      </c>
      <c r="AI33" s="18">
        <f t="shared" si="168"/>
        <v>2304.00000000023</v>
      </c>
      <c r="AJ33" s="18">
        <f t="shared" si="3"/>
        <v>10236.7999999996</v>
      </c>
      <c r="AK33" s="18">
        <f t="shared" ref="AK33:AN33" si="169">IF(OR(H34=""),"",(H34-H33)*80)</f>
        <v>0</v>
      </c>
      <c r="AL33" s="18">
        <f t="shared" si="169"/>
        <v>0</v>
      </c>
      <c r="AM33" s="18">
        <f t="shared" si="169"/>
        <v>0</v>
      </c>
      <c r="AN33" s="18">
        <f t="shared" si="169"/>
        <v>0</v>
      </c>
      <c r="AO33" s="18">
        <f t="shared" si="5"/>
        <v>0</v>
      </c>
      <c r="AP33" s="18">
        <f t="shared" ref="AP33:AS33" si="170">IF(OR(L34=""),"",(L34-L33)*100)</f>
        <v>2260.00000000058</v>
      </c>
      <c r="AQ33" s="18">
        <f t="shared" si="170"/>
        <v>0</v>
      </c>
      <c r="AR33" s="18">
        <f t="shared" si="170"/>
        <v>2600</v>
      </c>
      <c r="AS33" s="18">
        <f t="shared" si="170"/>
        <v>2419.99999999971</v>
      </c>
      <c r="AT33" s="18">
        <f t="shared" si="7"/>
        <v>7280.00000000029</v>
      </c>
      <c r="AU33" s="18">
        <f t="shared" ref="AU33:AY33" si="171">IF(OR(P34=""),"",(P34-P33)*1000)</f>
        <v>3799.99999999927</v>
      </c>
      <c r="AV33" s="18">
        <f t="shared" si="171"/>
        <v>0</v>
      </c>
      <c r="AW33" s="18">
        <f t="shared" si="171"/>
        <v>0</v>
      </c>
      <c r="AX33" s="18">
        <f t="shared" si="171"/>
        <v>0</v>
      </c>
      <c r="AY33" s="18">
        <f t="shared" si="171"/>
        <v>9000</v>
      </c>
      <c r="AZ33" s="18">
        <f t="shared" si="9"/>
        <v>12799.9999999993</v>
      </c>
      <c r="BA33" s="18">
        <f t="shared" si="10"/>
        <v>8199.99999999709</v>
      </c>
      <c r="BB33" s="18">
        <f t="shared" si="11"/>
        <v>1031.99999999953</v>
      </c>
      <c r="BC33" s="18">
        <f t="shared" si="27"/>
        <v>1792.00000000012</v>
      </c>
      <c r="BD33" s="18">
        <f t="shared" si="12"/>
        <v>11659.1999999968</v>
      </c>
      <c r="BE33" s="18">
        <f t="shared" si="13"/>
        <v>52999.9999999927</v>
      </c>
      <c r="BF33" s="18">
        <f t="shared" si="14"/>
        <v>69.1000000000058</v>
      </c>
      <c r="BG33" s="21">
        <f t="shared" si="15"/>
        <v>0.29543744251508</v>
      </c>
      <c r="BH33" s="21">
        <f t="shared" si="16"/>
        <v>0.0570629058780882</v>
      </c>
      <c r="BI33" s="21">
        <f t="shared" si="17"/>
        <v>0</v>
      </c>
      <c r="BJ33" s="21">
        <f t="shared" si="18"/>
        <v>0.0405808411605691</v>
      </c>
      <c r="BK33" s="21">
        <f t="shared" ref="BK33:BO33" si="172">IF(OR($AD33=0),"",AZ33/$AD33)</f>
        <v>0.0713509295130816</v>
      </c>
      <c r="BL33" s="21">
        <f t="shared" si="172"/>
        <v>0.0457091892193043</v>
      </c>
      <c r="BM33" s="21">
        <f t="shared" si="172"/>
        <v>0.00575266869198993</v>
      </c>
      <c r="BN33" s="21">
        <f t="shared" si="172"/>
        <v>0.00998913013183264</v>
      </c>
      <c r="BO33" s="21">
        <f t="shared" si="172"/>
        <v>0.0649917779202139</v>
      </c>
    </row>
    <row r="34" spans="1:67">
      <c r="A34" s="9">
        <f t="shared" si="20"/>
        <v>44500</v>
      </c>
      <c r="B34" s="7">
        <v>17128.5</v>
      </c>
      <c r="C34" s="8">
        <v>94602.3</v>
      </c>
      <c r="D34" s="8">
        <v>60994.1</v>
      </c>
      <c r="E34" s="8">
        <v>59418.4</v>
      </c>
      <c r="F34" s="8">
        <v>6114.96</v>
      </c>
      <c r="G34" s="8">
        <v>115388.2</v>
      </c>
      <c r="H34" s="8">
        <v>5596.3</v>
      </c>
      <c r="I34" s="8">
        <v>2566.3</v>
      </c>
      <c r="J34" s="8">
        <v>967</v>
      </c>
      <c r="K34" s="8">
        <v>56</v>
      </c>
      <c r="L34" s="8">
        <v>93963.8</v>
      </c>
      <c r="M34" s="8">
        <v>61529.1</v>
      </c>
      <c r="N34" s="8">
        <v>75129.8</v>
      </c>
      <c r="O34" s="8">
        <v>105250.3</v>
      </c>
      <c r="P34" s="8">
        <v>5832.9</v>
      </c>
      <c r="Q34" s="8">
        <v>7672.5</v>
      </c>
      <c r="R34" s="8">
        <v>4655.7</v>
      </c>
      <c r="S34" s="8">
        <v>5355</v>
      </c>
      <c r="T34" s="8">
        <v>6797.1</v>
      </c>
      <c r="U34" s="8">
        <v>17817.5</v>
      </c>
      <c r="V34" s="8">
        <v>51634.2</v>
      </c>
      <c r="W34" s="8">
        <v>53847.5</v>
      </c>
      <c r="X34" s="8">
        <v>3226.8</v>
      </c>
      <c r="Y34" s="8">
        <v>2971.5</v>
      </c>
      <c r="Z34" s="16">
        <f t="shared" si="36"/>
        <v>60045.8</v>
      </c>
      <c r="AA34" s="8">
        <v>68505.6</v>
      </c>
      <c r="AB34" s="14">
        <v>4475</v>
      </c>
      <c r="AC34" s="7">
        <f t="shared" si="37"/>
        <v>72980.6</v>
      </c>
      <c r="AD34" s="17">
        <v>171184</v>
      </c>
      <c r="AE34" s="18">
        <f t="shared" ref="AE34:AI34" si="173">IF(OR(C35=""),"",(C35-C34)*80)</f>
        <v>3855.99999999977</v>
      </c>
      <c r="AF34" s="18">
        <f t="shared" si="173"/>
        <v>1744.00000000023</v>
      </c>
      <c r="AG34" s="18">
        <f t="shared" si="173"/>
        <v>7.99999999988358</v>
      </c>
      <c r="AH34" s="18">
        <f t="shared" si="173"/>
        <v>1379.19999999998</v>
      </c>
      <c r="AI34" s="18">
        <f t="shared" si="173"/>
        <v>1624.00000000023</v>
      </c>
      <c r="AJ34" s="18">
        <f t="shared" si="3"/>
        <v>8611.2000000001</v>
      </c>
      <c r="AK34" s="18">
        <f t="shared" ref="AK34:AN34" si="174">IF(OR(H35=""),"",(H35-H34)*80)</f>
        <v>0</v>
      </c>
      <c r="AL34" s="18">
        <f t="shared" si="174"/>
        <v>0</v>
      </c>
      <c r="AM34" s="18">
        <f t="shared" si="174"/>
        <v>0</v>
      </c>
      <c r="AN34" s="18">
        <f t="shared" si="174"/>
        <v>0</v>
      </c>
      <c r="AO34" s="18">
        <f t="shared" si="5"/>
        <v>0</v>
      </c>
      <c r="AP34" s="18">
        <f t="shared" ref="AP34:AS34" si="175">IF(OR(L35=""),"",(L35-L34)*100)</f>
        <v>2119.99999999971</v>
      </c>
      <c r="AQ34" s="18">
        <f t="shared" si="175"/>
        <v>0</v>
      </c>
      <c r="AR34" s="18">
        <f t="shared" si="175"/>
        <v>2150</v>
      </c>
      <c r="AS34" s="18">
        <f t="shared" si="175"/>
        <v>2359.99999999913</v>
      </c>
      <c r="AT34" s="18">
        <f t="shared" si="7"/>
        <v>6629.99999999884</v>
      </c>
      <c r="AU34" s="18">
        <f t="shared" ref="AU34:AY34" si="176">IF(OR(P35=""),"",(P35-P34)*1000)</f>
        <v>3600.00000000036</v>
      </c>
      <c r="AV34" s="18">
        <f t="shared" si="176"/>
        <v>2100.00000000036</v>
      </c>
      <c r="AW34" s="18">
        <f t="shared" si="176"/>
        <v>400.000000000546</v>
      </c>
      <c r="AX34" s="18">
        <f t="shared" si="176"/>
        <v>0</v>
      </c>
      <c r="AY34" s="18">
        <f t="shared" si="176"/>
        <v>6299.99999999927</v>
      </c>
      <c r="AZ34" s="18">
        <f t="shared" si="9"/>
        <v>12400.0000000005</v>
      </c>
      <c r="BA34" s="18">
        <f t="shared" si="10"/>
        <v>7599.99999999854</v>
      </c>
      <c r="BB34" s="18">
        <f t="shared" si="11"/>
        <v>1080</v>
      </c>
      <c r="BC34" s="18">
        <f t="shared" ref="BC34" si="177">IF(OR(W35=""),"",(W35-W34)*40)</f>
        <v>680</v>
      </c>
      <c r="BD34" s="18">
        <f t="shared" si="12"/>
        <v>12198.7999999845</v>
      </c>
      <c r="BE34" s="18">
        <f t="shared" si="13"/>
        <v>49199.9999999825</v>
      </c>
      <c r="BF34" s="18">
        <f t="shared" si="14"/>
        <v>70.0999999999913</v>
      </c>
      <c r="BG34" s="21">
        <f t="shared" si="15"/>
        <v>0.287410038321236</v>
      </c>
      <c r="BH34" s="21">
        <f t="shared" si="16"/>
        <v>0.0503037667071695</v>
      </c>
      <c r="BI34" s="21">
        <f t="shared" si="17"/>
        <v>0</v>
      </c>
      <c r="BJ34" s="21">
        <f t="shared" si="18"/>
        <v>0.0387302551640272</v>
      </c>
      <c r="BK34" s="21">
        <f t="shared" ref="BK34:BO34" si="178">IF(OR($AD34=0),"",AZ34/$AD34)</f>
        <v>0.0724366763248934</v>
      </c>
      <c r="BL34" s="21">
        <f t="shared" si="178"/>
        <v>0.0443966725862145</v>
      </c>
      <c r="BM34" s="21">
        <f t="shared" si="178"/>
        <v>0.00630900084120011</v>
      </c>
      <c r="BN34" s="21">
        <f t="shared" si="178"/>
        <v>0.00397233386297785</v>
      </c>
      <c r="BO34" s="21">
        <f t="shared" si="178"/>
        <v>0.0712613328347539</v>
      </c>
    </row>
    <row r="35" spans="1:67">
      <c r="A35" s="9">
        <f t="shared" si="20"/>
        <v>44501</v>
      </c>
      <c r="B35" s="10">
        <v>17133.42</v>
      </c>
      <c r="C35" s="11">
        <v>94650.5</v>
      </c>
      <c r="D35" s="11">
        <v>61015.9</v>
      </c>
      <c r="E35" s="11">
        <v>59418.5</v>
      </c>
      <c r="F35" s="11">
        <v>6132.2</v>
      </c>
      <c r="G35" s="11">
        <v>115408.5</v>
      </c>
      <c r="H35" s="8">
        <v>5596.3</v>
      </c>
      <c r="I35" s="8">
        <v>2566.3</v>
      </c>
      <c r="J35" s="8">
        <v>967</v>
      </c>
      <c r="K35" s="8">
        <v>56</v>
      </c>
      <c r="L35" s="11">
        <v>93985</v>
      </c>
      <c r="M35" s="11">
        <v>61529.1</v>
      </c>
      <c r="N35" s="11">
        <v>75151.3</v>
      </c>
      <c r="O35" s="11">
        <v>105273.9</v>
      </c>
      <c r="P35" s="11">
        <v>5836.5</v>
      </c>
      <c r="Q35" s="11">
        <v>7674.6</v>
      </c>
      <c r="R35" s="11">
        <v>4656.1</v>
      </c>
      <c r="S35" s="11">
        <v>5355</v>
      </c>
      <c r="T35" s="11">
        <v>6803.4</v>
      </c>
      <c r="U35" s="11">
        <v>17821.3</v>
      </c>
      <c r="V35" s="11">
        <v>51647.7</v>
      </c>
      <c r="W35" s="11">
        <v>53864.5</v>
      </c>
      <c r="X35" s="11">
        <v>3240.4</v>
      </c>
      <c r="Y35" s="11">
        <v>2985.6</v>
      </c>
      <c r="Z35" s="16">
        <f t="shared" si="36"/>
        <v>60090.5</v>
      </c>
      <c r="AA35" s="11">
        <v>68560.7</v>
      </c>
      <c r="AB35" s="14">
        <v>4490</v>
      </c>
      <c r="AC35" s="7">
        <f t="shared" ref="AC35" si="179">IF(OR(AA35=""),"",(AA35+AB35))</f>
        <v>73050.7</v>
      </c>
      <c r="AD35" s="17"/>
      <c r="BE35" s="22" t="s">
        <v>44</v>
      </c>
      <c r="BF35" s="22" t="s">
        <v>19</v>
      </c>
      <c r="BG35" s="23">
        <f>SUM(BE4:BE34)</f>
        <v>1568399.99999997</v>
      </c>
      <c r="BH35" s="23">
        <f>SUM(AJ4:AJ34)</f>
        <v>298373.600000001</v>
      </c>
      <c r="BI35" s="23">
        <f>SUM(AO4:AO34)</f>
        <v>0</v>
      </c>
      <c r="BJ35" s="23">
        <f>SUM(AT4:AT34)</f>
        <v>236530</v>
      </c>
      <c r="BK35" s="23">
        <f t="shared" ref="BK35:BO35" si="180">SUM(AZ4:AZ34)</f>
        <v>312300</v>
      </c>
      <c r="BL35" s="23">
        <f t="shared" si="180"/>
        <v>272199.999999997</v>
      </c>
      <c r="BM35" s="23">
        <f t="shared" si="180"/>
        <v>24991.9999999995</v>
      </c>
      <c r="BN35" s="23">
        <f t="shared" si="180"/>
        <v>44636.0000000003</v>
      </c>
      <c r="BO35" s="23">
        <f t="shared" si="180"/>
        <v>379368.399999967</v>
      </c>
    </row>
    <row r="36" spans="37:67"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22">
        <f>SUM(AD4:AD34)</f>
        <v>6039928</v>
      </c>
      <c r="BF36" s="22" t="s">
        <v>21</v>
      </c>
      <c r="BG36" s="24">
        <f>IF(OR(BG35=0),"",ROUND(BG35/$BE$36,3))</f>
        <v>0.26</v>
      </c>
      <c r="BH36" s="24">
        <f t="shared" ref="BH36:BO36" si="181">IF(OR(BH35=0),"",ROUND(BH35/$BE$36,4))</f>
        <v>0.0494</v>
      </c>
      <c r="BI36" s="24" t="str">
        <f t="shared" si="181"/>
        <v/>
      </c>
      <c r="BJ36" s="24">
        <f t="shared" si="181"/>
        <v>0.0392</v>
      </c>
      <c r="BK36" s="24">
        <f t="shared" si="181"/>
        <v>0.0517</v>
      </c>
      <c r="BL36" s="24">
        <f t="shared" si="181"/>
        <v>0.0451</v>
      </c>
      <c r="BM36" s="24">
        <f t="shared" si="181"/>
        <v>0.0041</v>
      </c>
      <c r="BN36" s="24">
        <f t="shared" si="181"/>
        <v>0.0074</v>
      </c>
      <c r="BO36" s="24">
        <f t="shared" si="181"/>
        <v>0.0628</v>
      </c>
    </row>
  </sheetData>
  <mergeCells count="35">
    <mergeCell ref="A1:BO1"/>
    <mergeCell ref="C2:G2"/>
    <mergeCell ref="H2:K2"/>
    <mergeCell ref="L2:O2"/>
    <mergeCell ref="P2:T2"/>
    <mergeCell ref="X2:Y2"/>
    <mergeCell ref="AE2:AJ2"/>
    <mergeCell ref="AK2:AO2"/>
    <mergeCell ref="AP2:AT2"/>
    <mergeCell ref="AU2:AZ2"/>
    <mergeCell ref="A2:A3"/>
    <mergeCell ref="B2:B3"/>
    <mergeCell ref="U2:U3"/>
    <mergeCell ref="V2:V3"/>
    <mergeCell ref="W2:W3"/>
    <mergeCell ref="Z2:Z3"/>
    <mergeCell ref="AA2:AA3"/>
    <mergeCell ref="AB2:AB3"/>
    <mergeCell ref="AC2:AC3"/>
    <mergeCell ref="AD2:AD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"/>
  <sheetViews>
    <sheetView showGridLines="0" zoomScale="120" zoomScaleNormal="120" workbookViewId="0">
      <pane xSplit="1" ySplit="3" topLeftCell="AM13" activePane="bottomRight" state="frozen"/>
      <selection/>
      <selection pane="topRight"/>
      <selection pane="bottomLeft"/>
      <selection pane="bottomRight" activeCell="BC30" sqref="BC30"/>
    </sheetView>
  </sheetViews>
  <sheetFormatPr defaultColWidth="9" defaultRowHeight="14.25"/>
  <cols>
    <col min="1" max="1" width="7" style="1" customWidth="1"/>
    <col min="2" max="2" width="8.375" style="2" customWidth="1"/>
    <col min="3" max="6" width="7.5" style="3" customWidth="1"/>
    <col min="7" max="7" width="8.25" style="3" customWidth="1"/>
    <col min="8" max="9" width="6.625" style="3" customWidth="1"/>
    <col min="10" max="10" width="5.75" style="3" customWidth="1"/>
    <col min="11" max="11" width="4.875" style="3" customWidth="1"/>
    <col min="12" max="14" width="7.5" style="3" customWidth="1"/>
    <col min="15" max="15" width="8.125" style="3" customWidth="1"/>
    <col min="16" max="20" width="6.625" style="3" customWidth="1"/>
    <col min="21" max="24" width="7.5" style="3" customWidth="1"/>
    <col min="25" max="26" width="8.25" style="3" customWidth="1"/>
    <col min="27" max="28" width="7.5" style="3" customWidth="1"/>
    <col min="29" max="29" width="8.25" style="3" customWidth="1"/>
    <col min="30" max="30" width="6.75" style="3" customWidth="1"/>
    <col min="31" max="31" width="6" style="1" customWidth="1"/>
    <col min="32" max="32" width="5.375" style="1" customWidth="1"/>
    <col min="33" max="33" width="5.25" style="1" customWidth="1"/>
    <col min="34" max="35" width="5" style="1" customWidth="1"/>
    <col min="36" max="36" width="6.625" style="1" customWidth="1"/>
    <col min="37" max="37" width="4.375" style="1" customWidth="1"/>
    <col min="38" max="40" width="4" style="1" customWidth="1"/>
    <col min="41" max="41" width="6.625" style="1" customWidth="1"/>
    <col min="42" max="42" width="5" style="1" customWidth="1"/>
    <col min="43" max="43" width="4" style="1" customWidth="1"/>
    <col min="44" max="44" width="6" style="1" customWidth="1"/>
    <col min="45" max="45" width="5.75" style="1" customWidth="1"/>
    <col min="46" max="46" width="6.625" style="1" customWidth="1"/>
    <col min="47" max="49" width="5.5" style="1" customWidth="1"/>
    <col min="50" max="50" width="5.875" style="1" customWidth="1"/>
    <col min="51" max="51" width="5.5" style="1" customWidth="1"/>
    <col min="52" max="54" width="6.625" style="1" customWidth="1"/>
    <col min="55" max="55" width="6.5" style="1" customWidth="1"/>
    <col min="56" max="56" width="9.25" style="1" customWidth="1"/>
    <col min="57" max="57" width="5.875" style="1" customWidth="1"/>
    <col min="58" max="59" width="6.625" style="1" customWidth="1"/>
    <col min="60" max="60" width="5.875" style="1" customWidth="1"/>
    <col min="61" max="61" width="6.125" style="1" customWidth="1"/>
    <col min="62" max="62" width="5.625" style="1" customWidth="1"/>
    <col min="63" max="63" width="6.625" style="1" customWidth="1"/>
    <col min="64" max="64" width="6.375" style="1" customWidth="1"/>
    <col min="65" max="66" width="5.75" style="1" customWidth="1"/>
    <col min="67" max="67" width="6" style="1" customWidth="1"/>
    <col min="68" max="16384" width="9" style="1"/>
  </cols>
  <sheetData>
    <row r="1" spans="1:6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25"/>
    </row>
    <row r="2" spans="1:67">
      <c r="A2" s="6"/>
      <c r="B2" s="7" t="s">
        <v>0</v>
      </c>
      <c r="C2" s="8" t="s">
        <v>1</v>
      </c>
      <c r="D2" s="8"/>
      <c r="E2" s="8"/>
      <c r="F2" s="8"/>
      <c r="G2" s="8"/>
      <c r="H2" s="8" t="s">
        <v>2</v>
      </c>
      <c r="I2" s="8"/>
      <c r="J2" s="8"/>
      <c r="K2" s="8"/>
      <c r="L2" s="8" t="s">
        <v>3</v>
      </c>
      <c r="M2" s="8"/>
      <c r="N2" s="8"/>
      <c r="O2" s="8"/>
      <c r="P2" s="8" t="s">
        <v>4</v>
      </c>
      <c r="Q2" s="8"/>
      <c r="R2" s="8"/>
      <c r="S2" s="8"/>
      <c r="T2" s="8"/>
      <c r="U2" s="8" t="s">
        <v>5</v>
      </c>
      <c r="V2" s="8" t="s">
        <v>6</v>
      </c>
      <c r="W2" s="8" t="s">
        <v>7</v>
      </c>
      <c r="X2" s="12" t="s">
        <v>8</v>
      </c>
      <c r="Y2" s="14"/>
      <c r="Z2" s="8" t="s">
        <v>9</v>
      </c>
      <c r="AA2" s="8" t="s">
        <v>10</v>
      </c>
      <c r="AB2" s="8" t="s">
        <v>11</v>
      </c>
      <c r="AC2" s="8" t="s">
        <v>12</v>
      </c>
      <c r="AD2" s="6" t="s">
        <v>13</v>
      </c>
      <c r="AE2" s="15" t="s">
        <v>14</v>
      </c>
      <c r="AF2" s="15"/>
      <c r="AG2" s="15"/>
      <c r="AH2" s="15"/>
      <c r="AI2" s="15"/>
      <c r="AJ2" s="15"/>
      <c r="AK2" s="15" t="s">
        <v>2</v>
      </c>
      <c r="AL2" s="15"/>
      <c r="AM2" s="15"/>
      <c r="AN2" s="15"/>
      <c r="AO2" s="15"/>
      <c r="AP2" s="15" t="s">
        <v>3</v>
      </c>
      <c r="AQ2" s="15"/>
      <c r="AR2" s="15"/>
      <c r="AS2" s="15"/>
      <c r="AT2" s="15"/>
      <c r="AU2" s="15" t="s">
        <v>4</v>
      </c>
      <c r="AV2" s="15"/>
      <c r="AW2" s="15"/>
      <c r="AX2" s="15"/>
      <c r="AY2" s="15"/>
      <c r="AZ2" s="15"/>
      <c r="BA2" s="15" t="s">
        <v>15</v>
      </c>
      <c r="BB2" s="15" t="s">
        <v>16</v>
      </c>
      <c r="BC2" s="15" t="s">
        <v>17</v>
      </c>
      <c r="BD2" s="15" t="s">
        <v>18</v>
      </c>
      <c r="BE2" s="15" t="s">
        <v>19</v>
      </c>
      <c r="BF2" s="15" t="s">
        <v>20</v>
      </c>
      <c r="BG2" s="21" t="s">
        <v>21</v>
      </c>
      <c r="BH2" s="21" t="s">
        <v>22</v>
      </c>
      <c r="BI2" s="21" t="s">
        <v>23</v>
      </c>
      <c r="BJ2" s="21" t="s">
        <v>24</v>
      </c>
      <c r="BK2" s="21" t="s">
        <v>25</v>
      </c>
      <c r="BL2" s="21" t="s">
        <v>26</v>
      </c>
      <c r="BM2" s="21" t="s">
        <v>27</v>
      </c>
      <c r="BN2" s="21" t="s">
        <v>28</v>
      </c>
      <c r="BO2" s="21" t="s">
        <v>29</v>
      </c>
    </row>
    <row r="3" spans="1:67">
      <c r="A3" s="6"/>
      <c r="B3" s="7"/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/>
      <c r="V3" s="8"/>
      <c r="W3" s="8"/>
      <c r="X3" s="8" t="s">
        <v>40</v>
      </c>
      <c r="Y3" s="8" t="s">
        <v>41</v>
      </c>
      <c r="Z3" s="8"/>
      <c r="AA3" s="8"/>
      <c r="AB3" s="8"/>
      <c r="AC3" s="8"/>
      <c r="AD3" s="6"/>
      <c r="AE3" s="15" t="s">
        <v>30</v>
      </c>
      <c r="AF3" s="15" t="s">
        <v>31</v>
      </c>
      <c r="AG3" s="15" t="s">
        <v>32</v>
      </c>
      <c r="AH3" s="15" t="s">
        <v>33</v>
      </c>
      <c r="AI3" s="15" t="s">
        <v>34</v>
      </c>
      <c r="AJ3" s="15" t="s">
        <v>42</v>
      </c>
      <c r="AK3" s="15" t="s">
        <v>30</v>
      </c>
      <c r="AL3" s="15" t="s">
        <v>31</v>
      </c>
      <c r="AM3" s="15" t="s">
        <v>32</v>
      </c>
      <c r="AN3" s="15" t="s">
        <v>33</v>
      </c>
      <c r="AO3" s="15" t="s">
        <v>42</v>
      </c>
      <c r="AP3" s="15" t="s">
        <v>30</v>
      </c>
      <c r="AQ3" s="15" t="s">
        <v>31</v>
      </c>
      <c r="AR3" s="15" t="s">
        <v>32</v>
      </c>
      <c r="AS3" s="15" t="s">
        <v>33</v>
      </c>
      <c r="AT3" s="15" t="s">
        <v>42</v>
      </c>
      <c r="AU3" s="15" t="s">
        <v>35</v>
      </c>
      <c r="AV3" s="15" t="s">
        <v>36</v>
      </c>
      <c r="AW3" s="15" t="s">
        <v>37</v>
      </c>
      <c r="AX3" s="15" t="s">
        <v>38</v>
      </c>
      <c r="AY3" s="15" t="s">
        <v>39</v>
      </c>
      <c r="AZ3" s="15" t="s">
        <v>43</v>
      </c>
      <c r="BA3" s="20"/>
      <c r="BB3" s="20"/>
      <c r="BC3" s="20"/>
      <c r="BD3" s="20"/>
      <c r="BE3" s="20"/>
      <c r="BF3" s="20"/>
      <c r="BG3" s="21"/>
      <c r="BH3" s="21"/>
      <c r="BI3" s="21"/>
      <c r="BJ3" s="21"/>
      <c r="BK3" s="21"/>
      <c r="BL3" s="21"/>
      <c r="BM3" s="21"/>
      <c r="BN3" s="21"/>
      <c r="BO3" s="21"/>
    </row>
    <row r="4" spans="1:67">
      <c r="A4" s="9">
        <f>'10'!A35</f>
        <v>44501</v>
      </c>
      <c r="B4" s="10">
        <v>17133.42</v>
      </c>
      <c r="C4" s="11">
        <v>94650.5</v>
      </c>
      <c r="D4" s="11">
        <v>61015.9</v>
      </c>
      <c r="E4" s="11">
        <v>59418.5</v>
      </c>
      <c r="F4" s="11">
        <v>6132.2</v>
      </c>
      <c r="G4" s="11">
        <v>115408.5</v>
      </c>
      <c r="H4" s="8">
        <v>5596.3</v>
      </c>
      <c r="I4" s="8">
        <v>2566.3</v>
      </c>
      <c r="J4" s="8">
        <v>967</v>
      </c>
      <c r="K4" s="8">
        <v>56</v>
      </c>
      <c r="L4" s="11">
        <v>93985</v>
      </c>
      <c r="M4" s="11">
        <v>61529.1</v>
      </c>
      <c r="N4" s="11">
        <v>75151.3</v>
      </c>
      <c r="O4" s="11">
        <v>105273.9</v>
      </c>
      <c r="P4" s="11">
        <v>5836.5</v>
      </c>
      <c r="Q4" s="11">
        <v>7674.6</v>
      </c>
      <c r="R4" s="11">
        <v>4656.1</v>
      </c>
      <c r="S4" s="11">
        <v>5355</v>
      </c>
      <c r="T4" s="11">
        <v>6803.4</v>
      </c>
      <c r="U4" s="11">
        <v>17821.3</v>
      </c>
      <c r="V4" s="11">
        <v>51647.7</v>
      </c>
      <c r="W4" s="11">
        <v>53864.5</v>
      </c>
      <c r="X4" s="11">
        <v>3240.4</v>
      </c>
      <c r="Y4" s="11">
        <v>2985.6</v>
      </c>
      <c r="Z4" s="16">
        <f t="shared" ref="Z4" si="0">IF(OR(W4=""),"",(W4+X4+Y4))</f>
        <v>60090.5</v>
      </c>
      <c r="AA4" s="11">
        <v>68560.7</v>
      </c>
      <c r="AB4" s="14">
        <v>4490</v>
      </c>
      <c r="AC4" s="7">
        <f t="shared" ref="AC4" si="1">IF(OR(AA4=""),"",(AA4+AB4))</f>
        <v>73050.7</v>
      </c>
      <c r="AD4" s="17">
        <v>163777</v>
      </c>
      <c r="AE4" s="18">
        <f t="shared" ref="AE4:AI4" si="2">IF(OR(C5=""),"",(C5-C4)*80)</f>
        <v>3768.00000000047</v>
      </c>
      <c r="AF4" s="18">
        <f t="shared" si="2"/>
        <v>1272.00000000012</v>
      </c>
      <c r="AG4" s="18">
        <f t="shared" si="2"/>
        <v>0</v>
      </c>
      <c r="AH4" s="18">
        <f t="shared" si="2"/>
        <v>1375.20000000004</v>
      </c>
      <c r="AI4" s="18">
        <f t="shared" si="2"/>
        <v>1711.99999999953</v>
      </c>
      <c r="AJ4" s="18">
        <f t="shared" ref="AJ4:AJ34" si="3">IF(OR(AE4="",AF4="",AG4=""),"",AE4+AF4+AG4+AH4+AI4)</f>
        <v>8127.20000000016</v>
      </c>
      <c r="AK4" s="18">
        <f t="shared" ref="AK4:AN4" si="4">IF(OR(H5=""),"",(H5-H4)*80)</f>
        <v>0</v>
      </c>
      <c r="AL4" s="18">
        <f t="shared" si="4"/>
        <v>0</v>
      </c>
      <c r="AM4" s="18">
        <f t="shared" si="4"/>
        <v>0</v>
      </c>
      <c r="AN4" s="18">
        <f t="shared" si="4"/>
        <v>0</v>
      </c>
      <c r="AO4" s="18">
        <f t="shared" ref="AO4:AO34" si="5">IF(OR(AK4="",AL4=""),"",AK4+AL4+AM4+AN4)</f>
        <v>0</v>
      </c>
      <c r="AP4" s="18">
        <f t="shared" ref="AP4:AS4" si="6">IF(OR(L5=""),"",(L5-L4)*100)</f>
        <v>2019.99999999971</v>
      </c>
      <c r="AQ4" s="18">
        <f t="shared" si="6"/>
        <v>0</v>
      </c>
      <c r="AR4" s="18">
        <f t="shared" si="6"/>
        <v>2119.99999999971</v>
      </c>
      <c r="AS4" s="18">
        <f t="shared" si="6"/>
        <v>2390.00000000087</v>
      </c>
      <c r="AT4" s="18">
        <f t="shared" ref="AT4:AT34" si="7">IF(OR(AP4="",AQ4=""),"",AP4+AQ4+AR4+AS4)</f>
        <v>6530.00000000029</v>
      </c>
      <c r="AU4" s="18">
        <f t="shared" ref="AU4:AY4" si="8">IF(OR(P5=""),"",(P5-P4)*1000)</f>
        <v>1500</v>
      </c>
      <c r="AV4" s="18">
        <f t="shared" si="8"/>
        <v>7099.99999999945</v>
      </c>
      <c r="AW4" s="18">
        <f t="shared" si="8"/>
        <v>0</v>
      </c>
      <c r="AX4" s="18">
        <f t="shared" si="8"/>
        <v>0</v>
      </c>
      <c r="AY4" s="18">
        <f t="shared" si="8"/>
        <v>5800.00000000018</v>
      </c>
      <c r="AZ4" s="18">
        <f t="shared" ref="AZ4:AZ34" si="9">IF(OR(AU4="",AV4="",AW4=""),"",AU4+AV4+AW4+AX4+AY4)</f>
        <v>14399.9999999996</v>
      </c>
      <c r="BA4" s="18">
        <f t="shared" ref="BA4:BA34" si="10">IF(OR(U5=""),"",(U5-U4)*2000)</f>
        <v>7400.00000000146</v>
      </c>
      <c r="BB4" s="18">
        <f t="shared" ref="BB4:BB34" si="11">IF(OR(V5=""),"",(V5-V4)*80)</f>
        <v>1064.00000000023</v>
      </c>
      <c r="BC4" s="18">
        <f>IF(OR(Z4=""),"",(Z5-Z4)*40)</f>
        <v>1743.99999999994</v>
      </c>
      <c r="BD4" s="18">
        <f t="shared" ref="BD4:BD34" si="12">IF(OR(BE4="",BC4=""),"",BE4-BC4-BB4-BA4-AZ4-AT4-AO4-AJ4)</f>
        <v>8634.80000000702</v>
      </c>
      <c r="BE4" s="18">
        <f t="shared" ref="BE4:BE34" si="13">IF(OR(B5=""),"",(B5-B4)*10000)</f>
        <v>47900.0000000087</v>
      </c>
      <c r="BF4" s="18">
        <f t="shared" ref="BF4:BF34" si="14">IF(OR(AC5=""),"",AC5-AC4)</f>
        <v>70.6999999999971</v>
      </c>
      <c r="BG4" s="21">
        <f t="shared" ref="BG4:BG34" si="15">IF(OR($AD4=0),"",BE4/$AD4)</f>
        <v>0.292470859766687</v>
      </c>
      <c r="BH4" s="21">
        <f t="shared" ref="BH4:BH34" si="16">IF(OR($AD4=0),"",AJ4/$AD4)</f>
        <v>0.04962357351765</v>
      </c>
      <c r="BI4" s="21">
        <f t="shared" ref="BI4:BI34" si="17">IF(OR($AD4=0),"",AO4/$AD4)</f>
        <v>0</v>
      </c>
      <c r="BJ4" s="21">
        <f t="shared" ref="BJ4:BJ34" si="18">IF(OR($AD4=0),"",AT4/$AD4)</f>
        <v>0.0398712883982506</v>
      </c>
      <c r="BK4" s="21">
        <f t="shared" ref="BK4:BO4" si="19">IF(OR($AD4=0),"",AZ4/$AD4)</f>
        <v>0.0879244338338084</v>
      </c>
      <c r="BL4" s="21">
        <f t="shared" si="19"/>
        <v>0.0451833896090504</v>
      </c>
      <c r="BM4" s="21">
        <f t="shared" si="19"/>
        <v>0.00649663872216632</v>
      </c>
      <c r="BN4" s="21">
        <f t="shared" si="19"/>
        <v>0.0106486258754278</v>
      </c>
      <c r="BO4" s="21">
        <f t="shared" si="19"/>
        <v>0.0527229098103337</v>
      </c>
    </row>
    <row r="5" spans="1:67">
      <c r="A5" s="9">
        <f t="shared" ref="A5:A34" si="20">A4+1</f>
        <v>44502</v>
      </c>
      <c r="B5" s="10">
        <v>17138.21</v>
      </c>
      <c r="C5" s="8">
        <v>94697.6</v>
      </c>
      <c r="D5" s="8">
        <v>61031.8</v>
      </c>
      <c r="E5" s="8">
        <v>59418.5</v>
      </c>
      <c r="F5" s="8">
        <v>6149.39</v>
      </c>
      <c r="G5" s="8">
        <v>115429.9</v>
      </c>
      <c r="H5" s="8">
        <v>5596.3</v>
      </c>
      <c r="I5" s="8">
        <v>2566.3</v>
      </c>
      <c r="J5" s="8">
        <v>967</v>
      </c>
      <c r="K5" s="8">
        <v>56</v>
      </c>
      <c r="L5" s="8">
        <v>94005.2</v>
      </c>
      <c r="M5" s="8">
        <v>61529.1</v>
      </c>
      <c r="N5" s="8">
        <v>75172.5</v>
      </c>
      <c r="O5" s="8">
        <v>105297.8</v>
      </c>
      <c r="P5" s="8">
        <v>5838</v>
      </c>
      <c r="Q5" s="8">
        <v>7681.7</v>
      </c>
      <c r="R5" s="8">
        <v>4656.1</v>
      </c>
      <c r="S5" s="8">
        <v>5355</v>
      </c>
      <c r="T5" s="8">
        <v>6809.2</v>
      </c>
      <c r="U5" s="8">
        <v>17825</v>
      </c>
      <c r="V5" s="8">
        <v>51661</v>
      </c>
      <c r="W5" s="8">
        <v>53881.1</v>
      </c>
      <c r="X5" s="8">
        <v>3253.6</v>
      </c>
      <c r="Y5" s="8">
        <v>2999.4</v>
      </c>
      <c r="Z5" s="16">
        <f t="shared" ref="Z5:Z35" si="21">IF(OR(W5=""),"",(W5+X5+Y5))</f>
        <v>60134.1</v>
      </c>
      <c r="AA5" s="8">
        <v>68613.4</v>
      </c>
      <c r="AB5" s="14">
        <v>4508</v>
      </c>
      <c r="AC5" s="7">
        <f t="shared" ref="AC5:AC34" si="22">IF(OR(AA5=""),"",(AA5+AB5))</f>
        <v>73121.4</v>
      </c>
      <c r="AD5" s="17">
        <v>151240</v>
      </c>
      <c r="AE5" s="18">
        <f t="shared" ref="AE5:AI5" si="23">IF(OR(C6=""),"",(C6-C5)*80)</f>
        <v>3703.99999999907</v>
      </c>
      <c r="AF5" s="18">
        <f t="shared" si="23"/>
        <v>1927.99999999988</v>
      </c>
      <c r="AG5" s="18">
        <f t="shared" si="23"/>
        <v>0</v>
      </c>
      <c r="AH5" s="18">
        <f t="shared" si="23"/>
        <v>433.600000000006</v>
      </c>
      <c r="AI5" s="18">
        <f t="shared" si="23"/>
        <v>1784.00000000023</v>
      </c>
      <c r="AJ5" s="18">
        <f t="shared" si="3"/>
        <v>7849.59999999919</v>
      </c>
      <c r="AK5" s="18">
        <f t="shared" ref="AK5:AN5" si="24">IF(OR(H6=""),"",(H6-H5)*80)</f>
        <v>0</v>
      </c>
      <c r="AL5" s="18">
        <f t="shared" si="24"/>
        <v>0</v>
      </c>
      <c r="AM5" s="18">
        <f t="shared" si="24"/>
        <v>0</v>
      </c>
      <c r="AN5" s="18">
        <f t="shared" si="24"/>
        <v>0</v>
      </c>
      <c r="AO5" s="18">
        <f t="shared" si="5"/>
        <v>0</v>
      </c>
      <c r="AP5" s="18">
        <f t="shared" ref="AP5:AS5" si="25">IF(OR(L6=""),"",(L6-L5)*100)</f>
        <v>1400</v>
      </c>
      <c r="AQ5" s="18">
        <f t="shared" si="25"/>
        <v>0</v>
      </c>
      <c r="AR5" s="18">
        <f t="shared" si="25"/>
        <v>2269.99999999971</v>
      </c>
      <c r="AS5" s="18">
        <f t="shared" si="25"/>
        <v>2439.99999999942</v>
      </c>
      <c r="AT5" s="18">
        <f t="shared" si="7"/>
        <v>6109.99999999913</v>
      </c>
      <c r="AU5" s="18">
        <f t="shared" ref="AU5:AY5" si="26">IF(OR(P6=""),"",(P6-P5)*1000)</f>
        <v>1699.99999999982</v>
      </c>
      <c r="AV5" s="18">
        <f t="shared" si="26"/>
        <v>2800.00000000018</v>
      </c>
      <c r="AW5" s="18">
        <f t="shared" si="26"/>
        <v>2299.99999999927</v>
      </c>
      <c r="AX5" s="18">
        <f t="shared" si="26"/>
        <v>0</v>
      </c>
      <c r="AY5" s="18">
        <f t="shared" si="26"/>
        <v>5400.00000000055</v>
      </c>
      <c r="AZ5" s="18">
        <f t="shared" si="9"/>
        <v>12199.9999999998</v>
      </c>
      <c r="BA5" s="18">
        <f t="shared" si="10"/>
        <v>6400.00000000146</v>
      </c>
      <c r="BB5" s="18">
        <f t="shared" si="11"/>
        <v>1072.00000000012</v>
      </c>
      <c r="BC5" s="18">
        <f>IF(OR(Z5=""),"",(Z6-Z5)*40)</f>
        <v>1783.99999999994</v>
      </c>
      <c r="BD5" s="18">
        <f t="shared" si="12"/>
        <v>13284.4000000265</v>
      </c>
      <c r="BE5" s="18">
        <f t="shared" si="13"/>
        <v>48700.0000000262</v>
      </c>
      <c r="BF5" s="18">
        <f t="shared" si="14"/>
        <v>68.1000000000058</v>
      </c>
      <c r="BG5" s="21">
        <f t="shared" si="15"/>
        <v>0.322004760645505</v>
      </c>
      <c r="BH5" s="21">
        <f t="shared" si="16"/>
        <v>0.0519016133298016</v>
      </c>
      <c r="BI5" s="21">
        <f t="shared" si="17"/>
        <v>0</v>
      </c>
      <c r="BJ5" s="21">
        <f t="shared" si="18"/>
        <v>0.0403993652472833</v>
      </c>
      <c r="BK5" s="21">
        <f t="shared" ref="BK5:BO5" si="27">IF(OR($AD5=0),"",AZ5/$AD5)</f>
        <v>0.080666490346468</v>
      </c>
      <c r="BL5" s="21">
        <f t="shared" si="27"/>
        <v>0.0423168473948787</v>
      </c>
      <c r="BM5" s="21">
        <f t="shared" si="27"/>
        <v>0.00708807193864134</v>
      </c>
      <c r="BN5" s="21">
        <f t="shared" si="27"/>
        <v>0.0117958212113194</v>
      </c>
      <c r="BO5" s="21">
        <f t="shared" si="27"/>
        <v>0.0878365511771128</v>
      </c>
    </row>
    <row r="6" spans="1:67">
      <c r="A6" s="9">
        <f t="shared" si="20"/>
        <v>44503</v>
      </c>
      <c r="B6" s="10">
        <v>17143.08</v>
      </c>
      <c r="C6" s="8">
        <v>94743.9</v>
      </c>
      <c r="D6" s="8">
        <v>61055.9</v>
      </c>
      <c r="E6" s="8">
        <v>59418.5</v>
      </c>
      <c r="F6" s="8">
        <v>6154.81</v>
      </c>
      <c r="G6" s="8">
        <v>115452.2</v>
      </c>
      <c r="H6" s="8">
        <v>5596.3</v>
      </c>
      <c r="I6" s="8">
        <v>2566.3</v>
      </c>
      <c r="J6" s="8">
        <v>967</v>
      </c>
      <c r="K6" s="8">
        <v>56</v>
      </c>
      <c r="L6" s="8">
        <v>94019.2</v>
      </c>
      <c r="M6" s="8">
        <v>61529.1</v>
      </c>
      <c r="N6" s="8">
        <v>75195.2</v>
      </c>
      <c r="O6" s="8">
        <v>105322.2</v>
      </c>
      <c r="P6" s="8">
        <v>5839.7</v>
      </c>
      <c r="Q6" s="8">
        <v>7684.5</v>
      </c>
      <c r="R6" s="8">
        <v>4658.4</v>
      </c>
      <c r="S6" s="8">
        <v>5355</v>
      </c>
      <c r="T6" s="8">
        <v>6814.6</v>
      </c>
      <c r="U6" s="8">
        <v>17828.2</v>
      </c>
      <c r="V6" s="8">
        <v>51674.4</v>
      </c>
      <c r="W6" s="8">
        <v>53898.2</v>
      </c>
      <c r="X6" s="8">
        <v>3267.1</v>
      </c>
      <c r="Y6" s="8">
        <v>3013.4</v>
      </c>
      <c r="Z6" s="16">
        <f t="shared" si="21"/>
        <v>60178.7</v>
      </c>
      <c r="AA6" s="8">
        <v>68667.5</v>
      </c>
      <c r="AB6" s="14">
        <v>4522</v>
      </c>
      <c r="AC6" s="7">
        <f t="shared" si="22"/>
        <v>73189.5</v>
      </c>
      <c r="AD6" s="17">
        <v>137440</v>
      </c>
      <c r="AE6" s="18">
        <f t="shared" ref="AE6:AI6" si="28">IF(OR(C7=""),"",(C7-C6)*80)</f>
        <v>4016.00000000093</v>
      </c>
      <c r="AF6" s="18">
        <f t="shared" si="28"/>
        <v>2480</v>
      </c>
      <c r="AG6" s="18">
        <f t="shared" si="28"/>
        <v>0</v>
      </c>
      <c r="AH6" s="18">
        <f t="shared" si="28"/>
        <v>4.79999999995925</v>
      </c>
      <c r="AI6" s="18">
        <f t="shared" si="28"/>
        <v>1840</v>
      </c>
      <c r="AJ6" s="18">
        <f t="shared" si="3"/>
        <v>8340.80000000089</v>
      </c>
      <c r="AK6" s="18">
        <f t="shared" ref="AK6:AN6" si="29">IF(OR(H7=""),"",(H7-H6)*80)</f>
        <v>8160</v>
      </c>
      <c r="AL6" s="18">
        <f t="shared" si="29"/>
        <v>0</v>
      </c>
      <c r="AM6" s="18">
        <f t="shared" si="29"/>
        <v>0</v>
      </c>
      <c r="AN6" s="18">
        <f t="shared" si="29"/>
        <v>0</v>
      </c>
      <c r="AO6" s="18">
        <f t="shared" si="5"/>
        <v>8160</v>
      </c>
      <c r="AP6" s="18">
        <f t="shared" ref="AP6:AS6" si="30">IF(OR(L7=""),"",(L7-L6)*100)</f>
        <v>1390.00000000087</v>
      </c>
      <c r="AQ6" s="18">
        <f t="shared" si="30"/>
        <v>0</v>
      </c>
      <c r="AR6" s="18">
        <f t="shared" si="30"/>
        <v>2090.00000000087</v>
      </c>
      <c r="AS6" s="18">
        <f t="shared" si="30"/>
        <v>2250</v>
      </c>
      <c r="AT6" s="18">
        <f t="shared" si="7"/>
        <v>5730.00000000175</v>
      </c>
      <c r="AU6" s="18">
        <f t="shared" ref="AU6:AY6" si="31">IF(OR(P7=""),"",(P7-P6)*1000)</f>
        <v>3600.00000000036</v>
      </c>
      <c r="AV6" s="18">
        <f t="shared" si="31"/>
        <v>7399.99999999964</v>
      </c>
      <c r="AW6" s="18">
        <f t="shared" si="31"/>
        <v>0</v>
      </c>
      <c r="AX6" s="18">
        <f t="shared" si="31"/>
        <v>0</v>
      </c>
      <c r="AY6" s="18">
        <f t="shared" si="31"/>
        <v>0</v>
      </c>
      <c r="AZ6" s="18">
        <f t="shared" si="9"/>
        <v>11000</v>
      </c>
      <c r="BA6" s="18">
        <f t="shared" si="10"/>
        <v>6400.00000000146</v>
      </c>
      <c r="BB6" s="18">
        <f t="shared" si="11"/>
        <v>1112.00000000012</v>
      </c>
      <c r="BC6" s="18">
        <f>IF(OR(Z6=""),"",(Z7-Z6)*40)</f>
        <v>1784.00000000023</v>
      </c>
      <c r="BD6" s="18">
        <f t="shared" si="12"/>
        <v>3873.19999998974</v>
      </c>
      <c r="BE6" s="18">
        <f t="shared" si="13"/>
        <v>46399.9999999942</v>
      </c>
      <c r="BF6" s="18">
        <f t="shared" si="14"/>
        <v>68.5</v>
      </c>
      <c r="BG6" s="21">
        <f t="shared" si="15"/>
        <v>0.337601862630924</v>
      </c>
      <c r="BH6" s="21">
        <f t="shared" si="16"/>
        <v>0.0606868451688074</v>
      </c>
      <c r="BI6" s="21">
        <f t="shared" si="17"/>
        <v>0.0593713620488941</v>
      </c>
      <c r="BJ6" s="21">
        <f t="shared" si="18"/>
        <v>0.0416909196740523</v>
      </c>
      <c r="BK6" s="21">
        <f t="shared" ref="BK6:BO6" si="32">IF(OR($AD6=0),"",AZ6/$AD6)</f>
        <v>0.080034924330617</v>
      </c>
      <c r="BL6" s="21">
        <f t="shared" si="32"/>
        <v>0.0465657741560059</v>
      </c>
      <c r="BM6" s="21">
        <f t="shared" si="32"/>
        <v>0.00809080325960504</v>
      </c>
      <c r="BN6" s="21">
        <f t="shared" si="32"/>
        <v>0.0129802095459854</v>
      </c>
      <c r="BO6" s="21">
        <f t="shared" si="32"/>
        <v>0.0281810244469568</v>
      </c>
    </row>
    <row r="7" spans="1:67">
      <c r="A7" s="9">
        <f t="shared" si="20"/>
        <v>44504</v>
      </c>
      <c r="B7" s="10">
        <v>17147.72</v>
      </c>
      <c r="C7" s="8">
        <v>94794.1</v>
      </c>
      <c r="D7" s="8">
        <v>61086.9</v>
      </c>
      <c r="E7" s="8">
        <v>59418.5</v>
      </c>
      <c r="F7" s="8">
        <v>6154.87</v>
      </c>
      <c r="G7" s="8">
        <v>115475.2</v>
      </c>
      <c r="H7" s="8">
        <v>5698.3</v>
      </c>
      <c r="I7" s="8">
        <v>2566.3</v>
      </c>
      <c r="J7" s="8">
        <v>967</v>
      </c>
      <c r="K7" s="8">
        <v>56</v>
      </c>
      <c r="L7" s="8">
        <v>94033.1</v>
      </c>
      <c r="M7" s="8">
        <v>61529.1</v>
      </c>
      <c r="N7" s="8">
        <v>75216.1</v>
      </c>
      <c r="O7" s="8">
        <v>105344.7</v>
      </c>
      <c r="P7" s="8">
        <v>5843.3</v>
      </c>
      <c r="Q7" s="8">
        <v>7691.9</v>
      </c>
      <c r="R7" s="8">
        <v>4658.4</v>
      </c>
      <c r="S7" s="8">
        <v>5355</v>
      </c>
      <c r="T7" s="8">
        <v>6814.6</v>
      </c>
      <c r="U7" s="8">
        <v>17831.4</v>
      </c>
      <c r="V7" s="8">
        <v>51688.3</v>
      </c>
      <c r="W7" s="8">
        <v>53915.3</v>
      </c>
      <c r="X7" s="8">
        <v>3280.5</v>
      </c>
      <c r="Y7" s="8">
        <v>3027.5</v>
      </c>
      <c r="Z7" s="16">
        <f t="shared" si="21"/>
        <v>60223.3</v>
      </c>
      <c r="AA7" s="8">
        <v>68721</v>
      </c>
      <c r="AB7" s="14">
        <v>4537</v>
      </c>
      <c r="AC7" s="7">
        <f t="shared" si="22"/>
        <v>73258</v>
      </c>
      <c r="AD7" s="17">
        <v>161369</v>
      </c>
      <c r="AE7" s="18">
        <f t="shared" ref="AE7:AI7" si="33">IF(OR(C8=""),"",(C8-C7)*80)</f>
        <v>3791.99999999953</v>
      </c>
      <c r="AF7" s="18">
        <f t="shared" si="33"/>
        <v>2535.99999999977</v>
      </c>
      <c r="AG7" s="18">
        <f t="shared" si="33"/>
        <v>0</v>
      </c>
      <c r="AH7" s="18">
        <f t="shared" si="33"/>
        <v>226.399999999994</v>
      </c>
      <c r="AI7" s="18">
        <f t="shared" si="33"/>
        <v>1888.00000000047</v>
      </c>
      <c r="AJ7" s="18">
        <f t="shared" si="3"/>
        <v>8442.39999999976</v>
      </c>
      <c r="AK7" s="18">
        <f t="shared" ref="AK7:AN7" si="34">IF(OR(H8=""),"",(H8-H7)*80)</f>
        <v>0</v>
      </c>
      <c r="AL7" s="18">
        <f t="shared" si="34"/>
        <v>0</v>
      </c>
      <c r="AM7" s="18">
        <f t="shared" si="34"/>
        <v>0</v>
      </c>
      <c r="AN7" s="18">
        <f t="shared" si="34"/>
        <v>0</v>
      </c>
      <c r="AO7" s="18">
        <f t="shared" si="5"/>
        <v>0</v>
      </c>
      <c r="AP7" s="18">
        <f t="shared" ref="AP7:AS7" si="35">IF(OR(L8=""),"",(L8-L7)*100)</f>
        <v>1579.99999999884</v>
      </c>
      <c r="AQ7" s="18">
        <f t="shared" si="35"/>
        <v>0</v>
      </c>
      <c r="AR7" s="18">
        <f t="shared" si="35"/>
        <v>2369.99999999971</v>
      </c>
      <c r="AS7" s="18">
        <f t="shared" si="35"/>
        <v>2400</v>
      </c>
      <c r="AT7" s="18">
        <f t="shared" si="7"/>
        <v>6349.99999999854</v>
      </c>
      <c r="AU7" s="18">
        <f t="shared" ref="AU7:AY7" si="36">IF(OR(P8=""),"",(P8-P7)*1000)</f>
        <v>2599.99999999945</v>
      </c>
      <c r="AV7" s="18">
        <f t="shared" si="36"/>
        <v>4300.00000000018</v>
      </c>
      <c r="AW7" s="18">
        <f t="shared" si="36"/>
        <v>1800.00000000018</v>
      </c>
      <c r="AX7" s="18">
        <f t="shared" si="36"/>
        <v>0</v>
      </c>
      <c r="AY7" s="18">
        <f t="shared" si="36"/>
        <v>599.999999999454</v>
      </c>
      <c r="AZ7" s="18">
        <f t="shared" si="9"/>
        <v>9299.99999999927</v>
      </c>
      <c r="BA7" s="18">
        <f t="shared" si="10"/>
        <v>6799.99999999563</v>
      </c>
      <c r="BB7" s="18">
        <f t="shared" si="11"/>
        <v>1120</v>
      </c>
      <c r="BC7" s="18">
        <f>IF(OR(Z7=""),"",(Z8-Z7)*40)</f>
        <v>1599.99999999971</v>
      </c>
      <c r="BD7" s="18">
        <f t="shared" si="12"/>
        <v>12687.5999999809</v>
      </c>
      <c r="BE7" s="18">
        <f t="shared" si="13"/>
        <v>46299.9999999738</v>
      </c>
      <c r="BF7" s="18">
        <f t="shared" si="14"/>
        <v>61.6000000000058</v>
      </c>
      <c r="BG7" s="21">
        <f t="shared" si="15"/>
        <v>0.286920040404128</v>
      </c>
      <c r="BH7" s="21">
        <f t="shared" si="16"/>
        <v>0.0523173595919895</v>
      </c>
      <c r="BI7" s="21">
        <f t="shared" si="17"/>
        <v>0</v>
      </c>
      <c r="BJ7" s="21">
        <f t="shared" si="18"/>
        <v>0.0393508046774693</v>
      </c>
      <c r="BK7" s="21">
        <f t="shared" ref="BK7:BO7" si="37">IF(OR($AD7=0),"",AZ7/$AD7)</f>
        <v>0.0576318871654362</v>
      </c>
      <c r="BL7" s="21">
        <f t="shared" si="37"/>
        <v>0.0421394443790049</v>
      </c>
      <c r="BM7" s="21">
        <f t="shared" si="37"/>
        <v>0.00694061436831114</v>
      </c>
      <c r="BN7" s="21">
        <f t="shared" si="37"/>
        <v>0.00991516338329982</v>
      </c>
      <c r="BO7" s="21">
        <f t="shared" si="37"/>
        <v>0.0786247668386176</v>
      </c>
    </row>
    <row r="8" spans="1:67">
      <c r="A8" s="9">
        <f t="shared" si="20"/>
        <v>44505</v>
      </c>
      <c r="B8" s="10">
        <v>17152.35</v>
      </c>
      <c r="C8" s="8">
        <v>94841.5</v>
      </c>
      <c r="D8" s="8">
        <v>61118.6</v>
      </c>
      <c r="E8" s="8">
        <v>59418.5</v>
      </c>
      <c r="F8" s="8">
        <v>6157.7</v>
      </c>
      <c r="G8" s="8">
        <v>115498.8</v>
      </c>
      <c r="H8" s="8">
        <v>5698.3</v>
      </c>
      <c r="I8" s="8">
        <v>2566.3</v>
      </c>
      <c r="J8" s="8">
        <v>967</v>
      </c>
      <c r="K8" s="8">
        <v>56</v>
      </c>
      <c r="L8" s="8">
        <v>94048.9</v>
      </c>
      <c r="M8" s="8">
        <v>61529.1</v>
      </c>
      <c r="N8" s="8">
        <v>75239.8</v>
      </c>
      <c r="O8" s="8">
        <v>105368.7</v>
      </c>
      <c r="P8" s="8">
        <v>5845.9</v>
      </c>
      <c r="Q8" s="8">
        <v>7696.2</v>
      </c>
      <c r="R8" s="8">
        <v>4660.2</v>
      </c>
      <c r="S8" s="8">
        <v>5355</v>
      </c>
      <c r="T8" s="8">
        <v>6815.2</v>
      </c>
      <c r="U8" s="8">
        <v>17834.8</v>
      </c>
      <c r="V8" s="8">
        <v>51702.3</v>
      </c>
      <c r="W8" s="8">
        <v>53928.7</v>
      </c>
      <c r="X8" s="8">
        <v>3293.5</v>
      </c>
      <c r="Y8" s="8">
        <v>3041.1</v>
      </c>
      <c r="Z8" s="16">
        <f t="shared" si="21"/>
        <v>60263.3</v>
      </c>
      <c r="AA8" s="8">
        <v>68769.6</v>
      </c>
      <c r="AB8" s="14">
        <v>4550</v>
      </c>
      <c r="AC8" s="7">
        <f t="shared" si="22"/>
        <v>73319.6</v>
      </c>
      <c r="AD8" s="17">
        <v>207385</v>
      </c>
      <c r="AE8" s="18">
        <f t="shared" ref="AE8:AI8" si="38">IF(OR(C9=""),"",(C9-C8)*80)</f>
        <v>3831.99999999953</v>
      </c>
      <c r="AF8" s="18">
        <f t="shared" si="38"/>
        <v>2784.00000000023</v>
      </c>
      <c r="AG8" s="18">
        <f t="shared" si="38"/>
        <v>0</v>
      </c>
      <c r="AH8" s="18">
        <f t="shared" si="38"/>
        <v>189.599999999991</v>
      </c>
      <c r="AI8" s="18">
        <f t="shared" si="38"/>
        <v>2704.00000000023</v>
      </c>
      <c r="AJ8" s="18">
        <f t="shared" si="3"/>
        <v>9509.59999999999</v>
      </c>
      <c r="AK8" s="18">
        <f t="shared" ref="AK8:AN8" si="39">IF(OR(H9=""),"",(H9-H8)*80)</f>
        <v>0</v>
      </c>
      <c r="AL8" s="18">
        <f t="shared" si="39"/>
        <v>0</v>
      </c>
      <c r="AM8" s="18">
        <f t="shared" si="39"/>
        <v>0</v>
      </c>
      <c r="AN8" s="18">
        <f t="shared" si="39"/>
        <v>0</v>
      </c>
      <c r="AO8" s="18">
        <f t="shared" si="5"/>
        <v>0</v>
      </c>
      <c r="AP8" s="18">
        <f t="shared" ref="AP8:AS8" si="40">IF(OR(L9=""),"",(L9-L8)*100)</f>
        <v>2900</v>
      </c>
      <c r="AQ8" s="18">
        <f t="shared" si="40"/>
        <v>0</v>
      </c>
      <c r="AR8" s="18">
        <f t="shared" si="40"/>
        <v>2730.00000000029</v>
      </c>
      <c r="AS8" s="18">
        <f t="shared" si="40"/>
        <v>2910.00000000058</v>
      </c>
      <c r="AT8" s="18">
        <f t="shared" si="7"/>
        <v>8540.00000000087</v>
      </c>
      <c r="AU8" s="18">
        <f t="shared" ref="AU8:AY8" si="41">IF(OR(P9=""),"",(P9-P8)*1000)</f>
        <v>1300.00000000018</v>
      </c>
      <c r="AV8" s="18">
        <f t="shared" si="41"/>
        <v>300.000000000182</v>
      </c>
      <c r="AW8" s="18">
        <f t="shared" si="41"/>
        <v>2800.00000000018</v>
      </c>
      <c r="AX8" s="18">
        <f t="shared" si="41"/>
        <v>0</v>
      </c>
      <c r="AY8" s="18">
        <f t="shared" si="41"/>
        <v>8300.00000000018</v>
      </c>
      <c r="AZ8" s="18">
        <f t="shared" si="9"/>
        <v>12700.0000000007</v>
      </c>
      <c r="BA8" s="18">
        <f t="shared" si="10"/>
        <v>8599.99999999854</v>
      </c>
      <c r="BB8" s="18">
        <f t="shared" si="11"/>
        <v>1103.99999999965</v>
      </c>
      <c r="BC8" s="18">
        <f>IF(OR(Z8=""),"",(Z9-Z8)*40)</f>
        <v>1740</v>
      </c>
      <c r="BD8" s="18">
        <f t="shared" si="12"/>
        <v>11506.4000000264</v>
      </c>
      <c r="BE8" s="18">
        <f t="shared" si="13"/>
        <v>53700.0000000262</v>
      </c>
      <c r="BF8" s="18">
        <f t="shared" si="14"/>
        <v>66.3999999999942</v>
      </c>
      <c r="BG8" s="21">
        <f t="shared" si="15"/>
        <v>0.258938688912053</v>
      </c>
      <c r="BH8" s="21">
        <f t="shared" si="16"/>
        <v>0.0458548111001277</v>
      </c>
      <c r="BI8" s="21">
        <f t="shared" si="17"/>
        <v>0</v>
      </c>
      <c r="BJ8" s="21">
        <f t="shared" si="18"/>
        <v>0.0411794488511747</v>
      </c>
      <c r="BK8" s="21">
        <f t="shared" ref="BK8:BO8" si="42">IF(OR($AD8=0),"",AZ8/$AD8)</f>
        <v>0.0612387588301986</v>
      </c>
      <c r="BL8" s="21">
        <f t="shared" si="42"/>
        <v>0.0414687658220148</v>
      </c>
      <c r="BM8" s="21">
        <f t="shared" si="42"/>
        <v>0.00532343226366252</v>
      </c>
      <c r="BN8" s="21">
        <f t="shared" si="42"/>
        <v>0.00839019215468814</v>
      </c>
      <c r="BO8" s="21">
        <f t="shared" si="42"/>
        <v>0.0554832798901869</v>
      </c>
    </row>
    <row r="9" spans="1:67">
      <c r="A9" s="9">
        <f t="shared" si="20"/>
        <v>44506</v>
      </c>
      <c r="B9" s="10">
        <v>17157.72</v>
      </c>
      <c r="C9" s="8">
        <v>94889.4</v>
      </c>
      <c r="D9" s="8">
        <v>61153.4</v>
      </c>
      <c r="E9" s="8">
        <v>59418.5</v>
      </c>
      <c r="F9" s="8">
        <v>6160.07</v>
      </c>
      <c r="G9" s="8">
        <v>115532.6</v>
      </c>
      <c r="H9" s="8">
        <v>5698.3</v>
      </c>
      <c r="I9" s="8">
        <v>2566.3</v>
      </c>
      <c r="J9" s="8">
        <v>967</v>
      </c>
      <c r="K9" s="8">
        <v>56</v>
      </c>
      <c r="L9" s="8">
        <v>94077.9</v>
      </c>
      <c r="M9" s="8">
        <v>61529.1</v>
      </c>
      <c r="N9" s="8">
        <v>75267.1</v>
      </c>
      <c r="O9" s="8">
        <v>105397.8</v>
      </c>
      <c r="P9" s="8">
        <v>5847.2</v>
      </c>
      <c r="Q9" s="8">
        <v>7696.5</v>
      </c>
      <c r="R9" s="8">
        <v>4663</v>
      </c>
      <c r="S9" s="8">
        <v>5355</v>
      </c>
      <c r="T9" s="8">
        <v>6823.5</v>
      </c>
      <c r="U9" s="8">
        <v>17839.1</v>
      </c>
      <c r="V9" s="8">
        <v>51716.1</v>
      </c>
      <c r="W9" s="8">
        <v>53945.7</v>
      </c>
      <c r="X9" s="8">
        <v>3306.5</v>
      </c>
      <c r="Y9" s="8">
        <v>3054.6</v>
      </c>
      <c r="Z9" s="16">
        <f t="shared" si="21"/>
        <v>60306.8</v>
      </c>
      <c r="AA9" s="8">
        <v>68821</v>
      </c>
      <c r="AB9" s="14">
        <v>4565</v>
      </c>
      <c r="AC9" s="7">
        <f t="shared" si="22"/>
        <v>73386</v>
      </c>
      <c r="AD9" s="17">
        <v>212077</v>
      </c>
      <c r="AE9" s="18">
        <f t="shared" ref="AE9:AI9" si="43">IF(OR(C10=""),"",(C10-C9)*80)</f>
        <v>3792.0000000007</v>
      </c>
      <c r="AF9" s="18">
        <f t="shared" si="43"/>
        <v>0</v>
      </c>
      <c r="AG9" s="18">
        <f t="shared" si="43"/>
        <v>0</v>
      </c>
      <c r="AH9" s="18">
        <f t="shared" si="43"/>
        <v>2154.40000000002</v>
      </c>
      <c r="AI9" s="18">
        <f t="shared" si="43"/>
        <v>1831.99999999953</v>
      </c>
      <c r="AJ9" s="18">
        <f t="shared" si="3"/>
        <v>7778.40000000026</v>
      </c>
      <c r="AK9" s="18">
        <f t="shared" ref="AK9:AN9" si="44">IF(OR(H10=""),"",(H10-H9)*80)</f>
        <v>0</v>
      </c>
      <c r="AL9" s="18">
        <f t="shared" si="44"/>
        <v>0</v>
      </c>
      <c r="AM9" s="18">
        <f t="shared" si="44"/>
        <v>0</v>
      </c>
      <c r="AN9" s="18">
        <f t="shared" si="44"/>
        <v>0</v>
      </c>
      <c r="AO9" s="18">
        <f t="shared" si="5"/>
        <v>0</v>
      </c>
      <c r="AP9" s="18">
        <f t="shared" ref="AP9:AS9" si="45">IF(OR(L10=""),"",(L10-L9)*100)</f>
        <v>3190.00000000087</v>
      </c>
      <c r="AQ9" s="18">
        <f t="shared" si="45"/>
        <v>0</v>
      </c>
      <c r="AR9" s="18">
        <f t="shared" si="45"/>
        <v>2789.99999999942</v>
      </c>
      <c r="AS9" s="18">
        <f t="shared" si="45"/>
        <v>1530.00000000029</v>
      </c>
      <c r="AT9" s="18">
        <f t="shared" si="7"/>
        <v>7510.00000000058</v>
      </c>
      <c r="AU9" s="18">
        <f t="shared" ref="AU9:AY9" si="46">IF(OR(P10=""),"",(P10-P9)*1000)</f>
        <v>3500</v>
      </c>
      <c r="AV9" s="18">
        <f t="shared" si="46"/>
        <v>6800.00000000018</v>
      </c>
      <c r="AW9" s="18">
        <f t="shared" si="46"/>
        <v>0</v>
      </c>
      <c r="AX9" s="18">
        <f t="shared" si="46"/>
        <v>0</v>
      </c>
      <c r="AY9" s="18">
        <f t="shared" si="46"/>
        <v>399.999999999636</v>
      </c>
      <c r="AZ9" s="18">
        <f t="shared" si="9"/>
        <v>10699.9999999998</v>
      </c>
      <c r="BA9" s="18">
        <f t="shared" si="10"/>
        <v>9600.00000000582</v>
      </c>
      <c r="BB9" s="18">
        <f t="shared" si="11"/>
        <v>647.999999999884</v>
      </c>
      <c r="BC9" s="18">
        <f t="shared" ref="BC9:BC33" si="47">IF(OR(Z9=""),"",(Z10-Z9)*40)</f>
        <v>1712.00000000012</v>
      </c>
      <c r="BD9" s="18">
        <f t="shared" si="12"/>
        <v>10151.5999999702</v>
      </c>
      <c r="BE9" s="18">
        <f t="shared" si="13"/>
        <v>48099.9999999767</v>
      </c>
      <c r="BF9" s="18">
        <f t="shared" si="14"/>
        <v>65.8000000000029</v>
      </c>
      <c r="BG9" s="21">
        <f t="shared" si="15"/>
        <v>0.226804415377324</v>
      </c>
      <c r="BH9" s="21">
        <f t="shared" si="16"/>
        <v>0.0366772445856941</v>
      </c>
      <c r="BI9" s="21">
        <f t="shared" si="17"/>
        <v>0</v>
      </c>
      <c r="BJ9" s="21">
        <f t="shared" si="18"/>
        <v>0.0354116665173526</v>
      </c>
      <c r="BK9" s="21">
        <f t="shared" ref="BK9:BO9" si="48">IF(OR($AD9=0),"",AZ9/$AD9)</f>
        <v>0.0504533730673285</v>
      </c>
      <c r="BL9" s="21">
        <f t="shared" si="48"/>
        <v>0.0452665777052949</v>
      </c>
      <c r="BM9" s="21">
        <f t="shared" si="48"/>
        <v>0.003055493995105</v>
      </c>
      <c r="BN9" s="21">
        <f t="shared" si="48"/>
        <v>0.00807253969077324</v>
      </c>
      <c r="BO9" s="21">
        <f t="shared" si="48"/>
        <v>0.0478675198157756</v>
      </c>
    </row>
    <row r="10" spans="1:67">
      <c r="A10" s="9">
        <f t="shared" si="20"/>
        <v>44507</v>
      </c>
      <c r="B10" s="10">
        <v>17162.53</v>
      </c>
      <c r="C10" s="8">
        <v>94936.8</v>
      </c>
      <c r="D10" s="8">
        <v>61153.4</v>
      </c>
      <c r="E10" s="8">
        <v>59418.5</v>
      </c>
      <c r="F10" s="8">
        <v>6187</v>
      </c>
      <c r="G10" s="8">
        <v>115555.5</v>
      </c>
      <c r="H10" s="8">
        <v>5698.3</v>
      </c>
      <c r="I10" s="8">
        <v>2566.3</v>
      </c>
      <c r="J10" s="8">
        <v>967</v>
      </c>
      <c r="K10" s="8">
        <v>56</v>
      </c>
      <c r="L10" s="8">
        <v>94109.8</v>
      </c>
      <c r="M10" s="8">
        <v>61529.1</v>
      </c>
      <c r="N10" s="8">
        <v>75295</v>
      </c>
      <c r="O10" s="8">
        <v>105413.1</v>
      </c>
      <c r="P10" s="8">
        <v>5850.7</v>
      </c>
      <c r="Q10" s="8">
        <v>7703.3</v>
      </c>
      <c r="R10" s="8">
        <v>4663</v>
      </c>
      <c r="S10" s="8">
        <v>5355</v>
      </c>
      <c r="T10" s="8">
        <v>6823.9</v>
      </c>
      <c r="U10" s="8">
        <v>17843.9</v>
      </c>
      <c r="V10" s="8">
        <v>51724.2</v>
      </c>
      <c r="W10" s="8">
        <v>53962.1</v>
      </c>
      <c r="X10" s="8">
        <v>3319.4</v>
      </c>
      <c r="Y10" s="8">
        <v>3068.1</v>
      </c>
      <c r="Z10" s="16">
        <f t="shared" si="21"/>
        <v>60349.6</v>
      </c>
      <c r="AA10" s="8">
        <v>68873.8</v>
      </c>
      <c r="AB10" s="14">
        <v>4578</v>
      </c>
      <c r="AC10" s="7">
        <f t="shared" si="22"/>
        <v>73451.8</v>
      </c>
      <c r="AD10" s="17">
        <v>209413</v>
      </c>
      <c r="AE10" s="18">
        <f t="shared" ref="AE10:AI10" si="49">IF(OR(C11=""),"",(C11-C10)*80)</f>
        <v>3935.99999999977</v>
      </c>
      <c r="AF10" s="18">
        <f t="shared" si="49"/>
        <v>367.999999999884</v>
      </c>
      <c r="AG10" s="18">
        <f t="shared" si="49"/>
        <v>0</v>
      </c>
      <c r="AH10" s="18">
        <f t="shared" si="49"/>
        <v>2077.60000000002</v>
      </c>
      <c r="AI10" s="18">
        <f t="shared" si="49"/>
        <v>2271.99999999953</v>
      </c>
      <c r="AJ10" s="18">
        <f t="shared" si="3"/>
        <v>8653.59999999921</v>
      </c>
      <c r="AK10" s="18">
        <f t="shared" ref="AK10:AN10" si="50">IF(OR(H11=""),"",(H11-H10)*80)</f>
        <v>0</v>
      </c>
      <c r="AL10" s="18">
        <f t="shared" si="50"/>
        <v>0</v>
      </c>
      <c r="AM10" s="18">
        <f t="shared" si="50"/>
        <v>0</v>
      </c>
      <c r="AN10" s="18">
        <f t="shared" si="50"/>
        <v>0</v>
      </c>
      <c r="AO10" s="18">
        <f t="shared" si="5"/>
        <v>0</v>
      </c>
      <c r="AP10" s="18">
        <f t="shared" ref="AP10:AS10" si="51">IF(OR(L11=""),"",(L11-L10)*100)</f>
        <v>3230.00000000029</v>
      </c>
      <c r="AQ10" s="18">
        <f t="shared" si="51"/>
        <v>0</v>
      </c>
      <c r="AR10" s="18">
        <f t="shared" si="51"/>
        <v>2860.00000000058</v>
      </c>
      <c r="AS10" s="18">
        <f t="shared" si="51"/>
        <v>2029.99999999884</v>
      </c>
      <c r="AT10" s="18">
        <f t="shared" si="7"/>
        <v>8119.99999999971</v>
      </c>
      <c r="AU10" s="18">
        <f t="shared" ref="AU10:AY10" si="52">IF(OR(P11=""),"",(P11-P10)*1000)</f>
        <v>4199.99999999982</v>
      </c>
      <c r="AV10" s="18">
        <f t="shared" si="52"/>
        <v>6199.99999999982</v>
      </c>
      <c r="AW10" s="18">
        <f t="shared" si="52"/>
        <v>0</v>
      </c>
      <c r="AX10" s="18">
        <f t="shared" si="52"/>
        <v>800.000000000182</v>
      </c>
      <c r="AY10" s="18">
        <f t="shared" si="52"/>
        <v>0</v>
      </c>
      <c r="AZ10" s="18">
        <f t="shared" si="9"/>
        <v>11199.9999999998</v>
      </c>
      <c r="BA10" s="18">
        <f t="shared" si="10"/>
        <v>9799.99999999563</v>
      </c>
      <c r="BB10" s="18">
        <f t="shared" si="11"/>
        <v>56.0000000003492</v>
      </c>
      <c r="BC10" s="18">
        <f t="shared" si="47"/>
        <v>1812.00000000012</v>
      </c>
      <c r="BD10" s="18">
        <f t="shared" si="12"/>
        <v>10758.4000000139</v>
      </c>
      <c r="BE10" s="18">
        <f t="shared" si="13"/>
        <v>50400.0000000087</v>
      </c>
      <c r="BF10" s="18">
        <f t="shared" si="14"/>
        <v>68.3999999999942</v>
      </c>
      <c r="BG10" s="21">
        <f t="shared" si="15"/>
        <v>0.240672737604679</v>
      </c>
      <c r="BH10" s="21">
        <f t="shared" si="16"/>
        <v>0.0413231270264941</v>
      </c>
      <c r="BI10" s="21">
        <f t="shared" si="17"/>
        <v>0</v>
      </c>
      <c r="BJ10" s="21">
        <f t="shared" si="18"/>
        <v>0.0387750521696347</v>
      </c>
      <c r="BK10" s="21">
        <f t="shared" ref="BK10:BO10" si="53">IF(OR($AD10=0),"",AZ10/$AD10)</f>
        <v>0.0534828305788075</v>
      </c>
      <c r="BL10" s="21">
        <f t="shared" si="53"/>
        <v>0.0467974767564365</v>
      </c>
      <c r="BM10" s="21">
        <f t="shared" si="53"/>
        <v>0.00026741415289571</v>
      </c>
      <c r="BN10" s="21">
        <f t="shared" si="53"/>
        <v>0.00865275794721491</v>
      </c>
      <c r="BO10" s="21">
        <f t="shared" si="53"/>
        <v>0.051374078973196</v>
      </c>
    </row>
    <row r="11" spans="1:67">
      <c r="A11" s="9">
        <f t="shared" si="20"/>
        <v>44508</v>
      </c>
      <c r="B11" s="10">
        <v>17167.57</v>
      </c>
      <c r="C11" s="8">
        <v>94986</v>
      </c>
      <c r="D11" s="8">
        <v>61158</v>
      </c>
      <c r="E11" s="8">
        <v>59418.5</v>
      </c>
      <c r="F11" s="8">
        <v>6212.97</v>
      </c>
      <c r="G11" s="8">
        <v>115583.9</v>
      </c>
      <c r="H11" s="8">
        <v>5698.3</v>
      </c>
      <c r="I11" s="8">
        <v>2566.3</v>
      </c>
      <c r="J11" s="8">
        <v>967</v>
      </c>
      <c r="K11" s="8">
        <v>56</v>
      </c>
      <c r="L11" s="8">
        <v>94142.1</v>
      </c>
      <c r="M11" s="8">
        <v>61529.1</v>
      </c>
      <c r="N11" s="8">
        <v>75323.6</v>
      </c>
      <c r="O11" s="8">
        <v>105433.4</v>
      </c>
      <c r="P11" s="8">
        <v>5854.9</v>
      </c>
      <c r="Q11" s="8">
        <v>7709.5</v>
      </c>
      <c r="R11" s="8">
        <v>4663</v>
      </c>
      <c r="S11" s="8">
        <v>5355.8</v>
      </c>
      <c r="T11" s="8">
        <v>6823.9</v>
      </c>
      <c r="U11" s="8">
        <v>17848.8</v>
      </c>
      <c r="V11" s="8">
        <v>51724.9</v>
      </c>
      <c r="W11" s="8">
        <v>53979.8</v>
      </c>
      <c r="X11" s="8">
        <v>3332.9</v>
      </c>
      <c r="Y11" s="8">
        <v>3082.2</v>
      </c>
      <c r="Z11" s="16">
        <f t="shared" si="21"/>
        <v>60394.9</v>
      </c>
      <c r="AA11" s="8">
        <v>68930.2</v>
      </c>
      <c r="AB11" s="14">
        <v>4590</v>
      </c>
      <c r="AC11" s="7">
        <f t="shared" si="22"/>
        <v>73520.2</v>
      </c>
      <c r="AD11" s="17">
        <v>208829</v>
      </c>
      <c r="AE11" s="18">
        <f t="shared" ref="AE11:AI11" si="54">IF(OR(C12=""),"",(C12-C11)*80)</f>
        <v>3935.99999999977</v>
      </c>
      <c r="AF11" s="18">
        <f t="shared" si="54"/>
        <v>455.999999999767</v>
      </c>
      <c r="AG11" s="18">
        <f t="shared" si="54"/>
        <v>0</v>
      </c>
      <c r="AH11" s="18">
        <f t="shared" si="54"/>
        <v>1804.00000000001</v>
      </c>
      <c r="AI11" s="18">
        <f t="shared" si="54"/>
        <v>1744.00000000023</v>
      </c>
      <c r="AJ11" s="18">
        <f t="shared" si="3"/>
        <v>7939.99999999978</v>
      </c>
      <c r="AK11" s="18">
        <f t="shared" ref="AK11:AN11" si="55">IF(OR(H12=""),"",(H12-H11)*80)</f>
        <v>0</v>
      </c>
      <c r="AL11" s="18">
        <f t="shared" si="55"/>
        <v>0</v>
      </c>
      <c r="AM11" s="18">
        <f t="shared" si="55"/>
        <v>0</v>
      </c>
      <c r="AN11" s="18">
        <f t="shared" si="55"/>
        <v>0</v>
      </c>
      <c r="AO11" s="18">
        <f t="shared" si="5"/>
        <v>0</v>
      </c>
      <c r="AP11" s="18">
        <f t="shared" ref="AP11:AS11" si="56">IF(OR(L12=""),"",(L12-L11)*100)</f>
        <v>3069.99999999971</v>
      </c>
      <c r="AQ11" s="18">
        <f t="shared" si="56"/>
        <v>0</v>
      </c>
      <c r="AR11" s="18">
        <f t="shared" si="56"/>
        <v>2879.99999999884</v>
      </c>
      <c r="AS11" s="18">
        <f t="shared" si="56"/>
        <v>1960.00000000058</v>
      </c>
      <c r="AT11" s="18">
        <f t="shared" si="7"/>
        <v>7909.99999999913</v>
      </c>
      <c r="AU11" s="18">
        <f t="shared" ref="AU11:AY11" si="57">IF(OR(P12=""),"",(P12-P11)*1000)</f>
        <v>4100.00000000036</v>
      </c>
      <c r="AV11" s="18">
        <f t="shared" si="57"/>
        <v>6600.00000000036</v>
      </c>
      <c r="AW11" s="18">
        <f t="shared" si="57"/>
        <v>0</v>
      </c>
      <c r="AX11" s="18">
        <f t="shared" si="57"/>
        <v>699.999999999818</v>
      </c>
      <c r="AY11" s="18">
        <f t="shared" si="57"/>
        <v>100.000000000364</v>
      </c>
      <c r="AZ11" s="18">
        <f t="shared" si="9"/>
        <v>11500.0000000009</v>
      </c>
      <c r="BA11" s="18">
        <f t="shared" si="10"/>
        <v>8800.00000000291</v>
      </c>
      <c r="BB11" s="18">
        <f t="shared" si="11"/>
        <v>607.999999999884</v>
      </c>
      <c r="BC11" s="18">
        <f t="shared" si="47"/>
        <v>1660</v>
      </c>
      <c r="BD11" s="18">
        <f t="shared" si="12"/>
        <v>10882.0000000003</v>
      </c>
      <c r="BE11" s="18">
        <f t="shared" si="13"/>
        <v>49300.0000000029</v>
      </c>
      <c r="BF11" s="18">
        <f t="shared" si="14"/>
        <v>68.1000000000058</v>
      </c>
      <c r="BG11" s="21">
        <f t="shared" si="15"/>
        <v>0.236078322455229</v>
      </c>
      <c r="BH11" s="21">
        <f t="shared" si="16"/>
        <v>0.0380215391540437</v>
      </c>
      <c r="BI11" s="21">
        <f t="shared" si="17"/>
        <v>0</v>
      </c>
      <c r="BJ11" s="21">
        <f t="shared" si="18"/>
        <v>0.0378778809456499</v>
      </c>
      <c r="BK11" s="21">
        <f t="shared" ref="BK11:BO11" si="58">IF(OR($AD11=0),"",AZ11/$AD11)</f>
        <v>0.0550689798830666</v>
      </c>
      <c r="BL11" s="21">
        <f t="shared" si="58"/>
        <v>0.0421397411279224</v>
      </c>
      <c r="BM11" s="21">
        <f t="shared" si="58"/>
        <v>0.00291147302338221</v>
      </c>
      <c r="BN11" s="21">
        <f t="shared" si="58"/>
        <v>0.00794908753094637</v>
      </c>
      <c r="BO11" s="21">
        <f t="shared" si="58"/>
        <v>0.0521096207902173</v>
      </c>
    </row>
    <row r="12" spans="1:67">
      <c r="A12" s="9">
        <f t="shared" si="20"/>
        <v>44509</v>
      </c>
      <c r="B12" s="10">
        <v>17172.5</v>
      </c>
      <c r="C12" s="8">
        <v>95035.2</v>
      </c>
      <c r="D12" s="8">
        <v>61163.7</v>
      </c>
      <c r="E12" s="8">
        <v>59418.5</v>
      </c>
      <c r="F12" s="8">
        <v>6235.52</v>
      </c>
      <c r="G12" s="8">
        <v>115605.7</v>
      </c>
      <c r="H12" s="8">
        <v>5698.3</v>
      </c>
      <c r="I12" s="8">
        <v>2566.3</v>
      </c>
      <c r="J12" s="8">
        <v>967</v>
      </c>
      <c r="K12" s="8">
        <v>56</v>
      </c>
      <c r="L12" s="8">
        <v>94172.8</v>
      </c>
      <c r="M12" s="8">
        <v>61529.1</v>
      </c>
      <c r="N12" s="8">
        <v>75352.4</v>
      </c>
      <c r="O12" s="8">
        <v>105453</v>
      </c>
      <c r="P12" s="8">
        <v>5859</v>
      </c>
      <c r="Q12" s="8">
        <v>7716.1</v>
      </c>
      <c r="R12" s="8">
        <v>4663</v>
      </c>
      <c r="S12" s="8">
        <v>5356.5</v>
      </c>
      <c r="T12" s="8">
        <v>6824</v>
      </c>
      <c r="U12" s="8">
        <v>17853.2</v>
      </c>
      <c r="V12" s="8">
        <v>51732.5</v>
      </c>
      <c r="W12" s="8">
        <v>53996.8</v>
      </c>
      <c r="X12" s="8">
        <v>3343.5</v>
      </c>
      <c r="Y12" s="8">
        <v>3096.1</v>
      </c>
      <c r="Z12" s="16">
        <f t="shared" si="21"/>
        <v>60436.4</v>
      </c>
      <c r="AA12" s="8">
        <v>68981.3</v>
      </c>
      <c r="AB12" s="14">
        <v>4607</v>
      </c>
      <c r="AC12" s="7">
        <f t="shared" si="22"/>
        <v>73588.3</v>
      </c>
      <c r="AD12" s="17">
        <v>206572</v>
      </c>
      <c r="AE12" s="18">
        <f t="shared" ref="AE12:AI12" si="59">IF(OR(C13=""),"",(C13-C12)*80)</f>
        <v>4000</v>
      </c>
      <c r="AF12" s="18">
        <f t="shared" si="59"/>
        <v>64.0000000002328</v>
      </c>
      <c r="AG12" s="18">
        <f t="shared" si="59"/>
        <v>0</v>
      </c>
      <c r="AH12" s="18">
        <f t="shared" si="59"/>
        <v>2148.79999999997</v>
      </c>
      <c r="AI12" s="18">
        <f t="shared" si="59"/>
        <v>1744.00000000023</v>
      </c>
      <c r="AJ12" s="18">
        <f t="shared" si="3"/>
        <v>7956.80000000044</v>
      </c>
      <c r="AK12" s="18">
        <f t="shared" ref="AK12:AN12" si="60">IF(OR(H13=""),"",(H13-H12)*80)</f>
        <v>0</v>
      </c>
      <c r="AL12" s="18">
        <f t="shared" si="60"/>
        <v>0</v>
      </c>
      <c r="AM12" s="18">
        <f t="shared" si="60"/>
        <v>0</v>
      </c>
      <c r="AN12" s="18">
        <f t="shared" si="60"/>
        <v>0</v>
      </c>
      <c r="AO12" s="18">
        <f t="shared" si="5"/>
        <v>0</v>
      </c>
      <c r="AP12" s="18">
        <f t="shared" ref="AP12:AS12" si="61">IF(OR(L13=""),"",(L13-L12)*100)</f>
        <v>2980.00000000029</v>
      </c>
      <c r="AQ12" s="18">
        <f t="shared" si="61"/>
        <v>0</v>
      </c>
      <c r="AR12" s="18">
        <f t="shared" si="61"/>
        <v>2800</v>
      </c>
      <c r="AS12" s="18">
        <f t="shared" si="61"/>
        <v>1939.99999999942</v>
      </c>
      <c r="AT12" s="18">
        <f t="shared" si="7"/>
        <v>7719.99999999971</v>
      </c>
      <c r="AU12" s="18">
        <f t="shared" ref="AU12:AY12" si="62">IF(OR(P13=""),"",(P13-P12)*1000)</f>
        <v>3399.99999999964</v>
      </c>
      <c r="AV12" s="18">
        <f t="shared" si="62"/>
        <v>0</v>
      </c>
      <c r="AW12" s="18">
        <f t="shared" si="62"/>
        <v>0</v>
      </c>
      <c r="AX12" s="18">
        <f t="shared" si="62"/>
        <v>5100.00000000036</v>
      </c>
      <c r="AY12" s="18">
        <f t="shared" si="62"/>
        <v>0</v>
      </c>
      <c r="AZ12" s="18">
        <f t="shared" si="9"/>
        <v>8500</v>
      </c>
      <c r="BA12" s="18">
        <f t="shared" si="10"/>
        <v>8799.99999999563</v>
      </c>
      <c r="BB12" s="18">
        <f t="shared" si="11"/>
        <v>455.999999999767</v>
      </c>
      <c r="BC12" s="18">
        <f t="shared" si="47"/>
        <v>1768.00000000017</v>
      </c>
      <c r="BD12" s="18">
        <f t="shared" si="12"/>
        <v>14299.2000000116</v>
      </c>
      <c r="BE12" s="18">
        <f t="shared" si="13"/>
        <v>49500.0000000073</v>
      </c>
      <c r="BF12" s="18">
        <f t="shared" si="14"/>
        <v>65.1999999999971</v>
      </c>
      <c r="BG12" s="21">
        <f t="shared" si="15"/>
        <v>0.239625893151092</v>
      </c>
      <c r="BH12" s="21">
        <f t="shared" si="16"/>
        <v>0.0385182890227158</v>
      </c>
      <c r="BI12" s="21">
        <f t="shared" si="17"/>
        <v>0</v>
      </c>
      <c r="BJ12" s="21">
        <f t="shared" si="18"/>
        <v>0.0373719574772946</v>
      </c>
      <c r="BK12" s="21">
        <f t="shared" ref="BK12:BO12" si="63">IF(OR($AD12=0),"",AZ12/$AD12)</f>
        <v>0.0411478806421006</v>
      </c>
      <c r="BL12" s="21">
        <f t="shared" si="63"/>
        <v>0.0426001587823889</v>
      </c>
      <c r="BM12" s="21">
        <f t="shared" si="63"/>
        <v>0.00220746277326921</v>
      </c>
      <c r="BN12" s="21">
        <f t="shared" si="63"/>
        <v>0.00855875917355776</v>
      </c>
      <c r="BO12" s="21">
        <f t="shared" si="63"/>
        <v>0.0692213852797647</v>
      </c>
    </row>
    <row r="13" spans="1:67">
      <c r="A13" s="9">
        <f t="shared" si="20"/>
        <v>44510</v>
      </c>
      <c r="B13" s="10">
        <v>17177.45</v>
      </c>
      <c r="C13" s="8">
        <v>95085.2</v>
      </c>
      <c r="D13" s="8">
        <v>61164.5</v>
      </c>
      <c r="E13" s="8">
        <v>59418.5</v>
      </c>
      <c r="F13" s="8">
        <v>6262.38</v>
      </c>
      <c r="G13" s="8">
        <v>115627.5</v>
      </c>
      <c r="H13" s="8">
        <v>5698.3</v>
      </c>
      <c r="I13" s="8">
        <v>2566.3</v>
      </c>
      <c r="J13" s="8">
        <v>967</v>
      </c>
      <c r="K13" s="8">
        <v>56</v>
      </c>
      <c r="L13" s="8">
        <v>94202.6</v>
      </c>
      <c r="M13" s="8">
        <v>61529.1</v>
      </c>
      <c r="N13" s="8">
        <v>75380.4</v>
      </c>
      <c r="O13" s="8">
        <v>105472.4</v>
      </c>
      <c r="P13" s="8">
        <v>5862.4</v>
      </c>
      <c r="Q13" s="8">
        <v>7716.1</v>
      </c>
      <c r="R13" s="8">
        <v>4663</v>
      </c>
      <c r="S13" s="8">
        <v>5361.6</v>
      </c>
      <c r="T13" s="8">
        <v>6824</v>
      </c>
      <c r="U13" s="8">
        <v>17857.6</v>
      </c>
      <c r="V13" s="8">
        <v>51738.2</v>
      </c>
      <c r="W13" s="8">
        <v>54013.8</v>
      </c>
      <c r="X13" s="8">
        <v>3357</v>
      </c>
      <c r="Y13" s="8">
        <v>3109.8</v>
      </c>
      <c r="Z13" s="16">
        <f t="shared" si="21"/>
        <v>60480.6</v>
      </c>
      <c r="AA13" s="8">
        <v>69033.5</v>
      </c>
      <c r="AB13" s="14">
        <v>4620</v>
      </c>
      <c r="AC13" s="7">
        <f t="shared" si="22"/>
        <v>73653.5</v>
      </c>
      <c r="AD13" s="17">
        <v>190554</v>
      </c>
      <c r="AE13" s="18">
        <f t="shared" ref="AE13:AI13" si="64">IF(OR(C14=""),"",(C14-C13)*80)</f>
        <v>3992.0000000007</v>
      </c>
      <c r="AF13" s="18">
        <f t="shared" si="64"/>
        <v>1752.00000000012</v>
      </c>
      <c r="AG13" s="18">
        <f t="shared" si="64"/>
        <v>2824.00000000023</v>
      </c>
      <c r="AH13" s="18">
        <f t="shared" si="64"/>
        <v>574.400000000023</v>
      </c>
      <c r="AI13" s="18">
        <f t="shared" si="64"/>
        <v>2391.99999999953</v>
      </c>
      <c r="AJ13" s="18">
        <f t="shared" si="3"/>
        <v>11534.4000000006</v>
      </c>
      <c r="AK13" s="18">
        <f t="shared" ref="AK13:AN13" si="65">IF(OR(H14=""),"",(H14-H13)*80)</f>
        <v>0</v>
      </c>
      <c r="AL13" s="18">
        <f t="shared" si="65"/>
        <v>0</v>
      </c>
      <c r="AM13" s="18">
        <f t="shared" si="65"/>
        <v>0</v>
      </c>
      <c r="AN13" s="18">
        <f t="shared" si="65"/>
        <v>0</v>
      </c>
      <c r="AO13" s="18">
        <f t="shared" si="5"/>
        <v>0</v>
      </c>
      <c r="AP13" s="18">
        <f t="shared" ref="AP13:AS13" si="66">IF(OR(L14=""),"",(L14-L13)*100)</f>
        <v>2550</v>
      </c>
      <c r="AQ13" s="18">
        <f t="shared" si="66"/>
        <v>0</v>
      </c>
      <c r="AR13" s="18">
        <f t="shared" si="66"/>
        <v>2840.00000000087</v>
      </c>
      <c r="AS13" s="18">
        <f t="shared" si="66"/>
        <v>2000</v>
      </c>
      <c r="AT13" s="18">
        <f t="shared" si="7"/>
        <v>7390.00000000087</v>
      </c>
      <c r="AU13" s="18">
        <f t="shared" ref="AU13:AY13" si="67">IF(OR(P14=""),"",(P14-P13)*1000)</f>
        <v>4000</v>
      </c>
      <c r="AV13" s="18">
        <f t="shared" si="67"/>
        <v>599.999999999454</v>
      </c>
      <c r="AW13" s="18">
        <f t="shared" si="67"/>
        <v>0</v>
      </c>
      <c r="AX13" s="18">
        <f t="shared" si="67"/>
        <v>4399.99999999964</v>
      </c>
      <c r="AY13" s="18">
        <f t="shared" si="67"/>
        <v>0</v>
      </c>
      <c r="AZ13" s="18">
        <f t="shared" si="9"/>
        <v>8999.99999999909</v>
      </c>
      <c r="BA13" s="18">
        <f t="shared" si="10"/>
        <v>8400.00000000146</v>
      </c>
      <c r="BB13" s="18">
        <f t="shared" si="11"/>
        <v>72.0000000001164</v>
      </c>
      <c r="BC13" s="18">
        <f t="shared" si="47"/>
        <v>1791.99999999983</v>
      </c>
      <c r="BD13" s="18">
        <f t="shared" si="12"/>
        <v>14311.599999998</v>
      </c>
      <c r="BE13" s="18">
        <f t="shared" si="13"/>
        <v>52500</v>
      </c>
      <c r="BF13" s="18">
        <f t="shared" si="14"/>
        <v>66.5</v>
      </c>
      <c r="BG13" s="21">
        <f t="shared" si="15"/>
        <v>0.275512453162883</v>
      </c>
      <c r="BH13" s="21">
        <f t="shared" si="16"/>
        <v>0.0605308731383262</v>
      </c>
      <c r="BI13" s="21">
        <f t="shared" si="17"/>
        <v>0</v>
      </c>
      <c r="BJ13" s="21">
        <f t="shared" si="18"/>
        <v>0.0387816576928371</v>
      </c>
      <c r="BK13" s="21">
        <f t="shared" ref="BK13:BO13" si="68">IF(OR($AD13=0),"",AZ13/$AD13)</f>
        <v>0.0472307062564895</v>
      </c>
      <c r="BL13" s="21">
        <f t="shared" si="68"/>
        <v>0.0440819925060689</v>
      </c>
      <c r="BM13" s="21">
        <f t="shared" si="68"/>
        <v>0.000377845650052565</v>
      </c>
      <c r="BN13" s="21">
        <f t="shared" si="68"/>
        <v>0.00940415840129215</v>
      </c>
      <c r="BO13" s="21">
        <f t="shared" si="68"/>
        <v>0.0751052195178167</v>
      </c>
    </row>
    <row r="14" spans="1:67">
      <c r="A14" s="9">
        <f t="shared" si="20"/>
        <v>44511</v>
      </c>
      <c r="B14" s="10">
        <v>17182.7</v>
      </c>
      <c r="C14" s="8">
        <v>95135.1</v>
      </c>
      <c r="D14" s="8">
        <v>61186.4</v>
      </c>
      <c r="E14" s="8">
        <v>59453.8</v>
      </c>
      <c r="F14" s="8">
        <v>6269.56</v>
      </c>
      <c r="G14" s="8">
        <v>115657.4</v>
      </c>
      <c r="H14" s="8">
        <v>5698.3</v>
      </c>
      <c r="I14" s="8">
        <v>2566.3</v>
      </c>
      <c r="J14" s="8">
        <v>967</v>
      </c>
      <c r="K14" s="8">
        <v>56</v>
      </c>
      <c r="L14" s="8">
        <v>94228.1</v>
      </c>
      <c r="M14" s="8">
        <v>61529.1</v>
      </c>
      <c r="N14" s="8">
        <v>75408.8</v>
      </c>
      <c r="O14" s="8">
        <v>105492.4</v>
      </c>
      <c r="P14" s="8">
        <v>5866.4</v>
      </c>
      <c r="Q14" s="8">
        <v>7716.7</v>
      </c>
      <c r="R14" s="8">
        <v>4663</v>
      </c>
      <c r="S14" s="8">
        <v>5366</v>
      </c>
      <c r="T14" s="8">
        <v>6824</v>
      </c>
      <c r="U14" s="8">
        <v>17861.8</v>
      </c>
      <c r="V14" s="8">
        <v>51739.1</v>
      </c>
      <c r="W14" s="8">
        <v>54030.9</v>
      </c>
      <c r="X14" s="8">
        <v>3370.7</v>
      </c>
      <c r="Y14" s="8">
        <v>3123.8</v>
      </c>
      <c r="Z14" s="16">
        <f t="shared" si="21"/>
        <v>60525.4</v>
      </c>
      <c r="AA14" s="8">
        <v>69087</v>
      </c>
      <c r="AB14" s="14">
        <v>4633</v>
      </c>
      <c r="AC14" s="7">
        <f t="shared" si="22"/>
        <v>73720</v>
      </c>
      <c r="AD14" s="17">
        <v>167409</v>
      </c>
      <c r="AE14" s="18">
        <f t="shared" ref="AE14:AI14" si="69">IF(OR(C15=""),"",(C15-C14)*80)</f>
        <v>3431.99999999953</v>
      </c>
      <c r="AF14" s="18">
        <f t="shared" si="69"/>
        <v>1303.99999999965</v>
      </c>
      <c r="AG14" s="18">
        <f t="shared" si="69"/>
        <v>1831.99999999953</v>
      </c>
      <c r="AH14" s="18">
        <f t="shared" si="69"/>
        <v>25.5999999999767</v>
      </c>
      <c r="AI14" s="18">
        <f t="shared" si="69"/>
        <v>2208.00000000047</v>
      </c>
      <c r="AJ14" s="18">
        <f t="shared" si="3"/>
        <v>8801.59999999916</v>
      </c>
      <c r="AK14" s="18">
        <f t="shared" ref="AK14:AN14" si="70">IF(OR(H15=""),"",(H15-H14)*80)</f>
        <v>0</v>
      </c>
      <c r="AL14" s="18">
        <f t="shared" si="70"/>
        <v>0</v>
      </c>
      <c r="AM14" s="18">
        <f t="shared" si="70"/>
        <v>0</v>
      </c>
      <c r="AN14" s="18">
        <f t="shared" si="70"/>
        <v>0</v>
      </c>
      <c r="AO14" s="18">
        <f t="shared" si="5"/>
        <v>0</v>
      </c>
      <c r="AP14" s="18">
        <f t="shared" ref="AP14:AS14" si="71">IF(OR(L15=""),"",(L15-L14)*100)</f>
        <v>1989.99999999942</v>
      </c>
      <c r="AQ14" s="18">
        <f t="shared" si="71"/>
        <v>0</v>
      </c>
      <c r="AR14" s="18">
        <f t="shared" si="71"/>
        <v>2119.99999999971</v>
      </c>
      <c r="AS14" s="18">
        <f t="shared" si="71"/>
        <v>1940.00000000087</v>
      </c>
      <c r="AT14" s="18">
        <f t="shared" si="7"/>
        <v>6050</v>
      </c>
      <c r="AU14" s="18">
        <f t="shared" ref="AU14:AY14" si="72">IF(OR(P15=""),"",(P15-P14)*1000)</f>
        <v>3600.00000000036</v>
      </c>
      <c r="AV14" s="18">
        <f t="shared" si="72"/>
        <v>5800.00000000018</v>
      </c>
      <c r="AW14" s="18">
        <f t="shared" si="72"/>
        <v>0</v>
      </c>
      <c r="AX14" s="18">
        <f t="shared" si="72"/>
        <v>0</v>
      </c>
      <c r="AY14" s="18">
        <f t="shared" si="72"/>
        <v>1199.99999999982</v>
      </c>
      <c r="AZ14" s="18">
        <f t="shared" si="9"/>
        <v>10600.0000000004</v>
      </c>
      <c r="BA14" s="18">
        <f t="shared" si="10"/>
        <v>6800.00000000291</v>
      </c>
      <c r="BB14" s="18">
        <f t="shared" si="11"/>
        <v>472.000000000116</v>
      </c>
      <c r="BC14" s="18">
        <f t="shared" si="47"/>
        <v>1707.99999999988</v>
      </c>
      <c r="BD14" s="18">
        <f t="shared" si="12"/>
        <v>9868.40000000047</v>
      </c>
      <c r="BE14" s="18">
        <f t="shared" si="13"/>
        <v>44300.0000000029</v>
      </c>
      <c r="BF14" s="18">
        <f t="shared" si="14"/>
        <v>65.8000000000029</v>
      </c>
      <c r="BG14" s="21">
        <f t="shared" si="15"/>
        <v>0.264621376389578</v>
      </c>
      <c r="BH14" s="21">
        <f t="shared" si="16"/>
        <v>0.052575429039055</v>
      </c>
      <c r="BI14" s="21">
        <f t="shared" si="17"/>
        <v>0</v>
      </c>
      <c r="BJ14" s="21">
        <f t="shared" si="18"/>
        <v>0.0361390367304028</v>
      </c>
      <c r="BK14" s="21">
        <f t="shared" ref="BK14:BO14" si="73">IF(OR($AD14=0),"",AZ14/$AD14)</f>
        <v>0.0633179817094682</v>
      </c>
      <c r="BL14" s="21">
        <f t="shared" si="73"/>
        <v>0.0406190826060899</v>
      </c>
      <c r="BM14" s="21">
        <f t="shared" si="73"/>
        <v>0.0028194422044222</v>
      </c>
      <c r="BN14" s="21">
        <f t="shared" si="73"/>
        <v>0.0102025578075246</v>
      </c>
      <c r="BO14" s="21">
        <f t="shared" si="73"/>
        <v>0.0589478462926155</v>
      </c>
    </row>
    <row r="15" spans="1:67">
      <c r="A15" s="9">
        <f t="shared" si="20"/>
        <v>44512</v>
      </c>
      <c r="B15" s="10">
        <v>17187.13</v>
      </c>
      <c r="C15" s="8">
        <v>95178</v>
      </c>
      <c r="D15" s="8">
        <v>61202.7</v>
      </c>
      <c r="E15" s="8">
        <v>59476.7</v>
      </c>
      <c r="F15" s="8">
        <v>6269.88</v>
      </c>
      <c r="G15" s="8">
        <v>115685</v>
      </c>
      <c r="H15" s="8">
        <v>5698.3</v>
      </c>
      <c r="I15" s="8">
        <v>2566.3</v>
      </c>
      <c r="J15" s="8">
        <v>967</v>
      </c>
      <c r="K15" s="8">
        <v>56</v>
      </c>
      <c r="L15" s="8">
        <v>94248</v>
      </c>
      <c r="M15" s="8">
        <v>61529.1</v>
      </c>
      <c r="N15" s="8">
        <v>75430</v>
      </c>
      <c r="O15" s="8">
        <v>105511.8</v>
      </c>
      <c r="P15" s="8">
        <v>5870</v>
      </c>
      <c r="Q15" s="8">
        <v>7722.5</v>
      </c>
      <c r="R15" s="8">
        <v>4663</v>
      </c>
      <c r="S15" s="8">
        <v>5366</v>
      </c>
      <c r="T15" s="8">
        <v>6825.2</v>
      </c>
      <c r="U15" s="8">
        <v>17865.2</v>
      </c>
      <c r="V15" s="8">
        <v>51745</v>
      </c>
      <c r="W15" s="8">
        <v>54047.5</v>
      </c>
      <c r="X15" s="8">
        <v>3383.6</v>
      </c>
      <c r="Y15" s="8">
        <v>3137</v>
      </c>
      <c r="Z15" s="16">
        <f t="shared" si="21"/>
        <v>60568.1</v>
      </c>
      <c r="AA15" s="8">
        <v>69139.8</v>
      </c>
      <c r="AB15" s="14">
        <v>4646</v>
      </c>
      <c r="AC15" s="7">
        <f t="shared" si="22"/>
        <v>73785.8</v>
      </c>
      <c r="AD15" s="17">
        <v>148305</v>
      </c>
      <c r="AE15" s="18">
        <f t="shared" ref="AE15:AI15" si="74">IF(OR(C16=""),"",(C16-C15)*80)</f>
        <v>3400</v>
      </c>
      <c r="AF15" s="18">
        <f t="shared" si="74"/>
        <v>888.000000000466</v>
      </c>
      <c r="AG15" s="18">
        <f t="shared" si="74"/>
        <v>0</v>
      </c>
      <c r="AH15" s="18">
        <f t="shared" si="74"/>
        <v>1175.99999999999</v>
      </c>
      <c r="AI15" s="18">
        <f t="shared" si="74"/>
        <v>1984.00000000023</v>
      </c>
      <c r="AJ15" s="18">
        <f t="shared" si="3"/>
        <v>7448.00000000068</v>
      </c>
      <c r="AK15" s="18">
        <f t="shared" ref="AK15:AN15" si="75">IF(OR(H16=""),"",(H16-H15)*80)</f>
        <v>0</v>
      </c>
      <c r="AL15" s="18">
        <f t="shared" si="75"/>
        <v>0</v>
      </c>
      <c r="AM15" s="18">
        <f t="shared" si="75"/>
        <v>0</v>
      </c>
      <c r="AN15" s="18">
        <f t="shared" si="75"/>
        <v>0</v>
      </c>
      <c r="AO15" s="18">
        <f t="shared" si="5"/>
        <v>0</v>
      </c>
      <c r="AP15" s="18">
        <f t="shared" ref="AP15:AS15" si="76">IF(OR(L16=""),"",(L16-L15)*100)</f>
        <v>2089.99999999942</v>
      </c>
      <c r="AQ15" s="18">
        <f t="shared" si="76"/>
        <v>0</v>
      </c>
      <c r="AR15" s="18">
        <f t="shared" si="76"/>
        <v>2000</v>
      </c>
      <c r="AS15" s="18">
        <f t="shared" si="76"/>
        <v>1589.99999999942</v>
      </c>
      <c r="AT15" s="18">
        <f t="shared" si="7"/>
        <v>5679.99999999884</v>
      </c>
      <c r="AU15" s="18">
        <f t="shared" ref="AU15:AY15" si="77">IF(OR(P16=""),"",(P16-P15)*1000)</f>
        <v>3000</v>
      </c>
      <c r="AV15" s="18">
        <f t="shared" si="77"/>
        <v>0</v>
      </c>
      <c r="AW15" s="18">
        <f t="shared" si="77"/>
        <v>4100.00000000036</v>
      </c>
      <c r="AX15" s="18">
        <f t="shared" si="77"/>
        <v>600.000000000364</v>
      </c>
      <c r="AY15" s="18">
        <f t="shared" si="77"/>
        <v>0</v>
      </c>
      <c r="AZ15" s="18">
        <f t="shared" si="9"/>
        <v>7700.00000000073</v>
      </c>
      <c r="BA15" s="18">
        <f t="shared" si="10"/>
        <v>6599.99999999854</v>
      </c>
      <c r="BB15" s="18">
        <f t="shared" si="11"/>
        <v>535.999999999767</v>
      </c>
      <c r="BC15" s="18">
        <f t="shared" si="47"/>
        <v>1608.00000000017</v>
      </c>
      <c r="BD15" s="18">
        <f t="shared" si="12"/>
        <v>15527.9999999853</v>
      </c>
      <c r="BE15" s="18">
        <f t="shared" si="13"/>
        <v>45099.999999984</v>
      </c>
      <c r="BF15" s="18">
        <f t="shared" si="14"/>
        <v>57.8999999999942</v>
      </c>
      <c r="BG15" s="21">
        <f t="shared" si="15"/>
        <v>0.30410303091591</v>
      </c>
      <c r="BH15" s="21">
        <f t="shared" si="16"/>
        <v>0.050220828697621</v>
      </c>
      <c r="BI15" s="21">
        <f t="shared" si="17"/>
        <v>0</v>
      </c>
      <c r="BJ15" s="21">
        <f t="shared" si="18"/>
        <v>0.038299450456821</v>
      </c>
      <c r="BK15" s="21">
        <f t="shared" ref="BK15:BO15" si="78">IF(OR($AD15=0),"",AZ15/$AD15)</f>
        <v>0.0519200296685933</v>
      </c>
      <c r="BL15" s="21">
        <f t="shared" si="78"/>
        <v>0.0445028825730659</v>
      </c>
      <c r="BM15" s="21">
        <f t="shared" si="78"/>
        <v>0.00361417349381186</v>
      </c>
      <c r="BN15" s="21">
        <f t="shared" si="78"/>
        <v>0.0108425204814415</v>
      </c>
      <c r="BO15" s="21">
        <f t="shared" si="78"/>
        <v>0.104703145544555</v>
      </c>
    </row>
    <row r="16" spans="1:67">
      <c r="A16" s="9">
        <f t="shared" si="20"/>
        <v>44513</v>
      </c>
      <c r="B16" s="10">
        <v>17191.64</v>
      </c>
      <c r="C16" s="8">
        <v>95220.5</v>
      </c>
      <c r="D16" s="8">
        <v>61213.8</v>
      </c>
      <c r="E16" s="8">
        <v>59476.7</v>
      </c>
      <c r="F16" s="8">
        <v>6284.58</v>
      </c>
      <c r="G16" s="8">
        <v>115709.8</v>
      </c>
      <c r="H16" s="8">
        <v>5698.3</v>
      </c>
      <c r="I16" s="8">
        <v>2566.3</v>
      </c>
      <c r="J16" s="8">
        <v>967</v>
      </c>
      <c r="K16" s="8">
        <v>56</v>
      </c>
      <c r="L16" s="8">
        <v>94268.9</v>
      </c>
      <c r="M16" s="8">
        <v>61529.1</v>
      </c>
      <c r="N16" s="8">
        <v>75450</v>
      </c>
      <c r="O16" s="8">
        <v>105527.7</v>
      </c>
      <c r="P16" s="8">
        <v>5873</v>
      </c>
      <c r="Q16" s="8">
        <v>7722.5</v>
      </c>
      <c r="R16" s="8">
        <v>4667.1</v>
      </c>
      <c r="S16" s="8">
        <v>5366.6</v>
      </c>
      <c r="T16" s="8">
        <v>6825.2</v>
      </c>
      <c r="U16" s="8">
        <v>17868.5</v>
      </c>
      <c r="V16" s="8">
        <v>51751.7</v>
      </c>
      <c r="W16" s="8">
        <v>54063</v>
      </c>
      <c r="X16" s="8">
        <v>3395.9</v>
      </c>
      <c r="Y16" s="8">
        <v>3149.4</v>
      </c>
      <c r="Z16" s="16">
        <f t="shared" si="21"/>
        <v>60608.3</v>
      </c>
      <c r="AA16" s="8">
        <v>69186.7</v>
      </c>
      <c r="AB16" s="14">
        <v>4657</v>
      </c>
      <c r="AC16" s="7">
        <f t="shared" si="22"/>
        <v>73843.7</v>
      </c>
      <c r="AD16" s="17">
        <v>191419</v>
      </c>
      <c r="AE16" s="18">
        <f t="shared" ref="AE16:AI16" si="79">IF(OR(C17=""),"",(C17-C16)*80)</f>
        <v>3831.99999999953</v>
      </c>
      <c r="AF16" s="18">
        <f t="shared" si="79"/>
        <v>2127.99999999988</v>
      </c>
      <c r="AG16" s="18">
        <f t="shared" si="79"/>
        <v>0</v>
      </c>
      <c r="AH16" s="18">
        <f t="shared" si="79"/>
        <v>1746.39999999999</v>
      </c>
      <c r="AI16" s="18">
        <f t="shared" si="79"/>
        <v>1704.00000000023</v>
      </c>
      <c r="AJ16" s="18">
        <f t="shared" si="3"/>
        <v>9410.39999999964</v>
      </c>
      <c r="AK16" s="18">
        <f t="shared" ref="AK16:AN16" si="80">IF(OR(H17=""),"",(H17-H16)*80)</f>
        <v>0</v>
      </c>
      <c r="AL16" s="18">
        <f t="shared" si="80"/>
        <v>0</v>
      </c>
      <c r="AM16" s="18">
        <f t="shared" si="80"/>
        <v>0</v>
      </c>
      <c r="AN16" s="18">
        <f t="shared" si="80"/>
        <v>0</v>
      </c>
      <c r="AO16" s="18">
        <f t="shared" si="5"/>
        <v>0</v>
      </c>
      <c r="AP16" s="18">
        <f t="shared" ref="AP16:AS16" si="81">IF(OR(L17=""),"",(L17-L16)*100)</f>
        <v>2500</v>
      </c>
      <c r="AQ16" s="18">
        <f t="shared" si="81"/>
        <v>0</v>
      </c>
      <c r="AR16" s="18">
        <f t="shared" si="81"/>
        <v>2480.00000000029</v>
      </c>
      <c r="AS16" s="18">
        <f t="shared" si="81"/>
        <v>1790.00000000087</v>
      </c>
      <c r="AT16" s="18">
        <f t="shared" si="7"/>
        <v>6770.00000000116</v>
      </c>
      <c r="AU16" s="18">
        <f t="shared" ref="AU16:AY16" si="82">IF(OR(P17=""),"",(P17-P16)*1000)</f>
        <v>2399.99999999964</v>
      </c>
      <c r="AV16" s="18">
        <f t="shared" si="82"/>
        <v>0</v>
      </c>
      <c r="AW16" s="18">
        <f t="shared" si="82"/>
        <v>3099.99999999945</v>
      </c>
      <c r="AX16" s="18">
        <f t="shared" si="82"/>
        <v>5199.99999999982</v>
      </c>
      <c r="AY16" s="18">
        <f t="shared" si="82"/>
        <v>0</v>
      </c>
      <c r="AZ16" s="18">
        <f t="shared" si="9"/>
        <v>10699.9999999989</v>
      </c>
      <c r="BA16" s="18">
        <f t="shared" si="10"/>
        <v>7599.99999999854</v>
      </c>
      <c r="BB16" s="18">
        <f t="shared" si="11"/>
        <v>624.000000000233</v>
      </c>
      <c r="BC16" s="18">
        <f t="shared" si="47"/>
        <v>2251.99999999983</v>
      </c>
      <c r="BD16" s="18">
        <f t="shared" si="12"/>
        <v>19143.6000000162</v>
      </c>
      <c r="BE16" s="18">
        <f t="shared" si="13"/>
        <v>56500.0000000146</v>
      </c>
      <c r="BF16" s="18">
        <f t="shared" si="14"/>
        <v>65.6999999999971</v>
      </c>
      <c r="BG16" s="21">
        <f t="shared" si="15"/>
        <v>0.295164011932016</v>
      </c>
      <c r="BH16" s="21">
        <f t="shared" si="16"/>
        <v>0.0491612640333491</v>
      </c>
      <c r="BI16" s="21">
        <f t="shared" si="17"/>
        <v>0</v>
      </c>
      <c r="BJ16" s="21">
        <f t="shared" si="18"/>
        <v>0.0353674400137978</v>
      </c>
      <c r="BK16" s="21">
        <f t="shared" ref="BK16:BO16" si="83">IF(OR($AD16=0),"",AZ16/$AD16)</f>
        <v>0.0558983173039192</v>
      </c>
      <c r="BL16" s="21">
        <f t="shared" si="83"/>
        <v>0.0397034777111914</v>
      </c>
      <c r="BM16" s="21">
        <f t="shared" si="83"/>
        <v>0.00325986448576282</v>
      </c>
      <c r="BN16" s="21">
        <f t="shared" si="83"/>
        <v>0.0117647673428438</v>
      </c>
      <c r="BO16" s="21">
        <f t="shared" si="83"/>
        <v>0.100008881041152</v>
      </c>
    </row>
    <row r="17" spans="1:67">
      <c r="A17" s="9">
        <f t="shared" si="20"/>
        <v>44514</v>
      </c>
      <c r="B17" s="10">
        <v>17197.29</v>
      </c>
      <c r="C17" s="8">
        <v>95268.4</v>
      </c>
      <c r="D17" s="8">
        <v>61240.4</v>
      </c>
      <c r="E17" s="8">
        <v>59476.7</v>
      </c>
      <c r="F17" s="8">
        <v>6306.41</v>
      </c>
      <c r="G17" s="8">
        <v>115731.1</v>
      </c>
      <c r="H17" s="8">
        <v>5698.3</v>
      </c>
      <c r="I17" s="8">
        <v>2566.3</v>
      </c>
      <c r="J17" s="8">
        <v>967</v>
      </c>
      <c r="K17" s="8">
        <v>56</v>
      </c>
      <c r="L17" s="8">
        <v>94293.9</v>
      </c>
      <c r="M17" s="8">
        <v>61529.1</v>
      </c>
      <c r="N17" s="8">
        <v>75474.8</v>
      </c>
      <c r="O17" s="8">
        <v>105545.6</v>
      </c>
      <c r="P17" s="8">
        <v>5875.4</v>
      </c>
      <c r="Q17" s="8">
        <v>7722.5</v>
      </c>
      <c r="R17" s="8">
        <v>4670.2</v>
      </c>
      <c r="S17" s="8">
        <v>5371.8</v>
      </c>
      <c r="T17" s="8">
        <v>6825.2</v>
      </c>
      <c r="U17" s="8">
        <v>17872.3</v>
      </c>
      <c r="V17" s="8">
        <v>51759.5</v>
      </c>
      <c r="W17" s="8">
        <v>54081.1</v>
      </c>
      <c r="X17" s="8">
        <v>3419.9</v>
      </c>
      <c r="Y17" s="8">
        <v>3163.6</v>
      </c>
      <c r="Z17" s="16">
        <f t="shared" si="21"/>
        <v>60664.6</v>
      </c>
      <c r="AA17" s="8">
        <v>69239.4</v>
      </c>
      <c r="AB17" s="14">
        <v>4670</v>
      </c>
      <c r="AC17" s="7">
        <f t="shared" si="22"/>
        <v>73909.4</v>
      </c>
      <c r="AD17" s="17">
        <v>186844</v>
      </c>
      <c r="AE17" s="18">
        <f t="shared" ref="AE17:AI17" si="84">IF(OR(C18=""),"",(C18-C17)*80)</f>
        <v>3696.00000000093</v>
      </c>
      <c r="AF17" s="18">
        <f t="shared" si="84"/>
        <v>2560</v>
      </c>
      <c r="AG17" s="18">
        <f t="shared" si="84"/>
        <v>0</v>
      </c>
      <c r="AH17" s="18">
        <f t="shared" si="84"/>
        <v>1727.20000000001</v>
      </c>
      <c r="AI17" s="18">
        <f t="shared" si="84"/>
        <v>1607.9999999993</v>
      </c>
      <c r="AJ17" s="18">
        <f t="shared" si="3"/>
        <v>9591.20000000024</v>
      </c>
      <c r="AK17" s="18">
        <f t="shared" ref="AK17:AN17" si="85">IF(OR(H18=""),"",(H18-H17)*80)</f>
        <v>0</v>
      </c>
      <c r="AL17" s="18">
        <f t="shared" si="85"/>
        <v>0</v>
      </c>
      <c r="AM17" s="18">
        <f t="shared" si="85"/>
        <v>0</v>
      </c>
      <c r="AN17" s="18">
        <f t="shared" si="85"/>
        <v>0</v>
      </c>
      <c r="AO17" s="18">
        <f t="shared" si="5"/>
        <v>0</v>
      </c>
      <c r="AP17" s="18">
        <f t="shared" ref="AP17:AS17" si="86">IF(OR(L18=""),"",(L18-L17)*100)</f>
        <v>2590.00000000087</v>
      </c>
      <c r="AQ17" s="18">
        <f t="shared" si="86"/>
        <v>0</v>
      </c>
      <c r="AR17" s="18">
        <f t="shared" si="86"/>
        <v>2409.99999999913</v>
      </c>
      <c r="AS17" s="18">
        <f t="shared" si="86"/>
        <v>1879.99999999884</v>
      </c>
      <c r="AT17" s="18">
        <f t="shared" si="7"/>
        <v>6879.99999999884</v>
      </c>
      <c r="AU17" s="18">
        <f t="shared" ref="AU17:AY17" si="87">IF(OR(P18=""),"",(P18-P17)*1000)</f>
        <v>1100.00000000036</v>
      </c>
      <c r="AV17" s="18">
        <f t="shared" si="87"/>
        <v>100.000000000364</v>
      </c>
      <c r="AW17" s="18">
        <f t="shared" si="87"/>
        <v>3500</v>
      </c>
      <c r="AX17" s="18">
        <f t="shared" si="87"/>
        <v>5099.99999999945</v>
      </c>
      <c r="AY17" s="18">
        <f t="shared" si="87"/>
        <v>0</v>
      </c>
      <c r="AZ17" s="18">
        <f t="shared" si="9"/>
        <v>9800.00000000018</v>
      </c>
      <c r="BA17" s="18">
        <f t="shared" si="10"/>
        <v>7599.99999999854</v>
      </c>
      <c r="BB17" s="18">
        <f t="shared" si="11"/>
        <v>624.000000000233</v>
      </c>
      <c r="BC17" s="18">
        <f t="shared" si="47"/>
        <v>1336.00000000006</v>
      </c>
      <c r="BD17" s="18">
        <f t="shared" si="12"/>
        <v>17968.7999999757</v>
      </c>
      <c r="BE17" s="18">
        <f t="shared" si="13"/>
        <v>53799.9999999738</v>
      </c>
      <c r="BF17" s="18">
        <f t="shared" si="14"/>
        <v>63.4000000000087</v>
      </c>
      <c r="BG17" s="21">
        <f t="shared" si="15"/>
        <v>0.287940742009237</v>
      </c>
      <c r="BH17" s="21">
        <f t="shared" si="16"/>
        <v>0.051332662542015</v>
      </c>
      <c r="BI17" s="21">
        <f t="shared" si="17"/>
        <v>0</v>
      </c>
      <c r="BJ17" s="21">
        <f t="shared" si="18"/>
        <v>0.0368221618034234</v>
      </c>
      <c r="BK17" s="21">
        <f t="shared" ref="BK17:BO17" si="88">IF(OR($AD17=0),"",AZ17/$AD17)</f>
        <v>0.0524501723362815</v>
      </c>
      <c r="BL17" s="21">
        <f t="shared" si="88"/>
        <v>0.0406756438526179</v>
      </c>
      <c r="BM17" s="21">
        <f t="shared" si="88"/>
        <v>0.00333968444263788</v>
      </c>
      <c r="BN17" s="21">
        <f t="shared" si="88"/>
        <v>0.00715035002461978</v>
      </c>
      <c r="BO17" s="21">
        <f t="shared" si="88"/>
        <v>0.0961700670076412</v>
      </c>
    </row>
    <row r="18" spans="1:67">
      <c r="A18" s="9">
        <f t="shared" si="20"/>
        <v>44515</v>
      </c>
      <c r="B18" s="10">
        <v>17202.67</v>
      </c>
      <c r="C18" s="8">
        <v>95314.6</v>
      </c>
      <c r="D18" s="8">
        <v>61272.4</v>
      </c>
      <c r="E18" s="8">
        <v>59476.7</v>
      </c>
      <c r="F18" s="8">
        <v>6328</v>
      </c>
      <c r="G18" s="8">
        <v>115751.2</v>
      </c>
      <c r="H18" s="8">
        <v>5698.3</v>
      </c>
      <c r="I18" s="8">
        <v>2566.3</v>
      </c>
      <c r="J18" s="8">
        <v>967</v>
      </c>
      <c r="K18" s="8">
        <v>56</v>
      </c>
      <c r="L18" s="8">
        <v>94319.8</v>
      </c>
      <c r="M18" s="8">
        <v>61529.1</v>
      </c>
      <c r="N18" s="8">
        <v>75498.9</v>
      </c>
      <c r="O18" s="8">
        <v>105564.4</v>
      </c>
      <c r="P18" s="8">
        <v>5876.5</v>
      </c>
      <c r="Q18" s="8">
        <v>7722.6</v>
      </c>
      <c r="R18" s="8">
        <v>4673.7</v>
      </c>
      <c r="S18" s="8">
        <v>5376.9</v>
      </c>
      <c r="T18" s="8">
        <v>6825.2</v>
      </c>
      <c r="U18" s="8">
        <v>17876.1</v>
      </c>
      <c r="V18" s="8">
        <v>51767.3</v>
      </c>
      <c r="W18" s="8">
        <v>54097.5</v>
      </c>
      <c r="X18" s="8">
        <v>3423.4</v>
      </c>
      <c r="Y18" s="8">
        <v>3177.1</v>
      </c>
      <c r="Z18" s="16">
        <f t="shared" si="21"/>
        <v>60698</v>
      </c>
      <c r="AA18" s="8">
        <v>69288.8</v>
      </c>
      <c r="AB18" s="14">
        <v>4684</v>
      </c>
      <c r="AC18" s="7">
        <f t="shared" si="22"/>
        <v>73972.8</v>
      </c>
      <c r="AD18" s="17">
        <v>194588</v>
      </c>
      <c r="AE18" s="18">
        <f t="shared" ref="AE18:AI18" si="89">IF(OR(C19=""),"",(C19-C18)*80)</f>
        <v>3840</v>
      </c>
      <c r="AF18" s="18">
        <f t="shared" si="89"/>
        <v>2167.99999999988</v>
      </c>
      <c r="AG18" s="18">
        <f t="shared" si="89"/>
        <v>0</v>
      </c>
      <c r="AH18" s="18">
        <f t="shared" si="89"/>
        <v>1976.8</v>
      </c>
      <c r="AI18" s="18">
        <f t="shared" si="89"/>
        <v>1848.00000000047</v>
      </c>
      <c r="AJ18" s="18">
        <f t="shared" si="3"/>
        <v>9832.80000000035</v>
      </c>
      <c r="AK18" s="18">
        <f t="shared" ref="AK18:AN18" si="90">IF(OR(H19=""),"",(H19-H18)*80)</f>
        <v>0</v>
      </c>
      <c r="AL18" s="18">
        <f t="shared" si="90"/>
        <v>0</v>
      </c>
      <c r="AM18" s="18">
        <f t="shared" si="90"/>
        <v>0</v>
      </c>
      <c r="AN18" s="18">
        <f t="shared" si="90"/>
        <v>0</v>
      </c>
      <c r="AO18" s="18">
        <f t="shared" si="5"/>
        <v>0</v>
      </c>
      <c r="AP18" s="18">
        <f t="shared" ref="AP18:AS18" si="91">IF(OR(L19=""),"",(L19-L18)*100)</f>
        <v>2609.99999999913</v>
      </c>
      <c r="AQ18" s="18">
        <f t="shared" si="91"/>
        <v>0</v>
      </c>
      <c r="AR18" s="18">
        <f t="shared" si="91"/>
        <v>2580.00000000029</v>
      </c>
      <c r="AS18" s="18">
        <f t="shared" si="91"/>
        <v>2040.00000000087</v>
      </c>
      <c r="AT18" s="18">
        <f t="shared" si="7"/>
        <v>7230.00000000029</v>
      </c>
      <c r="AU18" s="18">
        <f t="shared" ref="AU18:AY18" si="92">IF(OR(P19=""),"",(P19-P18)*1000)</f>
        <v>1500</v>
      </c>
      <c r="AV18" s="18">
        <f t="shared" si="92"/>
        <v>0</v>
      </c>
      <c r="AW18" s="18">
        <f t="shared" si="92"/>
        <v>3800.00000000018</v>
      </c>
      <c r="AX18" s="18">
        <f t="shared" si="92"/>
        <v>5300.00000000018</v>
      </c>
      <c r="AY18" s="18">
        <f t="shared" si="92"/>
        <v>199.999999999818</v>
      </c>
      <c r="AZ18" s="18">
        <f t="shared" si="9"/>
        <v>10800.0000000002</v>
      </c>
      <c r="BA18" s="18">
        <f t="shared" si="10"/>
        <v>7800.00000000291</v>
      </c>
      <c r="BB18" s="18">
        <f t="shared" si="11"/>
        <v>600</v>
      </c>
      <c r="BC18" s="18">
        <f t="shared" si="47"/>
        <v>1799.99999999971</v>
      </c>
      <c r="BD18" s="18">
        <f t="shared" si="12"/>
        <v>19437.1999999966</v>
      </c>
      <c r="BE18" s="18">
        <f t="shared" si="13"/>
        <v>57500</v>
      </c>
      <c r="BF18" s="18">
        <f t="shared" si="14"/>
        <v>64.1999999999971</v>
      </c>
      <c r="BG18" s="21">
        <f t="shared" si="15"/>
        <v>0.295496125146463</v>
      </c>
      <c r="BH18" s="21">
        <f t="shared" si="16"/>
        <v>0.0505313791189608</v>
      </c>
      <c r="BI18" s="21">
        <f t="shared" si="17"/>
        <v>0</v>
      </c>
      <c r="BJ18" s="21">
        <f t="shared" si="18"/>
        <v>0.0371554258227655</v>
      </c>
      <c r="BK18" s="21">
        <f t="shared" ref="BK18:BO18" si="93">IF(OR($AD18=0),"",AZ18/$AD18)</f>
        <v>0.0555018808970758</v>
      </c>
      <c r="BL18" s="21">
        <f t="shared" si="93"/>
        <v>0.0400846917590135</v>
      </c>
      <c r="BM18" s="21">
        <f t="shared" si="93"/>
        <v>0.00308343782761527</v>
      </c>
      <c r="BN18" s="21">
        <f t="shared" si="93"/>
        <v>0.00925031348284431</v>
      </c>
      <c r="BO18" s="21">
        <f t="shared" si="93"/>
        <v>0.0998889962381881</v>
      </c>
    </row>
    <row r="19" spans="1:67">
      <c r="A19" s="9">
        <f t="shared" si="20"/>
        <v>44516</v>
      </c>
      <c r="B19" s="10">
        <v>17208.42</v>
      </c>
      <c r="C19" s="8">
        <v>95362.6</v>
      </c>
      <c r="D19" s="8">
        <v>61299.5</v>
      </c>
      <c r="E19" s="8">
        <v>59476.7</v>
      </c>
      <c r="F19" s="8">
        <v>6352.71</v>
      </c>
      <c r="G19" s="8">
        <v>115774.3</v>
      </c>
      <c r="H19" s="8">
        <v>5698.3</v>
      </c>
      <c r="I19" s="8">
        <v>2566.3</v>
      </c>
      <c r="J19" s="8">
        <v>967</v>
      </c>
      <c r="K19" s="8">
        <v>56</v>
      </c>
      <c r="L19" s="8">
        <v>94345.9</v>
      </c>
      <c r="M19" s="8">
        <v>61529.1</v>
      </c>
      <c r="N19" s="8">
        <v>75524.7</v>
      </c>
      <c r="O19" s="8">
        <v>105584.8</v>
      </c>
      <c r="P19" s="8">
        <v>5878</v>
      </c>
      <c r="Q19" s="8">
        <v>7722.6</v>
      </c>
      <c r="R19" s="8">
        <v>4677.5</v>
      </c>
      <c r="S19" s="8">
        <v>5382.2</v>
      </c>
      <c r="T19" s="8">
        <v>6825.4</v>
      </c>
      <c r="U19" s="8">
        <v>17880</v>
      </c>
      <c r="V19" s="8">
        <v>51774.8</v>
      </c>
      <c r="W19" s="8">
        <v>54114.7</v>
      </c>
      <c r="X19" s="8">
        <v>3437.2</v>
      </c>
      <c r="Y19" s="8">
        <v>3191.1</v>
      </c>
      <c r="Z19" s="16">
        <f t="shared" si="21"/>
        <v>60743</v>
      </c>
      <c r="AA19" s="8">
        <v>69340</v>
      </c>
      <c r="AB19" s="14">
        <v>4697</v>
      </c>
      <c r="AC19" s="7">
        <f t="shared" si="22"/>
        <v>74037</v>
      </c>
      <c r="AD19" s="17">
        <v>191668</v>
      </c>
      <c r="AE19" s="18">
        <f t="shared" ref="AE19:AI19" si="94">IF(OR(C20=""),"",(C20-C19)*80)</f>
        <v>2463.99999999907</v>
      </c>
      <c r="AF19" s="18">
        <f t="shared" si="94"/>
        <v>1824.00000000023</v>
      </c>
      <c r="AG19" s="18">
        <f t="shared" si="94"/>
        <v>0</v>
      </c>
      <c r="AH19" s="18">
        <f t="shared" si="94"/>
        <v>1913.60000000001</v>
      </c>
      <c r="AI19" s="18">
        <f t="shared" si="94"/>
        <v>1911.99999999953</v>
      </c>
      <c r="AJ19" s="18">
        <f t="shared" si="3"/>
        <v>8113.59999999884</v>
      </c>
      <c r="AK19" s="18">
        <f t="shared" ref="AK19:AN19" si="95">IF(OR(H20=""),"",(H20-H19)*80)</f>
        <v>0</v>
      </c>
      <c r="AL19" s="18">
        <f t="shared" si="95"/>
        <v>0</v>
      </c>
      <c r="AM19" s="18">
        <f t="shared" si="95"/>
        <v>0</v>
      </c>
      <c r="AN19" s="18">
        <f t="shared" si="95"/>
        <v>0</v>
      </c>
      <c r="AO19" s="18">
        <f t="shared" si="5"/>
        <v>0</v>
      </c>
      <c r="AP19" s="18">
        <f t="shared" ref="AP19:AS19" si="96">IF(OR(L20=""),"",(L20-L19)*100)</f>
        <v>2340.00000000087</v>
      </c>
      <c r="AQ19" s="18">
        <f t="shared" si="96"/>
        <v>0</v>
      </c>
      <c r="AR19" s="18">
        <f t="shared" si="96"/>
        <v>2760.00000000058</v>
      </c>
      <c r="AS19" s="18">
        <f t="shared" si="96"/>
        <v>2019.99999999971</v>
      </c>
      <c r="AT19" s="18">
        <f t="shared" si="7"/>
        <v>7120.00000000116</v>
      </c>
      <c r="AU19" s="18">
        <f t="shared" ref="AU19:AY19" si="97">IF(OR(P20=""),"",(P20-P19)*1000)</f>
        <v>2300.00000000018</v>
      </c>
      <c r="AV19" s="18">
        <f t="shared" si="97"/>
        <v>3799.99999999927</v>
      </c>
      <c r="AW19" s="18">
        <f t="shared" si="97"/>
        <v>4699.99999999982</v>
      </c>
      <c r="AX19" s="18">
        <f t="shared" si="97"/>
        <v>5300.00000000018</v>
      </c>
      <c r="AY19" s="18">
        <f t="shared" si="97"/>
        <v>0</v>
      </c>
      <c r="AZ19" s="18">
        <f t="shared" si="9"/>
        <v>16099.9999999995</v>
      </c>
      <c r="BA19" s="18">
        <f t="shared" si="10"/>
        <v>8199.99999999709</v>
      </c>
      <c r="BB19" s="18">
        <f t="shared" si="11"/>
        <v>631.999999999534</v>
      </c>
      <c r="BC19" s="18">
        <f t="shared" si="47"/>
        <v>1732.00000000041</v>
      </c>
      <c r="BD19" s="18">
        <f t="shared" si="12"/>
        <v>20402.4000000355</v>
      </c>
      <c r="BE19" s="18">
        <f t="shared" si="13"/>
        <v>62300.000000032</v>
      </c>
      <c r="BF19" s="18">
        <f t="shared" si="14"/>
        <v>62.3000000000029</v>
      </c>
      <c r="BG19" s="21">
        <f t="shared" si="15"/>
        <v>0.325041217104744</v>
      </c>
      <c r="BH19" s="21">
        <f t="shared" si="16"/>
        <v>0.0423315316067306</v>
      </c>
      <c r="BI19" s="21">
        <f t="shared" si="17"/>
        <v>0</v>
      </c>
      <c r="BJ19" s="21">
        <f t="shared" si="18"/>
        <v>0.0371475676691006</v>
      </c>
      <c r="BK19" s="21">
        <f t="shared" ref="BK19:BO19" si="98">IF(OR($AD19=0),"",AZ19/$AD19)</f>
        <v>0.0839994156562361</v>
      </c>
      <c r="BL19" s="21">
        <f t="shared" si="98"/>
        <v>0.0427823110795599</v>
      </c>
      <c r="BM19" s="21">
        <f t="shared" si="98"/>
        <v>0.00329736836613068</v>
      </c>
      <c r="BN19" s="21">
        <f t="shared" si="98"/>
        <v>0.00903645887680994</v>
      </c>
      <c r="BO19" s="21">
        <f t="shared" si="98"/>
        <v>0.106446563850176</v>
      </c>
    </row>
    <row r="20" spans="1:67">
      <c r="A20" s="9">
        <f t="shared" si="20"/>
        <v>44517</v>
      </c>
      <c r="B20" s="10">
        <v>17214.65</v>
      </c>
      <c r="C20" s="8">
        <v>95393.4</v>
      </c>
      <c r="D20" s="8">
        <v>61322.3</v>
      </c>
      <c r="E20" s="8">
        <v>59476.7</v>
      </c>
      <c r="F20" s="8">
        <v>6376.63</v>
      </c>
      <c r="G20" s="8">
        <v>115798.2</v>
      </c>
      <c r="H20" s="8">
        <v>5698.3</v>
      </c>
      <c r="I20" s="8">
        <v>2566.3</v>
      </c>
      <c r="J20" s="8">
        <v>967</v>
      </c>
      <c r="K20" s="8">
        <v>56</v>
      </c>
      <c r="L20" s="8">
        <v>94369.3</v>
      </c>
      <c r="M20" s="8">
        <v>61529.1</v>
      </c>
      <c r="N20" s="8">
        <v>75552.3</v>
      </c>
      <c r="O20" s="8">
        <v>105605</v>
      </c>
      <c r="P20" s="8">
        <v>5880.3</v>
      </c>
      <c r="Q20" s="8">
        <v>7726.4</v>
      </c>
      <c r="R20" s="8">
        <v>4682.2</v>
      </c>
      <c r="S20" s="8">
        <v>5387.5</v>
      </c>
      <c r="T20" s="8">
        <v>6825.4</v>
      </c>
      <c r="U20" s="8">
        <v>17884.1</v>
      </c>
      <c r="V20" s="8">
        <v>51782.7</v>
      </c>
      <c r="W20" s="8">
        <v>54131.5</v>
      </c>
      <c r="X20" s="8">
        <v>3450.4</v>
      </c>
      <c r="Y20" s="8">
        <v>3204.4</v>
      </c>
      <c r="Z20" s="16">
        <f t="shared" si="21"/>
        <v>60786.3</v>
      </c>
      <c r="AA20" s="8">
        <v>69389.3</v>
      </c>
      <c r="AB20" s="14">
        <v>4710</v>
      </c>
      <c r="AC20" s="7">
        <f t="shared" si="22"/>
        <v>74099.3</v>
      </c>
      <c r="AD20" s="17">
        <v>172172</v>
      </c>
      <c r="AE20" s="18">
        <f t="shared" ref="AE20:AI20" si="99">IF(OR(C21=""),"",(C21-C20)*80)</f>
        <v>0</v>
      </c>
      <c r="AF20" s="18">
        <f t="shared" si="99"/>
        <v>0</v>
      </c>
      <c r="AG20" s="18">
        <f t="shared" si="99"/>
        <v>0</v>
      </c>
      <c r="AH20" s="18">
        <f t="shared" si="99"/>
        <v>2187.99999999996</v>
      </c>
      <c r="AI20" s="18">
        <f t="shared" si="99"/>
        <v>2280</v>
      </c>
      <c r="AJ20" s="18">
        <f t="shared" si="3"/>
        <v>4467.99999999996</v>
      </c>
      <c r="AK20" s="18">
        <f t="shared" ref="AK20:AN20" si="100">IF(OR(H21=""),"",(H21-H20)*80)</f>
        <v>0</v>
      </c>
      <c r="AL20" s="18">
        <f t="shared" si="100"/>
        <v>0</v>
      </c>
      <c r="AM20" s="18">
        <f t="shared" si="100"/>
        <v>0</v>
      </c>
      <c r="AN20" s="18">
        <f t="shared" si="100"/>
        <v>0</v>
      </c>
      <c r="AO20" s="18">
        <f t="shared" si="5"/>
        <v>0</v>
      </c>
      <c r="AP20" s="18">
        <f t="shared" ref="AP20:AS20" si="101">IF(OR(L21=""),"",(L21-L20)*100)</f>
        <v>1580.00000000029</v>
      </c>
      <c r="AQ20" s="18">
        <f t="shared" si="101"/>
        <v>0</v>
      </c>
      <c r="AR20" s="18">
        <f t="shared" si="101"/>
        <v>2769.99999999971</v>
      </c>
      <c r="AS20" s="18">
        <f t="shared" si="101"/>
        <v>2350</v>
      </c>
      <c r="AT20" s="18">
        <f t="shared" si="7"/>
        <v>6700</v>
      </c>
      <c r="AU20" s="18">
        <f t="shared" ref="AU20:AY20" si="102">IF(OR(P21=""),"",(P21-P20)*1000)</f>
        <v>0</v>
      </c>
      <c r="AV20" s="18">
        <f t="shared" si="102"/>
        <v>2700.00000000073</v>
      </c>
      <c r="AW20" s="18">
        <f t="shared" si="102"/>
        <v>4800.00000000018</v>
      </c>
      <c r="AX20" s="18">
        <f t="shared" si="102"/>
        <v>4699.99999999982</v>
      </c>
      <c r="AY20" s="18">
        <f t="shared" si="102"/>
        <v>0</v>
      </c>
      <c r="AZ20" s="18">
        <f t="shared" si="9"/>
        <v>12200.0000000007</v>
      </c>
      <c r="BA20" s="18">
        <f t="shared" si="10"/>
        <v>7600.00000000582</v>
      </c>
      <c r="BB20" s="18">
        <f t="shared" si="11"/>
        <v>632.000000000116</v>
      </c>
      <c r="BC20" s="18">
        <f t="shared" si="47"/>
        <v>1763.99999999994</v>
      </c>
      <c r="BD20" s="18">
        <f t="shared" si="12"/>
        <v>19235.9999999774</v>
      </c>
      <c r="BE20" s="18">
        <f t="shared" si="13"/>
        <v>52599.999999984</v>
      </c>
      <c r="BF20" s="18">
        <f t="shared" si="14"/>
        <v>62.3000000000029</v>
      </c>
      <c r="BG20" s="21">
        <f t="shared" si="15"/>
        <v>0.305508445043236</v>
      </c>
      <c r="BH20" s="21">
        <f t="shared" si="16"/>
        <v>0.0259507933926536</v>
      </c>
      <c r="BI20" s="21">
        <f t="shared" si="17"/>
        <v>0</v>
      </c>
      <c r="BJ20" s="21">
        <f t="shared" si="18"/>
        <v>0.0389145737982947</v>
      </c>
      <c r="BK20" s="21">
        <f t="shared" ref="BK20:BO20" si="103">IF(OR($AD20=0),"",AZ20/$AD20)</f>
        <v>0.0708593731849588</v>
      </c>
      <c r="BL20" s="21">
        <f t="shared" si="103"/>
        <v>0.0441419046070547</v>
      </c>
      <c r="BM20" s="21">
        <f t="shared" si="103"/>
        <v>0.00367074785679504</v>
      </c>
      <c r="BN20" s="21">
        <f t="shared" si="103"/>
        <v>0.0102455683851029</v>
      </c>
      <c r="BO20" s="21">
        <f t="shared" si="103"/>
        <v>0.111725483818376</v>
      </c>
    </row>
    <row r="21" spans="1:67">
      <c r="A21" s="9">
        <f t="shared" si="20"/>
        <v>44518</v>
      </c>
      <c r="B21" s="10">
        <v>17219.91</v>
      </c>
      <c r="C21" s="8">
        <v>95393.4</v>
      </c>
      <c r="D21" s="8">
        <v>61322.3</v>
      </c>
      <c r="E21" s="8">
        <v>59476.7</v>
      </c>
      <c r="F21" s="8">
        <v>6403.98</v>
      </c>
      <c r="G21" s="8">
        <v>115826.7</v>
      </c>
      <c r="H21" s="8">
        <v>5698.3</v>
      </c>
      <c r="I21" s="8">
        <v>2566.3</v>
      </c>
      <c r="J21" s="8">
        <v>967</v>
      </c>
      <c r="K21" s="8">
        <v>56</v>
      </c>
      <c r="L21" s="8">
        <v>94385.1</v>
      </c>
      <c r="M21" s="8">
        <v>61529.1</v>
      </c>
      <c r="N21" s="8">
        <v>75580</v>
      </c>
      <c r="O21" s="8">
        <v>105628.5</v>
      </c>
      <c r="P21" s="8">
        <v>5880.3</v>
      </c>
      <c r="Q21" s="8">
        <v>7729.1</v>
      </c>
      <c r="R21" s="8">
        <v>4687</v>
      </c>
      <c r="S21" s="8">
        <v>5392.2</v>
      </c>
      <c r="T21" s="8">
        <v>6825.4</v>
      </c>
      <c r="U21" s="8">
        <v>17887.9</v>
      </c>
      <c r="V21" s="8">
        <v>51790.6</v>
      </c>
      <c r="W21" s="8">
        <v>54148.7</v>
      </c>
      <c r="X21" s="8">
        <v>3463.8</v>
      </c>
      <c r="Y21" s="8">
        <v>3217.9</v>
      </c>
      <c r="Z21" s="16">
        <f t="shared" si="21"/>
        <v>60830.4</v>
      </c>
      <c r="AA21" s="8">
        <v>69437.6</v>
      </c>
      <c r="AB21" s="14">
        <v>4724</v>
      </c>
      <c r="AC21" s="7">
        <f t="shared" si="22"/>
        <v>74161.6</v>
      </c>
      <c r="AD21" s="17">
        <v>171203</v>
      </c>
      <c r="AE21" s="18">
        <f t="shared" ref="AE21:AI21" si="104">IF(OR(C22=""),"",(C22-C21)*80)</f>
        <v>0</v>
      </c>
      <c r="AF21" s="18">
        <f t="shared" si="104"/>
        <v>7.99999999988358</v>
      </c>
      <c r="AG21" s="18">
        <f t="shared" si="104"/>
        <v>0</v>
      </c>
      <c r="AH21" s="18">
        <f t="shared" si="104"/>
        <v>2241.60000000003</v>
      </c>
      <c r="AI21" s="18">
        <f t="shared" si="104"/>
        <v>2272.0000000007</v>
      </c>
      <c r="AJ21" s="18">
        <f t="shared" si="3"/>
        <v>4521.60000000062</v>
      </c>
      <c r="AK21" s="18">
        <f t="shared" ref="AK21:AN21" si="105">IF(OR(H22=""),"",(H22-H21)*80)</f>
        <v>0</v>
      </c>
      <c r="AL21" s="18">
        <f t="shared" si="105"/>
        <v>0</v>
      </c>
      <c r="AM21" s="18">
        <f t="shared" si="105"/>
        <v>0</v>
      </c>
      <c r="AN21" s="18">
        <f t="shared" si="105"/>
        <v>0</v>
      </c>
      <c r="AO21" s="18">
        <f t="shared" si="5"/>
        <v>0</v>
      </c>
      <c r="AP21" s="18">
        <f t="shared" ref="AP21:AS21" si="106">IF(OR(L22=""),"",(L22-L21)*100)</f>
        <v>1500</v>
      </c>
      <c r="AQ21" s="18">
        <f t="shared" si="106"/>
        <v>0</v>
      </c>
      <c r="AR21" s="18">
        <f t="shared" si="106"/>
        <v>2939.99999999942</v>
      </c>
      <c r="AS21" s="18">
        <f t="shared" si="106"/>
        <v>2169.99999999971</v>
      </c>
      <c r="AT21" s="18">
        <f t="shared" si="7"/>
        <v>6609.99999999913</v>
      </c>
      <c r="AU21" s="18">
        <f t="shared" ref="AU21:AY21" si="107">IF(OR(P22=""),"",(P22-P21)*1000)</f>
        <v>0</v>
      </c>
      <c r="AV21" s="18">
        <f t="shared" si="107"/>
        <v>7399.99999999964</v>
      </c>
      <c r="AW21" s="18">
        <f t="shared" si="107"/>
        <v>399.999999999636</v>
      </c>
      <c r="AX21" s="18">
        <f t="shared" si="107"/>
        <v>6100.00000000036</v>
      </c>
      <c r="AY21" s="18">
        <f t="shared" si="107"/>
        <v>0</v>
      </c>
      <c r="AZ21" s="18">
        <f t="shared" si="9"/>
        <v>13899.9999999996</v>
      </c>
      <c r="BA21" s="18">
        <f t="shared" si="10"/>
        <v>7399.99999999418</v>
      </c>
      <c r="BB21" s="18">
        <f t="shared" si="11"/>
        <v>647.999999999884</v>
      </c>
      <c r="BC21" s="18">
        <f t="shared" si="47"/>
        <v>1776.00000000006</v>
      </c>
      <c r="BD21" s="18">
        <f t="shared" si="12"/>
        <v>13444.400000024</v>
      </c>
      <c r="BE21" s="18">
        <f t="shared" si="13"/>
        <v>48300.0000000175</v>
      </c>
      <c r="BF21" s="18">
        <f t="shared" si="14"/>
        <v>62.3999999999942</v>
      </c>
      <c r="BG21" s="21">
        <f t="shared" si="15"/>
        <v>0.282121224511355</v>
      </c>
      <c r="BH21" s="21">
        <f t="shared" si="16"/>
        <v>0.0264107521480384</v>
      </c>
      <c r="BI21" s="21">
        <f t="shared" si="17"/>
        <v>0</v>
      </c>
      <c r="BJ21" s="21">
        <f t="shared" si="18"/>
        <v>0.0386091365221353</v>
      </c>
      <c r="BK21" s="21">
        <f t="shared" ref="BK21:BO21" si="108">IF(OR($AD21=0),"",AZ21/$AD21)</f>
        <v>0.0811901660601721</v>
      </c>
      <c r="BL21" s="21">
        <f t="shared" si="108"/>
        <v>0.043223541643512</v>
      </c>
      <c r="BM21" s="21">
        <f t="shared" si="108"/>
        <v>0.0037849804033801</v>
      </c>
      <c r="BN21" s="21">
        <f t="shared" si="108"/>
        <v>0.0103736499944514</v>
      </c>
      <c r="BO21" s="21">
        <f t="shared" si="108"/>
        <v>0.0785289977396656</v>
      </c>
    </row>
    <row r="22" spans="1:67">
      <c r="A22" s="9">
        <f t="shared" si="20"/>
        <v>44519</v>
      </c>
      <c r="B22" s="10">
        <v>17224.74</v>
      </c>
      <c r="C22" s="8">
        <v>95393.4</v>
      </c>
      <c r="D22" s="8">
        <v>61322.4</v>
      </c>
      <c r="E22" s="8">
        <v>59476.7</v>
      </c>
      <c r="F22" s="8">
        <v>6432</v>
      </c>
      <c r="G22" s="8">
        <v>115855.1</v>
      </c>
      <c r="H22" s="8">
        <v>5698.3</v>
      </c>
      <c r="I22" s="8">
        <v>2566.3</v>
      </c>
      <c r="J22" s="8">
        <v>967</v>
      </c>
      <c r="K22" s="8">
        <v>56</v>
      </c>
      <c r="L22" s="8">
        <v>94400.1</v>
      </c>
      <c r="M22" s="8">
        <v>61529.1</v>
      </c>
      <c r="N22" s="8">
        <v>75609.4</v>
      </c>
      <c r="O22" s="8">
        <v>105650.2</v>
      </c>
      <c r="P22" s="8">
        <v>5880.3</v>
      </c>
      <c r="Q22" s="8">
        <v>7736.5</v>
      </c>
      <c r="R22" s="8">
        <v>4687.4</v>
      </c>
      <c r="S22" s="8">
        <v>5398.3</v>
      </c>
      <c r="T22" s="8">
        <v>6825.4</v>
      </c>
      <c r="U22" s="8">
        <v>17891.6</v>
      </c>
      <c r="V22" s="8">
        <v>51798.7</v>
      </c>
      <c r="W22" s="8">
        <v>54165.8</v>
      </c>
      <c r="X22" s="8">
        <v>3477.4</v>
      </c>
      <c r="Y22" s="8">
        <v>3231.6</v>
      </c>
      <c r="Z22" s="16">
        <f t="shared" si="21"/>
        <v>60874.8</v>
      </c>
      <c r="AA22" s="8">
        <v>69487</v>
      </c>
      <c r="AB22" s="14">
        <v>4737</v>
      </c>
      <c r="AC22" s="7">
        <f t="shared" si="22"/>
        <v>74224</v>
      </c>
      <c r="AD22" s="17">
        <v>178770</v>
      </c>
      <c r="AE22" s="18">
        <f t="shared" ref="AE22:AI22" si="109">IF(OR(C23=""),"",(C23-C22)*80)</f>
        <v>3680</v>
      </c>
      <c r="AF22" s="18">
        <f t="shared" si="109"/>
        <v>3007.99999999988</v>
      </c>
      <c r="AG22" s="18">
        <f t="shared" si="109"/>
        <v>0</v>
      </c>
      <c r="AH22" s="18">
        <f t="shared" si="109"/>
        <v>16.8000000000029</v>
      </c>
      <c r="AI22" s="18">
        <f t="shared" si="109"/>
        <v>1231.99999999953</v>
      </c>
      <c r="AJ22" s="18">
        <f t="shared" si="3"/>
        <v>7936.79999999942</v>
      </c>
      <c r="AK22" s="18">
        <f t="shared" ref="AK22:AN22" si="110">IF(OR(H23=""),"",(H23-H22)*80)</f>
        <v>0</v>
      </c>
      <c r="AL22" s="18">
        <f t="shared" si="110"/>
        <v>0</v>
      </c>
      <c r="AM22" s="18">
        <f t="shared" si="110"/>
        <v>0</v>
      </c>
      <c r="AN22" s="18">
        <f t="shared" si="110"/>
        <v>0</v>
      </c>
      <c r="AO22" s="18">
        <f t="shared" si="5"/>
        <v>0</v>
      </c>
      <c r="AP22" s="18">
        <f t="shared" ref="AP22:AS22" si="111">IF(OR(L23=""),"",(L23-L22)*100)</f>
        <v>1850</v>
      </c>
      <c r="AQ22" s="18">
        <f t="shared" si="111"/>
        <v>0</v>
      </c>
      <c r="AR22" s="18">
        <f t="shared" si="111"/>
        <v>2910.00000000058</v>
      </c>
      <c r="AS22" s="18">
        <f t="shared" si="111"/>
        <v>2210.00000000058</v>
      </c>
      <c r="AT22" s="18">
        <f t="shared" si="7"/>
        <v>6970.00000000116</v>
      </c>
      <c r="AU22" s="18">
        <f t="shared" ref="AU22:AY22" si="112">IF(OR(P23=""),"",(P23-P22)*1000)</f>
        <v>1399.99999999964</v>
      </c>
      <c r="AV22" s="18">
        <f t="shared" si="112"/>
        <v>6699.99999999982</v>
      </c>
      <c r="AW22" s="18">
        <f t="shared" si="112"/>
        <v>300.000000000182</v>
      </c>
      <c r="AX22" s="18">
        <f t="shared" si="112"/>
        <v>199.999999999818</v>
      </c>
      <c r="AY22" s="18">
        <f t="shared" si="112"/>
        <v>8600.00000000036</v>
      </c>
      <c r="AZ22" s="18">
        <f t="shared" si="9"/>
        <v>17199.9999999998</v>
      </c>
      <c r="BA22" s="18">
        <f t="shared" si="10"/>
        <v>8200.00000000437</v>
      </c>
      <c r="BB22" s="18">
        <f t="shared" si="11"/>
        <v>624.000000000233</v>
      </c>
      <c r="BC22" s="18">
        <f t="shared" si="47"/>
        <v>1732.00000000012</v>
      </c>
      <c r="BD22" s="18">
        <f t="shared" si="12"/>
        <v>9237.19999998179</v>
      </c>
      <c r="BE22" s="18">
        <f t="shared" si="13"/>
        <v>51899.9999999869</v>
      </c>
      <c r="BF22" s="18">
        <f t="shared" si="14"/>
        <v>66</v>
      </c>
      <c r="BG22" s="21">
        <f t="shared" si="15"/>
        <v>0.290317167309878</v>
      </c>
      <c r="BH22" s="21">
        <f t="shared" si="16"/>
        <v>0.0443967108575232</v>
      </c>
      <c r="BI22" s="21">
        <f t="shared" si="17"/>
        <v>0</v>
      </c>
      <c r="BJ22" s="21">
        <f t="shared" si="18"/>
        <v>0.0389886446271811</v>
      </c>
      <c r="BK22" s="21">
        <f t="shared" ref="BK22:BO22" si="113">IF(OR($AD22=0),"",AZ22/$AD22)</f>
        <v>0.0962130111316206</v>
      </c>
      <c r="BL22" s="21">
        <f t="shared" si="113"/>
        <v>0.0458689936790533</v>
      </c>
      <c r="BM22" s="21">
        <f t="shared" si="113"/>
        <v>0.00349051854338106</v>
      </c>
      <c r="BN22" s="21">
        <f t="shared" si="113"/>
        <v>0.00968842646976627</v>
      </c>
      <c r="BO22" s="21">
        <f t="shared" si="113"/>
        <v>0.0516708620013525</v>
      </c>
    </row>
    <row r="23" spans="1:67">
      <c r="A23" s="9">
        <f t="shared" si="20"/>
        <v>44520</v>
      </c>
      <c r="B23" s="10">
        <v>17229.93</v>
      </c>
      <c r="C23" s="8">
        <v>95439.4</v>
      </c>
      <c r="D23" s="8">
        <v>61360</v>
      </c>
      <c r="E23" s="8">
        <v>59476.7</v>
      </c>
      <c r="F23" s="8">
        <v>6432.21</v>
      </c>
      <c r="G23" s="8">
        <v>115870.5</v>
      </c>
      <c r="H23" s="8">
        <v>5698.3</v>
      </c>
      <c r="I23" s="8">
        <v>2566.3</v>
      </c>
      <c r="J23" s="8">
        <v>967</v>
      </c>
      <c r="K23" s="8">
        <v>56</v>
      </c>
      <c r="L23" s="8">
        <v>94418.6</v>
      </c>
      <c r="M23" s="8">
        <v>61529.1</v>
      </c>
      <c r="N23" s="8">
        <v>75638.5</v>
      </c>
      <c r="O23" s="8">
        <v>105672.3</v>
      </c>
      <c r="P23" s="8">
        <v>5881.7</v>
      </c>
      <c r="Q23" s="8">
        <v>7743.2</v>
      </c>
      <c r="R23" s="8">
        <v>4687.7</v>
      </c>
      <c r="S23" s="8">
        <v>5398.5</v>
      </c>
      <c r="T23" s="8">
        <v>6834</v>
      </c>
      <c r="U23" s="8">
        <v>17895.7</v>
      </c>
      <c r="V23" s="8">
        <v>51806.5</v>
      </c>
      <c r="W23" s="8">
        <v>54182.8</v>
      </c>
      <c r="X23" s="8">
        <v>3490.3</v>
      </c>
      <c r="Y23" s="8">
        <v>3245</v>
      </c>
      <c r="Z23" s="16">
        <f t="shared" si="21"/>
        <v>60918.1</v>
      </c>
      <c r="AA23" s="8">
        <v>69535</v>
      </c>
      <c r="AB23" s="14">
        <v>4755</v>
      </c>
      <c r="AC23" s="7">
        <f t="shared" si="22"/>
        <v>74290</v>
      </c>
      <c r="AD23" s="17">
        <v>179655</v>
      </c>
      <c r="AE23" s="18">
        <f t="shared" ref="AE23:AI23" si="114">IF(OR(C24=""),"",(C24-C23)*80)</f>
        <v>3536.00000000093</v>
      </c>
      <c r="AF23" s="18">
        <f t="shared" si="114"/>
        <v>2960</v>
      </c>
      <c r="AG23" s="18">
        <f t="shared" si="114"/>
        <v>0</v>
      </c>
      <c r="AH23" s="18">
        <f t="shared" si="114"/>
        <v>0</v>
      </c>
      <c r="AI23" s="18">
        <f t="shared" si="114"/>
        <v>1175.99999999977</v>
      </c>
      <c r="AJ23" s="18">
        <f t="shared" si="3"/>
        <v>7672.0000000007</v>
      </c>
      <c r="AK23" s="18">
        <f t="shared" ref="AK23:AN23" si="115">IF(OR(H24=""),"",(H24-H23)*80)</f>
        <v>0</v>
      </c>
      <c r="AL23" s="18">
        <f t="shared" si="115"/>
        <v>0</v>
      </c>
      <c r="AM23" s="18">
        <f t="shared" si="115"/>
        <v>0</v>
      </c>
      <c r="AN23" s="18">
        <f t="shared" si="115"/>
        <v>0</v>
      </c>
      <c r="AO23" s="18">
        <f t="shared" si="5"/>
        <v>0</v>
      </c>
      <c r="AP23" s="18">
        <f t="shared" ref="AP23:AS23" si="116">IF(OR(L24=""),"",(L24-L23)*100)</f>
        <v>1759.99999999913</v>
      </c>
      <c r="AQ23" s="18">
        <f t="shared" si="116"/>
        <v>0</v>
      </c>
      <c r="AR23" s="18">
        <f t="shared" si="116"/>
        <v>2830.00000000029</v>
      </c>
      <c r="AS23" s="18">
        <f t="shared" si="116"/>
        <v>1959.99999999913</v>
      </c>
      <c r="AT23" s="18">
        <f t="shared" si="7"/>
        <v>6549.99999999854</v>
      </c>
      <c r="AU23" s="18">
        <f t="shared" ref="AU23:AY23" si="117">IF(OR(P24=""),"",(P24-P23)*1000)</f>
        <v>2800.00000000018</v>
      </c>
      <c r="AV23" s="18">
        <f t="shared" si="117"/>
        <v>0</v>
      </c>
      <c r="AW23" s="18">
        <f t="shared" si="117"/>
        <v>0</v>
      </c>
      <c r="AX23" s="18">
        <f t="shared" si="117"/>
        <v>1600.00000000036</v>
      </c>
      <c r="AY23" s="18">
        <f t="shared" si="117"/>
        <v>9300.00000000018</v>
      </c>
      <c r="AZ23" s="18">
        <f t="shared" si="9"/>
        <v>13700.0000000007</v>
      </c>
      <c r="BA23" s="18">
        <f t="shared" si="10"/>
        <v>8000</v>
      </c>
      <c r="BB23" s="18">
        <f t="shared" si="11"/>
        <v>640</v>
      </c>
      <c r="BC23" s="18">
        <f t="shared" si="47"/>
        <v>1711.99999999953</v>
      </c>
      <c r="BD23" s="18">
        <f t="shared" si="12"/>
        <v>12126.0000000092</v>
      </c>
      <c r="BE23" s="18">
        <f t="shared" si="13"/>
        <v>50400.0000000087</v>
      </c>
      <c r="BF23" s="18">
        <f t="shared" si="14"/>
        <v>61.1999999999971</v>
      </c>
      <c r="BG23" s="21">
        <f t="shared" si="15"/>
        <v>0.280537697253117</v>
      </c>
      <c r="BH23" s="21">
        <f t="shared" si="16"/>
        <v>0.042704071692971</v>
      </c>
      <c r="BI23" s="21">
        <f t="shared" si="17"/>
        <v>0</v>
      </c>
      <c r="BJ23" s="21">
        <f t="shared" si="18"/>
        <v>0.0364587681945871</v>
      </c>
      <c r="BK23" s="21">
        <f t="shared" ref="BK23:BO23" si="118">IF(OR($AD23=0),"",AZ23/$AD23)</f>
        <v>0.0762572708803024</v>
      </c>
      <c r="BL23" s="21">
        <f t="shared" si="118"/>
        <v>0.0445297932147728</v>
      </c>
      <c r="BM23" s="21">
        <f t="shared" si="118"/>
        <v>0.00356238345718182</v>
      </c>
      <c r="BN23" s="21">
        <f t="shared" si="118"/>
        <v>0.00952937574795878</v>
      </c>
      <c r="BO23" s="21">
        <f t="shared" si="118"/>
        <v>0.0674960340653432</v>
      </c>
    </row>
    <row r="24" spans="1:67">
      <c r="A24" s="9">
        <f t="shared" si="20"/>
        <v>44521</v>
      </c>
      <c r="B24" s="10">
        <v>17234.97</v>
      </c>
      <c r="C24" s="8">
        <v>95483.6</v>
      </c>
      <c r="D24" s="8">
        <v>61397</v>
      </c>
      <c r="E24" s="8">
        <v>59476.7</v>
      </c>
      <c r="F24" s="8">
        <v>6432.21</v>
      </c>
      <c r="G24" s="8">
        <v>115885.2</v>
      </c>
      <c r="H24" s="8">
        <v>5698.3</v>
      </c>
      <c r="I24" s="8">
        <v>2566.3</v>
      </c>
      <c r="J24" s="8">
        <v>967</v>
      </c>
      <c r="K24" s="8">
        <v>56</v>
      </c>
      <c r="L24" s="8">
        <v>94436.2</v>
      </c>
      <c r="M24" s="8">
        <v>61529.1</v>
      </c>
      <c r="N24" s="8">
        <v>75666.8</v>
      </c>
      <c r="O24" s="8">
        <v>105691.9</v>
      </c>
      <c r="P24" s="8">
        <v>5884.5</v>
      </c>
      <c r="Q24" s="8">
        <v>7743.2</v>
      </c>
      <c r="R24" s="8">
        <v>4687.7</v>
      </c>
      <c r="S24" s="8">
        <v>5400.1</v>
      </c>
      <c r="T24" s="8">
        <v>6843.3</v>
      </c>
      <c r="U24" s="8">
        <v>17899.7</v>
      </c>
      <c r="V24" s="8">
        <v>51814.5</v>
      </c>
      <c r="W24" s="8">
        <v>54199.7</v>
      </c>
      <c r="X24" s="8">
        <v>3503.1</v>
      </c>
      <c r="Y24" s="8">
        <v>3258.1</v>
      </c>
      <c r="Z24" s="16">
        <f t="shared" si="21"/>
        <v>60960.9</v>
      </c>
      <c r="AA24" s="8">
        <v>69584.2</v>
      </c>
      <c r="AB24" s="14">
        <v>4767</v>
      </c>
      <c r="AC24" s="7">
        <f t="shared" si="22"/>
        <v>74351.2</v>
      </c>
      <c r="AD24" s="17">
        <v>190412</v>
      </c>
      <c r="AE24" s="18">
        <f t="shared" ref="AE24:AI24" si="119">IF(OR(C25=""),"",(C25-C24)*80)</f>
        <v>3703.99999999907</v>
      </c>
      <c r="AF24" s="18">
        <f t="shared" si="119"/>
        <v>3160</v>
      </c>
      <c r="AG24" s="18">
        <f t="shared" si="119"/>
        <v>0</v>
      </c>
      <c r="AH24" s="18">
        <f t="shared" si="119"/>
        <v>8.79999999997381</v>
      </c>
      <c r="AI24" s="18">
        <f t="shared" si="119"/>
        <v>1424.00000000023</v>
      </c>
      <c r="AJ24" s="18">
        <f t="shared" si="3"/>
        <v>8296.79999999928</v>
      </c>
      <c r="AK24" s="18">
        <f t="shared" ref="AK24:AN24" si="120">IF(OR(H25=""),"",(H25-H24)*80)</f>
        <v>0</v>
      </c>
      <c r="AL24" s="18">
        <f t="shared" si="120"/>
        <v>0</v>
      </c>
      <c r="AM24" s="18">
        <f t="shared" si="120"/>
        <v>0</v>
      </c>
      <c r="AN24" s="18">
        <f t="shared" si="120"/>
        <v>0</v>
      </c>
      <c r="AO24" s="18">
        <f t="shared" si="5"/>
        <v>0</v>
      </c>
      <c r="AP24" s="18">
        <f t="shared" ref="AP24:AS24" si="121">IF(OR(L25=""),"",(L25-L24)*100)</f>
        <v>2240.00000000087</v>
      </c>
      <c r="AQ24" s="18">
        <f t="shared" si="121"/>
        <v>0</v>
      </c>
      <c r="AR24" s="18">
        <f t="shared" si="121"/>
        <v>2939.99999999942</v>
      </c>
      <c r="AS24" s="18">
        <f t="shared" si="121"/>
        <v>2100</v>
      </c>
      <c r="AT24" s="18">
        <f t="shared" si="7"/>
        <v>7280.00000000029</v>
      </c>
      <c r="AU24" s="18">
        <f t="shared" ref="AU24:AY24" si="122">IF(OR(P25=""),"",(P25-P24)*1000)</f>
        <v>0</v>
      </c>
      <c r="AV24" s="18">
        <f t="shared" si="122"/>
        <v>0</v>
      </c>
      <c r="AW24" s="18">
        <f t="shared" si="122"/>
        <v>100.000000000364</v>
      </c>
      <c r="AX24" s="18">
        <f t="shared" si="122"/>
        <v>5599.99999999945</v>
      </c>
      <c r="AY24" s="18">
        <f t="shared" si="122"/>
        <v>9500</v>
      </c>
      <c r="AZ24" s="18">
        <f t="shared" si="9"/>
        <v>15199.9999999998</v>
      </c>
      <c r="BA24" s="18">
        <f t="shared" si="10"/>
        <v>8799.99999999563</v>
      </c>
      <c r="BB24" s="18">
        <f t="shared" si="11"/>
        <v>664.000000000233</v>
      </c>
      <c r="BC24" s="18">
        <f t="shared" si="47"/>
        <v>1772.00000000012</v>
      </c>
      <c r="BD24" s="18">
        <f t="shared" si="12"/>
        <v>13387.199999977</v>
      </c>
      <c r="BE24" s="18">
        <f t="shared" si="13"/>
        <v>55399.9999999724</v>
      </c>
      <c r="BF24" s="18">
        <f t="shared" si="14"/>
        <v>62.1000000000058</v>
      </c>
      <c r="BG24" s="21">
        <f t="shared" si="15"/>
        <v>0.290948049492534</v>
      </c>
      <c r="BH24" s="21">
        <f t="shared" si="16"/>
        <v>0.0435728840619251</v>
      </c>
      <c r="BI24" s="21">
        <f t="shared" si="17"/>
        <v>0</v>
      </c>
      <c r="BJ24" s="21">
        <f t="shared" si="18"/>
        <v>0.038232884482072</v>
      </c>
      <c r="BK24" s="21">
        <f t="shared" ref="BK24:BO24" si="123">IF(OR($AD24=0),"",AZ24/$AD24)</f>
        <v>0.0798269016658604</v>
      </c>
      <c r="BL24" s="21">
        <f t="shared" si="123"/>
        <v>0.0462155746486337</v>
      </c>
      <c r="BM24" s="21">
        <f t="shared" si="123"/>
        <v>0.00348717517803622</v>
      </c>
      <c r="BN24" s="21">
        <f t="shared" si="123"/>
        <v>0.00930613616788919</v>
      </c>
      <c r="BO24" s="21">
        <f t="shared" si="123"/>
        <v>0.0703064932881173</v>
      </c>
    </row>
    <row r="25" spans="1:67">
      <c r="A25" s="9">
        <f t="shared" si="20"/>
        <v>44522</v>
      </c>
      <c r="B25" s="10">
        <v>17240.51</v>
      </c>
      <c r="C25" s="8">
        <v>95529.9</v>
      </c>
      <c r="D25" s="8">
        <v>61436.5</v>
      </c>
      <c r="E25" s="8">
        <v>59476.7</v>
      </c>
      <c r="F25" s="8">
        <v>6432.32</v>
      </c>
      <c r="G25" s="8">
        <v>115903</v>
      </c>
      <c r="H25" s="8">
        <v>5698.3</v>
      </c>
      <c r="I25" s="8">
        <v>2566.3</v>
      </c>
      <c r="J25" s="8">
        <v>967</v>
      </c>
      <c r="K25" s="8">
        <v>56</v>
      </c>
      <c r="L25" s="8">
        <v>94458.6</v>
      </c>
      <c r="M25" s="8">
        <v>61529.1</v>
      </c>
      <c r="N25" s="8">
        <v>75696.2</v>
      </c>
      <c r="O25" s="8">
        <v>105712.9</v>
      </c>
      <c r="P25" s="8">
        <v>5884.5</v>
      </c>
      <c r="Q25" s="8">
        <v>7743.2</v>
      </c>
      <c r="R25" s="8">
        <v>4687.8</v>
      </c>
      <c r="S25" s="8">
        <v>5405.7</v>
      </c>
      <c r="T25" s="8">
        <v>6852.8</v>
      </c>
      <c r="U25" s="8">
        <v>17904.1</v>
      </c>
      <c r="V25" s="8">
        <v>51822.8</v>
      </c>
      <c r="W25" s="8">
        <v>54216.8</v>
      </c>
      <c r="X25" s="8">
        <v>3516.7</v>
      </c>
      <c r="Y25" s="8">
        <v>3271.7</v>
      </c>
      <c r="Z25" s="16">
        <f t="shared" si="21"/>
        <v>61005.2</v>
      </c>
      <c r="AA25" s="8">
        <v>69635.3</v>
      </c>
      <c r="AB25" s="14">
        <v>4778</v>
      </c>
      <c r="AC25" s="7">
        <f t="shared" si="22"/>
        <v>74413.3</v>
      </c>
      <c r="AD25" s="17">
        <v>183342</v>
      </c>
      <c r="AE25" s="18">
        <f t="shared" ref="AE25:AI25" si="124">IF(OR(C26=""),"",(C26-C25)*80)</f>
        <v>3648.00000000047</v>
      </c>
      <c r="AF25" s="18">
        <f t="shared" si="124"/>
        <v>3112.00000000012</v>
      </c>
      <c r="AG25" s="18">
        <f t="shared" si="124"/>
        <v>0</v>
      </c>
      <c r="AH25" s="18">
        <f t="shared" si="124"/>
        <v>4.00000000001455</v>
      </c>
      <c r="AI25" s="18">
        <f t="shared" si="124"/>
        <v>1528.00000000047</v>
      </c>
      <c r="AJ25" s="18">
        <f t="shared" si="3"/>
        <v>8292.00000000106</v>
      </c>
      <c r="AK25" s="18">
        <f t="shared" ref="AK25:AN25" si="125">IF(OR(H26=""),"",(H26-H25)*80)</f>
        <v>0</v>
      </c>
      <c r="AL25" s="18">
        <f t="shared" si="125"/>
        <v>0</v>
      </c>
      <c r="AM25" s="18">
        <f t="shared" si="125"/>
        <v>0</v>
      </c>
      <c r="AN25" s="18">
        <f t="shared" si="125"/>
        <v>0</v>
      </c>
      <c r="AO25" s="18">
        <f t="shared" si="5"/>
        <v>0</v>
      </c>
      <c r="AP25" s="18">
        <f t="shared" ref="AP25:AS25" si="126">IF(OR(L26=""),"",(L26-L25)*100)</f>
        <v>2129.99999999884</v>
      </c>
      <c r="AQ25" s="18">
        <f t="shared" si="126"/>
        <v>0</v>
      </c>
      <c r="AR25" s="18">
        <f t="shared" si="126"/>
        <v>2910.00000000058</v>
      </c>
      <c r="AS25" s="18">
        <f t="shared" si="126"/>
        <v>2130.00000000029</v>
      </c>
      <c r="AT25" s="18">
        <f t="shared" si="7"/>
        <v>7169.99999999971</v>
      </c>
      <c r="AU25" s="18">
        <f t="shared" ref="AU25:AY25" si="127">IF(OR(P26=""),"",(P26-P25)*1000)</f>
        <v>0</v>
      </c>
      <c r="AV25" s="18">
        <f t="shared" si="127"/>
        <v>0</v>
      </c>
      <c r="AW25" s="18">
        <f t="shared" si="127"/>
        <v>0</v>
      </c>
      <c r="AX25" s="18">
        <f t="shared" si="127"/>
        <v>5100.00000000036</v>
      </c>
      <c r="AY25" s="18">
        <f t="shared" si="127"/>
        <v>8699.99999999982</v>
      </c>
      <c r="AZ25" s="18">
        <f t="shared" si="9"/>
        <v>13800.0000000002</v>
      </c>
      <c r="BA25" s="18">
        <f t="shared" si="10"/>
        <v>8800.00000000291</v>
      </c>
      <c r="BB25" s="18">
        <f t="shared" si="11"/>
        <v>623.999999999651</v>
      </c>
      <c r="BC25" s="18">
        <f t="shared" si="47"/>
        <v>1792.00000000012</v>
      </c>
      <c r="BD25" s="18">
        <f t="shared" si="12"/>
        <v>13522.0000000109</v>
      </c>
      <c r="BE25" s="18">
        <f t="shared" si="13"/>
        <v>54000.0000000146</v>
      </c>
      <c r="BF25" s="18">
        <f t="shared" si="14"/>
        <v>65.5</v>
      </c>
      <c r="BG25" s="21">
        <f t="shared" si="15"/>
        <v>0.294531531236785</v>
      </c>
      <c r="BH25" s="21">
        <f t="shared" si="16"/>
        <v>0.0452269529076865</v>
      </c>
      <c r="BI25" s="21">
        <f t="shared" si="17"/>
        <v>0</v>
      </c>
      <c r="BJ25" s="21">
        <f t="shared" si="18"/>
        <v>0.0391072422030943</v>
      </c>
      <c r="BK25" s="21">
        <f t="shared" ref="BK25:BO25" si="128">IF(OR($AD25=0),"",AZ25/$AD25)</f>
        <v>0.0752691690938257</v>
      </c>
      <c r="BL25" s="21">
        <f t="shared" si="128"/>
        <v>0.0479977310163678</v>
      </c>
      <c r="BM25" s="21">
        <f t="shared" si="128"/>
        <v>0.00340347547206669</v>
      </c>
      <c r="BN25" s="21">
        <f t="shared" si="128"/>
        <v>0.00977408340696685</v>
      </c>
      <c r="BO25" s="21">
        <f t="shared" si="128"/>
        <v>0.0737528771367767</v>
      </c>
    </row>
    <row r="26" spans="1:67">
      <c r="A26" s="9">
        <f t="shared" si="20"/>
        <v>44523</v>
      </c>
      <c r="B26" s="10">
        <v>17245.91</v>
      </c>
      <c r="C26" s="8">
        <v>95575.5</v>
      </c>
      <c r="D26" s="8">
        <v>61475.4</v>
      </c>
      <c r="E26" s="8">
        <v>59476.7</v>
      </c>
      <c r="F26" s="8">
        <v>6432.37</v>
      </c>
      <c r="G26" s="8">
        <v>115922.1</v>
      </c>
      <c r="H26" s="8">
        <v>5698.3</v>
      </c>
      <c r="I26" s="8">
        <v>2566.3</v>
      </c>
      <c r="J26" s="8">
        <v>967</v>
      </c>
      <c r="K26" s="8">
        <v>56</v>
      </c>
      <c r="L26" s="8">
        <v>94479.9</v>
      </c>
      <c r="M26" s="8">
        <v>61529.1</v>
      </c>
      <c r="N26" s="8">
        <v>75725.3</v>
      </c>
      <c r="O26" s="8">
        <v>105734.2</v>
      </c>
      <c r="P26" s="8">
        <v>5884.5</v>
      </c>
      <c r="Q26" s="8">
        <v>7743.2</v>
      </c>
      <c r="R26" s="8">
        <v>4687.8</v>
      </c>
      <c r="S26" s="8">
        <v>5410.8</v>
      </c>
      <c r="T26" s="8">
        <v>6861.5</v>
      </c>
      <c r="U26" s="8">
        <v>17908.5</v>
      </c>
      <c r="V26" s="8">
        <v>51830.6</v>
      </c>
      <c r="W26" s="8">
        <v>54234.2</v>
      </c>
      <c r="X26" s="8">
        <v>3530.4</v>
      </c>
      <c r="Y26" s="8">
        <v>3285.4</v>
      </c>
      <c r="Z26" s="16">
        <f t="shared" si="21"/>
        <v>61050</v>
      </c>
      <c r="AA26" s="8">
        <v>69682.8</v>
      </c>
      <c r="AB26" s="14">
        <v>4796</v>
      </c>
      <c r="AC26" s="7">
        <f t="shared" si="22"/>
        <v>74478.8</v>
      </c>
      <c r="AD26" s="17">
        <v>174080</v>
      </c>
      <c r="AE26" s="18">
        <f t="shared" ref="AE26:AI26" si="129">IF(OR(C27=""),"",(C27-C26)*80)</f>
        <v>3664.00000000023</v>
      </c>
      <c r="AF26" s="18">
        <f t="shared" si="129"/>
        <v>2800</v>
      </c>
      <c r="AG26" s="18">
        <f t="shared" si="129"/>
        <v>0</v>
      </c>
      <c r="AH26" s="18">
        <f t="shared" si="129"/>
        <v>4.80000000003201</v>
      </c>
      <c r="AI26" s="18">
        <f t="shared" si="129"/>
        <v>1335.99999999977</v>
      </c>
      <c r="AJ26" s="18">
        <f t="shared" si="3"/>
        <v>7804.80000000003</v>
      </c>
      <c r="AK26" s="18">
        <f t="shared" ref="AK26:AN26" si="130">IF(OR(H27=""),"",(H27-H26)*80)</f>
        <v>911.999999999971</v>
      </c>
      <c r="AL26" s="18">
        <f t="shared" si="130"/>
        <v>0</v>
      </c>
      <c r="AM26" s="18">
        <f t="shared" si="130"/>
        <v>0</v>
      </c>
      <c r="AN26" s="18">
        <f t="shared" si="130"/>
        <v>0</v>
      </c>
      <c r="AO26" s="18">
        <f t="shared" si="5"/>
        <v>911.999999999971</v>
      </c>
      <c r="AP26" s="18">
        <f t="shared" ref="AP26:AS26" si="131">IF(OR(L27=""),"",(L27-L26)*100)</f>
        <v>1670.00000000116</v>
      </c>
      <c r="AQ26" s="18">
        <f t="shared" si="131"/>
        <v>0</v>
      </c>
      <c r="AR26" s="18">
        <f t="shared" si="131"/>
        <v>2859.99999999913</v>
      </c>
      <c r="AS26" s="18">
        <f t="shared" si="131"/>
        <v>2290.00000000087</v>
      </c>
      <c r="AT26" s="18">
        <f t="shared" si="7"/>
        <v>6820.00000000116</v>
      </c>
      <c r="AU26" s="18">
        <f t="shared" ref="AU26:AY26" si="132">IF(OR(P27=""),"",(P27-P26)*1000)</f>
        <v>0</v>
      </c>
      <c r="AV26" s="18">
        <f t="shared" si="132"/>
        <v>0</v>
      </c>
      <c r="AW26" s="18">
        <f t="shared" si="132"/>
        <v>0</v>
      </c>
      <c r="AX26" s="18">
        <f t="shared" si="132"/>
        <v>5300.00000000018</v>
      </c>
      <c r="AY26" s="18">
        <f t="shared" si="132"/>
        <v>8800.00000000018</v>
      </c>
      <c r="AZ26" s="18">
        <f t="shared" si="9"/>
        <v>14100.0000000004</v>
      </c>
      <c r="BA26" s="18">
        <f t="shared" si="10"/>
        <v>7599.99999999854</v>
      </c>
      <c r="BB26" s="18">
        <f t="shared" si="11"/>
        <v>640</v>
      </c>
      <c r="BC26" s="18">
        <f t="shared" si="47"/>
        <v>1803.99999999994</v>
      </c>
      <c r="BD26" s="18">
        <f t="shared" si="12"/>
        <v>12019.2000000189</v>
      </c>
      <c r="BE26" s="18">
        <f t="shared" si="13"/>
        <v>51700.0000000189</v>
      </c>
      <c r="BF26" s="18">
        <f t="shared" si="14"/>
        <v>62.1999999999971</v>
      </c>
      <c r="BG26" s="21">
        <f t="shared" si="15"/>
        <v>0.296989889705991</v>
      </c>
      <c r="BH26" s="21">
        <f t="shared" si="16"/>
        <v>0.0448345588235296</v>
      </c>
      <c r="BI26" s="21">
        <f t="shared" si="17"/>
        <v>0.00523897058823513</v>
      </c>
      <c r="BJ26" s="21">
        <f t="shared" si="18"/>
        <v>0.039177389705889</v>
      </c>
      <c r="BK26" s="21">
        <f t="shared" ref="BK26:BO26" si="133">IF(OR($AD26=0),"",AZ26/$AD26)</f>
        <v>0.0809972426470609</v>
      </c>
      <c r="BL26" s="21">
        <f t="shared" si="133"/>
        <v>0.0436580882352858</v>
      </c>
      <c r="BM26" s="21">
        <f t="shared" si="133"/>
        <v>0.00367647058823529</v>
      </c>
      <c r="BN26" s="21">
        <f t="shared" si="133"/>
        <v>0.0103630514705879</v>
      </c>
      <c r="BO26" s="21">
        <f t="shared" si="133"/>
        <v>0.0690441176471674</v>
      </c>
    </row>
    <row r="27" spans="1:67">
      <c r="A27" s="9">
        <f t="shared" si="20"/>
        <v>44524</v>
      </c>
      <c r="B27" s="10">
        <v>17251.08</v>
      </c>
      <c r="C27" s="8">
        <v>95621.3</v>
      </c>
      <c r="D27" s="8">
        <v>61510.4</v>
      </c>
      <c r="E27" s="8">
        <v>59476.7</v>
      </c>
      <c r="F27" s="8">
        <v>6432.43</v>
      </c>
      <c r="G27" s="8">
        <v>115938.8</v>
      </c>
      <c r="H27" s="8">
        <v>5709.7</v>
      </c>
      <c r="I27" s="8">
        <v>2566.3</v>
      </c>
      <c r="J27" s="8">
        <v>967</v>
      </c>
      <c r="K27" s="8">
        <v>56</v>
      </c>
      <c r="L27" s="8">
        <v>94496.6</v>
      </c>
      <c r="M27" s="8">
        <v>61529.1</v>
      </c>
      <c r="N27" s="8">
        <v>75753.9</v>
      </c>
      <c r="O27" s="8">
        <v>105757.1</v>
      </c>
      <c r="P27" s="8">
        <v>5884.5</v>
      </c>
      <c r="Q27" s="8">
        <v>7743.2</v>
      </c>
      <c r="R27" s="8">
        <v>4687.8</v>
      </c>
      <c r="S27" s="8">
        <v>5416.1</v>
      </c>
      <c r="T27" s="8">
        <v>6870.3</v>
      </c>
      <c r="U27" s="8">
        <v>17912.3</v>
      </c>
      <c r="V27" s="8">
        <v>51838.6</v>
      </c>
      <c r="W27" s="8">
        <v>54251.8</v>
      </c>
      <c r="X27" s="8">
        <v>3544.2</v>
      </c>
      <c r="Y27" s="8">
        <v>3299.1</v>
      </c>
      <c r="Z27" s="16">
        <f t="shared" si="21"/>
        <v>61095.1</v>
      </c>
      <c r="AA27" s="8">
        <v>69732</v>
      </c>
      <c r="AB27" s="14">
        <v>4809</v>
      </c>
      <c r="AC27" s="7">
        <f t="shared" si="22"/>
        <v>74541</v>
      </c>
      <c r="AD27" s="17">
        <v>152756</v>
      </c>
      <c r="AE27" s="18">
        <f t="shared" ref="AE27:AI27" si="134">IF(OR(C28=""),"",(C28-C27)*80)</f>
        <v>3640</v>
      </c>
      <c r="AF27" s="18">
        <f t="shared" si="134"/>
        <v>583.999999999651</v>
      </c>
      <c r="AG27" s="18">
        <f t="shared" si="134"/>
        <v>0</v>
      </c>
      <c r="AH27" s="18">
        <f t="shared" si="134"/>
        <v>3.99999999994179</v>
      </c>
      <c r="AI27" s="18">
        <f t="shared" si="134"/>
        <v>2224.00000000023</v>
      </c>
      <c r="AJ27" s="18">
        <f t="shared" si="3"/>
        <v>6451.99999999983</v>
      </c>
      <c r="AK27" s="18">
        <f t="shared" ref="AK27:AN27" si="135">IF(OR(H28=""),"",(H28-H27)*80)</f>
        <v>0</v>
      </c>
      <c r="AL27" s="18">
        <f t="shared" si="135"/>
        <v>0</v>
      </c>
      <c r="AM27" s="18">
        <f t="shared" si="135"/>
        <v>0</v>
      </c>
      <c r="AN27" s="18">
        <f t="shared" si="135"/>
        <v>0</v>
      </c>
      <c r="AO27" s="18">
        <f t="shared" si="5"/>
        <v>0</v>
      </c>
      <c r="AP27" s="18">
        <f t="shared" ref="AP27:AS27" si="136">IF(OR(L28=""),"",(L28-L27)*100)</f>
        <v>1200</v>
      </c>
      <c r="AQ27" s="18">
        <f t="shared" si="136"/>
        <v>0</v>
      </c>
      <c r="AR27" s="18">
        <f t="shared" si="136"/>
        <v>2860.00000000058</v>
      </c>
      <c r="AS27" s="18">
        <f t="shared" si="136"/>
        <v>2289.99999999942</v>
      </c>
      <c r="AT27" s="18">
        <f t="shared" si="7"/>
        <v>6350</v>
      </c>
      <c r="AU27" s="18">
        <f t="shared" ref="AU27:AY27" si="137">IF(OR(P28=""),"",(P28-P27)*1000)</f>
        <v>3600.00000000036</v>
      </c>
      <c r="AV27" s="18">
        <f t="shared" si="137"/>
        <v>0</v>
      </c>
      <c r="AW27" s="18">
        <f t="shared" si="137"/>
        <v>0</v>
      </c>
      <c r="AX27" s="18">
        <f t="shared" si="137"/>
        <v>0</v>
      </c>
      <c r="AY27" s="18">
        <f t="shared" si="137"/>
        <v>8599.99999999945</v>
      </c>
      <c r="AZ27" s="18">
        <f t="shared" si="9"/>
        <v>12199.9999999998</v>
      </c>
      <c r="BA27" s="18">
        <f t="shared" si="10"/>
        <v>7000</v>
      </c>
      <c r="BB27" s="18">
        <f t="shared" si="11"/>
        <v>647.999999999884</v>
      </c>
      <c r="BC27" s="18">
        <f t="shared" si="47"/>
        <v>1736.00000000006</v>
      </c>
      <c r="BD27" s="18">
        <f t="shared" si="12"/>
        <v>10813.9999999684</v>
      </c>
      <c r="BE27" s="18">
        <f t="shared" si="13"/>
        <v>45199.999999968</v>
      </c>
      <c r="BF27" s="18">
        <f t="shared" si="14"/>
        <v>63.6000000000058</v>
      </c>
      <c r="BG27" s="21">
        <f t="shared" si="15"/>
        <v>0.295896724187384</v>
      </c>
      <c r="BH27" s="21">
        <f t="shared" si="16"/>
        <v>0.0422372934614668</v>
      </c>
      <c r="BI27" s="21">
        <f t="shared" si="17"/>
        <v>0</v>
      </c>
      <c r="BJ27" s="21">
        <f t="shared" si="18"/>
        <v>0.0415695619157349</v>
      </c>
      <c r="BK27" s="21">
        <f t="shared" ref="BK27:BO27" si="138">IF(OR($AD27=0),"",AZ27/$AD27)</f>
        <v>0.0798659299798359</v>
      </c>
      <c r="BL27" s="21">
        <f t="shared" si="138"/>
        <v>0.0458247139228574</v>
      </c>
      <c r="BM27" s="21">
        <f t="shared" si="138"/>
        <v>0.00424205923171518</v>
      </c>
      <c r="BN27" s="21">
        <f t="shared" si="138"/>
        <v>0.011364529052869</v>
      </c>
      <c r="BO27" s="21">
        <f t="shared" si="138"/>
        <v>0.0707926366229045</v>
      </c>
    </row>
    <row r="28" spans="1:67">
      <c r="A28" s="9">
        <f t="shared" si="20"/>
        <v>44525</v>
      </c>
      <c r="B28" s="10">
        <v>17255.6</v>
      </c>
      <c r="C28" s="8">
        <v>95666.8</v>
      </c>
      <c r="D28" s="8">
        <v>61517.7</v>
      </c>
      <c r="E28" s="8">
        <v>59476.7</v>
      </c>
      <c r="F28" s="8">
        <v>6432.48</v>
      </c>
      <c r="G28" s="8">
        <v>115966.6</v>
      </c>
      <c r="H28" s="8">
        <v>5709.7</v>
      </c>
      <c r="I28" s="8">
        <v>2566.3</v>
      </c>
      <c r="J28" s="8">
        <v>967</v>
      </c>
      <c r="K28" s="8">
        <v>56</v>
      </c>
      <c r="L28" s="8">
        <v>94508.6</v>
      </c>
      <c r="M28" s="8">
        <v>61529.1</v>
      </c>
      <c r="N28" s="8">
        <v>75782.5</v>
      </c>
      <c r="O28" s="8">
        <v>105780</v>
      </c>
      <c r="P28" s="8">
        <v>5888.1</v>
      </c>
      <c r="Q28" s="8">
        <v>7743.2</v>
      </c>
      <c r="R28" s="8">
        <v>4687.8</v>
      </c>
      <c r="S28" s="8">
        <v>5416.1</v>
      </c>
      <c r="T28" s="8">
        <v>6878.9</v>
      </c>
      <c r="U28" s="8">
        <v>17915.8</v>
      </c>
      <c r="V28" s="8">
        <v>51846.7</v>
      </c>
      <c r="W28" s="8">
        <v>54268.7</v>
      </c>
      <c r="X28" s="8">
        <v>3557.5</v>
      </c>
      <c r="Y28" s="8">
        <v>3312.3</v>
      </c>
      <c r="Z28" s="16">
        <f t="shared" si="21"/>
        <v>61138.5</v>
      </c>
      <c r="AA28" s="8">
        <v>69780.6</v>
      </c>
      <c r="AB28" s="14">
        <v>4824</v>
      </c>
      <c r="AC28" s="7">
        <f t="shared" si="22"/>
        <v>74604.6</v>
      </c>
      <c r="AD28" s="17">
        <v>139471</v>
      </c>
      <c r="AE28" s="18">
        <f t="shared" ref="AE28:AI28" si="139">IF(OR(C29=""),"",(C29-C28)*80)</f>
        <v>3344.00000000023</v>
      </c>
      <c r="AF28" s="18">
        <f t="shared" si="139"/>
        <v>264.000000000233</v>
      </c>
      <c r="AG28" s="18">
        <f t="shared" si="139"/>
        <v>0</v>
      </c>
      <c r="AH28" s="18">
        <f t="shared" si="139"/>
        <v>4.80000000003201</v>
      </c>
      <c r="AI28" s="18">
        <f t="shared" si="139"/>
        <v>2383.99999999907</v>
      </c>
      <c r="AJ28" s="18">
        <f t="shared" si="3"/>
        <v>5996.79999999957</v>
      </c>
      <c r="AK28" s="18">
        <f t="shared" ref="AK28:AN28" si="140">IF(OR(H29=""),"",(H29-H28)*80)</f>
        <v>0</v>
      </c>
      <c r="AL28" s="18">
        <f t="shared" si="140"/>
        <v>0</v>
      </c>
      <c r="AM28" s="18">
        <f t="shared" si="140"/>
        <v>0</v>
      </c>
      <c r="AN28" s="18">
        <f t="shared" si="140"/>
        <v>0</v>
      </c>
      <c r="AO28" s="18">
        <f t="shared" si="5"/>
        <v>0</v>
      </c>
      <c r="AP28" s="18">
        <f t="shared" ref="AP28:AS28" si="141">IF(OR(L29=""),"",(L29-L28)*100)</f>
        <v>1659.99999999913</v>
      </c>
      <c r="AQ28" s="18">
        <f t="shared" si="141"/>
        <v>0</v>
      </c>
      <c r="AR28" s="18">
        <f t="shared" si="141"/>
        <v>1819.99999999971</v>
      </c>
      <c r="AS28" s="18">
        <f t="shared" si="141"/>
        <v>2219.99999999971</v>
      </c>
      <c r="AT28" s="18">
        <f t="shared" si="7"/>
        <v>5699.99999999854</v>
      </c>
      <c r="AU28" s="18">
        <f t="shared" ref="AU28:AY28" si="142">IF(OR(P29=""),"",(P29-P28)*1000)</f>
        <v>3799.99999999927</v>
      </c>
      <c r="AV28" s="18">
        <f t="shared" si="142"/>
        <v>5800.00000000018</v>
      </c>
      <c r="AW28" s="18">
        <f t="shared" si="142"/>
        <v>0</v>
      </c>
      <c r="AX28" s="18">
        <f t="shared" si="142"/>
        <v>99.9999999994543</v>
      </c>
      <c r="AY28" s="18">
        <f t="shared" si="142"/>
        <v>300.000000000182</v>
      </c>
      <c r="AZ28" s="18">
        <f t="shared" si="9"/>
        <v>9999.99999999909</v>
      </c>
      <c r="BA28" s="18">
        <f t="shared" si="10"/>
        <v>6800.00000000291</v>
      </c>
      <c r="BB28" s="18">
        <f t="shared" si="11"/>
        <v>640</v>
      </c>
      <c r="BC28" s="18">
        <f t="shared" si="47"/>
        <v>1767.99999999988</v>
      </c>
      <c r="BD28" s="18">
        <f t="shared" si="12"/>
        <v>12295.1999999971</v>
      </c>
      <c r="BE28" s="18">
        <f t="shared" si="13"/>
        <v>43199.9999999971</v>
      </c>
      <c r="BF28" s="18">
        <f t="shared" si="14"/>
        <v>61.5</v>
      </c>
      <c r="BG28" s="21">
        <f t="shared" si="15"/>
        <v>0.309741810125382</v>
      </c>
      <c r="BH28" s="21">
        <f t="shared" si="16"/>
        <v>0.0429967520129602</v>
      </c>
      <c r="BI28" s="21">
        <f t="shared" si="17"/>
        <v>0</v>
      </c>
      <c r="BJ28" s="21">
        <f t="shared" si="18"/>
        <v>0.0408687110582024</v>
      </c>
      <c r="BK28" s="21">
        <f t="shared" ref="BK28:BO28" si="143">IF(OR($AD28=0),"",AZ28/$AD28)</f>
        <v>0.0716994930845774</v>
      </c>
      <c r="BL28" s="21">
        <f t="shared" si="143"/>
        <v>0.0487556552975379</v>
      </c>
      <c r="BM28" s="21">
        <f t="shared" si="143"/>
        <v>0.00458876755741337</v>
      </c>
      <c r="BN28" s="21">
        <f t="shared" si="143"/>
        <v>0.0126764703773536</v>
      </c>
      <c r="BO28" s="21">
        <f t="shared" si="143"/>
        <v>0.0881559607373368</v>
      </c>
    </row>
    <row r="29" spans="1:67">
      <c r="A29" s="9">
        <f t="shared" si="20"/>
        <v>44526</v>
      </c>
      <c r="B29" s="10">
        <v>17259.92</v>
      </c>
      <c r="C29" s="8">
        <v>95708.6</v>
      </c>
      <c r="D29" s="8">
        <v>61521</v>
      </c>
      <c r="E29" s="8">
        <v>59476.7</v>
      </c>
      <c r="F29" s="8">
        <v>6432.54</v>
      </c>
      <c r="G29" s="8">
        <v>115996.4</v>
      </c>
      <c r="H29" s="8">
        <v>5709.7</v>
      </c>
      <c r="I29" s="8">
        <v>2566.3</v>
      </c>
      <c r="J29" s="8">
        <v>967</v>
      </c>
      <c r="K29" s="8">
        <v>56</v>
      </c>
      <c r="L29" s="8">
        <v>94525.2</v>
      </c>
      <c r="M29" s="8">
        <v>61529.1</v>
      </c>
      <c r="N29" s="8">
        <v>75800.7</v>
      </c>
      <c r="O29" s="8">
        <v>105802.2</v>
      </c>
      <c r="P29" s="8">
        <v>5891.9</v>
      </c>
      <c r="Q29" s="8">
        <v>7749</v>
      </c>
      <c r="R29" s="8">
        <v>4687.8</v>
      </c>
      <c r="S29" s="8">
        <v>5416.2</v>
      </c>
      <c r="T29" s="8">
        <v>6879.2</v>
      </c>
      <c r="U29" s="8">
        <v>17919.2</v>
      </c>
      <c r="V29" s="8">
        <v>51854.7</v>
      </c>
      <c r="W29" s="8">
        <v>54286.2</v>
      </c>
      <c r="X29" s="8">
        <v>3570.8</v>
      </c>
      <c r="Y29" s="8">
        <v>3325.7</v>
      </c>
      <c r="Z29" s="16">
        <f t="shared" si="21"/>
        <v>61182.7</v>
      </c>
      <c r="AA29" s="8">
        <v>69829.1</v>
      </c>
      <c r="AB29" s="14">
        <v>4837</v>
      </c>
      <c r="AC29" s="7">
        <f t="shared" si="22"/>
        <v>74666.1</v>
      </c>
      <c r="AD29" s="17">
        <v>155799</v>
      </c>
      <c r="AE29" s="18">
        <f t="shared" ref="AE29:AI29" si="144">IF(OR(C30=""),"",(C30-C29)*80)</f>
        <v>0</v>
      </c>
      <c r="AF29" s="18">
        <f t="shared" si="144"/>
        <v>312.000000000116</v>
      </c>
      <c r="AG29" s="18">
        <f t="shared" si="144"/>
        <v>0</v>
      </c>
      <c r="AH29" s="18">
        <f t="shared" si="144"/>
        <v>2020.80000000002</v>
      </c>
      <c r="AI29" s="18">
        <f t="shared" si="144"/>
        <v>2384.00000000023</v>
      </c>
      <c r="AJ29" s="18">
        <f t="shared" si="3"/>
        <v>4716.80000000037</v>
      </c>
      <c r="AK29" s="18">
        <f t="shared" ref="AK29:AN29" si="145">IF(OR(H30=""),"",(H30-H29)*80)</f>
        <v>0</v>
      </c>
      <c r="AL29" s="18">
        <f t="shared" si="145"/>
        <v>0</v>
      </c>
      <c r="AM29" s="18">
        <f t="shared" si="145"/>
        <v>0</v>
      </c>
      <c r="AN29" s="18">
        <f t="shared" si="145"/>
        <v>0</v>
      </c>
      <c r="AO29" s="18">
        <f t="shared" si="5"/>
        <v>0</v>
      </c>
      <c r="AP29" s="18">
        <f t="shared" ref="AP29:AS29" si="146">IF(OR(L30=""),"",(L30-L29)*100)</f>
        <v>1390.00000000087</v>
      </c>
      <c r="AQ29" s="18">
        <f t="shared" si="146"/>
        <v>0</v>
      </c>
      <c r="AR29" s="18">
        <f t="shared" si="146"/>
        <v>2169.99999999971</v>
      </c>
      <c r="AS29" s="18">
        <f t="shared" si="146"/>
        <v>2230.00000000029</v>
      </c>
      <c r="AT29" s="18">
        <f t="shared" si="7"/>
        <v>5790.00000000087</v>
      </c>
      <c r="AU29" s="18">
        <f t="shared" ref="AU29:AY29" si="147">IF(OR(P30=""),"",(P30-P29)*1000)</f>
        <v>0</v>
      </c>
      <c r="AV29" s="18">
        <f t="shared" si="147"/>
        <v>7300.00000000018</v>
      </c>
      <c r="AW29" s="18">
        <f t="shared" si="147"/>
        <v>0</v>
      </c>
      <c r="AX29" s="18">
        <f t="shared" si="147"/>
        <v>5100.00000000036</v>
      </c>
      <c r="AY29" s="18">
        <f t="shared" si="147"/>
        <v>100.000000000364</v>
      </c>
      <c r="AZ29" s="18">
        <f t="shared" si="9"/>
        <v>12500.0000000009</v>
      </c>
      <c r="BA29" s="18">
        <f t="shared" si="10"/>
        <v>6599.99999999854</v>
      </c>
      <c r="BB29" s="18">
        <f t="shared" si="11"/>
        <v>640</v>
      </c>
      <c r="BC29" s="18">
        <f t="shared" si="47"/>
        <v>1728.00000000017</v>
      </c>
      <c r="BD29" s="18">
        <f t="shared" si="12"/>
        <v>11525.200000021</v>
      </c>
      <c r="BE29" s="18">
        <f t="shared" si="13"/>
        <v>43500.0000000218</v>
      </c>
      <c r="BF29" s="18">
        <f t="shared" si="14"/>
        <v>70.8999999999942</v>
      </c>
      <c r="BG29" s="21">
        <f t="shared" si="15"/>
        <v>0.279205899909639</v>
      </c>
      <c r="BH29" s="21">
        <f t="shared" si="16"/>
        <v>0.0302749054872006</v>
      </c>
      <c r="BI29" s="21">
        <f t="shared" si="17"/>
        <v>0</v>
      </c>
      <c r="BJ29" s="21">
        <f t="shared" si="18"/>
        <v>0.0371632680569251</v>
      </c>
      <c r="BK29" s="21">
        <f t="shared" ref="BK29:BO29" si="148">IF(OR($AD29=0),"",AZ29/$AD29)</f>
        <v>0.0802315804337698</v>
      </c>
      <c r="BL29" s="21">
        <f t="shared" si="148"/>
        <v>0.0423622744690181</v>
      </c>
      <c r="BM29" s="21">
        <f t="shared" si="148"/>
        <v>0.00410785691820872</v>
      </c>
      <c r="BN29" s="21">
        <f t="shared" si="148"/>
        <v>0.0110912136791647</v>
      </c>
      <c r="BO29" s="21">
        <f t="shared" si="148"/>
        <v>0.0739748008653519</v>
      </c>
    </row>
    <row r="30" spans="1:67">
      <c r="A30" s="9">
        <f t="shared" si="20"/>
        <v>44527</v>
      </c>
      <c r="B30" s="10">
        <v>17264.27</v>
      </c>
      <c r="C30" s="8">
        <v>95708.6</v>
      </c>
      <c r="D30" s="8">
        <v>61524.9</v>
      </c>
      <c r="E30" s="8">
        <v>59476.7</v>
      </c>
      <c r="F30" s="8">
        <v>6457.8</v>
      </c>
      <c r="G30" s="8">
        <v>116026.2</v>
      </c>
      <c r="H30" s="8">
        <v>5709.7</v>
      </c>
      <c r="I30" s="8">
        <v>2566.3</v>
      </c>
      <c r="J30" s="8">
        <v>967</v>
      </c>
      <c r="K30" s="8">
        <v>56</v>
      </c>
      <c r="L30" s="8">
        <v>94539.1</v>
      </c>
      <c r="M30" s="8">
        <v>61529.1</v>
      </c>
      <c r="N30" s="8">
        <v>75822.4</v>
      </c>
      <c r="O30" s="8">
        <v>105824.5</v>
      </c>
      <c r="P30" s="8">
        <v>5891.9</v>
      </c>
      <c r="Q30" s="8">
        <v>7756.3</v>
      </c>
      <c r="R30" s="8">
        <v>4687.8</v>
      </c>
      <c r="S30" s="8">
        <v>5421.3</v>
      </c>
      <c r="T30" s="8">
        <v>6879.3</v>
      </c>
      <c r="U30" s="8">
        <v>17922.5</v>
      </c>
      <c r="V30" s="8">
        <v>51862.7</v>
      </c>
      <c r="W30" s="8">
        <v>54303.4</v>
      </c>
      <c r="X30" s="8">
        <v>3583.7</v>
      </c>
      <c r="Y30" s="8">
        <v>3338.8</v>
      </c>
      <c r="Z30" s="16">
        <f t="shared" si="21"/>
        <v>61225.9</v>
      </c>
      <c r="AA30" s="8">
        <v>69877</v>
      </c>
      <c r="AB30" s="14">
        <v>4860</v>
      </c>
      <c r="AC30" s="7">
        <f t="shared" si="22"/>
        <v>74737</v>
      </c>
      <c r="AD30" s="17">
        <v>156445</v>
      </c>
      <c r="AE30" s="18">
        <f t="shared" ref="AE30:AI30" si="149">IF(OR(C31=""),"",(C31-C30)*80)</f>
        <v>0</v>
      </c>
      <c r="AF30" s="18">
        <f t="shared" si="149"/>
        <v>527.999999999884</v>
      </c>
      <c r="AG30" s="18">
        <f t="shared" si="149"/>
        <v>0</v>
      </c>
      <c r="AH30" s="18">
        <f t="shared" si="149"/>
        <v>2064.79999999996</v>
      </c>
      <c r="AI30" s="18">
        <f t="shared" si="149"/>
        <v>2480</v>
      </c>
      <c r="AJ30" s="18">
        <f t="shared" si="3"/>
        <v>5072.79999999984</v>
      </c>
      <c r="AK30" s="18">
        <f t="shared" ref="AK30:AN30" si="150">IF(OR(H31=""),"",(H31-H30)*80)</f>
        <v>0</v>
      </c>
      <c r="AL30" s="18">
        <f t="shared" si="150"/>
        <v>0</v>
      </c>
      <c r="AM30" s="18">
        <f t="shared" si="150"/>
        <v>0</v>
      </c>
      <c r="AN30" s="18">
        <f t="shared" si="150"/>
        <v>0</v>
      </c>
      <c r="AO30" s="18">
        <f t="shared" si="5"/>
        <v>0</v>
      </c>
      <c r="AP30" s="18">
        <f t="shared" ref="AP30:AS30" si="151">IF(OR(L31=""),"",(L31-L30)*100)</f>
        <v>1250</v>
      </c>
      <c r="AQ30" s="18">
        <f t="shared" si="151"/>
        <v>0</v>
      </c>
      <c r="AR30" s="18">
        <f t="shared" si="151"/>
        <v>2790.00000000087</v>
      </c>
      <c r="AS30" s="18">
        <f t="shared" si="151"/>
        <v>2319.99999999971</v>
      </c>
      <c r="AT30" s="18">
        <f t="shared" si="7"/>
        <v>6360.00000000058</v>
      </c>
      <c r="AU30" s="18">
        <f t="shared" ref="AU30:AY30" si="152">IF(OR(P31=""),"",(P31-P30)*1000)</f>
        <v>3200.00000000073</v>
      </c>
      <c r="AV30" s="18">
        <f t="shared" si="152"/>
        <v>599.999999999454</v>
      </c>
      <c r="AW30" s="18">
        <f t="shared" si="152"/>
        <v>0</v>
      </c>
      <c r="AX30" s="18">
        <f t="shared" si="152"/>
        <v>1300.00000000018</v>
      </c>
      <c r="AY30" s="18">
        <f t="shared" si="152"/>
        <v>8599.99999999945</v>
      </c>
      <c r="AZ30" s="18">
        <f t="shared" si="9"/>
        <v>13699.9999999998</v>
      </c>
      <c r="BA30" s="18">
        <f t="shared" si="10"/>
        <v>7800.00000000291</v>
      </c>
      <c r="BB30" s="18">
        <f t="shared" si="11"/>
        <v>664.000000000233</v>
      </c>
      <c r="BC30" s="18">
        <f t="shared" si="47"/>
        <v>1803.99999999965</v>
      </c>
      <c r="BD30" s="18">
        <f t="shared" si="12"/>
        <v>12599.1999999897</v>
      </c>
      <c r="BE30" s="18">
        <f t="shared" si="13"/>
        <v>47999.9999999927</v>
      </c>
      <c r="BF30" s="18">
        <f t="shared" si="14"/>
        <v>64</v>
      </c>
      <c r="BG30" s="21">
        <f t="shared" si="15"/>
        <v>0.306817092268802</v>
      </c>
      <c r="BH30" s="21">
        <f t="shared" si="16"/>
        <v>0.0324254530346118</v>
      </c>
      <c r="BI30" s="21">
        <f t="shared" si="17"/>
        <v>0</v>
      </c>
      <c r="BJ30" s="21">
        <f t="shared" si="18"/>
        <v>0.0406532647256261</v>
      </c>
      <c r="BK30" s="21">
        <f t="shared" ref="BK30:BO30" si="153">IF(OR($AD30=0),"",AZ30/$AD30)</f>
        <v>0.0875707117517327</v>
      </c>
      <c r="BL30" s="21">
        <f t="shared" si="153"/>
        <v>0.0498577774937065</v>
      </c>
      <c r="BM30" s="21">
        <f t="shared" si="153"/>
        <v>0.00424430310972056</v>
      </c>
      <c r="BN30" s="21">
        <f t="shared" si="153"/>
        <v>0.011531209051102</v>
      </c>
      <c r="BO30" s="21">
        <f t="shared" si="153"/>
        <v>0.0805343731023023</v>
      </c>
    </row>
    <row r="31" spans="1:67">
      <c r="A31" s="9">
        <f t="shared" si="20"/>
        <v>44528</v>
      </c>
      <c r="B31" s="10">
        <v>17269.07</v>
      </c>
      <c r="C31" s="8">
        <v>95708.6</v>
      </c>
      <c r="D31" s="8">
        <v>61531.5</v>
      </c>
      <c r="E31" s="8">
        <v>59476.7</v>
      </c>
      <c r="F31" s="8">
        <v>6483.61</v>
      </c>
      <c r="G31" s="8">
        <v>116057.2</v>
      </c>
      <c r="H31" s="8">
        <v>5709.7</v>
      </c>
      <c r="I31" s="8">
        <v>2566.3</v>
      </c>
      <c r="J31" s="8">
        <v>967</v>
      </c>
      <c r="K31" s="8">
        <v>56</v>
      </c>
      <c r="L31" s="8">
        <v>94551.6</v>
      </c>
      <c r="M31" s="8">
        <v>61529.1</v>
      </c>
      <c r="N31" s="8">
        <v>75850.3</v>
      </c>
      <c r="O31" s="8">
        <v>105847.7</v>
      </c>
      <c r="P31" s="8">
        <v>5895.1</v>
      </c>
      <c r="Q31" s="8">
        <v>7756.9</v>
      </c>
      <c r="R31" s="8">
        <v>4687.8</v>
      </c>
      <c r="S31" s="8">
        <v>5422.6</v>
      </c>
      <c r="T31" s="8">
        <v>6887.9</v>
      </c>
      <c r="U31" s="8">
        <v>17926.4</v>
      </c>
      <c r="V31" s="8">
        <v>51871</v>
      </c>
      <c r="W31" s="8">
        <v>54321.2</v>
      </c>
      <c r="X31" s="8">
        <v>3597.2</v>
      </c>
      <c r="Y31" s="8">
        <v>3352.6</v>
      </c>
      <c r="Z31" s="16">
        <f t="shared" si="21"/>
        <v>61271</v>
      </c>
      <c r="AA31" s="8">
        <v>69927</v>
      </c>
      <c r="AB31" s="14">
        <v>4874</v>
      </c>
      <c r="AC31" s="7">
        <f t="shared" si="22"/>
        <v>74801</v>
      </c>
      <c r="AD31" s="17">
        <v>142607</v>
      </c>
      <c r="AE31" s="18">
        <f t="shared" ref="AE31:AI31" si="154">IF(OR(C32=""),"",(C32-C31)*80)</f>
        <v>0</v>
      </c>
      <c r="AF31" s="18">
        <f t="shared" si="154"/>
        <v>3047.99999999988</v>
      </c>
      <c r="AG31" s="18">
        <f t="shared" si="154"/>
        <v>0</v>
      </c>
      <c r="AH31" s="18">
        <f t="shared" si="154"/>
        <v>4.80000000003201</v>
      </c>
      <c r="AI31" s="18">
        <f t="shared" si="154"/>
        <v>2648.00000000047</v>
      </c>
      <c r="AJ31" s="18">
        <f t="shared" si="3"/>
        <v>5700.80000000038</v>
      </c>
      <c r="AK31" s="18">
        <f t="shared" ref="AK31:AN31" si="155">IF(OR(H32=""),"",(H32-H31)*80)</f>
        <v>0</v>
      </c>
      <c r="AL31" s="18">
        <f t="shared" si="155"/>
        <v>0</v>
      </c>
      <c r="AM31" s="18">
        <f t="shared" si="155"/>
        <v>0</v>
      </c>
      <c r="AN31" s="18">
        <f t="shared" si="155"/>
        <v>0</v>
      </c>
      <c r="AO31" s="18">
        <f t="shared" si="5"/>
        <v>0</v>
      </c>
      <c r="AP31" s="18">
        <f t="shared" ref="AP31:AS31" si="156">IF(OR(L32=""),"",(L32-L31)*100)</f>
        <v>1100</v>
      </c>
      <c r="AQ31" s="18">
        <f t="shared" si="156"/>
        <v>0</v>
      </c>
      <c r="AR31" s="18">
        <f t="shared" si="156"/>
        <v>2730.00000000029</v>
      </c>
      <c r="AS31" s="18">
        <f t="shared" si="156"/>
        <v>2230.00000000029</v>
      </c>
      <c r="AT31" s="18">
        <f t="shared" si="7"/>
        <v>6060.00000000058</v>
      </c>
      <c r="AU31" s="18">
        <f t="shared" ref="AU31:AY31" si="157">IF(OR(P32=""),"",(P32-P31)*1000)</f>
        <v>4000</v>
      </c>
      <c r="AV31" s="18">
        <f t="shared" si="157"/>
        <v>7900.00000000055</v>
      </c>
      <c r="AW31" s="18">
        <f t="shared" si="157"/>
        <v>0</v>
      </c>
      <c r="AX31" s="18">
        <f t="shared" si="157"/>
        <v>0</v>
      </c>
      <c r="AY31" s="18">
        <f t="shared" si="157"/>
        <v>0</v>
      </c>
      <c r="AZ31" s="18">
        <f t="shared" si="9"/>
        <v>11900.0000000005</v>
      </c>
      <c r="BA31" s="18">
        <f t="shared" si="10"/>
        <v>8199.99999999709</v>
      </c>
      <c r="BB31" s="18">
        <f t="shared" si="11"/>
        <v>672.000000000116</v>
      </c>
      <c r="BC31" s="18">
        <f t="shared" si="47"/>
        <v>1756.00000000035</v>
      </c>
      <c r="BD31" s="18">
        <f t="shared" si="12"/>
        <v>11711.1999999864</v>
      </c>
      <c r="BE31" s="18">
        <f t="shared" si="13"/>
        <v>45999.9999999854</v>
      </c>
      <c r="BF31" s="18">
        <f t="shared" si="14"/>
        <v>61.6000000000058</v>
      </c>
      <c r="BG31" s="21">
        <f t="shared" si="15"/>
        <v>0.322564810983931</v>
      </c>
      <c r="BH31" s="21">
        <f t="shared" si="16"/>
        <v>0.0399755972708239</v>
      </c>
      <c r="BI31" s="21">
        <f t="shared" si="17"/>
        <v>0</v>
      </c>
      <c r="BJ31" s="21">
        <f t="shared" si="18"/>
        <v>0.0424944077079006</v>
      </c>
      <c r="BK31" s="21">
        <f t="shared" ref="BK31:BO31" si="158">IF(OR($AD31=0),"",AZ31/$AD31)</f>
        <v>0.0834461141458732</v>
      </c>
      <c r="BL31" s="21">
        <f t="shared" si="158"/>
        <v>0.0575006836971333</v>
      </c>
      <c r="BM31" s="21">
        <f t="shared" si="158"/>
        <v>0.00471225115176756</v>
      </c>
      <c r="BN31" s="21">
        <f t="shared" si="158"/>
        <v>0.0123135610453929</v>
      </c>
      <c r="BO31" s="21">
        <f t="shared" si="158"/>
        <v>0.0821221959650395</v>
      </c>
    </row>
    <row r="32" spans="1:67">
      <c r="A32" s="9">
        <f t="shared" si="20"/>
        <v>44529</v>
      </c>
      <c r="B32" s="10">
        <v>17273.67</v>
      </c>
      <c r="C32" s="8">
        <v>95708.6</v>
      </c>
      <c r="D32" s="8">
        <v>61569.6</v>
      </c>
      <c r="E32" s="8">
        <v>59476.7</v>
      </c>
      <c r="F32" s="8">
        <v>6483.67</v>
      </c>
      <c r="G32" s="8">
        <v>116090.3</v>
      </c>
      <c r="H32" s="8">
        <v>5709.7</v>
      </c>
      <c r="I32" s="8">
        <v>2566.3</v>
      </c>
      <c r="J32" s="8">
        <v>967</v>
      </c>
      <c r="K32" s="8">
        <v>56</v>
      </c>
      <c r="L32" s="8">
        <v>94562.6</v>
      </c>
      <c r="M32" s="8">
        <v>61529.1</v>
      </c>
      <c r="N32" s="8">
        <v>75877.6</v>
      </c>
      <c r="O32" s="8">
        <v>105870</v>
      </c>
      <c r="P32" s="8">
        <v>5899.1</v>
      </c>
      <c r="Q32" s="8">
        <v>7764.8</v>
      </c>
      <c r="R32" s="8">
        <v>4687.8</v>
      </c>
      <c r="S32" s="8">
        <v>5422.6</v>
      </c>
      <c r="T32" s="8">
        <v>6887.9</v>
      </c>
      <c r="U32" s="8">
        <v>17930.5</v>
      </c>
      <c r="V32" s="8">
        <v>51879.4</v>
      </c>
      <c r="W32" s="8">
        <v>54338.5</v>
      </c>
      <c r="X32" s="8">
        <v>3610.4</v>
      </c>
      <c r="Y32" s="8">
        <v>3366</v>
      </c>
      <c r="Z32" s="16">
        <f t="shared" si="21"/>
        <v>61314.9</v>
      </c>
      <c r="AA32" s="8">
        <v>69975.6</v>
      </c>
      <c r="AB32" s="14">
        <v>4887</v>
      </c>
      <c r="AC32" s="7">
        <f t="shared" si="22"/>
        <v>74862.6</v>
      </c>
      <c r="AD32" s="17">
        <v>151340</v>
      </c>
      <c r="AE32" s="18">
        <f t="shared" ref="AE32:AI32" si="159">IF(OR(C33=""),"",(C33-C32)*80)</f>
        <v>0</v>
      </c>
      <c r="AF32" s="18">
        <f t="shared" si="159"/>
        <v>1887.99999999988</v>
      </c>
      <c r="AG32" s="18">
        <f t="shared" si="159"/>
        <v>0</v>
      </c>
      <c r="AH32" s="18">
        <f t="shared" si="159"/>
        <v>825.599999999977</v>
      </c>
      <c r="AI32" s="18">
        <f t="shared" si="159"/>
        <v>2591.99999999953</v>
      </c>
      <c r="AJ32" s="18">
        <f t="shared" si="3"/>
        <v>5305.59999999939</v>
      </c>
      <c r="AK32" s="18">
        <f t="shared" ref="AK32:AN32" si="160">IF(OR(H33=""),"",(H33-H32)*80)</f>
        <v>0</v>
      </c>
      <c r="AL32" s="18">
        <f t="shared" si="160"/>
        <v>0</v>
      </c>
      <c r="AM32" s="18">
        <f t="shared" si="160"/>
        <v>0</v>
      </c>
      <c r="AN32" s="18">
        <f t="shared" si="160"/>
        <v>0</v>
      </c>
      <c r="AO32" s="18">
        <f t="shared" si="5"/>
        <v>0</v>
      </c>
      <c r="AP32" s="18">
        <f t="shared" ref="AP32:AS32" si="161">IF(OR(L33=""),"",(L33-L32)*100)</f>
        <v>1819.99999999971</v>
      </c>
      <c r="AQ32" s="18">
        <f t="shared" si="161"/>
        <v>0</v>
      </c>
      <c r="AR32" s="18">
        <f t="shared" si="161"/>
        <v>1929.99999999884</v>
      </c>
      <c r="AS32" s="18">
        <f t="shared" si="161"/>
        <v>2300</v>
      </c>
      <c r="AT32" s="18">
        <f t="shared" si="7"/>
        <v>6049.99999999854</v>
      </c>
      <c r="AU32" s="18">
        <f t="shared" ref="AU32:AY32" si="162">IF(OR(P33=""),"",(P33-P32)*1000)</f>
        <v>4000</v>
      </c>
      <c r="AV32" s="18">
        <f t="shared" si="162"/>
        <v>6199.99999999982</v>
      </c>
      <c r="AW32" s="18">
        <f t="shared" si="162"/>
        <v>0</v>
      </c>
      <c r="AX32" s="18">
        <f t="shared" si="162"/>
        <v>1099.99999999945</v>
      </c>
      <c r="AY32" s="18">
        <f t="shared" si="162"/>
        <v>0</v>
      </c>
      <c r="AZ32" s="18">
        <f t="shared" si="9"/>
        <v>11299.9999999993</v>
      </c>
      <c r="BA32" s="18">
        <f t="shared" si="10"/>
        <v>8000</v>
      </c>
      <c r="BB32" s="18">
        <f t="shared" si="11"/>
        <v>632.000000000116</v>
      </c>
      <c r="BC32" s="18">
        <f t="shared" si="47"/>
        <v>1727.99999999988</v>
      </c>
      <c r="BD32" s="18">
        <f t="shared" si="12"/>
        <v>12184.4000000072</v>
      </c>
      <c r="BE32" s="18">
        <f t="shared" si="13"/>
        <v>45200.0000000044</v>
      </c>
      <c r="BF32" s="18">
        <f t="shared" si="14"/>
        <v>56.5</v>
      </c>
      <c r="BG32" s="21">
        <f t="shared" si="15"/>
        <v>0.298665257037164</v>
      </c>
      <c r="BH32" s="21">
        <f t="shared" si="16"/>
        <v>0.0350574864543372</v>
      </c>
      <c r="BI32" s="21">
        <f t="shared" si="17"/>
        <v>0</v>
      </c>
      <c r="BJ32" s="21">
        <f t="shared" si="18"/>
        <v>0.0399762125016423</v>
      </c>
      <c r="BK32" s="21">
        <f t="shared" ref="BK32:BO32" si="163">IF(OR($AD32=0),"",AZ32/$AD32)</f>
        <v>0.0746663142592789</v>
      </c>
      <c r="BL32" s="21">
        <f t="shared" si="163"/>
        <v>0.0528611074402009</v>
      </c>
      <c r="BM32" s="21">
        <f t="shared" si="163"/>
        <v>0.00417602748777664</v>
      </c>
      <c r="BN32" s="21">
        <f t="shared" si="163"/>
        <v>0.0114179992070826</v>
      </c>
      <c r="BO32" s="21">
        <f t="shared" si="163"/>
        <v>0.0805101096868452</v>
      </c>
    </row>
    <row r="33" spans="1:67">
      <c r="A33" s="9">
        <f t="shared" si="20"/>
        <v>44530</v>
      </c>
      <c r="B33" s="10">
        <v>17278.19</v>
      </c>
      <c r="C33" s="8">
        <v>95708.6</v>
      </c>
      <c r="D33" s="8">
        <v>61593.2</v>
      </c>
      <c r="E33" s="8">
        <v>59476.7</v>
      </c>
      <c r="F33" s="8">
        <v>6493.99</v>
      </c>
      <c r="G33" s="8">
        <v>116122.7</v>
      </c>
      <c r="H33" s="8">
        <v>5709.7</v>
      </c>
      <c r="I33" s="8">
        <v>2566.3</v>
      </c>
      <c r="J33" s="8">
        <v>967</v>
      </c>
      <c r="K33" s="8">
        <v>56</v>
      </c>
      <c r="L33" s="8">
        <v>94580.8</v>
      </c>
      <c r="M33" s="8">
        <v>61529.1</v>
      </c>
      <c r="N33" s="8">
        <v>75896.9</v>
      </c>
      <c r="O33" s="8">
        <v>105893</v>
      </c>
      <c r="P33" s="8">
        <v>5903.1</v>
      </c>
      <c r="Q33" s="8">
        <v>7771</v>
      </c>
      <c r="R33" s="8">
        <v>4687.8</v>
      </c>
      <c r="S33" s="8">
        <v>5423.7</v>
      </c>
      <c r="T33" s="8">
        <v>6887.9</v>
      </c>
      <c r="U33" s="8">
        <v>17934.5</v>
      </c>
      <c r="V33" s="8">
        <v>51887.3</v>
      </c>
      <c r="W33" s="8">
        <v>54355.7</v>
      </c>
      <c r="X33" s="8">
        <v>3623.3</v>
      </c>
      <c r="Y33" s="8">
        <v>3379.1</v>
      </c>
      <c r="Z33" s="16">
        <f t="shared" si="21"/>
        <v>61358.1</v>
      </c>
      <c r="AA33" s="8">
        <v>70018.1</v>
      </c>
      <c r="AB33" s="14">
        <v>4901</v>
      </c>
      <c r="AC33" s="7">
        <f t="shared" si="22"/>
        <v>74919.1</v>
      </c>
      <c r="AD33" s="17">
        <v>172164</v>
      </c>
      <c r="AE33" s="18">
        <f t="shared" ref="AE33:AI33" si="164">IF(OR(C34=""),"",(C34-C33)*80)</f>
        <v>3687.9999999993</v>
      </c>
      <c r="AF33" s="18">
        <f t="shared" si="164"/>
        <v>3088.00000000047</v>
      </c>
      <c r="AG33" s="18">
        <f t="shared" si="164"/>
        <v>0</v>
      </c>
      <c r="AH33" s="18">
        <f t="shared" si="164"/>
        <v>4.00000000001455</v>
      </c>
      <c r="AI33" s="18">
        <f t="shared" si="164"/>
        <v>1248.00000000047</v>
      </c>
      <c r="AJ33" s="18">
        <f t="shared" si="3"/>
        <v>8028.00000000025</v>
      </c>
      <c r="AK33" s="18">
        <f t="shared" ref="AK33:AN33" si="165">IF(OR(H34=""),"",(H34-H33)*80)</f>
        <v>0</v>
      </c>
      <c r="AL33" s="18">
        <f t="shared" si="165"/>
        <v>0</v>
      </c>
      <c r="AM33" s="18">
        <f t="shared" si="165"/>
        <v>0</v>
      </c>
      <c r="AN33" s="18">
        <f t="shared" si="165"/>
        <v>0</v>
      </c>
      <c r="AO33" s="18">
        <f t="shared" si="5"/>
        <v>0</v>
      </c>
      <c r="AP33" s="18">
        <f t="shared" ref="AP33:AS33" si="166">IF(OR(L34=""),"",(L34-L33)*100)</f>
        <v>1669.99999999971</v>
      </c>
      <c r="AQ33" s="18">
        <f t="shared" si="166"/>
        <v>0</v>
      </c>
      <c r="AR33" s="18">
        <f t="shared" si="166"/>
        <v>2900</v>
      </c>
      <c r="AS33" s="18">
        <f t="shared" si="166"/>
        <v>2260.00000000058</v>
      </c>
      <c r="AT33" s="18">
        <f t="shared" si="7"/>
        <v>6830.00000000029</v>
      </c>
      <c r="AU33" s="18">
        <f t="shared" ref="AU33:AY33" si="167">IF(OR(P34=""),"",(P34-P33)*1000)</f>
        <v>99.9999999994543</v>
      </c>
      <c r="AV33" s="18">
        <f t="shared" si="167"/>
        <v>0</v>
      </c>
      <c r="AW33" s="18">
        <f t="shared" si="167"/>
        <v>0</v>
      </c>
      <c r="AX33" s="18">
        <f t="shared" si="167"/>
        <v>5100.00000000036</v>
      </c>
      <c r="AY33" s="18">
        <f t="shared" si="167"/>
        <v>8600.00000000036</v>
      </c>
      <c r="AZ33" s="18">
        <f t="shared" si="9"/>
        <v>13800.0000000002</v>
      </c>
      <c r="BA33" s="18">
        <f t="shared" si="10"/>
        <v>8599.99999999854</v>
      </c>
      <c r="BB33" s="18">
        <f t="shared" si="11"/>
        <v>623.999999999651</v>
      </c>
      <c r="BC33" s="18">
        <f t="shared" si="47"/>
        <v>1752.00000000012</v>
      </c>
      <c r="BD33" s="18">
        <f t="shared" si="12"/>
        <v>13066.0000000053</v>
      </c>
      <c r="BE33" s="18">
        <f t="shared" si="13"/>
        <v>52700.0000000044</v>
      </c>
      <c r="BF33" s="18">
        <f t="shared" si="14"/>
        <v>61.0999999999913</v>
      </c>
      <c r="BG33" s="21">
        <f t="shared" si="15"/>
        <v>0.306103482725798</v>
      </c>
      <c r="BH33" s="21">
        <f t="shared" si="16"/>
        <v>0.0466299574824019</v>
      </c>
      <c r="BI33" s="21">
        <f t="shared" si="17"/>
        <v>0</v>
      </c>
      <c r="BJ33" s="21">
        <f t="shared" si="18"/>
        <v>0.0396714760344804</v>
      </c>
      <c r="BK33" s="21">
        <f t="shared" ref="BK33:BO33" si="168">IF(OR($AD33=0),"",AZ33/$AD33)</f>
        <v>0.0801561302014369</v>
      </c>
      <c r="BL33" s="21">
        <f t="shared" si="168"/>
        <v>0.0499523709950892</v>
      </c>
      <c r="BM33" s="21">
        <f t="shared" si="168"/>
        <v>0.00362445110475855</v>
      </c>
      <c r="BN33" s="21">
        <f t="shared" si="168"/>
        <v>0.0101763434864438</v>
      </c>
      <c r="BO33" s="21">
        <f t="shared" si="168"/>
        <v>0.0758927534211876</v>
      </c>
    </row>
    <row r="34" spans="1:67">
      <c r="A34" s="9">
        <f t="shared" si="20"/>
        <v>44531</v>
      </c>
      <c r="B34" s="7">
        <v>17283.46</v>
      </c>
      <c r="C34" s="8">
        <v>95754.7</v>
      </c>
      <c r="D34" s="8">
        <v>61631.8</v>
      </c>
      <c r="E34" s="8">
        <v>59476.7</v>
      </c>
      <c r="F34" s="8">
        <v>6494.04</v>
      </c>
      <c r="G34" s="8">
        <v>116138.3</v>
      </c>
      <c r="H34" s="8">
        <v>5709.7</v>
      </c>
      <c r="I34" s="8">
        <v>2566.3</v>
      </c>
      <c r="J34" s="8">
        <v>967</v>
      </c>
      <c r="K34" s="8">
        <v>56</v>
      </c>
      <c r="L34" s="8">
        <v>94597.5</v>
      </c>
      <c r="M34" s="8">
        <v>61529.1</v>
      </c>
      <c r="N34" s="8">
        <v>75925.9</v>
      </c>
      <c r="O34" s="8">
        <v>105915.6</v>
      </c>
      <c r="P34" s="8">
        <v>5903.2</v>
      </c>
      <c r="Q34" s="8">
        <v>7771</v>
      </c>
      <c r="R34" s="8">
        <v>4687.8</v>
      </c>
      <c r="S34" s="8">
        <v>5428.8</v>
      </c>
      <c r="T34" s="8">
        <v>6896.5</v>
      </c>
      <c r="U34" s="8">
        <v>17938.8</v>
      </c>
      <c r="V34" s="8">
        <v>51895.1</v>
      </c>
      <c r="W34" s="8">
        <v>54373.1</v>
      </c>
      <c r="X34" s="8">
        <v>3636.5</v>
      </c>
      <c r="Y34" s="8">
        <v>3392.3</v>
      </c>
      <c r="Z34" s="16">
        <f t="shared" si="21"/>
        <v>61401.9</v>
      </c>
      <c r="AA34" s="8">
        <v>70065.2</v>
      </c>
      <c r="AB34" s="14">
        <v>4915</v>
      </c>
      <c r="AC34" s="7">
        <f t="shared" si="22"/>
        <v>74980.2</v>
      </c>
      <c r="AD34" s="17"/>
      <c r="AE34" s="18" t="str">
        <f t="shared" ref="AE34:AI34" si="169">IF(OR(C35=""),"",(C35-C34)*80)</f>
        <v/>
      </c>
      <c r="AF34" s="18" t="str">
        <f t="shared" si="169"/>
        <v/>
      </c>
      <c r="AG34" s="18" t="str">
        <f t="shared" si="169"/>
        <v/>
      </c>
      <c r="AH34" s="18" t="str">
        <f t="shared" si="169"/>
        <v/>
      </c>
      <c r="AI34" s="18" t="str">
        <f t="shared" si="169"/>
        <v/>
      </c>
      <c r="AJ34" s="18" t="str">
        <f t="shared" si="3"/>
        <v/>
      </c>
      <c r="AK34" s="18" t="str">
        <f t="shared" ref="AK34:AN34" si="170">IF(OR(H35=""),"",(H35-H34)*80)</f>
        <v/>
      </c>
      <c r="AL34" s="18" t="str">
        <f t="shared" si="170"/>
        <v/>
      </c>
      <c r="AM34" s="18" t="str">
        <f t="shared" si="170"/>
        <v/>
      </c>
      <c r="AN34" s="18" t="str">
        <f t="shared" si="170"/>
        <v/>
      </c>
      <c r="AO34" s="18" t="str">
        <f t="shared" si="5"/>
        <v/>
      </c>
      <c r="AP34" s="18" t="str">
        <f t="shared" ref="AP34:AS34" si="171">IF(OR(L35=""),"",(L35-L34)*100)</f>
        <v/>
      </c>
      <c r="AQ34" s="18" t="str">
        <f t="shared" si="171"/>
        <v/>
      </c>
      <c r="AR34" s="18" t="str">
        <f t="shared" si="171"/>
        <v/>
      </c>
      <c r="AS34" s="18" t="str">
        <f t="shared" si="171"/>
        <v/>
      </c>
      <c r="AT34" s="18" t="str">
        <f t="shared" si="7"/>
        <v/>
      </c>
      <c r="AU34" s="18" t="str">
        <f t="shared" ref="AU34:AY34" si="172">IF(OR(P35=""),"",(P35-P34)*1000)</f>
        <v/>
      </c>
      <c r="AV34" s="18" t="str">
        <f t="shared" si="172"/>
        <v/>
      </c>
      <c r="AW34" s="18" t="str">
        <f t="shared" si="172"/>
        <v/>
      </c>
      <c r="AX34" s="18" t="str">
        <f t="shared" si="172"/>
        <v/>
      </c>
      <c r="AY34" s="18" t="str">
        <f t="shared" si="172"/>
        <v/>
      </c>
      <c r="AZ34" s="18" t="str">
        <f t="shared" si="9"/>
        <v/>
      </c>
      <c r="BA34" s="18" t="str">
        <f t="shared" si="10"/>
        <v/>
      </c>
      <c r="BB34" s="18" t="str">
        <f t="shared" si="11"/>
        <v/>
      </c>
      <c r="BC34" s="18" t="str">
        <f t="shared" ref="BC34" si="173">IF(OR(W35=""),"",(W35-W34)*40)</f>
        <v/>
      </c>
      <c r="BD34" s="18" t="str">
        <f t="shared" si="12"/>
        <v/>
      </c>
      <c r="BE34" s="18" t="str">
        <f t="shared" si="13"/>
        <v/>
      </c>
      <c r="BF34" s="18" t="str">
        <f t="shared" si="14"/>
        <v/>
      </c>
      <c r="BG34" s="21" t="str">
        <f t="shared" si="15"/>
        <v/>
      </c>
      <c r="BH34" s="21" t="str">
        <f t="shared" si="16"/>
        <v/>
      </c>
      <c r="BI34" s="21" t="str">
        <f t="shared" si="17"/>
        <v/>
      </c>
      <c r="BJ34" s="21" t="str">
        <f t="shared" si="18"/>
        <v/>
      </c>
      <c r="BK34" s="21" t="str">
        <f t="shared" ref="BK34:BO34" si="174">IF(OR($AD34=0),"",AZ34/$AD34)</f>
        <v/>
      </c>
      <c r="BL34" s="21" t="str">
        <f t="shared" si="174"/>
        <v/>
      </c>
      <c r="BM34" s="21" t="str">
        <f t="shared" si="174"/>
        <v/>
      </c>
      <c r="BN34" s="21" t="str">
        <f t="shared" si="174"/>
        <v/>
      </c>
      <c r="BO34" s="21" t="str">
        <f t="shared" si="174"/>
        <v/>
      </c>
    </row>
    <row r="35" spans="1:67">
      <c r="A35" s="9"/>
      <c r="B35" s="10"/>
      <c r="C35" s="11"/>
      <c r="D35" s="11"/>
      <c r="E35" s="11"/>
      <c r="F35" s="11"/>
      <c r="G35" s="11"/>
      <c r="H35" s="8"/>
      <c r="I35" s="8"/>
      <c r="J35" s="8"/>
      <c r="K35" s="8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6" t="str">
        <f t="shared" si="21"/>
        <v/>
      </c>
      <c r="AA35" s="11"/>
      <c r="BE35" s="22" t="s">
        <v>44</v>
      </c>
      <c r="BF35" s="22" t="s">
        <v>19</v>
      </c>
      <c r="BG35" s="23">
        <f>SUM(BE4:BE34)</f>
        <v>1500400.00000001</v>
      </c>
      <c r="BH35" s="23">
        <f>SUM(AJ4:AJ34)</f>
        <v>229595.2</v>
      </c>
      <c r="BI35" s="23">
        <f>SUM(AO4:AO34)</f>
        <v>9071.99999999997</v>
      </c>
      <c r="BJ35" s="23">
        <f>SUM(AT4:AT34)</f>
        <v>202880</v>
      </c>
      <c r="BK35" s="23">
        <f t="shared" ref="BK35:BO35" si="175">SUM(AZ4:AZ34)</f>
        <v>361700</v>
      </c>
      <c r="BL35" s="23">
        <f t="shared" si="175"/>
        <v>235000</v>
      </c>
      <c r="BM35" s="23">
        <f t="shared" si="175"/>
        <v>19792.0000000001</v>
      </c>
      <c r="BN35" s="23">
        <f t="shared" si="175"/>
        <v>52456.0000000001</v>
      </c>
      <c r="BO35" s="23">
        <f t="shared" si="175"/>
        <v>389904.800000009</v>
      </c>
    </row>
    <row r="36" spans="37:67"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22">
        <f>SUM(AD4:AD34)</f>
        <v>5249105</v>
      </c>
      <c r="BF36" s="22" t="s">
        <v>21</v>
      </c>
      <c r="BG36" s="24">
        <f>IF(OR(BG35=0),"",ROUND(BG35/$BE$36,3))</f>
        <v>0.286</v>
      </c>
      <c r="BH36" s="24">
        <f t="shared" ref="BH36:BO36" si="176">IF(OR(BH35=0),"",ROUND(BH35/$BE$36,4))</f>
        <v>0.0437</v>
      </c>
      <c r="BI36" s="24">
        <f t="shared" si="176"/>
        <v>0.0017</v>
      </c>
      <c r="BJ36" s="24">
        <f t="shared" si="176"/>
        <v>0.0387</v>
      </c>
      <c r="BK36" s="24">
        <f t="shared" si="176"/>
        <v>0.0689</v>
      </c>
      <c r="BL36" s="24">
        <f t="shared" si="176"/>
        <v>0.0448</v>
      </c>
      <c r="BM36" s="24">
        <f t="shared" si="176"/>
        <v>0.0038</v>
      </c>
      <c r="BN36" s="24">
        <f t="shared" si="176"/>
        <v>0.01</v>
      </c>
      <c r="BO36" s="24">
        <f t="shared" si="176"/>
        <v>0.0743</v>
      </c>
    </row>
  </sheetData>
  <mergeCells count="35">
    <mergeCell ref="A1:BO1"/>
    <mergeCell ref="C2:G2"/>
    <mergeCell ref="H2:K2"/>
    <mergeCell ref="L2:O2"/>
    <mergeCell ref="P2:T2"/>
    <mergeCell ref="X2:Y2"/>
    <mergeCell ref="AE2:AJ2"/>
    <mergeCell ref="AK2:AO2"/>
    <mergeCell ref="AP2:AT2"/>
    <mergeCell ref="AU2:AZ2"/>
    <mergeCell ref="A2:A3"/>
    <mergeCell ref="B2:B3"/>
    <mergeCell ref="U2:U3"/>
    <mergeCell ref="V2:V3"/>
    <mergeCell ref="W2:W3"/>
    <mergeCell ref="Z2:Z3"/>
    <mergeCell ref="AA2:AA3"/>
    <mergeCell ref="AB2:AB3"/>
    <mergeCell ref="AC2:AC3"/>
    <mergeCell ref="AD2:AD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"/>
  <sheetViews>
    <sheetView showGridLines="0" tabSelected="1" zoomScale="110" zoomScaleNormal="110" workbookViewId="0">
      <pane xSplit="1" ySplit="3" topLeftCell="AF4" activePane="bottomRight" state="frozen"/>
      <selection/>
      <selection pane="topRight"/>
      <selection pane="bottomLeft"/>
      <selection pane="bottomRight" activeCell="BC4" sqref="BC4:BC34"/>
    </sheetView>
  </sheetViews>
  <sheetFormatPr defaultColWidth="9" defaultRowHeight="14.25"/>
  <cols>
    <col min="1" max="1" width="8.375" style="1" customWidth="1"/>
    <col min="2" max="2" width="8.375" style="2" customWidth="1"/>
    <col min="3" max="6" width="7.5" style="3" customWidth="1"/>
    <col min="7" max="7" width="7.75" style="3" customWidth="1"/>
    <col min="8" max="9" width="6.625" style="3" customWidth="1"/>
    <col min="10" max="10" width="5.75" style="3" customWidth="1"/>
    <col min="11" max="11" width="4.875" style="3" customWidth="1"/>
    <col min="12" max="14" width="7.5" style="3" customWidth="1"/>
    <col min="15" max="15" width="8.25" style="3" customWidth="1"/>
    <col min="16" max="20" width="6.625" style="3" customWidth="1"/>
    <col min="21" max="24" width="7.5" style="3" customWidth="1"/>
    <col min="25" max="26" width="8.25" style="3" customWidth="1"/>
    <col min="27" max="28" width="7.5" style="3" customWidth="1"/>
    <col min="29" max="29" width="8.375" style="3" customWidth="1"/>
    <col min="30" max="30" width="6.75" style="3" customWidth="1"/>
    <col min="31" max="31" width="5.625" style="1" customWidth="1"/>
    <col min="32" max="32" width="4.875" style="1" customWidth="1"/>
    <col min="33" max="34" width="4" style="1" customWidth="1"/>
    <col min="35" max="35" width="5.625" style="1" customWidth="1"/>
    <col min="36" max="36" width="6.625" style="1" customWidth="1"/>
    <col min="37" max="40" width="4" style="1" customWidth="1"/>
    <col min="41" max="41" width="6.625" style="1" customWidth="1"/>
    <col min="42" max="42" width="4.875" style="1" customWidth="1"/>
    <col min="43" max="43" width="4" style="1" customWidth="1"/>
    <col min="44" max="44" width="4.75" style="1" customWidth="1"/>
    <col min="45" max="45" width="4.625" style="1" customWidth="1"/>
    <col min="46" max="46" width="6.625" style="1" customWidth="1"/>
    <col min="47" max="51" width="5.5" style="1" customWidth="1"/>
    <col min="52" max="52" width="6.625" style="1" customWidth="1"/>
    <col min="53" max="53" width="5.875" style="1" customWidth="1"/>
    <col min="54" max="54" width="5.5" style="1" customWidth="1"/>
    <col min="55" max="55" width="5.625" style="1" customWidth="1"/>
    <col min="56" max="56" width="8.125" style="1" customWidth="1"/>
    <col min="57" max="57" width="5.875" style="1" customWidth="1"/>
    <col min="58" max="58" width="5.375" style="1" customWidth="1"/>
    <col min="59" max="59" width="8.5" style="1" customWidth="1"/>
    <col min="60" max="60" width="7.125" style="1" customWidth="1"/>
    <col min="61" max="61" width="6.125" style="1" customWidth="1"/>
    <col min="62" max="62" width="7.875" style="1" customWidth="1"/>
    <col min="63" max="63" width="11.125" style="1" customWidth="1"/>
    <col min="64" max="64" width="6.5" style="1" customWidth="1"/>
    <col min="65" max="65" width="6" style="1" customWidth="1"/>
    <col min="66" max="66" width="6.125" style="1" customWidth="1"/>
    <col min="67" max="67" width="8.875" style="1" customWidth="1"/>
    <col min="68" max="16384" width="9" style="1"/>
  </cols>
  <sheetData>
    <row r="1" spans="1:6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25"/>
    </row>
    <row r="2" spans="1:67">
      <c r="A2" s="6"/>
      <c r="B2" s="7" t="s">
        <v>0</v>
      </c>
      <c r="C2" s="8" t="s">
        <v>1</v>
      </c>
      <c r="D2" s="8"/>
      <c r="E2" s="8"/>
      <c r="F2" s="8"/>
      <c r="G2" s="8"/>
      <c r="H2" s="8" t="s">
        <v>2</v>
      </c>
      <c r="I2" s="8"/>
      <c r="J2" s="8"/>
      <c r="K2" s="8"/>
      <c r="L2" s="8" t="s">
        <v>3</v>
      </c>
      <c r="M2" s="8"/>
      <c r="N2" s="8"/>
      <c r="O2" s="8"/>
      <c r="P2" s="8" t="s">
        <v>4</v>
      </c>
      <c r="Q2" s="8"/>
      <c r="R2" s="8"/>
      <c r="S2" s="8"/>
      <c r="T2" s="8"/>
      <c r="U2" s="8" t="s">
        <v>5</v>
      </c>
      <c r="V2" s="8" t="s">
        <v>6</v>
      </c>
      <c r="W2" s="8" t="s">
        <v>7</v>
      </c>
      <c r="X2" s="12" t="s">
        <v>8</v>
      </c>
      <c r="Y2" s="14"/>
      <c r="Z2" s="8" t="s">
        <v>9</v>
      </c>
      <c r="AA2" s="8" t="s">
        <v>10</v>
      </c>
      <c r="AB2" s="8" t="s">
        <v>11</v>
      </c>
      <c r="AC2" s="8" t="s">
        <v>12</v>
      </c>
      <c r="AD2" s="6" t="s">
        <v>13</v>
      </c>
      <c r="AE2" s="15" t="s">
        <v>14</v>
      </c>
      <c r="AF2" s="15"/>
      <c r="AG2" s="15"/>
      <c r="AH2" s="15"/>
      <c r="AI2" s="15"/>
      <c r="AJ2" s="15"/>
      <c r="AK2" s="15" t="s">
        <v>2</v>
      </c>
      <c r="AL2" s="15"/>
      <c r="AM2" s="15"/>
      <c r="AN2" s="15"/>
      <c r="AO2" s="15"/>
      <c r="AP2" s="15" t="s">
        <v>3</v>
      </c>
      <c r="AQ2" s="15"/>
      <c r="AR2" s="15"/>
      <c r="AS2" s="15"/>
      <c r="AT2" s="15"/>
      <c r="AU2" s="15" t="s">
        <v>4</v>
      </c>
      <c r="AV2" s="15"/>
      <c r="AW2" s="15"/>
      <c r="AX2" s="15"/>
      <c r="AY2" s="15"/>
      <c r="AZ2" s="15"/>
      <c r="BA2" s="15" t="s">
        <v>15</v>
      </c>
      <c r="BB2" s="15" t="s">
        <v>16</v>
      </c>
      <c r="BC2" s="15" t="s">
        <v>17</v>
      </c>
      <c r="BD2" s="15" t="s">
        <v>18</v>
      </c>
      <c r="BE2" s="15" t="s">
        <v>19</v>
      </c>
      <c r="BF2" s="15" t="s">
        <v>20</v>
      </c>
      <c r="BG2" s="21" t="s">
        <v>21</v>
      </c>
      <c r="BH2" s="21" t="s">
        <v>22</v>
      </c>
      <c r="BI2" s="21" t="s">
        <v>23</v>
      </c>
      <c r="BJ2" s="21" t="s">
        <v>24</v>
      </c>
      <c r="BK2" s="21" t="s">
        <v>25</v>
      </c>
      <c r="BL2" s="21" t="s">
        <v>26</v>
      </c>
      <c r="BM2" s="21" t="s">
        <v>27</v>
      </c>
      <c r="BN2" s="21" t="s">
        <v>28</v>
      </c>
      <c r="BO2" s="21" t="s">
        <v>29</v>
      </c>
    </row>
    <row r="3" spans="1:67">
      <c r="A3" s="6"/>
      <c r="B3" s="7"/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/>
      <c r="V3" s="8"/>
      <c r="W3" s="8"/>
      <c r="X3" s="8" t="s">
        <v>40</v>
      </c>
      <c r="Y3" s="8" t="s">
        <v>41</v>
      </c>
      <c r="Z3" s="8"/>
      <c r="AA3" s="8"/>
      <c r="AB3" s="8"/>
      <c r="AC3" s="8"/>
      <c r="AD3" s="6"/>
      <c r="AE3" s="15" t="s">
        <v>30</v>
      </c>
      <c r="AF3" s="15" t="s">
        <v>31</v>
      </c>
      <c r="AG3" s="15" t="s">
        <v>32</v>
      </c>
      <c r="AH3" s="15" t="s">
        <v>33</v>
      </c>
      <c r="AI3" s="15" t="s">
        <v>34</v>
      </c>
      <c r="AJ3" s="15" t="s">
        <v>42</v>
      </c>
      <c r="AK3" s="15" t="s">
        <v>30</v>
      </c>
      <c r="AL3" s="15" t="s">
        <v>31</v>
      </c>
      <c r="AM3" s="15" t="s">
        <v>32</v>
      </c>
      <c r="AN3" s="15" t="s">
        <v>33</v>
      </c>
      <c r="AO3" s="15" t="s">
        <v>42</v>
      </c>
      <c r="AP3" s="15" t="s">
        <v>30</v>
      </c>
      <c r="AQ3" s="15" t="s">
        <v>31</v>
      </c>
      <c r="AR3" s="15" t="s">
        <v>32</v>
      </c>
      <c r="AS3" s="15" t="s">
        <v>33</v>
      </c>
      <c r="AT3" s="15" t="s">
        <v>42</v>
      </c>
      <c r="AU3" s="15" t="s">
        <v>35</v>
      </c>
      <c r="AV3" s="15" t="s">
        <v>36</v>
      </c>
      <c r="AW3" s="15" t="s">
        <v>37</v>
      </c>
      <c r="AX3" s="15" t="s">
        <v>38</v>
      </c>
      <c r="AY3" s="15" t="s">
        <v>39</v>
      </c>
      <c r="AZ3" s="15" t="s">
        <v>43</v>
      </c>
      <c r="BA3" s="20"/>
      <c r="BB3" s="20"/>
      <c r="BC3" s="20"/>
      <c r="BD3" s="20"/>
      <c r="BE3" s="20"/>
      <c r="BF3" s="20"/>
      <c r="BG3" s="21"/>
      <c r="BH3" s="21"/>
      <c r="BI3" s="21"/>
      <c r="BJ3" s="21"/>
      <c r="BK3" s="21"/>
      <c r="BL3" s="21"/>
      <c r="BM3" s="21"/>
      <c r="BN3" s="21"/>
      <c r="BO3" s="21"/>
    </row>
    <row r="4" spans="1:67">
      <c r="A4" s="9">
        <v>44531</v>
      </c>
      <c r="B4" s="7">
        <v>17283.46</v>
      </c>
      <c r="C4" s="8">
        <v>95754.7</v>
      </c>
      <c r="D4" s="8">
        <v>61631.8</v>
      </c>
      <c r="E4" s="8">
        <v>59476.7</v>
      </c>
      <c r="F4" s="8">
        <v>6494.04</v>
      </c>
      <c r="G4" s="8">
        <v>116138.3</v>
      </c>
      <c r="H4" s="8">
        <v>5709.7</v>
      </c>
      <c r="I4" s="8">
        <v>2566.3</v>
      </c>
      <c r="J4" s="8">
        <v>967</v>
      </c>
      <c r="K4" s="8">
        <v>56</v>
      </c>
      <c r="L4" s="8">
        <v>94597.5</v>
      </c>
      <c r="M4" s="8">
        <v>61529.1</v>
      </c>
      <c r="N4" s="8">
        <v>75925.9</v>
      </c>
      <c r="O4" s="8">
        <v>105915.6</v>
      </c>
      <c r="P4" s="8">
        <v>5903.2</v>
      </c>
      <c r="Q4" s="8">
        <v>7771</v>
      </c>
      <c r="R4" s="8">
        <v>4687.8</v>
      </c>
      <c r="S4" s="8">
        <v>5428.8</v>
      </c>
      <c r="T4" s="8">
        <v>6896.5</v>
      </c>
      <c r="U4" s="8">
        <v>17938.8</v>
      </c>
      <c r="V4" s="8">
        <v>51895.1</v>
      </c>
      <c r="W4" s="8">
        <v>54373.1</v>
      </c>
      <c r="X4" s="8">
        <v>3636.5</v>
      </c>
      <c r="Y4" s="8">
        <v>3392.3</v>
      </c>
      <c r="Z4" s="16">
        <f t="shared" ref="Z4" si="0">IF(OR(W4=""),"",(W4+X4+Y4))</f>
        <v>61401.9</v>
      </c>
      <c r="AA4" s="8">
        <v>70065.2</v>
      </c>
      <c r="AB4" s="14">
        <v>4915</v>
      </c>
      <c r="AC4" s="7">
        <f t="shared" ref="AC4" si="1">IF(OR(AA4=""),"",(AA4+AB4))</f>
        <v>74980.2</v>
      </c>
      <c r="AD4" s="17">
        <v>182104</v>
      </c>
      <c r="AE4" s="18">
        <f t="shared" ref="AE4:AI4" si="2">IF(OR(C5=""),"",(C5-C4)*80)</f>
        <v>3415.99999999977</v>
      </c>
      <c r="AF4" s="18">
        <f t="shared" si="2"/>
        <v>2687.99999999988</v>
      </c>
      <c r="AG4" s="18">
        <f t="shared" si="2"/>
        <v>0</v>
      </c>
      <c r="AH4" s="18">
        <f t="shared" si="2"/>
        <v>208.799999999974</v>
      </c>
      <c r="AI4" s="18">
        <f t="shared" si="2"/>
        <v>1967.9999999993</v>
      </c>
      <c r="AJ4" s="18">
        <f t="shared" ref="AJ4" si="3">IF(OR(AE4="",AF4="",AG4=""),"",AE4+AF4+AG4+AH4+AI4)</f>
        <v>8280.79999999893</v>
      </c>
      <c r="AK4" s="18">
        <f t="shared" ref="AK4:AN4" si="4">IF(OR(H5=""),"",(H5-H4)*80)</f>
        <v>0</v>
      </c>
      <c r="AL4" s="18">
        <f t="shared" si="4"/>
        <v>0</v>
      </c>
      <c r="AM4" s="18">
        <f t="shared" si="4"/>
        <v>0</v>
      </c>
      <c r="AN4" s="18">
        <f t="shared" si="4"/>
        <v>0</v>
      </c>
      <c r="AO4" s="18">
        <f t="shared" ref="AO4" si="5">IF(OR(AK4="",AL4=""),"",AK4+AL4+AM4+AN4)</f>
        <v>0</v>
      </c>
      <c r="AP4" s="18">
        <f t="shared" ref="AP4:AS4" si="6">IF(OR(L5=""),"",(L5-L4)*100)</f>
        <v>2000</v>
      </c>
      <c r="AQ4" s="18">
        <f t="shared" si="6"/>
        <v>0</v>
      </c>
      <c r="AR4" s="18">
        <f t="shared" si="6"/>
        <v>2950</v>
      </c>
      <c r="AS4" s="18">
        <f t="shared" si="6"/>
        <v>2300</v>
      </c>
      <c r="AT4" s="18">
        <f t="shared" ref="AT4" si="7">IF(OR(AP4="",AQ4=""),"",AP4+AQ4+AR4+AS4)</f>
        <v>7250</v>
      </c>
      <c r="AU4" s="18">
        <f t="shared" ref="AU4:AY4" si="8">IF(OR(P5=""),"",(P5-P4)*1000)</f>
        <v>0</v>
      </c>
      <c r="AV4" s="18">
        <f t="shared" si="8"/>
        <v>0</v>
      </c>
      <c r="AW4" s="18">
        <f t="shared" si="8"/>
        <v>0</v>
      </c>
      <c r="AX4" s="18">
        <f t="shared" si="8"/>
        <v>4899.99999999964</v>
      </c>
      <c r="AY4" s="18">
        <f t="shared" si="8"/>
        <v>8899.99999999964</v>
      </c>
      <c r="AZ4" s="18">
        <f t="shared" ref="AZ4" si="9">IF(OR(AU4="",AV4="",AW4=""),"",AU4+AV4+AW4+AX4+AY4)</f>
        <v>13799.9999999993</v>
      </c>
      <c r="BA4" s="18">
        <f t="shared" ref="BA4" si="10">IF(OR(U5=""),"",(U5-U4)*2000)</f>
        <v>9000</v>
      </c>
      <c r="BB4" s="18">
        <f t="shared" ref="BB4" si="11">IF(OR(V5=""),"",(V5-V4)*80)</f>
        <v>896.000000000349</v>
      </c>
      <c r="BC4" s="18">
        <f>IF(OR(W5=""),"",(Z5-Z4)*40)</f>
        <v>1763.99999999994</v>
      </c>
      <c r="BD4" s="18">
        <f t="shared" ref="BD4" si="12">IF(OR(BE4="",BC4=""),"",BE4-BC4-BB4-BA4-AZ4-AT4-AO4-AJ4)</f>
        <v>13009.2000000161</v>
      </c>
      <c r="BE4" s="18">
        <f t="shared" ref="BE4" si="13">IF(OR(B5=""),"",(B5-B4)*10000)</f>
        <v>54000.0000000146</v>
      </c>
      <c r="BF4" s="18">
        <f t="shared" ref="BF4" si="14">IF(OR(AC5=""),"",AC5-AC4)</f>
        <v>57.8000000000029</v>
      </c>
      <c r="BG4" s="21">
        <f t="shared" ref="BG4" si="15">IF(OR($AD4=0),"",BE4/$AD4)</f>
        <v>0.296533848789783</v>
      </c>
      <c r="BH4" s="21">
        <f t="shared" ref="BH4" si="16">IF(OR($AD4=0),"",AJ4/$AD4)</f>
        <v>0.045472916575138</v>
      </c>
      <c r="BI4" s="21">
        <f t="shared" ref="BI4" si="17">IF(OR($AD4=0),"",AO4/$AD4)</f>
        <v>0</v>
      </c>
      <c r="BJ4" s="21">
        <f t="shared" ref="BJ4" si="18">IF(OR($AD4=0),"",AT4/$AD4)</f>
        <v>0.0398124148838027</v>
      </c>
      <c r="BK4" s="21">
        <f t="shared" ref="BK4:BO4" si="19">IF(OR($AD4=0),"",AZ4/$AD4)</f>
        <v>0.0757808724684755</v>
      </c>
      <c r="BL4" s="21">
        <f t="shared" si="19"/>
        <v>0.0494223081316171</v>
      </c>
      <c r="BM4" s="21">
        <f t="shared" si="19"/>
        <v>0.00492026534288291</v>
      </c>
      <c r="BN4" s="21">
        <f t="shared" si="19"/>
        <v>0.00968677239379663</v>
      </c>
      <c r="BO4" s="21">
        <f t="shared" si="19"/>
        <v>0.0714382989940697</v>
      </c>
    </row>
    <row r="5" spans="1:67">
      <c r="A5" s="9">
        <f t="shared" ref="A5:A35" si="20">A4+1</f>
        <v>44532</v>
      </c>
      <c r="B5" s="10">
        <v>17288.86</v>
      </c>
      <c r="C5" s="8">
        <v>95797.4</v>
      </c>
      <c r="D5" s="8">
        <v>61665.4</v>
      </c>
      <c r="E5" s="8">
        <v>59476.7</v>
      </c>
      <c r="F5" s="8">
        <v>6496.65</v>
      </c>
      <c r="G5" s="8">
        <v>116162.9</v>
      </c>
      <c r="H5" s="8">
        <v>5709.7</v>
      </c>
      <c r="I5" s="8">
        <v>2566.3</v>
      </c>
      <c r="J5" s="8">
        <v>967</v>
      </c>
      <c r="K5" s="8">
        <v>56</v>
      </c>
      <c r="L5" s="8">
        <v>94617.5</v>
      </c>
      <c r="M5" s="8">
        <v>61529.1</v>
      </c>
      <c r="N5" s="8">
        <v>75955.4</v>
      </c>
      <c r="O5" s="8">
        <v>105938.6</v>
      </c>
      <c r="P5" s="8">
        <v>5903.2</v>
      </c>
      <c r="Q5" s="8">
        <v>7771</v>
      </c>
      <c r="R5" s="8">
        <v>4687.8</v>
      </c>
      <c r="S5" s="8">
        <v>5433.7</v>
      </c>
      <c r="T5" s="8">
        <v>6905.4</v>
      </c>
      <c r="U5" s="8">
        <v>17943.3</v>
      </c>
      <c r="V5" s="8">
        <v>51906.3</v>
      </c>
      <c r="W5" s="8">
        <v>54390.7</v>
      </c>
      <c r="X5" s="8">
        <v>3649.8</v>
      </c>
      <c r="Y5" s="8">
        <v>3405.5</v>
      </c>
      <c r="Z5" s="16">
        <f t="shared" ref="Z5:Z35" si="21">IF(OR(W5=""),"",(W5+X5+Y5))</f>
        <v>61446</v>
      </c>
      <c r="AA5" s="8">
        <v>70111</v>
      </c>
      <c r="AB5" s="14">
        <v>4927</v>
      </c>
      <c r="AC5" s="7">
        <f t="shared" ref="AC5:AC35" si="22">IF(OR(AA5=""),"",(AA5+AB5))</f>
        <v>75038</v>
      </c>
      <c r="AD5" s="17">
        <v>183151</v>
      </c>
      <c r="AE5" s="18">
        <f t="shared" ref="AE5:AI5" si="23">IF(OR(C6=""),"",(C6-C5)*80)</f>
        <v>3672.0000000007</v>
      </c>
      <c r="AF5" s="18">
        <f t="shared" si="23"/>
        <v>2992.00000000012</v>
      </c>
      <c r="AG5" s="18">
        <f t="shared" si="23"/>
        <v>0</v>
      </c>
      <c r="AH5" s="18">
        <f t="shared" si="23"/>
        <v>4.00000000001455</v>
      </c>
      <c r="AI5" s="18">
        <f t="shared" si="23"/>
        <v>1968.00000000047</v>
      </c>
      <c r="AJ5" s="18">
        <f t="shared" ref="AJ5:AJ34" si="24">IF(OR(AE5="",AF5="",AG5=""),"",AE5+AF5+AG5+AH5+AI5)</f>
        <v>8636.0000000013</v>
      </c>
      <c r="AK5" s="18">
        <f t="shared" ref="AK5:AN5" si="25">IF(OR(H6=""),"",(H6-H5)*80)</f>
        <v>0</v>
      </c>
      <c r="AL5" s="18">
        <f t="shared" si="25"/>
        <v>0</v>
      </c>
      <c r="AM5" s="18">
        <f t="shared" si="25"/>
        <v>0</v>
      </c>
      <c r="AN5" s="18">
        <f t="shared" si="25"/>
        <v>0</v>
      </c>
      <c r="AO5" s="18">
        <f t="shared" ref="AO5:AO34" si="26">IF(OR(AK5="",AL5=""),"",AK5+AL5+AM5+AN5)</f>
        <v>0</v>
      </c>
      <c r="AP5" s="18">
        <f t="shared" ref="AP5:AS5" si="27">IF(OR(L6=""),"",(L6-L5)*100)</f>
        <v>1939.99999999942</v>
      </c>
      <c r="AQ5" s="18">
        <f t="shared" si="27"/>
        <v>0</v>
      </c>
      <c r="AR5" s="18">
        <f t="shared" si="27"/>
        <v>2900</v>
      </c>
      <c r="AS5" s="18">
        <f t="shared" si="27"/>
        <v>2279.99999999884</v>
      </c>
      <c r="AT5" s="18">
        <f t="shared" ref="AT5:AT34" si="28">IF(OR(AP5="",AQ5=""),"",AP5+AQ5+AR5+AS5)</f>
        <v>7119.99999999825</v>
      </c>
      <c r="AU5" s="18">
        <f t="shared" ref="AU5:AY5" si="29">IF(OR(P6=""),"",(P6-P5)*1000)</f>
        <v>400.000000000546</v>
      </c>
      <c r="AV5" s="18">
        <f t="shared" si="29"/>
        <v>500</v>
      </c>
      <c r="AW5" s="18">
        <f t="shared" si="29"/>
        <v>0</v>
      </c>
      <c r="AX5" s="18">
        <f t="shared" si="29"/>
        <v>4600.00000000036</v>
      </c>
      <c r="AY5" s="18">
        <f t="shared" si="29"/>
        <v>8100.00000000036</v>
      </c>
      <c r="AZ5" s="18">
        <f t="shared" ref="AZ5:AZ34" si="30">IF(OR(AU5="",AV5="",AW5=""),"",AU5+AV5+AW5+AX5+AY5)</f>
        <v>13600.0000000013</v>
      </c>
      <c r="BA5" s="18">
        <f t="shared" ref="BA5:BA34" si="31">IF(OR(U6=""),"",(U6-U5)*2000)</f>
        <v>8800.00000000291</v>
      </c>
      <c r="BB5" s="18">
        <f t="shared" ref="BB5:BB34" si="32">IF(OR(V6=""),"",(V6-V5)*80)</f>
        <v>943.999999999651</v>
      </c>
      <c r="BC5" s="18">
        <f t="shared" ref="BC5:BC34" si="33">IF(OR(W6=""),"",(Z6-Z5)*40)</f>
        <v>1731.99999999983</v>
      </c>
      <c r="BD5" s="18">
        <f t="shared" ref="BD5:BD34" si="34">IF(OR(BE5="",BC5=""),"",BE5-BC5-BB5-BA5-AZ5-AT5-AO5-AJ5)</f>
        <v>12968.000000007</v>
      </c>
      <c r="BE5" s="18">
        <f t="shared" ref="BE5:BE34" si="35">IF(OR(B6=""),"",(B6-B5)*10000)</f>
        <v>53800.0000000102</v>
      </c>
      <c r="BF5" s="18">
        <f t="shared" ref="BF5:BF34" si="36">IF(OR(AC6=""),"",AC6-AC5)</f>
        <v>57.1000000000058</v>
      </c>
      <c r="BG5" s="21">
        <f t="shared" ref="BG5:BG34" si="37">IF(OR($AD5=0),"",BE5/$AD5)</f>
        <v>0.293746689889819</v>
      </c>
      <c r="BH5" s="21">
        <f t="shared" ref="BH5:BH34" si="38">IF(OR($AD5=0),"",AJ5/$AD5)</f>
        <v>0.0471523497005274</v>
      </c>
      <c r="BI5" s="21">
        <f t="shared" ref="BI5:BI34" si="39">IF(OR($AD5=0),"",AO5/$AD5)</f>
        <v>0</v>
      </c>
      <c r="BJ5" s="21">
        <f t="shared" ref="BJ5:BJ34" si="40">IF(OR($AD5=0),"",AT5/$AD5)</f>
        <v>0.0388750266173718</v>
      </c>
      <c r="BK5" s="21">
        <f t="shared" ref="BK5:BO5" si="41">IF(OR($AD5=0),"",AZ5/$AD5)</f>
        <v>0.074255668819724</v>
      </c>
      <c r="BL5" s="21">
        <f t="shared" si="41"/>
        <v>0.0480477857068916</v>
      </c>
      <c r="BM5" s="21">
        <f t="shared" si="41"/>
        <v>0.00515421701219022</v>
      </c>
      <c r="BN5" s="21">
        <f t="shared" si="41"/>
        <v>0.00945667782321596</v>
      </c>
      <c r="BO5" s="21">
        <f t="shared" si="41"/>
        <v>0.0708049642098977</v>
      </c>
    </row>
    <row r="6" spans="1:67">
      <c r="A6" s="9">
        <f t="shared" si="20"/>
        <v>44533</v>
      </c>
      <c r="B6" s="10">
        <v>17294.24</v>
      </c>
      <c r="C6" s="8">
        <v>95843.3</v>
      </c>
      <c r="D6" s="8">
        <v>61702.8</v>
      </c>
      <c r="E6" s="8">
        <v>59476.7</v>
      </c>
      <c r="F6" s="8">
        <v>6496.7</v>
      </c>
      <c r="G6" s="8">
        <v>116187.5</v>
      </c>
      <c r="H6" s="8">
        <v>5709.7</v>
      </c>
      <c r="I6" s="8">
        <v>2566.3</v>
      </c>
      <c r="J6" s="8">
        <v>967</v>
      </c>
      <c r="K6" s="8">
        <v>56</v>
      </c>
      <c r="L6" s="8">
        <v>94636.9</v>
      </c>
      <c r="M6" s="8">
        <v>61529.1</v>
      </c>
      <c r="N6" s="8">
        <v>75984.4</v>
      </c>
      <c r="O6" s="8">
        <v>105961.4</v>
      </c>
      <c r="P6" s="8">
        <v>5903.6</v>
      </c>
      <c r="Q6" s="8">
        <v>7771.5</v>
      </c>
      <c r="R6" s="8">
        <v>4687.8</v>
      </c>
      <c r="S6" s="8">
        <v>5438.3</v>
      </c>
      <c r="T6" s="8">
        <v>6913.5</v>
      </c>
      <c r="U6" s="8">
        <v>17947.7</v>
      </c>
      <c r="V6" s="8">
        <v>51918.1</v>
      </c>
      <c r="W6" s="8">
        <v>54408.2</v>
      </c>
      <c r="X6" s="8">
        <v>3662.7</v>
      </c>
      <c r="Y6" s="8">
        <v>3418.4</v>
      </c>
      <c r="Z6" s="16">
        <f t="shared" si="21"/>
        <v>61489.3</v>
      </c>
      <c r="AA6" s="8">
        <v>70155.1</v>
      </c>
      <c r="AB6" s="14">
        <v>4940</v>
      </c>
      <c r="AC6" s="7">
        <f t="shared" si="22"/>
        <v>75095.1</v>
      </c>
      <c r="AD6" s="17">
        <v>119958</v>
      </c>
      <c r="AE6" s="18">
        <f t="shared" ref="AE6:AI6" si="42">IF(OR(C7=""),"",(C7-C6)*80)</f>
        <v>3744.00000000023</v>
      </c>
      <c r="AF6" s="18">
        <f t="shared" si="42"/>
        <v>727.999999999884</v>
      </c>
      <c r="AG6" s="18">
        <f t="shared" si="42"/>
        <v>0</v>
      </c>
      <c r="AH6" s="18">
        <f t="shared" si="42"/>
        <v>4.80000000003201</v>
      </c>
      <c r="AI6" s="18">
        <f t="shared" si="42"/>
        <v>2368.00000000047</v>
      </c>
      <c r="AJ6" s="18">
        <f t="shared" si="24"/>
        <v>6844.80000000061</v>
      </c>
      <c r="AK6" s="18">
        <f t="shared" ref="AK6:AN6" si="43">IF(OR(H7=""),"",(H7-H6)*80)</f>
        <v>0</v>
      </c>
      <c r="AL6" s="18">
        <f t="shared" si="43"/>
        <v>0</v>
      </c>
      <c r="AM6" s="18">
        <f t="shared" si="43"/>
        <v>0</v>
      </c>
      <c r="AN6" s="18">
        <f t="shared" si="43"/>
        <v>0</v>
      </c>
      <c r="AO6" s="18">
        <f t="shared" si="26"/>
        <v>0</v>
      </c>
      <c r="AP6" s="18">
        <f t="shared" ref="AP6:AS6" si="44">IF(OR(L7=""),"",(L7-L6)*100)</f>
        <v>1670.00000000116</v>
      </c>
      <c r="AQ6" s="18">
        <f t="shared" si="44"/>
        <v>0</v>
      </c>
      <c r="AR6" s="18">
        <f t="shared" si="44"/>
        <v>950</v>
      </c>
      <c r="AS6" s="18">
        <f t="shared" si="44"/>
        <v>2260.00000000058</v>
      </c>
      <c r="AT6" s="18">
        <f t="shared" si="28"/>
        <v>4880.00000000175</v>
      </c>
      <c r="AU6" s="18">
        <f t="shared" ref="AU6:AY6" si="45">IF(OR(P7=""),"",(P7-P6)*1000)</f>
        <v>3199.99999999982</v>
      </c>
      <c r="AV6" s="18">
        <f t="shared" si="45"/>
        <v>5600.00000000036</v>
      </c>
      <c r="AW6" s="18">
        <f t="shared" si="45"/>
        <v>0</v>
      </c>
      <c r="AX6" s="18">
        <f t="shared" si="45"/>
        <v>1300.00000000018</v>
      </c>
      <c r="AY6" s="18">
        <f t="shared" si="45"/>
        <v>1600.00000000036</v>
      </c>
      <c r="AZ6" s="18">
        <f t="shared" si="30"/>
        <v>11700.0000000007</v>
      </c>
      <c r="BA6" s="18">
        <f t="shared" si="31"/>
        <v>6000</v>
      </c>
      <c r="BB6" s="18">
        <f t="shared" si="32"/>
        <v>984.000000000233</v>
      </c>
      <c r="BC6" s="18">
        <f t="shared" si="33"/>
        <v>1700</v>
      </c>
      <c r="BD6" s="18">
        <f t="shared" si="34"/>
        <v>12291.1999999836</v>
      </c>
      <c r="BE6" s="18">
        <f t="shared" si="35"/>
        <v>44399.9999999869</v>
      </c>
      <c r="BF6" s="18">
        <f t="shared" si="36"/>
        <v>59.0999999999913</v>
      </c>
      <c r="BG6" s="21">
        <f t="shared" si="37"/>
        <v>0.37012954534076</v>
      </c>
      <c r="BH6" s="21">
        <f t="shared" si="38"/>
        <v>0.0570599709898516</v>
      </c>
      <c r="BI6" s="21">
        <f t="shared" si="39"/>
        <v>0</v>
      </c>
      <c r="BJ6" s="21">
        <f t="shared" si="40"/>
        <v>0.0406809049834254</v>
      </c>
      <c r="BK6" s="21">
        <f t="shared" ref="BK6:BO6" si="46">IF(OR($AD6=0),"",AZ6/$AD6)</f>
        <v>0.0975341369479378</v>
      </c>
      <c r="BL6" s="21">
        <f t="shared" si="46"/>
        <v>0.0500175061271445</v>
      </c>
      <c r="BM6" s="21">
        <f t="shared" si="46"/>
        <v>0.00820287100485364</v>
      </c>
      <c r="BN6" s="21">
        <f t="shared" si="46"/>
        <v>0.0141716267360243</v>
      </c>
      <c r="BO6" s="21">
        <f t="shared" si="46"/>
        <v>0.102462528551523</v>
      </c>
    </row>
    <row r="7" spans="1:67">
      <c r="A7" s="9">
        <f t="shared" si="20"/>
        <v>44534</v>
      </c>
      <c r="B7" s="10">
        <v>17298.68</v>
      </c>
      <c r="C7" s="8">
        <v>95890.1</v>
      </c>
      <c r="D7" s="8">
        <v>61711.9</v>
      </c>
      <c r="E7" s="8">
        <v>59476.7</v>
      </c>
      <c r="F7" s="8">
        <v>6496.76</v>
      </c>
      <c r="G7" s="8">
        <v>116217.1</v>
      </c>
      <c r="H7" s="8">
        <v>5709.7</v>
      </c>
      <c r="I7" s="8">
        <v>2566.3</v>
      </c>
      <c r="J7" s="8">
        <v>967</v>
      </c>
      <c r="K7" s="8">
        <v>56</v>
      </c>
      <c r="L7" s="8">
        <v>94653.6</v>
      </c>
      <c r="M7" s="8">
        <v>61529.1</v>
      </c>
      <c r="N7" s="8">
        <v>75993.9</v>
      </c>
      <c r="O7" s="8">
        <v>105984</v>
      </c>
      <c r="P7" s="8">
        <v>5906.8</v>
      </c>
      <c r="Q7" s="8">
        <v>7777.1</v>
      </c>
      <c r="R7" s="8">
        <v>4687.8</v>
      </c>
      <c r="S7" s="8">
        <v>5439.6</v>
      </c>
      <c r="T7" s="8">
        <v>6915.1</v>
      </c>
      <c r="U7" s="8">
        <v>17950.7</v>
      </c>
      <c r="V7" s="8">
        <v>51930.4</v>
      </c>
      <c r="W7" s="8">
        <v>54425.1</v>
      </c>
      <c r="X7" s="8">
        <v>3675.2</v>
      </c>
      <c r="Y7" s="8">
        <v>3431.5</v>
      </c>
      <c r="Z7" s="16">
        <f t="shared" si="21"/>
        <v>61531.8</v>
      </c>
      <c r="AA7" s="8">
        <v>70197.2</v>
      </c>
      <c r="AB7" s="14">
        <v>4957</v>
      </c>
      <c r="AC7" s="7">
        <f t="shared" si="22"/>
        <v>75154.2</v>
      </c>
      <c r="AD7" s="17">
        <v>183419</v>
      </c>
      <c r="AE7" s="18">
        <f t="shared" ref="AE7:AI7" si="47">IF(OR(C8=""),"",(C8-C7)*80)</f>
        <v>3727.9999999993</v>
      </c>
      <c r="AF7" s="18">
        <f t="shared" si="47"/>
        <v>3040</v>
      </c>
      <c r="AG7" s="18">
        <f t="shared" si="47"/>
        <v>0</v>
      </c>
      <c r="AH7" s="18">
        <f t="shared" si="47"/>
        <v>4.00000000001455</v>
      </c>
      <c r="AI7" s="18">
        <f t="shared" si="47"/>
        <v>1751.99999999953</v>
      </c>
      <c r="AJ7" s="18">
        <f t="shared" si="24"/>
        <v>8523.99999999885</v>
      </c>
      <c r="AK7" s="18">
        <f t="shared" ref="AK7:AN7" si="48">IF(OR(H8=""),"",(H8-H7)*80)</f>
        <v>0</v>
      </c>
      <c r="AL7" s="18">
        <f t="shared" si="48"/>
        <v>0</v>
      </c>
      <c r="AM7" s="18">
        <f t="shared" si="48"/>
        <v>0</v>
      </c>
      <c r="AN7" s="18">
        <f t="shared" si="48"/>
        <v>0</v>
      </c>
      <c r="AO7" s="18">
        <f t="shared" si="26"/>
        <v>0</v>
      </c>
      <c r="AP7" s="18">
        <f t="shared" ref="AP7:AS7" si="49">IF(OR(L8=""),"",(L8-L7)*100)</f>
        <v>1909.99999999913</v>
      </c>
      <c r="AQ7" s="18">
        <f t="shared" si="49"/>
        <v>0</v>
      </c>
      <c r="AR7" s="18">
        <f t="shared" si="49"/>
        <v>2880.00000000029</v>
      </c>
      <c r="AS7" s="18">
        <f t="shared" si="49"/>
        <v>2300</v>
      </c>
      <c r="AT7" s="18">
        <f t="shared" si="28"/>
        <v>7089.99999999942</v>
      </c>
      <c r="AU7" s="18">
        <f t="shared" ref="AU7:AY7" si="50">IF(OR(P8=""),"",(P8-P7)*1000)</f>
        <v>500</v>
      </c>
      <c r="AV7" s="18">
        <f t="shared" si="50"/>
        <v>699.999999999818</v>
      </c>
      <c r="AW7" s="18">
        <f t="shared" si="50"/>
        <v>0</v>
      </c>
      <c r="AX7" s="18">
        <f t="shared" si="50"/>
        <v>4500</v>
      </c>
      <c r="AY7" s="18">
        <f t="shared" si="50"/>
        <v>8699.99999999982</v>
      </c>
      <c r="AZ7" s="18">
        <f t="shared" si="30"/>
        <v>14399.9999999996</v>
      </c>
      <c r="BA7" s="18">
        <f t="shared" si="31"/>
        <v>9000</v>
      </c>
      <c r="BB7" s="18">
        <f t="shared" si="32"/>
        <v>792.000000000116</v>
      </c>
      <c r="BC7" s="18">
        <f t="shared" si="33"/>
        <v>1736.00000000006</v>
      </c>
      <c r="BD7" s="18">
        <f t="shared" si="34"/>
        <v>12657.9999999845</v>
      </c>
      <c r="BE7" s="18">
        <f t="shared" si="35"/>
        <v>54199.9999999825</v>
      </c>
      <c r="BF7" s="18">
        <f t="shared" si="36"/>
        <v>55.8000000000029</v>
      </c>
      <c r="BG7" s="21">
        <f t="shared" si="37"/>
        <v>0.29549828534657</v>
      </c>
      <c r="BH7" s="21">
        <f t="shared" si="38"/>
        <v>0.0464728299685357</v>
      </c>
      <c r="BI7" s="21">
        <f t="shared" si="39"/>
        <v>0</v>
      </c>
      <c r="BJ7" s="21">
        <f t="shared" si="40"/>
        <v>0.0386546650019868</v>
      </c>
      <c r="BK7" s="21">
        <f t="shared" ref="BK7:BO7" si="51">IF(OR($AD7=0),"",AZ7/$AD7)</f>
        <v>0.0785087695385954</v>
      </c>
      <c r="BL7" s="21">
        <f t="shared" si="51"/>
        <v>0.0490679809616234</v>
      </c>
      <c r="BM7" s="21">
        <f t="shared" si="51"/>
        <v>0.00431798232462349</v>
      </c>
      <c r="BN7" s="21">
        <f t="shared" si="51"/>
        <v>0.00946466832770901</v>
      </c>
      <c r="BO7" s="21">
        <f t="shared" si="51"/>
        <v>0.0690113892234963</v>
      </c>
    </row>
    <row r="8" spans="1:67">
      <c r="A8" s="9">
        <f t="shared" si="20"/>
        <v>44535</v>
      </c>
      <c r="B8" s="10">
        <v>17304.1</v>
      </c>
      <c r="C8" s="8">
        <v>95936.7</v>
      </c>
      <c r="D8" s="8">
        <v>61749.9</v>
      </c>
      <c r="E8" s="8">
        <v>59476.7</v>
      </c>
      <c r="F8" s="8">
        <v>6496.81</v>
      </c>
      <c r="G8" s="8">
        <v>116239</v>
      </c>
      <c r="H8" s="8">
        <v>5709.7</v>
      </c>
      <c r="I8" s="8">
        <v>2566.3</v>
      </c>
      <c r="J8" s="8">
        <v>967</v>
      </c>
      <c r="K8" s="8">
        <v>56</v>
      </c>
      <c r="L8" s="8">
        <v>94672.7</v>
      </c>
      <c r="M8" s="8">
        <v>61529.1</v>
      </c>
      <c r="N8" s="8">
        <v>76022.7</v>
      </c>
      <c r="O8" s="8">
        <v>106007</v>
      </c>
      <c r="P8" s="8">
        <v>5907.3</v>
      </c>
      <c r="Q8" s="8">
        <v>7777.8</v>
      </c>
      <c r="R8" s="8">
        <v>4687.8</v>
      </c>
      <c r="S8" s="8">
        <v>5444.1</v>
      </c>
      <c r="T8" s="8">
        <v>6923.8</v>
      </c>
      <c r="U8" s="8">
        <v>17955.2</v>
      </c>
      <c r="V8" s="8">
        <v>51940.3</v>
      </c>
      <c r="W8" s="8">
        <v>54442.5</v>
      </c>
      <c r="X8" s="8">
        <v>3688.2</v>
      </c>
      <c r="Y8" s="8">
        <v>3444.5</v>
      </c>
      <c r="Z8" s="16">
        <f t="shared" si="21"/>
        <v>61575.2</v>
      </c>
      <c r="AA8" s="8">
        <v>70240</v>
      </c>
      <c r="AB8" s="14">
        <v>4970</v>
      </c>
      <c r="AC8" s="7">
        <f t="shared" si="22"/>
        <v>75210</v>
      </c>
      <c r="AD8" s="17">
        <v>180149</v>
      </c>
      <c r="AE8" s="18">
        <f t="shared" ref="AE8:AI8" si="52">IF(OR(C9=""),"",(C9-C8)*80)</f>
        <v>3800</v>
      </c>
      <c r="AF8" s="18">
        <f t="shared" si="52"/>
        <v>3135.99999999977</v>
      </c>
      <c r="AG8" s="18">
        <f t="shared" si="52"/>
        <v>0</v>
      </c>
      <c r="AH8" s="18">
        <f t="shared" si="52"/>
        <v>4.79999999995925</v>
      </c>
      <c r="AI8" s="18">
        <f t="shared" si="52"/>
        <v>2144.00000000023</v>
      </c>
      <c r="AJ8" s="18">
        <f t="shared" si="24"/>
        <v>9084.79999999996</v>
      </c>
      <c r="AK8" s="18">
        <f t="shared" ref="AK8:AN8" si="53">IF(OR(H9=""),"",(H9-H8)*80)</f>
        <v>0</v>
      </c>
      <c r="AL8" s="18">
        <f t="shared" si="53"/>
        <v>0</v>
      </c>
      <c r="AM8" s="18">
        <f t="shared" si="53"/>
        <v>0</v>
      </c>
      <c r="AN8" s="18">
        <f t="shared" si="53"/>
        <v>0</v>
      </c>
      <c r="AO8" s="18">
        <f t="shared" si="26"/>
        <v>0</v>
      </c>
      <c r="AP8" s="18">
        <f t="shared" ref="AP8:AS8" si="54">IF(OR(L9=""),"",(L9-L8)*100)</f>
        <v>2019.99999999971</v>
      </c>
      <c r="AQ8" s="18">
        <f t="shared" si="54"/>
        <v>0</v>
      </c>
      <c r="AR8" s="18">
        <f t="shared" si="54"/>
        <v>2930.00000000029</v>
      </c>
      <c r="AS8" s="18">
        <f t="shared" si="54"/>
        <v>2330.00000000029</v>
      </c>
      <c r="AT8" s="18">
        <f t="shared" si="28"/>
        <v>7280.00000000029</v>
      </c>
      <c r="AU8" s="18">
        <f t="shared" ref="AU8:AY8" si="55">IF(OR(P9=""),"",(P9-P8)*1000)</f>
        <v>0</v>
      </c>
      <c r="AV8" s="18">
        <f t="shared" si="55"/>
        <v>0</v>
      </c>
      <c r="AW8" s="18">
        <f t="shared" si="55"/>
        <v>0</v>
      </c>
      <c r="AX8" s="18">
        <f t="shared" si="55"/>
        <v>5000</v>
      </c>
      <c r="AY8" s="18">
        <f t="shared" si="55"/>
        <v>9300.00000000018</v>
      </c>
      <c r="AZ8" s="18">
        <f t="shared" si="30"/>
        <v>14300.0000000002</v>
      </c>
      <c r="BA8" s="18">
        <f t="shared" si="31"/>
        <v>9000</v>
      </c>
      <c r="BB8" s="18">
        <f t="shared" si="32"/>
        <v>607.999999999884</v>
      </c>
      <c r="BC8" s="18">
        <f t="shared" si="33"/>
        <v>1748.00000000017</v>
      </c>
      <c r="BD8" s="18">
        <f t="shared" si="34"/>
        <v>13179.2000000039</v>
      </c>
      <c r="BE8" s="18">
        <f t="shared" si="35"/>
        <v>55200.0000000044</v>
      </c>
      <c r="BF8" s="18">
        <f t="shared" si="36"/>
        <v>58.5</v>
      </c>
      <c r="BG8" s="21">
        <f t="shared" si="37"/>
        <v>0.306413024773961</v>
      </c>
      <c r="BH8" s="21">
        <f t="shared" si="38"/>
        <v>0.0504293668019248</v>
      </c>
      <c r="BI8" s="21">
        <f t="shared" si="39"/>
        <v>0</v>
      </c>
      <c r="BJ8" s="21">
        <f t="shared" si="40"/>
        <v>0.0404109931223614</v>
      </c>
      <c r="BK8" s="21">
        <f t="shared" ref="BK8:BO8" si="56">IF(OR($AD8=0),"",AZ8/$AD8)</f>
        <v>0.0793787364903507</v>
      </c>
      <c r="BL8" s="21">
        <f t="shared" si="56"/>
        <v>0.0499586453435767</v>
      </c>
      <c r="BM8" s="21">
        <f t="shared" si="56"/>
        <v>0.00337498404098765</v>
      </c>
      <c r="BN8" s="21">
        <f t="shared" si="56"/>
        <v>0.00970307911784231</v>
      </c>
      <c r="BO8" s="21">
        <f t="shared" si="56"/>
        <v>0.0731572198569177</v>
      </c>
    </row>
    <row r="9" spans="1:67">
      <c r="A9" s="9">
        <f t="shared" si="20"/>
        <v>44536</v>
      </c>
      <c r="B9" s="10">
        <v>17309.62</v>
      </c>
      <c r="C9" s="8">
        <v>95984.2</v>
      </c>
      <c r="D9" s="8">
        <v>61789.1</v>
      </c>
      <c r="E9" s="8">
        <v>59476.7</v>
      </c>
      <c r="F9" s="8">
        <v>6496.87</v>
      </c>
      <c r="G9" s="8">
        <v>116265.8</v>
      </c>
      <c r="H9" s="8">
        <v>5709.7</v>
      </c>
      <c r="I9" s="8">
        <v>2566.3</v>
      </c>
      <c r="J9" s="8">
        <v>967</v>
      </c>
      <c r="K9" s="8">
        <v>56</v>
      </c>
      <c r="L9" s="8">
        <v>94692.9</v>
      </c>
      <c r="M9" s="8">
        <v>61529.1</v>
      </c>
      <c r="N9" s="8">
        <v>76052</v>
      </c>
      <c r="O9" s="8">
        <v>106030.3</v>
      </c>
      <c r="P9" s="8">
        <v>5907.3</v>
      </c>
      <c r="Q9" s="8">
        <v>7777.8</v>
      </c>
      <c r="R9" s="8">
        <v>4687.8</v>
      </c>
      <c r="S9" s="8">
        <v>5449.1</v>
      </c>
      <c r="T9" s="8">
        <v>6933.1</v>
      </c>
      <c r="U9" s="8">
        <v>17959.7</v>
      </c>
      <c r="V9" s="8">
        <v>51947.9</v>
      </c>
      <c r="W9" s="8">
        <v>54459.9</v>
      </c>
      <c r="X9" s="8">
        <v>3701.3</v>
      </c>
      <c r="Y9" s="8">
        <v>3457.7</v>
      </c>
      <c r="Z9" s="16">
        <f t="shared" si="21"/>
        <v>61618.9</v>
      </c>
      <c r="AA9" s="8">
        <v>70287.5</v>
      </c>
      <c r="AB9" s="14">
        <v>4981</v>
      </c>
      <c r="AC9" s="7">
        <f t="shared" si="22"/>
        <v>75268.5</v>
      </c>
      <c r="AD9" s="17">
        <v>183720</v>
      </c>
      <c r="AE9" s="18">
        <f t="shared" ref="AE9:AI9" si="57">IF(OR(C10=""),"",(C10-C9)*80)</f>
        <v>3720</v>
      </c>
      <c r="AF9" s="18">
        <f t="shared" si="57"/>
        <v>3047.99999999988</v>
      </c>
      <c r="AG9" s="18">
        <f t="shared" si="57"/>
        <v>0</v>
      </c>
      <c r="AH9" s="18">
        <f t="shared" si="57"/>
        <v>4.00000000001455</v>
      </c>
      <c r="AI9" s="18">
        <f t="shared" si="57"/>
        <v>1960</v>
      </c>
      <c r="AJ9" s="18">
        <f t="shared" si="24"/>
        <v>8731.9999999999</v>
      </c>
      <c r="AK9" s="18">
        <f t="shared" ref="AK9:AN9" si="58">IF(OR(H10=""),"",(H10-H9)*80)</f>
        <v>0</v>
      </c>
      <c r="AL9" s="18">
        <f t="shared" si="58"/>
        <v>0</v>
      </c>
      <c r="AM9" s="18">
        <f t="shared" si="58"/>
        <v>0</v>
      </c>
      <c r="AN9" s="18">
        <f t="shared" si="58"/>
        <v>0</v>
      </c>
      <c r="AO9" s="18">
        <f t="shared" si="26"/>
        <v>0</v>
      </c>
      <c r="AP9" s="18">
        <f t="shared" ref="AP9:AS9" si="59">IF(OR(L10=""),"",(L10-L9)*100)</f>
        <v>1810.00000000058</v>
      </c>
      <c r="AQ9" s="18">
        <f t="shared" si="59"/>
        <v>0</v>
      </c>
      <c r="AR9" s="18">
        <f t="shared" si="59"/>
        <v>2889.99999999942</v>
      </c>
      <c r="AS9" s="18">
        <f t="shared" si="59"/>
        <v>2139.99999999942</v>
      </c>
      <c r="AT9" s="18">
        <f t="shared" si="28"/>
        <v>6839.99999999942</v>
      </c>
      <c r="AU9" s="18">
        <f t="shared" ref="AU9:AY9" si="60">IF(OR(P10=""),"",(P10-P9)*1000)</f>
        <v>99.9999999994543</v>
      </c>
      <c r="AV9" s="18">
        <f t="shared" si="60"/>
        <v>99.9999999994543</v>
      </c>
      <c r="AW9" s="18">
        <f t="shared" si="60"/>
        <v>0</v>
      </c>
      <c r="AX9" s="18">
        <f t="shared" si="60"/>
        <v>5199.99999999982</v>
      </c>
      <c r="AY9" s="18">
        <f t="shared" si="60"/>
        <v>8799.99999999927</v>
      </c>
      <c r="AZ9" s="18">
        <f t="shared" si="30"/>
        <v>14199.999999998</v>
      </c>
      <c r="BA9" s="18">
        <f t="shared" si="31"/>
        <v>7799.99999999563</v>
      </c>
      <c r="BB9" s="18">
        <f t="shared" si="32"/>
        <v>863.999999999651</v>
      </c>
      <c r="BC9" s="18">
        <f t="shared" si="33"/>
        <v>1707.99999999988</v>
      </c>
      <c r="BD9" s="18">
        <f t="shared" si="34"/>
        <v>13256.000000009</v>
      </c>
      <c r="BE9" s="18">
        <f t="shared" si="35"/>
        <v>53400.0000000015</v>
      </c>
      <c r="BF9" s="18">
        <f t="shared" si="36"/>
        <v>54.6000000000058</v>
      </c>
      <c r="BG9" s="21">
        <f t="shared" si="37"/>
        <v>0.29065969954279</v>
      </c>
      <c r="BH9" s="21">
        <f t="shared" si="38"/>
        <v>0.0475288482473323</v>
      </c>
      <c r="BI9" s="21">
        <f t="shared" si="39"/>
        <v>0</v>
      </c>
      <c r="BJ9" s="21">
        <f t="shared" si="40"/>
        <v>0.0372305682560386</v>
      </c>
      <c r="BK9" s="21">
        <f t="shared" ref="BK9:BO9" si="61">IF(OR($AD9=0),"",AZ9/$AD9)</f>
        <v>0.0772915305900174</v>
      </c>
      <c r="BL9" s="21">
        <f t="shared" si="61"/>
        <v>0.0424559111691467</v>
      </c>
      <c r="BM9" s="21">
        <f t="shared" si="61"/>
        <v>0.00470280862181391</v>
      </c>
      <c r="BN9" s="21">
        <f t="shared" si="61"/>
        <v>0.0092967559329408</v>
      </c>
      <c r="BO9" s="21">
        <f t="shared" si="61"/>
        <v>0.0721532767255006</v>
      </c>
    </row>
    <row r="10" spans="1:67">
      <c r="A10" s="9">
        <f t="shared" si="20"/>
        <v>44537</v>
      </c>
      <c r="B10" s="10">
        <v>17314.96</v>
      </c>
      <c r="C10" s="8">
        <v>96030.7</v>
      </c>
      <c r="D10" s="8">
        <v>61827.2</v>
      </c>
      <c r="E10" s="8">
        <v>59476.7</v>
      </c>
      <c r="F10" s="8">
        <v>6496.92</v>
      </c>
      <c r="G10" s="8">
        <v>116290.3</v>
      </c>
      <c r="H10" s="8">
        <v>5709.7</v>
      </c>
      <c r="I10" s="8">
        <v>2566.3</v>
      </c>
      <c r="J10" s="8">
        <v>967</v>
      </c>
      <c r="K10" s="8">
        <v>56</v>
      </c>
      <c r="L10" s="8">
        <v>94711</v>
      </c>
      <c r="M10" s="8">
        <v>61529.1</v>
      </c>
      <c r="N10" s="8">
        <v>76080.9</v>
      </c>
      <c r="O10" s="8">
        <v>106051.7</v>
      </c>
      <c r="P10" s="8">
        <v>5907.4</v>
      </c>
      <c r="Q10" s="8">
        <v>7777.9</v>
      </c>
      <c r="R10" s="8">
        <v>4687.8</v>
      </c>
      <c r="S10" s="8">
        <v>5454.3</v>
      </c>
      <c r="T10" s="8">
        <v>6941.9</v>
      </c>
      <c r="U10" s="8">
        <v>17963.6</v>
      </c>
      <c r="V10" s="8">
        <v>51958.7</v>
      </c>
      <c r="W10" s="8">
        <v>54477.1</v>
      </c>
      <c r="X10" s="8">
        <v>3714</v>
      </c>
      <c r="Y10" s="8">
        <v>3470.5</v>
      </c>
      <c r="Z10" s="16">
        <f t="shared" si="21"/>
        <v>61661.6</v>
      </c>
      <c r="AA10" s="8">
        <v>70329.1</v>
      </c>
      <c r="AB10" s="14">
        <v>4994</v>
      </c>
      <c r="AC10" s="7">
        <f t="shared" si="22"/>
        <v>75323.1</v>
      </c>
      <c r="AD10" s="17">
        <v>183389</v>
      </c>
      <c r="AE10" s="18">
        <f t="shared" ref="AE10:AI10" si="62">IF(OR(C11=""),"",(C11-C10)*80)</f>
        <v>3680</v>
      </c>
      <c r="AF10" s="18">
        <f t="shared" si="62"/>
        <v>3040</v>
      </c>
      <c r="AG10" s="18">
        <f t="shared" si="62"/>
        <v>0</v>
      </c>
      <c r="AH10" s="18">
        <f t="shared" si="62"/>
        <v>4.79999999995925</v>
      </c>
      <c r="AI10" s="18">
        <f t="shared" si="62"/>
        <v>2007.9999999993</v>
      </c>
      <c r="AJ10" s="18">
        <f t="shared" si="24"/>
        <v>8732.79999999926</v>
      </c>
      <c r="AK10" s="18">
        <f t="shared" ref="AK10:AN10" si="63">IF(OR(H11=""),"",(H11-H10)*80)</f>
        <v>0</v>
      </c>
      <c r="AL10" s="18">
        <f t="shared" si="63"/>
        <v>0</v>
      </c>
      <c r="AM10" s="18">
        <f t="shared" si="63"/>
        <v>0</v>
      </c>
      <c r="AN10" s="18">
        <f t="shared" si="63"/>
        <v>0</v>
      </c>
      <c r="AO10" s="18">
        <f t="shared" si="26"/>
        <v>0</v>
      </c>
      <c r="AP10" s="18">
        <f t="shared" ref="AP10:AS10" si="64">IF(OR(L11=""),"",(L11-L10)*100)</f>
        <v>2000</v>
      </c>
      <c r="AQ10" s="18">
        <f t="shared" si="64"/>
        <v>0</v>
      </c>
      <c r="AR10" s="18">
        <f t="shared" si="64"/>
        <v>2890.00000000087</v>
      </c>
      <c r="AS10" s="18">
        <f t="shared" si="64"/>
        <v>2060.00000000058</v>
      </c>
      <c r="AT10" s="18">
        <f t="shared" si="28"/>
        <v>6950.00000000146</v>
      </c>
      <c r="AU10" s="18">
        <f t="shared" ref="AU10:AY10" si="65">IF(OR(P11=""),"",(P11-P10)*1000)</f>
        <v>0</v>
      </c>
      <c r="AV10" s="18">
        <f t="shared" si="65"/>
        <v>0</v>
      </c>
      <c r="AW10" s="18">
        <f t="shared" si="65"/>
        <v>0</v>
      </c>
      <c r="AX10" s="18">
        <f t="shared" si="65"/>
        <v>5000</v>
      </c>
      <c r="AY10" s="18">
        <f t="shared" si="65"/>
        <v>8200.00000000073</v>
      </c>
      <c r="AZ10" s="18">
        <f t="shared" si="30"/>
        <v>13200.0000000007</v>
      </c>
      <c r="BA10" s="18">
        <f t="shared" si="31"/>
        <v>8000</v>
      </c>
      <c r="BB10" s="18">
        <f t="shared" si="32"/>
        <v>1008.00000000047</v>
      </c>
      <c r="BC10" s="18">
        <f t="shared" si="33"/>
        <v>1683.99999999994</v>
      </c>
      <c r="BD10" s="18">
        <f t="shared" si="34"/>
        <v>12925.1999999981</v>
      </c>
      <c r="BE10" s="18">
        <f t="shared" si="35"/>
        <v>52500</v>
      </c>
      <c r="BF10" s="18">
        <f t="shared" si="36"/>
        <v>61.0999999999913</v>
      </c>
      <c r="BG10" s="21">
        <f t="shared" si="37"/>
        <v>0.286276712343707</v>
      </c>
      <c r="BH10" s="21">
        <f t="shared" si="38"/>
        <v>0.0476189956867602</v>
      </c>
      <c r="BI10" s="21">
        <f t="shared" si="39"/>
        <v>0</v>
      </c>
      <c r="BJ10" s="21">
        <f t="shared" si="40"/>
        <v>0.0378975838245558</v>
      </c>
      <c r="BK10" s="21">
        <f t="shared" ref="BK10:BO10" si="66">IF(OR($AD10=0),"",AZ10/$AD10)</f>
        <v>0.0719781448178502</v>
      </c>
      <c r="BL10" s="21">
        <f t="shared" si="66"/>
        <v>0.0436231180714219</v>
      </c>
      <c r="BM10" s="21">
        <f t="shared" si="66"/>
        <v>0.00549651287700171</v>
      </c>
      <c r="BN10" s="21">
        <f t="shared" si="66"/>
        <v>0.009182666354034</v>
      </c>
      <c r="BO10" s="21">
        <f t="shared" si="66"/>
        <v>0.0704796907120828</v>
      </c>
    </row>
    <row r="11" spans="1:67">
      <c r="A11" s="9">
        <f t="shared" si="20"/>
        <v>44538</v>
      </c>
      <c r="B11" s="10">
        <v>17320.21</v>
      </c>
      <c r="C11" s="8">
        <v>96076.7</v>
      </c>
      <c r="D11" s="8">
        <v>61865.2</v>
      </c>
      <c r="E11" s="8">
        <v>59476.7</v>
      </c>
      <c r="F11" s="8">
        <v>6496.98</v>
      </c>
      <c r="G11" s="8">
        <v>116315.4</v>
      </c>
      <c r="H11" s="8">
        <v>5709.7</v>
      </c>
      <c r="I11" s="8">
        <v>2566.3</v>
      </c>
      <c r="J11" s="8">
        <v>967</v>
      </c>
      <c r="K11" s="8">
        <v>56</v>
      </c>
      <c r="L11" s="8">
        <v>94731</v>
      </c>
      <c r="M11" s="8">
        <v>61529.1</v>
      </c>
      <c r="N11" s="8">
        <v>76109.8</v>
      </c>
      <c r="O11" s="8">
        <v>106072.3</v>
      </c>
      <c r="P11" s="8">
        <v>5907.4</v>
      </c>
      <c r="Q11" s="8">
        <v>7777.9</v>
      </c>
      <c r="R11" s="8">
        <v>4687.8</v>
      </c>
      <c r="S11" s="8">
        <v>5459.3</v>
      </c>
      <c r="T11" s="8">
        <v>6950.1</v>
      </c>
      <c r="U11" s="8">
        <v>17967.6</v>
      </c>
      <c r="V11" s="8">
        <v>51971.3</v>
      </c>
      <c r="W11" s="8">
        <v>54494.4</v>
      </c>
      <c r="X11" s="8">
        <v>3726.6</v>
      </c>
      <c r="Y11" s="8">
        <v>3482.7</v>
      </c>
      <c r="Z11" s="16">
        <f t="shared" si="21"/>
        <v>61703.7</v>
      </c>
      <c r="AA11" s="8">
        <v>70373.2</v>
      </c>
      <c r="AB11" s="14">
        <v>5011</v>
      </c>
      <c r="AC11" s="7">
        <f t="shared" si="22"/>
        <v>75384.2</v>
      </c>
      <c r="AD11" s="17">
        <v>169033</v>
      </c>
      <c r="AE11" s="18">
        <f t="shared" ref="AE11:AI11" si="67">IF(OR(C12=""),"",(C12-C11)*80)</f>
        <v>3815.99999999977</v>
      </c>
      <c r="AF11" s="18">
        <f t="shared" si="67"/>
        <v>3152.00000000012</v>
      </c>
      <c r="AG11" s="18">
        <f t="shared" si="67"/>
        <v>0</v>
      </c>
      <c r="AH11" s="18">
        <f t="shared" si="67"/>
        <v>4.80000000003201</v>
      </c>
      <c r="AI11" s="18">
        <f t="shared" si="67"/>
        <v>1128.00000000047</v>
      </c>
      <c r="AJ11" s="18">
        <f t="shared" si="24"/>
        <v>8100.80000000038</v>
      </c>
      <c r="AK11" s="18">
        <f t="shared" ref="AK11:AN11" si="68">IF(OR(H12=""),"",(H12-H11)*80)</f>
        <v>0</v>
      </c>
      <c r="AL11" s="18">
        <f t="shared" si="68"/>
        <v>0</v>
      </c>
      <c r="AM11" s="18">
        <f t="shared" si="68"/>
        <v>0</v>
      </c>
      <c r="AN11" s="18">
        <f t="shared" si="68"/>
        <v>0</v>
      </c>
      <c r="AO11" s="18">
        <f t="shared" si="26"/>
        <v>0</v>
      </c>
      <c r="AP11" s="18">
        <f t="shared" ref="AP11:AS11" si="69">IF(OR(L12=""),"",(L12-L11)*100)</f>
        <v>1469.99999999971</v>
      </c>
      <c r="AQ11" s="18">
        <f t="shared" si="69"/>
        <v>0</v>
      </c>
      <c r="AR11" s="18">
        <f t="shared" si="69"/>
        <v>2909.99999999913</v>
      </c>
      <c r="AS11" s="18">
        <f t="shared" si="69"/>
        <v>2050</v>
      </c>
      <c r="AT11" s="18">
        <f t="shared" si="28"/>
        <v>6429.99999999884</v>
      </c>
      <c r="AU11" s="18">
        <f t="shared" ref="AU11:AY11" si="70">IF(OR(P12=""),"",(P12-P11)*1000)</f>
        <v>0</v>
      </c>
      <c r="AV11" s="18">
        <f t="shared" si="70"/>
        <v>0</v>
      </c>
      <c r="AW11" s="18">
        <f t="shared" si="70"/>
        <v>0</v>
      </c>
      <c r="AX11" s="18">
        <f t="shared" si="70"/>
        <v>4800.00000000018</v>
      </c>
      <c r="AY11" s="18">
        <f t="shared" si="70"/>
        <v>8599.99999999945</v>
      </c>
      <c r="AZ11" s="18">
        <f t="shared" si="30"/>
        <v>13399.9999999996</v>
      </c>
      <c r="BA11" s="18">
        <f t="shared" si="31"/>
        <v>7600.00000000582</v>
      </c>
      <c r="BB11" s="18">
        <f t="shared" si="32"/>
        <v>1007.99999999988</v>
      </c>
      <c r="BC11" s="18">
        <f t="shared" si="33"/>
        <v>1748.00000000017</v>
      </c>
      <c r="BD11" s="18">
        <f t="shared" si="34"/>
        <v>13213.2000000098</v>
      </c>
      <c r="BE11" s="18">
        <f t="shared" si="35"/>
        <v>51500.0000000146</v>
      </c>
      <c r="BF11" s="18">
        <f t="shared" si="36"/>
        <v>57.3000000000029</v>
      </c>
      <c r="BG11" s="21">
        <f t="shared" si="37"/>
        <v>0.304674235208596</v>
      </c>
      <c r="BH11" s="21">
        <f t="shared" si="38"/>
        <v>0.0479243697976157</v>
      </c>
      <c r="BI11" s="21">
        <f t="shared" si="39"/>
        <v>0</v>
      </c>
      <c r="BJ11" s="21">
        <f t="shared" si="40"/>
        <v>0.0380399093668031</v>
      </c>
      <c r="BK11" s="21">
        <f t="shared" ref="BK11:BO11" si="71">IF(OR($AD11=0),"",AZ11/$AD11)</f>
        <v>0.0792744611998819</v>
      </c>
      <c r="BL11" s="21">
        <f t="shared" si="71"/>
        <v>0.0449616347104164</v>
      </c>
      <c r="BM11" s="21">
        <f t="shared" si="71"/>
        <v>0.00596333260369208</v>
      </c>
      <c r="BN11" s="21">
        <f t="shared" si="71"/>
        <v>0.0103411759833889</v>
      </c>
      <c r="BO11" s="21">
        <f t="shared" si="71"/>
        <v>0.0781693515467975</v>
      </c>
    </row>
    <row r="12" spans="1:67">
      <c r="A12" s="9">
        <f t="shared" si="20"/>
        <v>44539</v>
      </c>
      <c r="B12" s="10">
        <v>17325.36</v>
      </c>
      <c r="C12" s="8">
        <v>96124.4</v>
      </c>
      <c r="D12" s="8">
        <v>61904.6</v>
      </c>
      <c r="E12" s="8">
        <v>59476.7</v>
      </c>
      <c r="F12" s="8">
        <v>6497.04</v>
      </c>
      <c r="G12" s="8">
        <v>116329.5</v>
      </c>
      <c r="H12" s="8">
        <v>5709.7</v>
      </c>
      <c r="I12" s="8">
        <v>2566.3</v>
      </c>
      <c r="J12" s="8">
        <v>967</v>
      </c>
      <c r="K12" s="8">
        <v>56</v>
      </c>
      <c r="L12" s="8">
        <v>94745.7</v>
      </c>
      <c r="M12" s="8">
        <v>61529.1</v>
      </c>
      <c r="N12" s="8">
        <v>76138.9</v>
      </c>
      <c r="O12" s="8">
        <v>106092.8</v>
      </c>
      <c r="P12" s="8">
        <v>5907.4</v>
      </c>
      <c r="Q12" s="8">
        <v>7777.9</v>
      </c>
      <c r="R12" s="8">
        <v>4687.8</v>
      </c>
      <c r="S12" s="8">
        <v>5464.1</v>
      </c>
      <c r="T12" s="8">
        <v>6958.7</v>
      </c>
      <c r="U12" s="8">
        <v>17971.4</v>
      </c>
      <c r="V12" s="8">
        <v>51983.9</v>
      </c>
      <c r="W12" s="8">
        <v>54512</v>
      </c>
      <c r="X12" s="8">
        <v>3739.6</v>
      </c>
      <c r="Y12" s="8">
        <v>3495.8</v>
      </c>
      <c r="Z12" s="16">
        <f t="shared" si="21"/>
        <v>61747.4</v>
      </c>
      <c r="AA12" s="8">
        <v>70419.5</v>
      </c>
      <c r="AB12" s="14">
        <v>5022</v>
      </c>
      <c r="AC12" s="7">
        <f t="shared" si="22"/>
        <v>75441.5</v>
      </c>
      <c r="AD12" s="17">
        <v>186448</v>
      </c>
      <c r="AE12" s="18">
        <f t="shared" ref="AE12:AI12" si="72">IF(OR(C13=""),"",(C13-C12)*80)</f>
        <v>3752.0000000007</v>
      </c>
      <c r="AF12" s="18">
        <f t="shared" si="72"/>
        <v>3104.00000000023</v>
      </c>
      <c r="AG12" s="18">
        <f t="shared" si="72"/>
        <v>0</v>
      </c>
      <c r="AH12" s="18">
        <f t="shared" si="72"/>
        <v>4.00000000001455</v>
      </c>
      <c r="AI12" s="18">
        <f t="shared" si="72"/>
        <v>1671.99999999953</v>
      </c>
      <c r="AJ12" s="18">
        <f t="shared" si="24"/>
        <v>8532.00000000048</v>
      </c>
      <c r="AK12" s="18">
        <f t="shared" ref="AK12:AN12" si="73">IF(OR(H13=""),"",(H13-H12)*80)</f>
        <v>0</v>
      </c>
      <c r="AL12" s="18">
        <f t="shared" si="73"/>
        <v>0</v>
      </c>
      <c r="AM12" s="18">
        <f t="shared" si="73"/>
        <v>0</v>
      </c>
      <c r="AN12" s="18">
        <f t="shared" si="73"/>
        <v>0</v>
      </c>
      <c r="AO12" s="18">
        <f t="shared" si="26"/>
        <v>0</v>
      </c>
      <c r="AP12" s="18">
        <f t="shared" ref="AP12:AS12" si="74">IF(OR(L13=""),"",(L13-L12)*100)</f>
        <v>2219.99999999971</v>
      </c>
      <c r="AQ12" s="18">
        <f t="shared" si="74"/>
        <v>0</v>
      </c>
      <c r="AR12" s="18">
        <f t="shared" si="74"/>
        <v>2920.00000000116</v>
      </c>
      <c r="AS12" s="18">
        <f t="shared" si="74"/>
        <v>1989.99999999942</v>
      </c>
      <c r="AT12" s="18">
        <f t="shared" si="28"/>
        <v>7130.00000000029</v>
      </c>
      <c r="AU12" s="18">
        <f t="shared" ref="AU12:AY12" si="75">IF(OR(P13=""),"",(P13-P12)*1000)</f>
        <v>100.000000000364</v>
      </c>
      <c r="AV12" s="18">
        <f t="shared" si="75"/>
        <v>0</v>
      </c>
      <c r="AW12" s="18">
        <f t="shared" si="75"/>
        <v>0</v>
      </c>
      <c r="AX12" s="18">
        <f t="shared" si="75"/>
        <v>5000</v>
      </c>
      <c r="AY12" s="18">
        <f t="shared" si="75"/>
        <v>8300.00000000018</v>
      </c>
      <c r="AZ12" s="18">
        <f t="shared" si="30"/>
        <v>13400.0000000005</v>
      </c>
      <c r="BA12" s="18">
        <f t="shared" si="31"/>
        <v>9399.99999999418</v>
      </c>
      <c r="BB12" s="18">
        <f t="shared" si="32"/>
        <v>1040</v>
      </c>
      <c r="BC12" s="18">
        <f t="shared" si="33"/>
        <v>1687.99999999988</v>
      </c>
      <c r="BD12" s="18">
        <f t="shared" si="34"/>
        <v>11909.9999999813</v>
      </c>
      <c r="BE12" s="18">
        <f t="shared" si="35"/>
        <v>53099.9999999767</v>
      </c>
      <c r="BF12" s="18">
        <f t="shared" si="36"/>
        <v>57</v>
      </c>
      <c r="BG12" s="21">
        <f t="shared" si="37"/>
        <v>0.284797906118471</v>
      </c>
      <c r="BH12" s="21">
        <f t="shared" si="38"/>
        <v>0.04576074830516</v>
      </c>
      <c r="BI12" s="21">
        <f t="shared" si="39"/>
        <v>0</v>
      </c>
      <c r="BJ12" s="21">
        <f t="shared" si="40"/>
        <v>0.0382412254355117</v>
      </c>
      <c r="BK12" s="21">
        <f t="shared" ref="BK12:BO12" si="76">IF(OR($AD12=0),"",AZ12/$AD12)</f>
        <v>0.071869904745562</v>
      </c>
      <c r="BL12" s="21">
        <f t="shared" si="76"/>
        <v>0.0504162018364058</v>
      </c>
      <c r="BM12" s="21">
        <f t="shared" si="76"/>
        <v>0.00557796275637175</v>
      </c>
      <c r="BN12" s="21">
        <f t="shared" si="76"/>
        <v>0.00905346262764891</v>
      </c>
      <c r="BO12" s="21">
        <f t="shared" si="76"/>
        <v>0.063878400411811</v>
      </c>
    </row>
    <row r="13" spans="1:67">
      <c r="A13" s="9">
        <f t="shared" si="20"/>
        <v>44540</v>
      </c>
      <c r="B13" s="10">
        <v>17330.67</v>
      </c>
      <c r="C13" s="8">
        <v>96171.3</v>
      </c>
      <c r="D13" s="8">
        <v>61943.4</v>
      </c>
      <c r="E13" s="8">
        <v>59476.7</v>
      </c>
      <c r="F13" s="8">
        <v>6497.09</v>
      </c>
      <c r="G13" s="8">
        <v>116350.4</v>
      </c>
      <c r="H13" s="8">
        <v>5709.7</v>
      </c>
      <c r="I13" s="8">
        <v>2566.3</v>
      </c>
      <c r="J13" s="8">
        <v>967</v>
      </c>
      <c r="K13" s="8">
        <v>56</v>
      </c>
      <c r="L13" s="8">
        <v>94767.9</v>
      </c>
      <c r="M13" s="8">
        <v>61529.1</v>
      </c>
      <c r="N13" s="8">
        <v>76168.1</v>
      </c>
      <c r="O13" s="8">
        <v>106112.7</v>
      </c>
      <c r="P13" s="8">
        <v>5907.5</v>
      </c>
      <c r="Q13" s="8">
        <v>7777.9</v>
      </c>
      <c r="R13" s="8">
        <v>4687.8</v>
      </c>
      <c r="S13" s="8">
        <v>5469.1</v>
      </c>
      <c r="T13" s="8">
        <v>6967</v>
      </c>
      <c r="U13" s="8">
        <v>17976.1</v>
      </c>
      <c r="V13" s="13">
        <v>51996.9</v>
      </c>
      <c r="W13" s="8">
        <v>54529.4</v>
      </c>
      <c r="X13" s="13">
        <v>3752</v>
      </c>
      <c r="Y13" s="8">
        <v>3508.2</v>
      </c>
      <c r="Z13" s="16">
        <f t="shared" si="21"/>
        <v>61789.6</v>
      </c>
      <c r="AA13" s="8">
        <v>70464.5</v>
      </c>
      <c r="AB13" s="14">
        <v>5034</v>
      </c>
      <c r="AC13" s="7">
        <f t="shared" si="22"/>
        <v>75498.5</v>
      </c>
      <c r="AD13" s="17">
        <v>167444</v>
      </c>
      <c r="AE13" s="18">
        <f t="shared" ref="AE13:AI13" si="77">IF(OR(C14=""),"",(C14-C13)*80)</f>
        <v>3640</v>
      </c>
      <c r="AF13" s="18">
        <f t="shared" si="77"/>
        <v>3007.99999999988</v>
      </c>
      <c r="AG13" s="18">
        <f t="shared" si="77"/>
        <v>0</v>
      </c>
      <c r="AH13" s="18">
        <f t="shared" si="77"/>
        <v>4.79999999995925</v>
      </c>
      <c r="AI13" s="18">
        <f t="shared" si="77"/>
        <v>1456.00000000093</v>
      </c>
      <c r="AJ13" s="18">
        <f t="shared" si="24"/>
        <v>8108.80000000077</v>
      </c>
      <c r="AK13" s="18">
        <f t="shared" ref="AK13:AN13" si="78">IF(OR(H14=""),"",(H14-H13)*80)</f>
        <v>0</v>
      </c>
      <c r="AL13" s="18">
        <f t="shared" si="78"/>
        <v>0</v>
      </c>
      <c r="AM13" s="18">
        <f t="shared" si="78"/>
        <v>0</v>
      </c>
      <c r="AN13" s="18">
        <f t="shared" si="78"/>
        <v>0</v>
      </c>
      <c r="AO13" s="18">
        <f t="shared" si="26"/>
        <v>0</v>
      </c>
      <c r="AP13" s="18">
        <f t="shared" ref="AP13:AS13" si="79">IF(OR(L14=""),"",(L14-L13)*100)</f>
        <v>1610.00000000058</v>
      </c>
      <c r="AQ13" s="18">
        <f t="shared" si="79"/>
        <v>0</v>
      </c>
      <c r="AR13" s="18">
        <f t="shared" si="79"/>
        <v>2889.99999999942</v>
      </c>
      <c r="AS13" s="18">
        <f t="shared" si="79"/>
        <v>2000</v>
      </c>
      <c r="AT13" s="18">
        <f t="shared" si="28"/>
        <v>6500</v>
      </c>
      <c r="AU13" s="18">
        <f t="shared" ref="AU13:AY13" si="80">IF(OR(P14=""),"",(P14-P13)*1000)</f>
        <v>3600.00000000036</v>
      </c>
      <c r="AV13" s="18">
        <f t="shared" si="80"/>
        <v>0</v>
      </c>
      <c r="AW13" s="18">
        <f t="shared" si="80"/>
        <v>0</v>
      </c>
      <c r="AX13" s="18">
        <f t="shared" si="80"/>
        <v>5299.99999999927</v>
      </c>
      <c r="AY13" s="18">
        <f t="shared" si="80"/>
        <v>0</v>
      </c>
      <c r="AZ13" s="18">
        <f t="shared" si="30"/>
        <v>8899.99999999964</v>
      </c>
      <c r="BA13" s="18">
        <f t="shared" si="31"/>
        <v>9000</v>
      </c>
      <c r="BB13" s="18">
        <f t="shared" si="32"/>
        <v>1040</v>
      </c>
      <c r="BC13" s="18">
        <f t="shared" si="33"/>
        <v>1640.00000000029</v>
      </c>
      <c r="BD13" s="18">
        <f t="shared" si="34"/>
        <v>15411.2000000124</v>
      </c>
      <c r="BE13" s="18">
        <f t="shared" si="35"/>
        <v>50600.0000000131</v>
      </c>
      <c r="BF13" s="18">
        <f t="shared" si="36"/>
        <v>58.5</v>
      </c>
      <c r="BG13" s="21">
        <f t="shared" si="37"/>
        <v>0.302190583120405</v>
      </c>
      <c r="BH13" s="21">
        <f t="shared" si="38"/>
        <v>0.0484269367669237</v>
      </c>
      <c r="BI13" s="21">
        <f t="shared" si="39"/>
        <v>0</v>
      </c>
      <c r="BJ13" s="21">
        <f t="shared" si="40"/>
        <v>0.0388189484245479</v>
      </c>
      <c r="BK13" s="21">
        <f t="shared" ref="BK13:BO13" si="81">IF(OR($AD13=0),"",AZ13/$AD13)</f>
        <v>0.0531520986120711</v>
      </c>
      <c r="BL13" s="21">
        <f t="shared" si="81"/>
        <v>0.0537493132032202</v>
      </c>
      <c r="BM13" s="21">
        <f t="shared" si="81"/>
        <v>0.00621103174792767</v>
      </c>
      <c r="BN13" s="21">
        <f t="shared" si="81"/>
        <v>0.00979431929481075</v>
      </c>
      <c r="BO13" s="21">
        <f t="shared" si="81"/>
        <v>0.0920379350709037</v>
      </c>
    </row>
    <row r="14" spans="1:67">
      <c r="A14" s="9">
        <f t="shared" si="20"/>
        <v>44541</v>
      </c>
      <c r="B14" s="10">
        <v>17335.73</v>
      </c>
      <c r="C14" s="8">
        <v>96216.8</v>
      </c>
      <c r="D14" s="8">
        <v>61981</v>
      </c>
      <c r="E14" s="8">
        <v>59476.7</v>
      </c>
      <c r="F14" s="8">
        <v>6497.15</v>
      </c>
      <c r="G14" s="8">
        <v>116368.6</v>
      </c>
      <c r="H14" s="8">
        <v>5709.7</v>
      </c>
      <c r="I14" s="8">
        <v>2566.3</v>
      </c>
      <c r="J14" s="8">
        <v>967</v>
      </c>
      <c r="K14" s="8">
        <v>56</v>
      </c>
      <c r="L14" s="8">
        <v>94784</v>
      </c>
      <c r="M14" s="8">
        <v>61529.1</v>
      </c>
      <c r="N14" s="8">
        <v>76197</v>
      </c>
      <c r="O14" s="8">
        <v>106132.7</v>
      </c>
      <c r="P14" s="8">
        <v>5911.1</v>
      </c>
      <c r="Q14" s="8">
        <v>7777.9</v>
      </c>
      <c r="R14" s="8">
        <v>4687.8</v>
      </c>
      <c r="S14" s="8">
        <v>5474.4</v>
      </c>
      <c r="T14" s="8">
        <v>6967</v>
      </c>
      <c r="U14" s="8">
        <v>17980.6</v>
      </c>
      <c r="V14" s="8">
        <v>52009.9</v>
      </c>
      <c r="W14" s="8">
        <v>54546.4</v>
      </c>
      <c r="X14" s="8">
        <v>3763.8</v>
      </c>
      <c r="Y14" s="8">
        <v>3520.4</v>
      </c>
      <c r="Z14" s="16">
        <f t="shared" si="21"/>
        <v>61830.6</v>
      </c>
      <c r="AA14" s="8">
        <v>70507</v>
      </c>
      <c r="AB14" s="14">
        <v>5050</v>
      </c>
      <c r="AC14" s="7">
        <f t="shared" si="22"/>
        <v>75557</v>
      </c>
      <c r="AD14" s="17">
        <v>156152</v>
      </c>
      <c r="AE14" s="18">
        <f t="shared" ref="AE14:AI14" si="82">IF(OR(C15=""),"",(C15-C14)*80)</f>
        <v>3784.00000000023</v>
      </c>
      <c r="AF14" s="18">
        <f t="shared" si="82"/>
        <v>2792.00000000012</v>
      </c>
      <c r="AG14" s="18">
        <f t="shared" si="82"/>
        <v>0</v>
      </c>
      <c r="AH14" s="18">
        <f t="shared" si="82"/>
        <v>4.00000000001455</v>
      </c>
      <c r="AI14" s="18">
        <f t="shared" si="82"/>
        <v>1400</v>
      </c>
      <c r="AJ14" s="18">
        <f t="shared" si="24"/>
        <v>7980.00000000036</v>
      </c>
      <c r="AK14" s="18">
        <f t="shared" ref="AK14:AN14" si="83">IF(OR(H15=""),"",(H15-H14)*80)</f>
        <v>0</v>
      </c>
      <c r="AL14" s="18">
        <f t="shared" si="83"/>
        <v>0</v>
      </c>
      <c r="AM14" s="18">
        <f t="shared" si="83"/>
        <v>0</v>
      </c>
      <c r="AN14" s="18">
        <f t="shared" si="83"/>
        <v>0</v>
      </c>
      <c r="AO14" s="18">
        <f t="shared" si="26"/>
        <v>0</v>
      </c>
      <c r="AP14" s="18">
        <f t="shared" ref="AP14:AS14" si="84">IF(OR(L15=""),"",(L15-L14)*100)</f>
        <v>1439.99999999942</v>
      </c>
      <c r="AQ14" s="18">
        <f t="shared" si="84"/>
        <v>0</v>
      </c>
      <c r="AR14" s="18">
        <f t="shared" si="84"/>
        <v>2610.00000000058</v>
      </c>
      <c r="AS14" s="18">
        <f t="shared" si="84"/>
        <v>1990.00000000087</v>
      </c>
      <c r="AT14" s="18">
        <f t="shared" si="28"/>
        <v>6040.00000000087</v>
      </c>
      <c r="AU14" s="18">
        <f t="shared" ref="AU14:AY14" si="85">IF(OR(P15=""),"",(P15-P14)*1000)</f>
        <v>3699.99999999982</v>
      </c>
      <c r="AV14" s="18">
        <f t="shared" si="85"/>
        <v>0</v>
      </c>
      <c r="AW14" s="18">
        <f t="shared" si="85"/>
        <v>0</v>
      </c>
      <c r="AX14" s="18">
        <f t="shared" si="85"/>
        <v>5200.00000000073</v>
      </c>
      <c r="AY14" s="18">
        <f t="shared" si="85"/>
        <v>0</v>
      </c>
      <c r="AZ14" s="18">
        <f t="shared" si="30"/>
        <v>8900.00000000055</v>
      </c>
      <c r="BA14" s="18">
        <f t="shared" si="31"/>
        <v>8600.00000000582</v>
      </c>
      <c r="BB14" s="18">
        <f t="shared" si="32"/>
        <v>1040</v>
      </c>
      <c r="BC14" s="18">
        <f t="shared" si="33"/>
        <v>1687.99999999988</v>
      </c>
      <c r="BD14" s="18">
        <f t="shared" si="34"/>
        <v>15551.9999999881</v>
      </c>
      <c r="BE14" s="18">
        <f t="shared" si="35"/>
        <v>49799.9999999956</v>
      </c>
      <c r="BF14" s="18">
        <f t="shared" si="36"/>
        <v>57.6999999999971</v>
      </c>
      <c r="BG14" s="21">
        <f t="shared" si="37"/>
        <v>0.318920026640681</v>
      </c>
      <c r="BH14" s="21">
        <f t="shared" si="38"/>
        <v>0.0511040524617063</v>
      </c>
      <c r="BI14" s="21">
        <f t="shared" si="39"/>
        <v>0</v>
      </c>
      <c r="BJ14" s="21">
        <f t="shared" si="40"/>
        <v>0.0386802602592402</v>
      </c>
      <c r="BK14" s="21">
        <f t="shared" ref="BK14:BO14" si="86">IF(OR($AD14=0),"",AZ14/$AD14)</f>
        <v>0.0569957477329816</v>
      </c>
      <c r="BL14" s="21">
        <f t="shared" si="86"/>
        <v>0.0550745427532521</v>
      </c>
      <c r="BM14" s="21">
        <f t="shared" si="86"/>
        <v>0.00666017726317947</v>
      </c>
      <c r="BN14" s="21">
        <f t="shared" si="86"/>
        <v>0.0108099800194675</v>
      </c>
      <c r="BO14" s="21">
        <f t="shared" si="86"/>
        <v>0.099595266150854</v>
      </c>
    </row>
    <row r="15" spans="1:67">
      <c r="A15" s="9">
        <f t="shared" si="20"/>
        <v>44542</v>
      </c>
      <c r="B15" s="10">
        <v>17340.71</v>
      </c>
      <c r="C15" s="8">
        <v>96264.1</v>
      </c>
      <c r="D15" s="8">
        <v>62015.9</v>
      </c>
      <c r="E15" s="8">
        <v>59476.7</v>
      </c>
      <c r="F15" s="8">
        <v>6497.2</v>
      </c>
      <c r="G15" s="8">
        <v>116386.1</v>
      </c>
      <c r="H15" s="8">
        <v>5709.7</v>
      </c>
      <c r="I15" s="8">
        <v>2566.3</v>
      </c>
      <c r="J15" s="8">
        <v>967</v>
      </c>
      <c r="K15" s="8">
        <v>56</v>
      </c>
      <c r="L15" s="8">
        <v>94798.4</v>
      </c>
      <c r="M15" s="8">
        <v>61529.1</v>
      </c>
      <c r="N15" s="8">
        <v>76223.1</v>
      </c>
      <c r="O15" s="8">
        <v>106152.6</v>
      </c>
      <c r="P15" s="8">
        <v>5914.8</v>
      </c>
      <c r="Q15" s="8">
        <v>7777.9</v>
      </c>
      <c r="R15" s="8">
        <v>4687.8</v>
      </c>
      <c r="S15" s="8">
        <v>5479.6</v>
      </c>
      <c r="T15" s="8">
        <v>6967</v>
      </c>
      <c r="U15" s="8">
        <v>17984.9</v>
      </c>
      <c r="V15" s="8">
        <v>52022.9</v>
      </c>
      <c r="W15" s="8">
        <v>54563.8</v>
      </c>
      <c r="X15" s="8">
        <v>3776.2</v>
      </c>
      <c r="Y15" s="8">
        <v>3532.8</v>
      </c>
      <c r="Z15" s="16">
        <f t="shared" si="21"/>
        <v>61872.8</v>
      </c>
      <c r="AA15" s="8">
        <v>70553.7</v>
      </c>
      <c r="AB15" s="14">
        <v>5061</v>
      </c>
      <c r="AC15" s="7">
        <f t="shared" si="22"/>
        <v>75614.7</v>
      </c>
      <c r="AD15" s="17">
        <v>158623</v>
      </c>
      <c r="AE15" s="18">
        <f t="shared" ref="AE15:AI15" si="87">IF(OR(C16=""),"",(C16-C15)*80)</f>
        <v>3783.99999999907</v>
      </c>
      <c r="AF15" s="18">
        <f t="shared" si="87"/>
        <v>2320</v>
      </c>
      <c r="AG15" s="18">
        <f t="shared" si="87"/>
        <v>0</v>
      </c>
      <c r="AH15" s="18">
        <f t="shared" si="87"/>
        <v>4.80000000003201</v>
      </c>
      <c r="AI15" s="18">
        <f t="shared" si="87"/>
        <v>1455.99999999977</v>
      </c>
      <c r="AJ15" s="18">
        <f t="shared" si="24"/>
        <v>7564.79999999887</v>
      </c>
      <c r="AK15" s="18">
        <f t="shared" ref="AK15:AN15" si="88">IF(OR(H16=""),"",(H16-H15)*80)</f>
        <v>0</v>
      </c>
      <c r="AL15" s="18">
        <f t="shared" si="88"/>
        <v>0</v>
      </c>
      <c r="AM15" s="18">
        <f t="shared" si="88"/>
        <v>0</v>
      </c>
      <c r="AN15" s="18">
        <f t="shared" si="88"/>
        <v>0</v>
      </c>
      <c r="AO15" s="18">
        <f t="shared" si="26"/>
        <v>0</v>
      </c>
      <c r="AP15" s="18">
        <f t="shared" ref="AP15:AS15" si="89">IF(OR(L16=""),"",(L16-L15)*100)</f>
        <v>1770.00000000116</v>
      </c>
      <c r="AQ15" s="18">
        <f t="shared" si="89"/>
        <v>0</v>
      </c>
      <c r="AR15" s="18">
        <f t="shared" si="89"/>
        <v>2139.99999999942</v>
      </c>
      <c r="AS15" s="18">
        <f t="shared" si="89"/>
        <v>2019.99999999971</v>
      </c>
      <c r="AT15" s="18">
        <f t="shared" si="28"/>
        <v>5930.00000000029</v>
      </c>
      <c r="AU15" s="18">
        <f t="shared" ref="AU15:AY15" si="90">IF(OR(P16=""),"",(P16-P15)*1000)</f>
        <v>1399.99999999964</v>
      </c>
      <c r="AV15" s="18">
        <f t="shared" si="90"/>
        <v>7600.00000000036</v>
      </c>
      <c r="AW15" s="18">
        <f t="shared" si="90"/>
        <v>0</v>
      </c>
      <c r="AX15" s="18">
        <f t="shared" si="90"/>
        <v>3399.99999999964</v>
      </c>
      <c r="AY15" s="18">
        <f t="shared" si="90"/>
        <v>0</v>
      </c>
      <c r="AZ15" s="18">
        <f t="shared" si="30"/>
        <v>12399.9999999996</v>
      </c>
      <c r="BA15" s="18">
        <f t="shared" si="31"/>
        <v>7799.99999999563</v>
      </c>
      <c r="BB15" s="18">
        <f t="shared" si="32"/>
        <v>983.999999999651</v>
      </c>
      <c r="BC15" s="18">
        <f t="shared" si="33"/>
        <v>1691.99999999983</v>
      </c>
      <c r="BD15" s="18">
        <f t="shared" si="34"/>
        <v>12829.200000025</v>
      </c>
      <c r="BE15" s="18">
        <f t="shared" si="35"/>
        <v>49200.0000000189</v>
      </c>
      <c r="BF15" s="18">
        <f t="shared" si="36"/>
        <v>54.3000000000029</v>
      </c>
      <c r="BG15" s="21">
        <f t="shared" si="37"/>
        <v>0.310169395358926</v>
      </c>
      <c r="BH15" s="21">
        <f t="shared" si="38"/>
        <v>0.0476904358132104</v>
      </c>
      <c r="BI15" s="21">
        <f t="shared" si="39"/>
        <v>0</v>
      </c>
      <c r="BJ15" s="21">
        <f t="shared" si="40"/>
        <v>0.0373842380991426</v>
      </c>
      <c r="BK15" s="21">
        <f t="shared" ref="BK15:BO15" si="91">IF(OR($AD15=0),"",AZ15/$AD15)</f>
        <v>0.0781727744400222</v>
      </c>
      <c r="BL15" s="21">
        <f t="shared" si="91"/>
        <v>0.0491731968251492</v>
      </c>
      <c r="BM15" s="21">
        <f t="shared" si="91"/>
        <v>0.00620338790717393</v>
      </c>
      <c r="BN15" s="21">
        <f t="shared" si="91"/>
        <v>0.0106668011574603</v>
      </c>
      <c r="BO15" s="21">
        <f t="shared" si="91"/>
        <v>0.0808785611167675</v>
      </c>
    </row>
    <row r="16" spans="1:67">
      <c r="A16" s="9">
        <f t="shared" si="20"/>
        <v>44543</v>
      </c>
      <c r="B16" s="10">
        <v>17345.63</v>
      </c>
      <c r="C16" s="8">
        <v>96311.4</v>
      </c>
      <c r="D16" s="8">
        <v>62044.9</v>
      </c>
      <c r="E16" s="8">
        <v>59476.7</v>
      </c>
      <c r="F16" s="8">
        <v>6497.26</v>
      </c>
      <c r="G16" s="8">
        <v>116404.3</v>
      </c>
      <c r="H16" s="8">
        <v>5709.7</v>
      </c>
      <c r="I16" s="8">
        <v>2566.3</v>
      </c>
      <c r="J16" s="8">
        <v>967</v>
      </c>
      <c r="K16" s="8">
        <v>56</v>
      </c>
      <c r="L16" s="8">
        <v>94816.1</v>
      </c>
      <c r="M16" s="8">
        <v>61529.1</v>
      </c>
      <c r="N16" s="8">
        <v>76244.5</v>
      </c>
      <c r="O16" s="8">
        <v>106172.8</v>
      </c>
      <c r="P16" s="8">
        <v>5916.2</v>
      </c>
      <c r="Q16" s="8">
        <v>7785.5</v>
      </c>
      <c r="R16" s="8">
        <v>4687.8</v>
      </c>
      <c r="S16" s="8">
        <v>5483</v>
      </c>
      <c r="T16" s="8">
        <v>6967</v>
      </c>
      <c r="U16" s="8">
        <v>17988.8</v>
      </c>
      <c r="V16" s="8">
        <v>52035.2</v>
      </c>
      <c r="W16" s="8">
        <v>54581.5</v>
      </c>
      <c r="X16" s="8">
        <v>3788.4</v>
      </c>
      <c r="Y16" s="8">
        <v>3545.2</v>
      </c>
      <c r="Z16" s="16">
        <f t="shared" si="21"/>
        <v>61915.1</v>
      </c>
      <c r="AA16" s="8">
        <v>70599</v>
      </c>
      <c r="AB16" s="14">
        <v>5070</v>
      </c>
      <c r="AC16" s="7">
        <f t="shared" si="22"/>
        <v>75669</v>
      </c>
      <c r="AD16" s="17">
        <v>150931</v>
      </c>
      <c r="AE16" s="18">
        <f t="shared" ref="AE16:AI16" si="92">IF(OR(C17=""),"",(C17-C16)*80)</f>
        <v>3736.00000000093</v>
      </c>
      <c r="AF16" s="18">
        <f t="shared" si="92"/>
        <v>1767.99999999988</v>
      </c>
      <c r="AG16" s="18">
        <f t="shared" si="92"/>
        <v>0</v>
      </c>
      <c r="AH16" s="18">
        <f t="shared" si="92"/>
        <v>4.79999999995925</v>
      </c>
      <c r="AI16" s="18">
        <f t="shared" si="92"/>
        <v>1744.00000000023</v>
      </c>
      <c r="AJ16" s="18">
        <f t="shared" si="24"/>
        <v>7252.80000000101</v>
      </c>
      <c r="AK16" s="18">
        <f t="shared" ref="AK16:AN16" si="93">IF(OR(H17=""),"",(H17-H16)*80)</f>
        <v>0</v>
      </c>
      <c r="AL16" s="18">
        <f t="shared" si="93"/>
        <v>0</v>
      </c>
      <c r="AM16" s="18">
        <f t="shared" si="93"/>
        <v>0</v>
      </c>
      <c r="AN16" s="18">
        <f t="shared" si="93"/>
        <v>0</v>
      </c>
      <c r="AO16" s="18">
        <f t="shared" si="26"/>
        <v>0</v>
      </c>
      <c r="AP16" s="18">
        <f t="shared" ref="AP16:AS16" si="94">IF(OR(L17=""),"",(L17-L16)*100)</f>
        <v>1800</v>
      </c>
      <c r="AQ16" s="18">
        <f t="shared" si="94"/>
        <v>0</v>
      </c>
      <c r="AR16" s="18">
        <f t="shared" si="94"/>
        <v>2889.99999999942</v>
      </c>
      <c r="AS16" s="18">
        <f t="shared" si="94"/>
        <v>1289.99999999942</v>
      </c>
      <c r="AT16" s="18">
        <f t="shared" si="28"/>
        <v>5979.99999999884</v>
      </c>
      <c r="AU16" s="18">
        <f t="shared" ref="AU16:AY16" si="95">IF(OR(P17=""),"",(P17-P16)*1000)</f>
        <v>4000</v>
      </c>
      <c r="AV16" s="18">
        <f t="shared" si="95"/>
        <v>2600.00000000036</v>
      </c>
      <c r="AW16" s="18">
        <f t="shared" si="95"/>
        <v>0</v>
      </c>
      <c r="AX16" s="18">
        <f t="shared" si="95"/>
        <v>0</v>
      </c>
      <c r="AY16" s="18">
        <f t="shared" si="95"/>
        <v>5800.00000000018</v>
      </c>
      <c r="AZ16" s="18">
        <f t="shared" si="30"/>
        <v>12400.0000000005</v>
      </c>
      <c r="BA16" s="18">
        <f t="shared" si="31"/>
        <v>7400.00000000146</v>
      </c>
      <c r="BB16" s="18">
        <f t="shared" si="32"/>
        <v>1000</v>
      </c>
      <c r="BC16" s="18">
        <f t="shared" si="33"/>
        <v>1672.00000000012</v>
      </c>
      <c r="BD16" s="18">
        <f t="shared" si="34"/>
        <v>12095.1999999864</v>
      </c>
      <c r="BE16" s="18">
        <f t="shared" si="35"/>
        <v>47799.9999999884</v>
      </c>
      <c r="BF16" s="18">
        <f t="shared" si="36"/>
        <v>57.1999999999971</v>
      </c>
      <c r="BG16" s="21">
        <f t="shared" si="37"/>
        <v>0.316701009070293</v>
      </c>
      <c r="BH16" s="21">
        <f t="shared" si="38"/>
        <v>0.0480537464139309</v>
      </c>
      <c r="BI16" s="21">
        <f t="shared" si="39"/>
        <v>0</v>
      </c>
      <c r="BJ16" s="21">
        <f t="shared" si="40"/>
        <v>0.0396207538544026</v>
      </c>
      <c r="BK16" s="21">
        <f t="shared" ref="BK16:BO16" si="96">IF(OR($AD16=0),"",AZ16/$AD16)</f>
        <v>0.0821567471228611</v>
      </c>
      <c r="BL16" s="21">
        <f t="shared" si="96"/>
        <v>0.0490290265088117</v>
      </c>
      <c r="BM16" s="21">
        <f t="shared" si="96"/>
        <v>0.00662554412281109</v>
      </c>
      <c r="BN16" s="21">
        <f t="shared" si="96"/>
        <v>0.0110779097733409</v>
      </c>
      <c r="BO16" s="21">
        <f t="shared" si="96"/>
        <v>0.0801372812741345</v>
      </c>
    </row>
    <row r="17" spans="1:67">
      <c r="A17" s="9">
        <f t="shared" si="20"/>
        <v>44544</v>
      </c>
      <c r="B17" s="10">
        <v>17350.41</v>
      </c>
      <c r="C17" s="8">
        <v>96358.1</v>
      </c>
      <c r="D17" s="8">
        <v>62067</v>
      </c>
      <c r="E17" s="8">
        <v>59476.7</v>
      </c>
      <c r="F17" s="8">
        <v>6497.32</v>
      </c>
      <c r="G17" s="8">
        <v>116426.1</v>
      </c>
      <c r="H17" s="8">
        <v>5709.7</v>
      </c>
      <c r="I17" s="8">
        <v>2566.3</v>
      </c>
      <c r="J17" s="8">
        <v>967</v>
      </c>
      <c r="K17" s="8">
        <v>56</v>
      </c>
      <c r="L17" s="8">
        <v>94834.1</v>
      </c>
      <c r="M17" s="8">
        <v>61529.1</v>
      </c>
      <c r="N17" s="8">
        <v>76273.4</v>
      </c>
      <c r="O17" s="8">
        <v>106185.7</v>
      </c>
      <c r="P17" s="8">
        <v>5920.2</v>
      </c>
      <c r="Q17" s="8">
        <v>7788.1</v>
      </c>
      <c r="R17" s="8">
        <v>4687.8</v>
      </c>
      <c r="S17" s="8">
        <v>5483</v>
      </c>
      <c r="T17" s="8">
        <v>6972.8</v>
      </c>
      <c r="U17" s="8">
        <v>17992.5</v>
      </c>
      <c r="V17" s="8">
        <v>52047.7</v>
      </c>
      <c r="W17" s="8">
        <v>54599.1</v>
      </c>
      <c r="X17" s="8">
        <v>3800.5</v>
      </c>
      <c r="Y17" s="8">
        <v>3557.3</v>
      </c>
      <c r="Z17" s="16">
        <f t="shared" si="21"/>
        <v>61956.9</v>
      </c>
      <c r="AA17" s="8">
        <v>70645.2</v>
      </c>
      <c r="AB17" s="14">
        <v>5081</v>
      </c>
      <c r="AC17" s="7">
        <f t="shared" si="22"/>
        <v>75726.2</v>
      </c>
      <c r="AD17" s="17">
        <v>138614</v>
      </c>
      <c r="AE17" s="18">
        <f t="shared" ref="AE17:AI17" si="97">IF(OR(C18=""),"",(C18-C17)*80)</f>
        <v>3760</v>
      </c>
      <c r="AF17" s="18">
        <f t="shared" si="97"/>
        <v>855.999999999767</v>
      </c>
      <c r="AG17" s="18">
        <f t="shared" si="97"/>
        <v>0</v>
      </c>
      <c r="AH17" s="18">
        <f t="shared" si="97"/>
        <v>4.00000000001455</v>
      </c>
      <c r="AI17" s="18">
        <f t="shared" si="97"/>
        <v>1760</v>
      </c>
      <c r="AJ17" s="18">
        <f t="shared" si="24"/>
        <v>6379.99999999978</v>
      </c>
      <c r="AK17" s="18">
        <f t="shared" ref="AK17:AN17" si="98">IF(OR(H18=""),"",(H18-H17)*80)</f>
        <v>0</v>
      </c>
      <c r="AL17" s="18">
        <f t="shared" si="98"/>
        <v>0</v>
      </c>
      <c r="AM17" s="18">
        <f t="shared" si="98"/>
        <v>0</v>
      </c>
      <c r="AN17" s="18">
        <f t="shared" si="98"/>
        <v>0</v>
      </c>
      <c r="AO17" s="18">
        <f t="shared" si="26"/>
        <v>0</v>
      </c>
      <c r="AP17" s="18">
        <f t="shared" ref="AP17:AS17" si="99">IF(OR(L18=""),"",(L18-L17)*100)</f>
        <v>1779.99999999884</v>
      </c>
      <c r="AQ17" s="18">
        <f t="shared" si="99"/>
        <v>0</v>
      </c>
      <c r="AR17" s="18">
        <f t="shared" si="99"/>
        <v>2710.00000000058</v>
      </c>
      <c r="AS17" s="18">
        <f t="shared" si="99"/>
        <v>700</v>
      </c>
      <c r="AT17" s="18">
        <f t="shared" si="28"/>
        <v>5189.99999999942</v>
      </c>
      <c r="AU17" s="18">
        <f t="shared" ref="AU17:AY17" si="100">IF(OR(P18=""),"",(P18-P17)*1000)</f>
        <v>3699.99999999982</v>
      </c>
      <c r="AV17" s="18">
        <f t="shared" si="100"/>
        <v>1799.99999999927</v>
      </c>
      <c r="AW17" s="18">
        <f t="shared" si="100"/>
        <v>0</v>
      </c>
      <c r="AX17" s="18">
        <f t="shared" si="100"/>
        <v>1800.00000000018</v>
      </c>
      <c r="AY17" s="18">
        <f t="shared" si="100"/>
        <v>0</v>
      </c>
      <c r="AZ17" s="18">
        <f t="shared" si="30"/>
        <v>7299.99999999927</v>
      </c>
      <c r="BA17" s="18">
        <f t="shared" si="31"/>
        <v>5400.00000000146</v>
      </c>
      <c r="BB17" s="18">
        <f t="shared" si="32"/>
        <v>992.000000000116</v>
      </c>
      <c r="BC17" s="18">
        <f t="shared" si="33"/>
        <v>1628.00000000017</v>
      </c>
      <c r="BD17" s="18">
        <f t="shared" si="34"/>
        <v>17509.9999999867</v>
      </c>
      <c r="BE17" s="18">
        <f t="shared" si="35"/>
        <v>44399.9999999869</v>
      </c>
      <c r="BF17" s="18">
        <f t="shared" si="36"/>
        <v>59.1000000000058</v>
      </c>
      <c r="BG17" s="21">
        <f t="shared" si="37"/>
        <v>0.320313965400226</v>
      </c>
      <c r="BH17" s="21">
        <f t="shared" si="38"/>
        <v>0.0460270968300445</v>
      </c>
      <c r="BI17" s="21">
        <f t="shared" si="39"/>
        <v>0</v>
      </c>
      <c r="BJ17" s="21">
        <f t="shared" si="40"/>
        <v>0.0374421054150332</v>
      </c>
      <c r="BK17" s="21">
        <f t="shared" ref="BK17:BO17" si="101">IF(OR($AD17=0),"",AZ17/$AD17)</f>
        <v>0.0526642330500474</v>
      </c>
      <c r="BL17" s="21">
        <f t="shared" si="101"/>
        <v>0.0389571039000495</v>
      </c>
      <c r="BM17" s="21">
        <f t="shared" si="101"/>
        <v>0.007156564272008</v>
      </c>
      <c r="BN17" s="21">
        <f t="shared" si="101"/>
        <v>0.011744845398013</v>
      </c>
      <c r="BO17" s="21">
        <f t="shared" si="101"/>
        <v>0.12632201653503</v>
      </c>
    </row>
    <row r="18" spans="1:67">
      <c r="A18" s="9">
        <f t="shared" si="20"/>
        <v>44545</v>
      </c>
      <c r="B18" s="10">
        <v>17354.85</v>
      </c>
      <c r="C18" s="8">
        <v>96405.1</v>
      </c>
      <c r="D18" s="8">
        <v>62077.7</v>
      </c>
      <c r="E18" s="8">
        <v>59476.7</v>
      </c>
      <c r="F18" s="8">
        <v>6497.37</v>
      </c>
      <c r="G18" s="8">
        <v>116448.1</v>
      </c>
      <c r="H18" s="8">
        <v>5709.7</v>
      </c>
      <c r="I18" s="8">
        <v>2566.3</v>
      </c>
      <c r="J18" s="8">
        <v>967</v>
      </c>
      <c r="K18" s="8">
        <v>56</v>
      </c>
      <c r="L18" s="8">
        <v>94851.9</v>
      </c>
      <c r="M18" s="8">
        <v>61529.1</v>
      </c>
      <c r="N18" s="8">
        <v>76300.5</v>
      </c>
      <c r="O18" s="8">
        <v>106192.7</v>
      </c>
      <c r="P18" s="8">
        <v>5923.9</v>
      </c>
      <c r="Q18" s="8">
        <v>7789.9</v>
      </c>
      <c r="R18" s="8">
        <v>4687.8</v>
      </c>
      <c r="S18" s="8">
        <v>5484.8</v>
      </c>
      <c r="T18" s="8">
        <v>6972.8</v>
      </c>
      <c r="U18" s="8">
        <v>17995.2</v>
      </c>
      <c r="V18" s="8">
        <v>52060.1</v>
      </c>
      <c r="W18" s="8">
        <v>54616.4</v>
      </c>
      <c r="X18" s="8">
        <v>3812.3</v>
      </c>
      <c r="Y18" s="8">
        <v>3568.9</v>
      </c>
      <c r="Z18" s="16">
        <f t="shared" si="21"/>
        <v>61997.6</v>
      </c>
      <c r="AA18" s="8">
        <v>70688.3</v>
      </c>
      <c r="AB18" s="14">
        <v>5097</v>
      </c>
      <c r="AC18" s="7">
        <f t="shared" si="22"/>
        <v>75785.3</v>
      </c>
      <c r="AD18" s="17">
        <v>153179</v>
      </c>
      <c r="AE18" s="18">
        <f t="shared" ref="AE18:AI18" si="102">IF(OR(C19=""),"",(C19-C18)*80)</f>
        <v>3735.99999999977</v>
      </c>
      <c r="AF18" s="18">
        <f t="shared" si="102"/>
        <v>1808.00000000047</v>
      </c>
      <c r="AG18" s="18">
        <f t="shared" si="102"/>
        <v>8.00000000046566</v>
      </c>
      <c r="AH18" s="18">
        <f t="shared" si="102"/>
        <v>4.80000000003201</v>
      </c>
      <c r="AI18" s="18">
        <f t="shared" si="102"/>
        <v>1711.99999999953</v>
      </c>
      <c r="AJ18" s="18">
        <f t="shared" si="24"/>
        <v>7268.80000000026</v>
      </c>
      <c r="AK18" s="18">
        <f t="shared" ref="AK18:AN18" si="103">IF(OR(H19=""),"",(H19-H18)*80)</f>
        <v>0</v>
      </c>
      <c r="AL18" s="18">
        <f t="shared" si="103"/>
        <v>0</v>
      </c>
      <c r="AM18" s="18">
        <f t="shared" si="103"/>
        <v>0</v>
      </c>
      <c r="AN18" s="18">
        <f t="shared" si="103"/>
        <v>0</v>
      </c>
      <c r="AO18" s="18">
        <f t="shared" si="26"/>
        <v>0</v>
      </c>
      <c r="AP18" s="18">
        <f t="shared" ref="AP18:AS18" si="104">IF(OR(L19=""),"",(L19-L18)*100)</f>
        <v>1400</v>
      </c>
      <c r="AQ18" s="18">
        <f t="shared" si="104"/>
        <v>0</v>
      </c>
      <c r="AR18" s="18">
        <f t="shared" si="104"/>
        <v>2600</v>
      </c>
      <c r="AS18" s="18">
        <f t="shared" si="104"/>
        <v>2269.99999999971</v>
      </c>
      <c r="AT18" s="18">
        <f t="shared" si="28"/>
        <v>6269.99999999971</v>
      </c>
      <c r="AU18" s="18">
        <f t="shared" ref="AU18:AY18" si="105">IF(OR(P19=""),"",(P19-P18)*1000)</f>
        <v>4000</v>
      </c>
      <c r="AV18" s="18">
        <f t="shared" si="105"/>
        <v>5800.00000000018</v>
      </c>
      <c r="AW18" s="18">
        <f t="shared" si="105"/>
        <v>0</v>
      </c>
      <c r="AX18" s="18">
        <f t="shared" si="105"/>
        <v>3599.99999999945</v>
      </c>
      <c r="AY18" s="18">
        <f t="shared" si="105"/>
        <v>0</v>
      </c>
      <c r="AZ18" s="18">
        <f t="shared" si="30"/>
        <v>13399.9999999996</v>
      </c>
      <c r="BA18" s="18">
        <f t="shared" si="31"/>
        <v>7599.99999999854</v>
      </c>
      <c r="BB18" s="18">
        <f t="shared" si="32"/>
        <v>967.999999999884</v>
      </c>
      <c r="BC18" s="18">
        <f t="shared" si="33"/>
        <v>1639.99999999971</v>
      </c>
      <c r="BD18" s="18">
        <f t="shared" si="34"/>
        <v>10453.2000000226</v>
      </c>
      <c r="BE18" s="18">
        <f t="shared" si="35"/>
        <v>47600.0000000204</v>
      </c>
      <c r="BF18" s="18">
        <f t="shared" si="36"/>
        <v>58</v>
      </c>
      <c r="BG18" s="21">
        <f t="shared" si="37"/>
        <v>0.310747556780109</v>
      </c>
      <c r="BH18" s="21">
        <f t="shared" si="38"/>
        <v>0.0474529798471087</v>
      </c>
      <c r="BI18" s="21">
        <f t="shared" si="39"/>
        <v>0</v>
      </c>
      <c r="BJ18" s="21">
        <f t="shared" si="40"/>
        <v>0.0409325038027387</v>
      </c>
      <c r="BK18" s="21">
        <f t="shared" ref="BK18:BO18" si="106">IF(OR($AD18=0),"",AZ18/$AD18)</f>
        <v>0.0874793542195708</v>
      </c>
      <c r="BL18" s="21">
        <f t="shared" si="106"/>
        <v>0.0496151561245245</v>
      </c>
      <c r="BM18" s="21">
        <f t="shared" si="106"/>
        <v>0.00631940409586094</v>
      </c>
      <c r="BN18" s="21">
        <f t="shared" si="106"/>
        <v>0.0107064284268712</v>
      </c>
      <c r="BO18" s="21">
        <f t="shared" si="106"/>
        <v>0.0682417302634344</v>
      </c>
    </row>
    <row r="19" spans="1:67">
      <c r="A19" s="9">
        <f t="shared" si="20"/>
        <v>44546</v>
      </c>
      <c r="B19" s="10">
        <v>17359.61</v>
      </c>
      <c r="C19" s="8">
        <v>96451.8</v>
      </c>
      <c r="D19" s="8">
        <v>62100.3</v>
      </c>
      <c r="E19" s="8">
        <v>59476.8</v>
      </c>
      <c r="F19" s="8">
        <v>6497.43</v>
      </c>
      <c r="G19" s="8">
        <v>116469.5</v>
      </c>
      <c r="H19" s="8">
        <v>5709.7</v>
      </c>
      <c r="I19" s="8">
        <v>2566.3</v>
      </c>
      <c r="J19" s="8">
        <v>967</v>
      </c>
      <c r="K19" s="8">
        <v>56</v>
      </c>
      <c r="L19" s="8">
        <v>94865.9</v>
      </c>
      <c r="M19" s="8">
        <v>61529.1</v>
      </c>
      <c r="N19" s="8">
        <v>76326.5</v>
      </c>
      <c r="O19" s="8">
        <v>106215.4</v>
      </c>
      <c r="P19" s="8">
        <v>5927.9</v>
      </c>
      <c r="Q19" s="8">
        <v>7795.7</v>
      </c>
      <c r="R19" s="8">
        <v>4687.8</v>
      </c>
      <c r="S19" s="8">
        <v>5488.4</v>
      </c>
      <c r="T19" s="8">
        <v>6972.8</v>
      </c>
      <c r="U19" s="8">
        <v>17999</v>
      </c>
      <c r="V19" s="8">
        <v>52072.2</v>
      </c>
      <c r="W19" s="8">
        <v>54633.6</v>
      </c>
      <c r="X19" s="8">
        <v>3824.1</v>
      </c>
      <c r="Y19" s="8">
        <v>3580.9</v>
      </c>
      <c r="Z19" s="16">
        <f t="shared" si="21"/>
        <v>62038.6</v>
      </c>
      <c r="AA19" s="8">
        <v>70735.3</v>
      </c>
      <c r="AB19" s="14">
        <v>5108</v>
      </c>
      <c r="AC19" s="7">
        <f t="shared" si="22"/>
        <v>75843.3</v>
      </c>
      <c r="AD19" s="17">
        <v>134724</v>
      </c>
      <c r="AE19" s="18">
        <f t="shared" ref="AE19:AI19" si="107">IF(OR(C20=""),"",(C20-C19)*80)</f>
        <v>3880</v>
      </c>
      <c r="AF19" s="18">
        <f t="shared" si="107"/>
        <v>0</v>
      </c>
      <c r="AG19" s="18">
        <f t="shared" si="107"/>
        <v>0</v>
      </c>
      <c r="AH19" s="18">
        <f t="shared" si="107"/>
        <v>4.79999999995925</v>
      </c>
      <c r="AI19" s="18">
        <f t="shared" si="107"/>
        <v>2200</v>
      </c>
      <c r="AJ19" s="18">
        <f t="shared" si="24"/>
        <v>6084.79999999996</v>
      </c>
      <c r="AK19" s="18">
        <f t="shared" ref="AK19:AN19" si="108">IF(OR(H20=""),"",(H20-H19)*80)</f>
        <v>0</v>
      </c>
      <c r="AL19" s="18">
        <f t="shared" si="108"/>
        <v>0</v>
      </c>
      <c r="AM19" s="18">
        <f t="shared" si="108"/>
        <v>0</v>
      </c>
      <c r="AN19" s="18">
        <f t="shared" si="108"/>
        <v>0</v>
      </c>
      <c r="AO19" s="18">
        <f t="shared" si="26"/>
        <v>0</v>
      </c>
      <c r="AP19" s="18">
        <f t="shared" ref="AP19:AS19" si="109">IF(OR(L20=""),"",(L20-L19)*100)</f>
        <v>2290.00000000087</v>
      </c>
      <c r="AQ19" s="18">
        <f t="shared" si="109"/>
        <v>0</v>
      </c>
      <c r="AR19" s="18">
        <f t="shared" si="109"/>
        <v>2180.00000000029</v>
      </c>
      <c r="AS19" s="18">
        <f t="shared" si="109"/>
        <v>1490.00000000087</v>
      </c>
      <c r="AT19" s="18">
        <f t="shared" si="28"/>
        <v>5960.00000000204</v>
      </c>
      <c r="AU19" s="18">
        <f t="shared" ref="AU19:AY19" si="110">IF(OR(P20=""),"",(P20-P19)*1000)</f>
        <v>3600.00000000036</v>
      </c>
      <c r="AV19" s="18">
        <f t="shared" si="110"/>
        <v>2300.00000000018</v>
      </c>
      <c r="AW19" s="18">
        <f t="shared" si="110"/>
        <v>0</v>
      </c>
      <c r="AX19" s="18">
        <f t="shared" si="110"/>
        <v>2900.00000000055</v>
      </c>
      <c r="AY19" s="18">
        <f t="shared" si="110"/>
        <v>0</v>
      </c>
      <c r="AZ19" s="18">
        <f t="shared" si="30"/>
        <v>8800.00000000109</v>
      </c>
      <c r="BA19" s="18">
        <f t="shared" si="31"/>
        <v>7199.99999999709</v>
      </c>
      <c r="BB19" s="18">
        <f t="shared" si="32"/>
        <v>960</v>
      </c>
      <c r="BC19" s="18">
        <f t="shared" si="33"/>
        <v>1660</v>
      </c>
      <c r="BD19" s="18">
        <f t="shared" si="34"/>
        <v>14835.1999999925</v>
      </c>
      <c r="BE19" s="18">
        <f t="shared" si="35"/>
        <v>45499.9999999927</v>
      </c>
      <c r="BF19" s="18">
        <f t="shared" si="36"/>
        <v>56.8999999999942</v>
      </c>
      <c r="BG19" s="21">
        <f t="shared" si="37"/>
        <v>0.337727502152495</v>
      </c>
      <c r="BH19" s="21">
        <f t="shared" si="38"/>
        <v>0.0451649297823696</v>
      </c>
      <c r="BI19" s="21">
        <f t="shared" si="39"/>
        <v>0</v>
      </c>
      <c r="BJ19" s="21">
        <f t="shared" si="40"/>
        <v>0.0442385914907666</v>
      </c>
      <c r="BK19" s="21">
        <f t="shared" ref="BK19:BO19" si="111">IF(OR($AD19=0),"",AZ19/$AD19)</f>
        <v>0.0653187256910505</v>
      </c>
      <c r="BL19" s="21">
        <f t="shared" si="111"/>
        <v>0.0534425937471949</v>
      </c>
      <c r="BM19" s="21">
        <f t="shared" si="111"/>
        <v>0.00712567916629554</v>
      </c>
      <c r="BN19" s="21">
        <f t="shared" si="111"/>
        <v>0.0123214868917194</v>
      </c>
      <c r="BO19" s="21">
        <f t="shared" si="111"/>
        <v>0.110115495383098</v>
      </c>
    </row>
    <row r="20" spans="1:67">
      <c r="A20" s="9">
        <f t="shared" si="20"/>
        <v>44547</v>
      </c>
      <c r="B20" s="10">
        <v>17364.16</v>
      </c>
      <c r="C20" s="8">
        <v>96500.3</v>
      </c>
      <c r="D20" s="8">
        <v>62100.3</v>
      </c>
      <c r="E20" s="8">
        <v>59476.8</v>
      </c>
      <c r="F20" s="8">
        <v>6497.49</v>
      </c>
      <c r="G20" s="8">
        <v>116497</v>
      </c>
      <c r="H20" s="8">
        <v>5709.7</v>
      </c>
      <c r="I20" s="8">
        <v>2566.3</v>
      </c>
      <c r="J20" s="8">
        <v>967</v>
      </c>
      <c r="K20" s="8">
        <v>56</v>
      </c>
      <c r="L20" s="8">
        <v>94888.8</v>
      </c>
      <c r="M20" s="8">
        <v>61529.1</v>
      </c>
      <c r="N20" s="8">
        <v>76348.3</v>
      </c>
      <c r="O20" s="8">
        <v>106230.3</v>
      </c>
      <c r="P20" s="8">
        <v>5931.5</v>
      </c>
      <c r="Q20" s="8">
        <v>7798</v>
      </c>
      <c r="R20" s="8">
        <v>4687.8</v>
      </c>
      <c r="S20" s="8">
        <v>5491.3</v>
      </c>
      <c r="T20" s="8">
        <v>6972.8</v>
      </c>
      <c r="U20" s="8">
        <v>18002.6</v>
      </c>
      <c r="V20" s="8">
        <v>52084.2</v>
      </c>
      <c r="W20" s="8">
        <v>54651.2</v>
      </c>
      <c r="X20" s="8">
        <v>3835.9</v>
      </c>
      <c r="Y20" s="8">
        <v>3593</v>
      </c>
      <c r="Z20" s="16">
        <f t="shared" si="21"/>
        <v>62080.1</v>
      </c>
      <c r="AA20" s="8">
        <v>70783.2</v>
      </c>
      <c r="AB20" s="14">
        <v>5117</v>
      </c>
      <c r="AC20" s="7">
        <f t="shared" si="22"/>
        <v>75900.2</v>
      </c>
      <c r="AD20" s="17">
        <v>156297</v>
      </c>
      <c r="AE20" s="18">
        <f t="shared" ref="AE20:AI20" si="112">IF(OR(C21=""),"",(C21-C20)*80)</f>
        <v>3727.9999999993</v>
      </c>
      <c r="AF20" s="18">
        <f t="shared" si="112"/>
        <v>2135.99999999977</v>
      </c>
      <c r="AG20" s="18">
        <f t="shared" si="112"/>
        <v>0</v>
      </c>
      <c r="AH20" s="18">
        <f t="shared" si="112"/>
        <v>4.00000000001455</v>
      </c>
      <c r="AI20" s="18">
        <f t="shared" si="112"/>
        <v>1495.99999999977</v>
      </c>
      <c r="AJ20" s="18">
        <f t="shared" si="24"/>
        <v>7363.99999999885</v>
      </c>
      <c r="AK20" s="18">
        <f t="shared" ref="AK20:AN20" si="113">IF(OR(H21=""),"",(H21-H20)*80)</f>
        <v>0</v>
      </c>
      <c r="AL20" s="18">
        <f t="shared" si="113"/>
        <v>0</v>
      </c>
      <c r="AM20" s="18">
        <f t="shared" si="113"/>
        <v>0</v>
      </c>
      <c r="AN20" s="18">
        <f t="shared" si="113"/>
        <v>0</v>
      </c>
      <c r="AO20" s="18">
        <f t="shared" si="26"/>
        <v>0</v>
      </c>
      <c r="AP20" s="18">
        <f t="shared" ref="AP20:AS20" si="114">IF(OR(L21=""),"",(L21-L20)*100)</f>
        <v>1259.99999999913</v>
      </c>
      <c r="AQ20" s="18">
        <f t="shared" si="114"/>
        <v>0</v>
      </c>
      <c r="AR20" s="18">
        <f t="shared" si="114"/>
        <v>2869.99999999971</v>
      </c>
      <c r="AS20" s="18">
        <f t="shared" si="114"/>
        <v>2300</v>
      </c>
      <c r="AT20" s="18">
        <f t="shared" si="28"/>
        <v>6429.99999999884</v>
      </c>
      <c r="AU20" s="18">
        <f t="shared" ref="AU20:AY20" si="115">IF(OR(P21=""),"",(P21-P20)*1000)</f>
        <v>3800.00000000018</v>
      </c>
      <c r="AV20" s="18">
        <f t="shared" si="115"/>
        <v>0</v>
      </c>
      <c r="AW20" s="18">
        <f t="shared" si="115"/>
        <v>0</v>
      </c>
      <c r="AX20" s="18">
        <f t="shared" si="115"/>
        <v>5300.00000000018</v>
      </c>
      <c r="AY20" s="18">
        <f t="shared" si="115"/>
        <v>699.999999999818</v>
      </c>
      <c r="AZ20" s="18">
        <f t="shared" si="30"/>
        <v>9800.00000000018</v>
      </c>
      <c r="BA20" s="18">
        <f t="shared" si="31"/>
        <v>7400.00000000146</v>
      </c>
      <c r="BB20" s="18">
        <f t="shared" si="32"/>
        <v>1000</v>
      </c>
      <c r="BC20" s="18">
        <f t="shared" si="33"/>
        <v>1600.00000000029</v>
      </c>
      <c r="BD20" s="18">
        <f t="shared" si="34"/>
        <v>15805.9999999873</v>
      </c>
      <c r="BE20" s="18">
        <f t="shared" si="35"/>
        <v>49399.9999999869</v>
      </c>
      <c r="BF20" s="18">
        <f t="shared" si="36"/>
        <v>61.4000000000087</v>
      </c>
      <c r="BG20" s="21">
        <f t="shared" si="37"/>
        <v>0.316064927669673</v>
      </c>
      <c r="BH20" s="21">
        <f t="shared" si="38"/>
        <v>0.0471154276793467</v>
      </c>
      <c r="BI20" s="21">
        <f t="shared" si="39"/>
        <v>0</v>
      </c>
      <c r="BJ20" s="21">
        <f t="shared" si="40"/>
        <v>0.0411396252007322</v>
      </c>
      <c r="BK20" s="21">
        <f t="shared" ref="BK20:BO20" si="116">IF(OR($AD20=0),"",AZ20/$AD20)</f>
        <v>0.0627011394972404</v>
      </c>
      <c r="BL20" s="21">
        <f t="shared" si="116"/>
        <v>0.0473457583958838</v>
      </c>
      <c r="BM20" s="21">
        <f t="shared" si="116"/>
        <v>0.00639807545890196</v>
      </c>
      <c r="BN20" s="21">
        <f t="shared" si="116"/>
        <v>0.010236920734245</v>
      </c>
      <c r="BO20" s="21">
        <f t="shared" si="116"/>
        <v>0.101127980703323</v>
      </c>
    </row>
    <row r="21" spans="1:67">
      <c r="A21" s="9">
        <f t="shared" si="20"/>
        <v>44548</v>
      </c>
      <c r="B21" s="10">
        <v>17369.1</v>
      </c>
      <c r="C21" s="8">
        <v>96546.9</v>
      </c>
      <c r="D21" s="8">
        <v>62127</v>
      </c>
      <c r="E21" s="8">
        <v>59476.8</v>
      </c>
      <c r="F21" s="8">
        <v>6497.54</v>
      </c>
      <c r="G21" s="8">
        <v>116515.7</v>
      </c>
      <c r="H21" s="8">
        <v>5709.7</v>
      </c>
      <c r="I21" s="8">
        <v>2566.3</v>
      </c>
      <c r="J21" s="8">
        <v>967</v>
      </c>
      <c r="K21" s="8">
        <v>56</v>
      </c>
      <c r="L21" s="8">
        <v>94901.4</v>
      </c>
      <c r="M21" s="8">
        <v>61529.1</v>
      </c>
      <c r="N21" s="8">
        <v>76377</v>
      </c>
      <c r="O21" s="8">
        <v>106253.3</v>
      </c>
      <c r="P21" s="8">
        <v>5935.3</v>
      </c>
      <c r="Q21" s="8">
        <v>7798</v>
      </c>
      <c r="R21" s="8">
        <v>4687.8</v>
      </c>
      <c r="S21" s="8">
        <v>5496.6</v>
      </c>
      <c r="T21" s="8">
        <v>6973.5</v>
      </c>
      <c r="U21" s="8">
        <v>18006.3</v>
      </c>
      <c r="V21" s="8">
        <v>52096.7</v>
      </c>
      <c r="W21" s="8">
        <v>54668</v>
      </c>
      <c r="X21" s="8">
        <v>3847.3</v>
      </c>
      <c r="Y21" s="8">
        <v>3604.8</v>
      </c>
      <c r="Z21" s="16">
        <f t="shared" si="21"/>
        <v>62120.1</v>
      </c>
      <c r="AA21" s="8">
        <v>70830.6</v>
      </c>
      <c r="AB21" s="14">
        <v>5131</v>
      </c>
      <c r="AC21" s="7">
        <f t="shared" si="22"/>
        <v>75961.6</v>
      </c>
      <c r="AD21" s="17">
        <v>141441</v>
      </c>
      <c r="AE21" s="18">
        <f t="shared" ref="AE21:AI21" si="117">IF(OR(C22=""),"",(C22-C21)*80)</f>
        <v>3744.00000000023</v>
      </c>
      <c r="AF21" s="18">
        <f t="shared" si="117"/>
        <v>447.999999999884</v>
      </c>
      <c r="AG21" s="18">
        <f t="shared" si="117"/>
        <v>0</v>
      </c>
      <c r="AH21" s="18">
        <f t="shared" si="117"/>
        <v>4.80000000003201</v>
      </c>
      <c r="AI21" s="18">
        <f t="shared" si="117"/>
        <v>2152.0000000007</v>
      </c>
      <c r="AJ21" s="18">
        <f t="shared" si="24"/>
        <v>6348.80000000085</v>
      </c>
      <c r="AK21" s="18">
        <f t="shared" ref="AK21:AN21" si="118">IF(OR(H22=""),"",(H22-H21)*80)</f>
        <v>0</v>
      </c>
      <c r="AL21" s="18">
        <f t="shared" si="118"/>
        <v>0</v>
      </c>
      <c r="AM21" s="18">
        <f t="shared" si="118"/>
        <v>0</v>
      </c>
      <c r="AN21" s="18">
        <f t="shared" si="118"/>
        <v>0</v>
      </c>
      <c r="AO21" s="18">
        <f t="shared" si="26"/>
        <v>0</v>
      </c>
      <c r="AP21" s="18">
        <f t="shared" ref="AP21:AS21" si="119">IF(OR(L22=""),"",(L22-L21)*100)</f>
        <v>1380.00000000029</v>
      </c>
      <c r="AQ21" s="18">
        <f t="shared" si="119"/>
        <v>0</v>
      </c>
      <c r="AR21" s="18">
        <f t="shared" si="119"/>
        <v>2619.99999999971</v>
      </c>
      <c r="AS21" s="18">
        <f t="shared" si="119"/>
        <v>1959.99999999913</v>
      </c>
      <c r="AT21" s="18">
        <f t="shared" si="28"/>
        <v>5959.99999999913</v>
      </c>
      <c r="AU21" s="18">
        <f t="shared" ref="AU21:AY21" si="120">IF(OR(P22=""),"",(P22-P21)*1000)</f>
        <v>3699.99999999982</v>
      </c>
      <c r="AV21" s="18">
        <f t="shared" si="120"/>
        <v>6500</v>
      </c>
      <c r="AW21" s="18">
        <f t="shared" si="120"/>
        <v>0</v>
      </c>
      <c r="AX21" s="18">
        <f t="shared" si="120"/>
        <v>799.999999999272</v>
      </c>
      <c r="AY21" s="18">
        <f t="shared" si="120"/>
        <v>0</v>
      </c>
      <c r="AZ21" s="18">
        <f t="shared" si="30"/>
        <v>10999.9999999991</v>
      </c>
      <c r="BA21" s="18">
        <f t="shared" si="31"/>
        <v>6800.00000000291</v>
      </c>
      <c r="BB21" s="18">
        <f t="shared" si="32"/>
        <v>984.000000000233</v>
      </c>
      <c r="BC21" s="18">
        <f t="shared" si="33"/>
        <v>1667.99999999988</v>
      </c>
      <c r="BD21" s="18">
        <f t="shared" si="34"/>
        <v>13739.2000000125</v>
      </c>
      <c r="BE21" s="18">
        <f t="shared" si="35"/>
        <v>46500.0000000146</v>
      </c>
      <c r="BF21" s="18">
        <f t="shared" si="36"/>
        <v>56.5</v>
      </c>
      <c r="BG21" s="21">
        <f t="shared" si="37"/>
        <v>0.328758987846625</v>
      </c>
      <c r="BH21" s="21">
        <f t="shared" si="38"/>
        <v>0.0448865604739845</v>
      </c>
      <c r="BI21" s="21">
        <f t="shared" si="39"/>
        <v>0</v>
      </c>
      <c r="BJ21" s="21">
        <f t="shared" si="40"/>
        <v>0.0421377111304298</v>
      </c>
      <c r="BK21" s="21">
        <f t="shared" ref="BK21:BO21" si="121">IF(OR($AD21=0),"",AZ21/$AD21)</f>
        <v>0.0777709433615365</v>
      </c>
      <c r="BL21" s="21">
        <f t="shared" si="121"/>
        <v>0.0480765831689744</v>
      </c>
      <c r="BM21" s="21">
        <f t="shared" si="121"/>
        <v>0.00695696438797967</v>
      </c>
      <c r="BN21" s="21">
        <f t="shared" si="121"/>
        <v>0.0117929030479131</v>
      </c>
      <c r="BO21" s="21">
        <f t="shared" si="121"/>
        <v>0.0971373222758073</v>
      </c>
    </row>
    <row r="22" spans="1:67">
      <c r="A22" s="9">
        <f t="shared" si="20"/>
        <v>44549</v>
      </c>
      <c r="B22" s="10">
        <v>17373.75</v>
      </c>
      <c r="C22" s="8">
        <v>96593.7</v>
      </c>
      <c r="D22" s="8">
        <v>62132.6</v>
      </c>
      <c r="E22" s="8">
        <v>59476.8</v>
      </c>
      <c r="F22" s="8">
        <v>6497.6</v>
      </c>
      <c r="G22" s="8">
        <v>116542.6</v>
      </c>
      <c r="H22" s="8">
        <v>5709.7</v>
      </c>
      <c r="I22" s="8">
        <v>2566.3</v>
      </c>
      <c r="J22" s="8">
        <v>967</v>
      </c>
      <c r="K22" s="8">
        <v>56</v>
      </c>
      <c r="L22" s="8">
        <v>94915.2</v>
      </c>
      <c r="M22" s="8">
        <v>61529.1</v>
      </c>
      <c r="N22" s="8">
        <v>76403.2</v>
      </c>
      <c r="O22" s="8">
        <v>106272.9</v>
      </c>
      <c r="P22" s="8">
        <v>5939</v>
      </c>
      <c r="Q22" s="8">
        <v>7804.5</v>
      </c>
      <c r="R22" s="8">
        <v>4687.8</v>
      </c>
      <c r="S22" s="8">
        <v>5497.4</v>
      </c>
      <c r="T22" s="8">
        <v>6973.5</v>
      </c>
      <c r="U22" s="8">
        <v>18009.7</v>
      </c>
      <c r="V22" s="8">
        <v>52109</v>
      </c>
      <c r="W22" s="8">
        <v>54686.5</v>
      </c>
      <c r="X22" s="8">
        <v>3858.8</v>
      </c>
      <c r="Y22" s="8">
        <v>3616.5</v>
      </c>
      <c r="Z22" s="16">
        <f t="shared" si="21"/>
        <v>62161.8</v>
      </c>
      <c r="AA22" s="8">
        <v>70878.1</v>
      </c>
      <c r="AB22" s="14">
        <v>5140</v>
      </c>
      <c r="AC22" s="7">
        <f t="shared" si="22"/>
        <v>76018.1</v>
      </c>
      <c r="AD22" s="17">
        <v>145698</v>
      </c>
      <c r="AE22" s="18">
        <f t="shared" ref="AE22:AI22" si="122">IF(OR(C23=""),"",(C23-C22)*80)</f>
        <v>3800</v>
      </c>
      <c r="AF22" s="18">
        <f t="shared" si="122"/>
        <v>136.000000000349</v>
      </c>
      <c r="AG22" s="18">
        <f t="shared" si="122"/>
        <v>0</v>
      </c>
      <c r="AH22" s="18">
        <f t="shared" si="122"/>
        <v>3.99999999994179</v>
      </c>
      <c r="AI22" s="18">
        <f t="shared" si="122"/>
        <v>2471.99999999953</v>
      </c>
      <c r="AJ22" s="18">
        <f t="shared" si="24"/>
        <v>6411.99999999983</v>
      </c>
      <c r="AK22" s="18">
        <f t="shared" ref="AK22:AN22" si="123">IF(OR(H23=""),"",(H23-H22)*80)</f>
        <v>0</v>
      </c>
      <c r="AL22" s="18">
        <f t="shared" si="123"/>
        <v>0</v>
      </c>
      <c r="AM22" s="18">
        <f t="shared" si="123"/>
        <v>0</v>
      </c>
      <c r="AN22" s="18">
        <f t="shared" si="123"/>
        <v>0</v>
      </c>
      <c r="AO22" s="18">
        <f t="shared" si="26"/>
        <v>0</v>
      </c>
      <c r="AP22" s="18">
        <f t="shared" ref="AP22:AS22" si="124">IF(OR(L23=""),"",(L23-L22)*100)</f>
        <v>1060.00000000058</v>
      </c>
      <c r="AQ22" s="18">
        <f t="shared" si="124"/>
        <v>0</v>
      </c>
      <c r="AR22" s="18">
        <f t="shared" si="124"/>
        <v>2860.00000000058</v>
      </c>
      <c r="AS22" s="18">
        <f t="shared" si="124"/>
        <v>2270.00000000116</v>
      </c>
      <c r="AT22" s="18">
        <f t="shared" si="28"/>
        <v>6190.00000000233</v>
      </c>
      <c r="AU22" s="18">
        <f t="shared" ref="AU22:AY22" si="125">IF(OR(P23=""),"",(P23-P22)*1000)</f>
        <v>3699.99999999982</v>
      </c>
      <c r="AV22" s="18">
        <f t="shared" si="125"/>
        <v>7699.99999999982</v>
      </c>
      <c r="AW22" s="18">
        <f t="shared" si="125"/>
        <v>0</v>
      </c>
      <c r="AX22" s="18">
        <f t="shared" si="125"/>
        <v>0</v>
      </c>
      <c r="AY22" s="18">
        <f t="shared" si="125"/>
        <v>0</v>
      </c>
      <c r="AZ22" s="18">
        <f t="shared" si="30"/>
        <v>11399.9999999996</v>
      </c>
      <c r="BA22" s="18">
        <f t="shared" si="31"/>
        <v>6199.99999999709</v>
      </c>
      <c r="BB22" s="18">
        <f t="shared" si="32"/>
        <v>1072.00000000012</v>
      </c>
      <c r="BC22" s="18">
        <f t="shared" si="33"/>
        <v>1636.00000000006</v>
      </c>
      <c r="BD22" s="18">
        <f t="shared" si="34"/>
        <v>13689.9999999995</v>
      </c>
      <c r="BE22" s="18">
        <f t="shared" si="35"/>
        <v>46599.9999999985</v>
      </c>
      <c r="BF22" s="18">
        <f t="shared" si="36"/>
        <v>60.5999999999913</v>
      </c>
      <c r="BG22" s="21">
        <f t="shared" si="37"/>
        <v>0.319839668355081</v>
      </c>
      <c r="BH22" s="21">
        <f t="shared" si="38"/>
        <v>0.0440088402037078</v>
      </c>
      <c r="BI22" s="21">
        <f t="shared" si="39"/>
        <v>0</v>
      </c>
      <c r="BJ22" s="21">
        <f t="shared" si="40"/>
        <v>0.0424851404961106</v>
      </c>
      <c r="BK22" s="21">
        <f t="shared" ref="BK22:BO22" si="126">IF(OR($AD22=0),"",AZ22/$AD22)</f>
        <v>0.0782440390396549</v>
      </c>
      <c r="BL22" s="21">
        <f t="shared" si="126"/>
        <v>0.0425537756180393</v>
      </c>
      <c r="BM22" s="21">
        <f t="shared" si="126"/>
        <v>0.00735768507460718</v>
      </c>
      <c r="BN22" s="21">
        <f t="shared" si="126"/>
        <v>0.0112287059534109</v>
      </c>
      <c r="BO22" s="21">
        <f t="shared" si="126"/>
        <v>0.09396148196955</v>
      </c>
    </row>
    <row r="23" spans="1:67">
      <c r="A23" s="9">
        <f t="shared" si="20"/>
        <v>44550</v>
      </c>
      <c r="B23" s="10">
        <v>17378.41</v>
      </c>
      <c r="C23" s="8">
        <v>96641.2</v>
      </c>
      <c r="D23" s="8">
        <v>62134.3</v>
      </c>
      <c r="E23" s="8">
        <v>59476.8</v>
      </c>
      <c r="F23" s="8">
        <v>6497.65</v>
      </c>
      <c r="G23" s="8">
        <v>116573.5</v>
      </c>
      <c r="H23" s="8">
        <v>5709.7</v>
      </c>
      <c r="I23" s="8">
        <v>2566.3</v>
      </c>
      <c r="J23" s="8">
        <v>967</v>
      </c>
      <c r="K23" s="8">
        <v>56</v>
      </c>
      <c r="L23" s="8">
        <v>94925.8</v>
      </c>
      <c r="M23" s="8">
        <v>61529.1</v>
      </c>
      <c r="N23" s="8">
        <v>76431.8</v>
      </c>
      <c r="O23" s="8">
        <v>106295.6</v>
      </c>
      <c r="P23" s="8">
        <v>5942.7</v>
      </c>
      <c r="Q23" s="8">
        <v>7812.2</v>
      </c>
      <c r="R23" s="8">
        <v>4687.8</v>
      </c>
      <c r="S23" s="8">
        <v>5497.4</v>
      </c>
      <c r="T23" s="8">
        <v>6973.5</v>
      </c>
      <c r="U23" s="8">
        <v>18012.8</v>
      </c>
      <c r="V23" s="8">
        <v>52122.4</v>
      </c>
      <c r="W23" s="8">
        <v>54704.1</v>
      </c>
      <c r="X23" s="8">
        <v>3870.3</v>
      </c>
      <c r="Y23" s="8">
        <v>3628.3</v>
      </c>
      <c r="Z23" s="16">
        <f t="shared" si="21"/>
        <v>62202.7</v>
      </c>
      <c r="AA23" s="8">
        <v>70928.7</v>
      </c>
      <c r="AB23" s="14">
        <v>5150</v>
      </c>
      <c r="AC23" s="7">
        <f t="shared" si="22"/>
        <v>76078.7</v>
      </c>
      <c r="AD23" s="17">
        <v>133481</v>
      </c>
      <c r="AE23" s="18">
        <f t="shared" ref="AE23:AI23" si="127">IF(OR(C24=""),"",(C24-C23)*80)</f>
        <v>3808.00000000047</v>
      </c>
      <c r="AF23" s="18">
        <f t="shared" si="127"/>
        <v>600</v>
      </c>
      <c r="AG23" s="18">
        <f t="shared" si="127"/>
        <v>0</v>
      </c>
      <c r="AH23" s="18">
        <f t="shared" si="127"/>
        <v>4.80000000003201</v>
      </c>
      <c r="AI23" s="18">
        <f t="shared" si="127"/>
        <v>2080</v>
      </c>
      <c r="AJ23" s="18">
        <f t="shared" si="24"/>
        <v>6492.8000000005</v>
      </c>
      <c r="AK23" s="18">
        <f t="shared" ref="AK23:AN23" si="128">IF(OR(H24=""),"",(H24-H23)*80)</f>
        <v>0</v>
      </c>
      <c r="AL23" s="18">
        <f t="shared" si="128"/>
        <v>0</v>
      </c>
      <c r="AM23" s="18">
        <f t="shared" si="128"/>
        <v>0</v>
      </c>
      <c r="AN23" s="18">
        <f t="shared" si="128"/>
        <v>0</v>
      </c>
      <c r="AO23" s="18">
        <f t="shared" si="26"/>
        <v>0</v>
      </c>
      <c r="AP23" s="18">
        <f t="shared" ref="AP23:AS23" si="129">IF(OR(L24=""),"",(L24-L23)*100)</f>
        <v>1389.99999999942</v>
      </c>
      <c r="AQ23" s="18">
        <f t="shared" si="129"/>
        <v>0</v>
      </c>
      <c r="AR23" s="18">
        <f t="shared" si="129"/>
        <v>2630.00000000029</v>
      </c>
      <c r="AS23" s="18">
        <f t="shared" si="129"/>
        <v>1839.99999999942</v>
      </c>
      <c r="AT23" s="18">
        <f t="shared" si="28"/>
        <v>5859.99999999913</v>
      </c>
      <c r="AU23" s="18">
        <f t="shared" ref="AU23:AY23" si="130">IF(OR(P24=""),"",(P24-P23)*1000)</f>
        <v>199.999999999818</v>
      </c>
      <c r="AV23" s="18">
        <f t="shared" si="130"/>
        <v>7199.99999999982</v>
      </c>
      <c r="AW23" s="18">
        <f t="shared" si="130"/>
        <v>0</v>
      </c>
      <c r="AX23" s="18">
        <f t="shared" si="130"/>
        <v>5100.00000000036</v>
      </c>
      <c r="AY23" s="18">
        <f t="shared" si="130"/>
        <v>0</v>
      </c>
      <c r="AZ23" s="18">
        <f t="shared" si="30"/>
        <v>12500</v>
      </c>
      <c r="BA23" s="18">
        <f t="shared" si="31"/>
        <v>7000</v>
      </c>
      <c r="BB23" s="18">
        <f t="shared" si="32"/>
        <v>1032.00000000012</v>
      </c>
      <c r="BC23" s="18">
        <f t="shared" si="33"/>
        <v>1615.99999999977</v>
      </c>
      <c r="BD23" s="18">
        <f t="shared" si="34"/>
        <v>12799.1999999961</v>
      </c>
      <c r="BE23" s="18">
        <f t="shared" si="35"/>
        <v>47299.9999999956</v>
      </c>
      <c r="BF23" s="18">
        <f t="shared" si="36"/>
        <v>56.3000000000029</v>
      </c>
      <c r="BG23" s="21">
        <f t="shared" si="37"/>
        <v>0.354357549014434</v>
      </c>
      <c r="BH23" s="21">
        <f t="shared" si="38"/>
        <v>0.0486421288423109</v>
      </c>
      <c r="BI23" s="21">
        <f t="shared" si="39"/>
        <v>0</v>
      </c>
      <c r="BJ23" s="21">
        <f t="shared" si="40"/>
        <v>0.0439013792225045</v>
      </c>
      <c r="BK23" s="21">
        <f t="shared" ref="BK23:BO23" si="131">IF(OR($AD23=0),"",AZ23/$AD23)</f>
        <v>0.0936462867374383</v>
      </c>
      <c r="BL23" s="21">
        <f t="shared" si="131"/>
        <v>0.0524419205729654</v>
      </c>
      <c r="BM23" s="21">
        <f t="shared" si="131"/>
        <v>0.00773143743304378</v>
      </c>
      <c r="BN23" s="21">
        <f t="shared" si="131"/>
        <v>0.0121065919494143</v>
      </c>
      <c r="BO23" s="21">
        <f t="shared" si="131"/>
        <v>0.0958878042567566</v>
      </c>
    </row>
    <row r="24" spans="1:67">
      <c r="A24" s="9">
        <f t="shared" si="20"/>
        <v>44551</v>
      </c>
      <c r="B24" s="10">
        <v>17383.14</v>
      </c>
      <c r="C24" s="8">
        <v>96688.8</v>
      </c>
      <c r="D24" s="8">
        <v>62141.8</v>
      </c>
      <c r="E24" s="8">
        <v>59476.8</v>
      </c>
      <c r="F24" s="8">
        <v>6497.71</v>
      </c>
      <c r="G24" s="8">
        <v>116599.5</v>
      </c>
      <c r="H24" s="8">
        <v>5709.7</v>
      </c>
      <c r="I24" s="8">
        <v>2566.3</v>
      </c>
      <c r="J24" s="8">
        <v>967</v>
      </c>
      <c r="K24" s="8">
        <v>56</v>
      </c>
      <c r="L24" s="8">
        <v>94939.7</v>
      </c>
      <c r="M24" s="8">
        <v>61529.1</v>
      </c>
      <c r="N24" s="8">
        <v>76458.1</v>
      </c>
      <c r="O24" s="8">
        <v>106314</v>
      </c>
      <c r="P24" s="8">
        <v>5942.9</v>
      </c>
      <c r="Q24" s="8">
        <v>7819.4</v>
      </c>
      <c r="R24" s="8">
        <v>4687.8</v>
      </c>
      <c r="S24" s="8">
        <v>5502.5</v>
      </c>
      <c r="T24" s="8">
        <v>6973.5</v>
      </c>
      <c r="U24" s="8">
        <v>18016.3</v>
      </c>
      <c r="V24" s="8">
        <v>52135.3</v>
      </c>
      <c r="W24" s="8">
        <v>54721.3</v>
      </c>
      <c r="X24" s="8">
        <v>3881.7</v>
      </c>
      <c r="Y24" s="8">
        <v>3640.1</v>
      </c>
      <c r="Z24" s="16">
        <f t="shared" si="21"/>
        <v>62243.1</v>
      </c>
      <c r="AA24" s="8">
        <v>70976</v>
      </c>
      <c r="AB24" s="14">
        <v>5159</v>
      </c>
      <c r="AC24" s="7">
        <f t="shared" si="22"/>
        <v>76135</v>
      </c>
      <c r="AD24" s="17">
        <v>125658</v>
      </c>
      <c r="AE24" s="18">
        <f t="shared" ref="AE24:AI24" si="132">IF(OR(C25=""),"",(C25-C24)*80)</f>
        <v>3824.00000000023</v>
      </c>
      <c r="AF24" s="18">
        <f t="shared" si="132"/>
        <v>0</v>
      </c>
      <c r="AG24" s="18">
        <f t="shared" si="132"/>
        <v>0</v>
      </c>
      <c r="AH24" s="18">
        <f t="shared" si="132"/>
        <v>4.80000000003201</v>
      </c>
      <c r="AI24" s="18">
        <f t="shared" si="132"/>
        <v>1735.99999999977</v>
      </c>
      <c r="AJ24" s="18">
        <f t="shared" si="24"/>
        <v>5564.80000000003</v>
      </c>
      <c r="AK24" s="18">
        <f t="shared" ref="AK24:AN24" si="133">IF(OR(H25=""),"",(H25-H24)*80)</f>
        <v>0</v>
      </c>
      <c r="AL24" s="18">
        <f t="shared" si="133"/>
        <v>0</v>
      </c>
      <c r="AM24" s="18">
        <f t="shared" si="133"/>
        <v>0</v>
      </c>
      <c r="AN24" s="18">
        <f t="shared" si="133"/>
        <v>0</v>
      </c>
      <c r="AO24" s="18">
        <f t="shared" si="26"/>
        <v>0</v>
      </c>
      <c r="AP24" s="18">
        <f t="shared" ref="AP24:AS24" si="134">IF(OR(L25=""),"",(L25-L24)*100)</f>
        <v>2590.00000000087</v>
      </c>
      <c r="AQ24" s="18">
        <f t="shared" si="134"/>
        <v>0</v>
      </c>
      <c r="AR24" s="18">
        <f t="shared" si="134"/>
        <v>2169.99999999971</v>
      </c>
      <c r="AS24" s="18">
        <f t="shared" si="134"/>
        <v>600</v>
      </c>
      <c r="AT24" s="18">
        <f t="shared" si="28"/>
        <v>5360.00000000058</v>
      </c>
      <c r="AU24" s="18">
        <f t="shared" ref="AU24:AY24" si="135">IF(OR(P25=""),"",(P25-P24)*1000)</f>
        <v>3000</v>
      </c>
      <c r="AV24" s="18">
        <f t="shared" si="135"/>
        <v>5700.00000000073</v>
      </c>
      <c r="AW24" s="18">
        <f t="shared" si="135"/>
        <v>0</v>
      </c>
      <c r="AX24" s="18">
        <f t="shared" si="135"/>
        <v>1500</v>
      </c>
      <c r="AY24" s="18">
        <f t="shared" si="135"/>
        <v>0</v>
      </c>
      <c r="AZ24" s="18">
        <f t="shared" si="30"/>
        <v>10200.0000000007</v>
      </c>
      <c r="BA24" s="18">
        <f t="shared" si="31"/>
        <v>5400.00000000146</v>
      </c>
      <c r="BB24" s="18">
        <f t="shared" si="32"/>
        <v>607.999999999884</v>
      </c>
      <c r="BC24" s="18">
        <f t="shared" si="33"/>
        <v>1604.00000000023</v>
      </c>
      <c r="BD24" s="18">
        <f t="shared" si="34"/>
        <v>12163.1999999985</v>
      </c>
      <c r="BE24" s="18">
        <f t="shared" si="35"/>
        <v>40900.0000000015</v>
      </c>
      <c r="BF24" s="18">
        <f t="shared" si="36"/>
        <v>63</v>
      </c>
      <c r="BG24" s="21">
        <f t="shared" si="37"/>
        <v>0.325486638335812</v>
      </c>
      <c r="BH24" s="21">
        <f t="shared" si="38"/>
        <v>0.0442852822741093</v>
      </c>
      <c r="BI24" s="21">
        <f t="shared" si="39"/>
        <v>0</v>
      </c>
      <c r="BJ24" s="21">
        <f t="shared" si="40"/>
        <v>0.0426554616498797</v>
      </c>
      <c r="BK24" s="21">
        <f t="shared" ref="BK24:BO24" si="136">IF(OR($AD24=0),"",AZ24/$AD24)</f>
        <v>0.0811727068710367</v>
      </c>
      <c r="BL24" s="21">
        <f t="shared" si="136"/>
        <v>0.0429737859905573</v>
      </c>
      <c r="BM24" s="21">
        <f t="shared" si="136"/>
        <v>0.00483852997819386</v>
      </c>
      <c r="BN24" s="21">
        <f t="shared" si="136"/>
        <v>0.0127648060608973</v>
      </c>
      <c r="BO24" s="21">
        <f t="shared" si="136"/>
        <v>0.0967960655111377</v>
      </c>
    </row>
    <row r="25" spans="1:67">
      <c r="A25" s="9">
        <f t="shared" si="20"/>
        <v>44552</v>
      </c>
      <c r="B25" s="10">
        <v>17387.23</v>
      </c>
      <c r="C25" s="8">
        <v>96736.6</v>
      </c>
      <c r="D25" s="8">
        <v>62141.8</v>
      </c>
      <c r="E25" s="8">
        <v>59476.8</v>
      </c>
      <c r="F25" s="8">
        <v>6497.77</v>
      </c>
      <c r="G25" s="8">
        <v>116621.2</v>
      </c>
      <c r="H25" s="8">
        <v>5709.7</v>
      </c>
      <c r="I25" s="8">
        <v>2566.3</v>
      </c>
      <c r="J25" s="8">
        <v>967</v>
      </c>
      <c r="K25" s="8">
        <v>56</v>
      </c>
      <c r="L25" s="8">
        <v>94965.6</v>
      </c>
      <c r="M25" s="8">
        <v>61529.1</v>
      </c>
      <c r="N25" s="8">
        <v>76479.8</v>
      </c>
      <c r="O25" s="8">
        <v>106320</v>
      </c>
      <c r="P25" s="8">
        <v>5945.9</v>
      </c>
      <c r="Q25" s="8">
        <v>7825.1</v>
      </c>
      <c r="R25" s="8">
        <v>4687.8</v>
      </c>
      <c r="S25" s="8">
        <v>5504</v>
      </c>
      <c r="T25" s="8">
        <v>6973.5</v>
      </c>
      <c r="U25" s="8">
        <v>18019</v>
      </c>
      <c r="V25" s="8">
        <v>52142.9</v>
      </c>
      <c r="W25" s="8">
        <v>54738.9</v>
      </c>
      <c r="X25" s="8">
        <v>3892.9</v>
      </c>
      <c r="Y25" s="8">
        <v>3651.4</v>
      </c>
      <c r="Z25" s="16">
        <f t="shared" si="21"/>
        <v>62283.2</v>
      </c>
      <c r="AA25" s="8">
        <v>71024</v>
      </c>
      <c r="AB25" s="14">
        <v>5174</v>
      </c>
      <c r="AC25" s="7">
        <f t="shared" si="22"/>
        <v>76198</v>
      </c>
      <c r="AD25" s="17">
        <v>131445</v>
      </c>
      <c r="AE25" s="18">
        <f t="shared" ref="AE25:AI25" si="137">IF(OR(C26=""),"",(C26-C25)*80)</f>
        <v>3840</v>
      </c>
      <c r="AF25" s="18">
        <f t="shared" si="137"/>
        <v>7.99999999988358</v>
      </c>
      <c r="AG25" s="18">
        <f t="shared" si="137"/>
        <v>0</v>
      </c>
      <c r="AH25" s="18">
        <f t="shared" si="137"/>
        <v>4.79999999995925</v>
      </c>
      <c r="AI25" s="18">
        <f t="shared" si="137"/>
        <v>2048.00000000047</v>
      </c>
      <c r="AJ25" s="18">
        <f t="shared" si="24"/>
        <v>5900.80000000031</v>
      </c>
      <c r="AK25" s="18">
        <f t="shared" ref="AK25:AN25" si="138">IF(OR(H26=""),"",(H26-H25)*80)</f>
        <v>0</v>
      </c>
      <c r="AL25" s="18">
        <f t="shared" si="138"/>
        <v>0</v>
      </c>
      <c r="AM25" s="18">
        <f t="shared" si="138"/>
        <v>0</v>
      </c>
      <c r="AN25" s="18">
        <f t="shared" si="138"/>
        <v>0</v>
      </c>
      <c r="AO25" s="18">
        <f t="shared" si="26"/>
        <v>0</v>
      </c>
      <c r="AP25" s="18">
        <f t="shared" ref="AP25:AS25" si="139">IF(OR(L26=""),"",(L26-L25)*100)</f>
        <v>2339.99999999942</v>
      </c>
      <c r="AQ25" s="18">
        <f t="shared" si="139"/>
        <v>0</v>
      </c>
      <c r="AR25" s="18">
        <f t="shared" si="139"/>
        <v>2780.00000000029</v>
      </c>
      <c r="AS25" s="18">
        <f t="shared" si="139"/>
        <v>0</v>
      </c>
      <c r="AT25" s="18">
        <f t="shared" si="28"/>
        <v>5119.99999999971</v>
      </c>
      <c r="AU25" s="18">
        <f t="shared" ref="AU25:AY25" si="140">IF(OR(P26=""),"",(P26-P25)*1000)</f>
        <v>3900.00000000055</v>
      </c>
      <c r="AV25" s="18">
        <f t="shared" si="140"/>
        <v>6299.99999999927</v>
      </c>
      <c r="AW25" s="18">
        <f t="shared" si="140"/>
        <v>0</v>
      </c>
      <c r="AX25" s="18">
        <f t="shared" si="140"/>
        <v>800.000000000182</v>
      </c>
      <c r="AY25" s="18">
        <f t="shared" si="140"/>
        <v>0</v>
      </c>
      <c r="AZ25" s="18">
        <f t="shared" si="30"/>
        <v>11000</v>
      </c>
      <c r="BA25" s="18">
        <f t="shared" si="31"/>
        <v>6800.00000000291</v>
      </c>
      <c r="BB25" s="18">
        <f t="shared" si="32"/>
        <v>15.9999999997672</v>
      </c>
      <c r="BC25" s="18">
        <f t="shared" si="33"/>
        <v>1543.99999999994</v>
      </c>
      <c r="BD25" s="18">
        <f t="shared" si="34"/>
        <v>12419.1999999857</v>
      </c>
      <c r="BE25" s="18">
        <f t="shared" si="35"/>
        <v>42799.9999999884</v>
      </c>
      <c r="BF25" s="18">
        <f t="shared" si="36"/>
        <v>60.6000000000058</v>
      </c>
      <c r="BG25" s="21">
        <f t="shared" si="37"/>
        <v>0.325611472478895</v>
      </c>
      <c r="BH25" s="21">
        <f t="shared" si="38"/>
        <v>0.0448917798318712</v>
      </c>
      <c r="BI25" s="21">
        <f t="shared" si="39"/>
        <v>0</v>
      </c>
      <c r="BJ25" s="21">
        <f t="shared" si="40"/>
        <v>0.0389516527825304</v>
      </c>
      <c r="BK25" s="21">
        <f t="shared" ref="BK25:BO25" si="141">IF(OR($AD25=0),"",AZ25/$AD25)</f>
        <v>0.0836851915249724</v>
      </c>
      <c r="BL25" s="21">
        <f t="shared" si="141"/>
        <v>0.0517326638518233</v>
      </c>
      <c r="BM25" s="21">
        <f t="shared" si="141"/>
        <v>0.000121723914943643</v>
      </c>
      <c r="BN25" s="21">
        <f t="shared" si="141"/>
        <v>0.011746357792232</v>
      </c>
      <c r="BO25" s="21">
        <f t="shared" si="141"/>
        <v>0.0944821027805221</v>
      </c>
    </row>
    <row r="26" spans="1:67">
      <c r="A26" s="9">
        <f t="shared" si="20"/>
        <v>44553</v>
      </c>
      <c r="B26" s="10">
        <v>17391.51</v>
      </c>
      <c r="C26" s="8">
        <v>96784.6</v>
      </c>
      <c r="D26" s="8">
        <v>62141.9</v>
      </c>
      <c r="E26" s="8">
        <v>59476.8</v>
      </c>
      <c r="F26" s="8">
        <v>6497.83</v>
      </c>
      <c r="G26" s="8">
        <v>116646.8</v>
      </c>
      <c r="H26" s="8">
        <v>5709.7</v>
      </c>
      <c r="I26" s="8">
        <v>2566.3</v>
      </c>
      <c r="J26" s="8">
        <v>967</v>
      </c>
      <c r="K26" s="8">
        <v>56</v>
      </c>
      <c r="L26" s="8">
        <v>94989</v>
      </c>
      <c r="M26" s="8">
        <v>61529.1</v>
      </c>
      <c r="N26" s="8">
        <v>76507.6</v>
      </c>
      <c r="O26" s="8">
        <v>106320</v>
      </c>
      <c r="P26" s="8">
        <v>5949.8</v>
      </c>
      <c r="Q26" s="8">
        <v>7831.4</v>
      </c>
      <c r="R26" s="8">
        <v>4687.8</v>
      </c>
      <c r="S26" s="8">
        <v>5504.8</v>
      </c>
      <c r="T26" s="8">
        <v>6973.5</v>
      </c>
      <c r="U26" s="8">
        <v>18022.4</v>
      </c>
      <c r="V26" s="8">
        <v>52143.1</v>
      </c>
      <c r="W26" s="8">
        <v>54755.1</v>
      </c>
      <c r="X26" s="8">
        <v>3903.9</v>
      </c>
      <c r="Y26" s="8">
        <v>3662.8</v>
      </c>
      <c r="Z26" s="16">
        <f t="shared" si="21"/>
        <v>62321.8</v>
      </c>
      <c r="AA26" s="8">
        <v>71074.6</v>
      </c>
      <c r="AB26" s="14">
        <v>5184</v>
      </c>
      <c r="AC26" s="7">
        <f t="shared" si="22"/>
        <v>76258.6</v>
      </c>
      <c r="AD26" s="17">
        <v>149584</v>
      </c>
      <c r="AE26" s="18">
        <f t="shared" ref="AE26:AI26" si="142">IF(OR(C27=""),"",(C27-C26)*80)</f>
        <v>3727.9999999993</v>
      </c>
      <c r="AF26" s="18">
        <f t="shared" si="142"/>
        <v>232.000000000116</v>
      </c>
      <c r="AG26" s="18">
        <f t="shared" si="142"/>
        <v>0</v>
      </c>
      <c r="AH26" s="18">
        <f t="shared" si="142"/>
        <v>4.00000000001455</v>
      </c>
      <c r="AI26" s="18">
        <f t="shared" si="142"/>
        <v>2320</v>
      </c>
      <c r="AJ26" s="18">
        <f t="shared" si="24"/>
        <v>6283.99999999943</v>
      </c>
      <c r="AK26" s="18">
        <f t="shared" ref="AK26:AN26" si="143">IF(OR(H27=""),"",(H27-H26)*80)</f>
        <v>0</v>
      </c>
      <c r="AL26" s="18">
        <f t="shared" si="143"/>
        <v>0</v>
      </c>
      <c r="AM26" s="18">
        <f t="shared" si="143"/>
        <v>0</v>
      </c>
      <c r="AN26" s="18">
        <f t="shared" si="143"/>
        <v>0</v>
      </c>
      <c r="AO26" s="18">
        <f t="shared" si="26"/>
        <v>0</v>
      </c>
      <c r="AP26" s="18">
        <f t="shared" ref="AP26:AS26" si="144">IF(OR(L27=""),"",(L27-L26)*100)</f>
        <v>1689.99999999942</v>
      </c>
      <c r="AQ26" s="18">
        <f t="shared" si="144"/>
        <v>0</v>
      </c>
      <c r="AR26" s="18">
        <f t="shared" si="144"/>
        <v>2909.99999999913</v>
      </c>
      <c r="AS26" s="18">
        <f t="shared" si="144"/>
        <v>1380.00000000029</v>
      </c>
      <c r="AT26" s="18">
        <f t="shared" si="28"/>
        <v>5979.99999999884</v>
      </c>
      <c r="AU26" s="18">
        <f t="shared" ref="AU26:AY26" si="145">IF(OR(P27=""),"",(P27-P26)*1000)</f>
        <v>3699.99999999982</v>
      </c>
      <c r="AV26" s="18">
        <f t="shared" si="145"/>
        <v>0</v>
      </c>
      <c r="AW26" s="18">
        <f t="shared" si="145"/>
        <v>0</v>
      </c>
      <c r="AX26" s="18">
        <f t="shared" si="145"/>
        <v>5199.99999999982</v>
      </c>
      <c r="AY26" s="18">
        <f t="shared" si="145"/>
        <v>0</v>
      </c>
      <c r="AZ26" s="18">
        <f t="shared" si="30"/>
        <v>8899.99999999964</v>
      </c>
      <c r="BA26" s="18">
        <f t="shared" si="31"/>
        <v>7399.99999999418</v>
      </c>
      <c r="BB26" s="18">
        <f t="shared" si="32"/>
        <v>24.0000000002328</v>
      </c>
      <c r="BC26" s="18">
        <f t="shared" si="33"/>
        <v>1607.99999999988</v>
      </c>
      <c r="BD26" s="18">
        <f t="shared" si="34"/>
        <v>14704.0000000238</v>
      </c>
      <c r="BE26" s="18">
        <f t="shared" si="35"/>
        <v>44900.000000016</v>
      </c>
      <c r="BF26" s="18">
        <f t="shared" si="36"/>
        <v>60.6999999999971</v>
      </c>
      <c r="BG26" s="21">
        <f t="shared" si="37"/>
        <v>0.300165793133062</v>
      </c>
      <c r="BH26" s="21">
        <f t="shared" si="38"/>
        <v>0.0420098406246619</v>
      </c>
      <c r="BI26" s="21">
        <f t="shared" si="39"/>
        <v>0</v>
      </c>
      <c r="BJ26" s="21">
        <f t="shared" si="40"/>
        <v>0.0399775377045596</v>
      </c>
      <c r="BK26" s="21">
        <f t="shared" ref="BK26:BO26" si="146">IF(OR($AD26=0),"",AZ26/$AD26)</f>
        <v>0.059498342068668</v>
      </c>
      <c r="BL26" s="21">
        <f t="shared" si="146"/>
        <v>0.0494705316076197</v>
      </c>
      <c r="BM26" s="21">
        <f t="shared" si="146"/>
        <v>0.000160444967377746</v>
      </c>
      <c r="BN26" s="21">
        <f t="shared" si="146"/>
        <v>0.0107498128142039</v>
      </c>
      <c r="BO26" s="21">
        <f t="shared" si="146"/>
        <v>0.0982992833459715</v>
      </c>
    </row>
    <row r="27" spans="1:67">
      <c r="A27" s="9">
        <f t="shared" si="20"/>
        <v>44554</v>
      </c>
      <c r="B27" s="10">
        <v>17396</v>
      </c>
      <c r="C27" s="8">
        <v>96831.2</v>
      </c>
      <c r="D27" s="8">
        <v>62144.8</v>
      </c>
      <c r="E27" s="8">
        <v>59476.8</v>
      </c>
      <c r="F27" s="8">
        <v>6497.88</v>
      </c>
      <c r="G27" s="8">
        <v>116675.8</v>
      </c>
      <c r="H27" s="8">
        <v>5709.7</v>
      </c>
      <c r="I27" s="8">
        <v>2566.3</v>
      </c>
      <c r="J27" s="8">
        <v>967</v>
      </c>
      <c r="K27" s="8">
        <v>56</v>
      </c>
      <c r="L27" s="8">
        <v>95005.9</v>
      </c>
      <c r="M27" s="8">
        <v>61529.1</v>
      </c>
      <c r="N27" s="8">
        <v>76536.7</v>
      </c>
      <c r="O27" s="8">
        <v>106333.8</v>
      </c>
      <c r="P27" s="8">
        <v>5953.5</v>
      </c>
      <c r="Q27" s="8">
        <v>7831.4</v>
      </c>
      <c r="R27" s="8">
        <v>4687.8</v>
      </c>
      <c r="S27" s="8">
        <v>5510</v>
      </c>
      <c r="T27" s="8">
        <v>6973.5</v>
      </c>
      <c r="U27" s="8">
        <v>18026.1</v>
      </c>
      <c r="V27" s="8">
        <v>52143.4</v>
      </c>
      <c r="W27" s="8">
        <v>54773.6</v>
      </c>
      <c r="X27" s="8">
        <v>3914.5</v>
      </c>
      <c r="Y27" s="8">
        <v>3673.9</v>
      </c>
      <c r="Z27" s="16">
        <f t="shared" si="21"/>
        <v>62362</v>
      </c>
      <c r="AA27" s="8">
        <v>71128.3</v>
      </c>
      <c r="AB27" s="14">
        <v>5191</v>
      </c>
      <c r="AC27" s="7">
        <f t="shared" si="22"/>
        <v>76319.3</v>
      </c>
      <c r="AD27" s="17">
        <v>148174</v>
      </c>
      <c r="AE27" s="18">
        <f t="shared" ref="AE27:AI27" si="147">IF(OR(C28=""),"",(C28-C27)*80)</f>
        <v>8.00000000046566</v>
      </c>
      <c r="AF27" s="18">
        <f t="shared" si="147"/>
        <v>2471.99999999953</v>
      </c>
      <c r="AG27" s="18">
        <f t="shared" si="147"/>
        <v>0</v>
      </c>
      <c r="AH27" s="18">
        <f t="shared" si="147"/>
        <v>369.599999999991</v>
      </c>
      <c r="AI27" s="18">
        <f t="shared" si="147"/>
        <v>2615.99999999977</v>
      </c>
      <c r="AJ27" s="18">
        <f t="shared" si="24"/>
        <v>5465.59999999976</v>
      </c>
      <c r="AK27" s="18">
        <f t="shared" ref="AK27:AN27" si="148">IF(OR(H28=""),"",(H28-H27)*80)</f>
        <v>0</v>
      </c>
      <c r="AL27" s="18">
        <f t="shared" si="148"/>
        <v>0</v>
      </c>
      <c r="AM27" s="18">
        <f t="shared" si="148"/>
        <v>0</v>
      </c>
      <c r="AN27" s="18">
        <f t="shared" si="148"/>
        <v>0</v>
      </c>
      <c r="AO27" s="18">
        <f t="shared" si="26"/>
        <v>0</v>
      </c>
      <c r="AP27" s="18">
        <f t="shared" ref="AP27:AS27" si="149">IF(OR(L28=""),"",(L28-L27)*100)</f>
        <v>1000</v>
      </c>
      <c r="AQ27" s="18">
        <f t="shared" si="149"/>
        <v>0</v>
      </c>
      <c r="AR27" s="18">
        <f t="shared" si="149"/>
        <v>2800</v>
      </c>
      <c r="AS27" s="18">
        <f t="shared" si="149"/>
        <v>2289.99999999942</v>
      </c>
      <c r="AT27" s="18">
        <f t="shared" si="28"/>
        <v>6089.99999999942</v>
      </c>
      <c r="AU27" s="18">
        <f t="shared" ref="AU27:AY27" si="150">IF(OR(P28=""),"",(P28-P27)*1000)</f>
        <v>2800.00000000018</v>
      </c>
      <c r="AV27" s="18">
        <f t="shared" si="150"/>
        <v>0</v>
      </c>
      <c r="AW27" s="18">
        <f t="shared" si="150"/>
        <v>0</v>
      </c>
      <c r="AX27" s="18">
        <f t="shared" si="150"/>
        <v>1600.00000000036</v>
      </c>
      <c r="AY27" s="18">
        <f t="shared" si="150"/>
        <v>8800.00000000018</v>
      </c>
      <c r="AZ27" s="18">
        <f t="shared" si="30"/>
        <v>13200.0000000007</v>
      </c>
      <c r="BA27" s="18">
        <f t="shared" si="31"/>
        <v>7200.00000000437</v>
      </c>
      <c r="BB27" s="18">
        <f t="shared" si="32"/>
        <v>600</v>
      </c>
      <c r="BC27" s="18">
        <f t="shared" si="33"/>
        <v>1540</v>
      </c>
      <c r="BD27" s="18">
        <f t="shared" si="34"/>
        <v>13804.4000000045</v>
      </c>
      <c r="BE27" s="18">
        <f t="shared" si="35"/>
        <v>47900.0000000087</v>
      </c>
      <c r="BF27" s="18">
        <f t="shared" si="36"/>
        <v>63.8000000000029</v>
      </c>
      <c r="BG27" s="21">
        <f t="shared" si="37"/>
        <v>0.323268589631168</v>
      </c>
      <c r="BH27" s="21">
        <f t="shared" si="38"/>
        <v>0.0368863633295974</v>
      </c>
      <c r="BI27" s="21">
        <f t="shared" si="39"/>
        <v>0</v>
      </c>
      <c r="BJ27" s="21">
        <f t="shared" si="40"/>
        <v>0.0411003279927613</v>
      </c>
      <c r="BK27" s="21">
        <f t="shared" ref="BK27:BO27" si="151">IF(OR($AD27=0),"",AZ27/$AD27)</f>
        <v>0.0890844547626488</v>
      </c>
      <c r="BL27" s="21">
        <f t="shared" si="151"/>
        <v>0.0485915207796534</v>
      </c>
      <c r="BM27" s="21">
        <f t="shared" si="151"/>
        <v>0.004049293398302</v>
      </c>
      <c r="BN27" s="21">
        <f t="shared" si="151"/>
        <v>0.0103931863889751</v>
      </c>
      <c r="BO27" s="21">
        <f t="shared" si="151"/>
        <v>0.0931634429792302</v>
      </c>
    </row>
    <row r="28" spans="1:67">
      <c r="A28" s="9">
        <f t="shared" si="20"/>
        <v>44555</v>
      </c>
      <c r="B28" s="10">
        <v>17400.79</v>
      </c>
      <c r="C28" s="8">
        <v>96831.3</v>
      </c>
      <c r="D28" s="8">
        <v>62175.7</v>
      </c>
      <c r="E28" s="8">
        <v>59476.8</v>
      </c>
      <c r="F28" s="8">
        <v>6502.5</v>
      </c>
      <c r="G28" s="8">
        <v>116708.5</v>
      </c>
      <c r="H28" s="8">
        <v>5709.7</v>
      </c>
      <c r="I28" s="8">
        <v>2566.3</v>
      </c>
      <c r="J28" s="8">
        <v>967</v>
      </c>
      <c r="K28" s="8">
        <v>56</v>
      </c>
      <c r="L28" s="8">
        <v>95015.9</v>
      </c>
      <c r="M28" s="8">
        <v>61529.1</v>
      </c>
      <c r="N28" s="8">
        <v>76564.7</v>
      </c>
      <c r="O28" s="8">
        <v>106356.7</v>
      </c>
      <c r="P28" s="8">
        <v>5956.3</v>
      </c>
      <c r="Q28" s="8">
        <v>7831.4</v>
      </c>
      <c r="R28" s="8">
        <v>4687.8</v>
      </c>
      <c r="S28" s="8">
        <v>5511.6</v>
      </c>
      <c r="T28" s="8">
        <v>6982.3</v>
      </c>
      <c r="U28" s="8">
        <v>18029.7</v>
      </c>
      <c r="V28" s="8">
        <v>52150.9</v>
      </c>
      <c r="W28" s="8">
        <v>54791</v>
      </c>
      <c r="X28" s="8">
        <v>3924.7</v>
      </c>
      <c r="Y28" s="8">
        <v>3684.8</v>
      </c>
      <c r="Z28" s="16">
        <f t="shared" si="21"/>
        <v>62400.5</v>
      </c>
      <c r="AA28" s="8">
        <v>71178.1</v>
      </c>
      <c r="AB28" s="14">
        <v>5205</v>
      </c>
      <c r="AC28" s="7">
        <f t="shared" si="22"/>
        <v>76383.1</v>
      </c>
      <c r="AD28" s="17">
        <v>145560</v>
      </c>
      <c r="AE28" s="18">
        <f t="shared" ref="AE28:AI28" si="152">IF(OR(C29=""),"",(C29-C28)*80)</f>
        <v>0</v>
      </c>
      <c r="AF28" s="18">
        <f t="shared" si="152"/>
        <v>3000</v>
      </c>
      <c r="AG28" s="18">
        <f t="shared" si="152"/>
        <v>0</v>
      </c>
      <c r="AH28" s="18">
        <f t="shared" si="152"/>
        <v>0</v>
      </c>
      <c r="AI28" s="18">
        <f t="shared" si="152"/>
        <v>2695.99999999977</v>
      </c>
      <c r="AJ28" s="18">
        <f t="shared" si="24"/>
        <v>5695.99999999977</v>
      </c>
      <c r="AK28" s="18">
        <f t="shared" ref="AK28:AN28" si="153">IF(OR(H29=""),"",(H29-H28)*80)</f>
        <v>0</v>
      </c>
      <c r="AL28" s="18">
        <f t="shared" si="153"/>
        <v>0</v>
      </c>
      <c r="AM28" s="18">
        <f t="shared" si="153"/>
        <v>0</v>
      </c>
      <c r="AN28" s="18">
        <f t="shared" si="153"/>
        <v>0</v>
      </c>
      <c r="AO28" s="18">
        <f t="shared" si="26"/>
        <v>0</v>
      </c>
      <c r="AP28" s="18">
        <f t="shared" ref="AP28:AS28" si="154">IF(OR(L29=""),"",(L29-L28)*100)</f>
        <v>1020.00000000116</v>
      </c>
      <c r="AQ28" s="18">
        <f t="shared" si="154"/>
        <v>0</v>
      </c>
      <c r="AR28" s="18">
        <f t="shared" si="154"/>
        <v>2850</v>
      </c>
      <c r="AS28" s="18">
        <f t="shared" si="154"/>
        <v>2310.00000000058</v>
      </c>
      <c r="AT28" s="18">
        <f t="shared" si="28"/>
        <v>6180.00000000175</v>
      </c>
      <c r="AU28" s="18">
        <f t="shared" ref="AU28:AY28" si="155">IF(OR(P29=""),"",(P29-P28)*1000)</f>
        <v>3899.99999999964</v>
      </c>
      <c r="AV28" s="18">
        <f t="shared" si="155"/>
        <v>0</v>
      </c>
      <c r="AW28" s="18">
        <f t="shared" si="155"/>
        <v>0</v>
      </c>
      <c r="AX28" s="18">
        <f t="shared" si="155"/>
        <v>0</v>
      </c>
      <c r="AY28" s="18">
        <f t="shared" si="155"/>
        <v>8699.99999999982</v>
      </c>
      <c r="AZ28" s="18">
        <f t="shared" si="30"/>
        <v>12599.9999999995</v>
      </c>
      <c r="BA28" s="18">
        <f t="shared" si="31"/>
        <v>5799.99999999563</v>
      </c>
      <c r="BB28" s="18">
        <f t="shared" si="32"/>
        <v>600</v>
      </c>
      <c r="BC28" s="18">
        <f t="shared" si="33"/>
        <v>1556.00000000006</v>
      </c>
      <c r="BD28" s="18">
        <f t="shared" si="34"/>
        <v>14467.9999999902</v>
      </c>
      <c r="BE28" s="18">
        <f t="shared" si="35"/>
        <v>46899.9999999869</v>
      </c>
      <c r="BF28" s="18">
        <f t="shared" si="36"/>
        <v>56.8999999999942</v>
      </c>
      <c r="BG28" s="21">
        <f t="shared" si="37"/>
        <v>0.322203902170836</v>
      </c>
      <c r="BH28" s="21">
        <f t="shared" si="38"/>
        <v>0.0391316295685612</v>
      </c>
      <c r="BI28" s="21">
        <f t="shared" si="39"/>
        <v>0</v>
      </c>
      <c r="BJ28" s="21">
        <f t="shared" si="40"/>
        <v>0.0424567188788249</v>
      </c>
      <c r="BK28" s="21">
        <f t="shared" ref="BK28:BO28" si="156">IF(OR($AD28=0),"",AZ28/$AD28)</f>
        <v>0.0865622423742749</v>
      </c>
      <c r="BL28" s="21">
        <f t="shared" si="156"/>
        <v>0.0398461115690824</v>
      </c>
      <c r="BM28" s="21">
        <f t="shared" si="156"/>
        <v>0.00412201154163232</v>
      </c>
      <c r="BN28" s="21">
        <f t="shared" si="156"/>
        <v>0.0106897499313002</v>
      </c>
      <c r="BO28" s="21">
        <f t="shared" si="156"/>
        <v>0.0993954383071602</v>
      </c>
    </row>
    <row r="29" spans="1:67">
      <c r="A29" s="9">
        <f t="shared" si="20"/>
        <v>44556</v>
      </c>
      <c r="B29" s="10">
        <v>17405.48</v>
      </c>
      <c r="C29" s="8">
        <v>96831.3</v>
      </c>
      <c r="D29" s="8">
        <v>62213.2</v>
      </c>
      <c r="E29" s="8">
        <v>59476.8</v>
      </c>
      <c r="F29" s="8">
        <v>6502.5</v>
      </c>
      <c r="G29" s="8">
        <v>116742.2</v>
      </c>
      <c r="H29" s="8">
        <v>5709.7</v>
      </c>
      <c r="I29" s="8">
        <v>2566.3</v>
      </c>
      <c r="J29" s="8">
        <v>967</v>
      </c>
      <c r="K29" s="8">
        <v>56</v>
      </c>
      <c r="L29" s="8">
        <v>95026.1</v>
      </c>
      <c r="M29" s="8">
        <v>61529.1</v>
      </c>
      <c r="N29" s="8">
        <v>76593.2</v>
      </c>
      <c r="O29" s="8">
        <v>106379.8</v>
      </c>
      <c r="P29" s="8">
        <v>5960.2</v>
      </c>
      <c r="Q29" s="8">
        <v>7831.4</v>
      </c>
      <c r="R29" s="8">
        <v>4687.8</v>
      </c>
      <c r="S29" s="8">
        <v>5511.6</v>
      </c>
      <c r="T29" s="8">
        <v>6991</v>
      </c>
      <c r="U29" s="8">
        <v>18032.6</v>
      </c>
      <c r="V29" s="8">
        <v>52158.4</v>
      </c>
      <c r="W29" s="8">
        <v>54808.8</v>
      </c>
      <c r="X29" s="8">
        <v>3934.9</v>
      </c>
      <c r="Y29" s="8">
        <v>3695.7</v>
      </c>
      <c r="Z29" s="16">
        <f t="shared" si="21"/>
        <v>62439.4</v>
      </c>
      <c r="AA29" s="8">
        <v>71229</v>
      </c>
      <c r="AB29" s="14">
        <v>5211</v>
      </c>
      <c r="AC29" s="7">
        <f t="shared" si="22"/>
        <v>76440</v>
      </c>
      <c r="AD29" s="17">
        <v>139275</v>
      </c>
      <c r="AE29" s="18">
        <f t="shared" ref="AE29:AI30" si="157">IF(OR(C30=""),"",(C30-C29)*80)</f>
        <v>0</v>
      </c>
      <c r="AF29" s="18">
        <f t="shared" si="157"/>
        <v>3160</v>
      </c>
      <c r="AG29" s="18">
        <f t="shared" si="157"/>
        <v>0</v>
      </c>
      <c r="AH29" s="18">
        <f t="shared" si="157"/>
        <v>0</v>
      </c>
      <c r="AI29" s="18">
        <f t="shared" si="157"/>
        <v>2680</v>
      </c>
      <c r="AJ29" s="18">
        <f t="shared" si="24"/>
        <v>5840</v>
      </c>
      <c r="AK29" s="18">
        <f t="shared" ref="AK29:AN29" si="158">IF(OR(H30=""),"",(H30-H29)*80)</f>
        <v>0</v>
      </c>
      <c r="AL29" s="18">
        <f t="shared" si="158"/>
        <v>0</v>
      </c>
      <c r="AM29" s="18">
        <f t="shared" si="158"/>
        <v>0</v>
      </c>
      <c r="AN29" s="18">
        <f t="shared" si="158"/>
        <v>0</v>
      </c>
      <c r="AO29" s="18">
        <f t="shared" si="26"/>
        <v>0</v>
      </c>
      <c r="AP29" s="18">
        <f t="shared" ref="AP29:AS29" si="159">IF(OR(L30=""),"",(L30-L29)*100)</f>
        <v>1000</v>
      </c>
      <c r="AQ29" s="18">
        <f t="shared" si="159"/>
        <v>0</v>
      </c>
      <c r="AR29" s="18">
        <f t="shared" si="159"/>
        <v>2919.99999999971</v>
      </c>
      <c r="AS29" s="18">
        <f t="shared" si="159"/>
        <v>2369.99999999971</v>
      </c>
      <c r="AT29" s="18">
        <f t="shared" si="28"/>
        <v>6289.99999999942</v>
      </c>
      <c r="AU29" s="18">
        <f t="shared" ref="AU29:AY29" si="160">IF(OR(P30=""),"",(P30-P29)*1000)</f>
        <v>3699.99999999982</v>
      </c>
      <c r="AV29" s="18">
        <f t="shared" si="160"/>
        <v>0</v>
      </c>
      <c r="AW29" s="18">
        <f t="shared" si="160"/>
        <v>0</v>
      </c>
      <c r="AX29" s="18">
        <f t="shared" si="160"/>
        <v>500</v>
      </c>
      <c r="AY29" s="18">
        <f t="shared" si="160"/>
        <v>9199.99999999982</v>
      </c>
      <c r="AZ29" s="18">
        <f t="shared" si="30"/>
        <v>13399.9999999996</v>
      </c>
      <c r="BA29" s="18">
        <f t="shared" si="31"/>
        <v>5400.00000000146</v>
      </c>
      <c r="BB29" s="18">
        <f t="shared" si="32"/>
        <v>632.000000000116</v>
      </c>
      <c r="BC29" s="18">
        <f t="shared" si="33"/>
        <v>1611.99999999983</v>
      </c>
      <c r="BD29" s="18">
        <f t="shared" si="34"/>
        <v>15525.9999999894</v>
      </c>
      <c r="BE29" s="18">
        <f t="shared" si="35"/>
        <v>48699.9999999898</v>
      </c>
      <c r="BF29" s="18">
        <f t="shared" si="36"/>
        <v>57.5</v>
      </c>
      <c r="BG29" s="21">
        <f t="shared" si="37"/>
        <v>0.349667923173504</v>
      </c>
      <c r="BH29" s="21">
        <f t="shared" si="38"/>
        <v>0.0419314306228684</v>
      </c>
      <c r="BI29" s="21">
        <f t="shared" si="39"/>
        <v>0</v>
      </c>
      <c r="BJ29" s="21">
        <f t="shared" si="40"/>
        <v>0.045162448393462</v>
      </c>
      <c r="BK29" s="21">
        <f t="shared" ref="BK29:BO29" si="161">IF(OR($AD29=0),"",AZ29/$AD29)</f>
        <v>0.0962125291689078</v>
      </c>
      <c r="BL29" s="21">
        <f t="shared" si="161"/>
        <v>0.0387722132471833</v>
      </c>
      <c r="BM29" s="21">
        <f t="shared" si="161"/>
        <v>0.0045377849578181</v>
      </c>
      <c r="BN29" s="21">
        <f t="shared" si="161"/>
        <v>0.0115742236582289</v>
      </c>
      <c r="BO29" s="21">
        <f t="shared" si="161"/>
        <v>0.111477293125036</v>
      </c>
    </row>
    <row r="30" spans="1:67">
      <c r="A30" s="9">
        <f t="shared" si="20"/>
        <v>44557</v>
      </c>
      <c r="B30" s="10">
        <v>17410.35</v>
      </c>
      <c r="C30" s="8">
        <v>96831.3</v>
      </c>
      <c r="D30" s="8">
        <v>62252.7</v>
      </c>
      <c r="E30" s="8">
        <v>59476.8</v>
      </c>
      <c r="F30" s="8">
        <v>6502.5</v>
      </c>
      <c r="G30" s="8">
        <v>116775.7</v>
      </c>
      <c r="H30" s="8">
        <v>5709.7</v>
      </c>
      <c r="I30" s="8">
        <v>2566.3</v>
      </c>
      <c r="J30" s="8">
        <v>967</v>
      </c>
      <c r="K30" s="8">
        <v>56</v>
      </c>
      <c r="L30" s="8">
        <v>95036.1</v>
      </c>
      <c r="M30" s="8">
        <v>61529.1</v>
      </c>
      <c r="N30" s="8">
        <v>76622.4</v>
      </c>
      <c r="O30" s="8">
        <v>106403.5</v>
      </c>
      <c r="P30" s="8">
        <v>5963.9</v>
      </c>
      <c r="Q30" s="8">
        <v>7831.4</v>
      </c>
      <c r="R30" s="8">
        <v>4687.8</v>
      </c>
      <c r="S30" s="8">
        <v>5512.1</v>
      </c>
      <c r="T30" s="8">
        <v>7000.2</v>
      </c>
      <c r="U30" s="8">
        <v>18035.3</v>
      </c>
      <c r="V30" s="8">
        <v>52166.3</v>
      </c>
      <c r="W30" s="8">
        <v>54827.1</v>
      </c>
      <c r="X30" s="8">
        <v>3945.6</v>
      </c>
      <c r="Y30" s="8">
        <v>3707</v>
      </c>
      <c r="Z30" s="16">
        <f t="shared" si="21"/>
        <v>62479.7</v>
      </c>
      <c r="AA30" s="8">
        <v>71281.5</v>
      </c>
      <c r="AB30" s="14">
        <v>5216</v>
      </c>
      <c r="AC30" s="7">
        <f t="shared" si="22"/>
        <v>76497.5</v>
      </c>
      <c r="AD30" s="17">
        <v>148497</v>
      </c>
      <c r="AE30" s="18">
        <f t="shared" ref="AE30:AI30" si="162">IF(OR(C31=""),"",(C31-C30)*80)</f>
        <v>0</v>
      </c>
      <c r="AF30" s="18">
        <f t="shared" si="162"/>
        <v>3056.00000000035</v>
      </c>
      <c r="AG30" s="18">
        <f t="shared" si="162"/>
        <v>0</v>
      </c>
      <c r="AH30" s="18">
        <f t="shared" si="157"/>
        <v>0</v>
      </c>
      <c r="AI30" s="18">
        <f t="shared" si="162"/>
        <v>2672.0000000007</v>
      </c>
      <c r="AJ30" s="18">
        <f t="shared" si="24"/>
        <v>5728.00000000105</v>
      </c>
      <c r="AK30" s="18">
        <f t="shared" ref="AK30:AN30" si="163">IF(OR(H31=""),"",(H31-H30)*80)</f>
        <v>0</v>
      </c>
      <c r="AL30" s="18">
        <f t="shared" si="163"/>
        <v>0</v>
      </c>
      <c r="AM30" s="18">
        <f t="shared" si="163"/>
        <v>0</v>
      </c>
      <c r="AN30" s="18">
        <f t="shared" si="163"/>
        <v>0</v>
      </c>
      <c r="AO30" s="18">
        <f t="shared" si="26"/>
        <v>0</v>
      </c>
      <c r="AP30" s="18">
        <f t="shared" ref="AP30:AS30" si="164">IF(OR(L31=""),"",(L31-L30)*100)</f>
        <v>1069.99999999971</v>
      </c>
      <c r="AQ30" s="18">
        <f t="shared" si="164"/>
        <v>0</v>
      </c>
      <c r="AR30" s="18">
        <f t="shared" si="164"/>
        <v>2890.00000000087</v>
      </c>
      <c r="AS30" s="18">
        <f t="shared" si="164"/>
        <v>2310.00000000058</v>
      </c>
      <c r="AT30" s="18">
        <f t="shared" si="28"/>
        <v>6270.00000000116</v>
      </c>
      <c r="AU30" s="18">
        <f t="shared" ref="AU30:AY30" si="165">IF(OR(P31=""),"",(P31-P30)*1000)</f>
        <v>3200.00000000073</v>
      </c>
      <c r="AV30" s="18">
        <f t="shared" si="165"/>
        <v>0</v>
      </c>
      <c r="AW30" s="18">
        <f t="shared" si="165"/>
        <v>0</v>
      </c>
      <c r="AX30" s="18">
        <f t="shared" si="165"/>
        <v>699.999999999818</v>
      </c>
      <c r="AY30" s="18">
        <f t="shared" si="165"/>
        <v>8699.99999999982</v>
      </c>
      <c r="AZ30" s="18">
        <f t="shared" si="30"/>
        <v>12600.0000000004</v>
      </c>
      <c r="BA30" s="18">
        <f t="shared" si="31"/>
        <v>4599.99999999854</v>
      </c>
      <c r="BB30" s="18">
        <f t="shared" si="32"/>
        <v>631.999999999534</v>
      </c>
      <c r="BC30" s="18">
        <f t="shared" si="33"/>
        <v>1552.00000000012</v>
      </c>
      <c r="BD30" s="18">
        <f t="shared" si="34"/>
        <v>14818.0000000254</v>
      </c>
      <c r="BE30" s="18">
        <f t="shared" si="35"/>
        <v>46200.0000000262</v>
      </c>
      <c r="BF30" s="18">
        <f t="shared" si="36"/>
        <v>54.6999999999971</v>
      </c>
      <c r="BG30" s="21">
        <f t="shared" si="37"/>
        <v>0.311117396311213</v>
      </c>
      <c r="BH30" s="21">
        <f t="shared" si="38"/>
        <v>0.0385731698283538</v>
      </c>
      <c r="BI30" s="21">
        <f t="shared" si="39"/>
        <v>0</v>
      </c>
      <c r="BJ30" s="21">
        <f t="shared" si="40"/>
        <v>0.0422230752136485</v>
      </c>
      <c r="BK30" s="21">
        <f t="shared" ref="BK30:BO30" si="166">IF(OR($AD30=0),"",AZ30/$AD30)</f>
        <v>0.0848501989939215</v>
      </c>
      <c r="BL30" s="21">
        <f t="shared" si="166"/>
        <v>0.030977056775548</v>
      </c>
      <c r="BM30" s="21">
        <f t="shared" si="166"/>
        <v>0.00425597823524741</v>
      </c>
      <c r="BN30" s="21">
        <f t="shared" si="166"/>
        <v>0.0104513895903629</v>
      </c>
      <c r="BO30" s="21">
        <f t="shared" si="166"/>
        <v>0.0997865276741309</v>
      </c>
    </row>
    <row r="31" spans="1:67">
      <c r="A31" s="9">
        <f t="shared" si="20"/>
        <v>44558</v>
      </c>
      <c r="B31" s="10">
        <v>17414.97</v>
      </c>
      <c r="C31" s="8">
        <v>96831.3</v>
      </c>
      <c r="D31" s="8">
        <v>62290.9</v>
      </c>
      <c r="E31" s="8">
        <v>59476.8</v>
      </c>
      <c r="F31" s="8">
        <v>6502.5</v>
      </c>
      <c r="G31" s="8">
        <v>116809.1</v>
      </c>
      <c r="H31" s="8">
        <v>5709.7</v>
      </c>
      <c r="I31" s="8">
        <v>2566.3</v>
      </c>
      <c r="J31" s="8">
        <v>967</v>
      </c>
      <c r="K31" s="8">
        <v>56</v>
      </c>
      <c r="L31" s="8">
        <v>95046.8</v>
      </c>
      <c r="M31" s="8">
        <v>61529.1</v>
      </c>
      <c r="N31" s="8">
        <v>76651.3</v>
      </c>
      <c r="O31" s="8">
        <v>106426.6</v>
      </c>
      <c r="P31" s="8">
        <v>5967.1</v>
      </c>
      <c r="Q31" s="8">
        <v>7831.4</v>
      </c>
      <c r="R31" s="8">
        <v>4687.8</v>
      </c>
      <c r="S31" s="8">
        <v>5512.8</v>
      </c>
      <c r="T31" s="8">
        <v>7008.9</v>
      </c>
      <c r="U31" s="8">
        <v>18037.6</v>
      </c>
      <c r="V31" s="8">
        <v>52174.2</v>
      </c>
      <c r="W31" s="8">
        <v>54844.6</v>
      </c>
      <c r="X31" s="8">
        <v>3956.1</v>
      </c>
      <c r="Y31" s="8">
        <v>3717.8</v>
      </c>
      <c r="Z31" s="16">
        <f t="shared" si="21"/>
        <v>62518.5</v>
      </c>
      <c r="AA31" s="8">
        <v>71331.2</v>
      </c>
      <c r="AB31" s="14">
        <v>5221</v>
      </c>
      <c r="AC31" s="7">
        <f t="shared" si="22"/>
        <v>76552.2</v>
      </c>
      <c r="AD31" s="17">
        <v>142701</v>
      </c>
      <c r="AE31" s="18">
        <f t="shared" ref="AE31:AI31" si="167">IF(OR(C32=""),"",(C32-C31)*80)</f>
        <v>0</v>
      </c>
      <c r="AF31" s="18">
        <f t="shared" si="167"/>
        <v>3175.99999999977</v>
      </c>
      <c r="AG31" s="18">
        <f t="shared" si="167"/>
        <v>0</v>
      </c>
      <c r="AH31" s="18">
        <f t="shared" si="167"/>
        <v>17.6000000000204</v>
      </c>
      <c r="AI31" s="18">
        <f t="shared" si="167"/>
        <v>2287.9999999993</v>
      </c>
      <c r="AJ31" s="18">
        <f t="shared" si="24"/>
        <v>5481.59999999909</v>
      </c>
      <c r="AK31" s="18">
        <f t="shared" ref="AK31:AN31" si="168">IF(OR(H32=""),"",(H32-H31)*80)</f>
        <v>0</v>
      </c>
      <c r="AL31" s="18">
        <f t="shared" si="168"/>
        <v>0</v>
      </c>
      <c r="AM31" s="18">
        <f t="shared" si="168"/>
        <v>0</v>
      </c>
      <c r="AN31" s="18">
        <f t="shared" si="168"/>
        <v>0</v>
      </c>
      <c r="AO31" s="18">
        <f t="shared" si="26"/>
        <v>0</v>
      </c>
      <c r="AP31" s="18">
        <f t="shared" ref="AP31:AS31" si="169">IF(OR(L32=""),"",(L32-L31)*100)</f>
        <v>1019.99999999971</v>
      </c>
      <c r="AQ31" s="18">
        <f t="shared" si="169"/>
        <v>0</v>
      </c>
      <c r="AR31" s="18">
        <f t="shared" si="169"/>
        <v>2950</v>
      </c>
      <c r="AS31" s="18">
        <f t="shared" si="169"/>
        <v>2379.99999999884</v>
      </c>
      <c r="AT31" s="18">
        <f t="shared" si="28"/>
        <v>6349.99999999854</v>
      </c>
      <c r="AU31" s="18">
        <f t="shared" ref="AU31:AY31" si="170">IF(OR(P32=""),"",(P32-P31)*1000)</f>
        <v>3500</v>
      </c>
      <c r="AV31" s="18">
        <f t="shared" si="170"/>
        <v>6900.00000000055</v>
      </c>
      <c r="AW31" s="18">
        <f t="shared" si="170"/>
        <v>0</v>
      </c>
      <c r="AX31" s="18">
        <f t="shared" si="170"/>
        <v>399.999999999636</v>
      </c>
      <c r="AY31" s="18">
        <f t="shared" si="170"/>
        <v>900.000000000546</v>
      </c>
      <c r="AZ31" s="18">
        <f t="shared" si="30"/>
        <v>11700.0000000007</v>
      </c>
      <c r="BA31" s="18">
        <f t="shared" si="31"/>
        <v>4400.00000000146</v>
      </c>
      <c r="BB31" s="18">
        <f t="shared" si="32"/>
        <v>640</v>
      </c>
      <c r="BC31" s="18">
        <f t="shared" si="33"/>
        <v>1540</v>
      </c>
      <c r="BD31" s="18">
        <f t="shared" si="34"/>
        <v>15488.3999999769</v>
      </c>
      <c r="BE31" s="18">
        <f t="shared" si="35"/>
        <v>45599.9999999767</v>
      </c>
      <c r="BF31" s="18">
        <f t="shared" si="36"/>
        <v>52.4000000000087</v>
      </c>
      <c r="BG31" s="21">
        <f t="shared" si="37"/>
        <v>0.31954926734905</v>
      </c>
      <c r="BH31" s="21">
        <f t="shared" si="38"/>
        <v>0.0384131856118674</v>
      </c>
      <c r="BI31" s="21">
        <f t="shared" si="39"/>
        <v>0</v>
      </c>
      <c r="BJ31" s="21">
        <f t="shared" si="40"/>
        <v>0.044498637010242</v>
      </c>
      <c r="BK31" s="21">
        <f t="shared" ref="BK31:BO31" si="171">IF(OR($AD31=0),"",AZ31/$AD31)</f>
        <v>0.0819896146488163</v>
      </c>
      <c r="BL31" s="21">
        <f t="shared" si="171"/>
        <v>0.0308337012354605</v>
      </c>
      <c r="BM31" s="21">
        <f t="shared" si="171"/>
        <v>0.00448490199788369</v>
      </c>
      <c r="BN31" s="21">
        <f t="shared" si="171"/>
        <v>0.0107917954324076</v>
      </c>
      <c r="BO31" s="21">
        <f t="shared" si="171"/>
        <v>0.108537431412372</v>
      </c>
    </row>
    <row r="32" spans="1:67">
      <c r="A32" s="9">
        <f t="shared" si="20"/>
        <v>44559</v>
      </c>
      <c r="B32" s="10">
        <v>17419.53</v>
      </c>
      <c r="C32" s="8">
        <v>96831.3</v>
      </c>
      <c r="D32" s="8">
        <v>62330.6</v>
      </c>
      <c r="E32" s="8">
        <v>59476.8</v>
      </c>
      <c r="F32" s="8">
        <v>6502.72</v>
      </c>
      <c r="G32" s="8">
        <v>116837.7</v>
      </c>
      <c r="H32" s="8">
        <v>5709.7</v>
      </c>
      <c r="I32" s="8">
        <v>2566.3</v>
      </c>
      <c r="J32" s="8">
        <v>967</v>
      </c>
      <c r="K32" s="8">
        <v>56</v>
      </c>
      <c r="L32" s="8">
        <v>95057</v>
      </c>
      <c r="M32" s="8">
        <v>61529.1</v>
      </c>
      <c r="N32" s="8">
        <v>76680.8</v>
      </c>
      <c r="O32" s="8">
        <v>106450.4</v>
      </c>
      <c r="P32" s="8">
        <v>5970.6</v>
      </c>
      <c r="Q32" s="8">
        <v>7838.3</v>
      </c>
      <c r="R32" s="8">
        <v>4687.8</v>
      </c>
      <c r="S32" s="8">
        <v>5513.2</v>
      </c>
      <c r="T32" s="8">
        <v>7009.8</v>
      </c>
      <c r="U32" s="8">
        <v>18039.8</v>
      </c>
      <c r="V32" s="8">
        <v>52182.2</v>
      </c>
      <c r="W32" s="8">
        <v>54862.1</v>
      </c>
      <c r="X32" s="8">
        <v>3966.5</v>
      </c>
      <c r="Y32" s="8">
        <v>3728.4</v>
      </c>
      <c r="Z32" s="16">
        <f t="shared" si="21"/>
        <v>62557</v>
      </c>
      <c r="AA32" s="8">
        <v>71381.5</v>
      </c>
      <c r="AB32" s="14">
        <v>5223.1</v>
      </c>
      <c r="AC32" s="7">
        <f t="shared" si="22"/>
        <v>76604.6</v>
      </c>
      <c r="AD32" s="17">
        <v>162096</v>
      </c>
      <c r="AE32" s="18">
        <f t="shared" ref="AE32:AI32" si="172">IF(OR(C33=""),"",(C33-C32)*80)</f>
        <v>3760</v>
      </c>
      <c r="AF32" s="18">
        <f t="shared" si="172"/>
        <v>1247.99999999988</v>
      </c>
      <c r="AG32" s="18">
        <f t="shared" si="172"/>
        <v>0</v>
      </c>
      <c r="AH32" s="18">
        <f t="shared" si="172"/>
        <v>998.399999999965</v>
      </c>
      <c r="AI32" s="18">
        <f t="shared" si="172"/>
        <v>1960</v>
      </c>
      <c r="AJ32" s="18">
        <f t="shared" si="24"/>
        <v>7966.39999999985</v>
      </c>
      <c r="AK32" s="18">
        <f t="shared" ref="AK32:AN32" si="173">IF(OR(H33=""),"",(H33-H32)*80)</f>
        <v>0</v>
      </c>
      <c r="AL32" s="18">
        <f t="shared" si="173"/>
        <v>0</v>
      </c>
      <c r="AM32" s="18">
        <f t="shared" si="173"/>
        <v>0</v>
      </c>
      <c r="AN32" s="18">
        <f t="shared" si="173"/>
        <v>0</v>
      </c>
      <c r="AO32" s="18">
        <f t="shared" si="26"/>
        <v>0</v>
      </c>
      <c r="AP32" s="18">
        <f t="shared" ref="AP32:AS32" si="174">IF(OR(L33=""),"",(L33-L32)*100)</f>
        <v>1319.99999999971</v>
      </c>
      <c r="AQ32" s="18">
        <f t="shared" si="174"/>
        <v>0</v>
      </c>
      <c r="AR32" s="18">
        <f t="shared" si="174"/>
        <v>2859.99999999913</v>
      </c>
      <c r="AS32" s="18">
        <f t="shared" si="174"/>
        <v>2290.00000000087</v>
      </c>
      <c r="AT32" s="18">
        <f t="shared" si="28"/>
        <v>6469.99999999971</v>
      </c>
      <c r="AU32" s="18">
        <f t="shared" ref="AU32:AY32" si="175">IF(OR(P33=""),"",(P33-P32)*1000)</f>
        <v>3199.99999999982</v>
      </c>
      <c r="AV32" s="18">
        <f t="shared" si="175"/>
        <v>0</v>
      </c>
      <c r="AW32" s="18">
        <f t="shared" si="175"/>
        <v>0</v>
      </c>
      <c r="AX32" s="18">
        <f t="shared" si="175"/>
        <v>1000</v>
      </c>
      <c r="AY32" s="18">
        <f t="shared" si="175"/>
        <v>9300.00000000018</v>
      </c>
      <c r="AZ32" s="18">
        <f t="shared" si="30"/>
        <v>13500</v>
      </c>
      <c r="BA32" s="18">
        <f t="shared" si="31"/>
        <v>5200.00000000437</v>
      </c>
      <c r="BB32" s="18">
        <f t="shared" si="32"/>
        <v>640</v>
      </c>
      <c r="BC32" s="18">
        <f t="shared" si="33"/>
        <v>1563.99999999994</v>
      </c>
      <c r="BD32" s="18">
        <f t="shared" si="34"/>
        <v>15559.5999999976</v>
      </c>
      <c r="BE32" s="18">
        <f t="shared" si="35"/>
        <v>50900.0000000015</v>
      </c>
      <c r="BF32" s="18">
        <f t="shared" si="36"/>
        <v>54.5</v>
      </c>
      <c r="BG32" s="21">
        <f t="shared" si="37"/>
        <v>0.314011450004944</v>
      </c>
      <c r="BH32" s="21">
        <f t="shared" si="38"/>
        <v>0.0491461849768029</v>
      </c>
      <c r="BI32" s="21">
        <f t="shared" si="39"/>
        <v>0</v>
      </c>
      <c r="BJ32" s="21">
        <f t="shared" si="40"/>
        <v>0.0399146184976786</v>
      </c>
      <c r="BK32" s="21">
        <f t="shared" ref="BK32:BO32" si="176">IF(OR($AD32=0),"",AZ32/$AD32)</f>
        <v>0.0832839798637844</v>
      </c>
      <c r="BL32" s="21">
        <f t="shared" si="176"/>
        <v>0.032079755206818</v>
      </c>
      <c r="BM32" s="21">
        <f t="shared" si="176"/>
        <v>0.00394827756391274</v>
      </c>
      <c r="BN32" s="21">
        <f t="shared" si="176"/>
        <v>0.00964860329681141</v>
      </c>
      <c r="BO32" s="21">
        <f t="shared" si="176"/>
        <v>0.0959900305991363</v>
      </c>
    </row>
    <row r="33" spans="1:67">
      <c r="A33" s="9">
        <f t="shared" si="20"/>
        <v>44560</v>
      </c>
      <c r="B33" s="10">
        <v>17424.62</v>
      </c>
      <c r="C33" s="8">
        <v>96878.3</v>
      </c>
      <c r="D33" s="8">
        <v>62346.2</v>
      </c>
      <c r="E33" s="8">
        <v>59476.8</v>
      </c>
      <c r="F33" s="8">
        <v>6515.2</v>
      </c>
      <c r="G33" s="8">
        <v>116862.2</v>
      </c>
      <c r="H33" s="8">
        <v>5709.7</v>
      </c>
      <c r="I33" s="8">
        <v>2566.3</v>
      </c>
      <c r="J33" s="8">
        <v>967</v>
      </c>
      <c r="K33" s="8">
        <v>56</v>
      </c>
      <c r="L33" s="8">
        <v>95070.2</v>
      </c>
      <c r="M33" s="8">
        <v>61529.1</v>
      </c>
      <c r="N33" s="8">
        <v>76709.4</v>
      </c>
      <c r="O33" s="8">
        <v>106473.3</v>
      </c>
      <c r="P33" s="8">
        <v>5973.8</v>
      </c>
      <c r="Q33" s="8">
        <v>7838.3</v>
      </c>
      <c r="R33" s="8">
        <v>4687.8</v>
      </c>
      <c r="S33" s="8">
        <v>5514.2</v>
      </c>
      <c r="T33" s="8">
        <v>7019.1</v>
      </c>
      <c r="U33" s="8">
        <v>18042.4</v>
      </c>
      <c r="V33" s="8">
        <v>52190.2</v>
      </c>
      <c r="W33" s="8">
        <v>54879.6</v>
      </c>
      <c r="X33" s="8">
        <v>3977.1</v>
      </c>
      <c r="Y33" s="8">
        <v>3739.4</v>
      </c>
      <c r="Z33" s="16">
        <f t="shared" si="21"/>
        <v>62596.1</v>
      </c>
      <c r="AA33" s="8">
        <v>71425.1</v>
      </c>
      <c r="AB33" s="14">
        <v>5234</v>
      </c>
      <c r="AC33" s="7">
        <f t="shared" si="22"/>
        <v>76659.1</v>
      </c>
      <c r="AD33" s="17">
        <v>147454</v>
      </c>
      <c r="AE33" s="18">
        <f t="shared" ref="AE33:AI33" si="177">IF(OR(C34=""),"",(C34-C33)*80)</f>
        <v>3767.9999999993</v>
      </c>
      <c r="AF33" s="18">
        <f t="shared" si="177"/>
        <v>1992.00000000012</v>
      </c>
      <c r="AG33" s="18">
        <f t="shared" si="177"/>
        <v>0</v>
      </c>
      <c r="AH33" s="18">
        <f t="shared" si="177"/>
        <v>20</v>
      </c>
      <c r="AI33" s="18">
        <f t="shared" si="177"/>
        <v>1752.0000000007</v>
      </c>
      <c r="AJ33" s="18">
        <f t="shared" si="24"/>
        <v>7532.00000000012</v>
      </c>
      <c r="AK33" s="18">
        <f t="shared" ref="AK33:AN33" si="178">IF(OR(H34=""),"",(H34-H33)*80)</f>
        <v>0</v>
      </c>
      <c r="AL33" s="18">
        <f t="shared" si="178"/>
        <v>0</v>
      </c>
      <c r="AM33" s="18">
        <f t="shared" si="178"/>
        <v>0</v>
      </c>
      <c r="AN33" s="18">
        <f t="shared" si="178"/>
        <v>0</v>
      </c>
      <c r="AO33" s="18">
        <f t="shared" si="26"/>
        <v>0</v>
      </c>
      <c r="AP33" s="18">
        <f t="shared" ref="AP33:AS33" si="179">IF(OR(L34=""),"",(L34-L33)*100)</f>
        <v>1330.00000000029</v>
      </c>
      <c r="AQ33" s="18">
        <f t="shared" si="179"/>
        <v>0</v>
      </c>
      <c r="AR33" s="18">
        <f t="shared" si="179"/>
        <v>2840.00000000087</v>
      </c>
      <c r="AS33" s="18">
        <f t="shared" si="179"/>
        <v>1769.99999999971</v>
      </c>
      <c r="AT33" s="18">
        <f t="shared" si="28"/>
        <v>5940.00000000087</v>
      </c>
      <c r="AU33" s="18">
        <f t="shared" ref="AU33:AY33" si="180">IF(OR(P34=""),"",(P34-P33)*1000)</f>
        <v>4000</v>
      </c>
      <c r="AV33" s="18">
        <f t="shared" si="180"/>
        <v>2800.00000000018</v>
      </c>
      <c r="AW33" s="18">
        <f t="shared" si="180"/>
        <v>0</v>
      </c>
      <c r="AX33" s="18">
        <f t="shared" si="180"/>
        <v>100.000000000364</v>
      </c>
      <c r="AY33" s="18">
        <f t="shared" si="180"/>
        <v>5699.99999999982</v>
      </c>
      <c r="AZ33" s="18">
        <f t="shared" si="30"/>
        <v>12600.0000000004</v>
      </c>
      <c r="BA33" s="18">
        <f t="shared" si="31"/>
        <v>4599.99999999854</v>
      </c>
      <c r="BB33" s="18">
        <f t="shared" si="32"/>
        <v>520</v>
      </c>
      <c r="BC33" s="18">
        <f t="shared" si="33"/>
        <v>1543.99999999994</v>
      </c>
      <c r="BD33" s="18">
        <f t="shared" si="34"/>
        <v>14864.0000000205</v>
      </c>
      <c r="BE33" s="18">
        <f t="shared" si="35"/>
        <v>47600.0000000204</v>
      </c>
      <c r="BF33" s="18">
        <f t="shared" si="36"/>
        <v>47.1999999999971</v>
      </c>
      <c r="BG33" s="21">
        <f t="shared" si="37"/>
        <v>0.322812538147628</v>
      </c>
      <c r="BH33" s="21">
        <f t="shared" si="38"/>
        <v>0.051080336918633</v>
      </c>
      <c r="BI33" s="21">
        <f t="shared" si="39"/>
        <v>0</v>
      </c>
      <c r="BJ33" s="21">
        <f t="shared" si="40"/>
        <v>0.0402837495083272</v>
      </c>
      <c r="BK33" s="21">
        <f t="shared" ref="BK33:BO33" si="181">IF(OR($AD33=0),"",AZ33/$AD33)</f>
        <v>0.0854503777449263</v>
      </c>
      <c r="BL33" s="21">
        <f t="shared" si="181"/>
        <v>0.0311961696528988</v>
      </c>
      <c r="BM33" s="21">
        <f t="shared" si="181"/>
        <v>0.00352652352598098</v>
      </c>
      <c r="BN33" s="21">
        <f t="shared" si="181"/>
        <v>0.0104710621617585</v>
      </c>
      <c r="BO33" s="21">
        <f t="shared" si="181"/>
        <v>0.100804318635103</v>
      </c>
    </row>
    <row r="34" spans="1:67">
      <c r="A34" s="9">
        <f t="shared" si="20"/>
        <v>44561</v>
      </c>
      <c r="B34" s="7">
        <v>17429.38</v>
      </c>
      <c r="C34" s="8">
        <v>96925.4</v>
      </c>
      <c r="D34" s="8">
        <v>62371.1</v>
      </c>
      <c r="E34" s="8">
        <v>59476.8</v>
      </c>
      <c r="F34" s="8">
        <v>6515.45</v>
      </c>
      <c r="G34" s="8">
        <v>116884.1</v>
      </c>
      <c r="H34" s="8">
        <v>5709.7</v>
      </c>
      <c r="I34" s="8">
        <v>2566.3</v>
      </c>
      <c r="J34" s="8">
        <v>967</v>
      </c>
      <c r="K34" s="8">
        <v>56</v>
      </c>
      <c r="L34" s="8">
        <v>95083.5</v>
      </c>
      <c r="M34" s="8">
        <v>61529.1</v>
      </c>
      <c r="N34" s="8">
        <v>76737.8</v>
      </c>
      <c r="O34" s="8">
        <v>106491</v>
      </c>
      <c r="P34" s="8">
        <v>5977.8</v>
      </c>
      <c r="Q34" s="8">
        <v>7841.1</v>
      </c>
      <c r="R34" s="8">
        <v>4687.8</v>
      </c>
      <c r="S34" s="8">
        <v>5514.3</v>
      </c>
      <c r="T34" s="8">
        <v>7024.8</v>
      </c>
      <c r="U34" s="8">
        <v>18044.7</v>
      </c>
      <c r="V34" s="8">
        <v>52196.7</v>
      </c>
      <c r="W34" s="8">
        <v>54897.1</v>
      </c>
      <c r="X34" s="8">
        <v>3987.4</v>
      </c>
      <c r="Y34" s="8">
        <v>3750.2</v>
      </c>
      <c r="Z34" s="16">
        <f t="shared" si="21"/>
        <v>62634.7</v>
      </c>
      <c r="AA34" s="8">
        <v>71469.3</v>
      </c>
      <c r="AB34" s="14">
        <v>5237</v>
      </c>
      <c r="AC34" s="7">
        <f t="shared" si="22"/>
        <v>76706.3</v>
      </c>
      <c r="AD34" s="17">
        <v>146453</v>
      </c>
      <c r="AE34" s="18">
        <f t="shared" ref="AE34:AI34" si="182">IF(OR(C35=""),"",(C35-C34)*80)</f>
        <v>3744.00000000023</v>
      </c>
      <c r="AF34" s="18">
        <f t="shared" si="182"/>
        <v>2127.99999999988</v>
      </c>
      <c r="AG34" s="18">
        <f t="shared" si="182"/>
        <v>0</v>
      </c>
      <c r="AH34" s="18">
        <f t="shared" si="182"/>
        <v>4.80000000003201</v>
      </c>
      <c r="AI34" s="18">
        <f t="shared" si="182"/>
        <v>1407.9999999993</v>
      </c>
      <c r="AJ34" s="18">
        <f t="shared" si="24"/>
        <v>7284.79999999945</v>
      </c>
      <c r="AK34" s="18">
        <f t="shared" ref="AK34:AN34" si="183">IF(OR(H35=""),"",(H35-H34)*80)</f>
        <v>0</v>
      </c>
      <c r="AL34" s="18">
        <f t="shared" si="183"/>
        <v>0</v>
      </c>
      <c r="AM34" s="18">
        <f t="shared" si="183"/>
        <v>0</v>
      </c>
      <c r="AN34" s="18">
        <f t="shared" si="183"/>
        <v>0</v>
      </c>
      <c r="AO34" s="18">
        <f t="shared" si="26"/>
        <v>0</v>
      </c>
      <c r="AP34" s="18">
        <f t="shared" ref="AP34:AS34" si="184">IF(OR(L35=""),"",(L35-L34)*100)</f>
        <v>1450</v>
      </c>
      <c r="AQ34" s="18">
        <f t="shared" si="184"/>
        <v>0</v>
      </c>
      <c r="AR34" s="18">
        <f t="shared" si="184"/>
        <v>2809.99999999913</v>
      </c>
      <c r="AS34" s="18">
        <f t="shared" si="184"/>
        <v>1469.99999999971</v>
      </c>
      <c r="AT34" s="18">
        <f t="shared" si="28"/>
        <v>5729.99999999884</v>
      </c>
      <c r="AU34" s="18">
        <f t="shared" ref="AU34:AY34" si="185">IF(OR(P35=""),"",(P35-P34)*1000)</f>
        <v>3399.99999999964</v>
      </c>
      <c r="AV34" s="18">
        <f t="shared" si="185"/>
        <v>2599.99999999945</v>
      </c>
      <c r="AW34" s="18">
        <f t="shared" si="185"/>
        <v>0</v>
      </c>
      <c r="AX34" s="18">
        <f t="shared" si="185"/>
        <v>3399.99999999964</v>
      </c>
      <c r="AY34" s="18">
        <f t="shared" si="185"/>
        <v>1099.99999999945</v>
      </c>
      <c r="AZ34" s="18">
        <f t="shared" si="30"/>
        <v>10499.9999999982</v>
      </c>
      <c r="BA34" s="18">
        <f t="shared" si="31"/>
        <v>4599.99999999854</v>
      </c>
      <c r="BB34" s="18">
        <f t="shared" si="32"/>
        <v>640</v>
      </c>
      <c r="BC34" s="18">
        <f t="shared" si="33"/>
        <v>1223.99999999994</v>
      </c>
      <c r="BD34" s="18">
        <f t="shared" si="34"/>
        <v>16721.1999999876</v>
      </c>
      <c r="BE34" s="18">
        <f t="shared" si="35"/>
        <v>46699.9999999825</v>
      </c>
      <c r="BF34" s="18">
        <f t="shared" si="36"/>
        <v>47.0999999999913</v>
      </c>
      <c r="BG34" s="21">
        <f t="shared" si="37"/>
        <v>0.3188736318135</v>
      </c>
      <c r="BH34" s="21">
        <f t="shared" si="38"/>
        <v>0.0497415553112565</v>
      </c>
      <c r="BI34" s="21">
        <f t="shared" si="39"/>
        <v>0</v>
      </c>
      <c r="BJ34" s="21">
        <f t="shared" si="40"/>
        <v>0.0391251800918987</v>
      </c>
      <c r="BK34" s="21">
        <f t="shared" ref="BK34:BO34" si="186">IF(OR($AD34=0),"",AZ34/$AD34)</f>
        <v>0.0716953561893453</v>
      </c>
      <c r="BL34" s="21">
        <f t="shared" si="186"/>
        <v>0.0314093941400896</v>
      </c>
      <c r="BM34" s="21">
        <f t="shared" si="186"/>
        <v>0.00437000266297037</v>
      </c>
      <c r="BN34" s="21">
        <f t="shared" si="186"/>
        <v>0.00835763009293044</v>
      </c>
      <c r="BO34" s="21">
        <f t="shared" si="186"/>
        <v>0.114174513325009</v>
      </c>
    </row>
    <row r="35" spans="1:67">
      <c r="A35" s="9">
        <f t="shared" si="20"/>
        <v>44562</v>
      </c>
      <c r="B35" s="10">
        <v>17434.05</v>
      </c>
      <c r="C35" s="11">
        <v>96972.2</v>
      </c>
      <c r="D35" s="11">
        <v>62397.7</v>
      </c>
      <c r="E35" s="8">
        <v>59476.8</v>
      </c>
      <c r="F35" s="11">
        <v>6515.51</v>
      </c>
      <c r="G35" s="11">
        <v>116901.7</v>
      </c>
      <c r="H35" s="8">
        <v>5709.7</v>
      </c>
      <c r="I35" s="8">
        <v>2566.3</v>
      </c>
      <c r="J35" s="8">
        <v>967</v>
      </c>
      <c r="K35" s="8">
        <v>56</v>
      </c>
      <c r="L35" s="11">
        <v>95098</v>
      </c>
      <c r="M35" s="11">
        <v>61529.1</v>
      </c>
      <c r="N35" s="11">
        <v>76765.9</v>
      </c>
      <c r="O35" s="11">
        <v>106505.7</v>
      </c>
      <c r="P35" s="11">
        <v>5981.2</v>
      </c>
      <c r="Q35" s="11">
        <v>7843.7</v>
      </c>
      <c r="R35" s="8">
        <v>4687.8</v>
      </c>
      <c r="S35" s="11">
        <v>5517.7</v>
      </c>
      <c r="T35" s="11">
        <v>7025.9</v>
      </c>
      <c r="U35" s="11">
        <v>18047</v>
      </c>
      <c r="V35" s="11">
        <v>52204.7</v>
      </c>
      <c r="W35" s="11">
        <v>54914.2</v>
      </c>
      <c r="X35" s="11">
        <v>3990.2</v>
      </c>
      <c r="Y35" s="11">
        <v>3760.9</v>
      </c>
      <c r="Z35" s="16">
        <f t="shared" si="21"/>
        <v>62665.3</v>
      </c>
      <c r="AA35" s="11">
        <v>71513.4</v>
      </c>
      <c r="AB35" s="3">
        <v>5240</v>
      </c>
      <c r="AC35" s="3">
        <f t="shared" si="22"/>
        <v>76753.4</v>
      </c>
      <c r="BE35" s="22" t="s">
        <v>44</v>
      </c>
      <c r="BF35" s="22" t="s">
        <v>19</v>
      </c>
      <c r="BG35" s="23">
        <f>SUM(BE4:BE34)</f>
        <v>1505900</v>
      </c>
      <c r="BH35" s="23">
        <f>SUM(AJ4:AJ34)</f>
        <v>221469.6</v>
      </c>
      <c r="BI35" s="23">
        <f>SUM(AO4:AO34)</f>
        <v>0</v>
      </c>
      <c r="BJ35" s="23">
        <f>SUM(AT4:AT34)</f>
        <v>193059.999999999</v>
      </c>
      <c r="BK35" s="23">
        <f t="shared" ref="BK35:BO35" si="187">SUM(AZ4:AZ34)</f>
        <v>368999.999999999</v>
      </c>
      <c r="BL35" s="23">
        <f t="shared" si="187"/>
        <v>216400.000000001</v>
      </c>
      <c r="BM35" s="23">
        <f t="shared" si="187"/>
        <v>24767.9999999999</v>
      </c>
      <c r="BN35" s="23">
        <f t="shared" si="187"/>
        <v>50535.9999999998</v>
      </c>
      <c r="BO35" s="23">
        <f t="shared" si="187"/>
        <v>430666.400000003</v>
      </c>
    </row>
    <row r="36" spans="7:67">
      <c r="G36" s="3">
        <v>0</v>
      </c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22">
        <f>SUM(AD4:AD34)</f>
        <v>4794852</v>
      </c>
      <c r="BF36" s="22" t="s">
        <v>21</v>
      </c>
      <c r="BG36" s="24">
        <f>IF(OR(BG35=0),"",ROUND(BG35/$BE$36,3))</f>
        <v>0.314</v>
      </c>
      <c r="BH36" s="24">
        <f t="shared" ref="BH36:BO36" si="188">IF(OR(BH35=0),"",ROUND(BH35/$BE$36,4))</f>
        <v>0.0462</v>
      </c>
      <c r="BI36" s="24" t="str">
        <f t="shared" si="188"/>
        <v/>
      </c>
      <c r="BJ36" s="24">
        <f t="shared" si="188"/>
        <v>0.0403</v>
      </c>
      <c r="BK36" s="24">
        <f t="shared" si="188"/>
        <v>0.077</v>
      </c>
      <c r="BL36" s="24">
        <f t="shared" si="188"/>
        <v>0.0451</v>
      </c>
      <c r="BM36" s="24">
        <f t="shared" si="188"/>
        <v>0.0052</v>
      </c>
      <c r="BN36" s="24">
        <f t="shared" si="188"/>
        <v>0.0105</v>
      </c>
      <c r="BO36" s="24">
        <f t="shared" si="188"/>
        <v>0.0898</v>
      </c>
    </row>
  </sheetData>
  <mergeCells count="35">
    <mergeCell ref="A1:BO1"/>
    <mergeCell ref="C2:G2"/>
    <mergeCell ref="H2:K2"/>
    <mergeCell ref="L2:O2"/>
    <mergeCell ref="P2:T2"/>
    <mergeCell ref="X2:Y2"/>
    <mergeCell ref="AE2:AJ2"/>
    <mergeCell ref="AK2:AO2"/>
    <mergeCell ref="AP2:AT2"/>
    <mergeCell ref="AU2:AZ2"/>
    <mergeCell ref="A2:A3"/>
    <mergeCell ref="B2:B3"/>
    <mergeCell ref="U2:U3"/>
    <mergeCell ref="V2:V3"/>
    <mergeCell ref="W2:W3"/>
    <mergeCell ref="Z2:Z3"/>
    <mergeCell ref="AA2:AA3"/>
    <mergeCell ref="AB2:AB3"/>
    <mergeCell ref="AC2:AC3"/>
    <mergeCell ref="AD2:AD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</mergeCells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ASUKER</cp:lastModifiedBy>
  <dcterms:created xsi:type="dcterms:W3CDTF">2019-01-01T06:33:00Z</dcterms:created>
  <dcterms:modified xsi:type="dcterms:W3CDTF">2022-01-06T01:30:34Z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CD370B1D58DF4F0FBD390D871354A67D</vt:lpwstr>
  </property>
</Properties>
</file>