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<sst xmlns="http://schemas.openxmlformats.org/spreadsheetml/2006/main" count="934" uniqueCount="312">
  <si>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</si>
  <si>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</si>
  <si>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</si>
  <si>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</si>
  <si>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</si>
  <si>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</si>
  <si>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</si>
  <si>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</si>
  <si>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</si>
  <si>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</si>
  <si>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</si>
  <si>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</si>
  <si>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</si>
  <si>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</si>
  <si>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</si>
  <si>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</si>
  <si>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</si>
  <si>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</si>
  <si>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</si>
  <si>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</si>
  <si>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</si>
  <si>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</si>
  <si>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</si>
  <si>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</si>
  <si>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</si>
  <si>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</si>
  <si>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</si>
  <si>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</si>
  <si>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</si>
  <si>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</si>
  <si>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</si>
  <si>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</si>
  <si>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</si>
  <si>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</si>
  <si>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</si>
  <si>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</si>
  <si>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</si>
  <si>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</si>
  <si>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</si>
  <si>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</si>
  <si>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</si>
  <si>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</si>
  <si>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</si>
  <si>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雨</t>
  </si>
  <si>
    <t>工业盐酸</t>
  </si>
  <si>
    <t>工业氯酸钠</t>
  </si>
  <si>
    <t>混凝药剂</t>
  </si>
  <si>
    <t>污泥外运</t>
  </si>
  <si>
    <t>计算见下表</t>
  </si>
  <si>
    <t>自来水</t>
  </si>
  <si>
    <t>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</si>
  <si>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</si>
  <si>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</si>
  <si>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</si>
  <si>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</si>
  <si>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</si>
  <si>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</si>
  <si>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</si>
  <si>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</si>
  <si>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</si>
  <si>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</si>
  <si>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</si>
  <si>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</si>
  <si>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</si>
  <si>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</si>
  <si>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</si>
  <si>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</si>
  <si>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</si>
  <si>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</si>
  <si>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</si>
  <si>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</si>
  <si>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</si>
  <si>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</si>
  <si>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</si>
  <si>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</si>
  <si>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</si>
  <si>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</si>
  <si>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</si>
  <si>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</si>
  <si>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</si>
  <si>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</si>
  <si>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</si>
  <si>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</si>
  <si>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</si>
  <si>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</si>
  <si>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</si>
  <si>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</si>
  <si>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</si>
  <si>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</si>
  <si>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</si>
  <si>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</si>
  <si>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</si>
  <si>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</si>
  <si>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</si>
  <si>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</si>
  <si>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</si>
  <si>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</si>
  <si>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</si>
  <si>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</si>
  <si>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</si>
  <si>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</si>
  <si>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</si>
  <si>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</si>
  <si>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</si>
  <si>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</si>
  <si>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</si>
  <si>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</si>
  <si>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</si>
  <si>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</si>
  <si>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</si>
  <si>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</si>
  <si>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</si>
  <si>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</si>
  <si>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</si>
  <si>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</si>
  <si>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</si>
  <si>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</si>
  <si>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</si>
  <si>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</si>
  <si>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</si>
  <si>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</si>
  <si>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</si>
  <si>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</si>
  <si>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</si>
  <si>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</si>
  <si>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</si>
  <si>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</si>
  <si>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</si>
  <si>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</si>
  <si>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</si>
  <si>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</si>
  <si>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本月产生泥饼3263.18吨，其中运往常州市英科环境科技有限公司2693.40吨，国电常州发电有限公司569.78吨。</t>
  </si>
  <si>
    <t>审核：                                               制表：                               制表日期：2023/1/3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</si>
  <si>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</si>
  <si>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</si>
  <si>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</si>
  <si>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</si>
  <si>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</si>
  <si>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</si>
  <si>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</si>
  <si>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</si>
  <si>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</si>
  <si>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</si>
  <si>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</si>
  <si>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</si>
  <si>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</si>
  <si>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</si>
  <si>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制表时间：2023/1/3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</si>
  <si>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</si>
  <si>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</si>
  <si>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</si>
  <si>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</si>
  <si>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</si>
  <si>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</si>
  <si>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</si>
  <si>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</si>
  <si>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</si>
  <si>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</si>
  <si>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</si>
  <si>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</si>
  <si>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</si>
  <si>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</si>
  <si>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</si>
  <si>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</si>
  <si>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</si>
  <si>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</si>
  <si>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</si>
  <si>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</si>
  <si>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</si>
  <si>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</si>
  <si>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</si>
  <si>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</si>
  <si>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</si>
  <si>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</si>
  <si>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</si>
  <si>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</si>
  <si>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</si>
  <si>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</si>
  <si>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</si>
  <si>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6日加油保养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</si>
  <si>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</si>
  <si>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</si>
  <si>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</si>
  <si>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</si>
  <si>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</si>
  <si>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</si>
  <si>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</si>
  <si>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</si>
  <si>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</si>
  <si>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</si>
  <si>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</si>
  <si>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</si>
  <si>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28日加油保养</t>
  </si>
  <si>
    <t>制表时间：2023/1/4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</si>
  <si>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</si>
  <si>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</si>
  <si>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</si>
  <si>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</si>
  <si>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</si>
  <si>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</si>
  <si>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</si>
  <si>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</si>
  <si>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</si>
  <si>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</si>
  <si>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</si>
  <si>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</si>
  <si>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</si>
  <si>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</si>
  <si>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</si>
  <si>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</si>
  <si>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</si>
  <si>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</si>
  <si>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</si>
  <si>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</si>
  <si>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</si>
  <si>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</si>
  <si>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</si>
  <si>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</si>
  <si>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</si>
  <si>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</si>
  <si>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</si>
  <si>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</si>
  <si>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</si>
  <si>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</si>
  <si>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</si>
  <si>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</si>
  <si>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</si>
  <si>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</si>
  <si>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</si>
  <si>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</si>
  <si>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</si>
  <si>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</si>
  <si>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</si>
  <si>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</si>
  <si>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</si>
  <si>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</si>
  <si>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</si>
  <si>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</si>
  <si>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</si>
  <si>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</si>
  <si>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</si>
  <si>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</si>
  <si>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</si>
  <si>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</si>
  <si>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</si>
  <si>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</si>
  <si>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</si>
  <si>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</si>
  <si>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</si>
  <si>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</si>
  <si>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5日检查保养</t>
  </si>
  <si>
    <t>V型滤池
（北）</t>
  </si>
  <si>
    <t>5日检查保养、14日更换电磁阀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</si>
  <si>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</si>
  <si>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</si>
  <si>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</si>
  <si>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</si>
  <si>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</si>
  <si>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增压水泵</t>
  </si>
  <si>
    <t>23日更换备用泵</t>
  </si>
  <si>
    <t>脱
水
机
房</t>
  </si>
  <si>
    <t>浓缩池刮泥机</t>
  </si>
  <si>
    <t>进泥泵</t>
  </si>
  <si>
    <t>7日更换进泥泵定转子</t>
  </si>
  <si>
    <t>脱水离心机</t>
  </si>
  <si>
    <t>29日加油保养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</si>
  <si>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</si>
  <si>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</si>
  <si>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</si>
  <si>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</si>
  <si>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</si>
  <si>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</si>
  <si>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</si>
  <si>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</si>
  <si>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</si>
  <si>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</si>
  <si>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</si>
  <si>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2022-12-08 2022-12-15 2022-12-22 2022-12-29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</si>
  <si>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</si>
  <si>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</si>
  <si>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</si>
  <si>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</si>
  <si>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</si>
  <si>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</si>
  <si>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</si>
  <si>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</si>
  <si>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</si>
  <si>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</si>
  <si>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</si>
  <si>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</si>
  <si>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</si>
  <si>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</si>
  <si>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制表日期：2023/1/4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</si>
  <si>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</si>
  <si>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</si>
  <si>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</si>
  <si>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</si>
  <si>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采样时间：2022-12-24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</si>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</sst>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8"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  <numFmt numFmtId="177" formatCode="0.0%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0.0;[Red]0.0"/>
    <numFmt numFmtId="179" formatCode="0.0_ "/>
    <numFmt numFmtId="180" formatCode="0.00;[Red]0.00"/>
    <numFmt numFmtId="181" formatCode="0_);[Red]\(0\)"/>
    <numFmt numFmtId="182" formatCode="0.0;_ﰀ"/>
    <numFmt numFmtId="183" formatCode="0;_ﰀ"/>
    <numFmt numFmtId="184" formatCode="0.00_);[Red]\(0.00\)"/>
    <numFmt numFmtId="185" formatCode="0.000;_鰀"/>
    <numFmt numFmtId="186" formatCode="0.0000_);[Red]\(0.0000\)"/>
    <numFmt numFmtId="187" formatCode="0;_䠀"/>
    <numFmt numFmtId="188" formatCode="#,##0.00_ "/>
    <numFmt numFmtId="189" formatCode="0.000_ "/>
    <numFmt numFmtId="190" formatCode="0.0_);\(0.0\)"/>
    <numFmt numFmtId="191" formatCode="yyyy&quot;年&quot;m&quot;月&quot;;@"/>
    <numFmt numFmtId="192" formatCode="0.000_);[Red]\(0.000\)"/>
    <numFmt numFmtId="193" formatCode="0;[Red]0"/>
    <numFmt numFmtId="194" formatCode="0;_鰀"/>
    <numFmt numFmtId="195" formatCode="0.00_ "/>
    <numFmt numFmtId="196" formatCode="0.0_);[Red]\(0.0\)"/>
    <numFmt numFmtId="197" formatCode="0.00;_鰀"/>
    <numFmt numFmtId="198" formatCode="yyyy/m/d;@"/>
    <numFmt numFmtId="199" formatCode="0.00;_ﰀ"/>
  </numFmts>
  <fonts count="56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u/>
      <sz val="12"/>
      <color indexed="36"/>
      <name val="宋体"/>
      <charset val="134"/>
    </font>
    <font>
      <u/>
      <sz val="12"/>
      <color indexed="12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3" fillId="20" borderId="0" applyNumberFormat="0" applyBorder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3" fillId="19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3" fillId="1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5" fillId="1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35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5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0" fillId="0" borderId="0"/>
    <xf numFmtId="0" fontId="35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>
      <alignment vertical="top"/>
      <protection locked="0"/>
    </xf>
    <xf numFmtId="0" fontId="35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3" fillId="18" borderId="24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0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>
      <alignment vertical="top"/>
      <protection locked="0"/>
    </xf>
    <xf numFmtId="0" fontId="47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35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38" fillId="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35" fillId="0" borderId="0">
      <alignment vertical="center"/>
    </xf>
    <xf numFmtId="0" fontId="42" fillId="9" borderId="23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21" borderId="27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3" fillId="23" borderId="0" applyNumberFormat="0" applyBorder="0" applyAlignment="0" applyProtection="0">
      <alignment vertical="center"/>
    </xf>
    <xf numFmtId="0" fontId="0" fillId="0" borderId="0"/>
    <xf numFmtId="0" fontId="33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20" applyNumberFormat="0" applyFill="0" applyAlignment="0" applyProtection="0">
      <alignment vertical="center"/>
    </xf>
    <xf numFmtId="0" fontId="0" fillId="0" borderId="0"/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9" fillId="6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6" borderId="23" applyNumberFormat="0" applyAlignment="0" applyProtection="0">
      <alignment vertical="center"/>
    </xf>
    <xf numFmtId="0" fontId="0" fillId="0" borderId="0"/>
    <xf numFmtId="0" fontId="49" fillId="6" borderId="23" applyNumberFormat="0" applyAlignment="0" applyProtection="0">
      <alignment vertical="center"/>
    </xf>
    <xf numFmtId="0" fontId="0" fillId="0" borderId="0"/>
    <xf numFmtId="0" fontId="0" fillId="0" borderId="0"/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42" fillId="9" borderId="23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3" fillId="18" borderId="24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49" fillId="6" borderId="23" applyNumberForma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0" fillId="0" borderId="0">
      <alignment vertical="center"/>
    </xf>
    <xf numFmtId="0" fontId="35" fillId="8" borderId="0" applyNumberFormat="0" applyBorder="0" applyAlignment="0" applyProtection="0">
      <alignment vertical="center"/>
    </xf>
  </cellStyleXfs>
  <cellXfs count="32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5" fillId="0" borderId="0" xfId="0" applyNumberFormat="1" applyFont="1"/>
    <xf numFmtId="188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9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93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96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95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1" fontId="1" fillId="0" borderId="1" xfId="10" applyNumberFormat="1" applyFont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93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95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93" fontId="17" fillId="0" borderId="0" xfId="0" applyNumberFormat="1" applyFont="1" applyBorder="1" applyAlignment="1">
      <alignment vertical="center"/>
    </xf>
    <xf numFmtId="193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95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79" fontId="19" fillId="0" borderId="4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195" fontId="19" fillId="0" borderId="0" xfId="0" applyNumberFormat="1" applyFont="1" applyFill="1" applyAlignment="1">
      <alignment horizontal="center" vertical="center"/>
    </xf>
    <xf numFmtId="195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79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5" fontId="19" fillId="0" borderId="11" xfId="0" applyNumberFormat="1" applyFont="1" applyFill="1" applyBorder="1" applyAlignment="1">
      <alignment horizontal="center" vertical="center"/>
    </xf>
    <xf numFmtId="195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0" fontId="1" fillId="0" borderId="1" xfId="10" applyNumberFormat="1" applyFont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93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7" fontId="20" fillId="0" borderId="5" xfId="20" applyNumberFormat="1" applyFont="1" applyFill="1" applyBorder="1" applyAlignment="1">
      <alignment horizontal="center" vertical="center"/>
    </xf>
    <xf numFmtId="189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77" fontId="20" fillId="0" borderId="8" xfId="20" applyNumberFormat="1" applyFont="1" applyFill="1" applyBorder="1" applyAlignment="1">
      <alignment horizontal="center" vertical="center"/>
    </xf>
    <xf numFmtId="195" fontId="20" fillId="0" borderId="8" xfId="0" applyNumberFormat="1" applyFont="1" applyFill="1" applyBorder="1" applyAlignment="1">
      <alignment horizontal="center" vertical="center"/>
    </xf>
    <xf numFmtId="179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77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93" fontId="0" fillId="0" borderId="0" xfId="0" applyNumberFormat="1"/>
    <xf numFmtId="177" fontId="0" fillId="0" borderId="0" xfId="0" applyNumberFormat="1"/>
    <xf numFmtId="184" fontId="1" fillId="0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7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95" fontId="9" fillId="0" borderId="1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94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76" fontId="9" fillId="0" borderId="1" xfId="492" applyNumberFormat="1" applyFont="1" applyBorder="1" applyAlignment="1">
      <alignment horizontal="center" vertical="center" wrapText="1"/>
    </xf>
    <xf numFmtId="195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79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195" fontId="9" fillId="0" borderId="13" xfId="0" applyNumberFormat="1" applyFont="1" applyBorder="1" applyAlignment="1">
      <alignment horizontal="center" vertical="center" wrapText="1"/>
    </xf>
    <xf numFmtId="195" fontId="9" fillId="0" borderId="14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6" fontId="0" fillId="0" borderId="0" xfId="0" applyNumberFormat="1" applyFont="1"/>
    <xf numFmtId="189" fontId="9" fillId="0" borderId="1" xfId="492" applyNumberFormat="1" applyFont="1" applyBorder="1" applyAlignment="1">
      <alignment horizontal="center" vertical="center" wrapText="1"/>
    </xf>
    <xf numFmtId="195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5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84" fontId="9" fillId="0" borderId="1" xfId="492" applyNumberFormat="1" applyFont="1" applyFill="1" applyBorder="1" applyAlignment="1">
      <alignment horizontal="center" vertical="center" wrapText="1"/>
    </xf>
    <xf numFmtId="188" fontId="9" fillId="0" borderId="0" xfId="0" applyNumberFormat="1" applyFont="1"/>
    <xf numFmtId="195" fontId="9" fillId="0" borderId="1" xfId="0" applyNumberFormat="1" applyFont="1" applyBorder="1" applyAlignment="1">
      <alignment horizontal="center" vertical="center"/>
    </xf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7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2" applyNumberFormat="1" applyFont="1" applyFill="1" applyBorder="1" applyAlignment="1">
      <alignment horizontal="center" vertical="center" wrapText="1"/>
    </xf>
    <xf numFmtId="197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197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342" applyFont="1" applyFill="1" applyBorder="1" applyAlignment="1">
      <alignment horizontal="center" vertical="center" wrapText="1"/>
    </xf>
    <xf numFmtId="176" fontId="12" fillId="0" borderId="1" xfId="342" applyNumberFormat="1" applyFont="1" applyFill="1" applyBorder="1" applyAlignment="1">
      <alignment horizontal="center" vertical="center" wrapText="1"/>
    </xf>
    <xf numFmtId="179" fontId="12" fillId="0" borderId="1" xfId="342" applyNumberFormat="1" applyFont="1" applyFill="1" applyBorder="1" applyAlignment="1">
      <alignment horizontal="center" vertical="center" wrapText="1"/>
    </xf>
    <xf numFmtId="184" fontId="1" fillId="0" borderId="1" xfId="342" applyNumberFormat="1" applyFont="1" applyFill="1" applyBorder="1" applyAlignment="1">
      <alignment horizontal="center" vertical="center" wrapText="1"/>
    </xf>
    <xf numFmtId="0" fontId="12" fillId="0" borderId="1" xfId="342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9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4" fontId="12" fillId="0" borderId="1" xfId="342" applyNumberFormat="1" applyFont="1" applyFill="1" applyBorder="1" applyAlignment="1">
      <alignment horizontal="center" vertical="center" wrapText="1"/>
    </xf>
    <xf numFmtId="194" fontId="12" fillId="0" borderId="1" xfId="508" applyNumberFormat="1" applyFont="1" applyFill="1" applyBorder="1" applyAlignment="1">
      <alignment horizontal="center" vertical="center" wrapText="1"/>
    </xf>
    <xf numFmtId="197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84" fontId="2" fillId="0" borderId="0" xfId="485" applyNumberFormat="1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4" fontId="30" fillId="0" borderId="0" xfId="0" applyNumberFormat="1" applyFont="1" applyAlignment="1">
      <alignment horizontal="center" vertical="center"/>
    </xf>
    <xf numFmtId="0" fontId="30" fillId="0" borderId="0" xfId="485" applyFont="1" applyBorder="1" applyAlignment="1">
      <alignment horizontal="center" vertical="center"/>
    </xf>
    <xf numFmtId="186" fontId="2" fillId="0" borderId="0" xfId="485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95" fontId="31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5" fontId="2" fillId="0" borderId="1" xfId="0" applyNumberFormat="1" applyFont="1" applyFill="1" applyBorder="1" applyAlignment="1">
      <alignment horizontal="center" vertical="center"/>
    </xf>
    <xf numFmtId="0" fontId="31" fillId="3" borderId="1" xfId="48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4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95" fontId="2" fillId="3" borderId="1" xfId="0" applyNumberFormat="1" applyFont="1" applyFill="1" applyBorder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94" fontId="1" fillId="0" borderId="1" xfId="508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7" fontId="28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85" fontId="28" fillId="0" borderId="0" xfId="2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95" fontId="2" fillId="0" borderId="0" xfId="0" applyNumberFormat="1" applyFont="1"/>
    <xf numFmtId="0" fontId="30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20% - 强调文字颜色 4 4 2" xfId="35"/>
    <cellStyle name="强调文字颜色 1 2 3" xfId="36"/>
    <cellStyle name="常规 5 2" xfId="37"/>
    <cellStyle name="60% - 强调文字颜色 2 2 2" xfId="38"/>
    <cellStyle name="计算 2 10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强调文字颜色 3 2 4" xfId="60"/>
    <cellStyle name="适中 2 5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40% - 强调文字颜色 4 3 2" xfId="73"/>
    <cellStyle name="标题 5 4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计算 5" xfId="95"/>
    <cellStyle name="适中 2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20% - 强调文字颜色 2 2 3 3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千位分隔 2" xfId="367"/>
    <cellStyle name="60% - 强调文字颜色 5 2 4" xfId="368"/>
    <cellStyle name="百分比 2 11" xfId="369"/>
    <cellStyle name="强调文字颜色 4 2 5" xfId="370"/>
    <cellStyle name="60% - 强调文字颜色 5 2 5" xfId="371"/>
    <cellStyle name="标题 4 2" xfId="372"/>
    <cellStyle name="60% - 强调文字颜色 5 2 6" xfId="373"/>
    <cellStyle name="标题 4 3" xfId="374"/>
    <cellStyle name="汇总 2 2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60% - 强调文字颜色 6 2" xfId="381"/>
    <cellStyle name="好_汇总二 3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计算 6 2" xfId="478"/>
    <cellStyle name="适中 3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E37" sqref="E37:F37"/>
    </sheetView>
  </sheetViews>
  <sheetFormatPr defaultColWidth="8.75" defaultRowHeight="14.25"/>
  <cols>
    <col min="1" max="1" width="3.75" style="3" customWidth="1"/>
    <col min="2" max="3" width="4.25" style="256" customWidth="1"/>
    <col min="4" max="4" width="7.8" style="256" customWidth="1"/>
    <col min="5" max="5" width="7.5" style="256" customWidth="1"/>
    <col min="6" max="6" width="7.16666666666667" style="256" customWidth="1"/>
    <col min="7" max="7" width="6.94166666666667" style="257" customWidth="1"/>
    <col min="8" max="8" width="5.625" style="257" customWidth="1"/>
    <col min="9" max="9" width="6" style="256" customWidth="1"/>
    <col min="10" max="10" width="6.46666666666667" style="256" customWidth="1"/>
    <col min="11" max="11" width="6.5" style="256" customWidth="1"/>
    <col min="12" max="12" width="6.375" style="256" customWidth="1"/>
    <col min="13" max="13" width="6.11666666666667" style="256" customWidth="1"/>
    <col min="14" max="14" width="6.125" style="256" customWidth="1"/>
    <col min="15" max="15" width="6.60833333333333" style="256" customWidth="1"/>
    <col min="16" max="16" width="6.46666666666667" style="256" customWidth="1"/>
    <col min="17" max="17" width="7.5" style="256" customWidth="1"/>
    <col min="18" max="18" width="10.125" style="256" customWidth="1"/>
    <col min="19" max="19" width="10" style="258" customWidth="1"/>
    <col min="20" max="20" width="15.875" style="258" customWidth="1"/>
    <col min="21" max="21" width="12.875" style="258" customWidth="1"/>
    <col min="22" max="22" width="12.25" style="258" customWidth="1"/>
    <col min="23" max="25" width="12.625" style="258"/>
    <col min="26" max="26" width="15" style="258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</row>
    <row r="2" ht="14" customHeight="1" spans="1:18">
      <c r="A2" s="260">
        <v>44896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</row>
    <row r="3" ht="20.25" customHeight="1" spans="1:38">
      <c r="A3" s="262" t="s">
        <v>1</v>
      </c>
      <c r="B3" s="263" t="s">
        <v>2</v>
      </c>
      <c r="C3" s="263" t="s">
        <v>3</v>
      </c>
      <c r="D3" s="8" t="s">
        <v>4</v>
      </c>
      <c r="E3" s="5" t="s">
        <v>5</v>
      </c>
      <c r="F3" s="5"/>
      <c r="G3" s="5"/>
      <c r="H3" s="263" t="s">
        <v>6</v>
      </c>
      <c r="I3" s="263" t="s">
        <v>7</v>
      </c>
      <c r="J3" s="263" t="s">
        <v>8</v>
      </c>
      <c r="K3" s="263" t="s">
        <v>9</v>
      </c>
      <c r="L3" s="8" t="s">
        <v>10</v>
      </c>
      <c r="M3" s="263" t="s">
        <v>11</v>
      </c>
      <c r="N3" s="263" t="s">
        <v>12</v>
      </c>
      <c r="O3" s="5" t="s">
        <v>13</v>
      </c>
      <c r="P3" s="5"/>
      <c r="Q3" s="8" t="s">
        <v>14</v>
      </c>
      <c r="R3" s="8" t="s">
        <v>15</v>
      </c>
      <c r="T3" s="258" t="s">
        <v>16</v>
      </c>
      <c r="U3" s="258" t="s">
        <v>17</v>
      </c>
      <c r="W3" s="285" t="s">
        <v>18</v>
      </c>
      <c r="X3" s="285" t="s">
        <v>19</v>
      </c>
      <c r="Y3" s="285"/>
      <c r="Z3" s="285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26</v>
      </c>
      <c r="AK3" s="3" t="s">
        <v>27</v>
      </c>
      <c r="AL3" s="3" t="s">
        <v>19</v>
      </c>
    </row>
    <row r="4" ht="21" customHeight="1" spans="1:28">
      <c r="A4" s="264"/>
      <c r="B4" s="265" t="s">
        <v>28</v>
      </c>
      <c r="C4" s="265" t="s">
        <v>29</v>
      </c>
      <c r="D4" s="265"/>
      <c r="E4" s="265" t="s">
        <v>30</v>
      </c>
      <c r="F4" s="265" t="s">
        <v>31</v>
      </c>
      <c r="G4" s="265" t="s">
        <v>32</v>
      </c>
      <c r="H4" s="265" t="s">
        <v>33</v>
      </c>
      <c r="I4" s="265" t="s">
        <v>34</v>
      </c>
      <c r="J4" s="265" t="s">
        <v>35</v>
      </c>
      <c r="K4" s="265" t="s">
        <v>33</v>
      </c>
      <c r="L4" s="265"/>
      <c r="M4" s="265" t="s">
        <v>33</v>
      </c>
      <c r="N4" s="265" t="s">
        <v>33</v>
      </c>
      <c r="O4" s="265" t="s">
        <v>36</v>
      </c>
      <c r="P4" s="265" t="s">
        <v>37</v>
      </c>
      <c r="Q4" s="265"/>
      <c r="R4" s="265"/>
      <c r="T4" s="57" t="s">
        <v>38</v>
      </c>
      <c r="U4" s="286">
        <f>ROUND(J37*W4,2)</f>
        <v>984763.95</v>
      </c>
      <c r="V4" s="286"/>
      <c r="W4" s="287">
        <v>0.672193821672465</v>
      </c>
      <c r="X4" s="288">
        <f>J36/R36</f>
        <v>0.301866607103818</v>
      </c>
      <c r="Y4" s="285"/>
      <c r="Z4" s="320">
        <v>44900</v>
      </c>
      <c r="AA4" s="321"/>
      <c r="AB4" s="3" t="s">
        <v>39</v>
      </c>
    </row>
    <row r="5" ht="18.6" customHeight="1" spans="1:38">
      <c r="A5" s="6">
        <v>1</v>
      </c>
      <c r="B5" s="266">
        <v>20.8</v>
      </c>
      <c r="C5" s="267" t="s">
        <v>40</v>
      </c>
      <c r="D5" s="268">
        <v>206785</v>
      </c>
      <c r="E5" s="269">
        <v>0</v>
      </c>
      <c r="F5" s="269">
        <v>84.94</v>
      </c>
      <c r="G5" s="269">
        <v>0</v>
      </c>
      <c r="H5" s="270">
        <v>125</v>
      </c>
      <c r="I5" s="6">
        <v>3430</v>
      </c>
      <c r="J5" s="276">
        <v>52500</v>
      </c>
      <c r="K5" s="277">
        <v>0</v>
      </c>
      <c r="L5" s="278">
        <v>0</v>
      </c>
      <c r="M5" s="277">
        <v>3905</v>
      </c>
      <c r="N5" s="277">
        <v>1344</v>
      </c>
      <c r="O5" s="279">
        <v>2.25</v>
      </c>
      <c r="P5" s="279">
        <v>0</v>
      </c>
      <c r="Q5" s="289">
        <v>5416</v>
      </c>
      <c r="R5" s="290">
        <f>D5-Q5</f>
        <v>201369</v>
      </c>
      <c r="S5" s="291"/>
      <c r="T5" s="292" t="s">
        <v>41</v>
      </c>
      <c r="U5" s="293">
        <f>H37*W5/1000</f>
        <v>119700</v>
      </c>
      <c r="V5" s="286"/>
      <c r="W5" s="294">
        <v>28000</v>
      </c>
      <c r="X5" s="286">
        <f>H36/R36*1000</f>
        <v>0.88087354632684</v>
      </c>
      <c r="Y5" s="285"/>
      <c r="Z5" s="322">
        <v>44287</v>
      </c>
      <c r="AB5" s="323">
        <f>E5+F5+G5</f>
        <v>84.94</v>
      </c>
      <c r="AD5" s="3">
        <f>$W$9*K5/1000/R5</f>
        <v>0</v>
      </c>
      <c r="AE5" s="3">
        <f>$W$5*H5/1000/R5</f>
        <v>0.0173810268710675</v>
      </c>
      <c r="AF5" s="3">
        <f>$W$6*L5/1000/R5</f>
        <v>0</v>
      </c>
      <c r="AG5" s="3">
        <f>$W$7*M5/1000/R5</f>
        <v>0.0086295556912931</v>
      </c>
      <c r="AH5" s="3">
        <f>$W$8*N5/1000/R5</f>
        <v>0.0433496714985921</v>
      </c>
      <c r="AI5" s="3">
        <f>AD5+AE5+AF5+AG5+AH5</f>
        <v>0.0693602540609528</v>
      </c>
      <c r="AK5" s="3">
        <f>AB5*(100-进出水!T7)/100</f>
        <v>18.2621</v>
      </c>
      <c r="AL5" s="3">
        <f>H5/AK5</f>
        <v>6.84477688765257</v>
      </c>
    </row>
    <row r="6" ht="18.6" customHeight="1" spans="1:38">
      <c r="A6" s="6">
        <v>2</v>
      </c>
      <c r="B6" s="266">
        <v>20.4</v>
      </c>
      <c r="C6" s="267" t="s">
        <v>40</v>
      </c>
      <c r="D6" s="268">
        <v>211066</v>
      </c>
      <c r="E6" s="269">
        <v>0</v>
      </c>
      <c r="F6" s="269">
        <v>70.72</v>
      </c>
      <c r="G6" s="269">
        <v>0</v>
      </c>
      <c r="H6" s="270">
        <v>125</v>
      </c>
      <c r="I6" s="6">
        <v>3144</v>
      </c>
      <c r="J6" s="276">
        <v>53499.9999999854</v>
      </c>
      <c r="K6" s="277">
        <v>0</v>
      </c>
      <c r="L6" s="278">
        <v>0.2</v>
      </c>
      <c r="M6" s="277">
        <v>2130</v>
      </c>
      <c r="N6" s="277">
        <v>768</v>
      </c>
      <c r="O6" s="279">
        <v>2.188</v>
      </c>
      <c r="P6" s="279">
        <v>0</v>
      </c>
      <c r="Q6" s="289">
        <v>5400</v>
      </c>
      <c r="R6" s="290">
        <f t="shared" ref="R6:R36" si="0">D6-Q6</f>
        <v>205666</v>
      </c>
      <c r="S6" s="291"/>
      <c r="T6" s="292" t="s">
        <v>42</v>
      </c>
      <c r="U6" s="293">
        <f>L37*W6/1000</f>
        <v>24.96</v>
      </c>
      <c r="V6" s="286">
        <f>U5+U6</f>
        <v>119724.96</v>
      </c>
      <c r="W6" s="57">
        <v>10400</v>
      </c>
      <c r="X6" s="286">
        <f>L36/R36*1000</f>
        <v>0.000494525499692261</v>
      </c>
      <c r="Y6" s="285"/>
      <c r="Z6" s="322">
        <v>44256</v>
      </c>
      <c r="AB6" s="323">
        <f t="shared" ref="AB6:AB35" si="1">E6+F6+G6</f>
        <v>70.72</v>
      </c>
      <c r="AD6" s="3">
        <f t="shared" ref="AD6:AD35" si="2">$W$9*K6/1000/R6</f>
        <v>0</v>
      </c>
      <c r="AE6" s="3">
        <f t="shared" ref="AE6:AE35" si="3">$W$5*H6/1000/R6</f>
        <v>0.0170178833642897</v>
      </c>
      <c r="AF6" s="3">
        <f t="shared" ref="AF6:AF35" si="4">$W$6*L6/1000/R6</f>
        <v>1.01134849707779e-5</v>
      </c>
      <c r="AG6" s="3">
        <f t="shared" ref="AG6:AG35" si="5">$W$7*M6/1000/R6</f>
        <v>0.00460868592766913</v>
      </c>
      <c r="AH6" s="3">
        <f t="shared" ref="AH6:AH35" si="6">$W$8*N6/1000/R6</f>
        <v>0.02425369288069</v>
      </c>
      <c r="AI6" s="3">
        <f t="shared" ref="AI6:AI35" si="7">AD6+AE6+AF6+AG6+AH6</f>
        <v>0.0458903756576196</v>
      </c>
      <c r="AK6" s="3">
        <f>AB6*(100-进出水!T8)/100</f>
        <v>15.34624</v>
      </c>
      <c r="AL6" s="3">
        <f t="shared" ref="AL6:AL35" si="8">H6/AK6</f>
        <v>8.14531768042204</v>
      </c>
    </row>
    <row r="7" ht="18.6" customHeight="1" spans="1:38">
      <c r="A7" s="6">
        <v>3</v>
      </c>
      <c r="B7" s="266">
        <v>20</v>
      </c>
      <c r="C7" s="267" t="s">
        <v>43</v>
      </c>
      <c r="D7" s="268">
        <v>202172</v>
      </c>
      <c r="E7" s="269">
        <v>0</v>
      </c>
      <c r="F7" s="269">
        <v>105.86</v>
      </c>
      <c r="G7" s="269">
        <v>0</v>
      </c>
      <c r="H7" s="270">
        <v>125</v>
      </c>
      <c r="I7" s="6">
        <v>3372</v>
      </c>
      <c r="J7" s="276">
        <v>52800.0000000247</v>
      </c>
      <c r="K7" s="277">
        <v>0</v>
      </c>
      <c r="L7" s="278">
        <v>0</v>
      </c>
      <c r="M7" s="277">
        <v>1917</v>
      </c>
      <c r="N7" s="277">
        <v>672</v>
      </c>
      <c r="O7" s="279">
        <v>2.062</v>
      </c>
      <c r="P7" s="279">
        <v>0</v>
      </c>
      <c r="Q7" s="289">
        <v>5424</v>
      </c>
      <c r="R7" s="290">
        <f t="shared" si="0"/>
        <v>196748</v>
      </c>
      <c r="S7" s="291"/>
      <c r="T7" s="292" t="s">
        <v>44</v>
      </c>
      <c r="U7" s="293">
        <f>M37*W7/1000</f>
        <v>50899.545</v>
      </c>
      <c r="V7" s="286"/>
      <c r="W7" s="57">
        <v>445</v>
      </c>
      <c r="X7" s="286">
        <f>M36/R36*1000</f>
        <v>23.5684671584585</v>
      </c>
      <c r="Y7" s="285"/>
      <c r="Z7" s="322">
        <v>44228</v>
      </c>
      <c r="AB7" s="323">
        <f t="shared" si="1"/>
        <v>105.86</v>
      </c>
      <c r="AD7" s="3">
        <f t="shared" si="2"/>
        <v>0</v>
      </c>
      <c r="AE7" s="3">
        <f t="shared" si="3"/>
        <v>0.0177892532579747</v>
      </c>
      <c r="AF7" s="3">
        <f t="shared" si="4"/>
        <v>0</v>
      </c>
      <c r="AG7" s="3">
        <f t="shared" si="5"/>
        <v>0.00433582552300405</v>
      </c>
      <c r="AH7" s="3">
        <f t="shared" si="6"/>
        <v>0.0221839103828247</v>
      </c>
      <c r="AI7" s="3">
        <f t="shared" si="7"/>
        <v>0.0443089891638034</v>
      </c>
      <c r="AK7" s="3">
        <f>AB7*(100-进出水!T9)/100</f>
        <v>22.65404</v>
      </c>
      <c r="AL7" s="3">
        <f t="shared" si="8"/>
        <v>5.51777961017108</v>
      </c>
    </row>
    <row r="8" ht="18.6" customHeight="1" spans="1:38">
      <c r="A8" s="6">
        <v>4</v>
      </c>
      <c r="B8" s="266">
        <v>20</v>
      </c>
      <c r="C8" s="267" t="s">
        <v>43</v>
      </c>
      <c r="D8" s="268">
        <v>187742</v>
      </c>
      <c r="E8" s="269">
        <v>0</v>
      </c>
      <c r="F8" s="269">
        <v>0</v>
      </c>
      <c r="G8" s="269">
        <v>0</v>
      </c>
      <c r="H8" s="270">
        <v>125</v>
      </c>
      <c r="I8" s="6">
        <v>3506</v>
      </c>
      <c r="J8" s="276">
        <v>50499.9999999927</v>
      </c>
      <c r="K8" s="277">
        <v>0</v>
      </c>
      <c r="L8" s="278">
        <v>0.2</v>
      </c>
      <c r="M8" s="277">
        <v>4615</v>
      </c>
      <c r="N8" s="277">
        <v>1536</v>
      </c>
      <c r="O8" s="279">
        <v>1.569</v>
      </c>
      <c r="P8" s="279">
        <v>0</v>
      </c>
      <c r="Q8" s="289">
        <v>5408</v>
      </c>
      <c r="R8" s="290">
        <f t="shared" si="0"/>
        <v>182334</v>
      </c>
      <c r="S8" s="291"/>
      <c r="T8" s="292" t="s">
        <v>45</v>
      </c>
      <c r="U8" s="293">
        <f>N37*W8/1000</f>
        <v>255643.2</v>
      </c>
      <c r="V8" s="286">
        <f>U7+U8</f>
        <v>306542.745</v>
      </c>
      <c r="W8" s="57">
        <v>6495</v>
      </c>
      <c r="X8" s="286">
        <f>N36/R36*1000</f>
        <v>8.11021819495308</v>
      </c>
      <c r="Y8" s="57"/>
      <c r="Z8" s="322">
        <v>44929</v>
      </c>
      <c r="AB8" s="323">
        <f t="shared" si="1"/>
        <v>0</v>
      </c>
      <c r="AD8" s="3">
        <f t="shared" si="2"/>
        <v>0</v>
      </c>
      <c r="AE8" s="3">
        <f t="shared" si="3"/>
        <v>0.0191955422466463</v>
      </c>
      <c r="AF8" s="3">
        <f t="shared" si="4"/>
        <v>1.14076365351498e-5</v>
      </c>
      <c r="AG8" s="3">
        <f t="shared" si="5"/>
        <v>0.0112632586352518</v>
      </c>
      <c r="AH8" s="3">
        <f t="shared" si="6"/>
        <v>0.0547145348645892</v>
      </c>
      <c r="AI8" s="3">
        <f t="shared" si="7"/>
        <v>0.0851847433830224</v>
      </c>
      <c r="AK8" s="3">
        <f>AB8*(100-进出水!T10)/100</f>
        <v>0</v>
      </c>
      <c r="AL8" s="3" t="e">
        <f t="shared" si="8"/>
        <v>#DIV/0!</v>
      </c>
    </row>
    <row r="9" ht="18.6" customHeight="1" spans="1:38">
      <c r="A9" s="6">
        <v>5</v>
      </c>
      <c r="B9" s="266">
        <v>19.4</v>
      </c>
      <c r="C9" s="267" t="s">
        <v>40</v>
      </c>
      <c r="D9" s="268">
        <v>177780</v>
      </c>
      <c r="E9" s="269">
        <v>0</v>
      </c>
      <c r="F9" s="269">
        <v>172.74</v>
      </c>
      <c r="G9" s="269">
        <v>0</v>
      </c>
      <c r="H9" s="270">
        <v>125</v>
      </c>
      <c r="I9" s="6">
        <v>3788</v>
      </c>
      <c r="J9" s="280">
        <v>50000</v>
      </c>
      <c r="K9" s="277">
        <v>0</v>
      </c>
      <c r="L9" s="278">
        <v>0</v>
      </c>
      <c r="M9" s="277">
        <v>4473</v>
      </c>
      <c r="N9" s="277">
        <v>1560</v>
      </c>
      <c r="O9" s="279">
        <v>2.188</v>
      </c>
      <c r="P9" s="279">
        <v>0</v>
      </c>
      <c r="Q9" s="289">
        <v>5416</v>
      </c>
      <c r="R9" s="290">
        <f t="shared" si="0"/>
        <v>172364</v>
      </c>
      <c r="S9" s="291"/>
      <c r="T9" s="292" t="s">
        <v>46</v>
      </c>
      <c r="U9" s="293">
        <f>K37*W9/1000</f>
        <v>25374.24</v>
      </c>
      <c r="V9" s="286"/>
      <c r="W9" s="57">
        <v>526</v>
      </c>
      <c r="X9" s="286">
        <f>K36/R36*1000</f>
        <v>9.93996254381445</v>
      </c>
      <c r="Y9" s="285"/>
      <c r="Z9" s="322">
        <v>44228</v>
      </c>
      <c r="AB9" s="323">
        <f t="shared" si="1"/>
        <v>172.74</v>
      </c>
      <c r="AD9" s="3">
        <f t="shared" si="2"/>
        <v>0</v>
      </c>
      <c r="AE9" s="3">
        <f t="shared" si="3"/>
        <v>0.0203058643336195</v>
      </c>
      <c r="AF9" s="3">
        <f t="shared" si="4"/>
        <v>0</v>
      </c>
      <c r="AG9" s="3">
        <f t="shared" si="5"/>
        <v>0.0115481481051728</v>
      </c>
      <c r="AH9" s="3">
        <f t="shared" si="6"/>
        <v>0.0587837367431714</v>
      </c>
      <c r="AI9" s="3">
        <f t="shared" si="7"/>
        <v>0.0906377491819638</v>
      </c>
      <c r="AK9" s="3">
        <f>AB9*(100-进出水!T11)/100</f>
        <v>36.96636</v>
      </c>
      <c r="AL9" s="3">
        <f t="shared" si="8"/>
        <v>3.38145275867031</v>
      </c>
    </row>
    <row r="10" ht="18.6" customHeight="1" spans="1:38">
      <c r="A10" s="6">
        <v>6</v>
      </c>
      <c r="B10" s="266">
        <v>19.7</v>
      </c>
      <c r="C10" s="267" t="s">
        <v>40</v>
      </c>
      <c r="D10" s="268">
        <v>190151</v>
      </c>
      <c r="E10" s="269">
        <v>0</v>
      </c>
      <c r="F10" s="269">
        <v>0</v>
      </c>
      <c r="G10" s="269">
        <v>0</v>
      </c>
      <c r="H10" s="270">
        <v>150</v>
      </c>
      <c r="I10" s="6">
        <v>3580</v>
      </c>
      <c r="J10" s="276">
        <v>50400.0000000087</v>
      </c>
      <c r="K10" s="277">
        <v>0</v>
      </c>
      <c r="L10" s="278">
        <v>0</v>
      </c>
      <c r="M10" s="277">
        <v>4970</v>
      </c>
      <c r="N10" s="277">
        <v>1632</v>
      </c>
      <c r="O10" s="279">
        <v>3.5</v>
      </c>
      <c r="P10" s="279">
        <v>0</v>
      </c>
      <c r="Q10" s="289">
        <v>5416</v>
      </c>
      <c r="R10" s="290">
        <f t="shared" si="0"/>
        <v>184735</v>
      </c>
      <c r="S10" s="291"/>
      <c r="T10" s="292" t="s">
        <v>47</v>
      </c>
      <c r="U10" s="293">
        <f>T18</f>
        <v>74400.5</v>
      </c>
      <c r="V10" s="286" t="s">
        <v>48</v>
      </c>
      <c r="W10" s="295"/>
      <c r="X10" s="295"/>
      <c r="Y10" s="324"/>
      <c r="Z10" s="324"/>
      <c r="AB10" s="323">
        <f t="shared" si="1"/>
        <v>0</v>
      </c>
      <c r="AD10" s="3">
        <f t="shared" si="2"/>
        <v>0</v>
      </c>
      <c r="AE10" s="3">
        <f t="shared" si="3"/>
        <v>0.0227352694400087</v>
      </c>
      <c r="AF10" s="3">
        <f t="shared" si="4"/>
        <v>0</v>
      </c>
      <c r="AG10" s="3">
        <f t="shared" si="5"/>
        <v>0.0119720139659512</v>
      </c>
      <c r="AH10" s="3">
        <f t="shared" si="6"/>
        <v>0.057378623433567</v>
      </c>
      <c r="AI10" s="3">
        <f t="shared" si="7"/>
        <v>0.0920859068395269</v>
      </c>
      <c r="AK10" s="3">
        <f>AB10*(100-进出水!T12)/100</f>
        <v>0</v>
      </c>
      <c r="AL10" s="3" t="e">
        <f t="shared" si="8"/>
        <v>#DIV/0!</v>
      </c>
    </row>
    <row r="11" ht="18.6" customHeight="1" spans="1:38">
      <c r="A11" s="6">
        <v>7</v>
      </c>
      <c r="B11" s="266">
        <v>19.4</v>
      </c>
      <c r="C11" s="267" t="s">
        <v>40</v>
      </c>
      <c r="D11" s="268">
        <v>185670</v>
      </c>
      <c r="E11" s="269">
        <v>0</v>
      </c>
      <c r="F11" s="269">
        <v>188.32</v>
      </c>
      <c r="G11" s="269">
        <v>0</v>
      </c>
      <c r="H11" s="270">
        <v>125</v>
      </c>
      <c r="I11" s="13">
        <v>3688</v>
      </c>
      <c r="J11" s="280">
        <v>50999.9999999854</v>
      </c>
      <c r="K11" s="277">
        <v>0</v>
      </c>
      <c r="L11" s="278">
        <v>0.2</v>
      </c>
      <c r="M11" s="277">
        <v>4899</v>
      </c>
      <c r="N11" s="277">
        <v>1680</v>
      </c>
      <c r="O11" s="279">
        <v>4.375</v>
      </c>
      <c r="P11" s="279">
        <v>0</v>
      </c>
      <c r="Q11" s="289">
        <v>5408</v>
      </c>
      <c r="R11" s="290">
        <f t="shared" si="0"/>
        <v>180262</v>
      </c>
      <c r="S11" s="291"/>
      <c r="T11" s="292" t="s">
        <v>49</v>
      </c>
      <c r="U11" s="293">
        <f>汇总!J5*W11</f>
        <v>15964.2</v>
      </c>
      <c r="V11" s="286"/>
      <c r="W11" s="57">
        <v>4.2</v>
      </c>
      <c r="X11" s="57"/>
      <c r="Y11" s="57"/>
      <c r="Z11" s="285"/>
      <c r="AB11" s="323">
        <f t="shared" si="1"/>
        <v>188.32</v>
      </c>
      <c r="AD11" s="3">
        <f t="shared" si="2"/>
        <v>0</v>
      </c>
      <c r="AE11" s="3">
        <f t="shared" si="3"/>
        <v>0.0194161831112492</v>
      </c>
      <c r="AF11" s="3">
        <f t="shared" si="4"/>
        <v>1.15387602489709e-5</v>
      </c>
      <c r="AG11" s="3">
        <f t="shared" si="5"/>
        <v>0.0120938134493127</v>
      </c>
      <c r="AH11" s="3">
        <f t="shared" si="6"/>
        <v>0.0605318924676305</v>
      </c>
      <c r="AI11" s="3">
        <f t="shared" si="7"/>
        <v>0.0920534277884413</v>
      </c>
      <c r="AK11" s="3">
        <f>AB11*(100-进出水!T13)/100</f>
        <v>41.05376</v>
      </c>
      <c r="AL11" s="3">
        <f t="shared" si="8"/>
        <v>3.04478810223473</v>
      </c>
    </row>
    <row r="12" ht="18.6" customHeight="1" spans="1:38">
      <c r="A12" s="6">
        <v>8</v>
      </c>
      <c r="B12" s="266">
        <v>19.2</v>
      </c>
      <c r="C12" s="267" t="s">
        <v>40</v>
      </c>
      <c r="D12" s="270">
        <v>177666</v>
      </c>
      <c r="E12" s="269">
        <v>0</v>
      </c>
      <c r="F12" s="269">
        <v>87.36</v>
      </c>
      <c r="G12" s="269">
        <v>0</v>
      </c>
      <c r="H12" s="270">
        <v>125</v>
      </c>
      <c r="I12" s="6">
        <v>3964</v>
      </c>
      <c r="J12" s="276">
        <v>47900.0000000087</v>
      </c>
      <c r="K12" s="277">
        <v>0</v>
      </c>
      <c r="L12" s="278">
        <v>0</v>
      </c>
      <c r="M12" s="277">
        <v>2911</v>
      </c>
      <c r="N12" s="277">
        <v>1032</v>
      </c>
      <c r="O12" s="279">
        <v>4.375</v>
      </c>
      <c r="P12" s="279">
        <v>0</v>
      </c>
      <c r="Q12" s="289">
        <v>5408</v>
      </c>
      <c r="R12" s="290">
        <f t="shared" si="0"/>
        <v>172258</v>
      </c>
      <c r="S12" s="291"/>
      <c r="T12" s="296"/>
      <c r="U12" s="297"/>
      <c r="V12" s="295"/>
      <c r="W12" s="295"/>
      <c r="X12" s="295"/>
      <c r="AB12" s="323">
        <f t="shared" si="1"/>
        <v>87.36</v>
      </c>
      <c r="AD12" s="3">
        <f t="shared" si="2"/>
        <v>0</v>
      </c>
      <c r="AE12" s="3">
        <f t="shared" si="3"/>
        <v>0.0203183596697976</v>
      </c>
      <c r="AF12" s="3">
        <f t="shared" si="4"/>
        <v>0</v>
      </c>
      <c r="AG12" s="3">
        <f t="shared" si="5"/>
        <v>0.007520086149845</v>
      </c>
      <c r="AH12" s="3">
        <f t="shared" si="6"/>
        <v>0.0389116325511732</v>
      </c>
      <c r="AI12" s="3">
        <f t="shared" si="7"/>
        <v>0.0667500783708159</v>
      </c>
      <c r="AK12" s="3">
        <f>AB12*(100-进出水!T14)/100</f>
        <v>19.30656</v>
      </c>
      <c r="AL12" s="3">
        <f t="shared" si="8"/>
        <v>6.47448328443804</v>
      </c>
    </row>
    <row r="13" ht="18.6" customHeight="1" spans="1:38">
      <c r="A13" s="6">
        <v>9</v>
      </c>
      <c r="B13" s="266">
        <v>19.7</v>
      </c>
      <c r="C13" s="267" t="s">
        <v>43</v>
      </c>
      <c r="D13" s="268">
        <v>189325</v>
      </c>
      <c r="E13" s="269">
        <v>0</v>
      </c>
      <c r="F13" s="269">
        <v>100.66</v>
      </c>
      <c r="G13" s="269">
        <v>0</v>
      </c>
      <c r="H13" s="270">
        <v>125</v>
      </c>
      <c r="I13" s="6">
        <v>4386</v>
      </c>
      <c r="J13" s="276">
        <v>49099.9999999985</v>
      </c>
      <c r="K13" s="277">
        <v>0</v>
      </c>
      <c r="L13" s="278">
        <v>0</v>
      </c>
      <c r="M13" s="277">
        <v>2272</v>
      </c>
      <c r="N13" s="277">
        <v>816</v>
      </c>
      <c r="O13" s="279">
        <v>4.5</v>
      </c>
      <c r="P13" s="279">
        <v>0</v>
      </c>
      <c r="Q13" s="289">
        <v>5400</v>
      </c>
      <c r="R13" s="290">
        <f t="shared" si="0"/>
        <v>183925</v>
      </c>
      <c r="S13" s="291"/>
      <c r="T13" s="292"/>
      <c r="U13" s="298">
        <f>U14/R37</f>
        <v>0.093061857722129</v>
      </c>
      <c r="V13" s="57"/>
      <c r="W13" s="57"/>
      <c r="X13" s="295"/>
      <c r="AB13" s="323">
        <f t="shared" si="1"/>
        <v>100.66</v>
      </c>
      <c r="AD13" s="3">
        <f t="shared" si="2"/>
        <v>0</v>
      </c>
      <c r="AE13" s="3">
        <f t="shared" si="3"/>
        <v>0.0190294957183635</v>
      </c>
      <c r="AF13" s="3">
        <f t="shared" si="4"/>
        <v>0</v>
      </c>
      <c r="AG13" s="3">
        <f t="shared" si="5"/>
        <v>0.00549702324316977</v>
      </c>
      <c r="AH13" s="3">
        <f t="shared" si="6"/>
        <v>0.0288156585564768</v>
      </c>
      <c r="AI13" s="3">
        <f t="shared" si="7"/>
        <v>0.0533421775180101</v>
      </c>
      <c r="AK13" s="3">
        <f>AB13*(100-进出水!T15)/100</f>
        <v>21.84322</v>
      </c>
      <c r="AL13" s="3">
        <f t="shared" si="8"/>
        <v>5.72259950684926</v>
      </c>
    </row>
    <row r="14" ht="18.6" customHeight="1" spans="1:38">
      <c r="A14" s="6">
        <v>10</v>
      </c>
      <c r="B14" s="266">
        <v>19.6</v>
      </c>
      <c r="C14" s="267" t="s">
        <v>50</v>
      </c>
      <c r="D14" s="268">
        <v>192299</v>
      </c>
      <c r="E14" s="269">
        <v>0</v>
      </c>
      <c r="F14" s="269">
        <v>107.54</v>
      </c>
      <c r="G14" s="269">
        <v>0</v>
      </c>
      <c r="H14" s="270">
        <v>125</v>
      </c>
      <c r="I14" s="6">
        <v>4472</v>
      </c>
      <c r="J14" s="276">
        <v>50600.0000000131</v>
      </c>
      <c r="K14" s="277">
        <v>0</v>
      </c>
      <c r="L14" s="278">
        <v>0.2</v>
      </c>
      <c r="M14" s="277">
        <v>2059</v>
      </c>
      <c r="N14" s="277">
        <v>672</v>
      </c>
      <c r="O14" s="279">
        <v>4.5</v>
      </c>
      <c r="P14" s="279">
        <v>0</v>
      </c>
      <c r="Q14" s="289">
        <v>5408</v>
      </c>
      <c r="R14" s="290">
        <f t="shared" si="0"/>
        <v>186891</v>
      </c>
      <c r="S14" s="291"/>
      <c r="T14" s="299" t="s">
        <v>51</v>
      </c>
      <c r="U14" s="300">
        <f>U5+U6+U7+U8+U9</f>
        <v>451641.945</v>
      </c>
      <c r="V14" s="301" t="s">
        <v>52</v>
      </c>
      <c r="W14" s="302">
        <f>U6+U9</f>
        <v>25399.2</v>
      </c>
      <c r="X14" s="295"/>
      <c r="AB14" s="323">
        <f t="shared" si="1"/>
        <v>107.54</v>
      </c>
      <c r="AD14" s="3">
        <f t="shared" si="2"/>
        <v>0</v>
      </c>
      <c r="AE14" s="3">
        <f t="shared" si="3"/>
        <v>0.0187274935657683</v>
      </c>
      <c r="AF14" s="3">
        <f t="shared" si="4"/>
        <v>1.11294818905137e-5</v>
      </c>
      <c r="AG14" s="3">
        <f t="shared" si="5"/>
        <v>0.00490261703345801</v>
      </c>
      <c r="AH14" s="3">
        <f t="shared" si="6"/>
        <v>0.0233539335762557</v>
      </c>
      <c r="AI14" s="3">
        <f t="shared" si="7"/>
        <v>0.0469951736573725</v>
      </c>
      <c r="AK14" s="3">
        <f>AB14*(100-进出水!T16)/100</f>
        <v>23.22864</v>
      </c>
      <c r="AL14" s="3">
        <f t="shared" si="8"/>
        <v>5.38128792731731</v>
      </c>
    </row>
    <row r="15" ht="18.6" customHeight="1" spans="1:38">
      <c r="A15" s="6">
        <v>11</v>
      </c>
      <c r="B15" s="266">
        <v>19</v>
      </c>
      <c r="C15" s="267" t="s">
        <v>40</v>
      </c>
      <c r="D15" s="268">
        <v>186295</v>
      </c>
      <c r="E15" s="269">
        <v>0</v>
      </c>
      <c r="F15" s="269">
        <v>104.82</v>
      </c>
      <c r="G15" s="269">
        <v>0</v>
      </c>
      <c r="H15" s="270">
        <v>125</v>
      </c>
      <c r="I15" s="6">
        <v>3536</v>
      </c>
      <c r="J15" s="280">
        <v>52500</v>
      </c>
      <c r="K15" s="277">
        <v>0</v>
      </c>
      <c r="L15" s="278">
        <v>0</v>
      </c>
      <c r="M15" s="277">
        <v>4260</v>
      </c>
      <c r="N15" s="277">
        <v>1488</v>
      </c>
      <c r="O15" s="279">
        <v>4.438</v>
      </c>
      <c r="P15" s="279">
        <v>0</v>
      </c>
      <c r="Q15" s="289">
        <v>5400</v>
      </c>
      <c r="R15" s="290">
        <f t="shared" si="0"/>
        <v>180895</v>
      </c>
      <c r="S15" s="291"/>
      <c r="T15" s="299" t="s">
        <v>53</v>
      </c>
      <c r="U15" s="303" t="s">
        <v>54</v>
      </c>
      <c r="V15" s="303" t="s">
        <v>55</v>
      </c>
      <c r="W15" s="304" t="s">
        <v>56</v>
      </c>
      <c r="X15" s="295"/>
      <c r="AB15" s="323">
        <f t="shared" si="1"/>
        <v>104.82</v>
      </c>
      <c r="AD15" s="3">
        <f t="shared" si="2"/>
        <v>0</v>
      </c>
      <c r="AE15" s="3">
        <f t="shared" si="3"/>
        <v>0.0193482406921142</v>
      </c>
      <c r="AF15" s="3">
        <f t="shared" si="4"/>
        <v>0</v>
      </c>
      <c r="AG15" s="3">
        <f t="shared" si="5"/>
        <v>0.010479559965726</v>
      </c>
      <c r="AH15" s="3">
        <f t="shared" si="6"/>
        <v>0.0534263523038227</v>
      </c>
      <c r="AI15" s="3">
        <f t="shared" si="7"/>
        <v>0.0832541529616628</v>
      </c>
      <c r="AK15" s="3">
        <f>AB15*(100-进出水!T17)/100</f>
        <v>22.5363</v>
      </c>
      <c r="AL15" s="3">
        <f t="shared" si="8"/>
        <v>5.54660702954788</v>
      </c>
    </row>
    <row r="16" ht="18.6" customHeight="1" spans="1:38">
      <c r="A16" s="6">
        <v>12</v>
      </c>
      <c r="B16" s="266">
        <v>19</v>
      </c>
      <c r="C16" s="267" t="s">
        <v>40</v>
      </c>
      <c r="D16" s="268">
        <v>182939</v>
      </c>
      <c r="E16" s="269">
        <v>0</v>
      </c>
      <c r="F16" s="269">
        <v>102.72</v>
      </c>
      <c r="G16" s="269">
        <v>0</v>
      </c>
      <c r="H16" s="270">
        <v>125</v>
      </c>
      <c r="I16" s="6">
        <v>3210</v>
      </c>
      <c r="J16" s="281">
        <v>51599.9999999985</v>
      </c>
      <c r="K16" s="277">
        <v>0</v>
      </c>
      <c r="L16" s="278">
        <v>0.2</v>
      </c>
      <c r="M16" s="277">
        <v>4615</v>
      </c>
      <c r="N16" s="277">
        <v>1584</v>
      </c>
      <c r="O16" s="279">
        <v>4.5</v>
      </c>
      <c r="P16" s="279">
        <v>0</v>
      </c>
      <c r="Q16" s="289">
        <v>5400</v>
      </c>
      <c r="R16" s="290">
        <f t="shared" si="0"/>
        <v>177539</v>
      </c>
      <c r="S16" s="291"/>
      <c r="T16" s="305">
        <f>U16+V16+W16</f>
        <v>3263.18</v>
      </c>
      <c r="U16" s="302">
        <f>F37</f>
        <v>2693.4</v>
      </c>
      <c r="V16" s="302">
        <f>E37</f>
        <v>569.78</v>
      </c>
      <c r="W16" s="302">
        <f>G37</f>
        <v>0</v>
      </c>
      <c r="X16" s="295"/>
      <c r="AB16" s="323">
        <f t="shared" si="1"/>
        <v>102.72</v>
      </c>
      <c r="AD16" s="3">
        <f t="shared" si="2"/>
        <v>0</v>
      </c>
      <c r="AE16" s="3">
        <f t="shared" si="3"/>
        <v>0.0197139783371541</v>
      </c>
      <c r="AF16" s="3">
        <f t="shared" si="4"/>
        <v>1.17157356975087e-5</v>
      </c>
      <c r="AG16" s="3">
        <f t="shared" si="5"/>
        <v>0.0115674584175871</v>
      </c>
      <c r="AH16" s="3">
        <f t="shared" si="6"/>
        <v>0.0579482817859738</v>
      </c>
      <c r="AI16" s="3">
        <f t="shared" si="7"/>
        <v>0.0892414342764125</v>
      </c>
      <c r="AK16" s="3">
        <f>AB16*(100-进出水!T18)/100</f>
        <v>22.29024</v>
      </c>
      <c r="AL16" s="3">
        <f t="shared" si="8"/>
        <v>5.60783553698838</v>
      </c>
    </row>
    <row r="17" ht="18.6" customHeight="1" spans="1:38">
      <c r="A17" s="6">
        <v>13</v>
      </c>
      <c r="B17" s="266">
        <v>19</v>
      </c>
      <c r="C17" s="267" t="s">
        <v>40</v>
      </c>
      <c r="D17" s="268">
        <v>180769</v>
      </c>
      <c r="E17" s="269">
        <v>0</v>
      </c>
      <c r="F17" s="269">
        <v>142.2</v>
      </c>
      <c r="G17" s="269">
        <v>0</v>
      </c>
      <c r="H17" s="270">
        <v>125</v>
      </c>
      <c r="I17" s="6">
        <v>3700</v>
      </c>
      <c r="J17" s="281">
        <v>51299.9999999738</v>
      </c>
      <c r="K17" s="277">
        <v>0</v>
      </c>
      <c r="L17" s="278">
        <v>0</v>
      </c>
      <c r="M17" s="277">
        <v>5041</v>
      </c>
      <c r="N17" s="277">
        <v>1680</v>
      </c>
      <c r="O17" s="279">
        <v>4.375</v>
      </c>
      <c r="P17" s="279">
        <v>0</v>
      </c>
      <c r="Q17" s="289">
        <v>5392</v>
      </c>
      <c r="R17" s="290">
        <f t="shared" si="0"/>
        <v>175377</v>
      </c>
      <c r="S17" s="291"/>
      <c r="T17" s="299" t="s">
        <v>57</v>
      </c>
      <c r="U17" s="306">
        <v>22.8</v>
      </c>
      <c r="V17" s="306">
        <v>22.8</v>
      </c>
      <c r="W17" s="301"/>
      <c r="X17" s="295"/>
      <c r="AB17" s="323">
        <f t="shared" si="1"/>
        <v>142.2</v>
      </c>
      <c r="AD17" s="3">
        <f t="shared" si="2"/>
        <v>0</v>
      </c>
      <c r="AE17" s="3">
        <f t="shared" si="3"/>
        <v>0.0199570069051244</v>
      </c>
      <c r="AF17" s="3">
        <f t="shared" si="4"/>
        <v>0</v>
      </c>
      <c r="AG17" s="3">
        <f t="shared" si="5"/>
        <v>0.0127909874156816</v>
      </c>
      <c r="AH17" s="3">
        <f t="shared" si="6"/>
        <v>0.0622179647274158</v>
      </c>
      <c r="AI17" s="3">
        <f t="shared" si="7"/>
        <v>0.0949659590482218</v>
      </c>
      <c r="AK17" s="3">
        <f>AB17*(100-进出水!T19)/100</f>
        <v>30.7152</v>
      </c>
      <c r="AL17" s="3">
        <f t="shared" si="8"/>
        <v>4.06964629890087</v>
      </c>
    </row>
    <row r="18" ht="18.6" customHeight="1" spans="1:38">
      <c r="A18" s="6">
        <v>14</v>
      </c>
      <c r="B18" s="266">
        <v>19</v>
      </c>
      <c r="C18" s="267" t="s">
        <v>40</v>
      </c>
      <c r="D18" s="268">
        <v>181541</v>
      </c>
      <c r="E18" s="269">
        <v>0</v>
      </c>
      <c r="F18" s="269">
        <v>109.34</v>
      </c>
      <c r="G18" s="269">
        <v>0</v>
      </c>
      <c r="H18" s="270">
        <v>125</v>
      </c>
      <c r="I18" s="6">
        <v>3822</v>
      </c>
      <c r="J18" s="281">
        <v>51200.0000000262</v>
      </c>
      <c r="K18" s="277">
        <v>0</v>
      </c>
      <c r="L18" s="278">
        <v>0</v>
      </c>
      <c r="M18" s="277">
        <v>4260</v>
      </c>
      <c r="N18" s="277">
        <v>1488</v>
      </c>
      <c r="O18" s="279">
        <v>4.437</v>
      </c>
      <c r="P18" s="279">
        <v>0</v>
      </c>
      <c r="Q18" s="289">
        <v>5408</v>
      </c>
      <c r="R18" s="290">
        <f t="shared" si="0"/>
        <v>176133</v>
      </c>
      <c r="S18" s="291"/>
      <c r="T18" s="305">
        <f>U18+V18</f>
        <v>74400.5</v>
      </c>
      <c r="U18" s="307">
        <f>ROUND(U16*U17,2)</f>
        <v>61409.52</v>
      </c>
      <c r="V18" s="304">
        <f>ROUND(V16*V17,2)</f>
        <v>12990.98</v>
      </c>
      <c r="W18" s="301"/>
      <c r="X18" s="295"/>
      <c r="AB18" s="323">
        <f t="shared" si="1"/>
        <v>109.34</v>
      </c>
      <c r="AD18" s="3">
        <f t="shared" si="2"/>
        <v>0</v>
      </c>
      <c r="AE18" s="3">
        <f t="shared" si="3"/>
        <v>0.0198713472205663</v>
      </c>
      <c r="AF18" s="3">
        <f t="shared" si="4"/>
        <v>0</v>
      </c>
      <c r="AG18" s="3">
        <f t="shared" si="5"/>
        <v>0.0107628894074364</v>
      </c>
      <c r="AH18" s="3">
        <f t="shared" si="6"/>
        <v>0.0548708078554274</v>
      </c>
      <c r="AI18" s="3">
        <f t="shared" si="7"/>
        <v>0.0855050444834301</v>
      </c>
      <c r="AK18" s="3">
        <f>AB18*(100-进出水!T20)/100</f>
        <v>23.39876</v>
      </c>
      <c r="AL18" s="3">
        <f t="shared" si="8"/>
        <v>5.34216343088266</v>
      </c>
    </row>
    <row r="19" ht="18.6" customHeight="1" spans="1:38">
      <c r="A19" s="6">
        <v>15</v>
      </c>
      <c r="B19" s="266">
        <v>19</v>
      </c>
      <c r="C19" s="267" t="s">
        <v>40</v>
      </c>
      <c r="D19" s="268">
        <v>158047</v>
      </c>
      <c r="E19" s="269">
        <v>0</v>
      </c>
      <c r="F19" s="269">
        <v>102.78</v>
      </c>
      <c r="G19" s="269">
        <v>0</v>
      </c>
      <c r="H19" s="270">
        <v>125</v>
      </c>
      <c r="I19" s="6">
        <v>4038</v>
      </c>
      <c r="J19" s="281">
        <v>49399.9999999869</v>
      </c>
      <c r="K19" s="277">
        <v>0</v>
      </c>
      <c r="L19" s="278">
        <v>0.2</v>
      </c>
      <c r="M19" s="277">
        <v>4970</v>
      </c>
      <c r="N19" s="277">
        <v>1632</v>
      </c>
      <c r="O19" s="279">
        <v>4.438</v>
      </c>
      <c r="P19" s="279">
        <v>0</v>
      </c>
      <c r="Q19" s="289">
        <v>5424</v>
      </c>
      <c r="R19" s="290">
        <f t="shared" si="0"/>
        <v>152623</v>
      </c>
      <c r="S19" s="291"/>
      <c r="T19" s="299" t="s">
        <v>58</v>
      </c>
      <c r="U19" s="303"/>
      <c r="V19" s="306">
        <v>0</v>
      </c>
      <c r="W19" s="301"/>
      <c r="X19" s="295"/>
      <c r="AB19" s="323">
        <f t="shared" si="1"/>
        <v>102.78</v>
      </c>
      <c r="AD19" s="3">
        <f t="shared" si="2"/>
        <v>0</v>
      </c>
      <c r="AE19" s="3">
        <f t="shared" si="3"/>
        <v>0.0229323234374898</v>
      </c>
      <c r="AF19" s="3">
        <f t="shared" si="4"/>
        <v>1.36283522142796e-5</v>
      </c>
      <c r="AG19" s="3">
        <f t="shared" si="5"/>
        <v>0.0144909351801498</v>
      </c>
      <c r="AH19" s="3">
        <f t="shared" si="6"/>
        <v>0.0694511312187547</v>
      </c>
      <c r="AI19" s="3">
        <f t="shared" si="7"/>
        <v>0.106888018188609</v>
      </c>
      <c r="AK19" s="3">
        <f>AB19*(100-进出水!T21)/100</f>
        <v>22.30326</v>
      </c>
      <c r="AL19" s="3">
        <f t="shared" si="8"/>
        <v>5.60456184432231</v>
      </c>
    </row>
    <row r="20" ht="18.6" customHeight="1" spans="1:38">
      <c r="A20" s="6">
        <v>16</v>
      </c>
      <c r="B20" s="266">
        <v>19.2</v>
      </c>
      <c r="C20" s="267" t="s">
        <v>43</v>
      </c>
      <c r="D20" s="268">
        <v>164124</v>
      </c>
      <c r="E20" s="269">
        <v>0</v>
      </c>
      <c r="F20" s="269">
        <v>138.5</v>
      </c>
      <c r="G20" s="269">
        <v>0</v>
      </c>
      <c r="H20" s="270">
        <v>125</v>
      </c>
      <c r="I20" s="6">
        <v>4724</v>
      </c>
      <c r="J20" s="281">
        <v>49399.9999999869</v>
      </c>
      <c r="K20" s="277">
        <v>0</v>
      </c>
      <c r="L20" s="278">
        <v>0</v>
      </c>
      <c r="M20" s="277">
        <v>4686</v>
      </c>
      <c r="N20" s="277">
        <v>1560</v>
      </c>
      <c r="O20" s="279">
        <v>4.5</v>
      </c>
      <c r="P20" s="279">
        <v>0</v>
      </c>
      <c r="Q20" s="289">
        <v>8784</v>
      </c>
      <c r="R20" s="290">
        <f t="shared" si="0"/>
        <v>155340</v>
      </c>
      <c r="S20" s="291"/>
      <c r="T20" s="305">
        <f>U20+V20</f>
        <v>0</v>
      </c>
      <c r="U20" s="303"/>
      <c r="V20" s="304">
        <f>ROUND(V16*V19,2)</f>
        <v>0</v>
      </c>
      <c r="W20" s="301"/>
      <c r="X20" s="295"/>
      <c r="AB20" s="323">
        <f t="shared" si="1"/>
        <v>138.5</v>
      </c>
      <c r="AD20" s="3">
        <f t="shared" si="2"/>
        <v>0</v>
      </c>
      <c r="AE20" s="3">
        <f t="shared" si="3"/>
        <v>0.0225312218359727</v>
      </c>
      <c r="AF20" s="3">
        <f t="shared" si="4"/>
        <v>0</v>
      </c>
      <c r="AG20" s="3">
        <f t="shared" si="5"/>
        <v>0.0134239088451139</v>
      </c>
      <c r="AH20" s="3">
        <f t="shared" si="6"/>
        <v>0.0652259559675551</v>
      </c>
      <c r="AI20" s="3">
        <f t="shared" si="7"/>
        <v>0.101181086648642</v>
      </c>
      <c r="AK20" s="3">
        <f>AB20*(100-进出水!T22)/100</f>
        <v>29.7775</v>
      </c>
      <c r="AL20" s="3">
        <f t="shared" si="8"/>
        <v>4.19780035261523</v>
      </c>
    </row>
    <row r="21" ht="18.6" customHeight="1" spans="1:38">
      <c r="A21" s="6">
        <v>17</v>
      </c>
      <c r="B21" s="266">
        <v>19.3</v>
      </c>
      <c r="C21" s="267" t="s">
        <v>40</v>
      </c>
      <c r="D21" s="268">
        <v>161181</v>
      </c>
      <c r="E21" s="269">
        <v>0</v>
      </c>
      <c r="F21" s="269">
        <v>122.92</v>
      </c>
      <c r="G21" s="269">
        <v>0</v>
      </c>
      <c r="H21" s="270">
        <v>125</v>
      </c>
      <c r="I21" s="6">
        <v>4498</v>
      </c>
      <c r="J21" s="281">
        <v>49000.0000000146</v>
      </c>
      <c r="K21" s="277">
        <v>0</v>
      </c>
      <c r="L21" s="278">
        <v>0.2</v>
      </c>
      <c r="M21" s="277">
        <v>2840</v>
      </c>
      <c r="N21" s="277">
        <v>1032</v>
      </c>
      <c r="O21" s="279">
        <v>4.5</v>
      </c>
      <c r="P21" s="279">
        <v>0</v>
      </c>
      <c r="Q21" s="289">
        <v>2008</v>
      </c>
      <c r="R21" s="290">
        <f t="shared" si="0"/>
        <v>159173</v>
      </c>
      <c r="S21" s="291"/>
      <c r="T21" s="299" t="s">
        <v>59</v>
      </c>
      <c r="U21" s="308" t="s">
        <v>60</v>
      </c>
      <c r="V21" s="287">
        <f>V17+V19</f>
        <v>22.8</v>
      </c>
      <c r="W21" s="57" t="s">
        <v>61</v>
      </c>
      <c r="X21" s="295"/>
      <c r="AB21" s="323">
        <f t="shared" si="1"/>
        <v>122.92</v>
      </c>
      <c r="AD21" s="3">
        <f t="shared" si="2"/>
        <v>0</v>
      </c>
      <c r="AE21" s="3">
        <f t="shared" si="3"/>
        <v>0.021988653854611</v>
      </c>
      <c r="AF21" s="3">
        <f t="shared" si="4"/>
        <v>1.30675428621688e-5</v>
      </c>
      <c r="AG21" s="3">
        <f t="shared" si="5"/>
        <v>0.00793978878327354</v>
      </c>
      <c r="AH21" s="3">
        <f t="shared" si="6"/>
        <v>0.0421104081722403</v>
      </c>
      <c r="AI21" s="3">
        <f t="shared" si="7"/>
        <v>0.072051918352987</v>
      </c>
      <c r="AK21" s="3">
        <f>AB21*(100-进出水!T23)/100</f>
        <v>26.55072</v>
      </c>
      <c r="AL21" s="3">
        <f t="shared" si="8"/>
        <v>4.70797025466729</v>
      </c>
    </row>
    <row r="22" ht="18.6" customHeight="1" spans="1:38">
      <c r="A22" s="6">
        <v>18</v>
      </c>
      <c r="B22" s="266">
        <v>19.2</v>
      </c>
      <c r="C22" s="267" t="s">
        <v>40</v>
      </c>
      <c r="D22" s="268">
        <v>138509</v>
      </c>
      <c r="E22" s="269">
        <v>0</v>
      </c>
      <c r="F22" s="269">
        <v>94.96</v>
      </c>
      <c r="G22" s="269">
        <v>0</v>
      </c>
      <c r="H22" s="270">
        <v>175</v>
      </c>
      <c r="I22" s="6">
        <v>4184</v>
      </c>
      <c r="J22" s="64">
        <v>46199.9999999898</v>
      </c>
      <c r="K22" s="277">
        <v>0</v>
      </c>
      <c r="L22" s="278">
        <v>0</v>
      </c>
      <c r="M22" s="277">
        <v>3550</v>
      </c>
      <c r="N22" s="277">
        <v>1248</v>
      </c>
      <c r="O22" s="279">
        <v>4.312</v>
      </c>
      <c r="P22" s="279">
        <v>0</v>
      </c>
      <c r="Q22" s="289">
        <v>5384</v>
      </c>
      <c r="R22" s="290">
        <f t="shared" si="0"/>
        <v>133125</v>
      </c>
      <c r="S22" s="291"/>
      <c r="T22" s="305">
        <f>T18+T20</f>
        <v>74400.5</v>
      </c>
      <c r="U22" s="308"/>
      <c r="V22" s="57"/>
      <c r="W22" s="309">
        <f>T16-E37-F37-G37</f>
        <v>0</v>
      </c>
      <c r="X22" s="295"/>
      <c r="AB22" s="323">
        <f t="shared" si="1"/>
        <v>94.96</v>
      </c>
      <c r="AD22" s="3">
        <f t="shared" si="2"/>
        <v>0</v>
      </c>
      <c r="AE22" s="3">
        <f t="shared" si="3"/>
        <v>0.0368075117370892</v>
      </c>
      <c r="AF22" s="3">
        <f t="shared" si="4"/>
        <v>0</v>
      </c>
      <c r="AG22" s="3">
        <f t="shared" si="5"/>
        <v>0.0118666666666667</v>
      </c>
      <c r="AH22" s="3">
        <f t="shared" si="6"/>
        <v>0.060888338028169</v>
      </c>
      <c r="AI22" s="3">
        <f t="shared" si="7"/>
        <v>0.109562516431925</v>
      </c>
      <c r="AK22" s="3">
        <f>AB22*(100-进出水!T24)/100</f>
        <v>20.22648</v>
      </c>
      <c r="AL22" s="3">
        <f t="shared" si="8"/>
        <v>8.65202447484683</v>
      </c>
    </row>
    <row r="23" ht="18.6" customHeight="1" spans="1:38">
      <c r="A23" s="6">
        <v>19</v>
      </c>
      <c r="B23" s="266">
        <v>17.9</v>
      </c>
      <c r="C23" s="267" t="s">
        <v>40</v>
      </c>
      <c r="D23" s="268">
        <v>132638</v>
      </c>
      <c r="E23" s="269">
        <v>0</v>
      </c>
      <c r="F23" s="269">
        <v>70.76</v>
      </c>
      <c r="G23" s="269">
        <v>0</v>
      </c>
      <c r="H23" s="270">
        <v>175</v>
      </c>
      <c r="I23" s="6">
        <v>4362</v>
      </c>
      <c r="J23" s="64">
        <v>43800.0000000102</v>
      </c>
      <c r="K23" s="277">
        <v>0</v>
      </c>
      <c r="L23" s="278">
        <v>0</v>
      </c>
      <c r="M23" s="277">
        <v>4473</v>
      </c>
      <c r="N23" s="277">
        <v>1560</v>
      </c>
      <c r="O23" s="279">
        <v>4.313</v>
      </c>
      <c r="P23" s="279">
        <v>0</v>
      </c>
      <c r="Q23" s="289">
        <v>5384</v>
      </c>
      <c r="R23" s="290">
        <f t="shared" si="0"/>
        <v>127254</v>
      </c>
      <c r="S23" s="291"/>
      <c r="T23" s="292"/>
      <c r="U23" s="310"/>
      <c r="V23" s="57"/>
      <c r="W23" s="57"/>
      <c r="X23" s="57"/>
      <c r="AB23" s="323">
        <f t="shared" si="1"/>
        <v>70.76</v>
      </c>
      <c r="AD23" s="3">
        <f t="shared" si="2"/>
        <v>0</v>
      </c>
      <c r="AE23" s="3">
        <f t="shared" si="3"/>
        <v>0.038505665833687</v>
      </c>
      <c r="AF23" s="3">
        <f t="shared" si="4"/>
        <v>0</v>
      </c>
      <c r="AG23" s="3">
        <f t="shared" si="5"/>
        <v>0.0156418265830544</v>
      </c>
      <c r="AH23" s="3">
        <f t="shared" si="6"/>
        <v>0.0796218586449149</v>
      </c>
      <c r="AI23" s="3">
        <f t="shared" si="7"/>
        <v>0.133769351061656</v>
      </c>
      <c r="AK23" s="3">
        <f>AB23*(100-进出水!T25)/100</f>
        <v>15.2134</v>
      </c>
      <c r="AL23" s="3">
        <f t="shared" si="8"/>
        <v>11.5030170770505</v>
      </c>
    </row>
    <row r="24" ht="18.6" customHeight="1" spans="1:38">
      <c r="A24" s="6">
        <v>20</v>
      </c>
      <c r="B24" s="266">
        <v>19.2</v>
      </c>
      <c r="C24" s="267" t="s">
        <v>40</v>
      </c>
      <c r="D24" s="268">
        <v>135082</v>
      </c>
      <c r="E24" s="269">
        <v>0</v>
      </c>
      <c r="F24" s="269">
        <v>70.04</v>
      </c>
      <c r="G24" s="269">
        <v>0</v>
      </c>
      <c r="H24" s="270">
        <v>150</v>
      </c>
      <c r="I24" s="6">
        <v>4716</v>
      </c>
      <c r="J24" s="64">
        <v>43699.9999999898</v>
      </c>
      <c r="K24" s="277">
        <v>0</v>
      </c>
      <c r="L24" s="278">
        <v>0.2</v>
      </c>
      <c r="M24" s="277">
        <v>4331</v>
      </c>
      <c r="N24" s="277">
        <v>1512</v>
      </c>
      <c r="O24" s="279">
        <v>4.438</v>
      </c>
      <c r="P24" s="279">
        <v>0</v>
      </c>
      <c r="Q24" s="289">
        <v>5384</v>
      </c>
      <c r="R24" s="290">
        <f t="shared" si="0"/>
        <v>129698</v>
      </c>
      <c r="S24" s="291"/>
      <c r="T24" s="292" t="s">
        <v>62</v>
      </c>
      <c r="U24" s="310" t="s">
        <v>63</v>
      </c>
      <c r="V24" s="311">
        <f>H37</f>
        <v>4275</v>
      </c>
      <c r="W24" s="57">
        <f>L37</f>
        <v>2.4</v>
      </c>
      <c r="X24" s="57"/>
      <c r="AB24" s="323">
        <f t="shared" si="1"/>
        <v>70.04</v>
      </c>
      <c r="AD24" s="3">
        <f t="shared" si="2"/>
        <v>0</v>
      </c>
      <c r="AE24" s="3">
        <f t="shared" si="3"/>
        <v>0.0323829203225956</v>
      </c>
      <c r="AF24" s="3">
        <f t="shared" si="4"/>
        <v>1.60372557788092e-5</v>
      </c>
      <c r="AG24" s="3">
        <f t="shared" si="5"/>
        <v>0.0148598667674135</v>
      </c>
      <c r="AH24" s="3">
        <f t="shared" si="6"/>
        <v>0.075717744298293</v>
      </c>
      <c r="AI24" s="3">
        <f t="shared" si="7"/>
        <v>0.122976568644081</v>
      </c>
      <c r="AK24" s="3">
        <f>AB24*(100-进出水!T26)/100</f>
        <v>15.19868</v>
      </c>
      <c r="AL24" s="3">
        <f t="shared" si="8"/>
        <v>9.86927812152108</v>
      </c>
    </row>
    <row r="25" ht="18.6" customHeight="1" spans="1:38">
      <c r="A25" s="6">
        <v>21</v>
      </c>
      <c r="B25" s="266">
        <v>19.1</v>
      </c>
      <c r="C25" s="267" t="s">
        <v>40</v>
      </c>
      <c r="D25" s="268">
        <v>127003</v>
      </c>
      <c r="E25" s="269">
        <v>0</v>
      </c>
      <c r="F25" s="269">
        <v>159.84</v>
      </c>
      <c r="G25" s="269">
        <v>0</v>
      </c>
      <c r="H25" s="270">
        <v>150</v>
      </c>
      <c r="I25" s="6">
        <v>4442</v>
      </c>
      <c r="J25" s="281">
        <v>41300.0000000102</v>
      </c>
      <c r="K25" s="277">
        <v>0</v>
      </c>
      <c r="L25" s="278">
        <v>0</v>
      </c>
      <c r="M25" s="277">
        <v>4615</v>
      </c>
      <c r="N25" s="277">
        <v>1584</v>
      </c>
      <c r="O25" s="279">
        <v>4.437</v>
      </c>
      <c r="P25" s="279">
        <v>0</v>
      </c>
      <c r="Q25" s="289">
        <v>5392</v>
      </c>
      <c r="R25" s="290">
        <f t="shared" si="0"/>
        <v>121611</v>
      </c>
      <c r="S25" s="291"/>
      <c r="T25" s="292"/>
      <c r="U25" s="310" t="s">
        <v>64</v>
      </c>
      <c r="V25" s="286">
        <f>汇总!F6</f>
        <v>6.07076816719905</v>
      </c>
      <c r="W25" s="286">
        <f>W24/R37*1000</f>
        <v>0.000494525499692261</v>
      </c>
      <c r="X25" s="57"/>
      <c r="AB25" s="323">
        <f t="shared" si="1"/>
        <v>159.84</v>
      </c>
      <c r="AD25" s="3">
        <f t="shared" si="2"/>
        <v>0</v>
      </c>
      <c r="AE25" s="3">
        <f t="shared" si="3"/>
        <v>0.034536349507857</v>
      </c>
      <c r="AF25" s="3">
        <f t="shared" si="4"/>
        <v>0</v>
      </c>
      <c r="AG25" s="3">
        <f t="shared" si="5"/>
        <v>0.0168872470417972</v>
      </c>
      <c r="AH25" s="3">
        <f t="shared" si="6"/>
        <v>0.0845982682487604</v>
      </c>
      <c r="AI25" s="3">
        <f t="shared" si="7"/>
        <v>0.136021864798415</v>
      </c>
      <c r="AK25" s="3">
        <f>AB25*(100-进出水!T27)/100</f>
        <v>34.52544</v>
      </c>
      <c r="AL25" s="3">
        <f t="shared" si="8"/>
        <v>4.34462240017796</v>
      </c>
    </row>
    <row r="26" ht="18.6" customHeight="1" spans="1:38">
      <c r="A26" s="6">
        <v>22</v>
      </c>
      <c r="B26" s="266">
        <v>19.5</v>
      </c>
      <c r="C26" s="267" t="s">
        <v>40</v>
      </c>
      <c r="D26" s="268">
        <v>129963</v>
      </c>
      <c r="E26" s="269">
        <v>0</v>
      </c>
      <c r="F26" s="269">
        <v>126.3</v>
      </c>
      <c r="G26" s="269">
        <v>0</v>
      </c>
      <c r="H26" s="270">
        <v>125</v>
      </c>
      <c r="I26" s="6">
        <v>4510</v>
      </c>
      <c r="J26" s="64">
        <v>42900.0000000087</v>
      </c>
      <c r="K26" s="277">
        <v>0</v>
      </c>
      <c r="L26" s="278">
        <v>0</v>
      </c>
      <c r="M26" s="277">
        <v>3550</v>
      </c>
      <c r="N26" s="277">
        <v>1248</v>
      </c>
      <c r="O26" s="279">
        <v>3</v>
      </c>
      <c r="P26" s="279">
        <v>0</v>
      </c>
      <c r="Q26" s="289">
        <v>3104</v>
      </c>
      <c r="R26" s="290">
        <f t="shared" si="0"/>
        <v>126859</v>
      </c>
      <c r="S26" s="291"/>
      <c r="T26" s="292" t="s">
        <v>9</v>
      </c>
      <c r="U26" s="310" t="s">
        <v>63</v>
      </c>
      <c r="V26" s="311">
        <f>K37</f>
        <v>48240</v>
      </c>
      <c r="W26" s="57"/>
      <c r="X26" s="57"/>
      <c r="AB26" s="323">
        <f t="shared" si="1"/>
        <v>126.3</v>
      </c>
      <c r="AD26" s="3">
        <f t="shared" si="2"/>
        <v>0</v>
      </c>
      <c r="AE26" s="3">
        <f t="shared" si="3"/>
        <v>0.0275896861870265</v>
      </c>
      <c r="AF26" s="3">
        <f t="shared" si="4"/>
        <v>0</v>
      </c>
      <c r="AG26" s="3">
        <f t="shared" si="5"/>
        <v>0.0124528019297015</v>
      </c>
      <c r="AH26" s="3">
        <f t="shared" si="6"/>
        <v>0.0638958213449578</v>
      </c>
      <c r="AI26" s="3">
        <f t="shared" si="7"/>
        <v>0.103938309461686</v>
      </c>
      <c r="AK26" s="3">
        <f>AB26*(100-进出水!T28)/100</f>
        <v>27.0282</v>
      </c>
      <c r="AL26" s="3">
        <f t="shared" si="8"/>
        <v>4.62479928371109</v>
      </c>
    </row>
    <row r="27" ht="18.6" customHeight="1" spans="1:38">
      <c r="A27" s="6">
        <v>23</v>
      </c>
      <c r="B27" s="266">
        <v>17.2</v>
      </c>
      <c r="C27" s="267" t="s">
        <v>40</v>
      </c>
      <c r="D27" s="268">
        <v>132045</v>
      </c>
      <c r="E27" s="269">
        <v>0</v>
      </c>
      <c r="F27" s="269">
        <v>121.66</v>
      </c>
      <c r="G27" s="269">
        <v>0</v>
      </c>
      <c r="H27" s="270">
        <v>150</v>
      </c>
      <c r="I27" s="6">
        <v>4610</v>
      </c>
      <c r="J27" s="64">
        <v>41199.9999999898</v>
      </c>
      <c r="K27" s="277">
        <v>0</v>
      </c>
      <c r="L27" s="278">
        <v>0.2</v>
      </c>
      <c r="M27" s="277">
        <v>2840</v>
      </c>
      <c r="N27" s="277">
        <v>1008</v>
      </c>
      <c r="O27" s="279">
        <v>2.25</v>
      </c>
      <c r="P27" s="279">
        <v>0</v>
      </c>
      <c r="Q27" s="289">
        <v>5224</v>
      </c>
      <c r="R27" s="290">
        <f t="shared" si="0"/>
        <v>126821</v>
      </c>
      <c r="S27" s="291"/>
      <c r="T27" s="292"/>
      <c r="U27" s="310" t="s">
        <v>65</v>
      </c>
      <c r="V27" s="309">
        <f>ROUND(K37/R37*1000,1)</f>
        <v>9.9</v>
      </c>
      <c r="W27" s="57"/>
      <c r="X27" s="57"/>
      <c r="AB27" s="323">
        <f t="shared" si="1"/>
        <v>121.66</v>
      </c>
      <c r="AD27" s="3">
        <f t="shared" si="2"/>
        <v>0</v>
      </c>
      <c r="AE27" s="3">
        <f t="shared" si="3"/>
        <v>0.0331175436244786</v>
      </c>
      <c r="AF27" s="3">
        <f t="shared" si="4"/>
        <v>1.64010692235513e-5</v>
      </c>
      <c r="AG27" s="3">
        <f t="shared" si="5"/>
        <v>0.0099652265791943</v>
      </c>
      <c r="AH27" s="3">
        <f t="shared" si="6"/>
        <v>0.0516236270018372</v>
      </c>
      <c r="AI27" s="3">
        <f t="shared" si="7"/>
        <v>0.0947227982747337</v>
      </c>
      <c r="AK27" s="3">
        <f>AB27*(100-进出水!T29)/100</f>
        <v>25.79192</v>
      </c>
      <c r="AL27" s="3">
        <f t="shared" si="8"/>
        <v>5.81577486282526</v>
      </c>
    </row>
    <row r="28" ht="18.6" customHeight="1" spans="1:38">
      <c r="A28" s="6">
        <v>24</v>
      </c>
      <c r="B28" s="266">
        <v>16.8</v>
      </c>
      <c r="C28" s="267" t="s">
        <v>40</v>
      </c>
      <c r="D28" s="268">
        <v>135808</v>
      </c>
      <c r="E28" s="269">
        <v>56.58</v>
      </c>
      <c r="F28" s="269">
        <v>0</v>
      </c>
      <c r="G28" s="269">
        <v>0</v>
      </c>
      <c r="H28" s="270">
        <v>125</v>
      </c>
      <c r="I28" s="6">
        <v>4182</v>
      </c>
      <c r="J28" s="64">
        <v>41699.9999999825</v>
      </c>
      <c r="K28" s="277">
        <v>5040</v>
      </c>
      <c r="L28" s="278">
        <v>0</v>
      </c>
      <c r="M28" s="277">
        <v>1633</v>
      </c>
      <c r="N28" s="277">
        <v>600</v>
      </c>
      <c r="O28" s="279">
        <v>3.563</v>
      </c>
      <c r="P28" s="279">
        <v>0</v>
      </c>
      <c r="Q28" s="289">
        <v>5160</v>
      </c>
      <c r="R28" s="290">
        <f t="shared" si="0"/>
        <v>130648</v>
      </c>
      <c r="S28" s="291"/>
      <c r="T28" s="292" t="s">
        <v>11</v>
      </c>
      <c r="U28" s="310" t="s">
        <v>63</v>
      </c>
      <c r="V28" s="311">
        <f>M37</f>
        <v>114381</v>
      </c>
      <c r="W28" s="57"/>
      <c r="X28" s="57"/>
      <c r="AB28" s="323">
        <f t="shared" si="1"/>
        <v>56.58</v>
      </c>
      <c r="AD28" s="3">
        <f t="shared" si="2"/>
        <v>0.02029147021003</v>
      </c>
      <c r="AE28" s="3">
        <f t="shared" si="3"/>
        <v>0.0267895413630519</v>
      </c>
      <c r="AF28" s="3">
        <f t="shared" si="4"/>
        <v>0</v>
      </c>
      <c r="AG28" s="3">
        <f t="shared" si="5"/>
        <v>0.00556215939011695</v>
      </c>
      <c r="AH28" s="3">
        <f t="shared" si="6"/>
        <v>0.0298282407690895</v>
      </c>
      <c r="AI28" s="3">
        <f t="shared" si="7"/>
        <v>0.0824714117322883</v>
      </c>
      <c r="AK28" s="3">
        <f>AB28*(100-进出水!T30)/100</f>
        <v>12.05154</v>
      </c>
      <c r="AL28" s="3">
        <f t="shared" si="8"/>
        <v>10.3721184180611</v>
      </c>
    </row>
    <row r="29" ht="18.6" customHeight="1" spans="1:38">
      <c r="A29" s="6">
        <v>25</v>
      </c>
      <c r="B29" s="266">
        <v>17</v>
      </c>
      <c r="C29" s="267" t="s">
        <v>40</v>
      </c>
      <c r="D29" s="268">
        <v>134377</v>
      </c>
      <c r="E29" s="269">
        <v>94.48</v>
      </c>
      <c r="F29" s="269">
        <v>93.24</v>
      </c>
      <c r="G29" s="269">
        <v>0</v>
      </c>
      <c r="H29" s="270">
        <v>150</v>
      </c>
      <c r="I29" s="6">
        <v>4332</v>
      </c>
      <c r="J29" s="64">
        <v>43100.0000000131</v>
      </c>
      <c r="K29" s="277">
        <v>6720</v>
      </c>
      <c r="L29" s="278">
        <v>0.2</v>
      </c>
      <c r="M29" s="277">
        <v>3337</v>
      </c>
      <c r="N29" s="277">
        <v>1080</v>
      </c>
      <c r="O29" s="279">
        <v>4.375</v>
      </c>
      <c r="P29" s="279">
        <v>0</v>
      </c>
      <c r="Q29" s="289">
        <v>5200</v>
      </c>
      <c r="R29" s="290">
        <f t="shared" si="0"/>
        <v>129177</v>
      </c>
      <c r="S29" s="291"/>
      <c r="T29" s="292"/>
      <c r="U29" s="310" t="s">
        <v>65</v>
      </c>
      <c r="V29" s="312">
        <f>ROUND(M37/R37*1000,1)</f>
        <v>23.6</v>
      </c>
      <c r="W29" s="57"/>
      <c r="X29" s="57"/>
      <c r="AB29" s="323">
        <f t="shared" si="1"/>
        <v>187.72</v>
      </c>
      <c r="AD29" s="3">
        <f t="shared" si="2"/>
        <v>0.0273633851227386</v>
      </c>
      <c r="AE29" s="3">
        <f t="shared" si="3"/>
        <v>0.0325135279500221</v>
      </c>
      <c r="AF29" s="3">
        <f t="shared" si="4"/>
        <v>1.61019376514395e-5</v>
      </c>
      <c r="AG29" s="3">
        <f t="shared" si="5"/>
        <v>0.0114955835791201</v>
      </c>
      <c r="AH29" s="3">
        <f t="shared" si="6"/>
        <v>0.054302236466244</v>
      </c>
      <c r="AI29" s="3">
        <f t="shared" si="7"/>
        <v>0.125690835055776</v>
      </c>
      <c r="AK29" s="3">
        <f>AB29*(100-进出水!T31)/100</f>
        <v>40.92296</v>
      </c>
      <c r="AL29" s="3">
        <f t="shared" si="8"/>
        <v>3.6654240064746</v>
      </c>
    </row>
    <row r="30" ht="18.6" customHeight="1" spans="1:38">
      <c r="A30" s="6">
        <v>26</v>
      </c>
      <c r="B30" s="266">
        <v>16.5</v>
      </c>
      <c r="C30" s="267" t="s">
        <v>50</v>
      </c>
      <c r="D30" s="268">
        <v>138723</v>
      </c>
      <c r="E30" s="269">
        <v>0</v>
      </c>
      <c r="F30" s="269">
        <v>106.46</v>
      </c>
      <c r="G30" s="269">
        <v>0</v>
      </c>
      <c r="H30" s="270">
        <v>150</v>
      </c>
      <c r="I30" s="6">
        <v>4524</v>
      </c>
      <c r="J30" s="64">
        <v>42799.9999999884</v>
      </c>
      <c r="K30" s="277">
        <v>2160</v>
      </c>
      <c r="L30" s="278">
        <v>0</v>
      </c>
      <c r="M30" s="277">
        <v>4757</v>
      </c>
      <c r="N30" s="277">
        <v>1632</v>
      </c>
      <c r="O30" s="279">
        <v>4.312</v>
      </c>
      <c r="P30" s="279">
        <v>0</v>
      </c>
      <c r="Q30" s="289">
        <v>5200</v>
      </c>
      <c r="R30" s="290">
        <f t="shared" si="0"/>
        <v>133523</v>
      </c>
      <c r="S30" s="291"/>
      <c r="T30" s="292" t="s">
        <v>12</v>
      </c>
      <c r="U30" s="310" t="s">
        <v>63</v>
      </c>
      <c r="V30" s="311">
        <f>处理量!N37</f>
        <v>39360</v>
      </c>
      <c r="W30" s="57"/>
      <c r="X30" s="57"/>
      <c r="AB30" s="323">
        <f t="shared" si="1"/>
        <v>106.46</v>
      </c>
      <c r="AD30" s="3">
        <f t="shared" si="2"/>
        <v>0.00850909581120856</v>
      </c>
      <c r="AE30" s="3">
        <f t="shared" si="3"/>
        <v>0.0314552548999049</v>
      </c>
      <c r="AF30" s="3">
        <f t="shared" si="4"/>
        <v>0</v>
      </c>
      <c r="AG30" s="3">
        <f t="shared" si="5"/>
        <v>0.0158539352770684</v>
      </c>
      <c r="AH30" s="3">
        <f t="shared" si="6"/>
        <v>0.0793858735948114</v>
      </c>
      <c r="AI30" s="3">
        <f t="shared" si="7"/>
        <v>0.135204159582993</v>
      </c>
      <c r="AK30" s="3">
        <f>AB30*(100-进出水!T32)/100</f>
        <v>22.8889</v>
      </c>
      <c r="AL30" s="3">
        <f t="shared" si="8"/>
        <v>6.55339487699278</v>
      </c>
    </row>
    <row r="31" ht="18.6" customHeight="1" spans="1:38">
      <c r="A31" s="6">
        <v>27</v>
      </c>
      <c r="B31" s="266">
        <v>16</v>
      </c>
      <c r="C31" s="267" t="s">
        <v>40</v>
      </c>
      <c r="D31" s="268">
        <v>136271</v>
      </c>
      <c r="E31" s="269">
        <v>103.92</v>
      </c>
      <c r="F31" s="269">
        <v>0</v>
      </c>
      <c r="G31" s="269">
        <v>0</v>
      </c>
      <c r="H31" s="270">
        <v>150</v>
      </c>
      <c r="I31" s="6">
        <v>4706</v>
      </c>
      <c r="J31" s="64">
        <v>42200.0000000116</v>
      </c>
      <c r="K31" s="277">
        <v>17760</v>
      </c>
      <c r="L31" s="278">
        <v>0.2</v>
      </c>
      <c r="M31" s="277">
        <v>5325</v>
      </c>
      <c r="N31" s="277">
        <v>1752</v>
      </c>
      <c r="O31" s="279">
        <v>4.25</v>
      </c>
      <c r="P31" s="279">
        <v>0</v>
      </c>
      <c r="Q31" s="289">
        <v>5208</v>
      </c>
      <c r="R31" s="290">
        <f t="shared" si="0"/>
        <v>131063</v>
      </c>
      <c r="S31" s="291"/>
      <c r="T31" s="292"/>
      <c r="U31" s="310" t="s">
        <v>65</v>
      </c>
      <c r="V31" s="309">
        <f>ROUND(N37/R37*1000,2)</f>
        <v>8.11</v>
      </c>
      <c r="W31" s="57"/>
      <c r="X31" s="57"/>
      <c r="AB31" s="323">
        <f t="shared" si="1"/>
        <v>103.92</v>
      </c>
      <c r="AD31" s="3">
        <f t="shared" si="2"/>
        <v>0.0712768668502934</v>
      </c>
      <c r="AE31" s="3">
        <f t="shared" si="3"/>
        <v>0.0320456574319221</v>
      </c>
      <c r="AF31" s="3">
        <f t="shared" si="4"/>
        <v>1.58702303472376e-5</v>
      </c>
      <c r="AG31" s="3">
        <f t="shared" si="5"/>
        <v>0.0180800454743139</v>
      </c>
      <c r="AH31" s="3">
        <f t="shared" si="6"/>
        <v>0.0868226730656249</v>
      </c>
      <c r="AI31" s="3">
        <f t="shared" si="7"/>
        <v>0.208241113052501</v>
      </c>
      <c r="AK31" s="3">
        <f>AB31*(100-进出水!T33)/100</f>
        <v>22.75848</v>
      </c>
      <c r="AL31" s="3">
        <f t="shared" si="8"/>
        <v>6.59094983496261</v>
      </c>
    </row>
    <row r="32" ht="18.6" customHeight="1" spans="1:38">
      <c r="A32" s="6">
        <v>28</v>
      </c>
      <c r="B32" s="266">
        <v>16.3</v>
      </c>
      <c r="C32" s="267" t="s">
        <v>40</v>
      </c>
      <c r="D32" s="268">
        <v>134125</v>
      </c>
      <c r="E32" s="269">
        <v>108.64</v>
      </c>
      <c r="F32" s="269">
        <v>0</v>
      </c>
      <c r="G32" s="269">
        <v>0</v>
      </c>
      <c r="H32" s="270">
        <v>175</v>
      </c>
      <c r="I32" s="6">
        <v>4418</v>
      </c>
      <c r="J32" s="64">
        <v>43600.0000000058</v>
      </c>
      <c r="K32" s="277">
        <v>120</v>
      </c>
      <c r="L32" s="278">
        <v>0</v>
      </c>
      <c r="M32" s="277">
        <v>4260</v>
      </c>
      <c r="N32" s="277">
        <v>1488</v>
      </c>
      <c r="O32" s="279">
        <v>4.25</v>
      </c>
      <c r="P32" s="279">
        <v>0</v>
      </c>
      <c r="Q32" s="289">
        <v>5240</v>
      </c>
      <c r="R32" s="290">
        <f t="shared" si="0"/>
        <v>128885</v>
      </c>
      <c r="S32" s="291"/>
      <c r="T32" s="292" t="s">
        <v>66</v>
      </c>
      <c r="U32" s="310" t="s">
        <v>67</v>
      </c>
      <c r="V32" s="57">
        <f>O37</f>
        <v>115.445</v>
      </c>
      <c r="W32" s="57"/>
      <c r="X32" s="57"/>
      <c r="AB32" s="323">
        <f t="shared" si="1"/>
        <v>108.64</v>
      </c>
      <c r="AD32" s="3">
        <f t="shared" si="2"/>
        <v>0.000489738914536214</v>
      </c>
      <c r="AE32" s="3">
        <f t="shared" si="3"/>
        <v>0.0380183884858595</v>
      </c>
      <c r="AF32" s="3">
        <f t="shared" si="4"/>
        <v>0</v>
      </c>
      <c r="AG32" s="3">
        <f t="shared" si="5"/>
        <v>0.0147084610311518</v>
      </c>
      <c r="AH32" s="3">
        <f t="shared" si="6"/>
        <v>0.0749859176785506</v>
      </c>
      <c r="AI32" s="3">
        <f t="shared" si="7"/>
        <v>0.128202506110098</v>
      </c>
      <c r="AK32" s="3">
        <f>AB32*(100-进出水!T34)/100</f>
        <v>23.68352</v>
      </c>
      <c r="AL32" s="3">
        <f t="shared" si="8"/>
        <v>7.38910432233047</v>
      </c>
    </row>
    <row r="33" ht="18.6" customHeight="1" spans="1:38">
      <c r="A33" s="6">
        <v>29</v>
      </c>
      <c r="B33" s="266">
        <v>16.5</v>
      </c>
      <c r="C33" s="267" t="s">
        <v>50</v>
      </c>
      <c r="D33" s="268">
        <v>135039</v>
      </c>
      <c r="E33" s="269">
        <v>0</v>
      </c>
      <c r="F33" s="269">
        <v>108.72</v>
      </c>
      <c r="G33" s="269">
        <v>0</v>
      </c>
      <c r="H33" s="270">
        <v>150</v>
      </c>
      <c r="I33" s="6">
        <v>4368</v>
      </c>
      <c r="J33" s="64">
        <v>43600.0000000058</v>
      </c>
      <c r="K33" s="277">
        <v>5760</v>
      </c>
      <c r="L33" s="278">
        <v>0</v>
      </c>
      <c r="M33" s="277">
        <v>2698</v>
      </c>
      <c r="N33" s="277">
        <v>960</v>
      </c>
      <c r="O33" s="279">
        <v>4.375</v>
      </c>
      <c r="P33" s="279">
        <v>0</v>
      </c>
      <c r="Q33" s="289">
        <v>5216</v>
      </c>
      <c r="R33" s="290">
        <f t="shared" si="0"/>
        <v>129823</v>
      </c>
      <c r="S33" s="291"/>
      <c r="T33" s="292"/>
      <c r="U33" s="310" t="s">
        <v>65</v>
      </c>
      <c r="V33" s="309">
        <f>ROUND(V32/R37*1000000,2)</f>
        <v>23.79</v>
      </c>
      <c r="W33" s="57"/>
      <c r="X33" s="57"/>
      <c r="AB33" s="323">
        <f t="shared" si="1"/>
        <v>108.72</v>
      </c>
      <c r="AD33" s="3">
        <f t="shared" si="2"/>
        <v>0.0233376212227417</v>
      </c>
      <c r="AE33" s="3">
        <f t="shared" si="3"/>
        <v>0.0323517404466081</v>
      </c>
      <c r="AF33" s="3">
        <f t="shared" si="4"/>
        <v>0</v>
      </c>
      <c r="AG33" s="3">
        <f t="shared" si="5"/>
        <v>0.00924805311847669</v>
      </c>
      <c r="AH33" s="3">
        <f t="shared" si="6"/>
        <v>0.048028469531593</v>
      </c>
      <c r="AI33" s="3">
        <f t="shared" si="7"/>
        <v>0.11296588431942</v>
      </c>
      <c r="AK33" s="3">
        <f>AB33*(100-进出水!T35)/100</f>
        <v>23.59224</v>
      </c>
      <c r="AL33" s="3">
        <f t="shared" si="8"/>
        <v>6.35802280749941</v>
      </c>
    </row>
    <row r="34" ht="18.6" customHeight="1" spans="1:38">
      <c r="A34" s="6">
        <v>30</v>
      </c>
      <c r="B34" s="266">
        <v>16.2</v>
      </c>
      <c r="C34" s="267" t="s">
        <v>50</v>
      </c>
      <c r="D34" s="268">
        <v>141940</v>
      </c>
      <c r="E34" s="269">
        <v>94.18</v>
      </c>
      <c r="F34" s="269">
        <v>0</v>
      </c>
      <c r="G34" s="269">
        <v>0</v>
      </c>
      <c r="H34" s="270">
        <v>150</v>
      </c>
      <c r="I34" s="6">
        <v>4258</v>
      </c>
      <c r="J34" s="64">
        <v>44699.9999999753</v>
      </c>
      <c r="K34" s="277">
        <v>5520</v>
      </c>
      <c r="L34" s="278">
        <v>0.2</v>
      </c>
      <c r="M34" s="277">
        <v>2272</v>
      </c>
      <c r="N34" s="277">
        <v>816</v>
      </c>
      <c r="O34" s="279">
        <v>2.687</v>
      </c>
      <c r="P34" s="279">
        <v>0</v>
      </c>
      <c r="Q34" s="289">
        <v>5208</v>
      </c>
      <c r="R34" s="290">
        <f t="shared" si="0"/>
        <v>136732</v>
      </c>
      <c r="S34" s="291"/>
      <c r="T34" s="292"/>
      <c r="U34" s="310"/>
      <c r="V34" s="309"/>
      <c r="W34" s="57"/>
      <c r="X34" s="57"/>
      <c r="AB34" s="323">
        <f t="shared" si="1"/>
        <v>94.18</v>
      </c>
      <c r="AD34" s="3">
        <f t="shared" si="2"/>
        <v>0.0212351168709592</v>
      </c>
      <c r="AE34" s="3">
        <f t="shared" si="3"/>
        <v>0.0307170230816488</v>
      </c>
      <c r="AF34" s="3">
        <f t="shared" si="4"/>
        <v>1.52122400023403e-5</v>
      </c>
      <c r="AG34" s="3">
        <f t="shared" si="5"/>
        <v>0.00739431881344528</v>
      </c>
      <c r="AH34" s="3">
        <f t="shared" si="6"/>
        <v>0.0387613726121171</v>
      </c>
      <c r="AI34" s="3">
        <f t="shared" si="7"/>
        <v>0.0981230436181728</v>
      </c>
      <c r="AK34" s="3">
        <f>AB34*(100-进出水!T36)/100</f>
        <v>20.15452</v>
      </c>
      <c r="AL34" s="3">
        <f t="shared" si="8"/>
        <v>7.44249925078841</v>
      </c>
    </row>
    <row r="35" ht="18.6" customHeight="1" spans="1:38">
      <c r="A35" s="6">
        <v>31</v>
      </c>
      <c r="B35" s="266">
        <v>16.3</v>
      </c>
      <c r="C35" s="267" t="s">
        <v>50</v>
      </c>
      <c r="D35" s="268">
        <v>129494</v>
      </c>
      <c r="E35" s="269">
        <v>111.98</v>
      </c>
      <c r="F35" s="269">
        <v>0</v>
      </c>
      <c r="G35" s="269">
        <v>0</v>
      </c>
      <c r="H35" s="270">
        <v>150</v>
      </c>
      <c r="I35" s="6">
        <v>4276</v>
      </c>
      <c r="J35" s="64">
        <v>41500.0000000146</v>
      </c>
      <c r="K35" s="277">
        <v>5160</v>
      </c>
      <c r="L35" s="278">
        <v>0</v>
      </c>
      <c r="M35" s="277">
        <v>1917</v>
      </c>
      <c r="N35" s="277">
        <v>696</v>
      </c>
      <c r="O35" s="279">
        <v>2.188</v>
      </c>
      <c r="P35" s="279">
        <v>0</v>
      </c>
      <c r="Q35" s="289">
        <v>5208</v>
      </c>
      <c r="R35" s="290">
        <f t="shared" si="0"/>
        <v>124286</v>
      </c>
      <c r="S35" s="291"/>
      <c r="T35" s="292"/>
      <c r="U35" s="310"/>
      <c r="V35" s="57"/>
      <c r="W35" s="57"/>
      <c r="X35" s="57"/>
      <c r="AB35" s="323">
        <f t="shared" si="1"/>
        <v>111.98</v>
      </c>
      <c r="AD35" s="3">
        <f t="shared" si="2"/>
        <v>0.0218380187631753</v>
      </c>
      <c r="AE35" s="3">
        <f t="shared" si="3"/>
        <v>0.0337930257631592</v>
      </c>
      <c r="AF35" s="3">
        <f t="shared" si="4"/>
        <v>0</v>
      </c>
      <c r="AG35" s="3">
        <f t="shared" si="5"/>
        <v>0.0068637256006308</v>
      </c>
      <c r="AH35" s="3">
        <f t="shared" si="6"/>
        <v>0.0363719163863991</v>
      </c>
      <c r="AI35" s="3">
        <f t="shared" si="7"/>
        <v>0.0988666865133643</v>
      </c>
      <c r="AK35" s="3">
        <f>AB35*(100-进出水!T37)/100</f>
        <v>24.18768</v>
      </c>
      <c r="AL35" s="3">
        <f t="shared" si="8"/>
        <v>6.2015042368677</v>
      </c>
    </row>
    <row r="36" ht="19" customHeight="1" spans="1:20">
      <c r="A36" s="5" t="s">
        <v>68</v>
      </c>
      <c r="B36" s="61">
        <f>AVERAGE(B5:B35)</f>
        <v>18.5612903225806</v>
      </c>
      <c r="C36" s="8" t="s">
        <v>69</v>
      </c>
      <c r="D36" s="271">
        <f>AVERAGE(D5:D35)</f>
        <v>161824.806451613</v>
      </c>
      <c r="E36" s="194">
        <f>AVERAGE(E5:E35)</f>
        <v>18.38</v>
      </c>
      <c r="F36" s="194">
        <f>AVERAGE(F5:F35)</f>
        <v>86.8838709677419</v>
      </c>
      <c r="G36" s="194">
        <f>AVERAGE(G5:G35)</f>
        <v>0</v>
      </c>
      <c r="H36" s="271">
        <f t="shared" ref="H36:Q36" si="9">AVERAGE(H5:H35)</f>
        <v>137.903225806452</v>
      </c>
      <c r="I36" s="271">
        <f t="shared" si="9"/>
        <v>4088.58064516129</v>
      </c>
      <c r="J36" s="271">
        <f t="shared" si="9"/>
        <v>47258.064516129</v>
      </c>
      <c r="K36" s="271">
        <f t="shared" si="9"/>
        <v>1556.12903225806</v>
      </c>
      <c r="L36" s="271">
        <f t="shared" si="9"/>
        <v>0.0774193548387097</v>
      </c>
      <c r="M36" s="271">
        <f t="shared" si="9"/>
        <v>3689.70967741935</v>
      </c>
      <c r="N36" s="271">
        <f t="shared" si="9"/>
        <v>1269.67741935484</v>
      </c>
      <c r="O36" s="282">
        <f t="shared" si="9"/>
        <v>3.72403225806452</v>
      </c>
      <c r="P36" s="194">
        <f t="shared" si="9"/>
        <v>0</v>
      </c>
      <c r="Q36" s="271">
        <f t="shared" si="9"/>
        <v>5272</v>
      </c>
      <c r="R36" s="313">
        <f t="shared" si="0"/>
        <v>156552.806451613</v>
      </c>
      <c r="S36" s="314"/>
      <c r="T36" s="315"/>
    </row>
    <row r="37" ht="17" customHeight="1" spans="1:28">
      <c r="A37" s="5" t="s">
        <v>26</v>
      </c>
      <c r="B37" s="6" t="s">
        <v>69</v>
      </c>
      <c r="C37" s="6" t="s">
        <v>69</v>
      </c>
      <c r="D37" s="272">
        <f>SUM(D5:D35)</f>
        <v>5016569</v>
      </c>
      <c r="E37" s="273">
        <f>SUM(E5:E35)</f>
        <v>569.78</v>
      </c>
      <c r="F37" s="273">
        <f>SUM(F5:F35)</f>
        <v>2693.4</v>
      </c>
      <c r="G37" s="273">
        <f>SUM(G5:G35)</f>
        <v>0</v>
      </c>
      <c r="H37" s="272">
        <f>SUM(H5:H35)</f>
        <v>4275</v>
      </c>
      <c r="I37" s="6" t="s">
        <v>69</v>
      </c>
      <c r="J37" s="271">
        <f t="shared" ref="J37:R37" si="10">SUM(J5:J35)</f>
        <v>1465000</v>
      </c>
      <c r="K37" s="271">
        <f t="shared" si="10"/>
        <v>48240</v>
      </c>
      <c r="L37" s="283">
        <f t="shared" si="10"/>
        <v>2.4</v>
      </c>
      <c r="M37" s="271">
        <f t="shared" si="10"/>
        <v>114381</v>
      </c>
      <c r="N37" s="271">
        <f t="shared" si="10"/>
        <v>39360</v>
      </c>
      <c r="O37" s="194">
        <f t="shared" si="10"/>
        <v>115.445</v>
      </c>
      <c r="P37" s="194">
        <f t="shared" si="10"/>
        <v>0</v>
      </c>
      <c r="Q37" s="271">
        <f t="shared" si="10"/>
        <v>163432</v>
      </c>
      <c r="R37" s="271">
        <f t="shared" si="10"/>
        <v>4853137</v>
      </c>
      <c r="S37" s="316"/>
      <c r="T37" s="317"/>
      <c r="AB37" s="3">
        <f>SUM(AB5:AB36)</f>
        <v>3263.18</v>
      </c>
    </row>
    <row r="38" ht="18.6" customHeight="1" spans="1:18">
      <c r="A38" s="274" t="s">
        <v>70</v>
      </c>
      <c r="B38" s="274"/>
      <c r="C38" s="274"/>
      <c r="D38" s="274"/>
      <c r="E38" s="275"/>
      <c r="F38" s="275"/>
      <c r="I38" s="284" t="s">
        <v>71</v>
      </c>
      <c r="Q38" s="318" t="s">
        <v>72</v>
      </c>
      <c r="R38" s="319">
        <v>44564</v>
      </c>
    </row>
    <row r="39" ht="18.6" customHeight="1" spans="13:13">
      <c r="M39" s="256">
        <f>M37*0.31</f>
        <v>35458.11</v>
      </c>
    </row>
    <row r="40" spans="7:28">
      <c r="G40" s="256"/>
      <c r="H40" s="256"/>
      <c r="Q40" s="256" t="s">
        <v>73</v>
      </c>
      <c r="R40" s="256">
        <f>MAX(R5:R35)</f>
        <v>205666</v>
      </c>
      <c r="AB40" s="3">
        <f>(100-进出水!T38)*AB37/100</f>
        <v>704.194244</v>
      </c>
    </row>
    <row r="41" spans="7:18">
      <c r="G41" s="256"/>
      <c r="H41" s="256"/>
      <c r="O41" s="256">
        <f>O37*1000</f>
        <v>115445</v>
      </c>
      <c r="Q41" s="256" t="s">
        <v>74</v>
      </c>
      <c r="R41" s="256">
        <f>MIN(R5:R35)</f>
        <v>121611</v>
      </c>
    </row>
    <row r="42" spans="12:12">
      <c r="L42" s="256">
        <f>L37*1000/R37</f>
        <v>0.000494525499692261</v>
      </c>
    </row>
    <row r="43" spans="18:18">
      <c r="R43" s="256">
        <f>O37*1000</f>
        <v>115445</v>
      </c>
    </row>
    <row r="44" spans="18:18">
      <c r="R44" s="256">
        <f>L37/R37*1000</f>
        <v>0.000494525499692261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J5" sqref="J5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00" t="s">
        <v>75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="196" customFormat="1" ht="20.1" customHeight="1" spans="1:13">
      <c r="A2" s="201">
        <v>44896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="196" customFormat="1" ht="24" customHeight="1" spans="1:22">
      <c r="A3" s="202" t="s">
        <v>76</v>
      </c>
      <c r="B3" s="203" t="s">
        <v>77</v>
      </c>
      <c r="C3" s="204">
        <f>处理量!R37</f>
        <v>4853137</v>
      </c>
      <c r="D3" s="205" t="s">
        <v>78</v>
      </c>
      <c r="E3" s="203" t="s">
        <v>79</v>
      </c>
      <c r="F3" s="206">
        <f>处理量!E37+处理量!F37+处理量!G37</f>
        <v>3263.18</v>
      </c>
      <c r="G3" s="202" t="s">
        <v>80</v>
      </c>
      <c r="H3" s="203" t="s">
        <v>81</v>
      </c>
      <c r="I3" s="203"/>
      <c r="J3" s="37">
        <f>处理量!J37</f>
        <v>1465000</v>
      </c>
      <c r="K3" s="205" t="s">
        <v>82</v>
      </c>
      <c r="L3" s="203" t="s">
        <v>83</v>
      </c>
      <c r="M3" s="240">
        <f>J3/C3</f>
        <v>0.301866607103818</v>
      </c>
      <c r="P3" s="196" t="s">
        <v>84</v>
      </c>
      <c r="Q3" s="254">
        <v>1773.2</v>
      </c>
      <c r="R3" s="196">
        <f>J5-Q3</f>
        <v>2027.8</v>
      </c>
      <c r="V3" s="196">
        <v>188314</v>
      </c>
    </row>
    <row r="4" s="196" customFormat="1" ht="24" customHeight="1" spans="1:22">
      <c r="A4" s="202"/>
      <c r="B4" s="203" t="s">
        <v>85</v>
      </c>
      <c r="C4" s="207">
        <f>处理量!R36</f>
        <v>156552.806451613</v>
      </c>
      <c r="D4" s="208"/>
      <c r="E4" s="203" t="s">
        <v>86</v>
      </c>
      <c r="F4" s="209">
        <f>处理量!H37</f>
        <v>4275</v>
      </c>
      <c r="G4" s="202"/>
      <c r="H4" s="203" t="s">
        <v>87</v>
      </c>
      <c r="I4" s="203"/>
      <c r="J4" s="209">
        <f>J3/M15</f>
        <v>47258.064516129</v>
      </c>
      <c r="K4" s="208"/>
      <c r="L4" s="203" t="s">
        <v>88</v>
      </c>
      <c r="M4" s="241">
        <f>J3/I12</f>
        <v>1.31075383023803</v>
      </c>
      <c r="P4" s="196" t="s">
        <v>89</v>
      </c>
      <c r="Q4" s="254">
        <v>50535.9999999999</v>
      </c>
      <c r="V4" s="196">
        <v>193894</v>
      </c>
    </row>
    <row r="5" s="196" customFormat="1" ht="24" customHeight="1" spans="1:22">
      <c r="A5" s="202"/>
      <c r="B5" s="203"/>
      <c r="C5" s="210"/>
      <c r="D5" s="208"/>
      <c r="E5" s="203" t="s">
        <v>90</v>
      </c>
      <c r="F5" s="211">
        <f>进出水!T38</f>
        <v>78.42</v>
      </c>
      <c r="G5" s="202"/>
      <c r="H5" s="203" t="s">
        <v>91</v>
      </c>
      <c r="I5" s="203"/>
      <c r="J5" s="242">
        <v>3801</v>
      </c>
      <c r="K5" s="208"/>
      <c r="L5" s="203"/>
      <c r="M5" s="243"/>
      <c r="V5" s="196">
        <f>V4-V3</f>
        <v>5580</v>
      </c>
    </row>
    <row r="6" s="196" customFormat="1" ht="24" customHeight="1" spans="1:13">
      <c r="A6" s="202"/>
      <c r="B6" s="203" t="s">
        <v>92</v>
      </c>
      <c r="C6" s="212">
        <f>处理量!R40</f>
        <v>205666</v>
      </c>
      <c r="D6" s="208"/>
      <c r="E6" s="202" t="s">
        <v>93</v>
      </c>
      <c r="F6" s="206">
        <f>F4/(F3*(100-F5)/100)</f>
        <v>6.07076816719905</v>
      </c>
      <c r="G6" s="205" t="s">
        <v>94</v>
      </c>
      <c r="H6" s="203" t="s">
        <v>95</v>
      </c>
      <c r="I6" s="203"/>
      <c r="J6" s="215">
        <f>处理量!M37/1000</f>
        <v>114.381</v>
      </c>
      <c r="K6" s="208"/>
      <c r="L6" s="203" t="s">
        <v>96</v>
      </c>
      <c r="M6" s="215">
        <f>J3/I13</f>
        <v>2.65868070375038</v>
      </c>
    </row>
    <row r="7" s="196" customFormat="1" ht="24" customHeight="1" spans="1:13">
      <c r="A7" s="202"/>
      <c r="B7" s="203" t="s">
        <v>97</v>
      </c>
      <c r="C7" s="37">
        <f>处理量!R41</f>
        <v>121611</v>
      </c>
      <c r="D7" s="213"/>
      <c r="E7" s="202" t="s">
        <v>98</v>
      </c>
      <c r="F7" s="214">
        <f>F3*(100-F5)/100*1000/(C3/1000)</f>
        <v>145.100837664381</v>
      </c>
      <c r="G7" s="208"/>
      <c r="H7" s="203" t="s">
        <v>99</v>
      </c>
      <c r="I7" s="203"/>
      <c r="J7" s="229">
        <f>J6*1000/(C3/1000)</f>
        <v>23.5684671584585</v>
      </c>
      <c r="K7" s="208"/>
      <c r="L7" s="244" t="s">
        <v>100</v>
      </c>
      <c r="M7" s="215">
        <f>J3/I14</f>
        <v>3.28580175360638</v>
      </c>
    </row>
    <row r="8" s="196" customFormat="1" ht="24" customHeight="1" spans="1:13">
      <c r="A8" s="202"/>
      <c r="B8" s="203" t="s">
        <v>101</v>
      </c>
      <c r="C8" s="215">
        <f>C4/200000*100</f>
        <v>78.2764032258065</v>
      </c>
      <c r="D8" s="202" t="s">
        <v>102</v>
      </c>
      <c r="E8" s="203" t="s">
        <v>103</v>
      </c>
      <c r="F8" s="215">
        <f>处理量!K37/1000</f>
        <v>48.24</v>
      </c>
      <c r="G8" s="208"/>
      <c r="H8" s="203" t="s">
        <v>104</v>
      </c>
      <c r="I8" s="203"/>
      <c r="J8" s="215">
        <f>处理量!N37/1000</f>
        <v>39.36</v>
      </c>
      <c r="K8" s="245" t="s">
        <v>105</v>
      </c>
      <c r="L8" s="224" t="s">
        <v>106</v>
      </c>
      <c r="M8" s="246">
        <f>处理量!O37</f>
        <v>115.445</v>
      </c>
    </row>
    <row r="9" s="196" customFormat="1" ht="24" customHeight="1" spans="1:13">
      <c r="A9" s="202"/>
      <c r="B9" s="216" t="s">
        <v>107</v>
      </c>
      <c r="C9" s="217">
        <f>处理量!B36</f>
        <v>18.5612903225806</v>
      </c>
      <c r="D9" s="202"/>
      <c r="E9" s="203" t="s">
        <v>99</v>
      </c>
      <c r="F9" s="215">
        <f>F8*1000/(C3/1000)</f>
        <v>9.93996254381445</v>
      </c>
      <c r="G9" s="213"/>
      <c r="H9" s="203" t="s">
        <v>99</v>
      </c>
      <c r="I9" s="203"/>
      <c r="J9" s="206">
        <f>J8*1000/(C3/1000)</f>
        <v>8.11021819495308</v>
      </c>
      <c r="K9" s="221"/>
      <c r="L9" s="37" t="s">
        <v>99</v>
      </c>
      <c r="M9" s="246">
        <f>M8*1000000/C3</f>
        <v>23.7877067966554</v>
      </c>
    </row>
    <row r="10" s="196" customFormat="1" ht="24" customHeight="1" spans="1:13">
      <c r="A10" s="202" t="s">
        <v>108</v>
      </c>
      <c r="B10" s="218" t="s">
        <v>109</v>
      </c>
      <c r="C10" s="219" t="s">
        <v>110</v>
      </c>
      <c r="D10" s="220"/>
      <c r="E10" s="219" t="s">
        <v>111</v>
      </c>
      <c r="F10" s="220"/>
      <c r="G10" s="219" t="s">
        <v>112</v>
      </c>
      <c r="H10" s="220"/>
      <c r="I10" s="219" t="s">
        <v>113</v>
      </c>
      <c r="J10" s="220"/>
      <c r="K10" s="205" t="s">
        <v>114</v>
      </c>
      <c r="L10" s="224" t="s">
        <v>106</v>
      </c>
      <c r="M10" s="37">
        <v>0</v>
      </c>
    </row>
    <row r="11" s="196" customFormat="1" ht="24" customHeight="1" spans="1:13">
      <c r="A11" s="202"/>
      <c r="B11" s="221"/>
      <c r="C11" s="222"/>
      <c r="D11" s="223"/>
      <c r="E11" s="222"/>
      <c r="F11" s="223"/>
      <c r="G11" s="222"/>
      <c r="H11" s="223"/>
      <c r="I11" s="222"/>
      <c r="J11" s="223"/>
      <c r="K11" s="213"/>
      <c r="L11" s="37" t="s">
        <v>99</v>
      </c>
      <c r="M11" s="37">
        <v>0</v>
      </c>
    </row>
    <row r="12" s="196" customFormat="1" ht="24" customHeight="1" spans="1:19">
      <c r="A12" s="202"/>
      <c r="B12" s="224" t="s">
        <v>115</v>
      </c>
      <c r="C12" s="209">
        <f>进出水!B38</f>
        <v>254</v>
      </c>
      <c r="D12" s="209"/>
      <c r="E12" s="225">
        <f>进出水!N38</f>
        <v>23.7</v>
      </c>
      <c r="F12" s="226"/>
      <c r="G12" s="225">
        <f t="shared" ref="G12:G17" si="0">(C12-E12)/C12*100</f>
        <v>90.6692913385827</v>
      </c>
      <c r="H12" s="226"/>
      <c r="I12" s="209">
        <f>$C$3*(C12-E12)/1000</f>
        <v>1117677.4511</v>
      </c>
      <c r="J12" s="209"/>
      <c r="K12" s="202" t="s">
        <v>116</v>
      </c>
      <c r="L12" s="203" t="s">
        <v>30</v>
      </c>
      <c r="M12" s="206">
        <f>处理量!V16</f>
        <v>569.78</v>
      </c>
      <c r="P12" s="247">
        <f t="shared" ref="P12:P17" si="1">ROUND(E12,2)</f>
        <v>23.7</v>
      </c>
      <c r="Q12" s="255">
        <f>C3</f>
        <v>4853137</v>
      </c>
      <c r="R12" s="247">
        <f t="shared" ref="R12:R17" si="2">P12*Q12/1000000</f>
        <v>115.0193469</v>
      </c>
      <c r="S12" s="224" t="s">
        <v>115</v>
      </c>
    </row>
    <row r="13" s="196" customFormat="1" ht="24" customHeight="1" spans="1:19">
      <c r="A13" s="202"/>
      <c r="B13" s="224" t="s">
        <v>117</v>
      </c>
      <c r="C13" s="209">
        <f>进出水!C38</f>
        <v>116</v>
      </c>
      <c r="D13" s="209"/>
      <c r="E13" s="227">
        <f>进出水!O38</f>
        <v>2.46</v>
      </c>
      <c r="F13" s="228"/>
      <c r="G13" s="225">
        <f t="shared" si="0"/>
        <v>97.8793103448276</v>
      </c>
      <c r="H13" s="226"/>
      <c r="I13" s="209">
        <f>$C$3*(C13-E13)/1000</f>
        <v>551025.17498</v>
      </c>
      <c r="J13" s="209"/>
      <c r="K13" s="202"/>
      <c r="L13" s="34" t="s">
        <v>31</v>
      </c>
      <c r="M13" s="248">
        <f>处理量!U16</f>
        <v>2693.4</v>
      </c>
      <c r="P13" s="247">
        <f t="shared" si="1"/>
        <v>2.46</v>
      </c>
      <c r="Q13" s="255">
        <f t="shared" ref="Q13:Q17" si="3">Q12</f>
        <v>4853137</v>
      </c>
      <c r="R13" s="247">
        <f t="shared" si="2"/>
        <v>11.93871702</v>
      </c>
      <c r="S13" s="224" t="s">
        <v>117</v>
      </c>
    </row>
    <row r="14" s="196" customFormat="1" ht="24" customHeight="1" spans="1:19">
      <c r="A14" s="202"/>
      <c r="B14" s="224" t="s">
        <v>118</v>
      </c>
      <c r="C14" s="209">
        <f>进出水!D38</f>
        <v>97</v>
      </c>
      <c r="D14" s="209"/>
      <c r="E14" s="227">
        <f>进出水!P38</f>
        <v>5.13</v>
      </c>
      <c r="F14" s="228"/>
      <c r="G14" s="225">
        <f t="shared" si="0"/>
        <v>94.7113402061856</v>
      </c>
      <c r="H14" s="226"/>
      <c r="I14" s="209">
        <f>$C$3*(C14-E14)/1000</f>
        <v>445857.69619</v>
      </c>
      <c r="J14" s="209"/>
      <c r="K14" s="202"/>
      <c r="L14" s="34" t="s">
        <v>119</v>
      </c>
      <c r="M14" s="248">
        <f>处理量!W16</f>
        <v>0</v>
      </c>
      <c r="P14" s="247">
        <f t="shared" si="1"/>
        <v>5.13</v>
      </c>
      <c r="Q14" s="255">
        <f t="shared" si="3"/>
        <v>4853137</v>
      </c>
      <c r="R14" s="247">
        <f t="shared" si="2"/>
        <v>24.89659281</v>
      </c>
      <c r="S14" s="224" t="s">
        <v>118</v>
      </c>
    </row>
    <row r="15" s="196" customFormat="1" ht="24" customHeight="1" spans="1:19">
      <c r="A15" s="202"/>
      <c r="B15" s="224" t="s">
        <v>120</v>
      </c>
      <c r="C15" s="206">
        <f>进出水!E38</f>
        <v>2.37</v>
      </c>
      <c r="D15" s="206"/>
      <c r="E15" s="227">
        <f>进出水!Q38</f>
        <v>0.17</v>
      </c>
      <c r="F15" s="228"/>
      <c r="G15" s="225">
        <f t="shared" si="0"/>
        <v>92.8270042194093</v>
      </c>
      <c r="H15" s="226"/>
      <c r="I15" s="209">
        <f>$C$3*(C15-E15)/1000</f>
        <v>10676.9014</v>
      </c>
      <c r="J15" s="209"/>
      <c r="K15" s="205" t="s">
        <v>121</v>
      </c>
      <c r="L15" s="249" t="s">
        <v>122</v>
      </c>
      <c r="M15" s="36">
        <v>31</v>
      </c>
      <c r="P15" s="247">
        <f t="shared" si="1"/>
        <v>0.17</v>
      </c>
      <c r="Q15" s="255">
        <f t="shared" si="3"/>
        <v>4853137</v>
      </c>
      <c r="R15" s="247">
        <f t="shared" si="2"/>
        <v>0.82503329</v>
      </c>
      <c r="S15" s="224" t="s">
        <v>120</v>
      </c>
    </row>
    <row r="16" s="196" customFormat="1" ht="24" customHeight="1" spans="1:19">
      <c r="A16" s="202"/>
      <c r="B16" s="224" t="s">
        <v>123</v>
      </c>
      <c r="C16" s="229">
        <f>进出水!G38</f>
        <v>31.1</v>
      </c>
      <c r="D16" s="229"/>
      <c r="E16" s="227">
        <f>进出水!S38</f>
        <v>7.85</v>
      </c>
      <c r="F16" s="228"/>
      <c r="G16" s="225">
        <f t="shared" si="0"/>
        <v>74.7588424437299</v>
      </c>
      <c r="H16" s="226"/>
      <c r="I16" s="209">
        <f>$C$3*(C16-E16)/1000</f>
        <v>112835.43525</v>
      </c>
      <c r="J16" s="209"/>
      <c r="K16" s="208"/>
      <c r="L16" s="250" t="s">
        <v>124</v>
      </c>
      <c r="M16" s="37">
        <v>31</v>
      </c>
      <c r="P16" s="247">
        <f t="shared" si="1"/>
        <v>7.85</v>
      </c>
      <c r="Q16" s="255">
        <f t="shared" si="3"/>
        <v>4853137</v>
      </c>
      <c r="R16" s="247">
        <f t="shared" si="2"/>
        <v>38.09712545</v>
      </c>
      <c r="S16" s="224" t="s">
        <v>123</v>
      </c>
    </row>
    <row r="17" s="196" customFormat="1" ht="24" customHeight="1" spans="1:19">
      <c r="A17" s="202"/>
      <c r="B17" s="224" t="s">
        <v>125</v>
      </c>
      <c r="C17" s="229">
        <f>进出水!F38</f>
        <v>24.7</v>
      </c>
      <c r="D17" s="229"/>
      <c r="E17" s="227">
        <f>进出水!R38</f>
        <v>0.37</v>
      </c>
      <c r="F17" s="228"/>
      <c r="G17" s="225">
        <f t="shared" si="0"/>
        <v>98.502024291498</v>
      </c>
      <c r="H17" s="226"/>
      <c r="I17" s="209">
        <f>$C$3*(C17-E17)/1000</f>
        <v>118076.82321</v>
      </c>
      <c r="J17" s="209"/>
      <c r="K17" s="208"/>
      <c r="L17" s="250" t="s">
        <v>126</v>
      </c>
      <c r="M17" s="36">
        <v>31</v>
      </c>
      <c r="P17" s="247">
        <f t="shared" si="1"/>
        <v>0.37</v>
      </c>
      <c r="Q17" s="255">
        <f t="shared" si="3"/>
        <v>4853137</v>
      </c>
      <c r="R17" s="247">
        <f t="shared" si="2"/>
        <v>1.79566069</v>
      </c>
      <c r="S17" s="224" t="s">
        <v>125</v>
      </c>
    </row>
    <row r="18" s="196" customFormat="1" ht="24" customHeight="1" spans="1:13">
      <c r="A18" s="202"/>
      <c r="B18" s="216" t="s">
        <v>127</v>
      </c>
      <c r="C18" s="230"/>
      <c r="D18" s="231"/>
      <c r="E18" s="232" t="s">
        <v>128</v>
      </c>
      <c r="F18" s="233"/>
      <c r="G18" s="230"/>
      <c r="H18" s="231"/>
      <c r="I18" s="230"/>
      <c r="J18" s="231"/>
      <c r="K18" s="213"/>
      <c r="L18" s="244" t="s">
        <v>129</v>
      </c>
      <c r="M18" s="37">
        <v>100</v>
      </c>
    </row>
    <row r="19" s="196" customFormat="1" ht="20.1" customHeight="1" spans="1:16">
      <c r="A19" s="202" t="s">
        <v>130</v>
      </c>
      <c r="B19" s="234" t="s">
        <v>131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51"/>
      <c r="P19" s="196">
        <f>F3*(100-F5)/100</f>
        <v>704.194244</v>
      </c>
    </row>
    <row r="20" s="196" customFormat="1" ht="20.1" customHeight="1" spans="1:13">
      <c r="A20" s="202"/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52"/>
    </row>
    <row r="21" ht="20.1" customHeight="1" spans="1:13">
      <c r="A21" s="238" t="s">
        <v>132</v>
      </c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</row>
    <row r="22" ht="17.25" customHeight="1" spans="9:9">
      <c r="I22" s="253"/>
    </row>
    <row r="23" ht="17.25" customHeight="1" spans="5:9">
      <c r="E23" s="239"/>
      <c r="I23" s="253"/>
    </row>
    <row r="24" ht="17.25" customHeight="1" spans="5:9">
      <c r="E24" s="239"/>
      <c r="I24" s="253"/>
    </row>
    <row r="25" ht="17.25" customHeight="1" spans="5:9">
      <c r="E25" s="239"/>
      <c r="I25" s="253"/>
    </row>
    <row r="26" ht="17.25" customHeight="1" spans="5:9">
      <c r="E26" s="239"/>
      <c r="I26" s="253"/>
    </row>
    <row r="27" ht="17.25" customHeight="1" spans="5:9">
      <c r="E27" s="239"/>
      <c r="I27" s="253"/>
    </row>
    <row r="28" ht="17.25" customHeight="1" spans="5:9">
      <c r="E28" s="239"/>
      <c r="I28" s="253"/>
    </row>
    <row r="29" ht="17.25" customHeight="1" spans="9:9">
      <c r="I29" s="253"/>
    </row>
    <row r="30" ht="17.25" customHeight="1" spans="9:9">
      <c r="I30" s="253"/>
    </row>
    <row r="31" ht="17.25" customHeight="1" spans="9:9">
      <c r="I31" s="25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16" workbookViewId="0">
      <selection activeCell="Q7" sqref="Q7:Q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5"/>
      <c r="J2" s="165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134</v>
      </c>
      <c r="B3" s="33"/>
      <c r="C3" s="33"/>
      <c r="D3" s="33"/>
      <c r="E3" s="33"/>
      <c r="F3" s="33"/>
      <c r="G3" s="33"/>
      <c r="H3" s="99"/>
      <c r="I3" s="166"/>
      <c r="J3" s="167">
        <v>44896</v>
      </c>
      <c r="K3" s="168"/>
      <c r="L3" s="33"/>
      <c r="M3" s="33"/>
      <c r="N3" s="33"/>
      <c r="O3" s="33"/>
      <c r="P3" s="33"/>
      <c r="Q3" s="33"/>
      <c r="R3" s="33"/>
      <c r="S3" s="33"/>
      <c r="T3" s="189"/>
      <c r="U3" s="27"/>
    </row>
    <row r="4" ht="12.75" customHeight="1" spans="1:21">
      <c r="A4" s="100" t="s">
        <v>135</v>
      </c>
      <c r="B4" s="101" t="s">
        <v>110</v>
      </c>
      <c r="C4" s="102"/>
      <c r="D4" s="102"/>
      <c r="E4" s="102"/>
      <c r="F4" s="102"/>
      <c r="G4" s="103"/>
      <c r="H4" s="104" t="s">
        <v>136</v>
      </c>
      <c r="I4" s="104"/>
      <c r="J4" s="104"/>
      <c r="K4" s="104"/>
      <c r="L4" s="104"/>
      <c r="M4" s="104"/>
      <c r="N4" s="169" t="s">
        <v>137</v>
      </c>
      <c r="O4" s="169"/>
      <c r="P4" s="169"/>
      <c r="Q4" s="169"/>
      <c r="R4" s="169"/>
      <c r="S4" s="169"/>
      <c r="T4" s="190" t="s">
        <v>138</v>
      </c>
      <c r="U4" s="190" t="s">
        <v>139</v>
      </c>
    </row>
    <row r="5" ht="15" customHeight="1" spans="1:21">
      <c r="A5" s="105"/>
      <c r="B5" s="106" t="s">
        <v>140</v>
      </c>
      <c r="C5" s="106" t="s">
        <v>117</v>
      </c>
      <c r="D5" s="106" t="s">
        <v>118</v>
      </c>
      <c r="E5" s="106" t="s">
        <v>120</v>
      </c>
      <c r="F5" s="106" t="s">
        <v>125</v>
      </c>
      <c r="G5" s="106" t="s">
        <v>123</v>
      </c>
      <c r="H5" s="107" t="s">
        <v>140</v>
      </c>
      <c r="I5" s="107" t="s">
        <v>117</v>
      </c>
      <c r="J5" s="107" t="s">
        <v>118</v>
      </c>
      <c r="K5" s="107" t="s">
        <v>120</v>
      </c>
      <c r="L5" s="106" t="s">
        <v>125</v>
      </c>
      <c r="M5" s="106" t="s">
        <v>123</v>
      </c>
      <c r="N5" s="100" t="s">
        <v>141</v>
      </c>
      <c r="O5" s="100" t="s">
        <v>142</v>
      </c>
      <c r="P5" s="100" t="s">
        <v>118</v>
      </c>
      <c r="Q5" s="100" t="s">
        <v>120</v>
      </c>
      <c r="R5" s="100" t="s">
        <v>143</v>
      </c>
      <c r="S5" s="100" t="s">
        <v>123</v>
      </c>
      <c r="T5" s="191"/>
      <c r="U5" s="191"/>
    </row>
    <row r="6" ht="22.5" customHeight="1" spans="1:21">
      <c r="A6" s="108"/>
      <c r="B6" s="109" t="s">
        <v>144</v>
      </c>
      <c r="C6" s="109" t="s">
        <v>144</v>
      </c>
      <c r="D6" s="109" t="s">
        <v>144</v>
      </c>
      <c r="E6" s="109" t="s">
        <v>144</v>
      </c>
      <c r="F6" s="109" t="s">
        <v>144</v>
      </c>
      <c r="G6" s="109" t="s">
        <v>144</v>
      </c>
      <c r="H6" s="110" t="s">
        <v>144</v>
      </c>
      <c r="I6" s="110" t="s">
        <v>144</v>
      </c>
      <c r="J6" s="110" t="s">
        <v>144</v>
      </c>
      <c r="K6" s="110" t="s">
        <v>144</v>
      </c>
      <c r="L6" s="109" t="s">
        <v>144</v>
      </c>
      <c r="M6" s="109" t="s">
        <v>144</v>
      </c>
      <c r="N6" s="109" t="s">
        <v>144</v>
      </c>
      <c r="O6" s="109" t="s">
        <v>144</v>
      </c>
      <c r="P6" s="109" t="s">
        <v>144</v>
      </c>
      <c r="Q6" s="109" t="s">
        <v>144</v>
      </c>
      <c r="R6" s="109" t="s">
        <v>144</v>
      </c>
      <c r="S6" s="109" t="s">
        <v>144</v>
      </c>
      <c r="T6" s="108" t="s">
        <v>145</v>
      </c>
      <c r="U6" s="108" t="s">
        <v>146</v>
      </c>
    </row>
    <row r="7" ht="12.95" customHeight="1" spans="1:23">
      <c r="A7" s="111">
        <v>1</v>
      </c>
      <c r="B7" s="112">
        <v>186</v>
      </c>
      <c r="C7" s="113">
        <v>85.2</v>
      </c>
      <c r="D7" s="114">
        <v>58</v>
      </c>
      <c r="E7" s="115">
        <v>1.43</v>
      </c>
      <c r="F7" s="116">
        <v>18.7</v>
      </c>
      <c r="G7" s="117">
        <v>24.1</v>
      </c>
      <c r="H7" s="118">
        <v>25</v>
      </c>
      <c r="I7" s="115">
        <v>2.51</v>
      </c>
      <c r="J7" s="118">
        <v>11</v>
      </c>
      <c r="K7" s="115">
        <v>0.52</v>
      </c>
      <c r="L7" s="170">
        <v>0.28</v>
      </c>
      <c r="M7" s="170">
        <v>7.46</v>
      </c>
      <c r="N7" s="114">
        <v>17</v>
      </c>
      <c r="O7" s="171">
        <v>2.31</v>
      </c>
      <c r="P7" s="114">
        <v>5</v>
      </c>
      <c r="Q7" s="170">
        <v>0.14</v>
      </c>
      <c r="R7" s="119">
        <v>0.19</v>
      </c>
      <c r="S7" s="170">
        <v>6.78</v>
      </c>
      <c r="T7" s="121">
        <v>78.5</v>
      </c>
      <c r="U7" s="124" t="s">
        <v>128</v>
      </c>
      <c r="V7" s="192"/>
      <c r="W7" s="193">
        <f>1-S7/G7</f>
        <v>0.718672199170124</v>
      </c>
    </row>
    <row r="8" ht="12.95" customHeight="1" spans="1:23">
      <c r="A8" s="111">
        <v>2</v>
      </c>
      <c r="B8" s="112">
        <v>268</v>
      </c>
      <c r="C8" s="113">
        <v>119</v>
      </c>
      <c r="D8" s="114">
        <v>66</v>
      </c>
      <c r="E8" s="119">
        <v>1.9</v>
      </c>
      <c r="F8" s="117">
        <v>19.6</v>
      </c>
      <c r="G8" s="117">
        <v>26.1</v>
      </c>
      <c r="H8" s="118">
        <v>30</v>
      </c>
      <c r="I8" s="115">
        <v>2.76</v>
      </c>
      <c r="J8" s="118">
        <v>12</v>
      </c>
      <c r="K8" s="115">
        <v>0.55</v>
      </c>
      <c r="L8" s="170">
        <v>0.4</v>
      </c>
      <c r="M8" s="170">
        <v>6.81</v>
      </c>
      <c r="N8" s="114">
        <v>18</v>
      </c>
      <c r="O8" s="171">
        <v>2.5</v>
      </c>
      <c r="P8" s="114">
        <v>5</v>
      </c>
      <c r="Q8" s="170">
        <v>0.15</v>
      </c>
      <c r="R8" s="119">
        <v>0.28</v>
      </c>
      <c r="S8" s="170">
        <v>6.78</v>
      </c>
      <c r="T8" s="121">
        <v>78.3</v>
      </c>
      <c r="U8" s="124" t="s">
        <v>128</v>
      </c>
      <c r="V8" s="192"/>
      <c r="W8" s="193">
        <f t="shared" ref="W8:W37" si="0">1-S8/G8</f>
        <v>0.740229885057471</v>
      </c>
    </row>
    <row r="9" ht="12.95" customHeight="1" spans="1:23">
      <c r="A9" s="111">
        <v>3</v>
      </c>
      <c r="B9" s="112">
        <v>246</v>
      </c>
      <c r="C9" s="113">
        <v>111</v>
      </c>
      <c r="D9" s="114">
        <v>124</v>
      </c>
      <c r="E9" s="115">
        <v>2.23</v>
      </c>
      <c r="F9" s="117">
        <v>19.2</v>
      </c>
      <c r="G9" s="117">
        <v>25.8</v>
      </c>
      <c r="H9" s="118">
        <v>30</v>
      </c>
      <c r="I9" s="115">
        <v>2.76</v>
      </c>
      <c r="J9" s="118">
        <v>14</v>
      </c>
      <c r="K9" s="115">
        <v>0.54</v>
      </c>
      <c r="L9" s="170">
        <v>0.3</v>
      </c>
      <c r="M9" s="170">
        <v>9.88</v>
      </c>
      <c r="N9" s="114">
        <v>26</v>
      </c>
      <c r="O9" s="171">
        <v>2.53</v>
      </c>
      <c r="P9" s="114">
        <v>5</v>
      </c>
      <c r="Q9" s="170">
        <v>0.15</v>
      </c>
      <c r="R9" s="119">
        <v>0.22</v>
      </c>
      <c r="S9" s="170">
        <v>7.9</v>
      </c>
      <c r="T9" s="121">
        <v>78.6</v>
      </c>
      <c r="U9" s="124">
        <v>80</v>
      </c>
      <c r="V9" s="192"/>
      <c r="W9" s="193">
        <f t="shared" si="0"/>
        <v>0.693798449612403</v>
      </c>
    </row>
    <row r="10" ht="12.95" customHeight="1" spans="1:23">
      <c r="A10" s="111">
        <v>4</v>
      </c>
      <c r="B10" s="112">
        <v>204</v>
      </c>
      <c r="C10" s="113">
        <v>92.4</v>
      </c>
      <c r="D10" s="114">
        <v>86</v>
      </c>
      <c r="E10" s="115">
        <v>2.5</v>
      </c>
      <c r="F10" s="117">
        <v>22.2</v>
      </c>
      <c r="G10" s="117">
        <v>29</v>
      </c>
      <c r="H10" s="118">
        <v>27</v>
      </c>
      <c r="I10" s="115">
        <v>2.4</v>
      </c>
      <c r="J10" s="118">
        <v>10</v>
      </c>
      <c r="K10" s="115">
        <v>0.56</v>
      </c>
      <c r="L10" s="170">
        <v>0.45</v>
      </c>
      <c r="M10" s="116">
        <v>10.5</v>
      </c>
      <c r="N10" s="114">
        <v>20</v>
      </c>
      <c r="O10" s="171">
        <v>2.25</v>
      </c>
      <c r="P10" s="114">
        <v>5</v>
      </c>
      <c r="Q10" s="170">
        <v>0.13</v>
      </c>
      <c r="R10" s="119">
        <v>0.42</v>
      </c>
      <c r="S10" s="170">
        <v>9.76</v>
      </c>
      <c r="T10" s="121">
        <v>78.3</v>
      </c>
      <c r="U10" s="124" t="s">
        <v>128</v>
      </c>
      <c r="V10" s="192"/>
      <c r="W10" s="193">
        <f t="shared" si="0"/>
        <v>0.663448275862069</v>
      </c>
    </row>
    <row r="11" ht="12.95" customHeight="1" spans="1:23">
      <c r="A11" s="111">
        <v>5</v>
      </c>
      <c r="B11" s="112">
        <v>156</v>
      </c>
      <c r="C11" s="113">
        <v>72.6</v>
      </c>
      <c r="D11" s="114">
        <v>68</v>
      </c>
      <c r="E11" s="115">
        <v>3.09</v>
      </c>
      <c r="F11" s="120">
        <v>22.8</v>
      </c>
      <c r="G11" s="117">
        <v>27.2</v>
      </c>
      <c r="H11" s="118">
        <v>25</v>
      </c>
      <c r="I11" s="115">
        <v>2.78</v>
      </c>
      <c r="J11" s="118">
        <v>10</v>
      </c>
      <c r="K11" s="115">
        <v>0.53</v>
      </c>
      <c r="L11" s="170">
        <v>0.45</v>
      </c>
      <c r="M11" s="170">
        <v>8.72</v>
      </c>
      <c r="N11" s="114">
        <v>19</v>
      </c>
      <c r="O11" s="171">
        <v>2.39</v>
      </c>
      <c r="P11" s="114">
        <v>5</v>
      </c>
      <c r="Q11" s="170">
        <v>0.15</v>
      </c>
      <c r="R11" s="119">
        <v>0.41</v>
      </c>
      <c r="S11" s="170">
        <v>8.02</v>
      </c>
      <c r="T11" s="121">
        <v>78.6</v>
      </c>
      <c r="U11" s="124" t="s">
        <v>128</v>
      </c>
      <c r="V11" s="192"/>
      <c r="W11" s="193">
        <f t="shared" si="0"/>
        <v>0.705147058823529</v>
      </c>
    </row>
    <row r="12" ht="12.95" customHeight="1" spans="1:23">
      <c r="A12" s="111">
        <v>6</v>
      </c>
      <c r="B12" s="112">
        <v>308</v>
      </c>
      <c r="C12" s="113">
        <v>140</v>
      </c>
      <c r="D12" s="114">
        <v>70</v>
      </c>
      <c r="E12" s="115">
        <v>2.02</v>
      </c>
      <c r="F12" s="116">
        <v>25.4</v>
      </c>
      <c r="G12" s="117">
        <v>31.5</v>
      </c>
      <c r="H12" s="118">
        <v>33</v>
      </c>
      <c r="I12" s="115">
        <v>2.82</v>
      </c>
      <c r="J12" s="118">
        <v>11</v>
      </c>
      <c r="K12" s="115">
        <v>0.51</v>
      </c>
      <c r="L12" s="170">
        <v>0.41</v>
      </c>
      <c r="M12" s="170">
        <v>8.72</v>
      </c>
      <c r="N12" s="114">
        <v>18</v>
      </c>
      <c r="O12" s="171">
        <v>2.16</v>
      </c>
      <c r="P12" s="114">
        <v>5</v>
      </c>
      <c r="Q12" s="170">
        <v>0.15</v>
      </c>
      <c r="R12" s="119">
        <v>0.38</v>
      </c>
      <c r="S12" s="170">
        <v>8.2</v>
      </c>
      <c r="T12" s="121">
        <v>78.7</v>
      </c>
      <c r="U12" s="124" t="s">
        <v>128</v>
      </c>
      <c r="V12" s="192"/>
      <c r="W12" s="193">
        <f t="shared" si="0"/>
        <v>0.73968253968254</v>
      </c>
    </row>
    <row r="13" ht="12.95" customHeight="1" spans="1:23">
      <c r="A13" s="111">
        <v>7</v>
      </c>
      <c r="B13" s="112">
        <v>186</v>
      </c>
      <c r="C13" s="113">
        <v>85.3</v>
      </c>
      <c r="D13" s="114">
        <v>62</v>
      </c>
      <c r="E13" s="115">
        <v>2.27</v>
      </c>
      <c r="F13" s="116">
        <v>27.7</v>
      </c>
      <c r="G13" s="117">
        <v>33.6</v>
      </c>
      <c r="H13" s="118">
        <v>32</v>
      </c>
      <c r="I13" s="115">
        <v>2.25</v>
      </c>
      <c r="J13" s="118">
        <v>12</v>
      </c>
      <c r="K13" s="115">
        <v>0.53</v>
      </c>
      <c r="L13" s="170">
        <v>0.4</v>
      </c>
      <c r="M13" s="170">
        <v>9.58</v>
      </c>
      <c r="N13" s="114">
        <v>24</v>
      </c>
      <c r="O13" s="171">
        <v>2.14</v>
      </c>
      <c r="P13" s="114">
        <v>5</v>
      </c>
      <c r="Q13" s="170">
        <v>0.14</v>
      </c>
      <c r="R13" s="119">
        <v>0.32</v>
      </c>
      <c r="S13" s="170">
        <v>9.3</v>
      </c>
      <c r="T13" s="121">
        <v>78.2</v>
      </c>
      <c r="U13" s="124">
        <v>20</v>
      </c>
      <c r="V13" s="192"/>
      <c r="W13" s="193">
        <f t="shared" si="0"/>
        <v>0.723214285714286</v>
      </c>
    </row>
    <row r="14" ht="12.95" customHeight="1" spans="1:23">
      <c r="A14" s="111">
        <v>8</v>
      </c>
      <c r="B14" s="112">
        <v>206</v>
      </c>
      <c r="C14" s="113">
        <v>93.2</v>
      </c>
      <c r="D14" s="114">
        <v>96</v>
      </c>
      <c r="E14" s="115">
        <v>2.45</v>
      </c>
      <c r="F14" s="121">
        <v>23.3</v>
      </c>
      <c r="G14" s="117">
        <v>29.7</v>
      </c>
      <c r="H14" s="118">
        <v>29</v>
      </c>
      <c r="I14" s="115">
        <v>2.9</v>
      </c>
      <c r="J14" s="118">
        <v>14</v>
      </c>
      <c r="K14" s="115">
        <v>0.54</v>
      </c>
      <c r="L14" s="170">
        <v>0.4</v>
      </c>
      <c r="M14" s="170">
        <v>9.73</v>
      </c>
      <c r="N14" s="114">
        <v>20</v>
      </c>
      <c r="O14" s="171">
        <v>2.51</v>
      </c>
      <c r="P14" s="114">
        <v>6</v>
      </c>
      <c r="Q14" s="170">
        <v>0.14</v>
      </c>
      <c r="R14" s="119">
        <v>0.34</v>
      </c>
      <c r="S14" s="170">
        <v>9.2</v>
      </c>
      <c r="T14" s="121">
        <v>77.9</v>
      </c>
      <c r="U14" s="124" t="s">
        <v>128</v>
      </c>
      <c r="V14" s="192"/>
      <c r="W14" s="193">
        <f t="shared" si="0"/>
        <v>0.69023569023569</v>
      </c>
    </row>
    <row r="15" ht="12.95" customHeight="1" spans="1:23">
      <c r="A15" s="111">
        <v>9</v>
      </c>
      <c r="B15" s="112">
        <v>178</v>
      </c>
      <c r="C15" s="113">
        <v>81.4</v>
      </c>
      <c r="D15" s="114">
        <v>74</v>
      </c>
      <c r="E15" s="115">
        <v>1.68</v>
      </c>
      <c r="F15" s="117">
        <v>17.3</v>
      </c>
      <c r="G15" s="117">
        <v>24</v>
      </c>
      <c r="H15" s="118">
        <v>25</v>
      </c>
      <c r="I15" s="115">
        <v>2.45</v>
      </c>
      <c r="J15" s="118">
        <v>12</v>
      </c>
      <c r="K15" s="115">
        <v>0.55</v>
      </c>
      <c r="L15" s="170">
        <v>0.42</v>
      </c>
      <c r="M15" s="170">
        <v>8.97</v>
      </c>
      <c r="N15" s="114">
        <v>21</v>
      </c>
      <c r="O15" s="171">
        <v>2.22</v>
      </c>
      <c r="P15" s="114">
        <v>5</v>
      </c>
      <c r="Q15" s="170">
        <v>0.18</v>
      </c>
      <c r="R15" s="119">
        <v>0.4</v>
      </c>
      <c r="S15" s="170">
        <v>7.84</v>
      </c>
      <c r="T15" s="121">
        <v>78.3</v>
      </c>
      <c r="U15" s="124" t="s">
        <v>128</v>
      </c>
      <c r="V15" s="192"/>
      <c r="W15" s="193">
        <f t="shared" si="0"/>
        <v>0.673333333333333</v>
      </c>
    </row>
    <row r="16" ht="12.95" customHeight="1" spans="1:23">
      <c r="A16" s="111">
        <v>10</v>
      </c>
      <c r="B16" s="112">
        <v>260</v>
      </c>
      <c r="C16" s="122">
        <v>120</v>
      </c>
      <c r="D16" s="114">
        <v>146</v>
      </c>
      <c r="E16" s="115">
        <v>2.27</v>
      </c>
      <c r="F16" s="117">
        <v>21.2</v>
      </c>
      <c r="G16" s="117">
        <v>27.7</v>
      </c>
      <c r="H16" s="118">
        <v>34</v>
      </c>
      <c r="I16" s="172">
        <v>3.04</v>
      </c>
      <c r="J16" s="118">
        <v>14</v>
      </c>
      <c r="K16" s="115">
        <v>0.55</v>
      </c>
      <c r="L16" s="170">
        <v>0.29</v>
      </c>
      <c r="M16" s="170">
        <v>8.27</v>
      </c>
      <c r="N16" s="114">
        <v>31</v>
      </c>
      <c r="O16" s="171">
        <v>2.7</v>
      </c>
      <c r="P16" s="114">
        <v>6</v>
      </c>
      <c r="Q16" s="170">
        <v>0.17</v>
      </c>
      <c r="R16" s="119">
        <v>0.27</v>
      </c>
      <c r="S16" s="170">
        <v>8.04</v>
      </c>
      <c r="T16" s="121">
        <v>78.4</v>
      </c>
      <c r="U16" s="124">
        <v>60</v>
      </c>
      <c r="V16" s="192"/>
      <c r="W16" s="193">
        <f t="shared" si="0"/>
        <v>0.709747292418773</v>
      </c>
    </row>
    <row r="17" ht="12.95" customHeight="1" spans="1:23">
      <c r="A17" s="111">
        <v>11</v>
      </c>
      <c r="B17" s="112">
        <v>188</v>
      </c>
      <c r="C17" s="113">
        <v>85.2</v>
      </c>
      <c r="D17" s="114">
        <v>144</v>
      </c>
      <c r="E17" s="115">
        <v>2.35</v>
      </c>
      <c r="F17" s="116">
        <v>25.3</v>
      </c>
      <c r="G17" s="117">
        <v>31.6</v>
      </c>
      <c r="H17" s="118">
        <v>34</v>
      </c>
      <c r="I17" s="115">
        <v>3.1</v>
      </c>
      <c r="J17" s="118">
        <v>15</v>
      </c>
      <c r="K17" s="115">
        <v>0.5</v>
      </c>
      <c r="L17" s="170">
        <v>0.66</v>
      </c>
      <c r="M17" s="170">
        <v>9.36</v>
      </c>
      <c r="N17" s="114">
        <v>21</v>
      </c>
      <c r="O17" s="171">
        <v>2.5</v>
      </c>
      <c r="P17" s="114">
        <v>5</v>
      </c>
      <c r="Q17" s="170">
        <v>0.15</v>
      </c>
      <c r="R17" s="119">
        <v>0.49</v>
      </c>
      <c r="S17" s="170">
        <v>8.32</v>
      </c>
      <c r="T17" s="121">
        <v>78.5</v>
      </c>
      <c r="U17" s="124" t="s">
        <v>128</v>
      </c>
      <c r="V17" s="192"/>
      <c r="W17" s="193">
        <f t="shared" si="0"/>
        <v>0.736708860759494</v>
      </c>
    </row>
    <row r="18" ht="12.95" customHeight="1" spans="1:23">
      <c r="A18" s="111">
        <v>12</v>
      </c>
      <c r="B18" s="114">
        <v>220</v>
      </c>
      <c r="C18" s="113">
        <v>99.2</v>
      </c>
      <c r="D18" s="123">
        <v>142</v>
      </c>
      <c r="E18" s="115">
        <v>2.49</v>
      </c>
      <c r="F18" s="117">
        <v>23.9</v>
      </c>
      <c r="G18" s="117">
        <v>31.3</v>
      </c>
      <c r="H18" s="118">
        <v>25</v>
      </c>
      <c r="I18" s="115">
        <v>2.66</v>
      </c>
      <c r="J18" s="61">
        <v>15</v>
      </c>
      <c r="K18" s="115">
        <v>0.52</v>
      </c>
      <c r="L18" s="170">
        <v>0.39</v>
      </c>
      <c r="M18" s="170">
        <v>9.24</v>
      </c>
      <c r="N18" s="114">
        <v>22</v>
      </c>
      <c r="O18" s="171">
        <v>2.33</v>
      </c>
      <c r="P18" s="114">
        <v>5</v>
      </c>
      <c r="Q18" s="170">
        <v>0.14</v>
      </c>
      <c r="R18" s="119">
        <v>0.28</v>
      </c>
      <c r="S18" s="194">
        <v>8.97</v>
      </c>
      <c r="T18" s="121">
        <v>78.3</v>
      </c>
      <c r="U18" s="124" t="s">
        <v>128</v>
      </c>
      <c r="V18" s="192"/>
      <c r="W18" s="193">
        <f t="shared" si="0"/>
        <v>0.713418530351438</v>
      </c>
    </row>
    <row r="19" ht="12.95" customHeight="1" spans="1:23">
      <c r="A19" s="111">
        <v>13</v>
      </c>
      <c r="B19" s="112">
        <v>198</v>
      </c>
      <c r="C19" s="113">
        <v>90.6</v>
      </c>
      <c r="D19" s="123">
        <v>136</v>
      </c>
      <c r="E19" s="115">
        <v>2.47</v>
      </c>
      <c r="F19" s="117">
        <v>23.7</v>
      </c>
      <c r="G19" s="117">
        <v>30.7</v>
      </c>
      <c r="H19" s="118">
        <v>28</v>
      </c>
      <c r="I19" s="115">
        <v>2.58</v>
      </c>
      <c r="J19" s="61">
        <v>13</v>
      </c>
      <c r="K19" s="115">
        <v>0.55</v>
      </c>
      <c r="L19" s="170">
        <v>0.43</v>
      </c>
      <c r="M19" s="170">
        <v>9.46</v>
      </c>
      <c r="N19" s="114">
        <v>23</v>
      </c>
      <c r="O19" s="171">
        <v>2.33</v>
      </c>
      <c r="P19" s="114">
        <v>5</v>
      </c>
      <c r="Q19" s="170">
        <v>0.15</v>
      </c>
      <c r="R19" s="119">
        <v>0.27</v>
      </c>
      <c r="S19" s="170">
        <v>9.07</v>
      </c>
      <c r="T19" s="121">
        <v>78.4</v>
      </c>
      <c r="U19" s="124">
        <v>120</v>
      </c>
      <c r="V19" s="192"/>
      <c r="W19" s="193">
        <f t="shared" si="0"/>
        <v>0.704560260586319</v>
      </c>
    </row>
    <row r="20" ht="12.95" customHeight="1" spans="1:23">
      <c r="A20" s="111">
        <v>14</v>
      </c>
      <c r="B20" s="112">
        <v>250</v>
      </c>
      <c r="C20" s="113">
        <v>114</v>
      </c>
      <c r="D20" s="114">
        <v>86</v>
      </c>
      <c r="E20" s="115">
        <v>1.73</v>
      </c>
      <c r="F20" s="121">
        <v>22.1</v>
      </c>
      <c r="G20" s="117">
        <v>29.1</v>
      </c>
      <c r="H20" s="118">
        <v>31</v>
      </c>
      <c r="I20" s="172">
        <v>2.81</v>
      </c>
      <c r="J20" s="118">
        <v>11</v>
      </c>
      <c r="K20" s="115">
        <v>0.53</v>
      </c>
      <c r="L20" s="170">
        <v>0.55</v>
      </c>
      <c r="M20" s="170">
        <v>8.9</v>
      </c>
      <c r="N20" s="114">
        <v>20</v>
      </c>
      <c r="O20" s="171">
        <v>2.6</v>
      </c>
      <c r="P20" s="114">
        <v>5</v>
      </c>
      <c r="Q20" s="170">
        <v>0.14</v>
      </c>
      <c r="R20" s="119">
        <v>0.42</v>
      </c>
      <c r="S20" s="170">
        <v>8.37</v>
      </c>
      <c r="T20" s="121">
        <v>78.6</v>
      </c>
      <c r="U20" s="124" t="s">
        <v>128</v>
      </c>
      <c r="V20" s="192"/>
      <c r="W20" s="193">
        <f t="shared" si="0"/>
        <v>0.712371134020619</v>
      </c>
    </row>
    <row r="21" ht="12.95" customHeight="1" spans="1:23">
      <c r="A21" s="111">
        <v>15</v>
      </c>
      <c r="B21" s="112">
        <v>379</v>
      </c>
      <c r="C21" s="113">
        <v>172</v>
      </c>
      <c r="D21" s="114">
        <v>158</v>
      </c>
      <c r="E21" s="115">
        <v>3.55</v>
      </c>
      <c r="F21" s="116">
        <v>22.9</v>
      </c>
      <c r="G21" s="117">
        <v>34.8</v>
      </c>
      <c r="H21" s="118">
        <v>33</v>
      </c>
      <c r="I21" s="115">
        <v>2.87</v>
      </c>
      <c r="J21" s="118">
        <v>12</v>
      </c>
      <c r="K21" s="115">
        <v>0.55</v>
      </c>
      <c r="L21" s="170">
        <v>0.48</v>
      </c>
      <c r="M21" s="170">
        <v>8.9</v>
      </c>
      <c r="N21" s="114">
        <v>27</v>
      </c>
      <c r="O21" s="171">
        <v>2.3</v>
      </c>
      <c r="P21" s="114">
        <v>5</v>
      </c>
      <c r="Q21" s="170">
        <v>0.15</v>
      </c>
      <c r="R21" s="119">
        <v>0.31</v>
      </c>
      <c r="S21" s="170">
        <v>8.67</v>
      </c>
      <c r="T21" s="121">
        <v>78.3</v>
      </c>
      <c r="U21" s="124" t="s">
        <v>128</v>
      </c>
      <c r="V21" s="192"/>
      <c r="W21" s="193">
        <f t="shared" si="0"/>
        <v>0.750862068965517</v>
      </c>
    </row>
    <row r="22" ht="12" customHeight="1" spans="1:23">
      <c r="A22" s="111">
        <v>16</v>
      </c>
      <c r="B22" s="112">
        <v>276</v>
      </c>
      <c r="C22" s="113">
        <v>126</v>
      </c>
      <c r="D22" s="114">
        <v>104</v>
      </c>
      <c r="E22" s="115">
        <v>1.61</v>
      </c>
      <c r="F22" s="116">
        <v>25.6</v>
      </c>
      <c r="G22" s="117">
        <v>32.4</v>
      </c>
      <c r="H22" s="118">
        <v>32</v>
      </c>
      <c r="I22" s="115">
        <v>2.79</v>
      </c>
      <c r="J22" s="118">
        <v>13</v>
      </c>
      <c r="K22" s="115">
        <v>0.51</v>
      </c>
      <c r="L22" s="170">
        <v>0.35</v>
      </c>
      <c r="M22" s="170">
        <v>7.44</v>
      </c>
      <c r="N22" s="114">
        <v>29</v>
      </c>
      <c r="O22" s="171">
        <v>2.66</v>
      </c>
      <c r="P22" s="114">
        <v>5</v>
      </c>
      <c r="Q22" s="170">
        <v>0.1</v>
      </c>
      <c r="R22" s="119">
        <v>0.26</v>
      </c>
      <c r="S22" s="170">
        <v>6.85</v>
      </c>
      <c r="T22" s="121">
        <v>78.5</v>
      </c>
      <c r="U22" s="124" t="s">
        <v>128</v>
      </c>
      <c r="V22" s="192"/>
      <c r="W22" s="193">
        <f t="shared" si="0"/>
        <v>0.78858024691358</v>
      </c>
    </row>
    <row r="23" ht="12.95" customHeight="1" spans="1:23">
      <c r="A23" s="111">
        <v>17</v>
      </c>
      <c r="B23" s="112">
        <v>234</v>
      </c>
      <c r="C23" s="113">
        <v>107</v>
      </c>
      <c r="D23" s="114">
        <v>160</v>
      </c>
      <c r="E23" s="115">
        <v>2.36</v>
      </c>
      <c r="F23" s="116">
        <v>22</v>
      </c>
      <c r="G23" s="117">
        <v>29.5</v>
      </c>
      <c r="H23" s="118">
        <v>43</v>
      </c>
      <c r="I23" s="115">
        <v>3.33</v>
      </c>
      <c r="J23" s="118">
        <v>15</v>
      </c>
      <c r="K23" s="115">
        <v>0.56</v>
      </c>
      <c r="L23" s="170">
        <v>0.35</v>
      </c>
      <c r="M23" s="170">
        <v>6.38</v>
      </c>
      <c r="N23" s="114">
        <v>29</v>
      </c>
      <c r="O23" s="171">
        <v>2.7</v>
      </c>
      <c r="P23" s="114">
        <v>5</v>
      </c>
      <c r="Q23" s="170">
        <v>0.17</v>
      </c>
      <c r="R23" s="119">
        <v>0.24</v>
      </c>
      <c r="S23" s="170">
        <v>6</v>
      </c>
      <c r="T23" s="121">
        <v>78.4</v>
      </c>
      <c r="U23" s="124">
        <v>50</v>
      </c>
      <c r="V23" s="192"/>
      <c r="W23" s="193">
        <f t="shared" si="0"/>
        <v>0.796610169491525</v>
      </c>
    </row>
    <row r="24" ht="12.95" customHeight="1" spans="1:23">
      <c r="A24" s="111">
        <v>18</v>
      </c>
      <c r="B24" s="124">
        <v>354</v>
      </c>
      <c r="C24" s="113">
        <v>160</v>
      </c>
      <c r="D24" s="114">
        <v>78</v>
      </c>
      <c r="E24" s="115">
        <v>2.33</v>
      </c>
      <c r="F24" s="116">
        <v>28.2</v>
      </c>
      <c r="G24" s="117">
        <v>35.5</v>
      </c>
      <c r="H24" s="118">
        <v>33</v>
      </c>
      <c r="I24" s="115">
        <v>2.91</v>
      </c>
      <c r="J24" s="118">
        <v>11</v>
      </c>
      <c r="K24" s="115">
        <v>0.52</v>
      </c>
      <c r="L24" s="170">
        <v>0.6</v>
      </c>
      <c r="M24" s="170">
        <v>9</v>
      </c>
      <c r="N24" s="114">
        <v>22</v>
      </c>
      <c r="O24" s="171">
        <v>2.22</v>
      </c>
      <c r="P24" s="114">
        <v>5</v>
      </c>
      <c r="Q24" s="170">
        <v>0.15</v>
      </c>
      <c r="R24" s="119">
        <v>0.52</v>
      </c>
      <c r="S24" s="170">
        <v>8.48</v>
      </c>
      <c r="T24" s="121">
        <v>78.7</v>
      </c>
      <c r="U24" s="124" t="s">
        <v>128</v>
      </c>
      <c r="V24" s="192"/>
      <c r="W24" s="193">
        <f t="shared" si="0"/>
        <v>0.76112676056338</v>
      </c>
    </row>
    <row r="25" ht="12.95" customHeight="1" spans="1:23">
      <c r="A25" s="111">
        <v>19</v>
      </c>
      <c r="B25" s="124">
        <v>213</v>
      </c>
      <c r="C25" s="113">
        <v>96.3</v>
      </c>
      <c r="D25" s="114">
        <v>68</v>
      </c>
      <c r="E25" s="115">
        <v>2.1</v>
      </c>
      <c r="F25" s="117">
        <v>30.9</v>
      </c>
      <c r="G25" s="117">
        <v>35.2</v>
      </c>
      <c r="H25" s="118">
        <v>37</v>
      </c>
      <c r="I25" s="172">
        <v>3.13</v>
      </c>
      <c r="J25" s="118">
        <v>10</v>
      </c>
      <c r="K25" s="115">
        <v>0.52</v>
      </c>
      <c r="L25" s="170">
        <v>0.53</v>
      </c>
      <c r="M25" s="170">
        <v>8.02</v>
      </c>
      <c r="N25" s="114">
        <v>24</v>
      </c>
      <c r="O25" s="171">
        <v>2.46</v>
      </c>
      <c r="P25" s="114">
        <v>5</v>
      </c>
      <c r="Q25" s="170">
        <v>0.17</v>
      </c>
      <c r="R25" s="119">
        <v>0.41</v>
      </c>
      <c r="S25" s="170">
        <v>7.64</v>
      </c>
      <c r="T25" s="121">
        <v>78.5</v>
      </c>
      <c r="U25" s="124" t="s">
        <v>128</v>
      </c>
      <c r="V25" s="192"/>
      <c r="W25" s="193">
        <f t="shared" si="0"/>
        <v>0.782954545454545</v>
      </c>
    </row>
    <row r="26" ht="12.95" customHeight="1" spans="1:23">
      <c r="A26" s="111">
        <v>20</v>
      </c>
      <c r="B26" s="124">
        <v>365</v>
      </c>
      <c r="C26" s="113">
        <v>166</v>
      </c>
      <c r="D26" s="114">
        <v>74</v>
      </c>
      <c r="E26" s="115">
        <v>4.07</v>
      </c>
      <c r="F26" s="117">
        <v>31.3</v>
      </c>
      <c r="G26" s="117">
        <v>38.1</v>
      </c>
      <c r="H26" s="118">
        <v>32</v>
      </c>
      <c r="I26" s="115">
        <v>2.91</v>
      </c>
      <c r="J26" s="118">
        <v>11</v>
      </c>
      <c r="K26" s="115">
        <v>0.54</v>
      </c>
      <c r="L26" s="170">
        <v>0.98</v>
      </c>
      <c r="M26" s="170">
        <v>7.52</v>
      </c>
      <c r="N26" s="114">
        <v>24</v>
      </c>
      <c r="O26" s="171">
        <v>2.3</v>
      </c>
      <c r="P26" s="114">
        <v>5</v>
      </c>
      <c r="Q26" s="170">
        <v>0.24</v>
      </c>
      <c r="R26" s="119">
        <v>0.85</v>
      </c>
      <c r="S26" s="170">
        <v>7.1</v>
      </c>
      <c r="T26" s="121">
        <v>78.3</v>
      </c>
      <c r="U26" s="124" t="s">
        <v>128</v>
      </c>
      <c r="V26" s="192"/>
      <c r="W26" s="193">
        <f t="shared" si="0"/>
        <v>0.813648293963255</v>
      </c>
    </row>
    <row r="27" ht="12.95" customHeight="1" spans="1:23">
      <c r="A27" s="111">
        <v>21</v>
      </c>
      <c r="B27" s="124">
        <v>408</v>
      </c>
      <c r="C27" s="113">
        <v>184</v>
      </c>
      <c r="D27" s="114">
        <v>108</v>
      </c>
      <c r="E27" s="115">
        <v>3.54</v>
      </c>
      <c r="F27" s="121">
        <v>33.2</v>
      </c>
      <c r="G27" s="117">
        <v>40.8</v>
      </c>
      <c r="H27" s="118">
        <v>37</v>
      </c>
      <c r="I27" s="115">
        <v>3.19</v>
      </c>
      <c r="J27" s="118">
        <v>16</v>
      </c>
      <c r="K27" s="115">
        <v>0.53</v>
      </c>
      <c r="L27" s="170">
        <v>0.49</v>
      </c>
      <c r="M27" s="170">
        <v>9.08</v>
      </c>
      <c r="N27" s="114">
        <v>25</v>
      </c>
      <c r="O27" s="171">
        <v>2.7</v>
      </c>
      <c r="P27" s="114">
        <v>5</v>
      </c>
      <c r="Q27" s="170">
        <v>0.19</v>
      </c>
      <c r="R27" s="119">
        <v>0.36</v>
      </c>
      <c r="S27" s="170">
        <v>8.32</v>
      </c>
      <c r="T27" s="121">
        <v>78.4</v>
      </c>
      <c r="U27" s="124">
        <v>100</v>
      </c>
      <c r="V27" s="192"/>
      <c r="W27" s="193">
        <f t="shared" si="0"/>
        <v>0.796078431372549</v>
      </c>
    </row>
    <row r="28" ht="12.95" customHeight="1" spans="1:23">
      <c r="A28" s="111">
        <v>22</v>
      </c>
      <c r="B28" s="124">
        <v>232</v>
      </c>
      <c r="C28" s="113">
        <v>106</v>
      </c>
      <c r="D28" s="114">
        <v>88</v>
      </c>
      <c r="E28" s="115">
        <v>1.56</v>
      </c>
      <c r="F28" s="125">
        <v>24.1</v>
      </c>
      <c r="G28" s="126">
        <v>29.1</v>
      </c>
      <c r="H28" s="118">
        <v>34</v>
      </c>
      <c r="I28" s="115">
        <v>3.3</v>
      </c>
      <c r="J28" s="118">
        <v>14</v>
      </c>
      <c r="K28" s="115">
        <v>0.56</v>
      </c>
      <c r="L28" s="170">
        <v>0.51</v>
      </c>
      <c r="M28" s="170">
        <v>7.14</v>
      </c>
      <c r="N28" s="114">
        <v>23</v>
      </c>
      <c r="O28" s="171">
        <v>2.54</v>
      </c>
      <c r="P28" s="114">
        <v>5</v>
      </c>
      <c r="Q28" s="170">
        <v>0.18</v>
      </c>
      <c r="R28" s="119">
        <v>0.37</v>
      </c>
      <c r="S28" s="170">
        <v>6.58</v>
      </c>
      <c r="T28" s="121">
        <v>78.6</v>
      </c>
      <c r="U28" s="124">
        <v>100</v>
      </c>
      <c r="V28" s="192"/>
      <c r="W28" s="193">
        <f t="shared" si="0"/>
        <v>0.773883161512028</v>
      </c>
    </row>
    <row r="29" ht="12.95" customHeight="1" spans="1:23">
      <c r="A29" s="111">
        <v>23</v>
      </c>
      <c r="B29" s="124">
        <v>312</v>
      </c>
      <c r="C29" s="113">
        <v>142</v>
      </c>
      <c r="D29" s="114">
        <v>106</v>
      </c>
      <c r="E29" s="115">
        <v>3.54</v>
      </c>
      <c r="F29" s="121">
        <v>35</v>
      </c>
      <c r="G29" s="117">
        <v>43.6</v>
      </c>
      <c r="H29" s="118">
        <v>32</v>
      </c>
      <c r="I29" s="172">
        <v>2.91</v>
      </c>
      <c r="J29" s="118">
        <v>12</v>
      </c>
      <c r="K29" s="115">
        <v>0.52</v>
      </c>
      <c r="L29" s="170">
        <v>0.82</v>
      </c>
      <c r="M29" s="170">
        <v>8.53</v>
      </c>
      <c r="N29" s="114">
        <v>28</v>
      </c>
      <c r="O29" s="171">
        <v>2.25</v>
      </c>
      <c r="P29" s="114">
        <v>5</v>
      </c>
      <c r="Q29" s="170">
        <v>0.21</v>
      </c>
      <c r="R29" s="119">
        <v>0.69</v>
      </c>
      <c r="S29" s="170">
        <v>7.76</v>
      </c>
      <c r="T29" s="121">
        <v>78.8</v>
      </c>
      <c r="U29" s="124" t="s">
        <v>128</v>
      </c>
      <c r="V29" s="192"/>
      <c r="W29" s="193">
        <f t="shared" si="0"/>
        <v>0.822018348623853</v>
      </c>
    </row>
    <row r="30" ht="12.95" customHeight="1" spans="1:23">
      <c r="A30" s="111">
        <v>24</v>
      </c>
      <c r="B30" s="124">
        <v>383</v>
      </c>
      <c r="C30" s="113">
        <v>177</v>
      </c>
      <c r="D30" s="114">
        <v>90</v>
      </c>
      <c r="E30" s="115">
        <v>2.34</v>
      </c>
      <c r="F30" s="126">
        <v>25</v>
      </c>
      <c r="G30" s="125">
        <v>31.6</v>
      </c>
      <c r="H30" s="118">
        <v>32</v>
      </c>
      <c r="I30" s="115">
        <v>3.05</v>
      </c>
      <c r="J30" s="118">
        <v>10</v>
      </c>
      <c r="K30" s="115">
        <v>0.55</v>
      </c>
      <c r="L30" s="170">
        <v>0.45</v>
      </c>
      <c r="M30" s="170">
        <v>8.04</v>
      </c>
      <c r="N30" s="114">
        <v>21</v>
      </c>
      <c r="O30" s="171">
        <v>2.76</v>
      </c>
      <c r="P30" s="114">
        <v>5</v>
      </c>
      <c r="Q30" s="170">
        <v>0.21</v>
      </c>
      <c r="R30" s="170">
        <v>0.28</v>
      </c>
      <c r="S30" s="170">
        <v>7.42</v>
      </c>
      <c r="T30" s="121">
        <v>78.7</v>
      </c>
      <c r="U30" s="124" t="s">
        <v>128</v>
      </c>
      <c r="V30" s="192"/>
      <c r="W30" s="193">
        <f t="shared" si="0"/>
        <v>0.765189873417722</v>
      </c>
    </row>
    <row r="31" ht="12.95" customHeight="1" spans="1:23">
      <c r="A31" s="111">
        <v>25</v>
      </c>
      <c r="B31" s="124">
        <v>166</v>
      </c>
      <c r="C31" s="113">
        <v>76.4</v>
      </c>
      <c r="D31" s="114">
        <v>42</v>
      </c>
      <c r="E31" s="115">
        <v>2.08</v>
      </c>
      <c r="F31" s="117">
        <v>27.8</v>
      </c>
      <c r="G31" s="125">
        <v>31.9</v>
      </c>
      <c r="H31" s="118">
        <v>32</v>
      </c>
      <c r="I31" s="115">
        <v>2.88</v>
      </c>
      <c r="J31" s="118">
        <v>12</v>
      </c>
      <c r="K31" s="115">
        <v>0.5</v>
      </c>
      <c r="L31" s="170">
        <v>0.48</v>
      </c>
      <c r="M31" s="173">
        <v>10.6</v>
      </c>
      <c r="N31" s="114">
        <v>22</v>
      </c>
      <c r="O31" s="171">
        <v>2.6</v>
      </c>
      <c r="P31" s="114">
        <v>5</v>
      </c>
      <c r="Q31" s="170">
        <v>0.26</v>
      </c>
      <c r="R31" s="170">
        <v>0.4</v>
      </c>
      <c r="S31" s="194">
        <v>9.53</v>
      </c>
      <c r="T31" s="121">
        <v>78.2</v>
      </c>
      <c r="U31" s="124" t="s">
        <v>128</v>
      </c>
      <c r="V31" s="192"/>
      <c r="W31" s="193">
        <f t="shared" si="0"/>
        <v>0.701253918495298</v>
      </c>
    </row>
    <row r="32" ht="12.95" customHeight="1" spans="1:23">
      <c r="A32" s="111">
        <v>26</v>
      </c>
      <c r="B32" s="124">
        <v>172</v>
      </c>
      <c r="C32" s="113">
        <v>78.3</v>
      </c>
      <c r="D32" s="114">
        <v>82</v>
      </c>
      <c r="E32" s="115">
        <v>2.17</v>
      </c>
      <c r="F32" s="116">
        <v>31.6</v>
      </c>
      <c r="G32" s="117">
        <v>37.8</v>
      </c>
      <c r="H32" s="118">
        <v>28</v>
      </c>
      <c r="I32" s="115">
        <v>2.55</v>
      </c>
      <c r="J32" s="118">
        <v>11</v>
      </c>
      <c r="K32" s="115">
        <v>0.5</v>
      </c>
      <c r="L32" s="170">
        <v>0.52</v>
      </c>
      <c r="M32" s="116">
        <v>10.1</v>
      </c>
      <c r="N32" s="114">
        <v>24</v>
      </c>
      <c r="O32" s="171">
        <v>2.3</v>
      </c>
      <c r="P32" s="114">
        <v>5</v>
      </c>
      <c r="Q32" s="170">
        <v>0.14</v>
      </c>
      <c r="R32" s="170">
        <v>0.32</v>
      </c>
      <c r="S32" s="170">
        <v>9.82</v>
      </c>
      <c r="T32" s="121">
        <v>78.5</v>
      </c>
      <c r="U32" s="124" t="s">
        <v>128</v>
      </c>
      <c r="V32" s="192"/>
      <c r="W32" s="193">
        <f t="shared" si="0"/>
        <v>0.74021164021164</v>
      </c>
    </row>
    <row r="33" ht="12.95" customHeight="1" spans="1:23">
      <c r="A33" s="111">
        <v>27</v>
      </c>
      <c r="B33" s="124">
        <v>436</v>
      </c>
      <c r="C33" s="113">
        <v>198</v>
      </c>
      <c r="D33" s="114">
        <v>146</v>
      </c>
      <c r="E33" s="115">
        <v>3.85</v>
      </c>
      <c r="F33" s="121">
        <v>29.8</v>
      </c>
      <c r="G33" s="117">
        <v>33.5</v>
      </c>
      <c r="H33" s="118">
        <v>36</v>
      </c>
      <c r="I33" s="115">
        <v>3.34</v>
      </c>
      <c r="J33" s="118">
        <v>16</v>
      </c>
      <c r="K33" s="115">
        <v>0.54</v>
      </c>
      <c r="L33" s="170">
        <v>0.49</v>
      </c>
      <c r="M33" s="170">
        <v>8.04</v>
      </c>
      <c r="N33" s="114">
        <v>26</v>
      </c>
      <c r="O33" s="171">
        <v>2.46</v>
      </c>
      <c r="P33" s="114">
        <v>5</v>
      </c>
      <c r="Q33" s="170">
        <v>0.21</v>
      </c>
      <c r="R33" s="170">
        <v>0.36</v>
      </c>
      <c r="S33" s="170">
        <v>7.72</v>
      </c>
      <c r="T33" s="121">
        <v>78.1</v>
      </c>
      <c r="U33" s="124">
        <v>120</v>
      </c>
      <c r="V33" s="192"/>
      <c r="W33" s="193">
        <f t="shared" si="0"/>
        <v>0.76955223880597</v>
      </c>
    </row>
    <row r="34" ht="12.95" customHeight="1" spans="1:23">
      <c r="A34" s="111">
        <v>28</v>
      </c>
      <c r="B34" s="124">
        <v>260</v>
      </c>
      <c r="C34" s="113">
        <v>120</v>
      </c>
      <c r="D34" s="114">
        <v>78</v>
      </c>
      <c r="E34" s="115">
        <v>1.72</v>
      </c>
      <c r="F34" s="116">
        <v>20.5</v>
      </c>
      <c r="G34" s="117">
        <v>26.8</v>
      </c>
      <c r="H34" s="118">
        <v>28</v>
      </c>
      <c r="I34" s="115">
        <v>2.38</v>
      </c>
      <c r="J34" s="118">
        <v>15</v>
      </c>
      <c r="K34" s="115">
        <v>0.5</v>
      </c>
      <c r="L34" s="170">
        <v>0.44</v>
      </c>
      <c r="M34" s="170">
        <v>7.49</v>
      </c>
      <c r="N34" s="114">
        <v>22</v>
      </c>
      <c r="O34" s="171">
        <v>2.25</v>
      </c>
      <c r="P34" s="114">
        <v>6</v>
      </c>
      <c r="Q34" s="170">
        <v>0.17</v>
      </c>
      <c r="R34" s="170">
        <v>0.22</v>
      </c>
      <c r="S34" s="170">
        <v>6.82</v>
      </c>
      <c r="T34" s="121">
        <v>78.2</v>
      </c>
      <c r="U34" s="124" t="s">
        <v>128</v>
      </c>
      <c r="V34" s="192"/>
      <c r="W34" s="193">
        <f t="shared" si="0"/>
        <v>0.745522388059702</v>
      </c>
    </row>
    <row r="35" ht="12.95" customHeight="1" spans="1:23">
      <c r="A35" s="111">
        <v>29</v>
      </c>
      <c r="B35" s="124">
        <v>242</v>
      </c>
      <c r="C35" s="113">
        <v>110</v>
      </c>
      <c r="D35" s="114">
        <v>66</v>
      </c>
      <c r="E35" s="115">
        <v>1.67</v>
      </c>
      <c r="F35" s="116">
        <v>22.8</v>
      </c>
      <c r="G35" s="117">
        <v>28.6</v>
      </c>
      <c r="H35" s="118">
        <v>32</v>
      </c>
      <c r="I35" s="115">
        <v>3.07</v>
      </c>
      <c r="J35" s="118">
        <v>16</v>
      </c>
      <c r="K35" s="115">
        <v>0.56</v>
      </c>
      <c r="L35" s="170">
        <v>0.5</v>
      </c>
      <c r="M35" s="170">
        <v>6.6</v>
      </c>
      <c r="N35" s="114">
        <v>27</v>
      </c>
      <c r="O35" s="171">
        <v>2.61</v>
      </c>
      <c r="P35" s="114">
        <v>6</v>
      </c>
      <c r="Q35" s="170">
        <v>0.2</v>
      </c>
      <c r="R35" s="170">
        <v>0.41</v>
      </c>
      <c r="S35" s="170">
        <v>6.02</v>
      </c>
      <c r="T35" s="121">
        <v>78.3</v>
      </c>
      <c r="U35" s="124" t="s">
        <v>128</v>
      </c>
      <c r="V35" s="192"/>
      <c r="W35" s="193">
        <f t="shared" si="0"/>
        <v>0.78951048951049</v>
      </c>
    </row>
    <row r="36" ht="12.95" customHeight="1" spans="1:23">
      <c r="A36" s="111">
        <v>30</v>
      </c>
      <c r="B36" s="124">
        <v>260</v>
      </c>
      <c r="C36" s="113">
        <v>116</v>
      </c>
      <c r="D36" s="114">
        <v>142</v>
      </c>
      <c r="E36" s="115">
        <v>1.96</v>
      </c>
      <c r="F36" s="116">
        <v>20.6</v>
      </c>
      <c r="G36" s="117">
        <v>26.6</v>
      </c>
      <c r="H36" s="118">
        <v>34</v>
      </c>
      <c r="I36" s="115">
        <v>3.11</v>
      </c>
      <c r="J36" s="118">
        <v>16</v>
      </c>
      <c r="K36" s="115">
        <v>0.54</v>
      </c>
      <c r="L36" s="170">
        <v>0.42</v>
      </c>
      <c r="M36" s="170">
        <v>6.3</v>
      </c>
      <c r="N36" s="114">
        <v>31</v>
      </c>
      <c r="O36" s="171">
        <v>2.7</v>
      </c>
      <c r="P36" s="114">
        <v>5</v>
      </c>
      <c r="Q36" s="170">
        <v>0.25</v>
      </c>
      <c r="R36" s="170">
        <v>0.39</v>
      </c>
      <c r="S36" s="170">
        <v>6.08</v>
      </c>
      <c r="T36" s="121">
        <v>78.6</v>
      </c>
      <c r="U36" s="124">
        <v>100</v>
      </c>
      <c r="V36" s="192"/>
      <c r="W36" s="193">
        <f t="shared" si="0"/>
        <v>0.771428571428571</v>
      </c>
    </row>
    <row r="37" ht="12.95" customHeight="1" spans="1:23">
      <c r="A37" s="111">
        <v>31</v>
      </c>
      <c r="B37" s="124">
        <v>140</v>
      </c>
      <c r="C37" s="113">
        <v>64.2</v>
      </c>
      <c r="D37" s="114">
        <v>70</v>
      </c>
      <c r="E37" s="115">
        <v>2.28</v>
      </c>
      <c r="F37" s="116">
        <v>20.8</v>
      </c>
      <c r="G37" s="117">
        <v>27.1</v>
      </c>
      <c r="H37" s="118">
        <v>38</v>
      </c>
      <c r="I37" s="115">
        <v>3.65</v>
      </c>
      <c r="J37" s="118">
        <v>14</v>
      </c>
      <c r="K37" s="115">
        <v>0.55</v>
      </c>
      <c r="L37" s="170">
        <v>0.52</v>
      </c>
      <c r="M37" s="119">
        <v>6.38</v>
      </c>
      <c r="N37" s="114">
        <v>32</v>
      </c>
      <c r="O37" s="171">
        <v>3.05</v>
      </c>
      <c r="P37" s="114">
        <v>5</v>
      </c>
      <c r="Q37" s="170">
        <v>0.24</v>
      </c>
      <c r="R37" s="170">
        <v>0.43</v>
      </c>
      <c r="S37" s="170">
        <v>6.08</v>
      </c>
      <c r="T37" s="121">
        <v>78.4</v>
      </c>
      <c r="U37" s="124" t="s">
        <v>128</v>
      </c>
      <c r="V37" s="192"/>
      <c r="W37" s="193">
        <f t="shared" si="0"/>
        <v>0.775645756457565</v>
      </c>
    </row>
    <row r="38" ht="12.95" customHeight="1" spans="1:21">
      <c r="A38" s="111" t="s">
        <v>68</v>
      </c>
      <c r="B38" s="114">
        <f>ROUND(AVERAGE(B7:B37),0)</f>
        <v>254</v>
      </c>
      <c r="C38" s="114">
        <f>ROUND(AVERAGE(C7:C37),0)</f>
        <v>116</v>
      </c>
      <c r="D38" s="114">
        <f>ROUND(AVERAGE(D7:D37),0)</f>
        <v>97</v>
      </c>
      <c r="E38" s="115">
        <f>ROUND(AVERAGE(E7:E37),2)</f>
        <v>2.37</v>
      </c>
      <c r="F38" s="121">
        <f>ROUND(AVERAGE(F7:F37),1)</f>
        <v>24.7</v>
      </c>
      <c r="G38" s="121">
        <f>ROUND(AVERAGE(G7:G37),1)</f>
        <v>31.1</v>
      </c>
      <c r="H38" s="127">
        <f>ROUND(AVERAGE(H7:H37),1)</f>
        <v>31.6</v>
      </c>
      <c r="I38" s="174">
        <f>ROUND(AVERAGE(I7:I37),2)</f>
        <v>2.88</v>
      </c>
      <c r="J38" s="175">
        <f>ROUND(AVERAGE(J7:J37),2)</f>
        <v>12.84</v>
      </c>
      <c r="K38" s="174">
        <f>ROUND(AVERAGE(K7:K37),2)</f>
        <v>0.53</v>
      </c>
      <c r="L38" s="174">
        <f>ROUND(AVERAGE(L7:L37),2)</f>
        <v>0.48</v>
      </c>
      <c r="M38" s="119">
        <f>ROUND(AVERAGE(M7:M37),1)</f>
        <v>8.4</v>
      </c>
      <c r="N38" s="114">
        <f>ROUND(AVERAGE(N7:N37),1)</f>
        <v>23.7</v>
      </c>
      <c r="O38" s="115">
        <f t="shared" ref="O38:T38" si="1">ROUND(AVERAGE(O7:O37),2)</f>
        <v>2.46</v>
      </c>
      <c r="P38" s="115">
        <f t="shared" si="1"/>
        <v>5.13</v>
      </c>
      <c r="Q38" s="170">
        <f t="shared" si="1"/>
        <v>0.17</v>
      </c>
      <c r="R38" s="115">
        <f t="shared" si="1"/>
        <v>0.37</v>
      </c>
      <c r="S38" s="119">
        <f t="shared" si="1"/>
        <v>7.85</v>
      </c>
      <c r="T38" s="117">
        <f t="shared" si="1"/>
        <v>78.42</v>
      </c>
      <c r="U38" s="124" t="s">
        <v>128</v>
      </c>
    </row>
    <row r="39" ht="21" customHeight="1" spans="1:21">
      <c r="A39" s="128" t="s">
        <v>70</v>
      </c>
      <c r="B39" s="129"/>
      <c r="C39" s="129"/>
      <c r="D39" s="130"/>
      <c r="E39" s="131"/>
      <c r="F39" s="132"/>
      <c r="H39"/>
      <c r="I39"/>
      <c r="J39" s="128" t="s">
        <v>71</v>
      </c>
      <c r="K39" s="176"/>
      <c r="L39" s="176"/>
      <c r="M39" s="176"/>
      <c r="N39" s="128"/>
      <c r="O39" s="132"/>
      <c r="P39" s="132"/>
      <c r="Q39" s="195" t="s">
        <v>147</v>
      </c>
      <c r="R39" s="195"/>
      <c r="S39" s="195"/>
      <c r="T39" s="195"/>
      <c r="U39" s="196"/>
    </row>
    <row r="40" ht="21" customHeight="1" spans="1:21">
      <c r="A40" s="133"/>
      <c r="B40" s="134"/>
      <c r="C40" s="135"/>
      <c r="D40" s="136"/>
      <c r="E40" s="137"/>
      <c r="F40" s="138"/>
      <c r="H40"/>
      <c r="I40"/>
      <c r="J40" s="132"/>
      <c r="K40" s="132"/>
      <c r="L40" s="132"/>
      <c r="M40" s="132"/>
      <c r="N40" s="133"/>
      <c r="O40" s="132"/>
      <c r="P40" s="132"/>
      <c r="Q40" s="197"/>
      <c r="R40" s="197"/>
      <c r="S40" s="197"/>
      <c r="T40" s="197"/>
      <c r="U40" s="196"/>
    </row>
    <row r="41" ht="15.75" spans="2:19">
      <c r="B41" s="139" t="s">
        <v>109</v>
      </c>
      <c r="C41" s="139" t="s">
        <v>148</v>
      </c>
      <c r="D41" s="140" t="s">
        <v>149</v>
      </c>
      <c r="E41" s="139" t="s">
        <v>150</v>
      </c>
      <c r="F41" s="139" t="s">
        <v>151</v>
      </c>
      <c r="G41" s="140" t="s">
        <v>149</v>
      </c>
      <c r="H41" s="139" t="s">
        <v>150</v>
      </c>
      <c r="I41" s="140" t="s">
        <v>152</v>
      </c>
      <c r="J41" s="132"/>
      <c r="K41" s="132"/>
      <c r="L41" s="132"/>
      <c r="S41" s="198"/>
    </row>
    <row r="42" ht="30" spans="2:20">
      <c r="B42" s="139"/>
      <c r="C42" s="139"/>
      <c r="D42" s="141" t="s">
        <v>153</v>
      </c>
      <c r="E42" s="139"/>
      <c r="F42" s="139"/>
      <c r="G42" s="141" t="s">
        <v>153</v>
      </c>
      <c r="H42" s="139"/>
      <c r="I42" s="141" t="s">
        <v>154</v>
      </c>
      <c r="J42" s="132"/>
      <c r="K42" s="132"/>
      <c r="L42" s="132"/>
      <c r="M42" s="177"/>
      <c r="N42" s="177"/>
      <c r="O42" s="177"/>
      <c r="P42" s="177"/>
      <c r="Q42" s="177"/>
      <c r="R42" s="177"/>
      <c r="S42" s="199"/>
      <c r="T42" s="199"/>
    </row>
    <row r="43" ht="18" spans="2:18">
      <c r="B43" s="142" t="s">
        <v>155</v>
      </c>
      <c r="C43" s="143">
        <f>B38</f>
        <v>254</v>
      </c>
      <c r="D43" s="144">
        <f>MAX(B7:B37)</f>
        <v>436</v>
      </c>
      <c r="E43" s="144">
        <f>MIN(B7:B37)</f>
        <v>140</v>
      </c>
      <c r="F43" s="145">
        <f>N38</f>
        <v>23.7</v>
      </c>
      <c r="G43" s="146">
        <f>MAX(N7:N37)</f>
        <v>32</v>
      </c>
      <c r="H43" s="144">
        <f>MIN(N7:N37)</f>
        <v>17</v>
      </c>
      <c r="I43" s="178">
        <f t="shared" ref="I43:I48" si="2">1-F43/C43</f>
        <v>0.906692913385827</v>
      </c>
      <c r="J43" s="162"/>
      <c r="K43" s="142" t="s">
        <v>156</v>
      </c>
      <c r="L43" s="179">
        <f>C44/C43</f>
        <v>0.456692913385827</v>
      </c>
      <c r="M43" s="180"/>
      <c r="N43" s="181"/>
      <c r="O43" s="181"/>
      <c r="P43" s="181"/>
      <c r="Q43" s="180"/>
      <c r="R43" s="185"/>
    </row>
    <row r="44" ht="17.25" spans="2:18">
      <c r="B44" s="147" t="s">
        <v>157</v>
      </c>
      <c r="C44" s="148">
        <f>C38</f>
        <v>116</v>
      </c>
      <c r="D44" s="149">
        <f>MAX(C7:C37)</f>
        <v>198</v>
      </c>
      <c r="E44" s="150">
        <f>MIN(C7:C37)</f>
        <v>64.2</v>
      </c>
      <c r="F44" s="151">
        <f>O38</f>
        <v>2.46</v>
      </c>
      <c r="G44" s="150">
        <f>MAX(O7:O37)</f>
        <v>3.05</v>
      </c>
      <c r="H44" s="150">
        <f>MIN(O7:O37)</f>
        <v>2.14</v>
      </c>
      <c r="I44" s="182">
        <f>1-2/C44</f>
        <v>0.982758620689655</v>
      </c>
      <c r="J44" s="162"/>
      <c r="K44" s="147" t="s">
        <v>158</v>
      </c>
      <c r="L44" s="183">
        <f>C44/C48</f>
        <v>3.72990353697749</v>
      </c>
      <c r="M44" s="180"/>
      <c r="N44" s="181"/>
      <c r="O44" s="181"/>
      <c r="P44" s="181"/>
      <c r="Q44" s="180"/>
      <c r="R44" s="185"/>
    </row>
    <row r="45" ht="17.25" spans="2:18">
      <c r="B45" s="147" t="s">
        <v>118</v>
      </c>
      <c r="C45" s="152">
        <f>D38</f>
        <v>97</v>
      </c>
      <c r="D45" s="150">
        <f>MAX(D7:D37)</f>
        <v>160</v>
      </c>
      <c r="E45" s="153">
        <f>MIN(D7:D37)</f>
        <v>42</v>
      </c>
      <c r="F45" s="154">
        <f>P38</f>
        <v>5.13</v>
      </c>
      <c r="G45" s="155">
        <f>MAX(P7:P37)</f>
        <v>6</v>
      </c>
      <c r="H45" s="155">
        <f>MIN(P7:P37)</f>
        <v>5</v>
      </c>
      <c r="I45" s="182">
        <f t="shared" si="2"/>
        <v>0.947113402061856</v>
      </c>
      <c r="J45" s="162"/>
      <c r="K45" s="147" t="s">
        <v>159</v>
      </c>
      <c r="L45" s="184">
        <f>C44/C46</f>
        <v>48.9451476793249</v>
      </c>
      <c r="M45" s="185"/>
      <c r="N45" s="185"/>
      <c r="O45" s="185"/>
      <c r="P45" s="185"/>
      <c r="Q45" s="185"/>
      <c r="R45" s="185"/>
    </row>
    <row r="46" ht="17.25" spans="2:12">
      <c r="B46" s="147" t="s">
        <v>120</v>
      </c>
      <c r="C46" s="154">
        <f>E38</f>
        <v>2.37</v>
      </c>
      <c r="D46" s="150">
        <f>MAX(E7:E37)</f>
        <v>4.07</v>
      </c>
      <c r="E46" s="150">
        <f>MIN(E7:E37)</f>
        <v>1.43</v>
      </c>
      <c r="F46" s="154">
        <f>Q38</f>
        <v>0.17</v>
      </c>
      <c r="G46" s="155">
        <f>MAX(Q7:Q37)</f>
        <v>0.26</v>
      </c>
      <c r="H46" s="155">
        <f>MIN(Q7:Q37)</f>
        <v>0.1</v>
      </c>
      <c r="I46" s="182">
        <f t="shared" si="2"/>
        <v>0.928270042194093</v>
      </c>
      <c r="J46" s="162"/>
      <c r="K46" s="147"/>
      <c r="L46" s="186"/>
    </row>
    <row r="47" ht="17.25" spans="2:12">
      <c r="B47" s="147" t="s">
        <v>160</v>
      </c>
      <c r="C47" s="148">
        <f>F38</f>
        <v>24.7</v>
      </c>
      <c r="D47" s="150">
        <f>MAX(F7:F37)</f>
        <v>35</v>
      </c>
      <c r="E47" s="150">
        <f>MIN(F7:F37)</f>
        <v>17.3</v>
      </c>
      <c r="F47" s="154">
        <f>R38</f>
        <v>0.37</v>
      </c>
      <c r="G47" s="150">
        <f>MAX(R7:R37)</f>
        <v>0.85</v>
      </c>
      <c r="H47" s="155">
        <f>MIN(R7:R37)</f>
        <v>0.19</v>
      </c>
      <c r="I47" s="182">
        <f t="shared" si="2"/>
        <v>0.98502024291498</v>
      </c>
      <c r="J47" s="162"/>
      <c r="K47" s="147"/>
      <c r="L47" s="186"/>
    </row>
    <row r="48" ht="17.25" spans="2:12">
      <c r="B48" s="156" t="s">
        <v>123</v>
      </c>
      <c r="C48" s="157">
        <f>G38</f>
        <v>31.1</v>
      </c>
      <c r="D48" s="158">
        <f>MAX(G7:G37)</f>
        <v>43.6</v>
      </c>
      <c r="E48" s="158">
        <f>MIN(G7:G37)</f>
        <v>24</v>
      </c>
      <c r="F48" s="159">
        <f>S38</f>
        <v>7.85</v>
      </c>
      <c r="G48" s="160">
        <f>MAX(S7:S37)</f>
        <v>9.82</v>
      </c>
      <c r="H48" s="158">
        <f>MIN(S7:S37)</f>
        <v>6</v>
      </c>
      <c r="I48" s="187">
        <f t="shared" si="2"/>
        <v>0.747588424437299</v>
      </c>
      <c r="J48" s="162"/>
      <c r="K48" s="156"/>
      <c r="L48" s="188"/>
    </row>
    <row r="49" ht="17.25" spans="2:12">
      <c r="B49" s="161"/>
      <c r="C49" s="162"/>
      <c r="D49" s="162"/>
      <c r="E49" s="162"/>
      <c r="F49" s="162"/>
      <c r="G49" s="162"/>
      <c r="H49" s="163"/>
      <c r="I49" s="162"/>
      <c r="J49" s="162"/>
      <c r="K49" s="163"/>
      <c r="L49" s="162"/>
    </row>
    <row r="50" spans="2:2">
      <c r="B50" s="164"/>
    </row>
    <row r="51" spans="2:2">
      <c r="B51" s="164"/>
    </row>
    <row r="52" spans="2:2">
      <c r="B52" s="164"/>
    </row>
    <row r="53" spans="2:2">
      <c r="B53" s="164"/>
    </row>
    <row r="54" spans="2:2">
      <c r="B54" s="164"/>
    </row>
    <row r="55" spans="2:2">
      <c r="B55" s="164"/>
    </row>
    <row r="56" spans="2:2">
      <c r="B56" s="164"/>
    </row>
    <row r="57" spans="2:2">
      <c r="B57" s="164"/>
    </row>
    <row r="58" spans="2:2">
      <c r="B58" s="164"/>
    </row>
    <row r="59" spans="2:2">
      <c r="B59" s="164"/>
    </row>
    <row r="60" spans="2:2">
      <c r="B60" s="164"/>
    </row>
    <row r="61" spans="2:2">
      <c r="B61" s="164"/>
    </row>
    <row r="62" spans="2:2">
      <c r="B62" s="164"/>
    </row>
    <row r="63" spans="2:2">
      <c r="B63" s="164"/>
    </row>
    <row r="64" spans="2:2">
      <c r="B64" s="164"/>
    </row>
    <row r="65" spans="2:2">
      <c r="B65" s="164"/>
    </row>
    <row r="66" spans="2:2">
      <c r="B66" s="164"/>
    </row>
    <row r="67" spans="2:2">
      <c r="B67" s="164"/>
    </row>
    <row r="68" spans="2:2">
      <c r="B68" s="164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abSelected="1" workbookViewId="0">
      <selection activeCell="G308" sqref="G308:G309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161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44896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162</v>
      </c>
      <c r="B3" s="6" t="s">
        <v>163</v>
      </c>
      <c r="C3" s="6" t="s">
        <v>164</v>
      </c>
      <c r="D3" s="6" t="s">
        <v>165</v>
      </c>
      <c r="E3" s="60" t="s">
        <v>166</v>
      </c>
      <c r="F3" s="60" t="s">
        <v>167</v>
      </c>
      <c r="G3" s="61" t="s">
        <v>168</v>
      </c>
      <c r="H3" s="62" t="s">
        <v>169</v>
      </c>
      <c r="I3" s="60" t="s">
        <v>170</v>
      </c>
      <c r="J3" s="6" t="s">
        <v>171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172</v>
      </c>
      <c r="E5" s="60" t="s">
        <v>173</v>
      </c>
      <c r="F5" s="60" t="s">
        <v>174</v>
      </c>
      <c r="G5" s="61" t="s">
        <v>174</v>
      </c>
      <c r="H5" s="62" t="s">
        <v>175</v>
      </c>
      <c r="I5" s="60" t="s">
        <v>175</v>
      </c>
      <c r="J5" s="6"/>
    </row>
    <row r="6" customHeight="1" spans="1:10">
      <c r="A6" s="64" t="s">
        <v>176</v>
      </c>
      <c r="B6" s="65" t="s">
        <v>177</v>
      </c>
      <c r="C6" s="65" t="s">
        <v>178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 t="s">
        <v>179</v>
      </c>
    </row>
    <row r="7" customHeight="1" spans="1:10">
      <c r="A7" s="64"/>
      <c r="B7" s="65"/>
      <c r="C7" s="65" t="s">
        <v>180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 t="s">
        <v>179</v>
      </c>
    </row>
    <row r="8" customHeight="1" spans="1:10">
      <c r="A8" s="64"/>
      <c r="B8" s="65" t="s">
        <v>181</v>
      </c>
      <c r="C8" s="65" t="s">
        <v>69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 t="s">
        <v>179</v>
      </c>
    </row>
    <row r="9" customHeight="1" spans="1:10">
      <c r="A9" s="64"/>
      <c r="B9" s="65" t="s">
        <v>182</v>
      </c>
      <c r="C9" s="65" t="s">
        <v>69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 t="s">
        <v>179</v>
      </c>
    </row>
    <row r="10" customHeight="1" spans="1:10">
      <c r="A10" s="64"/>
      <c r="B10" s="65" t="s">
        <v>183</v>
      </c>
      <c r="C10" s="65" t="s">
        <v>178</v>
      </c>
      <c r="D10" s="65">
        <v>31</v>
      </c>
      <c r="E10" s="65">
        <v>24</v>
      </c>
      <c r="F10" s="65">
        <v>744</v>
      </c>
      <c r="G10" s="65">
        <v>0</v>
      </c>
      <c r="H10" s="66">
        <v>0</v>
      </c>
      <c r="I10" s="66">
        <v>1</v>
      </c>
      <c r="J10" s="65"/>
    </row>
    <row r="11" customHeight="1" spans="1:10">
      <c r="A11" s="64"/>
      <c r="B11" s="65"/>
      <c r="C11" s="65" t="s">
        <v>180</v>
      </c>
      <c r="D11" s="65">
        <v>31</v>
      </c>
      <c r="E11" s="65">
        <v>24</v>
      </c>
      <c r="F11" s="65">
        <v>744</v>
      </c>
      <c r="G11" s="65">
        <v>398</v>
      </c>
      <c r="H11" s="66">
        <v>0.53494623655914</v>
      </c>
      <c r="I11" s="66">
        <v>1</v>
      </c>
      <c r="J11" s="65"/>
    </row>
    <row r="12" customHeight="1" spans="1:10">
      <c r="A12" s="64"/>
      <c r="B12" s="65"/>
      <c r="C12" s="65" t="s">
        <v>184</v>
      </c>
      <c r="D12" s="65">
        <v>31</v>
      </c>
      <c r="E12" s="65">
        <v>24</v>
      </c>
      <c r="F12" s="65">
        <v>744</v>
      </c>
      <c r="G12" s="65">
        <v>744</v>
      </c>
      <c r="H12" s="66">
        <v>1</v>
      </c>
      <c r="I12" s="66">
        <v>1</v>
      </c>
      <c r="J12" s="65"/>
    </row>
    <row r="13" customHeight="1" spans="1:10">
      <c r="A13" s="64"/>
      <c r="B13" s="65"/>
      <c r="C13" s="65" t="s">
        <v>185</v>
      </c>
      <c r="D13" s="65">
        <v>31</v>
      </c>
      <c r="E13" s="65">
        <v>24</v>
      </c>
      <c r="F13" s="65">
        <v>744</v>
      </c>
      <c r="G13" s="65">
        <v>2</v>
      </c>
      <c r="H13" s="66">
        <v>0.00268817204301075</v>
      </c>
      <c r="I13" s="66">
        <v>1</v>
      </c>
      <c r="J13" s="65"/>
    </row>
    <row r="14" customHeight="1" spans="1:10">
      <c r="A14" s="64"/>
      <c r="B14" s="65"/>
      <c r="C14" s="65" t="s">
        <v>186</v>
      </c>
      <c r="D14" s="65">
        <v>31</v>
      </c>
      <c r="E14" s="65">
        <v>24</v>
      </c>
      <c r="F14" s="65">
        <v>744</v>
      </c>
      <c r="G14" s="65">
        <v>696</v>
      </c>
      <c r="H14" s="66">
        <v>0.935483870967742</v>
      </c>
      <c r="I14" s="66">
        <v>1</v>
      </c>
      <c r="J14" s="65"/>
    </row>
    <row r="15" customHeight="1" spans="1:10">
      <c r="A15" s="64"/>
      <c r="B15" s="65" t="s">
        <v>187</v>
      </c>
      <c r="C15" s="65" t="s">
        <v>178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180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184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185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186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188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181</v>
      </c>
      <c r="C21" s="65" t="s">
        <v>178</v>
      </c>
      <c r="D21" s="65">
        <v>31</v>
      </c>
      <c r="E21" s="65">
        <v>0.5</v>
      </c>
      <c r="F21" s="65">
        <v>15.5</v>
      </c>
      <c r="G21" s="65">
        <v>15.5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180</v>
      </c>
      <c r="D22" s="65">
        <v>31</v>
      </c>
      <c r="E22" s="65">
        <v>0.5</v>
      </c>
      <c r="F22" s="65">
        <v>15.5</v>
      </c>
      <c r="G22" s="65">
        <v>15.5</v>
      </c>
      <c r="H22" s="66">
        <v>1</v>
      </c>
      <c r="I22" s="66">
        <v>1</v>
      </c>
      <c r="J22" s="65"/>
    </row>
    <row r="23" customHeight="1" spans="1:10">
      <c r="A23" s="64"/>
      <c r="B23" s="65" t="s">
        <v>182</v>
      </c>
      <c r="C23" s="65" t="s">
        <v>178</v>
      </c>
      <c r="D23" s="65">
        <v>31</v>
      </c>
      <c r="E23" s="65">
        <v>0.5</v>
      </c>
      <c r="F23" s="65">
        <v>15.5</v>
      </c>
      <c r="G23" s="65">
        <v>15.5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180</v>
      </c>
      <c r="D24" s="65">
        <v>31</v>
      </c>
      <c r="E24" s="65">
        <v>0.5</v>
      </c>
      <c r="F24" s="65">
        <v>15.5</v>
      </c>
      <c r="G24" s="65">
        <v>15.5</v>
      </c>
      <c r="H24" s="66">
        <v>1</v>
      </c>
      <c r="I24" s="66">
        <v>1</v>
      </c>
      <c r="J24" s="65"/>
    </row>
    <row r="25" customHeight="1" spans="1:10">
      <c r="A25" s="64"/>
      <c r="B25" s="65" t="s">
        <v>189</v>
      </c>
      <c r="C25" s="65" t="s">
        <v>178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1</v>
      </c>
      <c r="J25" s="65"/>
    </row>
    <row r="26" customHeight="1" spans="1:10">
      <c r="A26" s="64"/>
      <c r="B26" s="65" t="s">
        <v>190</v>
      </c>
      <c r="C26" s="65" t="s">
        <v>178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189</v>
      </c>
      <c r="C27" s="65" t="s">
        <v>180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1</v>
      </c>
      <c r="J27" s="65"/>
    </row>
    <row r="28" customHeight="1" spans="1:10">
      <c r="A28" s="64"/>
      <c r="B28" s="65" t="s">
        <v>190</v>
      </c>
      <c r="C28" s="65" t="s">
        <v>180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189</v>
      </c>
      <c r="C29" s="65" t="s">
        <v>184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190</v>
      </c>
      <c r="C30" s="65" t="s">
        <v>184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189</v>
      </c>
      <c r="C31" s="65" t="s">
        <v>185</v>
      </c>
      <c r="D31" s="65">
        <v>31</v>
      </c>
      <c r="E31" s="65">
        <v>24</v>
      </c>
      <c r="F31" s="65">
        <v>744</v>
      </c>
      <c r="G31" s="65">
        <v>744</v>
      </c>
      <c r="H31" s="66">
        <v>1</v>
      </c>
      <c r="I31" s="66">
        <v>1</v>
      </c>
      <c r="J31" s="65"/>
    </row>
    <row r="32" customHeight="1" spans="1:10">
      <c r="A32" s="64"/>
      <c r="B32" s="65" t="s">
        <v>190</v>
      </c>
      <c r="C32" s="65" t="s">
        <v>185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191</v>
      </c>
      <c r="C33" s="65" t="s">
        <v>178</v>
      </c>
      <c r="D33" s="65">
        <v>31</v>
      </c>
      <c r="E33" s="65">
        <v>24</v>
      </c>
      <c r="F33" s="65">
        <v>744</v>
      </c>
      <c r="G33" s="65">
        <v>446</v>
      </c>
      <c r="H33" s="66">
        <v>0.599462365591398</v>
      </c>
      <c r="I33" s="66">
        <v>1</v>
      </c>
      <c r="J33" s="65" t="s">
        <v>192</v>
      </c>
    </row>
    <row r="34" customHeight="1" spans="1:10">
      <c r="A34" s="64"/>
      <c r="B34" s="65"/>
      <c r="C34" s="65" t="s">
        <v>180</v>
      </c>
      <c r="D34" s="65">
        <v>31</v>
      </c>
      <c r="E34" s="65">
        <v>24</v>
      </c>
      <c r="F34" s="65">
        <v>744</v>
      </c>
      <c r="G34" s="65">
        <v>306</v>
      </c>
      <c r="H34" s="66">
        <v>0.411290322580645</v>
      </c>
      <c r="I34" s="66">
        <v>1</v>
      </c>
      <c r="J34" s="65" t="s">
        <v>192</v>
      </c>
    </row>
    <row r="35" customHeight="1" spans="1:10">
      <c r="A35" s="64"/>
      <c r="B35" s="65"/>
      <c r="C35" s="65" t="s">
        <v>184</v>
      </c>
      <c r="D35" s="65">
        <v>31</v>
      </c>
      <c r="E35" s="65">
        <v>24</v>
      </c>
      <c r="F35" s="65">
        <v>744</v>
      </c>
      <c r="G35" s="65">
        <v>206</v>
      </c>
      <c r="H35" s="66">
        <v>0.276881720430108</v>
      </c>
      <c r="I35" s="66">
        <v>1</v>
      </c>
      <c r="J35" s="65" t="s">
        <v>192</v>
      </c>
    </row>
    <row r="36" customHeight="1" spans="1:10">
      <c r="A36" s="64"/>
      <c r="B36" s="65"/>
      <c r="C36" s="65" t="s">
        <v>185</v>
      </c>
      <c r="D36" s="65">
        <v>31</v>
      </c>
      <c r="E36" s="65">
        <v>24</v>
      </c>
      <c r="F36" s="65">
        <v>744</v>
      </c>
      <c r="G36" s="65">
        <v>400</v>
      </c>
      <c r="H36" s="66">
        <v>0.537634408602151</v>
      </c>
      <c r="I36" s="66">
        <v>1</v>
      </c>
      <c r="J36" s="65" t="s">
        <v>192</v>
      </c>
    </row>
    <row r="37" customHeight="1" spans="1:10">
      <c r="A37" s="64"/>
      <c r="B37" s="65"/>
      <c r="C37" s="65" t="s">
        <v>186</v>
      </c>
      <c r="D37" s="65">
        <v>31</v>
      </c>
      <c r="E37" s="65">
        <v>24</v>
      </c>
      <c r="F37" s="65">
        <v>744</v>
      </c>
      <c r="G37" s="65">
        <v>132</v>
      </c>
      <c r="H37" s="66">
        <v>0.17741935483871</v>
      </c>
      <c r="I37" s="66">
        <v>1</v>
      </c>
      <c r="J37" s="65" t="s">
        <v>192</v>
      </c>
    </row>
    <row r="38" customHeight="1" spans="1:10">
      <c r="A38" s="67" t="s">
        <v>70</v>
      </c>
      <c r="B38" s="67"/>
      <c r="C38" s="15"/>
      <c r="D38" s="15"/>
      <c r="E38" s="68" t="s">
        <v>71</v>
      </c>
      <c r="F38" s="68"/>
      <c r="G38" s="69"/>
      <c r="H38" s="10" t="s">
        <v>193</v>
      </c>
      <c r="I38" s="10"/>
      <c r="J38" s="10"/>
    </row>
    <row r="39" ht="34" customHeight="1"/>
    <row r="46" ht="33" customHeight="1" spans="1:10">
      <c r="A46" s="57" t="s">
        <v>161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44896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162</v>
      </c>
      <c r="B48" s="6" t="s">
        <v>163</v>
      </c>
      <c r="C48" s="6" t="s">
        <v>164</v>
      </c>
      <c r="D48" s="6" t="s">
        <v>165</v>
      </c>
      <c r="E48" s="60" t="s">
        <v>166</v>
      </c>
      <c r="F48" s="60" t="s">
        <v>167</v>
      </c>
      <c r="G48" s="61" t="s">
        <v>168</v>
      </c>
      <c r="H48" s="62" t="s">
        <v>169</v>
      </c>
      <c r="I48" s="60" t="s">
        <v>170</v>
      </c>
      <c r="J48" s="6" t="s">
        <v>171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172</v>
      </c>
      <c r="E50" s="72" t="s">
        <v>173</v>
      </c>
      <c r="F50" s="72" t="s">
        <v>174</v>
      </c>
      <c r="G50" s="73" t="s">
        <v>174</v>
      </c>
      <c r="H50" s="74" t="s">
        <v>175</v>
      </c>
      <c r="I50" s="60" t="s">
        <v>175</v>
      </c>
      <c r="J50" s="6"/>
    </row>
    <row r="51" customHeight="1" spans="1:10">
      <c r="A51" s="75" t="s">
        <v>194</v>
      </c>
      <c r="B51" s="64" t="s">
        <v>195</v>
      </c>
      <c r="C51" s="65" t="s">
        <v>178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180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184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185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186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188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196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197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198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199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200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201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202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203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204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205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206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207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208</v>
      </c>
      <c r="C69" s="65" t="s">
        <v>209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210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211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212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213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214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215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216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217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218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219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220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221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222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223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224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225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226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70</v>
      </c>
      <c r="B87" s="67"/>
      <c r="C87" s="15"/>
      <c r="D87" s="15"/>
      <c r="E87" s="68" t="s">
        <v>71</v>
      </c>
      <c r="F87" s="68"/>
      <c r="G87" s="69"/>
      <c r="H87" s="10" t="str">
        <f>H38</f>
        <v>制表时间：2023/1/4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161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44896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162</v>
      </c>
      <c r="B93" s="6" t="s">
        <v>163</v>
      </c>
      <c r="C93" s="6" t="s">
        <v>164</v>
      </c>
      <c r="D93" s="6" t="s">
        <v>165</v>
      </c>
      <c r="E93" s="60" t="s">
        <v>166</v>
      </c>
      <c r="F93" s="60" t="s">
        <v>167</v>
      </c>
      <c r="G93" s="61" t="s">
        <v>168</v>
      </c>
      <c r="H93" s="62" t="s">
        <v>169</v>
      </c>
      <c r="I93" s="60" t="s">
        <v>170</v>
      </c>
      <c r="J93" s="6" t="s">
        <v>171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172</v>
      </c>
      <c r="E95" s="60" t="s">
        <v>173</v>
      </c>
      <c r="F95" s="60" t="s">
        <v>174</v>
      </c>
      <c r="G95" s="61" t="s">
        <v>174</v>
      </c>
      <c r="H95" s="62" t="s">
        <v>175</v>
      </c>
      <c r="I95" s="60" t="s">
        <v>175</v>
      </c>
      <c r="J95" s="6"/>
    </row>
    <row r="96" customHeight="1" spans="1:10">
      <c r="A96" s="64" t="s">
        <v>194</v>
      </c>
      <c r="B96" s="64" t="s">
        <v>227</v>
      </c>
      <c r="C96" s="65" t="s">
        <v>178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180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228</v>
      </c>
      <c r="C98" s="65" t="s">
        <v>178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180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184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185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186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188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229</v>
      </c>
      <c r="C104" s="65" t="s">
        <v>178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180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184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230</v>
      </c>
      <c r="C107" s="65" t="s">
        <v>178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180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184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185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231</v>
      </c>
      <c r="B111" s="80" t="s">
        <v>232</v>
      </c>
      <c r="C111" s="65" t="s">
        <v>178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180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184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185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1"/>
      <c r="B115" s="82"/>
      <c r="C115" s="65" t="s">
        <v>186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188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196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197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1"/>
      <c r="B119" s="82"/>
      <c r="C119" s="65" t="s">
        <v>198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199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1"/>
      <c r="B121" s="82"/>
      <c r="C121" s="65" t="s">
        <v>200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0</v>
      </c>
      <c r="J121" s="65"/>
    </row>
    <row r="122" customHeight="1" spans="1:10">
      <c r="A122" s="81"/>
      <c r="B122" s="82"/>
      <c r="C122" s="65" t="s">
        <v>201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202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203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204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205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206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207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209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210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211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3"/>
      <c r="B132" s="84"/>
      <c r="C132" s="65" t="s">
        <v>212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70</v>
      </c>
      <c r="B133" s="67"/>
      <c r="C133" s="15"/>
      <c r="D133" s="15"/>
      <c r="E133" s="68" t="s">
        <v>71</v>
      </c>
      <c r="F133" s="68"/>
      <c r="G133" s="69"/>
      <c r="H133" s="10" t="str">
        <f>H38</f>
        <v>制表时间：2023/1/4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161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44896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162</v>
      </c>
      <c r="B138" s="6" t="s">
        <v>163</v>
      </c>
      <c r="C138" s="6" t="s">
        <v>164</v>
      </c>
      <c r="D138" s="6" t="s">
        <v>165</v>
      </c>
      <c r="E138" s="60" t="s">
        <v>166</v>
      </c>
      <c r="F138" s="60" t="s">
        <v>167</v>
      </c>
      <c r="G138" s="61" t="s">
        <v>168</v>
      </c>
      <c r="H138" s="62" t="s">
        <v>169</v>
      </c>
      <c r="I138" s="60" t="s">
        <v>170</v>
      </c>
      <c r="J138" s="6" t="s">
        <v>171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172</v>
      </c>
      <c r="E140" s="60" t="s">
        <v>173</v>
      </c>
      <c r="F140" s="60" t="s">
        <v>174</v>
      </c>
      <c r="G140" s="61" t="s">
        <v>174</v>
      </c>
      <c r="H140" s="62" t="s">
        <v>175</v>
      </c>
      <c r="I140" s="60" t="s">
        <v>175</v>
      </c>
      <c r="J140" s="6"/>
    </row>
    <row r="141" customHeight="1" spans="1:10">
      <c r="A141" s="64" t="s">
        <v>231</v>
      </c>
      <c r="B141" s="64" t="s">
        <v>233</v>
      </c>
      <c r="C141" s="65" t="s">
        <v>213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214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215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216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217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218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234</v>
      </c>
      <c r="C147" s="65" t="s">
        <v>178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180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235</v>
      </c>
      <c r="C149" s="65" t="s">
        <v>178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180</v>
      </c>
      <c r="D150" s="65">
        <v>31</v>
      </c>
      <c r="E150" s="65">
        <v>24</v>
      </c>
      <c r="F150" s="65">
        <v>744</v>
      </c>
      <c r="G150" s="65">
        <v>539</v>
      </c>
      <c r="H150" s="66">
        <v>0.724462365591398</v>
      </c>
      <c r="I150" s="66">
        <v>1</v>
      </c>
      <c r="J150" s="65"/>
    </row>
    <row r="151" customHeight="1" spans="1:10">
      <c r="A151" s="65"/>
      <c r="B151" s="65"/>
      <c r="C151" s="65" t="s">
        <v>184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236</v>
      </c>
      <c r="C152" s="65" t="s">
        <v>178</v>
      </c>
      <c r="D152" s="65">
        <v>31</v>
      </c>
      <c r="E152" s="65">
        <v>24</v>
      </c>
      <c r="F152" s="65">
        <v>744</v>
      </c>
      <c r="G152" s="65">
        <v>548</v>
      </c>
      <c r="H152" s="66">
        <v>0.736559139784946</v>
      </c>
      <c r="I152" s="66">
        <v>1</v>
      </c>
      <c r="J152" s="65"/>
    </row>
    <row r="153" customHeight="1" spans="1:10">
      <c r="A153" s="65"/>
      <c r="B153" s="65"/>
      <c r="C153" s="65" t="s">
        <v>180</v>
      </c>
      <c r="D153" s="65">
        <v>31</v>
      </c>
      <c r="E153" s="65">
        <v>24</v>
      </c>
      <c r="F153" s="65">
        <v>744</v>
      </c>
      <c r="G153" s="65">
        <v>722</v>
      </c>
      <c r="H153" s="66">
        <v>0.970430107526882</v>
      </c>
      <c r="I153" s="66">
        <v>1</v>
      </c>
      <c r="J153" s="65"/>
    </row>
    <row r="154" customHeight="1" spans="1:10">
      <c r="A154" s="65"/>
      <c r="B154" s="65"/>
      <c r="C154" s="65" t="s">
        <v>184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237</v>
      </c>
      <c r="C155" s="88" t="s">
        <v>178</v>
      </c>
      <c r="D155" s="88">
        <v>31</v>
      </c>
      <c r="E155" s="88">
        <v>24</v>
      </c>
      <c r="F155" s="88">
        <v>744</v>
      </c>
      <c r="G155" s="88">
        <v>744</v>
      </c>
      <c r="H155" s="89">
        <v>1</v>
      </c>
      <c r="I155" s="89">
        <v>1</v>
      </c>
      <c r="J155" s="65"/>
    </row>
    <row r="156" customHeight="1" spans="1:10">
      <c r="A156" s="65"/>
      <c r="B156" s="88"/>
      <c r="C156" s="88" t="s">
        <v>180</v>
      </c>
      <c r="D156" s="88">
        <v>31</v>
      </c>
      <c r="E156" s="88">
        <v>24</v>
      </c>
      <c r="F156" s="88">
        <v>744</v>
      </c>
      <c r="G156" s="88">
        <v>744</v>
      </c>
      <c r="H156" s="89">
        <v>1</v>
      </c>
      <c r="I156" s="89">
        <v>1</v>
      </c>
      <c r="J156" s="65"/>
    </row>
    <row r="157" customHeight="1" spans="1:10">
      <c r="A157" s="65"/>
      <c r="B157" s="88"/>
      <c r="C157" s="88" t="s">
        <v>184</v>
      </c>
      <c r="D157" s="88">
        <v>31</v>
      </c>
      <c r="E157" s="88">
        <v>24</v>
      </c>
      <c r="F157" s="88">
        <v>744</v>
      </c>
      <c r="G157" s="88">
        <v>744</v>
      </c>
      <c r="H157" s="89">
        <v>1</v>
      </c>
      <c r="I157" s="89">
        <v>1</v>
      </c>
      <c r="J157" s="65"/>
    </row>
    <row r="158" customHeight="1" spans="1:10">
      <c r="A158" s="65"/>
      <c r="B158" s="88"/>
      <c r="C158" s="88" t="s">
        <v>185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186</v>
      </c>
      <c r="D159" s="88">
        <v>31</v>
      </c>
      <c r="E159" s="88">
        <v>24</v>
      </c>
      <c r="F159" s="88">
        <v>744</v>
      </c>
      <c r="G159" s="88">
        <v>744</v>
      </c>
      <c r="H159" s="89">
        <v>1</v>
      </c>
      <c r="I159" s="89">
        <v>1</v>
      </c>
      <c r="J159" s="65"/>
    </row>
    <row r="160" customHeight="1" spans="1:10">
      <c r="A160" s="65"/>
      <c r="B160" s="88"/>
      <c r="C160" s="88" t="s">
        <v>188</v>
      </c>
      <c r="D160" s="88">
        <v>31</v>
      </c>
      <c r="E160" s="88">
        <v>24</v>
      </c>
      <c r="F160" s="88">
        <v>744</v>
      </c>
      <c r="G160" s="88">
        <v>744</v>
      </c>
      <c r="H160" s="89">
        <v>1</v>
      </c>
      <c r="I160" s="89">
        <v>1</v>
      </c>
      <c r="J160" s="65"/>
    </row>
    <row r="161" customHeight="1" spans="1:10">
      <c r="A161" s="64" t="s">
        <v>238</v>
      </c>
      <c r="B161" s="64" t="s">
        <v>239</v>
      </c>
      <c r="C161" s="65" t="s">
        <v>178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180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184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185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186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188</v>
      </c>
      <c r="D166" s="65">
        <v>31</v>
      </c>
      <c r="E166" s="65">
        <v>24</v>
      </c>
      <c r="F166" s="65">
        <v>744</v>
      </c>
      <c r="G166" s="65">
        <v>744</v>
      </c>
      <c r="H166" s="66">
        <v>1</v>
      </c>
      <c r="I166" s="66">
        <v>1</v>
      </c>
      <c r="J166" s="65"/>
    </row>
    <row r="167" customHeight="1" spans="1:10">
      <c r="A167" s="65"/>
      <c r="B167" s="65"/>
      <c r="C167" s="65" t="s">
        <v>196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197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198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199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200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201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202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203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204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205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206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207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70</v>
      </c>
      <c r="B179" s="67"/>
      <c r="C179" s="15"/>
      <c r="D179" s="15"/>
      <c r="E179" s="68" t="s">
        <v>71</v>
      </c>
      <c r="F179" s="68"/>
      <c r="G179" s="69"/>
      <c r="H179" s="10" t="str">
        <f>H38</f>
        <v>制表时间：2023/1/4</v>
      </c>
      <c r="I179" s="10"/>
      <c r="J179" s="10"/>
    </row>
    <row r="180" ht="23" customHeight="1"/>
    <row r="181" ht="28" customHeight="1" spans="1:10">
      <c r="A181" s="57" t="s">
        <v>161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44896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162</v>
      </c>
      <c r="B183" s="6" t="s">
        <v>163</v>
      </c>
      <c r="C183" s="6" t="s">
        <v>164</v>
      </c>
      <c r="D183" s="6" t="s">
        <v>165</v>
      </c>
      <c r="E183" s="60" t="s">
        <v>166</v>
      </c>
      <c r="F183" s="60" t="s">
        <v>167</v>
      </c>
      <c r="G183" s="61" t="s">
        <v>168</v>
      </c>
      <c r="H183" s="62" t="s">
        <v>169</v>
      </c>
      <c r="I183" s="60" t="s">
        <v>170</v>
      </c>
      <c r="J183" s="6" t="s">
        <v>171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172</v>
      </c>
      <c r="E185" s="60" t="s">
        <v>173</v>
      </c>
      <c r="F185" s="60" t="s">
        <v>174</v>
      </c>
      <c r="G185" s="61" t="s">
        <v>174</v>
      </c>
      <c r="H185" s="62" t="s">
        <v>175</v>
      </c>
      <c r="I185" s="60" t="s">
        <v>175</v>
      </c>
      <c r="J185" s="6"/>
    </row>
    <row r="186" customHeight="1" spans="1:10">
      <c r="A186" s="64" t="s">
        <v>238</v>
      </c>
      <c r="B186" s="64" t="s">
        <v>239</v>
      </c>
      <c r="C186" s="65" t="s">
        <v>209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210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211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212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213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214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215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216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217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218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0</v>
      </c>
      <c r="J195" s="65"/>
    </row>
    <row r="196" customHeight="1" spans="1:10">
      <c r="A196" s="65"/>
      <c r="B196" s="65"/>
      <c r="C196" s="65" t="s">
        <v>219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220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/>
    </row>
    <row r="198" customHeight="1" spans="1:10">
      <c r="A198" s="65"/>
      <c r="B198" s="65"/>
      <c r="C198" s="65" t="s">
        <v>221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222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223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224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225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226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234</v>
      </c>
      <c r="C204" s="65" t="s">
        <v>184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185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236</v>
      </c>
      <c r="C206" s="65" t="s">
        <v>185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186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188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237</v>
      </c>
      <c r="C209" s="65" t="s">
        <v>178</v>
      </c>
      <c r="D209" s="65">
        <v>31</v>
      </c>
      <c r="E209" s="65">
        <v>24</v>
      </c>
      <c r="F209" s="65">
        <v>744</v>
      </c>
      <c r="G209" s="65">
        <v>688</v>
      </c>
      <c r="H209" s="66">
        <v>0.924731182795699</v>
      </c>
      <c r="I209" s="66">
        <v>1</v>
      </c>
      <c r="J209" s="65"/>
    </row>
    <row r="210" customHeight="1" spans="1:10">
      <c r="A210" s="65"/>
      <c r="B210" s="65"/>
      <c r="C210" s="65" t="s">
        <v>180</v>
      </c>
      <c r="D210" s="65">
        <v>31</v>
      </c>
      <c r="E210" s="65">
        <v>24</v>
      </c>
      <c r="F210" s="65">
        <v>744</v>
      </c>
      <c r="G210" s="65">
        <v>744</v>
      </c>
      <c r="H210" s="66">
        <v>1</v>
      </c>
      <c r="I210" s="66">
        <v>1</v>
      </c>
      <c r="J210" s="65"/>
    </row>
    <row r="211" customHeight="1" spans="1:10">
      <c r="A211" s="65"/>
      <c r="B211" s="65"/>
      <c r="C211" s="65" t="s">
        <v>184</v>
      </c>
      <c r="D211" s="65">
        <v>31</v>
      </c>
      <c r="E211" s="65">
        <v>24</v>
      </c>
      <c r="F211" s="65">
        <v>744</v>
      </c>
      <c r="G211" s="65">
        <v>632</v>
      </c>
      <c r="H211" s="66">
        <v>0.849462365591398</v>
      </c>
      <c r="I211" s="66">
        <v>1</v>
      </c>
      <c r="J211" s="65"/>
    </row>
    <row r="212" customHeight="1" spans="1:10">
      <c r="A212" s="65"/>
      <c r="B212" s="65"/>
      <c r="C212" s="65" t="s">
        <v>185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186</v>
      </c>
      <c r="D213" s="65">
        <v>31</v>
      </c>
      <c r="E213" s="65">
        <v>24</v>
      </c>
      <c r="F213" s="65">
        <v>744</v>
      </c>
      <c r="G213" s="65">
        <v>744</v>
      </c>
      <c r="H213" s="66">
        <v>1</v>
      </c>
      <c r="I213" s="66">
        <v>1</v>
      </c>
      <c r="J213" s="65"/>
    </row>
    <row r="214" customHeight="1" spans="1:10">
      <c r="A214" s="65"/>
      <c r="B214" s="65"/>
      <c r="C214" s="65" t="s">
        <v>188</v>
      </c>
      <c r="D214" s="65">
        <v>31</v>
      </c>
      <c r="E214" s="65">
        <v>24</v>
      </c>
      <c r="F214" s="65">
        <v>744</v>
      </c>
      <c r="G214" s="65">
        <v>592</v>
      </c>
      <c r="H214" s="66">
        <v>0.795698924731183</v>
      </c>
      <c r="I214" s="66">
        <v>1</v>
      </c>
      <c r="J214" s="65"/>
    </row>
    <row r="215" customHeight="1" spans="1:10">
      <c r="A215" s="80" t="s">
        <v>240</v>
      </c>
      <c r="B215" s="64" t="s">
        <v>241</v>
      </c>
      <c r="C215" s="65" t="s">
        <v>178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180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184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/>
    </row>
    <row r="218" customHeight="1" spans="1:10">
      <c r="A218" s="81"/>
      <c r="B218" s="65"/>
      <c r="C218" s="65" t="s">
        <v>185</v>
      </c>
      <c r="D218" s="65">
        <v>31</v>
      </c>
      <c r="E218" s="65">
        <v>24</v>
      </c>
      <c r="F218" s="65">
        <v>744</v>
      </c>
      <c r="G218" s="65">
        <v>434</v>
      </c>
      <c r="H218" s="66">
        <v>0.583333333333333</v>
      </c>
      <c r="I218" s="66">
        <v>1</v>
      </c>
      <c r="J218" s="65"/>
    </row>
    <row r="219" customHeight="1" spans="1:10">
      <c r="A219" s="81"/>
      <c r="B219" s="64" t="s">
        <v>242</v>
      </c>
      <c r="C219" s="65" t="s">
        <v>178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/>
    </row>
    <row r="220" customHeight="1" spans="1:10">
      <c r="A220" s="81"/>
      <c r="B220" s="65"/>
      <c r="C220" s="65" t="s">
        <v>180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66">
        <v>1</v>
      </c>
      <c r="J220" s="5"/>
    </row>
    <row r="221" customHeight="1" spans="1:10">
      <c r="A221" s="81"/>
      <c r="B221" s="65"/>
      <c r="C221" s="65" t="s">
        <v>184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66">
        <v>1</v>
      </c>
      <c r="J221" s="5"/>
    </row>
    <row r="222" ht="14.25" spans="1:10">
      <c r="A222" s="83"/>
      <c r="B222" s="65"/>
      <c r="C222" s="65" t="s">
        <v>185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/>
    </row>
    <row r="223" customHeight="1" spans="1:10">
      <c r="A223" s="67" t="s">
        <v>70</v>
      </c>
      <c r="B223" s="67"/>
      <c r="C223" s="15"/>
      <c r="D223" s="15"/>
      <c r="E223" s="68" t="s">
        <v>71</v>
      </c>
      <c r="F223" s="68"/>
      <c r="G223" s="69"/>
      <c r="H223" s="10" t="str">
        <f>H38</f>
        <v>制表时间：2023/1/4</v>
      </c>
      <c r="I223" s="10"/>
      <c r="J223" s="10"/>
    </row>
    <row r="224" ht="17" customHeight="1"/>
    <row r="225" ht="16" customHeight="1"/>
    <row r="226" ht="30" customHeight="1" spans="1:10">
      <c r="A226" s="57" t="s">
        <v>161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44896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162</v>
      </c>
      <c r="B228" s="6" t="s">
        <v>163</v>
      </c>
      <c r="C228" s="6" t="s">
        <v>164</v>
      </c>
      <c r="D228" s="6" t="s">
        <v>165</v>
      </c>
      <c r="E228" s="60" t="s">
        <v>166</v>
      </c>
      <c r="F228" s="60" t="s">
        <v>167</v>
      </c>
      <c r="G228" s="61" t="s">
        <v>168</v>
      </c>
      <c r="H228" s="62" t="s">
        <v>169</v>
      </c>
      <c r="I228" s="60" t="s">
        <v>170</v>
      </c>
      <c r="J228" s="6" t="s">
        <v>171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172</v>
      </c>
      <c r="E230" s="60" t="s">
        <v>173</v>
      </c>
      <c r="F230" s="60" t="s">
        <v>174</v>
      </c>
      <c r="G230" s="61" t="s">
        <v>174</v>
      </c>
      <c r="H230" s="62" t="s">
        <v>175</v>
      </c>
      <c r="I230" s="60" t="s">
        <v>175</v>
      </c>
      <c r="J230" s="6"/>
    </row>
    <row r="231" customHeight="1" spans="1:10">
      <c r="A231" s="64" t="s">
        <v>240</v>
      </c>
      <c r="B231" s="64" t="s">
        <v>243</v>
      </c>
      <c r="C231" s="65" t="s">
        <v>178</v>
      </c>
      <c r="D231" s="65">
        <v>31</v>
      </c>
      <c r="E231" s="65">
        <v>24</v>
      </c>
      <c r="F231" s="65">
        <v>744</v>
      </c>
      <c r="G231" s="65">
        <v>20</v>
      </c>
      <c r="H231" s="66">
        <v>0.0268817204301075</v>
      </c>
      <c r="I231" s="66">
        <v>1</v>
      </c>
      <c r="J231" s="65"/>
    </row>
    <row r="232" customHeight="1" spans="1:10">
      <c r="A232" s="64"/>
      <c r="B232" s="65"/>
      <c r="C232" s="65" t="s">
        <v>180</v>
      </c>
      <c r="D232" s="65">
        <v>31</v>
      </c>
      <c r="E232" s="65">
        <v>24</v>
      </c>
      <c r="F232" s="65">
        <v>744</v>
      </c>
      <c r="G232" s="65">
        <v>20</v>
      </c>
      <c r="H232" s="66">
        <v>0.0268817204301075</v>
      </c>
      <c r="I232" s="66">
        <v>1</v>
      </c>
      <c r="J232" s="65"/>
    </row>
    <row r="233" customHeight="1" spans="1:10">
      <c r="A233" s="64"/>
      <c r="B233" s="65"/>
      <c r="C233" s="65" t="s">
        <v>184</v>
      </c>
      <c r="D233" s="65">
        <v>31</v>
      </c>
      <c r="E233" s="65">
        <v>24</v>
      </c>
      <c r="F233" s="65">
        <v>744</v>
      </c>
      <c r="G233" s="65">
        <v>20</v>
      </c>
      <c r="H233" s="66">
        <v>0.0268817204301075</v>
      </c>
      <c r="I233" s="66">
        <v>1</v>
      </c>
      <c r="J233" s="65"/>
    </row>
    <row r="234" customHeight="1" spans="1:10">
      <c r="A234" s="64"/>
      <c r="B234" s="65"/>
      <c r="C234" s="65" t="s">
        <v>185</v>
      </c>
      <c r="D234" s="65">
        <v>31</v>
      </c>
      <c r="E234" s="65">
        <v>24</v>
      </c>
      <c r="F234" s="65">
        <v>744</v>
      </c>
      <c r="G234" s="65">
        <v>20</v>
      </c>
      <c r="H234" s="66">
        <v>0.0268817204301075</v>
      </c>
      <c r="I234" s="66">
        <v>1</v>
      </c>
      <c r="J234" s="65"/>
    </row>
    <row r="235" customHeight="1" spans="1:10">
      <c r="A235" s="64"/>
      <c r="B235" s="64" t="s">
        <v>244</v>
      </c>
      <c r="C235" s="65" t="s">
        <v>178</v>
      </c>
      <c r="D235" s="65">
        <v>31</v>
      </c>
      <c r="E235" s="65">
        <v>24</v>
      </c>
      <c r="F235" s="65">
        <v>744</v>
      </c>
      <c r="G235" s="65">
        <v>44</v>
      </c>
      <c r="H235" s="66">
        <v>0.0591397849462366</v>
      </c>
      <c r="I235" s="66">
        <v>1</v>
      </c>
      <c r="J235" s="65"/>
    </row>
    <row r="236" customHeight="1" spans="1:10">
      <c r="A236" s="64"/>
      <c r="B236" s="65"/>
      <c r="C236" s="65" t="s">
        <v>180</v>
      </c>
      <c r="D236" s="65">
        <v>31</v>
      </c>
      <c r="E236" s="65">
        <v>24</v>
      </c>
      <c r="F236" s="65">
        <v>744</v>
      </c>
      <c r="G236" s="65">
        <v>44</v>
      </c>
      <c r="H236" s="66">
        <v>0.0591397849462366</v>
      </c>
      <c r="I236" s="66">
        <v>1</v>
      </c>
      <c r="J236" s="65"/>
    </row>
    <row r="237" customHeight="1" spans="1:10">
      <c r="A237" s="64"/>
      <c r="B237" s="65"/>
      <c r="C237" s="65" t="s">
        <v>184</v>
      </c>
      <c r="D237" s="65">
        <v>31</v>
      </c>
      <c r="E237" s="65">
        <v>24</v>
      </c>
      <c r="F237" s="65">
        <v>744</v>
      </c>
      <c r="G237" s="65">
        <v>44</v>
      </c>
      <c r="H237" s="66">
        <v>0.0591397849462366</v>
      </c>
      <c r="I237" s="66">
        <v>1</v>
      </c>
      <c r="J237" s="65"/>
    </row>
    <row r="238" customHeight="1" spans="1:10">
      <c r="A238" s="64"/>
      <c r="B238" s="65"/>
      <c r="C238" s="65" t="s">
        <v>185</v>
      </c>
      <c r="D238" s="65">
        <v>31</v>
      </c>
      <c r="E238" s="65">
        <v>24</v>
      </c>
      <c r="F238" s="65">
        <v>744</v>
      </c>
      <c r="G238" s="65">
        <v>44</v>
      </c>
      <c r="H238" s="66">
        <v>0.0591397849462366</v>
      </c>
      <c r="I238" s="66">
        <v>1</v>
      </c>
      <c r="J238" s="65"/>
    </row>
    <row r="239" customHeight="1" spans="1:10">
      <c r="A239" s="64"/>
      <c r="B239" s="65"/>
      <c r="C239" s="65" t="s">
        <v>186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188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245</v>
      </c>
      <c r="C241" s="65" t="s">
        <v>178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180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184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185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246</v>
      </c>
      <c r="C245" s="65" t="s">
        <v>178</v>
      </c>
      <c r="D245" s="65">
        <v>31</v>
      </c>
      <c r="E245" s="65">
        <v>24</v>
      </c>
      <c r="F245" s="65">
        <v>744</v>
      </c>
      <c r="G245" s="65">
        <v>60</v>
      </c>
      <c r="H245" s="66">
        <v>0.0806451612903226</v>
      </c>
      <c r="I245" s="66">
        <v>1</v>
      </c>
      <c r="J245" s="65"/>
    </row>
    <row r="246" customHeight="1" spans="1:10">
      <c r="A246" s="64"/>
      <c r="B246" s="65"/>
      <c r="C246" s="65" t="s">
        <v>180</v>
      </c>
      <c r="D246" s="65">
        <v>31</v>
      </c>
      <c r="E246" s="65">
        <v>24</v>
      </c>
      <c r="F246" s="65">
        <v>744</v>
      </c>
      <c r="G246" s="65">
        <v>60</v>
      </c>
      <c r="H246" s="66">
        <v>0.0806451612903226</v>
      </c>
      <c r="I246" s="66">
        <v>1</v>
      </c>
      <c r="J246" s="65"/>
    </row>
    <row r="247" customHeight="1" spans="1:10">
      <c r="A247" s="64"/>
      <c r="B247" s="65"/>
      <c r="C247" s="65" t="s">
        <v>184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185</v>
      </c>
      <c r="D248" s="65">
        <v>31</v>
      </c>
      <c r="E248" s="65">
        <v>24</v>
      </c>
      <c r="F248" s="65">
        <v>744</v>
      </c>
      <c r="G248" s="65">
        <v>18</v>
      </c>
      <c r="H248" s="66">
        <v>0.0241935483870968</v>
      </c>
      <c r="I248" s="66">
        <v>1</v>
      </c>
      <c r="J248" s="65"/>
    </row>
    <row r="249" customHeight="1" spans="1:10">
      <c r="A249" s="64"/>
      <c r="B249" s="65"/>
      <c r="C249" s="65" t="s">
        <v>186</v>
      </c>
      <c r="D249" s="65">
        <v>31</v>
      </c>
      <c r="E249" s="65">
        <v>24</v>
      </c>
      <c r="F249" s="65">
        <v>744</v>
      </c>
      <c r="G249" s="65">
        <v>18</v>
      </c>
      <c r="H249" s="66">
        <v>0.0241935483870968</v>
      </c>
      <c r="I249" s="66">
        <v>1</v>
      </c>
      <c r="J249" s="65"/>
    </row>
    <row r="250" customHeight="1" spans="1:10">
      <c r="A250" s="64"/>
      <c r="B250" s="65"/>
      <c r="C250" s="65" t="s">
        <v>188</v>
      </c>
      <c r="D250" s="65">
        <v>31</v>
      </c>
      <c r="E250" s="65">
        <v>24</v>
      </c>
      <c r="F250" s="65">
        <v>744</v>
      </c>
      <c r="G250" s="65">
        <v>0</v>
      </c>
      <c r="H250" s="66">
        <v>0</v>
      </c>
      <c r="I250" s="66">
        <v>1</v>
      </c>
      <c r="J250" s="65"/>
    </row>
    <row r="251" customHeight="1" spans="1:10">
      <c r="A251" s="64"/>
      <c r="B251" s="64" t="s">
        <v>247</v>
      </c>
      <c r="C251" s="65" t="s">
        <v>178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180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184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185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186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188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196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197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248</v>
      </c>
      <c r="C259" s="65" t="s">
        <v>178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/>
    </row>
    <row r="260" customHeight="1" spans="1:10">
      <c r="A260" s="64"/>
      <c r="B260" s="5"/>
      <c r="C260" s="65" t="s">
        <v>180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/>
    </row>
    <row r="261" customHeight="1" spans="1:10">
      <c r="A261" s="64"/>
      <c r="B261" s="5"/>
      <c r="C261" s="65" t="s">
        <v>184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/>
    </row>
    <row r="262" customHeight="1" spans="1:10">
      <c r="A262" s="64"/>
      <c r="B262" s="6" t="s">
        <v>249</v>
      </c>
      <c r="C262" s="65" t="s">
        <v>178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 t="s">
        <v>250</v>
      </c>
    </row>
    <row r="263" customHeight="1" spans="1:10">
      <c r="A263" s="64"/>
      <c r="B263" s="5"/>
      <c r="C263" s="65" t="s">
        <v>180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 t="s">
        <v>250</v>
      </c>
    </row>
    <row r="264" customHeight="1" spans="1:10">
      <c r="A264" s="64"/>
      <c r="B264" s="5"/>
      <c r="C264" s="65" t="s">
        <v>184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 t="s">
        <v>250</v>
      </c>
    </row>
    <row r="265" customHeight="1" spans="1:10">
      <c r="A265" s="64"/>
      <c r="B265" s="5"/>
      <c r="C265" s="65" t="s">
        <v>185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 t="s">
        <v>250</v>
      </c>
    </row>
    <row r="266" customHeight="1" spans="1:10">
      <c r="A266" s="64"/>
      <c r="B266" s="5"/>
      <c r="C266" s="65" t="s">
        <v>186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 t="s">
        <v>250</v>
      </c>
    </row>
    <row r="267" ht="19" customHeight="1" spans="1:10">
      <c r="A267" s="67" t="s">
        <v>70</v>
      </c>
      <c r="B267" s="67"/>
      <c r="C267" s="15"/>
      <c r="D267" s="15"/>
      <c r="E267" s="68" t="s">
        <v>71</v>
      </c>
      <c r="F267" s="68"/>
      <c r="G267" s="69"/>
      <c r="H267" s="10" t="str">
        <f>H38</f>
        <v>制表时间：2023/1/4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161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44896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162</v>
      </c>
      <c r="B271" s="6" t="s">
        <v>163</v>
      </c>
      <c r="C271" s="6" t="s">
        <v>164</v>
      </c>
      <c r="D271" s="6" t="s">
        <v>165</v>
      </c>
      <c r="E271" s="60" t="s">
        <v>166</v>
      </c>
      <c r="F271" s="60" t="s">
        <v>167</v>
      </c>
      <c r="G271" s="61" t="s">
        <v>168</v>
      </c>
      <c r="H271" s="62" t="s">
        <v>169</v>
      </c>
      <c r="I271" s="60" t="s">
        <v>170</v>
      </c>
      <c r="J271" s="6" t="s">
        <v>171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172</v>
      </c>
      <c r="E273" s="60" t="s">
        <v>173</v>
      </c>
      <c r="F273" s="60" t="s">
        <v>174</v>
      </c>
      <c r="G273" s="61" t="s">
        <v>174</v>
      </c>
      <c r="H273" s="62" t="s">
        <v>175</v>
      </c>
      <c r="I273" s="60" t="s">
        <v>175</v>
      </c>
      <c r="J273" s="6"/>
    </row>
    <row r="274" customHeight="1" spans="1:10">
      <c r="A274" s="64" t="s">
        <v>240</v>
      </c>
      <c r="B274" s="64" t="s">
        <v>249</v>
      </c>
      <c r="C274" s="65" t="s">
        <v>188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 t="s">
        <v>250</v>
      </c>
    </row>
    <row r="275" customHeight="1" spans="1:10">
      <c r="A275" s="65"/>
      <c r="B275" s="64"/>
      <c r="C275" s="65" t="s">
        <v>196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 t="s">
        <v>250</v>
      </c>
    </row>
    <row r="276" customHeight="1" spans="1:10">
      <c r="A276" s="65"/>
      <c r="B276" s="64"/>
      <c r="C276" s="65" t="s">
        <v>197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 t="s">
        <v>250</v>
      </c>
    </row>
    <row r="277" customHeight="1" spans="1:10">
      <c r="A277" s="65"/>
      <c r="B277" s="64" t="s">
        <v>251</v>
      </c>
      <c r="C277" s="65" t="s">
        <v>198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 t="s">
        <v>250</v>
      </c>
    </row>
    <row r="278" customHeight="1" spans="1:10">
      <c r="A278" s="65"/>
      <c r="B278" s="65"/>
      <c r="C278" s="65" t="s">
        <v>199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 t="s">
        <v>250</v>
      </c>
    </row>
    <row r="279" ht="17" customHeight="1" spans="1:10">
      <c r="A279" s="65"/>
      <c r="B279" s="65"/>
      <c r="C279" s="65" t="s">
        <v>200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 t="s">
        <v>250</v>
      </c>
    </row>
    <row r="280" customHeight="1" spans="1:10">
      <c r="A280" s="65"/>
      <c r="B280" s="65"/>
      <c r="C280" s="65" t="s">
        <v>201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 t="s">
        <v>250</v>
      </c>
    </row>
    <row r="281" customHeight="1" spans="1:10">
      <c r="A281" s="65"/>
      <c r="B281" s="65"/>
      <c r="C281" s="65" t="s">
        <v>202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 t="s">
        <v>250</v>
      </c>
    </row>
    <row r="282" customHeight="1" spans="1:10">
      <c r="A282" s="65"/>
      <c r="B282" s="65"/>
      <c r="C282" s="65" t="s">
        <v>203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 t="s">
        <v>250</v>
      </c>
    </row>
    <row r="283" customHeight="1" spans="1:10">
      <c r="A283" s="65"/>
      <c r="B283" s="65"/>
      <c r="C283" s="65" t="s">
        <v>204</v>
      </c>
      <c r="D283" s="65">
        <v>31</v>
      </c>
      <c r="E283" s="65">
        <v>24</v>
      </c>
      <c r="F283" s="65">
        <v>744</v>
      </c>
      <c r="G283" s="65">
        <v>743</v>
      </c>
      <c r="H283" s="66">
        <v>0.99</v>
      </c>
      <c r="I283" s="66">
        <v>0.99</v>
      </c>
      <c r="J283" s="65" t="s">
        <v>252</v>
      </c>
    </row>
    <row r="284" customHeight="1" spans="1:10">
      <c r="A284" s="65"/>
      <c r="B284" s="65"/>
      <c r="C284" s="65" t="s">
        <v>205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 t="s">
        <v>250</v>
      </c>
    </row>
    <row r="285" customHeight="1" spans="1:10">
      <c r="A285" s="65"/>
      <c r="B285" s="65" t="s">
        <v>253</v>
      </c>
      <c r="C285" s="65" t="s">
        <v>178</v>
      </c>
      <c r="D285" s="65">
        <v>31</v>
      </c>
      <c r="E285" s="65">
        <v>24</v>
      </c>
      <c r="F285" s="65">
        <v>744</v>
      </c>
      <c r="G285" s="65">
        <v>46.2</v>
      </c>
      <c r="H285" s="66">
        <v>0.0620967741935484</v>
      </c>
      <c r="I285" s="66">
        <v>1</v>
      </c>
      <c r="J285" s="65"/>
    </row>
    <row r="286" customHeight="1" spans="1:10">
      <c r="A286" s="65"/>
      <c r="B286" s="65"/>
      <c r="C286" s="65" t="s">
        <v>180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184</v>
      </c>
      <c r="D287" s="65">
        <v>31</v>
      </c>
      <c r="E287" s="65">
        <v>24</v>
      </c>
      <c r="F287" s="65">
        <v>744</v>
      </c>
      <c r="G287" s="65">
        <v>45.3</v>
      </c>
      <c r="H287" s="66">
        <v>0.0608870967741936</v>
      </c>
      <c r="I287" s="66">
        <v>1</v>
      </c>
      <c r="J287" s="65"/>
    </row>
    <row r="288" customHeight="1" spans="1:10">
      <c r="A288" s="65"/>
      <c r="B288" s="65" t="s">
        <v>254</v>
      </c>
      <c r="C288" s="65" t="s">
        <v>178</v>
      </c>
      <c r="D288" s="65">
        <v>31</v>
      </c>
      <c r="E288" s="65">
        <v>24</v>
      </c>
      <c r="F288" s="65">
        <v>744</v>
      </c>
      <c r="G288" s="65">
        <v>36.8</v>
      </c>
      <c r="H288" s="66">
        <v>0.0494623655913979</v>
      </c>
      <c r="I288" s="66">
        <v>1</v>
      </c>
      <c r="J288" s="65"/>
    </row>
    <row r="289" customHeight="1" spans="1:10">
      <c r="A289" s="65"/>
      <c r="B289" s="65"/>
      <c r="C289" s="65" t="s">
        <v>180</v>
      </c>
      <c r="D289" s="65">
        <v>31</v>
      </c>
      <c r="E289" s="65">
        <v>24</v>
      </c>
      <c r="F289" s="65">
        <v>744</v>
      </c>
      <c r="G289" s="65">
        <v>35.36</v>
      </c>
      <c r="H289" s="66">
        <v>0.0475268817204301</v>
      </c>
      <c r="I289" s="66">
        <v>1</v>
      </c>
      <c r="J289" s="65"/>
    </row>
    <row r="290" customHeight="1" spans="1:10">
      <c r="A290" s="65"/>
      <c r="B290" s="65"/>
      <c r="C290" s="65" t="s">
        <v>184</v>
      </c>
      <c r="D290" s="65">
        <v>31</v>
      </c>
      <c r="E290" s="65">
        <v>24</v>
      </c>
      <c r="F290" s="65">
        <v>744</v>
      </c>
      <c r="G290" s="65">
        <v>36.9</v>
      </c>
      <c r="H290" s="66">
        <v>0.0495967741935484</v>
      </c>
      <c r="I290" s="66">
        <v>1</v>
      </c>
      <c r="J290" s="65"/>
    </row>
    <row r="291" ht="17" customHeight="1" spans="1:10">
      <c r="A291" s="64" t="s">
        <v>255</v>
      </c>
      <c r="B291" s="80" t="s">
        <v>256</v>
      </c>
      <c r="C291" s="65" t="s">
        <v>178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2"/>
      <c r="C292" s="65" t="s">
        <v>180</v>
      </c>
      <c r="D292" s="65">
        <v>31</v>
      </c>
      <c r="E292" s="65">
        <v>24</v>
      </c>
      <c r="F292" s="65">
        <v>744</v>
      </c>
      <c r="G292" s="65">
        <v>744</v>
      </c>
      <c r="H292" s="66">
        <v>1</v>
      </c>
      <c r="I292" s="66">
        <v>1</v>
      </c>
      <c r="J292" s="65"/>
    </row>
    <row r="293" customHeight="1" spans="1:10">
      <c r="A293" s="65"/>
      <c r="B293" s="82"/>
      <c r="C293" s="65" t="s">
        <v>184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/>
    </row>
    <row r="294" customHeight="1" spans="1:10">
      <c r="A294" s="65"/>
      <c r="B294" s="82"/>
      <c r="C294" s="65" t="s">
        <v>185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/>
    </row>
    <row r="295" customHeight="1" spans="1:10">
      <c r="A295" s="65"/>
      <c r="B295" s="82"/>
      <c r="C295" s="65" t="s">
        <v>186</v>
      </c>
      <c r="D295" s="65">
        <v>31</v>
      </c>
      <c r="E295" s="65">
        <v>24</v>
      </c>
      <c r="F295" s="65">
        <v>744</v>
      </c>
      <c r="G295" s="65">
        <v>744</v>
      </c>
      <c r="H295" s="66">
        <v>1</v>
      </c>
      <c r="I295" s="66">
        <v>1</v>
      </c>
      <c r="J295" s="65"/>
    </row>
    <row r="296" customHeight="1" spans="1:10">
      <c r="A296" s="65"/>
      <c r="B296" s="82"/>
      <c r="C296" s="65" t="s">
        <v>188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1</v>
      </c>
      <c r="J296" s="65"/>
    </row>
    <row r="297" customHeight="1" spans="1:10">
      <c r="A297" s="65"/>
      <c r="B297" s="82"/>
      <c r="C297" s="65" t="s">
        <v>196</v>
      </c>
      <c r="D297" s="65">
        <v>31</v>
      </c>
      <c r="E297" s="65">
        <v>24</v>
      </c>
      <c r="F297" s="65">
        <v>744</v>
      </c>
      <c r="G297" s="65">
        <v>256</v>
      </c>
      <c r="H297" s="66">
        <v>0.344086021505376</v>
      </c>
      <c r="I297" s="66">
        <v>1</v>
      </c>
      <c r="J297" s="65"/>
    </row>
    <row r="298" customHeight="1" spans="1:10">
      <c r="A298" s="65"/>
      <c r="B298" s="84"/>
      <c r="C298" s="65" t="s">
        <v>197</v>
      </c>
      <c r="D298" s="65">
        <v>31</v>
      </c>
      <c r="E298" s="65">
        <v>24</v>
      </c>
      <c r="F298" s="65">
        <v>744</v>
      </c>
      <c r="G298" s="65">
        <v>168</v>
      </c>
      <c r="H298" s="66">
        <v>0.225806451612903</v>
      </c>
      <c r="I298" s="66">
        <v>1</v>
      </c>
      <c r="J298" s="65"/>
    </row>
    <row r="299" customHeight="1" spans="1:10">
      <c r="A299" s="65"/>
      <c r="B299" s="80" t="s">
        <v>257</v>
      </c>
      <c r="C299" s="65" t="s">
        <v>198</v>
      </c>
      <c r="D299" s="65">
        <v>31</v>
      </c>
      <c r="E299" s="65">
        <v>24</v>
      </c>
      <c r="F299" s="65">
        <v>744</v>
      </c>
      <c r="G299" s="65">
        <v>330</v>
      </c>
      <c r="H299" s="66">
        <v>0.443548387096774</v>
      </c>
      <c r="I299" s="66">
        <v>1</v>
      </c>
      <c r="J299" s="65"/>
    </row>
    <row r="300" customHeight="1" spans="1:10">
      <c r="A300" s="65"/>
      <c r="B300" s="82"/>
      <c r="C300" s="65" t="s">
        <v>199</v>
      </c>
      <c r="D300" s="65">
        <v>31</v>
      </c>
      <c r="E300" s="65">
        <v>24</v>
      </c>
      <c r="F300" s="65">
        <v>744</v>
      </c>
      <c r="G300" s="65">
        <v>120</v>
      </c>
      <c r="H300" s="66">
        <v>0.161290322580645</v>
      </c>
      <c r="I300" s="66">
        <v>1</v>
      </c>
      <c r="J300" s="65"/>
    </row>
    <row r="301" customHeight="1" spans="1:10">
      <c r="A301" s="65"/>
      <c r="B301" s="82"/>
      <c r="C301" s="65" t="s">
        <v>200</v>
      </c>
      <c r="D301" s="65">
        <v>31</v>
      </c>
      <c r="E301" s="65">
        <v>24</v>
      </c>
      <c r="F301" s="65">
        <v>744</v>
      </c>
      <c r="G301" s="65">
        <v>120</v>
      </c>
      <c r="H301" s="66">
        <v>0.161290322580645</v>
      </c>
      <c r="I301" s="66">
        <v>1</v>
      </c>
      <c r="J301" s="65"/>
    </row>
    <row r="302" customHeight="1" spans="1:10">
      <c r="A302" s="65"/>
      <c r="B302" s="82"/>
      <c r="C302" s="65" t="s">
        <v>201</v>
      </c>
      <c r="D302" s="65">
        <v>31</v>
      </c>
      <c r="E302" s="65">
        <v>24</v>
      </c>
      <c r="F302" s="65">
        <v>744</v>
      </c>
      <c r="G302" s="65">
        <v>668</v>
      </c>
      <c r="H302" s="66">
        <v>0.897849462365591</v>
      </c>
      <c r="I302" s="66">
        <v>1</v>
      </c>
      <c r="J302" s="65"/>
    </row>
    <row r="303" customHeight="1" spans="1:10">
      <c r="A303" s="65"/>
      <c r="B303" s="5" t="s">
        <v>258</v>
      </c>
      <c r="C303" s="65" t="s">
        <v>178</v>
      </c>
      <c r="D303" s="65">
        <v>31</v>
      </c>
      <c r="E303" s="65">
        <v>24</v>
      </c>
      <c r="F303" s="65">
        <v>744</v>
      </c>
      <c r="G303" s="65">
        <v>692</v>
      </c>
      <c r="H303" s="66">
        <v>0.93</v>
      </c>
      <c r="I303" s="66">
        <v>1</v>
      </c>
      <c r="J303" s="65" t="s">
        <v>259</v>
      </c>
    </row>
    <row r="304" customHeight="1" spans="1:10">
      <c r="A304" s="65"/>
      <c r="B304" s="5"/>
      <c r="C304" s="65" t="s">
        <v>180</v>
      </c>
      <c r="D304" s="65">
        <v>31</v>
      </c>
      <c r="E304" s="65">
        <v>24</v>
      </c>
      <c r="F304" s="65">
        <v>744</v>
      </c>
      <c r="G304" s="65">
        <v>52</v>
      </c>
      <c r="H304" s="66">
        <v>0.0698924731182796</v>
      </c>
      <c r="I304" s="66">
        <v>1</v>
      </c>
      <c r="J304" s="65"/>
    </row>
    <row r="305" customHeight="1" spans="1:10">
      <c r="A305" s="65"/>
      <c r="B305" s="5"/>
      <c r="C305" s="65" t="s">
        <v>184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260</v>
      </c>
      <c r="B306" s="65" t="s">
        <v>261</v>
      </c>
      <c r="C306" s="65" t="s">
        <v>178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180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262</v>
      </c>
      <c r="C308" s="65" t="s">
        <v>178</v>
      </c>
      <c r="D308" s="65">
        <v>31</v>
      </c>
      <c r="E308" s="65">
        <v>24</v>
      </c>
      <c r="F308" s="65">
        <v>744</v>
      </c>
      <c r="G308" s="65">
        <v>288</v>
      </c>
      <c r="H308" s="66">
        <v>0.387096774193548</v>
      </c>
      <c r="I308" s="66">
        <v>1</v>
      </c>
      <c r="J308" s="65"/>
    </row>
    <row r="309" customHeight="1" spans="1:10">
      <c r="A309" s="65"/>
      <c r="B309" s="65"/>
      <c r="C309" s="65" t="s">
        <v>180</v>
      </c>
      <c r="D309" s="65">
        <v>31</v>
      </c>
      <c r="E309" s="65">
        <v>24</v>
      </c>
      <c r="F309" s="65">
        <v>744</v>
      </c>
      <c r="G309" s="65">
        <v>456</v>
      </c>
      <c r="H309" s="66">
        <v>0.612903225806452</v>
      </c>
      <c r="I309" s="66">
        <v>0.99</v>
      </c>
      <c r="J309" s="65" t="s">
        <v>263</v>
      </c>
    </row>
    <row r="310" customHeight="1" spans="1:10">
      <c r="A310" s="65"/>
      <c r="B310" s="65"/>
      <c r="C310" s="65" t="s">
        <v>184</v>
      </c>
      <c r="D310" s="65">
        <v>31</v>
      </c>
      <c r="E310" s="65">
        <v>24</v>
      </c>
      <c r="F310" s="65">
        <v>744</v>
      </c>
      <c r="G310" s="65">
        <v>0</v>
      </c>
      <c r="H310" s="66">
        <v>0</v>
      </c>
      <c r="I310" s="66">
        <v>1</v>
      </c>
      <c r="J310" s="65"/>
    </row>
    <row r="311" ht="18" customHeight="1" spans="1:10">
      <c r="A311" s="65"/>
      <c r="B311" s="65" t="s">
        <v>264</v>
      </c>
      <c r="C311" s="65" t="s">
        <v>178</v>
      </c>
      <c r="D311" s="65">
        <v>31</v>
      </c>
      <c r="E311" s="65">
        <v>24</v>
      </c>
      <c r="F311" s="65">
        <v>744</v>
      </c>
      <c r="G311" s="65">
        <v>744</v>
      </c>
      <c r="H311" s="66">
        <v>1</v>
      </c>
      <c r="I311" s="66">
        <v>1</v>
      </c>
      <c r="J311" s="64" t="s">
        <v>265</v>
      </c>
    </row>
    <row r="312" ht="18" customHeight="1" spans="1:10">
      <c r="A312" s="65"/>
      <c r="B312" s="65"/>
      <c r="C312" s="65" t="s">
        <v>180</v>
      </c>
      <c r="D312" s="65">
        <v>31</v>
      </c>
      <c r="E312" s="65">
        <v>24</v>
      </c>
      <c r="F312" s="65">
        <v>744</v>
      </c>
      <c r="G312" s="65">
        <v>0</v>
      </c>
      <c r="H312" s="66">
        <v>0</v>
      </c>
      <c r="I312" s="66">
        <v>1</v>
      </c>
      <c r="J312" s="64" t="s">
        <v>265</v>
      </c>
    </row>
    <row r="313" ht="24" customHeight="1" spans="1:10">
      <c r="A313" s="67" t="s">
        <v>70</v>
      </c>
      <c r="B313" s="67"/>
      <c r="C313" s="15"/>
      <c r="D313" s="15"/>
      <c r="E313" s="68" t="s">
        <v>71</v>
      </c>
      <c r="F313" s="68"/>
      <c r="G313" s="69"/>
      <c r="H313" s="10" t="str">
        <f>H38</f>
        <v>制表时间：2023/1/4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J35" sqref="J35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75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44896</v>
      </c>
      <c r="E2" s="33"/>
      <c r="F2" s="31"/>
    </row>
    <row r="3" ht="20.25" customHeight="1" spans="1:7">
      <c r="A3" s="34" t="s">
        <v>266</v>
      </c>
      <c r="B3" s="34" t="s">
        <v>164</v>
      </c>
      <c r="C3" s="34" t="s">
        <v>267</v>
      </c>
      <c r="D3" s="34" t="s">
        <v>268</v>
      </c>
      <c r="E3" s="34" t="s">
        <v>269</v>
      </c>
      <c r="F3" s="34" t="s">
        <v>270</v>
      </c>
      <c r="G3" s="35" t="s">
        <v>130</v>
      </c>
    </row>
    <row r="4" ht="22.5" spans="1:8">
      <c r="A4" s="36" t="s">
        <v>271</v>
      </c>
      <c r="B4" s="37" t="s">
        <v>272</v>
      </c>
      <c r="C4" s="37" t="s">
        <v>273</v>
      </c>
      <c r="D4" s="34" t="s">
        <v>274</v>
      </c>
      <c r="E4" s="34" t="s">
        <v>275</v>
      </c>
      <c r="F4" s="38" t="s">
        <v>276</v>
      </c>
      <c r="G4" s="39" t="s">
        <v>277</v>
      </c>
      <c r="H4" s="40"/>
    </row>
    <row r="5" ht="22.5" spans="1:7">
      <c r="A5" s="41"/>
      <c r="B5" s="37" t="s">
        <v>278</v>
      </c>
      <c r="C5" s="37" t="s">
        <v>273</v>
      </c>
      <c r="D5" s="34" t="s">
        <v>274</v>
      </c>
      <c r="E5" s="34" t="s">
        <v>275</v>
      </c>
      <c r="F5" s="34" t="s">
        <v>276</v>
      </c>
      <c r="G5" s="39" t="str">
        <f>G4</f>
        <v>2022-12-08 2022-12-15 2022-12-22 2022-12-29</v>
      </c>
    </row>
    <row r="6" ht="22.5" spans="1:7">
      <c r="A6" s="41"/>
      <c r="B6" s="37" t="s">
        <v>279</v>
      </c>
      <c r="C6" s="37" t="s">
        <v>273</v>
      </c>
      <c r="D6" s="34" t="s">
        <v>274</v>
      </c>
      <c r="E6" s="34" t="s">
        <v>275</v>
      </c>
      <c r="F6" s="34" t="s">
        <v>276</v>
      </c>
      <c r="G6" s="39" t="str">
        <f t="shared" ref="G6:G20" si="0">G5</f>
        <v>2022-12-08 2022-12-15 2022-12-22 2022-12-29</v>
      </c>
    </row>
    <row r="7" ht="22.5" spans="1:7">
      <c r="A7" s="42"/>
      <c r="B7" s="37" t="s">
        <v>280</v>
      </c>
      <c r="C7" s="37" t="s">
        <v>273</v>
      </c>
      <c r="D7" s="34" t="s">
        <v>274</v>
      </c>
      <c r="E7" s="34" t="s">
        <v>275</v>
      </c>
      <c r="F7" s="34" t="s">
        <v>276</v>
      </c>
      <c r="G7" s="39" t="str">
        <f t="shared" si="0"/>
        <v>2022-12-08 2022-12-15 2022-12-22 2022-12-29</v>
      </c>
    </row>
    <row r="8" ht="22.5" spans="1:7">
      <c r="A8" s="36" t="s">
        <v>281</v>
      </c>
      <c r="B8" s="37" t="s">
        <v>272</v>
      </c>
      <c r="C8" s="37" t="s">
        <v>282</v>
      </c>
      <c r="D8" s="34" t="s">
        <v>274</v>
      </c>
      <c r="E8" s="34" t="s">
        <v>275</v>
      </c>
      <c r="F8" s="34" t="s">
        <v>276</v>
      </c>
      <c r="G8" s="39" t="str">
        <f t="shared" si="0"/>
        <v>2022-12-08 2022-12-15 2022-12-22 2022-12-29</v>
      </c>
    </row>
    <row r="9" ht="22.5" spans="1:7">
      <c r="A9" s="41"/>
      <c r="B9" s="37" t="s">
        <v>278</v>
      </c>
      <c r="C9" s="37" t="s">
        <v>282</v>
      </c>
      <c r="D9" s="34" t="s">
        <v>274</v>
      </c>
      <c r="E9" s="34" t="s">
        <v>275</v>
      </c>
      <c r="F9" s="34" t="s">
        <v>276</v>
      </c>
      <c r="G9" s="39" t="str">
        <f t="shared" si="0"/>
        <v>2022-12-08 2022-12-15 2022-12-22 2022-12-29</v>
      </c>
    </row>
    <row r="10" ht="22.5" spans="1:7">
      <c r="A10" s="41"/>
      <c r="B10" s="37" t="s">
        <v>279</v>
      </c>
      <c r="C10" s="37" t="s">
        <v>282</v>
      </c>
      <c r="D10" s="34" t="s">
        <v>274</v>
      </c>
      <c r="E10" s="34" t="s">
        <v>275</v>
      </c>
      <c r="F10" s="34" t="s">
        <v>276</v>
      </c>
      <c r="G10" s="39" t="str">
        <f t="shared" si="0"/>
        <v>2022-12-08 2022-12-15 2022-12-22 2022-12-29</v>
      </c>
    </row>
    <row r="11" ht="22.5" spans="1:7">
      <c r="A11" s="42"/>
      <c r="B11" s="37" t="s">
        <v>280</v>
      </c>
      <c r="C11" s="37" t="s">
        <v>282</v>
      </c>
      <c r="D11" s="34" t="s">
        <v>274</v>
      </c>
      <c r="E11" s="34" t="s">
        <v>275</v>
      </c>
      <c r="F11" s="34" t="s">
        <v>276</v>
      </c>
      <c r="G11" s="39" t="str">
        <f t="shared" si="0"/>
        <v>2022-12-08 2022-12-15 2022-12-22 2022-12-29</v>
      </c>
    </row>
    <row r="12" ht="24" customHeight="1" spans="1:7">
      <c r="A12" s="37" t="s">
        <v>283</v>
      </c>
      <c r="B12" s="37" t="s">
        <v>178</v>
      </c>
      <c r="C12" s="34" t="s">
        <v>284</v>
      </c>
      <c r="D12" s="34" t="s">
        <v>285</v>
      </c>
      <c r="E12" s="34" t="s">
        <v>275</v>
      </c>
      <c r="F12" s="34" t="s">
        <v>286</v>
      </c>
      <c r="G12" s="39" t="str">
        <f t="shared" si="0"/>
        <v>2022-12-08 2022-12-15 2022-12-22 2022-12-29</v>
      </c>
    </row>
    <row r="13" ht="22.5" spans="1:7">
      <c r="A13" s="36" t="s">
        <v>287</v>
      </c>
      <c r="B13" s="37" t="s">
        <v>272</v>
      </c>
      <c r="C13" s="34" t="s">
        <v>288</v>
      </c>
      <c r="D13" s="34" t="s">
        <v>289</v>
      </c>
      <c r="E13" s="34" t="s">
        <v>275</v>
      </c>
      <c r="F13" s="34" t="s">
        <v>276</v>
      </c>
      <c r="G13" s="39" t="str">
        <f t="shared" si="0"/>
        <v>2022-12-08 2022-12-15 2022-12-22 2022-12-29</v>
      </c>
    </row>
    <row r="14" ht="22.5" spans="1:7">
      <c r="A14" s="41"/>
      <c r="B14" s="37" t="s">
        <v>278</v>
      </c>
      <c r="C14" s="34" t="s">
        <v>288</v>
      </c>
      <c r="D14" s="34" t="s">
        <v>289</v>
      </c>
      <c r="E14" s="34" t="s">
        <v>275</v>
      </c>
      <c r="F14" s="34" t="s">
        <v>276</v>
      </c>
      <c r="G14" s="39" t="str">
        <f t="shared" si="0"/>
        <v>2022-12-08 2022-12-15 2022-12-22 2022-12-29</v>
      </c>
    </row>
    <row r="15" ht="22.5" spans="1:7">
      <c r="A15" s="41"/>
      <c r="B15" s="37" t="s">
        <v>279</v>
      </c>
      <c r="C15" s="34" t="s">
        <v>288</v>
      </c>
      <c r="D15" s="34" t="s">
        <v>289</v>
      </c>
      <c r="E15" s="34" t="s">
        <v>275</v>
      </c>
      <c r="F15" s="34" t="s">
        <v>276</v>
      </c>
      <c r="G15" s="39" t="str">
        <f t="shared" si="0"/>
        <v>2022-12-08 2022-12-15 2022-12-22 2022-12-29</v>
      </c>
    </row>
    <row r="16" ht="22.5" spans="1:7">
      <c r="A16" s="42"/>
      <c r="B16" s="37" t="s">
        <v>280</v>
      </c>
      <c r="C16" s="34" t="s">
        <v>288</v>
      </c>
      <c r="D16" s="34" t="s">
        <v>289</v>
      </c>
      <c r="E16" s="34" t="s">
        <v>275</v>
      </c>
      <c r="F16" s="34" t="s">
        <v>276</v>
      </c>
      <c r="G16" s="39" t="str">
        <f t="shared" si="0"/>
        <v>2022-12-08 2022-12-15 2022-12-22 2022-12-29</v>
      </c>
    </row>
    <row r="17" ht="22.5" spans="1:7">
      <c r="A17" s="34" t="s">
        <v>290</v>
      </c>
      <c r="B17" s="37" t="s">
        <v>272</v>
      </c>
      <c r="C17" s="34" t="s">
        <v>291</v>
      </c>
      <c r="D17" s="34" t="s">
        <v>289</v>
      </c>
      <c r="E17" s="34" t="s">
        <v>275</v>
      </c>
      <c r="F17" s="34" t="s">
        <v>276</v>
      </c>
      <c r="G17" s="39" t="str">
        <f t="shared" si="0"/>
        <v>2022-12-08 2022-12-15 2022-12-22 2022-12-29</v>
      </c>
    </row>
    <row r="18" ht="22.5" spans="1:7">
      <c r="A18" s="34"/>
      <c r="B18" s="37" t="s">
        <v>278</v>
      </c>
      <c r="C18" s="37" t="s">
        <v>282</v>
      </c>
      <c r="D18" s="34" t="s">
        <v>289</v>
      </c>
      <c r="E18" s="34" t="s">
        <v>275</v>
      </c>
      <c r="F18" s="34" t="s">
        <v>276</v>
      </c>
      <c r="G18" s="39" t="str">
        <f t="shared" si="0"/>
        <v>2022-12-08 2022-12-15 2022-12-22 2022-12-29</v>
      </c>
    </row>
    <row r="19" ht="22.5" spans="1:7">
      <c r="A19" s="34"/>
      <c r="B19" s="37" t="s">
        <v>279</v>
      </c>
      <c r="C19" s="34" t="s">
        <v>291</v>
      </c>
      <c r="D19" s="34" t="s">
        <v>289</v>
      </c>
      <c r="E19" s="34" t="s">
        <v>275</v>
      </c>
      <c r="F19" s="34" t="s">
        <v>276</v>
      </c>
      <c r="G19" s="39" t="str">
        <f t="shared" si="0"/>
        <v>2022-12-08 2022-12-15 2022-12-22 2022-12-29</v>
      </c>
    </row>
    <row r="20" ht="22.5" spans="1:7">
      <c r="A20" s="34"/>
      <c r="B20" s="37" t="s">
        <v>280</v>
      </c>
      <c r="C20" s="37" t="s">
        <v>282</v>
      </c>
      <c r="D20" s="34" t="s">
        <v>289</v>
      </c>
      <c r="E20" s="34" t="s">
        <v>275</v>
      </c>
      <c r="F20" s="34" t="s">
        <v>276</v>
      </c>
      <c r="G20" s="39" t="str">
        <f t="shared" si="0"/>
        <v>2022-12-08 2022-12-15 2022-12-22 2022-12-29</v>
      </c>
    </row>
    <row r="21" ht="20.25" customHeight="1" spans="1:7">
      <c r="A21" s="43" t="s">
        <v>70</v>
      </c>
      <c r="B21" s="43"/>
      <c r="C21" s="43"/>
      <c r="D21" s="43" t="s">
        <v>71</v>
      </c>
      <c r="E21" s="43"/>
      <c r="F21" s="43" t="s">
        <v>292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75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44896</v>
      </c>
      <c r="E26" s="50"/>
      <c r="F26" s="31"/>
    </row>
    <row r="27" ht="18.75" customHeight="1" spans="1:7">
      <c r="A27" s="34" t="s">
        <v>266</v>
      </c>
      <c r="B27" s="34" t="s">
        <v>164</v>
      </c>
      <c r="C27" s="34" t="s">
        <v>267</v>
      </c>
      <c r="D27" s="34" t="s">
        <v>268</v>
      </c>
      <c r="E27" s="34" t="s">
        <v>269</v>
      </c>
      <c r="F27" s="34" t="s">
        <v>270</v>
      </c>
      <c r="G27" s="34" t="s">
        <v>130</v>
      </c>
    </row>
    <row r="28" ht="19.5" customHeight="1" spans="1:7">
      <c r="A28" s="34" t="s">
        <v>293</v>
      </c>
      <c r="B28" s="51" t="s">
        <v>272</v>
      </c>
      <c r="C28" s="51" t="s">
        <v>282</v>
      </c>
      <c r="D28" s="34" t="s">
        <v>274</v>
      </c>
      <c r="E28" s="37" t="s">
        <v>275</v>
      </c>
      <c r="F28" s="34" t="s">
        <v>286</v>
      </c>
      <c r="G28" s="52">
        <v>44909</v>
      </c>
    </row>
    <row r="29" ht="19.5" customHeight="1" spans="1:7">
      <c r="A29" s="34"/>
      <c r="B29" s="51" t="s">
        <v>280</v>
      </c>
      <c r="C29" s="51" t="s">
        <v>282</v>
      </c>
      <c r="D29" s="34" t="s">
        <v>274</v>
      </c>
      <c r="E29" s="37" t="s">
        <v>275</v>
      </c>
      <c r="F29" s="34" t="s">
        <v>286</v>
      </c>
      <c r="G29" s="52">
        <f>G28</f>
        <v>44909</v>
      </c>
    </row>
    <row r="30" ht="19.5" customHeight="1" spans="1:7">
      <c r="A30" s="34" t="s">
        <v>294</v>
      </c>
      <c r="B30" s="51" t="s">
        <v>272</v>
      </c>
      <c r="C30" s="37" t="s">
        <v>284</v>
      </c>
      <c r="D30" s="34" t="s">
        <v>289</v>
      </c>
      <c r="E30" s="37" t="s">
        <v>275</v>
      </c>
      <c r="F30" s="34" t="s">
        <v>286</v>
      </c>
      <c r="G30" s="52">
        <f>G29</f>
        <v>44909</v>
      </c>
    </row>
    <row r="31" ht="19.5" customHeight="1" spans="1:7">
      <c r="A31" s="34"/>
      <c r="B31" s="51" t="s">
        <v>280</v>
      </c>
      <c r="C31" s="37" t="s">
        <v>284</v>
      </c>
      <c r="D31" s="34" t="s">
        <v>289</v>
      </c>
      <c r="E31" s="37" t="s">
        <v>275</v>
      </c>
      <c r="F31" s="34" t="s">
        <v>286</v>
      </c>
      <c r="G31" s="52">
        <f>G30</f>
        <v>44909</v>
      </c>
    </row>
    <row r="32" ht="20.25" customHeight="1" spans="1:7">
      <c r="A32" s="43" t="s">
        <v>70</v>
      </c>
      <c r="B32" s="43"/>
      <c r="C32" s="43"/>
      <c r="D32" s="43" t="s">
        <v>71</v>
      </c>
      <c r="E32" s="43"/>
      <c r="F32" s="43" t="str">
        <f>F21</f>
        <v>制表日期：2023/1/4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H16" sqref="H16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295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296</v>
      </c>
      <c r="B3" s="5"/>
      <c r="C3" s="5"/>
      <c r="D3" s="5"/>
      <c r="E3" s="5" t="s">
        <v>297</v>
      </c>
      <c r="F3" s="5"/>
      <c r="G3" s="5"/>
      <c r="H3" s="5"/>
      <c r="I3" s="3"/>
    </row>
    <row r="4" customHeight="1" spans="1:9">
      <c r="A4" s="5" t="s">
        <v>298</v>
      </c>
      <c r="B4" s="5"/>
      <c r="C4" s="5"/>
      <c r="D4" s="5"/>
      <c r="E4" s="5" t="s">
        <v>299</v>
      </c>
      <c r="F4" s="5"/>
      <c r="G4" s="5" t="s">
        <v>300</v>
      </c>
      <c r="H4" s="5"/>
      <c r="I4" s="25"/>
    </row>
    <row r="5" customHeight="1" spans="1:8">
      <c r="A5" s="5" t="s">
        <v>301</v>
      </c>
      <c r="B5" s="5" t="s">
        <v>302</v>
      </c>
      <c r="C5" s="5" t="s">
        <v>303</v>
      </c>
      <c r="D5" s="5" t="s">
        <v>304</v>
      </c>
      <c r="E5" s="5" t="s">
        <v>301</v>
      </c>
      <c r="F5" s="5" t="s">
        <v>302</v>
      </c>
      <c r="G5" s="5" t="s">
        <v>301</v>
      </c>
      <c r="H5" s="5" t="s">
        <v>304</v>
      </c>
    </row>
    <row r="6" customHeight="1" spans="1:15">
      <c r="A6" s="6" t="s">
        <v>305</v>
      </c>
      <c r="B6" s="7">
        <v>0.98</v>
      </c>
      <c r="C6" s="7">
        <v>7.83</v>
      </c>
      <c r="D6" s="7">
        <v>1.89</v>
      </c>
      <c r="E6" s="6" t="s">
        <v>305</v>
      </c>
      <c r="F6" s="7">
        <v>7.53</v>
      </c>
      <c r="G6" s="6" t="s">
        <v>305</v>
      </c>
      <c r="H6" s="7">
        <v>1.98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306</v>
      </c>
      <c r="B7" s="7">
        <v>1.84</v>
      </c>
      <c r="C7" s="7">
        <v>5.12</v>
      </c>
      <c r="D7" s="7">
        <v>1.32</v>
      </c>
      <c r="E7" s="6" t="s">
        <v>306</v>
      </c>
      <c r="F7" s="7">
        <v>6.48</v>
      </c>
      <c r="G7" s="6" t="s">
        <v>307</v>
      </c>
      <c r="H7" s="7">
        <v>2.43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307</v>
      </c>
      <c r="B8" s="7">
        <v>3.72</v>
      </c>
      <c r="C8" s="7">
        <v>3.12</v>
      </c>
      <c r="D8" s="7">
        <v>0.53</v>
      </c>
      <c r="E8" s="6" t="s">
        <v>307</v>
      </c>
      <c r="F8" s="7">
        <v>4.23</v>
      </c>
      <c r="G8" s="6" t="s">
        <v>308</v>
      </c>
      <c r="H8" s="7">
        <v>3.58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308</v>
      </c>
      <c r="B9" s="7">
        <v>6.11</v>
      </c>
      <c r="C9" s="7">
        <v>1.28</v>
      </c>
      <c r="D9" s="7">
        <v>0.25</v>
      </c>
      <c r="E9" s="6" t="s">
        <v>309</v>
      </c>
      <c r="F9" s="7">
        <v>2.61</v>
      </c>
      <c r="G9" s="6" t="s">
        <v>310</v>
      </c>
      <c r="H9" s="7">
        <v>4.62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311</v>
      </c>
      <c r="B10" s="9">
        <v>4284</v>
      </c>
      <c r="C10" s="10"/>
      <c r="D10" s="11"/>
      <c r="E10" s="6" t="s">
        <v>308</v>
      </c>
      <c r="F10" s="7">
        <v>1.92</v>
      </c>
      <c r="G10" s="5" t="s">
        <v>311</v>
      </c>
      <c r="H10" s="12">
        <v>4268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310</v>
      </c>
      <c r="F11" s="7">
        <v>1.23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311</v>
      </c>
      <c r="F12" s="5">
        <v>4424</v>
      </c>
      <c r="G12" s="5"/>
      <c r="H12" s="22"/>
      <c r="M12" s="26"/>
    </row>
    <row r="13" s="1" customFormat="1" customHeight="1" spans="1:14">
      <c r="A13" s="23" t="s">
        <v>70</v>
      </c>
      <c r="B13" s="23"/>
      <c r="C13" s="23"/>
      <c r="D13" s="23" t="s">
        <v>71</v>
      </c>
      <c r="E13" s="24"/>
      <c r="F13" s="24"/>
      <c r="G13" s="23" t="s">
        <v>292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2023-01-04T07:45:53Z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AC0587F76FD54565A1D1EFF08F6CA2B5</vt:lpwstr>
  </property>
</Properties>
</file>