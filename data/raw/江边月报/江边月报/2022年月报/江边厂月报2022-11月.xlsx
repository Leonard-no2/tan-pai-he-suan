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345" windowHeight="1246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<sst xmlns="http://schemas.openxmlformats.org/spreadsheetml/2006/main" count="937" uniqueCount="318">
  <si>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</si>
  <si>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</si>
  <si>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</si>
  <si>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</si>
  <si>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</si>
  <si>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</si>
  <si>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</si>
  <si>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</si>
  <si>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</si>
  <si>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</si>
  <si>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</si>
  <si>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</si>
  <si>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</si>
  <si>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</si>
  <si>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</si>
  <si>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</si>
  <si>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</si>
  <si>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</si>
  <si>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</si>
  <si>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</si>
  <si>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</si>
  <si>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</si>
  <si>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</si>
  <si>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</si>
  <si>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</si>
  <si>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</si>
  <si>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</si>
  <si>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</si>
  <si>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</si>
  <si>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</si>
  <si>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</si>
  <si>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</si>
  <si>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</si>
  <si>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</si>
  <si>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</si>
  <si>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</si>
  <si>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</si>
  <si>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</si>
  <si>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</si>
  <si>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</si>
  <si>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</si>
  <si>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</si>
  <si>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</si>
  <si>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</si>
  <si>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</si>
  <si>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阴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</si>
  <si>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</si>
  <si>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</si>
  <si>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</si>
  <si>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</si>
  <si>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</si>
  <si>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</si>
  <si>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</si>
  <si>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</si>
  <si>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</si>
  <si>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</si>
  <si>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</si>
  <si>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</si>
  <si>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</si>
  <si>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雨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</si>
  <si>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</si>
  <si>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</si>
  <si>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</si>
  <si>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</si>
  <si>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</si>
  <si>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</si>
  <si>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</si>
  <si>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</si>
  <si>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</si>
  <si>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</si>
  <si>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</si>
  <si>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</si>
  <si>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</si>
  <si>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</si>
  <si>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</si>
  <si>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</si>
  <si>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</si>
  <si>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</si>
  <si>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</si>
  <si>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</si>
  <si>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</si>
  <si>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</si>
  <si>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</si>
  <si>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</si>
  <si>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</si>
  <si>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</si>
  <si>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</si>
  <si>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</si>
  <si>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</si>
  <si>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</si>
  <si>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</si>
  <si>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</si>
  <si>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</si>
  <si>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</si>
  <si>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</si>
  <si>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</si>
  <si>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</si>
  <si>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</si>
  <si>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</si>
  <si>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</si>
  <si>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</si>
  <si>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</si>
  <si>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</si>
  <si>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</si>
  <si>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</si>
  <si>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</si>
  <si>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</si>
  <si>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</si>
  <si>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</si>
  <si>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</si>
  <si>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</si>
  <si>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</si>
  <si>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</si>
  <si>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</si>
  <si>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</si>
  <si>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</si>
  <si>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</si>
  <si>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</si>
  <si>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</si>
  <si>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</si>
  <si>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</si>
  <si>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</si>
  <si>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</si>
  <si>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</si>
  <si>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</si>
  <si>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</si>
  <si>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</si>
  <si>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</si>
  <si>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</si>
  <si>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</si>
  <si>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</si>
  <si>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</si>
  <si>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本月产生泥饼4691.12吨，其中运往常州市英科环境科技有限公司2963.46吨，国电常州发电有限公司1700.66吨，外运接种：常州强力光电材料有限公司30.00吨。</t>
  </si>
  <si>
    <t>审核：                                               制表：                               制表日期：2022/12/1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</si>
  <si>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</si>
  <si>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</si>
  <si>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</si>
  <si>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</si>
  <si>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</si>
  <si>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</si>
  <si>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</si>
  <si>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</si>
  <si>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</si>
  <si>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</si>
  <si>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</si>
  <si>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</si>
  <si>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</si>
  <si>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</si>
  <si>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制表时间：2022/10/7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</si>
  <si>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</si>
  <si>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</si>
  <si>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</si>
  <si>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</si>
  <si>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</si>
  <si>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</si>
  <si>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</si>
  <si>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</si>
  <si>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</si>
  <si>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</si>
  <si>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</si>
  <si>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</si>
  <si>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</si>
  <si>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</si>
  <si>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</si>
  <si>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</si>
  <si>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</si>
  <si>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</si>
  <si>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</si>
  <si>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</si>
  <si>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</si>
  <si>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</si>
  <si>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</si>
  <si>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</si>
  <si>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</si>
  <si>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</si>
  <si>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</si>
  <si>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</si>
  <si>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</si>
  <si>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</si>
  <si>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</si>
  <si>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</si>
  <si>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</si>
  <si>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</si>
  <si>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</si>
  <si>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25日更换400A动触头一只</t>
  </si>
  <si>
    <t>3#</t>
  </si>
  <si>
    <t>4#</t>
  </si>
  <si>
    <t>5#</t>
  </si>
  <si>
    <t>细格栅机</t>
  </si>
  <si>
    <t>14日配合安装</t>
  </si>
  <si>
    <t>6#</t>
  </si>
  <si>
    <t>搅拌机</t>
  </si>
  <si>
    <t>砂水分离机</t>
  </si>
  <si>
    <t>高压鼓风机</t>
  </si>
  <si>
    <t>制表时间：2022/12/5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</si>
  <si>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</si>
  <si>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</si>
  <si>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</si>
  <si>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</si>
  <si>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</si>
  <si>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</si>
  <si>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</si>
  <si>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</si>
  <si>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</si>
  <si>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</si>
  <si>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</si>
  <si>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</si>
  <si>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</si>
  <si>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</si>
  <si>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</si>
  <si>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</si>
  <si>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</si>
  <si>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</si>
  <si>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</si>
  <si>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</si>
  <si>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</si>
  <si>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</si>
  <si>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</si>
  <si>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</si>
  <si>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</si>
  <si>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</si>
  <si>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</si>
  <si>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</si>
  <si>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</si>
  <si>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</si>
  <si>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</si>
  <si>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</si>
  <si>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</si>
  <si>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</si>
  <si>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2日电机安装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</si>
  <si>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</si>
  <si>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</si>
  <si>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</si>
  <si>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</si>
  <si>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</si>
  <si>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</si>
  <si>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</si>
  <si>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</si>
  <si>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</si>
  <si>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</si>
  <si>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</si>
  <si>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</si>
  <si>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27日更换备用泵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</si>
  <si>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</si>
  <si>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</si>
  <si>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</si>
  <si>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</si>
  <si>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</si>
  <si>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</si>
  <si>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</si>
  <si>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18日保养</t>
  </si>
  <si>
    <t>PAM
投加泵</t>
  </si>
  <si>
    <t>提标
空压机</t>
  </si>
  <si>
    <t>17日保养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</si>
  <si>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</si>
  <si>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</si>
  <si>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</si>
  <si>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</si>
  <si>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</si>
  <si>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</si>
  <si>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3日水射器堵塞清理</t>
  </si>
  <si>
    <t>17日更换氯酸钠泵一台</t>
  </si>
  <si>
    <t>山大华特
二氧化氯
发生器</t>
  </si>
  <si>
    <t>2日更换加热管</t>
  </si>
  <si>
    <t>增压水泵</t>
  </si>
  <si>
    <t>脱
水
机
房</t>
  </si>
  <si>
    <t>浓缩池刮泥机</t>
  </si>
  <si>
    <t>21日保养</t>
  </si>
  <si>
    <t>进泥泵</t>
  </si>
  <si>
    <t>23日保养</t>
  </si>
  <si>
    <t>脱水离心机</t>
  </si>
  <si>
    <t>30日保养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</si>
  <si>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</si>
  <si>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</si>
  <si>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</si>
  <si>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</si>
  <si>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</si>
  <si>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</si>
  <si>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</si>
  <si>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</si>
  <si>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</si>
  <si>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</si>
  <si>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</si>
  <si>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2022-11-02 2022-11-09 2022-11-16 2022-11-23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</si>
  <si>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</si>
  <si>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</si>
  <si>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</si>
  <si>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</si>
  <si>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</si>
  <si>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</si>
  <si>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</si>
  <si>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</si>
  <si>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</si>
  <si>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</si>
  <si>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</si>
  <si>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</si>
  <si>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</si>
  <si>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制表日期：2022/12/5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</si>
  <si>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</si>
  <si>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</si>
  <si>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</si>
  <si>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</si>
  <si>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采样时间：2022-11-21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</si>
  <si>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</si>
  <si>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</si>
  <si>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</si>
  <si>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</si>
  <si>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</si>
  <si>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</si>
  <si>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</si>
  <si>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</si>
  <si>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</si>
  <si>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</si>
  <si>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</si>
  <si>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</si>
  <si>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</si>
  <si>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</si>
  <si>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制表日期：2022/12/6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</si>
</sst>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_ "/>
    <numFmt numFmtId="177" formatCode="0_ "/>
    <numFmt numFmtId="178" formatCode="0.000_ "/>
    <numFmt numFmtId="179" formatCode="0.0%"/>
    <numFmt numFmtId="180" formatCode="0.0_);[Red]\(0.0\)"/>
    <numFmt numFmtId="181" formatCode="0_);[Red]\(0\)"/>
    <numFmt numFmtId="182" formatCode="0.0;_ﰀ"/>
    <numFmt numFmtId="183" formatCode="0.00;[Red]0.00"/>
    <numFmt numFmtId="184" formatCode="yyyy&quot;年&quot;m&quot;月&quot;;@"/>
    <numFmt numFmtId="185" formatCode="0.00_);[Red]\(0.00\)"/>
    <numFmt numFmtId="186" formatCode="0.00;_鰀"/>
    <numFmt numFmtId="187" formatCode="0.00_ "/>
    <numFmt numFmtId="188" formatCode="0;[Red]0"/>
    <numFmt numFmtId="189" formatCode="0.000;_鰀"/>
    <numFmt numFmtId="190" formatCode="0.0_);\(0.0\)"/>
    <numFmt numFmtId="191" formatCode="0.0_ "/>
    <numFmt numFmtId="192" formatCode="#,##0.00_ "/>
    <numFmt numFmtId="193" formatCode="0;_䠀"/>
    <numFmt numFmtId="194" formatCode="0.0;[Red]0.0"/>
    <numFmt numFmtId="195" formatCode="0.0000_);[Red]\(0.0000\)"/>
    <numFmt numFmtId="196" formatCode="0;_鰀"/>
    <numFmt numFmtId="197" formatCode="0.000_);[Red]\(0.000\)"/>
    <numFmt numFmtId="198" formatCode="0;_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u/>
      <sz val="12"/>
      <color indexed="12"/>
      <name val="宋体"/>
      <charset val="134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u/>
      <sz val="12"/>
      <color indexed="36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3" fillId="15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7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5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7" fillId="1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0" fillId="0" borderId="0"/>
    <xf numFmtId="0" fontId="37" fillId="12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>
      <alignment vertical="top"/>
      <protection locked="0"/>
    </xf>
    <xf numFmtId="0" fontId="37" fillId="1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0" fillId="0" borderId="0"/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0">
      <alignment vertical="top"/>
      <protection locked="0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37" fillId="0" borderId="0">
      <alignment vertical="center"/>
    </xf>
    <xf numFmtId="0" fontId="51" fillId="0" borderId="26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7" fillId="0" borderId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/>
    <xf numFmtId="0" fontId="43" fillId="15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49" fillId="2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7" fillId="1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26" borderId="27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/>
    <xf numFmtId="0" fontId="42" fillId="0" borderId="21" applyNumberFormat="0" applyFill="0" applyAlignment="0" applyProtection="0">
      <alignment vertical="center"/>
    </xf>
    <xf numFmtId="0" fontId="0" fillId="0" borderId="0"/>
    <xf numFmtId="0" fontId="35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15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15" borderId="20" applyNumberFormat="0" applyAlignment="0" applyProtection="0">
      <alignment vertical="center"/>
    </xf>
    <xf numFmtId="0" fontId="0" fillId="0" borderId="0"/>
    <xf numFmtId="0" fontId="43" fillId="15" borderId="20" applyNumberFormat="0" applyAlignment="0" applyProtection="0">
      <alignment vertical="center"/>
    </xf>
    <xf numFmtId="0" fontId="0" fillId="0" borderId="0"/>
    <xf numFmtId="0" fontId="0" fillId="0" borderId="0"/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41" fillId="13" borderId="20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8" fillId="13" borderId="24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43" fillId="15" borderId="20" applyNumberForma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  <xf numFmtId="0" fontId="0" fillId="26" borderId="27" applyNumberFormat="0" applyFont="0" applyAlignment="0" applyProtection="0">
      <alignment vertical="center"/>
    </xf>
  </cellStyleXfs>
  <cellXfs count="3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94" fontId="1" fillId="0" borderId="1" xfId="0" applyNumberFormat="1" applyFont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8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94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8" fontId="17" fillId="0" borderId="0" xfId="0" applyNumberFormat="1" applyFont="1" applyBorder="1" applyAlignment="1">
      <alignment vertical="center"/>
    </xf>
    <xf numFmtId="188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87" fontId="17" fillId="0" borderId="0" xfId="0" applyNumberFormat="1" applyFont="1" applyAlignment="1">
      <alignment vertical="center"/>
    </xf>
    <xf numFmtId="194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1" fontId="19" fillId="0" borderId="4" xfId="0" applyNumberFormat="1" applyFont="1" applyFill="1" applyBorder="1" applyAlignment="1">
      <alignment horizontal="center" vertical="center"/>
    </xf>
    <xf numFmtId="191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1" fontId="19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91" fontId="20" fillId="0" borderId="0" xfId="0" applyNumberFormat="1" applyFont="1" applyFill="1" applyBorder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191" fontId="20" fillId="0" borderId="0" xfId="0" applyNumberFormat="1" applyFont="1" applyFill="1" applyAlignment="1">
      <alignment horizontal="center" vertical="center"/>
    </xf>
    <xf numFmtId="187" fontId="19" fillId="0" borderId="0" xfId="0" applyNumberFormat="1" applyFont="1" applyFill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1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 wrapText="1"/>
    </xf>
    <xf numFmtId="183" fontId="25" fillId="3" borderId="1" xfId="0" applyNumberFormat="1" applyFont="1" applyFill="1" applyBorder="1" applyAlignment="1">
      <alignment horizontal="center" vertical="center"/>
    </xf>
    <xf numFmtId="183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88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9" fontId="20" fillId="0" borderId="5" xfId="20" applyNumberFormat="1" applyFont="1" applyFill="1" applyBorder="1" applyAlignment="1">
      <alignment horizontal="center" vertical="center"/>
    </xf>
    <xf numFmtId="178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79" fontId="20" fillId="0" borderId="8" xfId="20" applyNumberFormat="1" applyFont="1" applyFill="1" applyBorder="1" applyAlignment="1">
      <alignment horizontal="center" vertical="center"/>
    </xf>
    <xf numFmtId="187" fontId="20" fillId="0" borderId="8" xfId="0" applyNumberFormat="1" applyFont="1" applyFill="1" applyBorder="1" applyAlignment="1">
      <alignment horizontal="center" vertical="center"/>
    </xf>
    <xf numFmtId="191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9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8" fontId="0" fillId="0" borderId="0" xfId="0" applyNumberFormat="1"/>
    <xf numFmtId="179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1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7" fontId="9" fillId="0" borderId="9" xfId="0" applyNumberFormat="1" applyFont="1" applyBorder="1" applyAlignment="1">
      <alignment horizontal="center" vertical="center" wrapText="1"/>
    </xf>
    <xf numFmtId="191" fontId="9" fillId="0" borderId="9" xfId="0" applyNumberFormat="1" applyFont="1" applyBorder="1" applyAlignment="1">
      <alignment horizontal="center" vertical="center" wrapText="1"/>
    </xf>
    <xf numFmtId="196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7" fontId="9" fillId="0" borderId="1" xfId="491" applyNumberFormat="1" applyFont="1" applyBorder="1" applyAlignment="1">
      <alignment horizontal="center" vertical="center" wrapText="1"/>
    </xf>
    <xf numFmtId="187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91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91" fontId="9" fillId="0" borderId="13" xfId="0" applyNumberFormat="1" applyFont="1" applyBorder="1" applyAlignment="1">
      <alignment horizontal="center" vertical="center" wrapText="1"/>
    </xf>
    <xf numFmtId="191" fontId="9" fillId="0" borderId="14" xfId="0" applyNumberFormat="1" applyFont="1" applyBorder="1" applyAlignment="1">
      <alignment horizontal="center" vertical="center" wrapText="1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7" fontId="0" fillId="0" borderId="0" xfId="0" applyNumberFormat="1" applyFont="1"/>
    <xf numFmtId="178" fontId="9" fillId="0" borderId="1" xfId="491" applyNumberFormat="1" applyFont="1" applyBorder="1" applyAlignment="1">
      <alignment horizontal="center" vertical="center" wrapText="1"/>
    </xf>
    <xf numFmtId="187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7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5" fontId="9" fillId="0" borderId="1" xfId="491" applyNumberFormat="1" applyFont="1" applyFill="1" applyBorder="1" applyAlignment="1">
      <alignment horizontal="center" vertical="center" wrapText="1"/>
    </xf>
    <xf numFmtId="192" fontId="9" fillId="0" borderId="0" xfId="0" applyNumberFormat="1" applyFont="1"/>
    <xf numFmtId="187" fontId="9" fillId="0" borderId="1" xfId="0" applyNumberFormat="1" applyFont="1" applyBorder="1" applyAlignment="1">
      <alignment horizontal="center" vertical="center"/>
    </xf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6" fontId="1" fillId="0" borderId="1" xfId="341" applyNumberFormat="1" applyFont="1" applyFill="1" applyBorder="1" applyAlignment="1">
      <alignment horizontal="center" vertical="center" wrapText="1"/>
    </xf>
    <xf numFmtId="186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8" fontId="1" fillId="0" borderId="1" xfId="0" applyNumberFormat="1" applyFont="1" applyFill="1" applyBorder="1" applyAlignment="1">
      <alignment horizontal="center" vertical="center" wrapText="1"/>
    </xf>
    <xf numFmtId="196" fontId="1" fillId="0" borderId="1" xfId="481" applyNumberFormat="1" applyFont="1" applyFill="1" applyBorder="1" applyAlignment="1">
      <alignment horizontal="center" vertical="center" wrapText="1"/>
    </xf>
    <xf numFmtId="186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91" fontId="12" fillId="0" borderId="1" xfId="341" applyNumberFormat="1" applyFont="1" applyFill="1" applyBorder="1" applyAlignment="1">
      <alignment horizontal="center" vertical="center" wrapText="1"/>
    </xf>
    <xf numFmtId="177" fontId="12" fillId="0" borderId="1" xfId="341" applyNumberFormat="1" applyFont="1" applyFill="1" applyBorder="1" applyAlignment="1">
      <alignment horizontal="center" vertical="center" wrapText="1"/>
    </xf>
    <xf numFmtId="185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96" fontId="12" fillId="0" borderId="1" xfId="341" applyNumberFormat="1" applyFont="1" applyFill="1" applyBorder="1" applyAlignment="1">
      <alignment horizontal="center" vertical="center" wrapText="1"/>
    </xf>
    <xf numFmtId="196" fontId="12" fillId="0" borderId="1" xfId="508" applyNumberFormat="1" applyFont="1" applyFill="1" applyBorder="1" applyAlignment="1">
      <alignment horizontal="center" vertical="center" wrapText="1"/>
    </xf>
    <xf numFmtId="186" fontId="2" fillId="0" borderId="0" xfId="0" applyNumberFormat="1" applyFont="1" applyAlignment="1">
      <alignment horizontal="center" vertical="center"/>
    </xf>
    <xf numFmtId="196" fontId="2" fillId="0" borderId="0" xfId="0" applyNumberFormat="1" applyFont="1" applyAlignment="1">
      <alignment horizontal="center" vertical="center"/>
    </xf>
    <xf numFmtId="185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6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5" fontId="2" fillId="0" borderId="0" xfId="485" applyNumberFormat="1" applyFont="1" applyBorder="1" applyAlignment="1">
      <alignment horizontal="center" vertical="center"/>
    </xf>
    <xf numFmtId="196" fontId="2" fillId="0" borderId="1" xfId="0" applyNumberFormat="1" applyFont="1" applyBorder="1" applyAlignment="1">
      <alignment horizontal="center" vertical="center"/>
    </xf>
    <xf numFmtId="187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7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5" fontId="2" fillId="4" borderId="1" xfId="0" applyNumberFormat="1" applyFont="1" applyFill="1" applyBorder="1" applyAlignment="1">
      <alignment horizontal="center" vertical="center"/>
    </xf>
    <xf numFmtId="191" fontId="2" fillId="4" borderId="1" xfId="0" applyNumberFormat="1" applyFont="1" applyFill="1" applyBorder="1" applyAlignment="1">
      <alignment horizontal="center" vertical="center"/>
    </xf>
    <xf numFmtId="187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6" fontId="1" fillId="0" borderId="1" xfId="508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86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89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87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链接单元格 3 2" xfId="2"/>
    <cellStyle name="20% - 强调文字颜色 1 2" xfId="3"/>
    <cellStyle name="20% - 强调文字颜色 3" xfId="4" builtinId="38"/>
    <cellStyle name="链接单元格 5" xfId="5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40% - 强调文字颜色 3" xfId="11" builtinId="39"/>
    <cellStyle name="标题 5 6" xfId="12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60% - 强调文字颜色 2 2 2" xfId="35"/>
    <cellStyle name="计算 2 10" xfId="36"/>
    <cellStyle name="常规 5 2" xfId="37"/>
    <cellStyle name="强调文字颜色 1 2 3" xfId="38"/>
    <cellStyle name="20% - 强调文字颜色 4 4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计算 3 2" xfId="52"/>
    <cellStyle name="40% - 强调文字颜色 4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适中 2 5" xfId="58"/>
    <cellStyle name="强调文字颜色 3 2 4" xfId="59"/>
    <cellStyle name="40% - 强调文字颜色 6 5" xfId="60"/>
    <cellStyle name="60% - 强调文字颜色 4 2 3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检查单元格 3 2" xfId="68"/>
    <cellStyle name="标题 4 5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适中 2" xfId="94"/>
    <cellStyle name="计算 5" xfId="95"/>
    <cellStyle name="20% - 强调文字颜色 3 3 2" xfId="96"/>
    <cellStyle name="40% - 强调文字颜色 6" xfId="97" builtinId="51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千位分隔 2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适中 3 2" xfId="477"/>
    <cellStyle name="计算 6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tabSelected="1" zoomScale="85" zoomScaleNormal="85" workbookViewId="0">
      <selection activeCell="Y13" sqref="Y13"/>
    </sheetView>
  </sheetViews>
  <sheetFormatPr defaultColWidth="8.75" defaultRowHeight="14.25"/>
  <cols>
    <col min="1" max="1" width="3.75" style="3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>
        <v>44866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1</v>
      </c>
      <c r="B3" s="261" t="s">
        <v>2</v>
      </c>
      <c r="C3" s="261" t="s">
        <v>3</v>
      </c>
      <c r="D3" s="8" t="s">
        <v>4</v>
      </c>
      <c r="E3" s="5" t="s">
        <v>5</v>
      </c>
      <c r="F3" s="5"/>
      <c r="G3" s="5"/>
      <c r="H3" s="261" t="s">
        <v>6</v>
      </c>
      <c r="I3" s="261" t="s">
        <v>7</v>
      </c>
      <c r="J3" s="261" t="s">
        <v>8</v>
      </c>
      <c r="K3" s="261" t="s">
        <v>9</v>
      </c>
      <c r="L3" s="8" t="s">
        <v>10</v>
      </c>
      <c r="M3" s="261" t="s">
        <v>11</v>
      </c>
      <c r="N3" s="261" t="s">
        <v>12</v>
      </c>
      <c r="O3" s="5" t="s">
        <v>13</v>
      </c>
      <c r="P3" s="5"/>
      <c r="Q3" s="8" t="s">
        <v>14</v>
      </c>
      <c r="R3" s="8" t="s">
        <v>15</v>
      </c>
      <c r="T3" s="256" t="s">
        <v>16</v>
      </c>
      <c r="U3" s="256" t="s">
        <v>17</v>
      </c>
      <c r="W3" s="282" t="s">
        <v>18</v>
      </c>
      <c r="X3" s="282" t="s">
        <v>19</v>
      </c>
      <c r="Y3" s="282" t="s">
        <v>20</v>
      </c>
      <c r="Z3" s="282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2"/>
      <c r="B4" s="263" t="s">
        <v>29</v>
      </c>
      <c r="C4" s="263" t="s">
        <v>30</v>
      </c>
      <c r="D4" s="263"/>
      <c r="E4" s="263" t="s">
        <v>31</v>
      </c>
      <c r="F4" s="263" t="s">
        <v>32</v>
      </c>
      <c r="G4" s="263" t="s">
        <v>33</v>
      </c>
      <c r="H4" s="263" t="s">
        <v>34</v>
      </c>
      <c r="I4" s="263" t="s">
        <v>35</v>
      </c>
      <c r="J4" s="263" t="s">
        <v>36</v>
      </c>
      <c r="K4" s="263" t="s">
        <v>34</v>
      </c>
      <c r="L4" s="263"/>
      <c r="M4" s="263" t="s">
        <v>34</v>
      </c>
      <c r="N4" s="263" t="s">
        <v>34</v>
      </c>
      <c r="O4" s="263" t="s">
        <v>37</v>
      </c>
      <c r="P4" s="263" t="s">
        <v>38</v>
      </c>
      <c r="Q4" s="263"/>
      <c r="R4" s="263"/>
      <c r="T4" s="56" t="s">
        <v>39</v>
      </c>
      <c r="U4" s="283">
        <f>ROUND(J36*W4,2)</f>
        <v>1053234.79</v>
      </c>
      <c r="V4" s="283"/>
      <c r="W4" s="284">
        <v>0.678412105877773</v>
      </c>
      <c r="X4" s="285">
        <f>J35/R35</f>
        <v>0.287770237569392</v>
      </c>
      <c r="Y4" s="282">
        <v>0.678412105877773</v>
      </c>
      <c r="Z4" s="318">
        <v>44704</v>
      </c>
      <c r="AA4" s="319"/>
      <c r="AB4" s="3" t="s">
        <v>40</v>
      </c>
    </row>
    <row r="5" ht="18.6" customHeight="1" spans="1:38">
      <c r="A5" s="6">
        <v>1</v>
      </c>
      <c r="B5" s="264">
        <v>24.1</v>
      </c>
      <c r="C5" s="265" t="s">
        <v>41</v>
      </c>
      <c r="D5" s="266">
        <v>202419</v>
      </c>
      <c r="E5" s="267">
        <v>170.78</v>
      </c>
      <c r="F5" s="267">
        <v>0</v>
      </c>
      <c r="G5" s="267">
        <v>0</v>
      </c>
      <c r="H5" s="268">
        <v>225</v>
      </c>
      <c r="I5" s="6">
        <v>4428</v>
      </c>
      <c r="J5" s="274">
        <v>55499.9999999927</v>
      </c>
      <c r="K5" s="275">
        <v>0</v>
      </c>
      <c r="L5" s="275">
        <v>0.1</v>
      </c>
      <c r="M5" s="276">
        <v>5325</v>
      </c>
      <c r="N5" s="276">
        <v>1824</v>
      </c>
      <c r="O5" s="277">
        <v>1.56</v>
      </c>
      <c r="P5" s="277">
        <v>0</v>
      </c>
      <c r="Q5" s="286">
        <v>5488</v>
      </c>
      <c r="R5" s="287">
        <f>D5-Q5</f>
        <v>196931</v>
      </c>
      <c r="S5" s="288"/>
      <c r="T5" s="289" t="s">
        <v>42</v>
      </c>
      <c r="U5" s="290">
        <f>H36*W5/1000</f>
        <v>178500</v>
      </c>
      <c r="V5" s="283"/>
      <c r="W5" s="291">
        <v>28000</v>
      </c>
      <c r="X5" s="283">
        <f>H35/R35*1000</f>
        <v>1.18166522673422</v>
      </c>
      <c r="Y5" s="282">
        <v>28000</v>
      </c>
      <c r="Z5" s="318">
        <v>44656</v>
      </c>
      <c r="AB5" s="320">
        <f>E5+F5+G5</f>
        <v>170.78</v>
      </c>
      <c r="AD5" s="3">
        <f t="shared" ref="AD5:AD35" si="0">$W$9*K5/1000/R5</f>
        <v>0</v>
      </c>
      <c r="AE5" s="3">
        <f>$W$5*H5/1000/R5</f>
        <v>0.0319909003661181</v>
      </c>
      <c r="AF5" s="3">
        <f t="shared" ref="AF5:AF35" si="1">$W$6*L5/1000/R5</f>
        <v>5.281037520756e-6</v>
      </c>
      <c r="AG5" s="3">
        <f t="shared" ref="AG5:AG35" si="2">$W$7*M5/1000/R5</f>
        <v>0.0120327678222322</v>
      </c>
      <c r="AH5" s="3">
        <f t="shared" ref="AH5:AH35" si="3">$W$8*N5/1000/R5</f>
        <v>0.0601575170998979</v>
      </c>
      <c r="AI5" s="3">
        <f t="shared" ref="AI5:AI35" si="4">AD5+AE5+AF5+AG5+AH5</f>
        <v>0.104186466325769</v>
      </c>
      <c r="AK5" s="3">
        <f>AB5*(100-进出水!T7)/100</f>
        <v>37.91316</v>
      </c>
      <c r="AL5" s="3">
        <f t="shared" ref="AL5:AL35" si="5">H5/AK5</f>
        <v>5.93461478811051</v>
      </c>
    </row>
    <row r="6" ht="18.6" customHeight="1" spans="1:38">
      <c r="A6" s="6">
        <v>2</v>
      </c>
      <c r="B6" s="264">
        <v>25</v>
      </c>
      <c r="C6" s="265" t="s">
        <v>41</v>
      </c>
      <c r="D6" s="266">
        <v>195967</v>
      </c>
      <c r="E6" s="267">
        <v>176.06</v>
      </c>
      <c r="F6" s="267">
        <v>0</v>
      </c>
      <c r="G6" s="267">
        <v>0</v>
      </c>
      <c r="H6" s="268">
        <v>225</v>
      </c>
      <c r="I6" s="6">
        <v>4492</v>
      </c>
      <c r="J6" s="274">
        <v>56300.0000000102</v>
      </c>
      <c r="K6" s="275">
        <v>0</v>
      </c>
      <c r="L6" s="275">
        <v>0</v>
      </c>
      <c r="M6" s="276">
        <v>3124</v>
      </c>
      <c r="N6" s="276">
        <v>1080</v>
      </c>
      <c r="O6" s="277">
        <v>2.4</v>
      </c>
      <c r="P6" s="277">
        <v>0</v>
      </c>
      <c r="Q6" s="286">
        <v>5488</v>
      </c>
      <c r="R6" s="287">
        <f t="shared" ref="R6:R35" si="6">D6-Q6</f>
        <v>190479</v>
      </c>
      <c r="S6" s="288"/>
      <c r="T6" s="289" t="s">
        <v>43</v>
      </c>
      <c r="U6" s="290">
        <f>L36*W6/1000</f>
        <v>13.52</v>
      </c>
      <c r="V6" s="283">
        <f>U5+U6</f>
        <v>178513.52</v>
      </c>
      <c r="W6" s="56">
        <v>10400</v>
      </c>
      <c r="X6" s="283">
        <f>L35/R35*1000</f>
        <v>0.000240967026628154</v>
      </c>
      <c r="Y6" s="282">
        <v>10400</v>
      </c>
      <c r="Z6" s="318">
        <v>44656</v>
      </c>
      <c r="AB6" s="320">
        <f t="shared" ref="AB6:AB34" si="7">E6+F6+G6</f>
        <v>176.06</v>
      </c>
      <c r="AD6" s="3">
        <f t="shared" si="0"/>
        <v>0</v>
      </c>
      <c r="AE6" s="3">
        <f>$W$5*H6/1000/R6</f>
        <v>0.0330745121509458</v>
      </c>
      <c r="AF6" s="3">
        <f t="shared" si="1"/>
        <v>0</v>
      </c>
      <c r="AG6" s="3">
        <f t="shared" si="2"/>
        <v>0.00729833734952409</v>
      </c>
      <c r="AH6" s="3">
        <f t="shared" si="3"/>
        <v>0.0368261068149245</v>
      </c>
      <c r="AI6" s="3">
        <f t="shared" si="4"/>
        <v>0.0771989563153943</v>
      </c>
      <c r="AK6" s="3">
        <f>AB6*(100-进出水!T8)/100</f>
        <v>38.90926</v>
      </c>
      <c r="AL6" s="3">
        <f t="shared" si="5"/>
        <v>5.78268515001314</v>
      </c>
    </row>
    <row r="7" ht="18.6" customHeight="1" spans="1:38">
      <c r="A7" s="6">
        <v>3</v>
      </c>
      <c r="B7" s="264">
        <v>25.2</v>
      </c>
      <c r="C7" s="265" t="s">
        <v>41</v>
      </c>
      <c r="D7" s="266">
        <v>171027</v>
      </c>
      <c r="E7" s="267">
        <v>178.84</v>
      </c>
      <c r="F7" s="267">
        <v>0</v>
      </c>
      <c r="G7" s="267">
        <v>0</v>
      </c>
      <c r="H7" s="268">
        <v>225</v>
      </c>
      <c r="I7" s="6">
        <v>3758</v>
      </c>
      <c r="J7" s="274">
        <v>51800.0000000029</v>
      </c>
      <c r="K7" s="275">
        <v>0</v>
      </c>
      <c r="L7" s="275">
        <v>0.1</v>
      </c>
      <c r="M7" s="276">
        <v>2130</v>
      </c>
      <c r="N7" s="276">
        <v>768</v>
      </c>
      <c r="O7" s="277">
        <v>1.56</v>
      </c>
      <c r="P7" s="277">
        <v>0</v>
      </c>
      <c r="Q7" s="286">
        <v>5480</v>
      </c>
      <c r="R7" s="287">
        <f t="shared" si="6"/>
        <v>165547</v>
      </c>
      <c r="S7" s="288"/>
      <c r="T7" s="289" t="s">
        <v>44</v>
      </c>
      <c r="U7" s="290">
        <f>M36*W7/1000</f>
        <v>50236.05</v>
      </c>
      <c r="V7" s="283"/>
      <c r="W7" s="56">
        <v>445</v>
      </c>
      <c r="X7" s="283">
        <f>M35/R35*1000</f>
        <v>20.9252058738864</v>
      </c>
      <c r="Y7" s="282">
        <v>445</v>
      </c>
      <c r="Z7" s="318">
        <v>44656</v>
      </c>
      <c r="AB7" s="320">
        <f t="shared" si="7"/>
        <v>178.84</v>
      </c>
      <c r="AD7" s="3">
        <f t="shared" si="0"/>
        <v>0</v>
      </c>
      <c r="AE7" s="3">
        <f>$W$5*H7/1000/R7</f>
        <v>0.0380556579098383</v>
      </c>
      <c r="AF7" s="3">
        <f t="shared" si="1"/>
        <v>6.28220384543362e-6</v>
      </c>
      <c r="AG7" s="3">
        <f t="shared" si="2"/>
        <v>0.00572556434124448</v>
      </c>
      <c r="AH7" s="3">
        <f t="shared" si="3"/>
        <v>0.0301313826284983</v>
      </c>
      <c r="AI7" s="3">
        <f t="shared" si="4"/>
        <v>0.0739188870834265</v>
      </c>
      <c r="AK7" s="3">
        <f>AB7*(100-进出水!T9)/100</f>
        <v>38.80828</v>
      </c>
      <c r="AL7" s="3">
        <f t="shared" si="5"/>
        <v>5.79773182423957</v>
      </c>
    </row>
    <row r="8" ht="18.6" customHeight="1" spans="1:38">
      <c r="A8" s="6">
        <v>4</v>
      </c>
      <c r="B8" s="264">
        <v>24.2</v>
      </c>
      <c r="C8" s="265" t="s">
        <v>45</v>
      </c>
      <c r="D8" s="266">
        <v>188228</v>
      </c>
      <c r="E8" s="267">
        <v>177.48</v>
      </c>
      <c r="F8" s="267">
        <v>0</v>
      </c>
      <c r="G8" s="267">
        <v>0</v>
      </c>
      <c r="H8" s="268">
        <v>200</v>
      </c>
      <c r="I8" s="6">
        <v>4314</v>
      </c>
      <c r="J8" s="274">
        <v>51399.9999999942</v>
      </c>
      <c r="K8" s="275">
        <v>0</v>
      </c>
      <c r="L8" s="275">
        <v>0</v>
      </c>
      <c r="M8" s="276">
        <v>1562</v>
      </c>
      <c r="N8" s="276">
        <v>576</v>
      </c>
      <c r="O8" s="277">
        <v>1.62</v>
      </c>
      <c r="P8" s="277">
        <v>0</v>
      </c>
      <c r="Q8" s="286">
        <v>5480</v>
      </c>
      <c r="R8" s="287">
        <f t="shared" si="6"/>
        <v>182748</v>
      </c>
      <c r="S8" s="288"/>
      <c r="T8" s="289" t="s">
        <v>46</v>
      </c>
      <c r="U8" s="290">
        <f>N36*W8/1000</f>
        <v>252837.36</v>
      </c>
      <c r="V8" s="283">
        <f>U7+U8</f>
        <v>303073.41</v>
      </c>
      <c r="W8" s="56">
        <v>6495</v>
      </c>
      <c r="X8" s="283">
        <f>N35/R35*1000</f>
        <v>7.21566493275444</v>
      </c>
      <c r="Y8" s="56">
        <v>6495</v>
      </c>
      <c r="Z8" s="318">
        <v>44900</v>
      </c>
      <c r="AB8" s="320">
        <f t="shared" si="7"/>
        <v>177.48</v>
      </c>
      <c r="AD8" s="3">
        <f t="shared" si="0"/>
        <v>0</v>
      </c>
      <c r="AE8" s="3">
        <f>$W$5*H8/1000/R8</f>
        <v>0.0306432902138464</v>
      </c>
      <c r="AF8" s="3">
        <f t="shared" si="1"/>
        <v>0</v>
      </c>
      <c r="AG8" s="3">
        <f t="shared" si="2"/>
        <v>0.00380354367763259</v>
      </c>
      <c r="AH8" s="3">
        <f t="shared" si="3"/>
        <v>0.0204714689080045</v>
      </c>
      <c r="AI8" s="3">
        <f t="shared" si="4"/>
        <v>0.0549183027994834</v>
      </c>
      <c r="AK8" s="3">
        <f>AB8*(100-进出水!T10)/100</f>
        <v>38.86812</v>
      </c>
      <c r="AL8" s="3">
        <f t="shared" si="5"/>
        <v>5.14560519006322</v>
      </c>
    </row>
    <row r="9" ht="18.6" customHeight="1" spans="1:38">
      <c r="A9" s="6">
        <v>5</v>
      </c>
      <c r="B9" s="264">
        <v>24.5</v>
      </c>
      <c r="C9" s="265" t="s">
        <v>41</v>
      </c>
      <c r="D9" s="266">
        <v>159531</v>
      </c>
      <c r="E9" s="267">
        <v>142.2</v>
      </c>
      <c r="F9" s="267">
        <v>0</v>
      </c>
      <c r="G9" s="267">
        <v>0</v>
      </c>
      <c r="H9" s="268">
        <v>200</v>
      </c>
      <c r="I9" s="6">
        <v>4638</v>
      </c>
      <c r="J9" s="278">
        <v>47700.0000000044</v>
      </c>
      <c r="K9" s="275">
        <v>0</v>
      </c>
      <c r="L9" s="275">
        <v>0.1</v>
      </c>
      <c r="M9" s="276">
        <v>2343</v>
      </c>
      <c r="N9" s="276">
        <v>840</v>
      </c>
      <c r="O9" s="277">
        <v>1.5</v>
      </c>
      <c r="P9" s="277">
        <v>0</v>
      </c>
      <c r="Q9" s="286">
        <v>5480</v>
      </c>
      <c r="R9" s="287">
        <f t="shared" si="6"/>
        <v>154051</v>
      </c>
      <c r="S9" s="288"/>
      <c r="T9" s="289" t="s">
        <v>47</v>
      </c>
      <c r="U9" s="290">
        <f>K36*W9/1000</f>
        <v>0.1578</v>
      </c>
      <c r="V9" s="283"/>
      <c r="W9" s="56">
        <v>526</v>
      </c>
      <c r="X9" s="283">
        <f>K35/R35*1000</f>
        <v>5.56077753757278e-5</v>
      </c>
      <c r="Y9" s="282">
        <v>526</v>
      </c>
      <c r="Z9" s="318">
        <v>44656</v>
      </c>
      <c r="AB9" s="320">
        <f t="shared" si="7"/>
        <v>142.2</v>
      </c>
      <c r="AD9" s="3">
        <f t="shared" si="0"/>
        <v>0</v>
      </c>
      <c r="AE9" s="3">
        <f>$W$5*H9/1000/R9</f>
        <v>0.0363515978474661</v>
      </c>
      <c r="AF9" s="3">
        <f t="shared" si="1"/>
        <v>6.75101102881513e-6</v>
      </c>
      <c r="AG9" s="3">
        <f t="shared" si="2"/>
        <v>0.00676811575387372</v>
      </c>
      <c r="AH9" s="3">
        <f t="shared" si="3"/>
        <v>0.0354155442028938</v>
      </c>
      <c r="AI9" s="3">
        <f t="shared" si="4"/>
        <v>0.0785420088152625</v>
      </c>
      <c r="AK9" s="3">
        <f>AB9*(100-进出水!T11)/100</f>
        <v>30.8574</v>
      </c>
      <c r="AL9" s="3">
        <f t="shared" si="5"/>
        <v>6.4814274695859</v>
      </c>
    </row>
    <row r="10" ht="18.6" customHeight="1" spans="1:38">
      <c r="A10" s="6">
        <v>6</v>
      </c>
      <c r="B10" s="264">
        <v>24.6</v>
      </c>
      <c r="C10" s="265" t="s">
        <v>41</v>
      </c>
      <c r="D10" s="266">
        <v>158579</v>
      </c>
      <c r="E10" s="267">
        <v>176.82</v>
      </c>
      <c r="F10" s="267">
        <v>0</v>
      </c>
      <c r="G10" s="267">
        <v>0</v>
      </c>
      <c r="H10" s="268">
        <v>225</v>
      </c>
      <c r="I10" s="6">
        <v>4734</v>
      </c>
      <c r="J10" s="274">
        <v>48299.9999999811</v>
      </c>
      <c r="K10" s="275">
        <v>0</v>
      </c>
      <c r="L10" s="275">
        <v>0</v>
      </c>
      <c r="M10" s="276">
        <v>4047</v>
      </c>
      <c r="N10" s="276">
        <v>1392</v>
      </c>
      <c r="O10" s="277">
        <v>1.8</v>
      </c>
      <c r="P10" s="277">
        <v>0</v>
      </c>
      <c r="Q10" s="286">
        <v>5480</v>
      </c>
      <c r="R10" s="287">
        <f t="shared" si="6"/>
        <v>153099</v>
      </c>
      <c r="S10" s="288"/>
      <c r="T10" s="289" t="s">
        <v>48</v>
      </c>
      <c r="U10" s="290">
        <f>T18</f>
        <v>106341.94</v>
      </c>
      <c r="V10" s="283" t="s">
        <v>49</v>
      </c>
      <c r="W10" s="292"/>
      <c r="X10" s="292"/>
      <c r="Y10" s="321"/>
      <c r="Z10" s="321"/>
      <c r="AB10" s="320">
        <f t="shared" si="7"/>
        <v>176.82</v>
      </c>
      <c r="AD10" s="3">
        <f t="shared" si="0"/>
        <v>0</v>
      </c>
      <c r="AE10" s="3">
        <f>$W$5*H10/1000/R10</f>
        <v>0.0411498442184469</v>
      </c>
      <c r="AF10" s="3">
        <f t="shared" si="1"/>
        <v>0</v>
      </c>
      <c r="AG10" s="3">
        <f t="shared" si="2"/>
        <v>0.0117630748731213</v>
      </c>
      <c r="AH10" s="3">
        <f t="shared" si="3"/>
        <v>0.0590535535829757</v>
      </c>
      <c r="AI10" s="3">
        <f t="shared" si="4"/>
        <v>0.111966472674544</v>
      </c>
      <c r="AK10" s="3">
        <f>AB10*(100-进出水!T12)/100</f>
        <v>38.0163</v>
      </c>
      <c r="AL10" s="3">
        <f t="shared" si="5"/>
        <v>5.91851390061632</v>
      </c>
    </row>
    <row r="11" ht="18.6" customHeight="1" spans="1:38">
      <c r="A11" s="6">
        <v>7</v>
      </c>
      <c r="B11" s="264">
        <v>23.8</v>
      </c>
      <c r="C11" s="265" t="s">
        <v>41</v>
      </c>
      <c r="D11" s="266">
        <v>150241</v>
      </c>
      <c r="E11" s="267">
        <v>101.78</v>
      </c>
      <c r="F11" s="267">
        <v>102.8</v>
      </c>
      <c r="G11" s="267">
        <v>0</v>
      </c>
      <c r="H11" s="268">
        <v>300</v>
      </c>
      <c r="I11" s="13">
        <v>4568</v>
      </c>
      <c r="J11" s="278">
        <v>47200.0000000116</v>
      </c>
      <c r="K11" s="275">
        <v>0</v>
      </c>
      <c r="L11" s="275">
        <v>0</v>
      </c>
      <c r="M11" s="276">
        <v>5538</v>
      </c>
      <c r="N11" s="276">
        <v>1824</v>
      </c>
      <c r="O11" s="277">
        <v>1.56</v>
      </c>
      <c r="P11" s="277">
        <v>0</v>
      </c>
      <c r="Q11" s="286">
        <v>5472</v>
      </c>
      <c r="R11" s="287">
        <f t="shared" si="6"/>
        <v>144769</v>
      </c>
      <c r="S11" s="288"/>
      <c r="T11" s="289" t="s">
        <v>50</v>
      </c>
      <c r="U11" s="290">
        <f>汇总!J5*4.2</f>
        <v>16732.8</v>
      </c>
      <c r="V11" s="283"/>
      <c r="W11" s="56">
        <v>4.2</v>
      </c>
      <c r="X11" s="56"/>
      <c r="Y11" s="56"/>
      <c r="Z11" s="282"/>
      <c r="AB11" s="320">
        <f t="shared" si="7"/>
        <v>204.58</v>
      </c>
      <c r="AD11" s="3">
        <f t="shared" si="0"/>
        <v>0</v>
      </c>
      <c r="AE11" s="3">
        <f>$W$5*H11/1000/R11</f>
        <v>0.058023471875885</v>
      </c>
      <c r="AF11" s="3">
        <f t="shared" si="1"/>
        <v>0</v>
      </c>
      <c r="AG11" s="3">
        <f t="shared" si="2"/>
        <v>0.0170230505149583</v>
      </c>
      <c r="AH11" s="3">
        <f t="shared" si="3"/>
        <v>0.0818329891067839</v>
      </c>
      <c r="AI11" s="3">
        <f t="shared" si="4"/>
        <v>0.156879511497627</v>
      </c>
      <c r="AK11" s="3">
        <f>AB11*(100-进出水!T13)/100</f>
        <v>44.80302</v>
      </c>
      <c r="AL11" s="3">
        <f t="shared" si="5"/>
        <v>6.69597719082329</v>
      </c>
    </row>
    <row r="12" ht="18.6" customHeight="1" spans="1:38">
      <c r="A12" s="6">
        <v>8</v>
      </c>
      <c r="B12" s="264">
        <v>24.4</v>
      </c>
      <c r="C12" s="265" t="s">
        <v>41</v>
      </c>
      <c r="D12" s="268">
        <v>172199</v>
      </c>
      <c r="E12" s="267">
        <v>211.34</v>
      </c>
      <c r="F12" s="267">
        <v>0</v>
      </c>
      <c r="G12" s="267">
        <v>0</v>
      </c>
      <c r="H12" s="268">
        <v>225</v>
      </c>
      <c r="I12" s="6">
        <v>4900</v>
      </c>
      <c r="J12" s="274">
        <v>49200.0000000189</v>
      </c>
      <c r="K12" s="275">
        <v>0</v>
      </c>
      <c r="L12" s="275">
        <v>0.1</v>
      </c>
      <c r="M12" s="276">
        <v>4615</v>
      </c>
      <c r="N12" s="276">
        <v>1584</v>
      </c>
      <c r="O12" s="277">
        <v>2.7</v>
      </c>
      <c r="P12" s="277">
        <v>0</v>
      </c>
      <c r="Q12" s="286">
        <v>4480</v>
      </c>
      <c r="R12" s="287">
        <f t="shared" si="6"/>
        <v>167719</v>
      </c>
      <c r="S12" s="288"/>
      <c r="T12" s="293"/>
      <c r="U12" s="294"/>
      <c r="V12" s="292"/>
      <c r="W12" s="292"/>
      <c r="X12" s="292"/>
      <c r="AB12" s="320">
        <f t="shared" si="7"/>
        <v>211.34</v>
      </c>
      <c r="AD12" s="3">
        <f t="shared" si="0"/>
        <v>0</v>
      </c>
      <c r="AE12" s="3">
        <f>$W$5*H12/1000/R12</f>
        <v>0.0375628283021005</v>
      </c>
      <c r="AF12" s="3">
        <f t="shared" si="1"/>
        <v>6.20084784669596e-6</v>
      </c>
      <c r="AG12" s="3">
        <f t="shared" si="2"/>
        <v>0.0122447367322724</v>
      </c>
      <c r="AH12" s="3">
        <f t="shared" si="3"/>
        <v>0.061341171840996</v>
      </c>
      <c r="AI12" s="3">
        <f t="shared" si="4"/>
        <v>0.111154937723216</v>
      </c>
      <c r="AK12" s="3">
        <f>AB12*(100-进出水!T14)/100</f>
        <v>45.86078</v>
      </c>
      <c r="AL12" s="3">
        <f t="shared" si="5"/>
        <v>4.90615292631307</v>
      </c>
    </row>
    <row r="13" ht="18.6" customHeight="1" spans="1:38">
      <c r="A13" s="6">
        <v>9</v>
      </c>
      <c r="B13" s="264">
        <v>24</v>
      </c>
      <c r="C13" s="265" t="s">
        <v>41</v>
      </c>
      <c r="D13" s="266">
        <v>181059</v>
      </c>
      <c r="E13" s="267">
        <v>72.84</v>
      </c>
      <c r="F13" s="267">
        <v>69.24</v>
      </c>
      <c r="G13" s="267">
        <v>0</v>
      </c>
      <c r="H13" s="268">
        <v>125</v>
      </c>
      <c r="I13" s="6">
        <v>4472</v>
      </c>
      <c r="J13" s="274">
        <v>50900.0000000015</v>
      </c>
      <c r="K13" s="275">
        <v>0</v>
      </c>
      <c r="L13" s="275">
        <v>0</v>
      </c>
      <c r="M13" s="276">
        <v>3195</v>
      </c>
      <c r="N13" s="276">
        <v>1128</v>
      </c>
      <c r="O13" s="277">
        <v>4.2</v>
      </c>
      <c r="P13" s="277">
        <v>0</v>
      </c>
      <c r="Q13" s="286">
        <v>5384</v>
      </c>
      <c r="R13" s="287">
        <f t="shared" si="6"/>
        <v>175675</v>
      </c>
      <c r="S13" s="288"/>
      <c r="T13" s="289"/>
      <c r="U13" s="295">
        <f>U14/R36</f>
        <v>0.0892666220074444</v>
      </c>
      <c r="V13" s="56"/>
      <c r="W13" s="56"/>
      <c r="X13" s="292"/>
      <c r="AB13" s="320">
        <f t="shared" si="7"/>
        <v>142.08</v>
      </c>
      <c r="AD13" s="3">
        <f t="shared" si="0"/>
        <v>0</v>
      </c>
      <c r="AE13" s="3">
        <f>$W$5*H13/1000/R13</f>
        <v>0.0199231535505906</v>
      </c>
      <c r="AF13" s="3">
        <f t="shared" si="1"/>
        <v>0</v>
      </c>
      <c r="AG13" s="3">
        <f t="shared" si="2"/>
        <v>0.00809321189696884</v>
      </c>
      <c r="AH13" s="3">
        <f t="shared" si="3"/>
        <v>0.0417040557848299</v>
      </c>
      <c r="AI13" s="3">
        <f t="shared" si="4"/>
        <v>0.0697204212323894</v>
      </c>
      <c r="AK13" s="3">
        <f>AB13*(100-进出水!T15)/100</f>
        <v>30.5472</v>
      </c>
      <c r="AL13" s="3">
        <f t="shared" si="5"/>
        <v>4.09202807458621</v>
      </c>
    </row>
    <row r="14" ht="18.6" customHeight="1" spans="1:38">
      <c r="A14" s="6">
        <v>10</v>
      </c>
      <c r="B14" s="264">
        <v>23</v>
      </c>
      <c r="C14" s="265" t="s">
        <v>45</v>
      </c>
      <c r="D14" s="266">
        <v>174452</v>
      </c>
      <c r="E14" s="267">
        <v>34.98</v>
      </c>
      <c r="F14" s="267">
        <v>52.88</v>
      </c>
      <c r="G14" s="267">
        <v>0</v>
      </c>
      <c r="H14" s="268">
        <v>250</v>
      </c>
      <c r="I14" s="6">
        <v>4934</v>
      </c>
      <c r="J14" s="274">
        <v>50299.9999999884</v>
      </c>
      <c r="K14" s="275">
        <v>0</v>
      </c>
      <c r="L14" s="275">
        <v>0.1</v>
      </c>
      <c r="M14" s="276">
        <v>1988</v>
      </c>
      <c r="N14" s="276">
        <v>720</v>
      </c>
      <c r="O14" s="277">
        <v>4.74</v>
      </c>
      <c r="P14" s="277">
        <v>0</v>
      </c>
      <c r="Q14" s="286">
        <v>5424</v>
      </c>
      <c r="R14" s="287">
        <f t="shared" si="6"/>
        <v>169028</v>
      </c>
      <c r="S14" s="288"/>
      <c r="T14" s="296" t="s">
        <v>51</v>
      </c>
      <c r="U14" s="297">
        <f>U5+U6+U7+U8+U9</f>
        <v>481587.0878</v>
      </c>
      <c r="V14" s="298" t="s">
        <v>52</v>
      </c>
      <c r="W14" s="299">
        <f>U6+U9</f>
        <v>13.6778</v>
      </c>
      <c r="X14" s="292"/>
      <c r="AB14" s="320">
        <f t="shared" si="7"/>
        <v>87.86</v>
      </c>
      <c r="AD14" s="3">
        <f t="shared" si="0"/>
        <v>0</v>
      </c>
      <c r="AE14" s="3">
        <f>$W$5*H14/1000/R14</f>
        <v>0.0414132569751757</v>
      </c>
      <c r="AF14" s="3">
        <f t="shared" si="1"/>
        <v>6.15282675059753e-6</v>
      </c>
      <c r="AG14" s="3">
        <f t="shared" si="2"/>
        <v>0.00523380741652271</v>
      </c>
      <c r="AH14" s="3">
        <f t="shared" si="3"/>
        <v>0.0276664221312445</v>
      </c>
      <c r="AI14" s="3">
        <f t="shared" si="4"/>
        <v>0.0743196393496935</v>
      </c>
      <c r="AK14" s="3">
        <f>AB14*(100-进出水!T16)/100</f>
        <v>18.71418</v>
      </c>
      <c r="AL14" s="3">
        <f t="shared" si="5"/>
        <v>13.3588540881834</v>
      </c>
    </row>
    <row r="15" ht="18.6" customHeight="1" spans="1:38">
      <c r="A15" s="6">
        <v>11</v>
      </c>
      <c r="B15" s="264">
        <v>24.4</v>
      </c>
      <c r="C15" s="265" t="s">
        <v>45</v>
      </c>
      <c r="D15" s="266">
        <v>178151</v>
      </c>
      <c r="E15" s="267">
        <v>33.36</v>
      </c>
      <c r="F15" s="267">
        <v>155.22</v>
      </c>
      <c r="G15" s="267">
        <v>0</v>
      </c>
      <c r="H15" s="268">
        <v>275</v>
      </c>
      <c r="I15" s="6">
        <v>4932</v>
      </c>
      <c r="J15" s="278">
        <v>50000</v>
      </c>
      <c r="K15" s="275">
        <v>0.3</v>
      </c>
      <c r="L15" s="275">
        <v>0</v>
      </c>
      <c r="M15" s="276">
        <v>2059</v>
      </c>
      <c r="N15" s="276">
        <v>768</v>
      </c>
      <c r="O15" s="277">
        <v>4.46</v>
      </c>
      <c r="P15" s="277">
        <v>0</v>
      </c>
      <c r="Q15" s="286">
        <v>5432</v>
      </c>
      <c r="R15" s="287">
        <f t="shared" si="6"/>
        <v>172719</v>
      </c>
      <c r="S15" s="288"/>
      <c r="T15" s="296" t="s">
        <v>53</v>
      </c>
      <c r="U15" s="300" t="s">
        <v>54</v>
      </c>
      <c r="V15" s="300" t="s">
        <v>55</v>
      </c>
      <c r="W15" s="301" t="s">
        <v>56</v>
      </c>
      <c r="X15" s="292"/>
      <c r="AB15" s="320">
        <f t="shared" si="7"/>
        <v>188.58</v>
      </c>
      <c r="AD15" s="3">
        <f t="shared" si="0"/>
        <v>9.13622705087454e-7</v>
      </c>
      <c r="AE15" s="3">
        <f>$W$5*H15/1000/R15</f>
        <v>0.0445810825676388</v>
      </c>
      <c r="AF15" s="3">
        <f t="shared" si="1"/>
        <v>0</v>
      </c>
      <c r="AG15" s="3">
        <f t="shared" si="2"/>
        <v>0.00530488828675479</v>
      </c>
      <c r="AH15" s="3">
        <f t="shared" si="3"/>
        <v>0.0288802042624147</v>
      </c>
      <c r="AI15" s="3">
        <f t="shared" si="4"/>
        <v>0.0787670887395133</v>
      </c>
      <c r="AK15" s="3">
        <f>AB15*(100-进出水!T17)/100</f>
        <v>39.79038</v>
      </c>
      <c r="AL15" s="3">
        <f t="shared" si="5"/>
        <v>6.91121823918244</v>
      </c>
    </row>
    <row r="16" ht="18.6" customHeight="1" spans="1:38">
      <c r="A16" s="6">
        <v>12</v>
      </c>
      <c r="B16" s="264">
        <v>24.3</v>
      </c>
      <c r="C16" s="265" t="s">
        <v>45</v>
      </c>
      <c r="D16" s="266">
        <v>175084</v>
      </c>
      <c r="E16" s="267">
        <v>35.94</v>
      </c>
      <c r="F16" s="267">
        <v>121.76</v>
      </c>
      <c r="G16" s="267">
        <v>0</v>
      </c>
      <c r="H16" s="268">
        <v>275</v>
      </c>
      <c r="I16" s="6">
        <v>5202</v>
      </c>
      <c r="J16" s="279">
        <v>51599.9999999985</v>
      </c>
      <c r="K16" s="275">
        <v>0</v>
      </c>
      <c r="L16" s="275">
        <v>0.1</v>
      </c>
      <c r="M16" s="276">
        <v>1420</v>
      </c>
      <c r="N16" s="276">
        <v>528</v>
      </c>
      <c r="O16" s="277">
        <v>3.8</v>
      </c>
      <c r="P16" s="277">
        <v>0</v>
      </c>
      <c r="Q16" s="286">
        <v>5424</v>
      </c>
      <c r="R16" s="287">
        <f t="shared" si="6"/>
        <v>169660</v>
      </c>
      <c r="S16" s="288"/>
      <c r="T16" s="302">
        <f>U16+V16+W16</f>
        <v>4694.12</v>
      </c>
      <c r="U16" s="299">
        <f>F36</f>
        <v>2963.46</v>
      </c>
      <c r="V16" s="299">
        <f>E36</f>
        <v>1700.66</v>
      </c>
      <c r="W16" s="299">
        <f>G36</f>
        <v>30</v>
      </c>
      <c r="X16" s="292"/>
      <c r="AB16" s="320">
        <f t="shared" si="7"/>
        <v>157.7</v>
      </c>
      <c r="AD16" s="3">
        <f t="shared" si="0"/>
        <v>0</v>
      </c>
      <c r="AE16" s="3">
        <f>$W$5*H16/1000/R16</f>
        <v>0.0453848874219026</v>
      </c>
      <c r="AF16" s="3">
        <f t="shared" si="1"/>
        <v>6.12990687256867e-6</v>
      </c>
      <c r="AG16" s="3">
        <f t="shared" si="2"/>
        <v>0.00372450783920783</v>
      </c>
      <c r="AH16" s="3">
        <f t="shared" si="3"/>
        <v>0.0202131321466462</v>
      </c>
      <c r="AI16" s="3">
        <f t="shared" si="4"/>
        <v>0.0693286573146293</v>
      </c>
      <c r="AK16" s="3">
        <f>AB16*(100-进出水!T18)/100</f>
        <v>33.5901</v>
      </c>
      <c r="AL16" s="3">
        <f t="shared" si="5"/>
        <v>8.18693603174745</v>
      </c>
    </row>
    <row r="17" ht="18.6" customHeight="1" spans="1:38">
      <c r="A17" s="6">
        <v>13</v>
      </c>
      <c r="B17" s="264">
        <v>23</v>
      </c>
      <c r="C17" s="265" t="s">
        <v>45</v>
      </c>
      <c r="D17" s="266">
        <v>178269</v>
      </c>
      <c r="E17" s="267">
        <v>17.66</v>
      </c>
      <c r="F17" s="267">
        <v>223.7</v>
      </c>
      <c r="G17" s="267">
        <v>0</v>
      </c>
      <c r="H17" s="268">
        <v>275</v>
      </c>
      <c r="I17" s="6">
        <v>4200</v>
      </c>
      <c r="J17" s="279">
        <v>52700.0000000044</v>
      </c>
      <c r="K17" s="275">
        <v>0</v>
      </c>
      <c r="L17" s="275">
        <v>0</v>
      </c>
      <c r="M17" s="276">
        <v>3195</v>
      </c>
      <c r="N17" s="276">
        <v>1104</v>
      </c>
      <c r="O17" s="277">
        <v>3.965</v>
      </c>
      <c r="P17" s="277">
        <v>0</v>
      </c>
      <c r="Q17" s="286">
        <v>5432</v>
      </c>
      <c r="R17" s="287">
        <f t="shared" si="6"/>
        <v>172837</v>
      </c>
      <c r="S17" s="288"/>
      <c r="T17" s="296" t="s">
        <v>57</v>
      </c>
      <c r="U17" s="303">
        <v>22.8</v>
      </c>
      <c r="V17" s="303">
        <v>22.8</v>
      </c>
      <c r="W17" s="298"/>
      <c r="X17" s="292"/>
      <c r="AB17" s="320">
        <f t="shared" si="7"/>
        <v>241.36</v>
      </c>
      <c r="AD17" s="3">
        <f t="shared" si="0"/>
        <v>0</v>
      </c>
      <c r="AE17" s="3">
        <f>$W$5*H17/1000/R17</f>
        <v>0.0445506459843668</v>
      </c>
      <c r="AF17" s="3">
        <f t="shared" si="1"/>
        <v>0</v>
      </c>
      <c r="AG17" s="3">
        <f t="shared" si="2"/>
        <v>0.00822610320706793</v>
      </c>
      <c r="AH17" s="3">
        <f t="shared" si="3"/>
        <v>0.0414869501322055</v>
      </c>
      <c r="AI17" s="3">
        <f t="shared" si="4"/>
        <v>0.0942636993236402</v>
      </c>
      <c r="AK17" s="3">
        <f>AB17*(100-进出水!T19)/100</f>
        <v>51.65104</v>
      </c>
      <c r="AL17" s="3">
        <f t="shared" si="5"/>
        <v>5.32419095530312</v>
      </c>
    </row>
    <row r="18" ht="18.6" customHeight="1" spans="1:38">
      <c r="A18" s="6">
        <v>14</v>
      </c>
      <c r="B18" s="264">
        <v>23.5</v>
      </c>
      <c r="C18" s="265" t="s">
        <v>45</v>
      </c>
      <c r="D18" s="266">
        <v>162657</v>
      </c>
      <c r="E18" s="267">
        <v>0</v>
      </c>
      <c r="F18" s="267">
        <v>106.6</v>
      </c>
      <c r="G18" s="267">
        <v>0</v>
      </c>
      <c r="H18" s="268">
        <v>275</v>
      </c>
      <c r="I18" s="6">
        <v>3654</v>
      </c>
      <c r="J18" s="279">
        <v>50200.0000000044</v>
      </c>
      <c r="K18" s="275">
        <v>0</v>
      </c>
      <c r="L18" s="275">
        <v>0</v>
      </c>
      <c r="M18" s="276">
        <v>5680</v>
      </c>
      <c r="N18" s="276">
        <v>1872</v>
      </c>
      <c r="O18" s="277">
        <v>5.135</v>
      </c>
      <c r="P18" s="277">
        <v>0</v>
      </c>
      <c r="Q18" s="286">
        <v>5432</v>
      </c>
      <c r="R18" s="287">
        <f t="shared" si="6"/>
        <v>157225</v>
      </c>
      <c r="S18" s="288"/>
      <c r="T18" s="302">
        <f>U18+V18</f>
        <v>106341.94</v>
      </c>
      <c r="U18" s="304">
        <f>ROUND(U16*U17,2)</f>
        <v>67566.89</v>
      </c>
      <c r="V18" s="301">
        <f>ROUND(V16*V17,2)</f>
        <v>38775.05</v>
      </c>
      <c r="W18" s="298"/>
      <c r="X18" s="292"/>
      <c r="AB18" s="320">
        <f t="shared" si="7"/>
        <v>106.6</v>
      </c>
      <c r="AD18" s="3">
        <f t="shared" si="0"/>
        <v>0</v>
      </c>
      <c r="AE18" s="3">
        <f>$W$5*H18/1000/R18</f>
        <v>0.0489743997455875</v>
      </c>
      <c r="AF18" s="3">
        <f t="shared" si="1"/>
        <v>0</v>
      </c>
      <c r="AG18" s="3">
        <f t="shared" si="2"/>
        <v>0.0160763237398633</v>
      </c>
      <c r="AH18" s="3">
        <f t="shared" si="3"/>
        <v>0.0773327397042455</v>
      </c>
      <c r="AI18" s="3">
        <f t="shared" si="4"/>
        <v>0.142383463189696</v>
      </c>
      <c r="AK18" s="3">
        <f>AB18*(100-进出水!T20)/100</f>
        <v>22.5992</v>
      </c>
      <c r="AL18" s="3">
        <f t="shared" si="5"/>
        <v>12.1685723388439</v>
      </c>
    </row>
    <row r="19" ht="18.6" customHeight="1" spans="1:38">
      <c r="A19" s="6">
        <v>15</v>
      </c>
      <c r="B19" s="264">
        <v>23.4</v>
      </c>
      <c r="C19" s="265" t="s">
        <v>41</v>
      </c>
      <c r="D19" s="266">
        <v>150339</v>
      </c>
      <c r="E19" s="267">
        <v>0</v>
      </c>
      <c r="F19" s="267">
        <v>187.16</v>
      </c>
      <c r="G19" s="267">
        <v>0</v>
      </c>
      <c r="H19" s="268">
        <v>275</v>
      </c>
      <c r="I19" s="6">
        <v>3850</v>
      </c>
      <c r="J19" s="279">
        <v>48699.9999999898</v>
      </c>
      <c r="K19" s="275">
        <v>0</v>
      </c>
      <c r="L19" s="275">
        <v>0.1</v>
      </c>
      <c r="M19" s="276">
        <v>4970</v>
      </c>
      <c r="N19" s="276">
        <v>1728</v>
      </c>
      <c r="O19" s="277">
        <v>5.07</v>
      </c>
      <c r="P19" s="277">
        <v>0</v>
      </c>
      <c r="Q19" s="286">
        <v>5440</v>
      </c>
      <c r="R19" s="287">
        <f t="shared" si="6"/>
        <v>144899</v>
      </c>
      <c r="S19" s="288"/>
      <c r="T19" s="296" t="s">
        <v>58</v>
      </c>
      <c r="U19" s="300"/>
      <c r="V19" s="303">
        <v>0</v>
      </c>
      <c r="W19" s="298"/>
      <c r="X19" s="292"/>
      <c r="AB19" s="320">
        <f t="shared" si="7"/>
        <v>187.16</v>
      </c>
      <c r="AD19" s="3">
        <f t="shared" si="0"/>
        <v>0</v>
      </c>
      <c r="AE19" s="3">
        <f>$W$5*H19/1000/R19</f>
        <v>0.053140463357235</v>
      </c>
      <c r="AF19" s="3">
        <f t="shared" si="1"/>
        <v>7.17741323266551e-6</v>
      </c>
      <c r="AG19" s="3">
        <f t="shared" si="2"/>
        <v>0.0152633903615622</v>
      </c>
      <c r="AH19" s="3">
        <f t="shared" si="3"/>
        <v>0.0774564351720854</v>
      </c>
      <c r="AI19" s="3">
        <f t="shared" si="4"/>
        <v>0.145867466304115</v>
      </c>
      <c r="AK19" s="3">
        <f>AB19*(100-进出水!T21)/100</f>
        <v>40.05224</v>
      </c>
      <c r="AL19" s="3">
        <f t="shared" si="5"/>
        <v>6.86603296095299</v>
      </c>
    </row>
    <row r="20" ht="18.6" customHeight="1" spans="1:38">
      <c r="A20" s="6">
        <v>16</v>
      </c>
      <c r="B20" s="264">
        <v>23.4</v>
      </c>
      <c r="C20" s="265" t="s">
        <v>41</v>
      </c>
      <c r="D20" s="266">
        <v>163366</v>
      </c>
      <c r="E20" s="267">
        <v>0</v>
      </c>
      <c r="F20" s="267">
        <v>184.1</v>
      </c>
      <c r="G20" s="267">
        <v>0</v>
      </c>
      <c r="H20" s="268">
        <v>250</v>
      </c>
      <c r="I20" s="6">
        <v>4490</v>
      </c>
      <c r="J20" s="279">
        <v>49899.9999999796</v>
      </c>
      <c r="K20" s="275">
        <v>0</v>
      </c>
      <c r="L20" s="275">
        <v>0</v>
      </c>
      <c r="M20" s="276">
        <v>4970</v>
      </c>
      <c r="N20" s="276">
        <v>1704</v>
      </c>
      <c r="O20" s="277">
        <v>5.758</v>
      </c>
      <c r="P20" s="277">
        <v>0</v>
      </c>
      <c r="Q20" s="286">
        <v>5432</v>
      </c>
      <c r="R20" s="287">
        <f t="shared" si="6"/>
        <v>157934</v>
      </c>
      <c r="S20" s="288"/>
      <c r="T20" s="302">
        <f>U20+V20</f>
        <v>0</v>
      </c>
      <c r="U20" s="300"/>
      <c r="V20" s="301">
        <f>ROUND(V16*V19,2)</f>
        <v>0</v>
      </c>
      <c r="W20" s="298"/>
      <c r="X20" s="292"/>
      <c r="AB20" s="320">
        <f t="shared" si="7"/>
        <v>184.1</v>
      </c>
      <c r="AD20" s="3">
        <f t="shared" si="0"/>
        <v>0</v>
      </c>
      <c r="AE20" s="3">
        <f>$W$5*H20/1000/R20</f>
        <v>0.0443223118517862</v>
      </c>
      <c r="AF20" s="3">
        <f t="shared" si="1"/>
        <v>0</v>
      </c>
      <c r="AG20" s="3">
        <f t="shared" si="2"/>
        <v>0.0140036344295718</v>
      </c>
      <c r="AH20" s="3">
        <f t="shared" si="3"/>
        <v>0.0700766142819152</v>
      </c>
      <c r="AI20" s="3">
        <f t="shared" si="4"/>
        <v>0.128402560563273</v>
      </c>
      <c r="AK20" s="3">
        <f>AB20*(100-进出水!T22)/100</f>
        <v>39.5815</v>
      </c>
      <c r="AL20" s="3">
        <f t="shared" si="5"/>
        <v>6.31608200800879</v>
      </c>
    </row>
    <row r="21" ht="18.6" customHeight="1" spans="1:38">
      <c r="A21" s="6">
        <v>17</v>
      </c>
      <c r="B21" s="264">
        <v>23.2</v>
      </c>
      <c r="C21" s="265" t="s">
        <v>59</v>
      </c>
      <c r="D21" s="266">
        <v>210176</v>
      </c>
      <c r="E21" s="267">
        <v>51.66</v>
      </c>
      <c r="F21" s="267">
        <v>150.9</v>
      </c>
      <c r="G21" s="267">
        <v>0</v>
      </c>
      <c r="H21" s="268">
        <v>275</v>
      </c>
      <c r="I21" s="6">
        <v>3838</v>
      </c>
      <c r="J21" s="279">
        <v>55400.0000000087</v>
      </c>
      <c r="K21" s="275">
        <v>0</v>
      </c>
      <c r="L21" s="275">
        <v>0.1</v>
      </c>
      <c r="M21" s="276">
        <v>6177</v>
      </c>
      <c r="N21" s="276">
        <v>2040</v>
      </c>
      <c r="O21" s="277">
        <v>5.832</v>
      </c>
      <c r="P21" s="277">
        <v>0</v>
      </c>
      <c r="Q21" s="286">
        <v>5432</v>
      </c>
      <c r="R21" s="287">
        <f t="shared" si="6"/>
        <v>204744</v>
      </c>
      <c r="S21" s="288"/>
      <c r="T21" s="296" t="s">
        <v>60</v>
      </c>
      <c r="U21" s="305" t="s">
        <v>61</v>
      </c>
      <c r="V21" s="306">
        <f>V17+V19</f>
        <v>22.8</v>
      </c>
      <c r="W21" s="56" t="s">
        <v>62</v>
      </c>
      <c r="X21" s="292"/>
      <c r="AB21" s="320">
        <f t="shared" si="7"/>
        <v>202.56</v>
      </c>
      <c r="AD21" s="3">
        <f t="shared" si="0"/>
        <v>0</v>
      </c>
      <c r="AE21" s="3">
        <f>$W$5*H21/1000/R21</f>
        <v>0.0376079396710038</v>
      </c>
      <c r="AF21" s="3">
        <f t="shared" si="1"/>
        <v>5.07951392959012e-6</v>
      </c>
      <c r="AG21" s="3">
        <f t="shared" si="2"/>
        <v>0.0134253751025671</v>
      </c>
      <c r="AH21" s="3">
        <f t="shared" si="3"/>
        <v>0.06471398429258</v>
      </c>
      <c r="AI21" s="3">
        <f t="shared" si="4"/>
        <v>0.11575237858008</v>
      </c>
      <c r="AK21" s="3">
        <f>AB21*(100-进出水!T23)/100</f>
        <v>44.36064</v>
      </c>
      <c r="AL21" s="3">
        <f t="shared" si="5"/>
        <v>6.19918919113881</v>
      </c>
    </row>
    <row r="22" ht="18.6" customHeight="1" spans="1:38">
      <c r="A22" s="6">
        <v>18</v>
      </c>
      <c r="B22" s="264">
        <v>23.5</v>
      </c>
      <c r="C22" s="265" t="s">
        <v>45</v>
      </c>
      <c r="D22" s="266">
        <v>212495</v>
      </c>
      <c r="E22" s="267">
        <v>17.1</v>
      </c>
      <c r="F22" s="267">
        <v>155.7</v>
      </c>
      <c r="G22" s="267">
        <v>0</v>
      </c>
      <c r="H22" s="268">
        <v>250</v>
      </c>
      <c r="I22" s="6">
        <v>3862</v>
      </c>
      <c r="J22" s="63">
        <v>54900.000000016</v>
      </c>
      <c r="K22" s="275">
        <v>0</v>
      </c>
      <c r="L22" s="275">
        <v>0</v>
      </c>
      <c r="M22" s="276">
        <v>3905</v>
      </c>
      <c r="N22" s="276">
        <v>1368</v>
      </c>
      <c r="O22" s="277">
        <v>4.615</v>
      </c>
      <c r="P22" s="277">
        <v>0</v>
      </c>
      <c r="Q22" s="286">
        <v>5432</v>
      </c>
      <c r="R22" s="287">
        <f t="shared" si="6"/>
        <v>207063</v>
      </c>
      <c r="S22" s="288"/>
      <c r="T22" s="302">
        <f>T18+T20</f>
        <v>106341.94</v>
      </c>
      <c r="U22" s="305"/>
      <c r="V22" s="56"/>
      <c r="W22" s="307">
        <f>T16-E36-F36-G36</f>
        <v>-4.54747350886464e-13</v>
      </c>
      <c r="X22" s="292"/>
      <c r="AB22" s="320">
        <f t="shared" si="7"/>
        <v>172.8</v>
      </c>
      <c r="AD22" s="3">
        <f t="shared" si="0"/>
        <v>0</v>
      </c>
      <c r="AE22" s="3">
        <f>$W$5*H22/1000/R22</f>
        <v>0.0338061362966827</v>
      </c>
      <c r="AF22" s="3">
        <f t="shared" si="1"/>
        <v>0</v>
      </c>
      <c r="AG22" s="3">
        <f t="shared" si="2"/>
        <v>0.00839225259945041</v>
      </c>
      <c r="AH22" s="3">
        <f t="shared" si="3"/>
        <v>0.0429104185682618</v>
      </c>
      <c r="AI22" s="3">
        <f t="shared" si="4"/>
        <v>0.0851088074643949</v>
      </c>
      <c r="AK22" s="3">
        <f>AB22*(100-进出水!T24)/100</f>
        <v>37.152</v>
      </c>
      <c r="AL22" s="3">
        <f t="shared" si="5"/>
        <v>6.729112833764</v>
      </c>
    </row>
    <row r="23" ht="18.6" customHeight="1" spans="1:38">
      <c r="A23" s="6">
        <v>19</v>
      </c>
      <c r="B23" s="264">
        <v>23.5</v>
      </c>
      <c r="C23" s="265" t="s">
        <v>59</v>
      </c>
      <c r="D23" s="266">
        <v>216233</v>
      </c>
      <c r="E23" s="267">
        <v>0</v>
      </c>
      <c r="F23" s="267">
        <v>170.9</v>
      </c>
      <c r="G23" s="267">
        <v>0</v>
      </c>
      <c r="H23" s="268">
        <v>250</v>
      </c>
      <c r="I23" s="6">
        <v>4248</v>
      </c>
      <c r="J23" s="63">
        <v>54399.9999999869</v>
      </c>
      <c r="K23" s="275">
        <v>0</v>
      </c>
      <c r="L23" s="275">
        <v>0.1</v>
      </c>
      <c r="M23" s="276">
        <v>3976</v>
      </c>
      <c r="N23" s="276">
        <v>1392</v>
      </c>
      <c r="O23" s="277">
        <v>3.12</v>
      </c>
      <c r="P23" s="277">
        <v>0</v>
      </c>
      <c r="Q23" s="286">
        <v>5424</v>
      </c>
      <c r="R23" s="287">
        <f t="shared" si="6"/>
        <v>210809</v>
      </c>
      <c r="S23" s="288"/>
      <c r="T23" s="289"/>
      <c r="U23" s="308"/>
      <c r="V23" s="56"/>
      <c r="W23" s="56"/>
      <c r="X23" s="56"/>
      <c r="AB23" s="320">
        <f t="shared" si="7"/>
        <v>170.9</v>
      </c>
      <c r="AD23" s="3">
        <f t="shared" si="0"/>
        <v>0</v>
      </c>
      <c r="AE23" s="3">
        <f>$W$5*H23/1000/R23</f>
        <v>0.0332054134311154</v>
      </c>
      <c r="AF23" s="3">
        <f t="shared" si="1"/>
        <v>4.93337570976571e-6</v>
      </c>
      <c r="AG23" s="3">
        <f t="shared" si="2"/>
        <v>0.00839300029884872</v>
      </c>
      <c r="AH23" s="3">
        <f t="shared" si="3"/>
        <v>0.0428873530067502</v>
      </c>
      <c r="AI23" s="3">
        <f t="shared" si="4"/>
        <v>0.084490700112424</v>
      </c>
      <c r="AK23" s="3">
        <f>AB23*(100-进出水!T25)/100</f>
        <v>37.2562</v>
      </c>
      <c r="AL23" s="3">
        <f t="shared" si="5"/>
        <v>6.71029251507132</v>
      </c>
    </row>
    <row r="24" ht="18.6" customHeight="1" spans="1:38">
      <c r="A24" s="6">
        <v>20</v>
      </c>
      <c r="B24" s="264">
        <v>24</v>
      </c>
      <c r="C24" s="265" t="s">
        <v>45</v>
      </c>
      <c r="D24" s="266">
        <v>213432</v>
      </c>
      <c r="E24" s="267">
        <v>34.44</v>
      </c>
      <c r="F24" s="267">
        <v>136.74</v>
      </c>
      <c r="G24" s="267">
        <v>0</v>
      </c>
      <c r="H24" s="268">
        <v>300</v>
      </c>
      <c r="I24" s="6">
        <v>4042</v>
      </c>
      <c r="J24" s="63">
        <v>56500.0000000146</v>
      </c>
      <c r="K24" s="275">
        <v>0</v>
      </c>
      <c r="L24" s="275">
        <v>0</v>
      </c>
      <c r="M24" s="276">
        <v>4615</v>
      </c>
      <c r="N24" s="276">
        <v>1584</v>
      </c>
      <c r="O24" s="277">
        <v>1.885</v>
      </c>
      <c r="P24" s="277">
        <v>0</v>
      </c>
      <c r="Q24" s="286">
        <v>5424</v>
      </c>
      <c r="R24" s="287">
        <f t="shared" si="6"/>
        <v>208008</v>
      </c>
      <c r="S24" s="288"/>
      <c r="T24" s="289" t="s">
        <v>63</v>
      </c>
      <c r="U24" s="308" t="s">
        <v>64</v>
      </c>
      <c r="V24" s="309">
        <f>H36</f>
        <v>6375</v>
      </c>
      <c r="W24" s="56">
        <f>L36</f>
        <v>1.3</v>
      </c>
      <c r="X24" s="56"/>
      <c r="AB24" s="320">
        <f t="shared" si="7"/>
        <v>171.18</v>
      </c>
      <c r="AD24" s="3">
        <f t="shared" si="0"/>
        <v>0</v>
      </c>
      <c r="AE24" s="3">
        <f>$W$5*H24/1000/R24</f>
        <v>0.0403830621899158</v>
      </c>
      <c r="AF24" s="3">
        <f t="shared" si="1"/>
        <v>0</v>
      </c>
      <c r="AG24" s="3">
        <f t="shared" si="2"/>
        <v>0.00987305776700896</v>
      </c>
      <c r="AH24" s="3">
        <f t="shared" si="3"/>
        <v>0.049460020768432</v>
      </c>
      <c r="AI24" s="3">
        <f t="shared" si="4"/>
        <v>0.0997161407253567</v>
      </c>
      <c r="AK24" s="3">
        <f>AB24*(100-进出水!T26)/100</f>
        <v>37.14606</v>
      </c>
      <c r="AL24" s="3">
        <f t="shared" si="5"/>
        <v>8.0762266576859</v>
      </c>
    </row>
    <row r="25" ht="18.6" customHeight="1" spans="1:38">
      <c r="A25" s="6">
        <v>21</v>
      </c>
      <c r="B25" s="264">
        <v>22.6</v>
      </c>
      <c r="C25" s="265" t="s">
        <v>41</v>
      </c>
      <c r="D25" s="266">
        <v>183294</v>
      </c>
      <c r="E25" s="267">
        <v>0</v>
      </c>
      <c r="F25" s="267">
        <v>172.94</v>
      </c>
      <c r="G25" s="267">
        <v>0</v>
      </c>
      <c r="H25" s="268">
        <v>250</v>
      </c>
      <c r="I25" s="6">
        <v>3622</v>
      </c>
      <c r="J25" s="279">
        <v>55599.9999999767</v>
      </c>
      <c r="K25" s="275">
        <v>0</v>
      </c>
      <c r="L25" s="275">
        <v>0</v>
      </c>
      <c r="M25" s="276">
        <v>4260</v>
      </c>
      <c r="N25" s="276">
        <v>1488</v>
      </c>
      <c r="O25" s="277">
        <v>3.965</v>
      </c>
      <c r="P25" s="277">
        <v>0</v>
      </c>
      <c r="Q25" s="286">
        <v>5424</v>
      </c>
      <c r="R25" s="287">
        <f t="shared" si="6"/>
        <v>177870</v>
      </c>
      <c r="S25" s="288"/>
      <c r="T25" s="289"/>
      <c r="U25" s="308" t="s">
        <v>65</v>
      </c>
      <c r="V25" s="283">
        <f>汇总!F6</f>
        <v>6.281600490398</v>
      </c>
      <c r="W25" s="283">
        <f>W24/R36*1000</f>
        <v>0.000240967026628154</v>
      </c>
      <c r="X25" s="56"/>
      <c r="AB25" s="320">
        <f t="shared" si="7"/>
        <v>172.94</v>
      </c>
      <c r="AD25" s="3">
        <f t="shared" si="0"/>
        <v>0</v>
      </c>
      <c r="AE25" s="3">
        <f>$W$5*H25/1000/R25</f>
        <v>0.0393545848091303</v>
      </c>
      <c r="AF25" s="3">
        <f t="shared" si="1"/>
        <v>0</v>
      </c>
      <c r="AG25" s="3">
        <f t="shared" si="2"/>
        <v>0.0106577837746669</v>
      </c>
      <c r="AH25" s="3">
        <f t="shared" si="3"/>
        <v>0.0543349637375611</v>
      </c>
      <c r="AI25" s="3">
        <f t="shared" si="4"/>
        <v>0.104347332321358</v>
      </c>
      <c r="AK25" s="3">
        <f>AB25*(100-进出水!T27)/100</f>
        <v>37.87386</v>
      </c>
      <c r="AL25" s="3">
        <f t="shared" si="5"/>
        <v>6.60085874531933</v>
      </c>
    </row>
    <row r="26" ht="18.6" customHeight="1" spans="1:38">
      <c r="A26" s="6">
        <v>22</v>
      </c>
      <c r="B26" s="264">
        <v>22.3</v>
      </c>
      <c r="C26" s="265" t="s">
        <v>59</v>
      </c>
      <c r="D26" s="266">
        <v>186998</v>
      </c>
      <c r="E26" s="267">
        <v>17.38</v>
      </c>
      <c r="F26" s="267">
        <v>153.22</v>
      </c>
      <c r="G26" s="267">
        <v>0</v>
      </c>
      <c r="H26" s="268">
        <v>250</v>
      </c>
      <c r="I26" s="6">
        <v>3790</v>
      </c>
      <c r="J26" s="63">
        <v>48900.0000000306</v>
      </c>
      <c r="K26" s="275">
        <v>0</v>
      </c>
      <c r="L26" s="275">
        <v>0.1</v>
      </c>
      <c r="M26" s="276">
        <v>5325</v>
      </c>
      <c r="N26" s="276">
        <v>1776</v>
      </c>
      <c r="O26" s="277">
        <v>4.81</v>
      </c>
      <c r="P26" s="277">
        <v>0</v>
      </c>
      <c r="Q26" s="286">
        <v>5432</v>
      </c>
      <c r="R26" s="287">
        <f t="shared" si="6"/>
        <v>181566</v>
      </c>
      <c r="S26" s="288"/>
      <c r="T26" s="289" t="s">
        <v>9</v>
      </c>
      <c r="U26" s="308" t="s">
        <v>64</v>
      </c>
      <c r="V26" s="309">
        <f>K36</f>
        <v>0.3</v>
      </c>
      <c r="W26" s="56"/>
      <c r="X26" s="56"/>
      <c r="AB26" s="320">
        <f t="shared" si="7"/>
        <v>170.6</v>
      </c>
      <c r="AD26" s="3">
        <f t="shared" si="0"/>
        <v>0</v>
      </c>
      <c r="AE26" s="3">
        <f>$W$5*H26/1000/R26</f>
        <v>0.0385534736679775</v>
      </c>
      <c r="AF26" s="3">
        <f t="shared" si="1"/>
        <v>5.72794465924237e-6</v>
      </c>
      <c r="AG26" s="3">
        <f t="shared" si="2"/>
        <v>0.0130510392914973</v>
      </c>
      <c r="AH26" s="3">
        <f t="shared" si="3"/>
        <v>0.0635312778824229</v>
      </c>
      <c r="AI26" s="3">
        <f t="shared" si="4"/>
        <v>0.115141518786557</v>
      </c>
      <c r="AK26" s="3">
        <f>AB26*(100-进出水!T28)/100</f>
        <v>36.8496</v>
      </c>
      <c r="AL26" s="3">
        <f t="shared" si="5"/>
        <v>6.78433415830837</v>
      </c>
    </row>
    <row r="27" ht="18.6" customHeight="1" spans="1:38">
      <c r="A27" s="6">
        <v>23</v>
      </c>
      <c r="B27" s="264">
        <v>22.1</v>
      </c>
      <c r="C27" s="265" t="s">
        <v>41</v>
      </c>
      <c r="D27" s="266">
        <v>188360</v>
      </c>
      <c r="E27" s="267">
        <v>0</v>
      </c>
      <c r="F27" s="267">
        <v>154.28</v>
      </c>
      <c r="G27" s="267">
        <v>15</v>
      </c>
      <c r="H27" s="268">
        <v>150</v>
      </c>
      <c r="I27" s="6">
        <v>3818</v>
      </c>
      <c r="J27" s="63">
        <v>48599.9999999694</v>
      </c>
      <c r="K27" s="275">
        <v>0</v>
      </c>
      <c r="L27" s="275">
        <v>0</v>
      </c>
      <c r="M27" s="276">
        <v>3195</v>
      </c>
      <c r="N27" s="276">
        <v>1128</v>
      </c>
      <c r="O27" s="277">
        <v>4.68</v>
      </c>
      <c r="P27" s="277">
        <v>0</v>
      </c>
      <c r="Q27" s="286">
        <v>5424</v>
      </c>
      <c r="R27" s="287">
        <f t="shared" si="6"/>
        <v>182936</v>
      </c>
      <c r="S27" s="288"/>
      <c r="T27" s="289"/>
      <c r="U27" s="308" t="s">
        <v>66</v>
      </c>
      <c r="V27" s="307">
        <f>ROUND(K36/R36*1000,1)</f>
        <v>0</v>
      </c>
      <c r="W27" s="56"/>
      <c r="X27" s="56"/>
      <c r="AB27" s="320">
        <f t="shared" si="7"/>
        <v>169.28</v>
      </c>
      <c r="AD27" s="3">
        <f t="shared" si="0"/>
        <v>0</v>
      </c>
      <c r="AE27" s="3">
        <f>$W$5*H27/1000/R27</f>
        <v>0.0229588489963703</v>
      </c>
      <c r="AF27" s="3">
        <f t="shared" si="1"/>
        <v>0</v>
      </c>
      <c r="AG27" s="3">
        <f t="shared" si="2"/>
        <v>0.00777198036471772</v>
      </c>
      <c r="AH27" s="3">
        <f t="shared" si="3"/>
        <v>0.0400487602221542</v>
      </c>
      <c r="AI27" s="3">
        <f t="shared" si="4"/>
        <v>0.0707795895832422</v>
      </c>
      <c r="AK27" s="3">
        <f>AB27*(100-进出水!T29)/100</f>
        <v>36.22592</v>
      </c>
      <c r="AL27" s="3">
        <f t="shared" si="5"/>
        <v>4.14068158931505</v>
      </c>
    </row>
    <row r="28" ht="18.6" customHeight="1" spans="1:38">
      <c r="A28" s="6">
        <v>24</v>
      </c>
      <c r="B28" s="264">
        <v>22.5</v>
      </c>
      <c r="C28" s="265" t="s">
        <v>41</v>
      </c>
      <c r="D28" s="266">
        <v>211506</v>
      </c>
      <c r="E28" s="267">
        <v>50</v>
      </c>
      <c r="F28" s="267">
        <v>48.12</v>
      </c>
      <c r="G28" s="267">
        <v>15</v>
      </c>
      <c r="H28" s="268">
        <v>125</v>
      </c>
      <c r="I28" s="6">
        <v>3964</v>
      </c>
      <c r="J28" s="63">
        <v>53000.0000000291</v>
      </c>
      <c r="K28" s="275">
        <v>0</v>
      </c>
      <c r="L28" s="275">
        <v>0.1</v>
      </c>
      <c r="M28" s="276">
        <v>2840</v>
      </c>
      <c r="N28" s="276">
        <v>1008</v>
      </c>
      <c r="O28" s="277">
        <v>2.535</v>
      </c>
      <c r="P28" s="277">
        <v>0</v>
      </c>
      <c r="Q28" s="286">
        <v>5424</v>
      </c>
      <c r="R28" s="287">
        <f t="shared" si="6"/>
        <v>206082</v>
      </c>
      <c r="S28" s="288"/>
      <c r="T28" s="289" t="s">
        <v>11</v>
      </c>
      <c r="U28" s="308" t="s">
        <v>64</v>
      </c>
      <c r="V28" s="309">
        <f>M36</f>
        <v>112890</v>
      </c>
      <c r="W28" s="56"/>
      <c r="X28" s="56"/>
      <c r="AB28" s="320">
        <f t="shared" si="7"/>
        <v>113.12</v>
      </c>
      <c r="AD28" s="3">
        <f t="shared" si="0"/>
        <v>0</v>
      </c>
      <c r="AE28" s="3">
        <f>$W$5*H28/1000/R28</f>
        <v>0.0169835308275347</v>
      </c>
      <c r="AF28" s="3">
        <f t="shared" si="1"/>
        <v>5.04653487446745e-6</v>
      </c>
      <c r="AG28" s="3">
        <f t="shared" si="2"/>
        <v>0.0061325103599538</v>
      </c>
      <c r="AH28" s="3">
        <f t="shared" si="3"/>
        <v>0.0317687134247533</v>
      </c>
      <c r="AI28" s="3">
        <f t="shared" si="4"/>
        <v>0.0548898011471162</v>
      </c>
      <c r="AK28" s="3">
        <f>AB28*(100-进出水!T30)/100</f>
        <v>24.54704</v>
      </c>
      <c r="AL28" s="3">
        <f t="shared" si="5"/>
        <v>5.09226367007998</v>
      </c>
    </row>
    <row r="29" ht="18.6" customHeight="1" spans="1:38">
      <c r="A29" s="6">
        <v>25</v>
      </c>
      <c r="B29" s="264">
        <v>22.2</v>
      </c>
      <c r="C29" s="265" t="s">
        <v>41</v>
      </c>
      <c r="D29" s="266">
        <v>190022</v>
      </c>
      <c r="E29" s="267">
        <v>0</v>
      </c>
      <c r="F29" s="267">
        <v>104.84</v>
      </c>
      <c r="G29" s="267">
        <v>0</v>
      </c>
      <c r="H29" s="268">
        <v>125</v>
      </c>
      <c r="I29" s="6">
        <v>3886</v>
      </c>
      <c r="J29" s="63">
        <v>51199.9999999898</v>
      </c>
      <c r="K29" s="275">
        <v>0</v>
      </c>
      <c r="L29" s="275">
        <v>0</v>
      </c>
      <c r="M29" s="276">
        <v>2769</v>
      </c>
      <c r="N29" s="276">
        <v>960</v>
      </c>
      <c r="O29" s="277">
        <v>4.485</v>
      </c>
      <c r="P29" s="277">
        <v>0</v>
      </c>
      <c r="Q29" s="286">
        <v>5432</v>
      </c>
      <c r="R29" s="287">
        <f t="shared" si="6"/>
        <v>184590</v>
      </c>
      <c r="S29" s="288"/>
      <c r="T29" s="289"/>
      <c r="U29" s="308" t="s">
        <v>66</v>
      </c>
      <c r="V29" s="310">
        <f>ROUND(M36/R36*1000,1)</f>
        <v>20.9</v>
      </c>
      <c r="W29" s="56"/>
      <c r="X29" s="56"/>
      <c r="AB29" s="320">
        <f t="shared" si="7"/>
        <v>104.84</v>
      </c>
      <c r="AD29" s="3">
        <f t="shared" si="0"/>
        <v>0</v>
      </c>
      <c r="AE29" s="3">
        <f>$W$5*H29/1000/R29</f>
        <v>0.0189609404626469</v>
      </c>
      <c r="AF29" s="3">
        <f t="shared" si="1"/>
        <v>0</v>
      </c>
      <c r="AG29" s="3">
        <f t="shared" si="2"/>
        <v>0.00667536161222168</v>
      </c>
      <c r="AH29" s="3">
        <f t="shared" si="3"/>
        <v>0.0337786445636275</v>
      </c>
      <c r="AI29" s="3">
        <f t="shared" si="4"/>
        <v>0.0594149466384961</v>
      </c>
      <c r="AK29" s="3">
        <f>AB29*(100-进出水!T31)/100</f>
        <v>22.5406</v>
      </c>
      <c r="AL29" s="3">
        <f t="shared" si="5"/>
        <v>5.54554892061436</v>
      </c>
    </row>
    <row r="30" ht="18.6" customHeight="1" spans="1:38">
      <c r="A30" s="6">
        <v>26</v>
      </c>
      <c r="B30" s="264">
        <v>22.9</v>
      </c>
      <c r="C30" s="265" t="s">
        <v>41</v>
      </c>
      <c r="D30" s="266">
        <v>181001</v>
      </c>
      <c r="E30" s="267">
        <v>0</v>
      </c>
      <c r="F30" s="267">
        <v>92.6</v>
      </c>
      <c r="G30" s="267">
        <v>0</v>
      </c>
      <c r="H30" s="268">
        <v>125</v>
      </c>
      <c r="I30" s="6">
        <v>3650</v>
      </c>
      <c r="J30" s="63">
        <v>49500.0000000073</v>
      </c>
      <c r="K30" s="275">
        <v>0</v>
      </c>
      <c r="L30" s="275">
        <v>0</v>
      </c>
      <c r="M30" s="276">
        <v>2840</v>
      </c>
      <c r="N30" s="276">
        <v>912</v>
      </c>
      <c r="O30" s="277">
        <v>4.745</v>
      </c>
      <c r="P30" s="277">
        <v>0</v>
      </c>
      <c r="Q30" s="286">
        <v>5432</v>
      </c>
      <c r="R30" s="287">
        <f t="shared" si="6"/>
        <v>175569</v>
      </c>
      <c r="S30" s="288"/>
      <c r="T30" s="289" t="s">
        <v>12</v>
      </c>
      <c r="U30" s="308" t="s">
        <v>64</v>
      </c>
      <c r="V30" s="309">
        <f>处理量!N36</f>
        <v>38928</v>
      </c>
      <c r="W30" s="56"/>
      <c r="X30" s="56"/>
      <c r="AB30" s="320">
        <f t="shared" si="7"/>
        <v>92.6</v>
      </c>
      <c r="AD30" s="3">
        <f t="shared" si="0"/>
        <v>0</v>
      </c>
      <c r="AE30" s="3">
        <f>$W$5*H30/1000/R30</f>
        <v>0.0199351821790863</v>
      </c>
      <c r="AF30" s="3">
        <f t="shared" si="1"/>
        <v>0</v>
      </c>
      <c r="AG30" s="3">
        <f t="shared" si="2"/>
        <v>0.00719830949655121</v>
      </c>
      <c r="AH30" s="3">
        <f t="shared" si="3"/>
        <v>0.0337385301505391</v>
      </c>
      <c r="AI30" s="3">
        <f t="shared" si="4"/>
        <v>0.0608720218261766</v>
      </c>
      <c r="AK30" s="3">
        <f>AB30*(100-进出水!T32)/100</f>
        <v>20.0016</v>
      </c>
      <c r="AL30" s="3">
        <f t="shared" si="5"/>
        <v>6.2495000399968</v>
      </c>
    </row>
    <row r="31" ht="18.6" customHeight="1" spans="1:38">
      <c r="A31" s="6">
        <v>27</v>
      </c>
      <c r="B31" s="264">
        <v>23.5</v>
      </c>
      <c r="C31" s="265" t="s">
        <v>41</v>
      </c>
      <c r="D31" s="266">
        <v>190464</v>
      </c>
      <c r="E31" s="267">
        <v>0</v>
      </c>
      <c r="F31" s="267">
        <v>107.76</v>
      </c>
      <c r="G31" s="267">
        <v>0</v>
      </c>
      <c r="H31" s="268">
        <v>125</v>
      </c>
      <c r="I31" s="6">
        <v>3694</v>
      </c>
      <c r="J31" s="63">
        <v>52899.9999999724</v>
      </c>
      <c r="K31" s="275">
        <v>0</v>
      </c>
      <c r="L31" s="275">
        <v>0.1</v>
      </c>
      <c r="M31" s="276">
        <v>3905</v>
      </c>
      <c r="N31" s="276">
        <v>1368</v>
      </c>
      <c r="O31" s="277">
        <v>4.615</v>
      </c>
      <c r="P31" s="277">
        <v>0</v>
      </c>
      <c r="Q31" s="286">
        <v>5432</v>
      </c>
      <c r="R31" s="287">
        <f t="shared" si="6"/>
        <v>185032</v>
      </c>
      <c r="S31" s="288"/>
      <c r="T31" s="289"/>
      <c r="U31" s="308" t="s">
        <v>66</v>
      </c>
      <c r="V31" s="307">
        <f>ROUND(N36/R36*1000,2)</f>
        <v>7.22</v>
      </c>
      <c r="W31" s="56"/>
      <c r="X31" s="56"/>
      <c r="AB31" s="320">
        <f t="shared" si="7"/>
        <v>107.76</v>
      </c>
      <c r="AD31" s="3">
        <f t="shared" si="0"/>
        <v>0</v>
      </c>
      <c r="AE31" s="3">
        <f>$W$5*H31/1000/R31</f>
        <v>0.0189156470232176</v>
      </c>
      <c r="AF31" s="3">
        <f t="shared" si="1"/>
        <v>5.62064940118466e-6</v>
      </c>
      <c r="AG31" s="3">
        <f t="shared" si="2"/>
        <v>0.00939148363526309</v>
      </c>
      <c r="AH31" s="3">
        <f t="shared" si="3"/>
        <v>0.0480195858013749</v>
      </c>
      <c r="AI31" s="3">
        <f t="shared" si="4"/>
        <v>0.0763323371092568</v>
      </c>
      <c r="AK31" s="3">
        <f>AB31*(100-进出水!T33)/100</f>
        <v>23.59944</v>
      </c>
      <c r="AL31" s="3">
        <f t="shared" si="5"/>
        <v>5.29673585474909</v>
      </c>
    </row>
    <row r="32" ht="18.6" customHeight="1" spans="1:38">
      <c r="A32" s="6">
        <v>28</v>
      </c>
      <c r="B32" s="264">
        <v>22.6</v>
      </c>
      <c r="C32" s="265" t="s">
        <v>41</v>
      </c>
      <c r="D32" s="266">
        <v>197185</v>
      </c>
      <c r="E32" s="267">
        <v>0</v>
      </c>
      <c r="F32" s="267">
        <v>104.18</v>
      </c>
      <c r="G32" s="267">
        <v>0</v>
      </c>
      <c r="H32" s="268">
        <v>125</v>
      </c>
      <c r="I32" s="6">
        <v>2908</v>
      </c>
      <c r="J32" s="63">
        <v>50000</v>
      </c>
      <c r="K32" s="275">
        <v>0</v>
      </c>
      <c r="L32" s="275">
        <v>0</v>
      </c>
      <c r="M32" s="276">
        <v>4828</v>
      </c>
      <c r="N32" s="276">
        <v>1656</v>
      </c>
      <c r="O32" s="277">
        <v>4.615</v>
      </c>
      <c r="P32" s="277">
        <v>0</v>
      </c>
      <c r="Q32" s="286">
        <v>5432</v>
      </c>
      <c r="R32" s="287">
        <f t="shared" si="6"/>
        <v>191753</v>
      </c>
      <c r="S32" s="288"/>
      <c r="T32" s="289" t="s">
        <v>67</v>
      </c>
      <c r="U32" s="308" t="s">
        <v>68</v>
      </c>
      <c r="V32" s="56">
        <f>O36</f>
        <v>107.645</v>
      </c>
      <c r="W32" s="56"/>
      <c r="X32" s="56"/>
      <c r="AB32" s="320">
        <f t="shared" si="7"/>
        <v>104.18</v>
      </c>
      <c r="AD32" s="3">
        <f t="shared" si="0"/>
        <v>0</v>
      </c>
      <c r="AE32" s="3">
        <f>$W$5*H32/1000/R32</f>
        <v>0.0182526479377115</v>
      </c>
      <c r="AF32" s="3">
        <f t="shared" si="1"/>
        <v>0</v>
      </c>
      <c r="AG32" s="3">
        <f t="shared" si="2"/>
        <v>0.0112043097109302</v>
      </c>
      <c r="AH32" s="3">
        <f t="shared" si="3"/>
        <v>0.0560915344218865</v>
      </c>
      <c r="AI32" s="3">
        <f t="shared" si="4"/>
        <v>0.0855484920705282</v>
      </c>
      <c r="AK32" s="3">
        <f>AB32*(100-进出水!T34)/100</f>
        <v>22.60706</v>
      </c>
      <c r="AL32" s="3">
        <f t="shared" si="5"/>
        <v>5.52924617354048</v>
      </c>
    </row>
    <row r="33" ht="18.6" customHeight="1" spans="1:38">
      <c r="A33" s="6">
        <v>29</v>
      </c>
      <c r="B33" s="264">
        <v>22.2</v>
      </c>
      <c r="C33" s="265" t="s">
        <v>59</v>
      </c>
      <c r="D33" s="266">
        <v>205292</v>
      </c>
      <c r="E33" s="267">
        <v>0</v>
      </c>
      <c r="F33" s="267">
        <v>106.18</v>
      </c>
      <c r="G33" s="267">
        <v>0</v>
      </c>
      <c r="H33" s="268">
        <v>100</v>
      </c>
      <c r="I33" s="6">
        <v>3704</v>
      </c>
      <c r="J33" s="63">
        <v>58400.0000000015</v>
      </c>
      <c r="K33" s="275">
        <v>0</v>
      </c>
      <c r="L33" s="275">
        <v>0.1</v>
      </c>
      <c r="M33" s="276">
        <v>5254</v>
      </c>
      <c r="N33" s="276">
        <v>1800</v>
      </c>
      <c r="O33" s="277">
        <v>3.64</v>
      </c>
      <c r="P33" s="277">
        <v>0</v>
      </c>
      <c r="Q33" s="286">
        <v>5424</v>
      </c>
      <c r="R33" s="287">
        <f t="shared" si="6"/>
        <v>199868</v>
      </c>
      <c r="S33" s="288"/>
      <c r="T33" s="289"/>
      <c r="U33" s="308" t="s">
        <v>66</v>
      </c>
      <c r="V33" s="307">
        <f>ROUND(V32/R36*1000000,2)</f>
        <v>19.95</v>
      </c>
      <c r="W33" s="56"/>
      <c r="X33" s="56"/>
      <c r="AB33" s="320">
        <f t="shared" si="7"/>
        <v>106.18</v>
      </c>
      <c r="AD33" s="3">
        <f t="shared" si="0"/>
        <v>0</v>
      </c>
      <c r="AE33" s="3">
        <f>$W$5*H33/1000/R33</f>
        <v>0.0140092461024276</v>
      </c>
      <c r="AF33" s="3">
        <f t="shared" si="1"/>
        <v>5.20343426661597e-6</v>
      </c>
      <c r="AG33" s="3">
        <f t="shared" si="2"/>
        <v>0.0116978705945924</v>
      </c>
      <c r="AH33" s="3">
        <f t="shared" si="3"/>
        <v>0.0584936057798147</v>
      </c>
      <c r="AI33" s="3">
        <f t="shared" si="4"/>
        <v>0.0842059259111013</v>
      </c>
      <c r="AK33" s="3">
        <f>AB33*(100-进出水!T35)/100</f>
        <v>22.72252</v>
      </c>
      <c r="AL33" s="3">
        <f t="shared" si="5"/>
        <v>4.40092032045741</v>
      </c>
    </row>
    <row r="34" ht="18.6" customHeight="1" spans="1:38">
      <c r="A34" s="6">
        <v>30</v>
      </c>
      <c r="B34" s="264">
        <v>21</v>
      </c>
      <c r="C34" s="265" t="s">
        <v>41</v>
      </c>
      <c r="D34" s="266">
        <v>209135</v>
      </c>
      <c r="E34" s="267">
        <v>0</v>
      </c>
      <c r="F34" s="267">
        <v>101.64</v>
      </c>
      <c r="G34" s="267">
        <v>0</v>
      </c>
      <c r="H34" s="268">
        <v>100</v>
      </c>
      <c r="I34" s="6">
        <v>3640</v>
      </c>
      <c r="J34" s="63">
        <v>51500.0000000146</v>
      </c>
      <c r="K34" s="275">
        <v>0</v>
      </c>
      <c r="L34" s="275">
        <v>0</v>
      </c>
      <c r="M34" s="276">
        <v>2840</v>
      </c>
      <c r="N34" s="276">
        <v>1008</v>
      </c>
      <c r="O34" s="277">
        <v>2.275</v>
      </c>
      <c r="P34" s="277">
        <v>0</v>
      </c>
      <c r="Q34" s="286">
        <v>5416</v>
      </c>
      <c r="R34" s="287">
        <f t="shared" si="6"/>
        <v>203719</v>
      </c>
      <c r="S34" s="288"/>
      <c r="T34" s="289"/>
      <c r="U34" s="308"/>
      <c r="V34" s="56"/>
      <c r="W34" s="56"/>
      <c r="X34" s="56"/>
      <c r="AB34" s="320">
        <f t="shared" si="7"/>
        <v>101.64</v>
      </c>
      <c r="AD34" s="3">
        <f t="shared" si="0"/>
        <v>0</v>
      </c>
      <c r="AE34" s="3">
        <f>$W$5*H34/1000/R34</f>
        <v>0.0137444224642768</v>
      </c>
      <c r="AF34" s="3">
        <f t="shared" si="1"/>
        <v>0</v>
      </c>
      <c r="AG34" s="3">
        <f t="shared" si="2"/>
        <v>0.00620364325369749</v>
      </c>
      <c r="AH34" s="3">
        <f t="shared" si="3"/>
        <v>0.032137208605972</v>
      </c>
      <c r="AI34" s="3">
        <f t="shared" si="4"/>
        <v>0.0520852743239462</v>
      </c>
      <c r="AK34" s="3">
        <f>AB34*(100-进出水!T36)/100</f>
        <v>21.95424</v>
      </c>
      <c r="AL34" s="3">
        <f t="shared" si="5"/>
        <v>4.55492879735304</v>
      </c>
    </row>
    <row r="35" ht="19" customHeight="1" spans="1:20">
      <c r="A35" s="5" t="s">
        <v>69</v>
      </c>
      <c r="B35" s="60">
        <f>AVERAGE(B5:B34)</f>
        <v>23.43</v>
      </c>
      <c r="C35" s="8" t="s">
        <v>70</v>
      </c>
      <c r="D35" s="269">
        <f>AVERAGE(D5:D34)</f>
        <v>185238.7</v>
      </c>
      <c r="E35" s="172">
        <f>AVERAGE(E5:E34)</f>
        <v>56.6886666666667</v>
      </c>
      <c r="F35" s="172">
        <f>AVERAGE(F5:F34)</f>
        <v>98.782</v>
      </c>
      <c r="G35" s="172">
        <f>AVERAGE(G5:G34)</f>
        <v>1</v>
      </c>
      <c r="H35" s="269">
        <f t="shared" ref="H35:Q35" si="8">AVERAGE(H5:H34)</f>
        <v>212.5</v>
      </c>
      <c r="I35" s="269">
        <f t="shared" si="8"/>
        <v>4141.06666666667</v>
      </c>
      <c r="J35" s="269">
        <f t="shared" si="8"/>
        <v>51750</v>
      </c>
      <c r="K35" s="280">
        <f t="shared" si="8"/>
        <v>0.01</v>
      </c>
      <c r="L35" s="280">
        <f t="shared" si="8"/>
        <v>0.0433333333333333</v>
      </c>
      <c r="M35" s="269">
        <f t="shared" si="8"/>
        <v>3763</v>
      </c>
      <c r="N35" s="269">
        <f t="shared" si="8"/>
        <v>1297.6</v>
      </c>
      <c r="O35" s="172">
        <f t="shared" si="8"/>
        <v>3.58816666666667</v>
      </c>
      <c r="P35" s="277">
        <v>0</v>
      </c>
      <c r="Q35" s="269">
        <f t="shared" si="8"/>
        <v>5407.73333333333</v>
      </c>
      <c r="R35" s="311">
        <f t="shared" si="6"/>
        <v>179830.966666667</v>
      </c>
      <c r="S35" s="312"/>
      <c r="T35" s="313"/>
    </row>
    <row r="36" ht="17" customHeight="1" spans="1:28">
      <c r="A36" s="5" t="s">
        <v>27</v>
      </c>
      <c r="B36" s="6" t="s">
        <v>70</v>
      </c>
      <c r="C36" s="6" t="s">
        <v>70</v>
      </c>
      <c r="D36" s="270">
        <f>SUM(D5:D34)</f>
        <v>5557161</v>
      </c>
      <c r="E36" s="271">
        <f>SUM(E5:E34)</f>
        <v>1700.66</v>
      </c>
      <c r="F36" s="271">
        <f>SUM(F5:F34)</f>
        <v>2963.46</v>
      </c>
      <c r="G36" s="271">
        <f>SUM(G5:G34)</f>
        <v>30</v>
      </c>
      <c r="H36" s="270">
        <f>SUM(H5:H34)</f>
        <v>6375</v>
      </c>
      <c r="I36" s="6" t="s">
        <v>70</v>
      </c>
      <c r="J36" s="269">
        <f t="shared" ref="J36:R36" si="9">SUM(J5:J34)</f>
        <v>1552500</v>
      </c>
      <c r="K36" s="280">
        <f t="shared" si="9"/>
        <v>0.3</v>
      </c>
      <c r="L36" s="280">
        <f t="shared" si="9"/>
        <v>1.3</v>
      </c>
      <c r="M36" s="269">
        <f t="shared" si="9"/>
        <v>112890</v>
      </c>
      <c r="N36" s="269">
        <f t="shared" si="9"/>
        <v>38928</v>
      </c>
      <c r="O36" s="172">
        <f t="shared" si="9"/>
        <v>107.645</v>
      </c>
      <c r="P36" s="172">
        <f t="shared" si="9"/>
        <v>0</v>
      </c>
      <c r="Q36" s="269">
        <f t="shared" si="9"/>
        <v>162232</v>
      </c>
      <c r="R36" s="269">
        <f t="shared" si="9"/>
        <v>5394929</v>
      </c>
      <c r="S36" s="314"/>
      <c r="T36" s="315"/>
      <c r="AB36" s="3">
        <f>SUM(AB5:AB35)</f>
        <v>4694.12</v>
      </c>
    </row>
    <row r="37" ht="18.6" customHeight="1" spans="1:18">
      <c r="A37" s="272" t="s">
        <v>71</v>
      </c>
      <c r="B37" s="272"/>
      <c r="C37" s="272"/>
      <c r="D37" s="272"/>
      <c r="E37" s="273"/>
      <c r="F37" s="273"/>
      <c r="I37" s="281" t="s">
        <v>72</v>
      </c>
      <c r="Q37" s="316" t="s">
        <v>73</v>
      </c>
      <c r="R37" s="317">
        <v>44896</v>
      </c>
    </row>
    <row r="38" ht="18.6" customHeight="1" spans="13:20">
      <c r="M38" s="254">
        <f>M36*0.31</f>
        <v>34995.9</v>
      </c>
      <c r="T38" s="256">
        <f>L36/R36*1000</f>
        <v>0.000240967026628154</v>
      </c>
    </row>
    <row r="39" spans="7:18">
      <c r="G39" s="254"/>
      <c r="H39" s="254"/>
      <c r="J39" s="269">
        <f>J35*30</f>
        <v>1552500</v>
      </c>
      <c r="Q39" s="254" t="s">
        <v>74</v>
      </c>
      <c r="R39" s="254">
        <f>MAX(R5:R34)</f>
        <v>210809</v>
      </c>
    </row>
    <row r="40" spans="7:20">
      <c r="G40" s="254"/>
      <c r="H40" s="254"/>
      <c r="J40" s="269">
        <f>J39*W4</f>
        <v>1053234.79437524</v>
      </c>
      <c r="O40" s="254">
        <f>O36*1000</f>
        <v>107645</v>
      </c>
      <c r="Q40" s="254" t="s">
        <v>75</v>
      </c>
      <c r="R40" s="254">
        <f>MIN(R5:R34)</f>
        <v>144769</v>
      </c>
      <c r="T40" s="256">
        <f>O36*1000</f>
        <v>107645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  <ignoredErrors>
    <ignoredError sqref="P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P12" sqref="P12:P17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6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9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44866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6">
      <c r="A3" s="201" t="s">
        <v>77</v>
      </c>
      <c r="B3" s="202" t="s">
        <v>78</v>
      </c>
      <c r="C3" s="203">
        <f>处理量!R36</f>
        <v>5394929</v>
      </c>
      <c r="D3" s="204" t="s">
        <v>79</v>
      </c>
      <c r="E3" s="202" t="s">
        <v>80</v>
      </c>
      <c r="F3" s="205">
        <f>处理量!E36+处理量!F36+处理量!G36</f>
        <v>4694.12</v>
      </c>
      <c r="G3" s="201" t="s">
        <v>81</v>
      </c>
      <c r="H3" s="202" t="s">
        <v>82</v>
      </c>
      <c r="I3" s="202"/>
      <c r="J3" s="36">
        <f>处理量!J36</f>
        <v>1552500</v>
      </c>
      <c r="K3" s="204" t="s">
        <v>83</v>
      </c>
      <c r="L3" s="202" t="s">
        <v>84</v>
      </c>
      <c r="M3" s="239">
        <f>J3/C3</f>
        <v>0.287770237569392</v>
      </c>
      <c r="P3" s="195" t="s">
        <v>85</v>
      </c>
    </row>
    <row r="4" s="195" customFormat="1" ht="24" customHeight="1" spans="1:16">
      <c r="A4" s="201"/>
      <c r="B4" s="202" t="s">
        <v>86</v>
      </c>
      <c r="C4" s="206">
        <f>处理量!R35</f>
        <v>179830.966666667</v>
      </c>
      <c r="D4" s="207"/>
      <c r="E4" s="202" t="s">
        <v>87</v>
      </c>
      <c r="F4" s="208">
        <f>处理量!H36</f>
        <v>6375</v>
      </c>
      <c r="G4" s="201"/>
      <c r="H4" s="202" t="s">
        <v>88</v>
      </c>
      <c r="I4" s="202"/>
      <c r="J4" s="208">
        <f>J3/M15</f>
        <v>51750</v>
      </c>
      <c r="K4" s="207"/>
      <c r="L4" s="202" t="s">
        <v>89</v>
      </c>
      <c r="M4" s="240">
        <f>J3/I12</f>
        <v>1.35357590578265</v>
      </c>
      <c r="P4" s="195" t="s">
        <v>90</v>
      </c>
    </row>
    <row r="5" s="195" customFormat="1" ht="24" customHeight="1" spans="1:13">
      <c r="A5" s="201"/>
      <c r="B5" s="202"/>
      <c r="C5" s="209"/>
      <c r="D5" s="207"/>
      <c r="E5" s="202" t="s">
        <v>91</v>
      </c>
      <c r="F5" s="210">
        <f>进出水!T37</f>
        <v>78.38</v>
      </c>
      <c r="G5" s="201"/>
      <c r="H5" s="202" t="s">
        <v>92</v>
      </c>
      <c r="I5" s="202"/>
      <c r="J5" s="241">
        <v>3984</v>
      </c>
      <c r="K5" s="207"/>
      <c r="L5" s="202"/>
      <c r="M5" s="242"/>
    </row>
    <row r="6" s="195" customFormat="1" ht="24" customHeight="1" spans="1:13">
      <c r="A6" s="201"/>
      <c r="B6" s="202" t="s">
        <v>93</v>
      </c>
      <c r="C6" s="211">
        <f>处理量!R39</f>
        <v>210809</v>
      </c>
      <c r="D6" s="207"/>
      <c r="E6" s="201" t="s">
        <v>94</v>
      </c>
      <c r="F6" s="205">
        <f>F4/(F3*(100-F5)/100)</f>
        <v>6.281600490398</v>
      </c>
      <c r="G6" s="204" t="s">
        <v>95</v>
      </c>
      <c r="H6" s="202" t="s">
        <v>96</v>
      </c>
      <c r="I6" s="202"/>
      <c r="J6" s="214">
        <f>处理量!M36/1000</f>
        <v>112.89</v>
      </c>
      <c r="K6" s="207"/>
      <c r="L6" s="202" t="s">
        <v>97</v>
      </c>
      <c r="M6" s="214">
        <f>J3/I13</f>
        <v>2.68944147261114</v>
      </c>
    </row>
    <row r="7" s="195" customFormat="1" ht="24" customHeight="1" spans="1:13">
      <c r="A7" s="201"/>
      <c r="B7" s="202" t="s">
        <v>98</v>
      </c>
      <c r="C7" s="36">
        <f>处理量!R40</f>
        <v>144769</v>
      </c>
      <c r="D7" s="212"/>
      <c r="E7" s="201" t="s">
        <v>99</v>
      </c>
      <c r="F7" s="213">
        <f>F3*(100-F5)/100*1000/(C3/1000)</f>
        <v>188.11531050733</v>
      </c>
      <c r="G7" s="207"/>
      <c r="H7" s="202" t="s">
        <v>100</v>
      </c>
      <c r="I7" s="202"/>
      <c r="J7" s="228">
        <f>J6*1000/(C3/1000)</f>
        <v>20.9252058738864</v>
      </c>
      <c r="K7" s="207"/>
      <c r="L7" s="243" t="s">
        <v>101</v>
      </c>
      <c r="M7" s="214">
        <f>J3/I14</f>
        <v>2.59720431019306</v>
      </c>
    </row>
    <row r="8" s="195" customFormat="1" ht="24" customHeight="1" spans="1:13">
      <c r="A8" s="201"/>
      <c r="B8" s="202" t="s">
        <v>102</v>
      </c>
      <c r="C8" s="214">
        <f>C4/200000*100</f>
        <v>89.9154833333333</v>
      </c>
      <c r="D8" s="201" t="s">
        <v>103</v>
      </c>
      <c r="E8" s="202" t="s">
        <v>104</v>
      </c>
      <c r="F8" s="214">
        <f>处理量!K36/1000</f>
        <v>0.0003</v>
      </c>
      <c r="G8" s="207"/>
      <c r="H8" s="202" t="s">
        <v>105</v>
      </c>
      <c r="I8" s="202"/>
      <c r="J8" s="214">
        <f>处理量!N36/1000</f>
        <v>38.928</v>
      </c>
      <c r="K8" s="244" t="s">
        <v>106</v>
      </c>
      <c r="L8" s="223" t="s">
        <v>107</v>
      </c>
      <c r="M8" s="245">
        <f>处理量!O36</f>
        <v>107.645</v>
      </c>
    </row>
    <row r="9" s="195" customFormat="1" ht="24" customHeight="1" spans="1:13">
      <c r="A9" s="201"/>
      <c r="B9" s="215" t="s">
        <v>108</v>
      </c>
      <c r="C9" s="216">
        <f>处理量!B35</f>
        <v>23.43</v>
      </c>
      <c r="D9" s="201"/>
      <c r="E9" s="202" t="s">
        <v>100</v>
      </c>
      <c r="F9" s="214">
        <f>F8*1000/(C3/1000)</f>
        <v>5.56077753757278e-5</v>
      </c>
      <c r="G9" s="212"/>
      <c r="H9" s="202" t="s">
        <v>100</v>
      </c>
      <c r="I9" s="202"/>
      <c r="J9" s="205">
        <f>J8*1000/(C3/1000)</f>
        <v>7.21566493275444</v>
      </c>
      <c r="K9" s="220"/>
      <c r="L9" s="36" t="s">
        <v>100</v>
      </c>
      <c r="M9" s="245">
        <f>M8*1000000/C3</f>
        <v>19.9529966010674</v>
      </c>
    </row>
    <row r="10" s="195" customFormat="1" ht="24" customHeight="1" spans="1:13">
      <c r="A10" s="201" t="s">
        <v>109</v>
      </c>
      <c r="B10" s="217" t="s">
        <v>110</v>
      </c>
      <c r="C10" s="218" t="s">
        <v>111</v>
      </c>
      <c r="D10" s="219"/>
      <c r="E10" s="218" t="s">
        <v>112</v>
      </c>
      <c r="F10" s="219"/>
      <c r="G10" s="218" t="s">
        <v>113</v>
      </c>
      <c r="H10" s="219"/>
      <c r="I10" s="218" t="s">
        <v>114</v>
      </c>
      <c r="J10" s="219"/>
      <c r="K10" s="204" t="s">
        <v>115</v>
      </c>
      <c r="L10" s="223" t="s">
        <v>107</v>
      </c>
      <c r="M10" s="36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6" t="s">
        <v>100</v>
      </c>
      <c r="M11" s="36">
        <v>0</v>
      </c>
    </row>
    <row r="12" s="195" customFormat="1" ht="24" customHeight="1" spans="1:19">
      <c r="A12" s="201"/>
      <c r="B12" s="223" t="s">
        <v>116</v>
      </c>
      <c r="C12" s="208">
        <f>进出水!B37</f>
        <v>237</v>
      </c>
      <c r="D12" s="208"/>
      <c r="E12" s="224">
        <f>进出水!N37</f>
        <v>24.4</v>
      </c>
      <c r="F12" s="225"/>
      <c r="G12" s="224">
        <f t="shared" ref="G12:G17" si="0">(C12-E12)/C12*100</f>
        <v>89.704641350211</v>
      </c>
      <c r="H12" s="225"/>
      <c r="I12" s="208">
        <f>$C$3*(C12-E12)/1000</f>
        <v>1146961.9054</v>
      </c>
      <c r="J12" s="208"/>
      <c r="K12" s="201" t="s">
        <v>117</v>
      </c>
      <c r="L12" s="202" t="s">
        <v>31</v>
      </c>
      <c r="M12" s="36">
        <f>处理量!V16</f>
        <v>1700.66</v>
      </c>
      <c r="P12" s="246">
        <f t="shared" ref="P12:P17" si="1">ROUND(E12,2)</f>
        <v>24.4</v>
      </c>
      <c r="Q12" s="253">
        <f>C3</f>
        <v>5394929</v>
      </c>
      <c r="R12" s="246">
        <f t="shared" ref="R12:R17" si="2">P12*Q12/1000000</f>
        <v>131.6362676</v>
      </c>
      <c r="S12" s="223" t="s">
        <v>116</v>
      </c>
    </row>
    <row r="13" s="195" customFormat="1" ht="24" customHeight="1" spans="1:19">
      <c r="A13" s="201"/>
      <c r="B13" s="223" t="s">
        <v>118</v>
      </c>
      <c r="C13" s="208">
        <f>进出水!C37</f>
        <v>108</v>
      </c>
      <c r="D13" s="208"/>
      <c r="E13" s="226">
        <f>进出水!O37</f>
        <v>2.5</v>
      </c>
      <c r="F13" s="227"/>
      <c r="G13" s="224">
        <f>(C13-1)/C13*100</f>
        <v>99.0740740740741</v>
      </c>
      <c r="H13" s="225"/>
      <c r="I13" s="208">
        <f>$C$3*(C13-1)/1000</f>
        <v>577257.403</v>
      </c>
      <c r="J13" s="208"/>
      <c r="K13" s="201"/>
      <c r="L13" s="33" t="s">
        <v>32</v>
      </c>
      <c r="M13" s="247">
        <f>处理量!U16</f>
        <v>2963.46</v>
      </c>
      <c r="P13" s="246">
        <f t="shared" si="1"/>
        <v>2.5</v>
      </c>
      <c r="Q13" s="253">
        <f t="shared" ref="Q13:Q17" si="3">Q12</f>
        <v>5394929</v>
      </c>
      <c r="R13" s="246">
        <f t="shared" si="2"/>
        <v>13.4873225</v>
      </c>
      <c r="S13" s="223" t="s">
        <v>118</v>
      </c>
    </row>
    <row r="14" s="195" customFormat="1" ht="24" customHeight="1" spans="1:19">
      <c r="A14" s="201"/>
      <c r="B14" s="223" t="s">
        <v>119</v>
      </c>
      <c r="C14" s="208">
        <f>进出水!D37</f>
        <v>116</v>
      </c>
      <c r="D14" s="208"/>
      <c r="E14" s="226">
        <f>进出水!P37</f>
        <v>5.2</v>
      </c>
      <c r="F14" s="227"/>
      <c r="G14" s="224">
        <f t="shared" si="0"/>
        <v>95.5172413793103</v>
      </c>
      <c r="H14" s="225"/>
      <c r="I14" s="208">
        <f>$C$3*(C14-E14)/1000</f>
        <v>597758.1332</v>
      </c>
      <c r="J14" s="208"/>
      <c r="K14" s="201"/>
      <c r="L14" s="33" t="s">
        <v>120</v>
      </c>
      <c r="M14" s="247">
        <f>处理量!W16</f>
        <v>30</v>
      </c>
      <c r="P14" s="246">
        <f t="shared" si="1"/>
        <v>5.2</v>
      </c>
      <c r="Q14" s="253">
        <f t="shared" si="3"/>
        <v>5394929</v>
      </c>
      <c r="R14" s="246">
        <f t="shared" si="2"/>
        <v>28.0536308</v>
      </c>
      <c r="S14" s="223" t="s">
        <v>119</v>
      </c>
    </row>
    <row r="15" s="195" customFormat="1" ht="24" customHeight="1" spans="1:19">
      <c r="A15" s="201"/>
      <c r="B15" s="223" t="s">
        <v>121</v>
      </c>
      <c r="C15" s="205">
        <f>进出水!E37</f>
        <v>2.73</v>
      </c>
      <c r="D15" s="205"/>
      <c r="E15" s="226">
        <f>进出水!Q37</f>
        <v>0.16</v>
      </c>
      <c r="F15" s="227"/>
      <c r="G15" s="224">
        <f t="shared" si="0"/>
        <v>94.1391941391941</v>
      </c>
      <c r="H15" s="225"/>
      <c r="I15" s="208">
        <f>$C$3*(C15-E15)/1000</f>
        <v>13864.96753</v>
      </c>
      <c r="J15" s="208"/>
      <c r="K15" s="204" t="s">
        <v>122</v>
      </c>
      <c r="L15" s="248" t="s">
        <v>123</v>
      </c>
      <c r="M15" s="35">
        <v>30</v>
      </c>
      <c r="P15" s="246">
        <f t="shared" si="1"/>
        <v>0.16</v>
      </c>
      <c r="Q15" s="253">
        <f t="shared" si="3"/>
        <v>5394929</v>
      </c>
      <c r="R15" s="246">
        <f t="shared" si="2"/>
        <v>0.86318864</v>
      </c>
      <c r="S15" s="223" t="s">
        <v>121</v>
      </c>
    </row>
    <row r="16" s="195" customFormat="1" ht="24" customHeight="1" spans="1:19">
      <c r="A16" s="201"/>
      <c r="B16" s="223" t="s">
        <v>124</v>
      </c>
      <c r="C16" s="228">
        <f>进出水!G37</f>
        <v>31</v>
      </c>
      <c r="D16" s="228"/>
      <c r="E16" s="226">
        <f>进出水!S37</f>
        <v>8.4</v>
      </c>
      <c r="F16" s="227"/>
      <c r="G16" s="224">
        <f t="shared" si="0"/>
        <v>72.9032258064516</v>
      </c>
      <c r="H16" s="225"/>
      <c r="I16" s="208">
        <f>$C$3*(C16-E16)/1000</f>
        <v>121925.3954</v>
      </c>
      <c r="J16" s="208"/>
      <c r="K16" s="207"/>
      <c r="L16" s="249" t="s">
        <v>125</v>
      </c>
      <c r="M16" s="36">
        <v>30</v>
      </c>
      <c r="P16" s="246">
        <f t="shared" si="1"/>
        <v>8.4</v>
      </c>
      <c r="Q16" s="253">
        <f t="shared" si="3"/>
        <v>5394929</v>
      </c>
      <c r="R16" s="246">
        <f t="shared" si="2"/>
        <v>45.3174036</v>
      </c>
      <c r="S16" s="223" t="s">
        <v>124</v>
      </c>
    </row>
    <row r="17" s="195" customFormat="1" ht="24" customHeight="1" spans="1:19">
      <c r="A17" s="201"/>
      <c r="B17" s="223" t="s">
        <v>126</v>
      </c>
      <c r="C17" s="228">
        <f>进出水!F37</f>
        <v>24.1</v>
      </c>
      <c r="D17" s="228"/>
      <c r="E17" s="226">
        <f>进出水!R37</f>
        <v>0.35</v>
      </c>
      <c r="F17" s="227"/>
      <c r="G17" s="224">
        <f t="shared" si="0"/>
        <v>98.5477178423236</v>
      </c>
      <c r="H17" s="225"/>
      <c r="I17" s="208">
        <f>$C$3*(C17-E17)/1000</f>
        <v>128129.56375</v>
      </c>
      <c r="J17" s="208"/>
      <c r="K17" s="207"/>
      <c r="L17" s="249" t="s">
        <v>127</v>
      </c>
      <c r="M17" s="35">
        <v>30</v>
      </c>
      <c r="P17" s="246">
        <f t="shared" si="1"/>
        <v>0.35</v>
      </c>
      <c r="Q17" s="253">
        <f t="shared" si="3"/>
        <v>5394929</v>
      </c>
      <c r="R17" s="246">
        <f t="shared" si="2"/>
        <v>1.88822515</v>
      </c>
      <c r="S17" s="223" t="s">
        <v>126</v>
      </c>
    </row>
    <row r="18" s="195" customFormat="1" ht="24" customHeight="1" spans="1:13">
      <c r="A18" s="201"/>
      <c r="B18" s="215" t="s">
        <v>128</v>
      </c>
      <c r="C18" s="229"/>
      <c r="D18" s="230"/>
      <c r="E18" s="231" t="s">
        <v>129</v>
      </c>
      <c r="F18" s="232"/>
      <c r="G18" s="229"/>
      <c r="H18" s="230"/>
      <c r="I18" s="229"/>
      <c r="J18" s="230"/>
      <c r="K18" s="212"/>
      <c r="L18" s="243" t="s">
        <v>130</v>
      </c>
      <c r="M18" s="36">
        <v>100</v>
      </c>
    </row>
    <row r="19" s="195" customFormat="1" ht="20.1" customHeight="1" spans="1:13">
      <c r="A19" s="201" t="s">
        <v>131</v>
      </c>
      <c r="B19" s="233" t="s">
        <v>132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133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16" workbookViewId="0">
      <selection activeCell="T36" sqref="T7:T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2" customWidth="1"/>
    <col min="9" max="9" width="5.5" style="93" customWidth="1"/>
    <col min="10" max="10" width="6.25" style="93" customWidth="1"/>
    <col min="11" max="11" width="7" style="92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4" customWidth="1"/>
    <col min="21" max="21" width="8.75" customWidth="1"/>
    <col min="23" max="23" width="12.625"/>
  </cols>
  <sheetData>
    <row r="1" ht="21.75" customHeight="1" spans="1:21">
      <c r="A1" s="95" t="s">
        <v>134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hidden="1" spans="1:21">
      <c r="A2" s="96"/>
      <c r="B2" s="96"/>
      <c r="C2" s="96"/>
      <c r="D2" s="96"/>
      <c r="E2" s="96"/>
      <c r="F2" s="96"/>
      <c r="G2" s="96"/>
      <c r="H2" s="97"/>
      <c r="I2" s="164"/>
      <c r="J2" s="164"/>
      <c r="K2" s="97"/>
      <c r="L2" s="96"/>
      <c r="M2" s="96"/>
      <c r="N2" s="96"/>
      <c r="O2" s="96"/>
      <c r="P2" s="96"/>
      <c r="Q2" s="96"/>
      <c r="R2" s="96"/>
      <c r="S2" s="96"/>
      <c r="T2" s="96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8"/>
      <c r="I3" s="165"/>
      <c r="J3" s="166">
        <v>44866</v>
      </c>
      <c r="K3" s="167"/>
      <c r="L3" s="32"/>
      <c r="M3" s="32"/>
      <c r="N3" s="32"/>
      <c r="O3" s="32"/>
      <c r="P3" s="32"/>
      <c r="Q3" s="32"/>
      <c r="R3" s="32"/>
      <c r="S3" s="32"/>
      <c r="T3" s="189"/>
      <c r="U3" s="26"/>
    </row>
    <row r="4" ht="12.75" customHeight="1" spans="1:21">
      <c r="A4" s="99" t="s">
        <v>136</v>
      </c>
      <c r="B4" s="100" t="s">
        <v>111</v>
      </c>
      <c r="C4" s="101"/>
      <c r="D4" s="101"/>
      <c r="E4" s="101"/>
      <c r="F4" s="101"/>
      <c r="G4" s="102"/>
      <c r="H4" s="103" t="s">
        <v>137</v>
      </c>
      <c r="I4" s="103"/>
      <c r="J4" s="103"/>
      <c r="K4" s="103"/>
      <c r="L4" s="103"/>
      <c r="M4" s="103"/>
      <c r="N4" s="168" t="s">
        <v>138</v>
      </c>
      <c r="O4" s="168"/>
      <c r="P4" s="168"/>
      <c r="Q4" s="168"/>
      <c r="R4" s="168"/>
      <c r="S4" s="168"/>
      <c r="T4" s="190" t="s">
        <v>139</v>
      </c>
      <c r="U4" s="190" t="s">
        <v>140</v>
      </c>
    </row>
    <row r="5" ht="15" customHeight="1" spans="1:21">
      <c r="A5" s="104"/>
      <c r="B5" s="105" t="s">
        <v>141</v>
      </c>
      <c r="C5" s="105" t="s">
        <v>118</v>
      </c>
      <c r="D5" s="105" t="s">
        <v>119</v>
      </c>
      <c r="E5" s="105" t="s">
        <v>121</v>
      </c>
      <c r="F5" s="105" t="s">
        <v>126</v>
      </c>
      <c r="G5" s="105" t="s">
        <v>124</v>
      </c>
      <c r="H5" s="106" t="s">
        <v>141</v>
      </c>
      <c r="I5" s="106" t="s">
        <v>118</v>
      </c>
      <c r="J5" s="106" t="s">
        <v>119</v>
      </c>
      <c r="K5" s="106" t="s">
        <v>121</v>
      </c>
      <c r="L5" s="105" t="s">
        <v>126</v>
      </c>
      <c r="M5" s="105" t="s">
        <v>124</v>
      </c>
      <c r="N5" s="99" t="s">
        <v>142</v>
      </c>
      <c r="O5" s="99" t="s">
        <v>143</v>
      </c>
      <c r="P5" s="99" t="s">
        <v>119</v>
      </c>
      <c r="Q5" s="99" t="s">
        <v>121</v>
      </c>
      <c r="R5" s="99" t="s">
        <v>144</v>
      </c>
      <c r="S5" s="99" t="s">
        <v>124</v>
      </c>
      <c r="T5" s="191"/>
      <c r="U5" s="191"/>
    </row>
    <row r="6" ht="22.5" customHeight="1" spans="1:21">
      <c r="A6" s="107"/>
      <c r="B6" s="108" t="s">
        <v>145</v>
      </c>
      <c r="C6" s="108" t="s">
        <v>145</v>
      </c>
      <c r="D6" s="108" t="s">
        <v>145</v>
      </c>
      <c r="E6" s="108" t="s">
        <v>145</v>
      </c>
      <c r="F6" s="108" t="s">
        <v>145</v>
      </c>
      <c r="G6" s="108" t="s">
        <v>145</v>
      </c>
      <c r="H6" s="109" t="s">
        <v>145</v>
      </c>
      <c r="I6" s="109" t="s">
        <v>145</v>
      </c>
      <c r="J6" s="109" t="s">
        <v>145</v>
      </c>
      <c r="K6" s="109" t="s">
        <v>145</v>
      </c>
      <c r="L6" s="108" t="s">
        <v>145</v>
      </c>
      <c r="M6" s="108" t="s">
        <v>145</v>
      </c>
      <c r="N6" s="108" t="s">
        <v>145</v>
      </c>
      <c r="O6" s="108" t="s">
        <v>145</v>
      </c>
      <c r="P6" s="108" t="s">
        <v>145</v>
      </c>
      <c r="Q6" s="108" t="s">
        <v>145</v>
      </c>
      <c r="R6" s="108" t="s">
        <v>145</v>
      </c>
      <c r="S6" s="108" t="s">
        <v>145</v>
      </c>
      <c r="T6" s="107" t="s">
        <v>146</v>
      </c>
      <c r="U6" s="107" t="s">
        <v>147</v>
      </c>
    </row>
    <row r="7" ht="12.95" customHeight="1" spans="1:23">
      <c r="A7" s="110">
        <v>1</v>
      </c>
      <c r="B7" s="111">
        <v>394</v>
      </c>
      <c r="C7" s="112">
        <v>178</v>
      </c>
      <c r="D7" s="113">
        <v>182</v>
      </c>
      <c r="E7" s="114">
        <v>3.73</v>
      </c>
      <c r="F7" s="115">
        <v>31.8</v>
      </c>
      <c r="G7" s="116">
        <v>37.5</v>
      </c>
      <c r="H7" s="117">
        <v>30</v>
      </c>
      <c r="I7" s="114">
        <v>2.65</v>
      </c>
      <c r="J7" s="117">
        <v>16</v>
      </c>
      <c r="K7" s="114">
        <v>0.56</v>
      </c>
      <c r="L7" s="169">
        <v>0.49</v>
      </c>
      <c r="M7" s="169">
        <v>8.27</v>
      </c>
      <c r="N7" s="113">
        <v>23</v>
      </c>
      <c r="O7" s="170">
        <v>2.6</v>
      </c>
      <c r="P7" s="113">
        <v>5</v>
      </c>
      <c r="Q7" s="169">
        <v>0.15</v>
      </c>
      <c r="R7" s="118">
        <v>0.37</v>
      </c>
      <c r="S7" s="169">
        <v>7.28</v>
      </c>
      <c r="T7" s="120">
        <v>77.8</v>
      </c>
      <c r="U7" s="123" t="s">
        <v>129</v>
      </c>
      <c r="V7" s="192"/>
      <c r="W7" s="193">
        <f>1-S7/G7</f>
        <v>0.805866666666667</v>
      </c>
    </row>
    <row r="8" ht="12.95" customHeight="1" spans="1:23">
      <c r="A8" s="110">
        <v>2</v>
      </c>
      <c r="B8" s="111">
        <v>276</v>
      </c>
      <c r="C8" s="112">
        <v>128</v>
      </c>
      <c r="D8" s="113">
        <v>124</v>
      </c>
      <c r="E8" s="118">
        <v>2.9</v>
      </c>
      <c r="F8" s="116">
        <v>24.4</v>
      </c>
      <c r="G8" s="116">
        <v>30</v>
      </c>
      <c r="H8" s="117">
        <v>31</v>
      </c>
      <c r="I8" s="114">
        <v>2.7</v>
      </c>
      <c r="J8" s="117">
        <v>14</v>
      </c>
      <c r="K8" s="114">
        <v>0.5</v>
      </c>
      <c r="L8" s="169">
        <v>0.52</v>
      </c>
      <c r="M8" s="169">
        <v>5.05</v>
      </c>
      <c r="N8" s="113">
        <v>21</v>
      </c>
      <c r="O8" s="170">
        <v>2.26</v>
      </c>
      <c r="P8" s="113">
        <v>5</v>
      </c>
      <c r="Q8" s="169">
        <v>0.16</v>
      </c>
      <c r="R8" s="118">
        <v>0.5</v>
      </c>
      <c r="S8" s="169">
        <v>4.88</v>
      </c>
      <c r="T8" s="120">
        <v>77.9</v>
      </c>
      <c r="U8" s="123" t="s">
        <v>129</v>
      </c>
      <c r="V8" s="192"/>
      <c r="W8" s="193">
        <f t="shared" ref="W8:W37" si="0">1-S8/G8</f>
        <v>0.837333333333333</v>
      </c>
    </row>
    <row r="9" ht="12.95" customHeight="1" spans="1:23">
      <c r="A9" s="110">
        <v>3</v>
      </c>
      <c r="B9" s="111">
        <v>169</v>
      </c>
      <c r="C9" s="112">
        <v>77.3</v>
      </c>
      <c r="D9" s="113">
        <v>132</v>
      </c>
      <c r="E9" s="114">
        <v>2.35</v>
      </c>
      <c r="F9" s="116">
        <v>24.9</v>
      </c>
      <c r="G9" s="116">
        <v>34.1</v>
      </c>
      <c r="H9" s="117">
        <v>25</v>
      </c>
      <c r="I9" s="114">
        <v>2.41</v>
      </c>
      <c r="J9" s="117">
        <v>15</v>
      </c>
      <c r="K9" s="114">
        <v>0.53</v>
      </c>
      <c r="L9" s="169">
        <v>0.35</v>
      </c>
      <c r="M9" s="115">
        <v>11.6</v>
      </c>
      <c r="N9" s="113">
        <v>19</v>
      </c>
      <c r="O9" s="170">
        <v>2.3</v>
      </c>
      <c r="P9" s="113">
        <v>5</v>
      </c>
      <c r="Q9" s="169">
        <v>0.14</v>
      </c>
      <c r="R9" s="118">
        <v>0.29</v>
      </c>
      <c r="S9" s="169">
        <v>9.88</v>
      </c>
      <c r="T9" s="120">
        <v>78.3</v>
      </c>
      <c r="U9" s="123">
        <v>40</v>
      </c>
      <c r="V9" s="192"/>
      <c r="W9" s="193">
        <f t="shared" si="0"/>
        <v>0.710263929618768</v>
      </c>
    </row>
    <row r="10" ht="12.95" customHeight="1" spans="1:23">
      <c r="A10" s="110">
        <v>4</v>
      </c>
      <c r="B10" s="111">
        <v>168</v>
      </c>
      <c r="C10" s="112">
        <v>76.3</v>
      </c>
      <c r="D10" s="113">
        <v>172</v>
      </c>
      <c r="E10" s="114">
        <v>2.96</v>
      </c>
      <c r="F10" s="116">
        <v>19.7</v>
      </c>
      <c r="G10" s="116">
        <v>25.9</v>
      </c>
      <c r="H10" s="117">
        <v>30</v>
      </c>
      <c r="I10" s="114">
        <v>2.46</v>
      </c>
      <c r="J10" s="117">
        <v>16</v>
      </c>
      <c r="K10" s="114">
        <v>0.5</v>
      </c>
      <c r="L10" s="169">
        <v>0.24</v>
      </c>
      <c r="M10" s="169">
        <v>6.99</v>
      </c>
      <c r="N10" s="113">
        <v>21</v>
      </c>
      <c r="O10" s="170">
        <v>2.12</v>
      </c>
      <c r="P10" s="113">
        <v>6</v>
      </c>
      <c r="Q10" s="169">
        <v>0.16</v>
      </c>
      <c r="R10" s="118">
        <v>0.23</v>
      </c>
      <c r="S10" s="169">
        <v>6.76</v>
      </c>
      <c r="T10" s="120">
        <v>78.1</v>
      </c>
      <c r="U10" s="123" t="s">
        <v>129</v>
      </c>
      <c r="V10" s="192"/>
      <c r="W10" s="193">
        <f t="shared" si="0"/>
        <v>0.738996138996139</v>
      </c>
    </row>
    <row r="11" ht="12.95" customHeight="1" spans="1:23">
      <c r="A11" s="110">
        <v>5</v>
      </c>
      <c r="B11" s="111">
        <v>272</v>
      </c>
      <c r="C11" s="112">
        <v>126</v>
      </c>
      <c r="D11" s="113">
        <v>162</v>
      </c>
      <c r="E11" s="114">
        <v>3.05</v>
      </c>
      <c r="F11" s="119">
        <v>18.8</v>
      </c>
      <c r="G11" s="116">
        <v>25.6</v>
      </c>
      <c r="H11" s="117">
        <v>31</v>
      </c>
      <c r="I11" s="114">
        <v>2.78</v>
      </c>
      <c r="J11" s="117">
        <v>15</v>
      </c>
      <c r="K11" s="114">
        <v>0.56</v>
      </c>
      <c r="L11" s="169">
        <v>0.27</v>
      </c>
      <c r="M11" s="169">
        <v>8.02</v>
      </c>
      <c r="N11" s="113">
        <v>29</v>
      </c>
      <c r="O11" s="170">
        <v>2.31</v>
      </c>
      <c r="P11" s="113">
        <v>5</v>
      </c>
      <c r="Q11" s="169">
        <v>0.17</v>
      </c>
      <c r="R11" s="118">
        <v>0.25</v>
      </c>
      <c r="S11" s="169">
        <v>6.38</v>
      </c>
      <c r="T11" s="120">
        <v>78.3</v>
      </c>
      <c r="U11" s="123" t="s">
        <v>129</v>
      </c>
      <c r="V11" s="192"/>
      <c r="W11" s="193">
        <f t="shared" si="0"/>
        <v>0.75078125</v>
      </c>
    </row>
    <row r="12" ht="12.95" customHeight="1" spans="1:23">
      <c r="A12" s="110">
        <v>6</v>
      </c>
      <c r="B12" s="111">
        <v>282</v>
      </c>
      <c r="C12" s="112">
        <v>125</v>
      </c>
      <c r="D12" s="113">
        <v>104</v>
      </c>
      <c r="E12" s="114">
        <v>3.06</v>
      </c>
      <c r="F12" s="115">
        <v>20.2</v>
      </c>
      <c r="G12" s="116">
        <v>27.2</v>
      </c>
      <c r="H12" s="117">
        <v>36</v>
      </c>
      <c r="I12" s="114">
        <v>3.01</v>
      </c>
      <c r="J12" s="117">
        <v>18</v>
      </c>
      <c r="K12" s="114">
        <v>0.54</v>
      </c>
      <c r="L12" s="169">
        <v>0.45</v>
      </c>
      <c r="M12" s="169">
        <v>7.71</v>
      </c>
      <c r="N12" s="113">
        <v>24</v>
      </c>
      <c r="O12" s="170">
        <v>2.7</v>
      </c>
      <c r="P12" s="113">
        <v>5</v>
      </c>
      <c r="Q12" s="169">
        <v>0.13</v>
      </c>
      <c r="R12" s="118">
        <v>0.29</v>
      </c>
      <c r="S12" s="169">
        <v>6.82</v>
      </c>
      <c r="T12" s="120">
        <v>78.5</v>
      </c>
      <c r="U12" s="123">
        <v>190</v>
      </c>
      <c r="V12" s="192"/>
      <c r="W12" s="193">
        <f t="shared" si="0"/>
        <v>0.749264705882353</v>
      </c>
    </row>
    <row r="13" ht="12.95" customHeight="1" spans="1:23">
      <c r="A13" s="110">
        <v>7</v>
      </c>
      <c r="B13" s="111">
        <v>264</v>
      </c>
      <c r="C13" s="112">
        <v>120</v>
      </c>
      <c r="D13" s="113">
        <v>114</v>
      </c>
      <c r="E13" s="114">
        <v>2.94</v>
      </c>
      <c r="F13" s="115">
        <v>29</v>
      </c>
      <c r="G13" s="116">
        <v>34.9</v>
      </c>
      <c r="H13" s="117">
        <v>37</v>
      </c>
      <c r="I13" s="114">
        <v>3.33</v>
      </c>
      <c r="J13" s="117">
        <v>17</v>
      </c>
      <c r="K13" s="114">
        <v>0.54</v>
      </c>
      <c r="L13" s="169">
        <v>0.4</v>
      </c>
      <c r="M13" s="169">
        <v>9.6</v>
      </c>
      <c r="N13" s="113">
        <v>21</v>
      </c>
      <c r="O13" s="170">
        <v>2.2</v>
      </c>
      <c r="P13" s="113">
        <v>5</v>
      </c>
      <c r="Q13" s="169">
        <v>0.14</v>
      </c>
      <c r="R13" s="118">
        <v>0.33</v>
      </c>
      <c r="S13" s="169">
        <v>9.52</v>
      </c>
      <c r="T13" s="120">
        <v>78.1</v>
      </c>
      <c r="U13" s="123" t="s">
        <v>129</v>
      </c>
      <c r="V13" s="192"/>
      <c r="W13" s="193">
        <f t="shared" si="0"/>
        <v>0.727220630372493</v>
      </c>
    </row>
    <row r="14" ht="12.95" customHeight="1" spans="1:23">
      <c r="A14" s="110">
        <v>8</v>
      </c>
      <c r="B14" s="111">
        <v>332</v>
      </c>
      <c r="C14" s="112">
        <v>150</v>
      </c>
      <c r="D14" s="113">
        <v>146</v>
      </c>
      <c r="E14" s="114">
        <v>2.83</v>
      </c>
      <c r="F14" s="120">
        <v>31.2</v>
      </c>
      <c r="G14" s="116">
        <v>37.6</v>
      </c>
      <c r="H14" s="117">
        <v>39</v>
      </c>
      <c r="I14" s="114">
        <v>3.41</v>
      </c>
      <c r="J14" s="117">
        <v>14</v>
      </c>
      <c r="K14" s="114">
        <v>0.56</v>
      </c>
      <c r="L14" s="169">
        <v>0.62</v>
      </c>
      <c r="M14" s="115">
        <v>10.8</v>
      </c>
      <c r="N14" s="113">
        <v>32</v>
      </c>
      <c r="O14" s="170">
        <v>2.55</v>
      </c>
      <c r="P14" s="113">
        <v>5</v>
      </c>
      <c r="Q14" s="169">
        <v>0.15</v>
      </c>
      <c r="R14" s="118">
        <v>0.6</v>
      </c>
      <c r="S14" s="115">
        <v>10.1</v>
      </c>
      <c r="T14" s="120">
        <v>78.3</v>
      </c>
      <c r="U14" s="123" t="s">
        <v>129</v>
      </c>
      <c r="V14" s="192"/>
      <c r="W14" s="193">
        <f t="shared" si="0"/>
        <v>0.731382978723404</v>
      </c>
    </row>
    <row r="15" ht="12.95" customHeight="1" spans="1:23">
      <c r="A15" s="110">
        <v>9</v>
      </c>
      <c r="B15" s="111">
        <v>256</v>
      </c>
      <c r="C15" s="112">
        <v>117</v>
      </c>
      <c r="D15" s="113">
        <v>114</v>
      </c>
      <c r="E15" s="114">
        <v>2.36</v>
      </c>
      <c r="F15" s="116">
        <v>25.3</v>
      </c>
      <c r="G15" s="116">
        <v>31.3</v>
      </c>
      <c r="H15" s="117">
        <v>44</v>
      </c>
      <c r="I15" s="114">
        <v>3.91</v>
      </c>
      <c r="J15" s="117">
        <v>15</v>
      </c>
      <c r="K15" s="114">
        <v>0.53</v>
      </c>
      <c r="L15" s="169">
        <v>0.6</v>
      </c>
      <c r="M15" s="115">
        <v>10.4</v>
      </c>
      <c r="N15" s="113">
        <v>25</v>
      </c>
      <c r="O15" s="170">
        <v>2.4</v>
      </c>
      <c r="P15" s="113">
        <v>6</v>
      </c>
      <c r="Q15" s="169">
        <v>0.17</v>
      </c>
      <c r="R15" s="118">
        <v>0.59</v>
      </c>
      <c r="S15" s="169">
        <v>9.62</v>
      </c>
      <c r="T15" s="120">
        <v>78.5</v>
      </c>
      <c r="U15" s="123" t="s">
        <v>129</v>
      </c>
      <c r="V15" s="192"/>
      <c r="W15" s="193">
        <f t="shared" si="0"/>
        <v>0.692651757188498</v>
      </c>
    </row>
    <row r="16" ht="12.95" customHeight="1" spans="1:23">
      <c r="A16" s="110">
        <v>10</v>
      </c>
      <c r="B16" s="111">
        <v>276</v>
      </c>
      <c r="C16" s="121">
        <v>123</v>
      </c>
      <c r="D16" s="113">
        <v>136</v>
      </c>
      <c r="E16" s="114">
        <v>3.18</v>
      </c>
      <c r="F16" s="116">
        <v>26.1</v>
      </c>
      <c r="G16" s="116">
        <v>32.9</v>
      </c>
      <c r="H16" s="117">
        <v>35</v>
      </c>
      <c r="I16" s="171">
        <v>3</v>
      </c>
      <c r="J16" s="117">
        <v>18</v>
      </c>
      <c r="K16" s="114">
        <v>0.52</v>
      </c>
      <c r="L16" s="169">
        <v>0.5</v>
      </c>
      <c r="M16" s="169">
        <v>7.96</v>
      </c>
      <c r="N16" s="113">
        <v>23</v>
      </c>
      <c r="O16" s="170">
        <v>2.14</v>
      </c>
      <c r="P16" s="113">
        <v>6</v>
      </c>
      <c r="Q16" s="169">
        <v>0.15</v>
      </c>
      <c r="R16" s="118">
        <v>0.42</v>
      </c>
      <c r="S16" s="169">
        <v>7.88</v>
      </c>
      <c r="T16" s="120">
        <v>78.7</v>
      </c>
      <c r="U16" s="123">
        <v>80</v>
      </c>
      <c r="V16" s="192"/>
      <c r="W16" s="193">
        <f t="shared" si="0"/>
        <v>0.76048632218845</v>
      </c>
    </row>
    <row r="17" ht="12.95" customHeight="1" spans="1:23">
      <c r="A17" s="110">
        <v>11</v>
      </c>
      <c r="B17" s="111">
        <v>157</v>
      </c>
      <c r="C17" s="112">
        <v>71.4</v>
      </c>
      <c r="D17" s="113">
        <v>100</v>
      </c>
      <c r="E17" s="114">
        <v>2.5</v>
      </c>
      <c r="F17" s="115">
        <v>24.5</v>
      </c>
      <c r="G17" s="116">
        <v>33.1</v>
      </c>
      <c r="H17" s="117">
        <v>34</v>
      </c>
      <c r="I17" s="114">
        <v>3.61</v>
      </c>
      <c r="J17" s="117">
        <v>17</v>
      </c>
      <c r="K17" s="114">
        <v>0.5</v>
      </c>
      <c r="L17" s="169">
        <v>0.48</v>
      </c>
      <c r="M17" s="169">
        <v>9.58</v>
      </c>
      <c r="N17" s="113">
        <v>25</v>
      </c>
      <c r="O17" s="170">
        <v>2.24</v>
      </c>
      <c r="P17" s="113">
        <v>6</v>
      </c>
      <c r="Q17" s="169">
        <v>0.17</v>
      </c>
      <c r="R17" s="118">
        <v>0.45</v>
      </c>
      <c r="S17" s="169">
        <v>8.58</v>
      </c>
      <c r="T17" s="120">
        <v>78.9</v>
      </c>
      <c r="U17" s="123" t="s">
        <v>129</v>
      </c>
      <c r="V17" s="192"/>
      <c r="W17" s="193">
        <f t="shared" si="0"/>
        <v>0.740785498489426</v>
      </c>
    </row>
    <row r="18" ht="12.95" customHeight="1" spans="1:23">
      <c r="A18" s="110">
        <v>12</v>
      </c>
      <c r="B18" s="113">
        <v>370</v>
      </c>
      <c r="C18" s="112">
        <v>167</v>
      </c>
      <c r="D18" s="122">
        <v>132</v>
      </c>
      <c r="E18" s="114">
        <v>2.26</v>
      </c>
      <c r="F18" s="116">
        <v>20.2</v>
      </c>
      <c r="G18" s="116">
        <v>26.5</v>
      </c>
      <c r="H18" s="117">
        <v>37</v>
      </c>
      <c r="I18" s="114">
        <v>3.51</v>
      </c>
      <c r="J18" s="60">
        <v>17</v>
      </c>
      <c r="K18" s="114">
        <v>0.56</v>
      </c>
      <c r="L18" s="169">
        <v>0.28</v>
      </c>
      <c r="M18" s="169">
        <v>9.94</v>
      </c>
      <c r="N18" s="113">
        <v>25</v>
      </c>
      <c r="O18" s="170">
        <v>2.12</v>
      </c>
      <c r="P18" s="113">
        <v>6</v>
      </c>
      <c r="Q18" s="169">
        <v>0.18</v>
      </c>
      <c r="R18" s="118">
        <v>0.27</v>
      </c>
      <c r="S18" s="172">
        <v>9.04</v>
      </c>
      <c r="T18" s="120">
        <v>78.7</v>
      </c>
      <c r="U18" s="123" t="s">
        <v>129</v>
      </c>
      <c r="V18" s="192"/>
      <c r="W18" s="193">
        <f t="shared" si="0"/>
        <v>0.658867924528302</v>
      </c>
    </row>
    <row r="19" ht="12.95" customHeight="1" spans="1:23">
      <c r="A19" s="110">
        <v>13</v>
      </c>
      <c r="B19" s="111">
        <v>367</v>
      </c>
      <c r="C19" s="112">
        <v>166</v>
      </c>
      <c r="D19" s="122">
        <v>188</v>
      </c>
      <c r="E19" s="114">
        <v>5.83</v>
      </c>
      <c r="F19" s="116">
        <v>24.4</v>
      </c>
      <c r="G19" s="116">
        <v>37.2</v>
      </c>
      <c r="H19" s="117">
        <v>44</v>
      </c>
      <c r="I19" s="114">
        <v>4.02</v>
      </c>
      <c r="J19" s="60">
        <v>19</v>
      </c>
      <c r="K19" s="114">
        <v>0.56</v>
      </c>
      <c r="L19" s="169">
        <v>0.54</v>
      </c>
      <c r="M19" s="115">
        <v>10.8</v>
      </c>
      <c r="N19" s="113">
        <v>31</v>
      </c>
      <c r="O19" s="170">
        <v>3.1</v>
      </c>
      <c r="P19" s="113">
        <v>6</v>
      </c>
      <c r="Q19" s="169">
        <v>0.18</v>
      </c>
      <c r="R19" s="118">
        <v>0.48</v>
      </c>
      <c r="S19" s="115">
        <v>10</v>
      </c>
      <c r="T19" s="120">
        <v>78.6</v>
      </c>
      <c r="U19" s="123">
        <v>20</v>
      </c>
      <c r="V19" s="192"/>
      <c r="W19" s="193">
        <f t="shared" si="0"/>
        <v>0.731182795698925</v>
      </c>
    </row>
    <row r="20" ht="12.95" customHeight="1" spans="1:23">
      <c r="A20" s="110">
        <v>14</v>
      </c>
      <c r="B20" s="111">
        <v>238</v>
      </c>
      <c r="C20" s="121">
        <v>110</v>
      </c>
      <c r="D20" s="113">
        <v>108</v>
      </c>
      <c r="E20" s="114">
        <v>3.51</v>
      </c>
      <c r="F20" s="120">
        <v>31</v>
      </c>
      <c r="G20" s="116">
        <v>37.6</v>
      </c>
      <c r="H20" s="117">
        <v>40</v>
      </c>
      <c r="I20" s="171">
        <v>4.15</v>
      </c>
      <c r="J20" s="117">
        <v>16</v>
      </c>
      <c r="K20" s="114">
        <v>0.54</v>
      </c>
      <c r="L20" s="169">
        <v>0.44</v>
      </c>
      <c r="M20" s="115">
        <v>11.4</v>
      </c>
      <c r="N20" s="113">
        <v>24</v>
      </c>
      <c r="O20" s="170">
        <v>2.36</v>
      </c>
      <c r="P20" s="113">
        <v>5</v>
      </c>
      <c r="Q20" s="169">
        <v>0.16</v>
      </c>
      <c r="R20" s="118">
        <v>0.39</v>
      </c>
      <c r="S20" s="115">
        <v>10.1</v>
      </c>
      <c r="T20" s="120">
        <v>78.8</v>
      </c>
      <c r="U20" s="123" t="s">
        <v>129</v>
      </c>
      <c r="V20" s="192"/>
      <c r="W20" s="193">
        <f t="shared" si="0"/>
        <v>0.731382978723404</v>
      </c>
    </row>
    <row r="21" ht="12.95" customHeight="1" spans="1:23">
      <c r="A21" s="110">
        <v>15</v>
      </c>
      <c r="B21" s="111">
        <v>206</v>
      </c>
      <c r="C21" s="112">
        <v>93.2</v>
      </c>
      <c r="D21" s="113">
        <v>84</v>
      </c>
      <c r="E21" s="114">
        <v>2.88</v>
      </c>
      <c r="F21" s="115">
        <v>34.7</v>
      </c>
      <c r="G21" s="116">
        <v>38.8</v>
      </c>
      <c r="H21" s="117">
        <v>32</v>
      </c>
      <c r="I21" s="114">
        <v>3.13</v>
      </c>
      <c r="J21" s="117">
        <v>15</v>
      </c>
      <c r="K21" s="114">
        <v>0.52</v>
      </c>
      <c r="L21" s="169">
        <v>0.37</v>
      </c>
      <c r="M21" s="115">
        <v>10.8</v>
      </c>
      <c r="N21" s="113">
        <v>24</v>
      </c>
      <c r="O21" s="170">
        <v>2.45</v>
      </c>
      <c r="P21" s="113">
        <v>5</v>
      </c>
      <c r="Q21" s="169">
        <v>0.18</v>
      </c>
      <c r="R21" s="118">
        <v>0.31</v>
      </c>
      <c r="S21" s="115">
        <v>10.3</v>
      </c>
      <c r="T21" s="120">
        <v>78.6</v>
      </c>
      <c r="U21" s="123" t="s">
        <v>129</v>
      </c>
      <c r="V21" s="192"/>
      <c r="W21" s="193">
        <f t="shared" si="0"/>
        <v>0.734536082474227</v>
      </c>
    </row>
    <row r="22" ht="12" customHeight="1" spans="1:23">
      <c r="A22" s="110">
        <v>16</v>
      </c>
      <c r="B22" s="111">
        <v>290</v>
      </c>
      <c r="C22" s="112">
        <v>135</v>
      </c>
      <c r="D22" s="113">
        <v>100</v>
      </c>
      <c r="E22" s="114">
        <v>3.05</v>
      </c>
      <c r="F22" s="115">
        <v>28.2</v>
      </c>
      <c r="G22" s="116">
        <v>37</v>
      </c>
      <c r="H22" s="117">
        <v>29</v>
      </c>
      <c r="I22" s="114">
        <v>2.87</v>
      </c>
      <c r="J22" s="117">
        <v>14</v>
      </c>
      <c r="K22" s="114">
        <v>0.51</v>
      </c>
      <c r="L22" s="169">
        <v>0.36</v>
      </c>
      <c r="M22" s="115">
        <v>10.8</v>
      </c>
      <c r="N22" s="113">
        <v>28</v>
      </c>
      <c r="O22" s="170">
        <v>2.4</v>
      </c>
      <c r="P22" s="113">
        <v>5</v>
      </c>
      <c r="Q22" s="169">
        <v>0.19</v>
      </c>
      <c r="R22" s="118">
        <v>0.32</v>
      </c>
      <c r="S22" s="169">
        <v>9.68</v>
      </c>
      <c r="T22" s="120">
        <v>78.5</v>
      </c>
      <c r="U22" s="123" t="s">
        <v>129</v>
      </c>
      <c r="V22" s="192"/>
      <c r="W22" s="193">
        <f t="shared" si="0"/>
        <v>0.738378378378378</v>
      </c>
    </row>
    <row r="23" ht="12.95" customHeight="1" spans="1:23">
      <c r="A23" s="110">
        <v>17</v>
      </c>
      <c r="B23" s="111">
        <v>251</v>
      </c>
      <c r="C23" s="112">
        <v>114</v>
      </c>
      <c r="D23" s="113">
        <v>94</v>
      </c>
      <c r="E23" s="114">
        <v>3.3</v>
      </c>
      <c r="F23" s="115">
        <v>24.3</v>
      </c>
      <c r="G23" s="116">
        <v>36.7</v>
      </c>
      <c r="H23" s="117">
        <v>34</v>
      </c>
      <c r="I23" s="114">
        <v>3.08</v>
      </c>
      <c r="J23" s="117">
        <v>13</v>
      </c>
      <c r="K23" s="114">
        <v>0.5</v>
      </c>
      <c r="L23" s="169">
        <v>0.37</v>
      </c>
      <c r="M23" s="169">
        <v>9.56</v>
      </c>
      <c r="N23" s="113">
        <v>29</v>
      </c>
      <c r="O23" s="170">
        <v>2.55</v>
      </c>
      <c r="P23" s="113">
        <v>5</v>
      </c>
      <c r="Q23" s="169">
        <v>0.18</v>
      </c>
      <c r="R23" s="118">
        <v>0.28</v>
      </c>
      <c r="S23" s="169">
        <v>9.07</v>
      </c>
      <c r="T23" s="120">
        <v>78.1</v>
      </c>
      <c r="U23" s="123">
        <v>100</v>
      </c>
      <c r="V23" s="192"/>
      <c r="W23" s="193">
        <f t="shared" si="0"/>
        <v>0.752861035422343</v>
      </c>
    </row>
    <row r="24" ht="12.95" customHeight="1" spans="1:23">
      <c r="A24" s="110">
        <v>18</v>
      </c>
      <c r="B24" s="123">
        <v>159</v>
      </c>
      <c r="C24" s="112">
        <v>72.4</v>
      </c>
      <c r="D24" s="113">
        <v>88</v>
      </c>
      <c r="E24" s="114">
        <v>1.74</v>
      </c>
      <c r="F24" s="115">
        <v>17.2</v>
      </c>
      <c r="G24" s="116">
        <v>23.6</v>
      </c>
      <c r="H24" s="117">
        <v>30</v>
      </c>
      <c r="I24" s="114">
        <v>2.91</v>
      </c>
      <c r="J24" s="117">
        <v>12</v>
      </c>
      <c r="K24" s="114">
        <v>0.54</v>
      </c>
      <c r="L24" s="169">
        <v>0.42</v>
      </c>
      <c r="M24" s="169">
        <v>8.58</v>
      </c>
      <c r="N24" s="113">
        <v>24</v>
      </c>
      <c r="O24" s="170">
        <v>2.34</v>
      </c>
      <c r="P24" s="113">
        <v>5</v>
      </c>
      <c r="Q24" s="169">
        <v>0.15</v>
      </c>
      <c r="R24" s="118">
        <v>0.32</v>
      </c>
      <c r="S24" s="169">
        <v>7.72</v>
      </c>
      <c r="T24" s="120">
        <v>78.5</v>
      </c>
      <c r="U24" s="123" t="s">
        <v>129</v>
      </c>
      <c r="V24" s="192"/>
      <c r="W24" s="193">
        <f t="shared" si="0"/>
        <v>0.672881355932203</v>
      </c>
    </row>
    <row r="25" ht="12.95" customHeight="1" spans="1:23">
      <c r="A25" s="110">
        <v>19</v>
      </c>
      <c r="B25" s="123">
        <v>118</v>
      </c>
      <c r="C25" s="121">
        <v>55.4</v>
      </c>
      <c r="D25" s="113">
        <v>60</v>
      </c>
      <c r="E25" s="114">
        <v>1.57</v>
      </c>
      <c r="F25" s="116">
        <v>16.7</v>
      </c>
      <c r="G25" s="116">
        <v>23.5</v>
      </c>
      <c r="H25" s="117">
        <v>30</v>
      </c>
      <c r="I25" s="171">
        <v>2.87</v>
      </c>
      <c r="J25" s="117">
        <v>13</v>
      </c>
      <c r="K25" s="114">
        <v>0.53</v>
      </c>
      <c r="L25" s="169">
        <v>0.2</v>
      </c>
      <c r="M25" s="169">
        <v>7.96</v>
      </c>
      <c r="N25" s="113">
        <v>26</v>
      </c>
      <c r="O25" s="170">
        <v>2.73</v>
      </c>
      <c r="P25" s="113">
        <v>5</v>
      </c>
      <c r="Q25" s="169">
        <v>0.15</v>
      </c>
      <c r="R25" s="118">
        <v>0.16</v>
      </c>
      <c r="S25" s="169">
        <v>6.95</v>
      </c>
      <c r="T25" s="120">
        <v>78.2</v>
      </c>
      <c r="U25" s="123" t="s">
        <v>129</v>
      </c>
      <c r="V25" s="192"/>
      <c r="W25" s="193">
        <f t="shared" si="0"/>
        <v>0.704255319148936</v>
      </c>
    </row>
    <row r="26" ht="12.95" customHeight="1" spans="1:23">
      <c r="A26" s="110">
        <v>20</v>
      </c>
      <c r="B26" s="123">
        <v>200</v>
      </c>
      <c r="C26" s="112">
        <v>92.4</v>
      </c>
      <c r="D26" s="113">
        <v>112</v>
      </c>
      <c r="E26" s="114">
        <v>2.19</v>
      </c>
      <c r="F26" s="116">
        <v>21.5</v>
      </c>
      <c r="G26" s="116">
        <v>27.4</v>
      </c>
      <c r="H26" s="117">
        <v>31</v>
      </c>
      <c r="I26" s="114">
        <v>3.15</v>
      </c>
      <c r="J26" s="117">
        <v>14</v>
      </c>
      <c r="K26" s="114">
        <v>0.51</v>
      </c>
      <c r="L26" s="169">
        <v>0.42</v>
      </c>
      <c r="M26" s="115">
        <v>10</v>
      </c>
      <c r="N26" s="113">
        <v>25</v>
      </c>
      <c r="O26" s="170">
        <v>2.71</v>
      </c>
      <c r="P26" s="113">
        <v>5</v>
      </c>
      <c r="Q26" s="169">
        <v>0.13</v>
      </c>
      <c r="R26" s="118">
        <v>0.39</v>
      </c>
      <c r="S26" s="169">
        <v>8.34</v>
      </c>
      <c r="T26" s="120">
        <v>78.3</v>
      </c>
      <c r="U26" s="123" t="s">
        <v>129</v>
      </c>
      <c r="V26" s="192"/>
      <c r="W26" s="193">
        <f t="shared" si="0"/>
        <v>0.695620437956204</v>
      </c>
    </row>
    <row r="27" ht="12.95" customHeight="1" spans="1:23">
      <c r="A27" s="110">
        <v>21</v>
      </c>
      <c r="B27" s="123">
        <v>212</v>
      </c>
      <c r="C27" s="112">
        <v>96.5</v>
      </c>
      <c r="D27" s="113">
        <v>96</v>
      </c>
      <c r="E27" s="114">
        <v>3.49</v>
      </c>
      <c r="F27" s="120">
        <v>27.7</v>
      </c>
      <c r="G27" s="116">
        <v>33.8</v>
      </c>
      <c r="H27" s="117">
        <v>26</v>
      </c>
      <c r="I27" s="114">
        <v>2.33</v>
      </c>
      <c r="J27" s="117">
        <v>14</v>
      </c>
      <c r="K27" s="114">
        <v>0.54</v>
      </c>
      <c r="L27" s="169">
        <v>0.35</v>
      </c>
      <c r="M27" s="115">
        <v>10.8</v>
      </c>
      <c r="N27" s="113">
        <v>19</v>
      </c>
      <c r="O27" s="170">
        <v>2.21</v>
      </c>
      <c r="P27" s="113">
        <v>5</v>
      </c>
      <c r="Q27" s="169">
        <v>0.13</v>
      </c>
      <c r="R27" s="118">
        <v>0.31</v>
      </c>
      <c r="S27" s="169">
        <v>9.82</v>
      </c>
      <c r="T27" s="120">
        <v>78.1</v>
      </c>
      <c r="U27" s="123">
        <v>70</v>
      </c>
      <c r="V27" s="192"/>
      <c r="W27" s="193">
        <f t="shared" si="0"/>
        <v>0.709467455621302</v>
      </c>
    </row>
    <row r="28" ht="12.95" customHeight="1" spans="1:23">
      <c r="A28" s="110">
        <v>22</v>
      </c>
      <c r="B28" s="123">
        <v>182</v>
      </c>
      <c r="C28" s="112">
        <v>82.6</v>
      </c>
      <c r="D28" s="113">
        <v>112</v>
      </c>
      <c r="E28" s="114">
        <v>2.81</v>
      </c>
      <c r="F28" s="120">
        <v>31.4</v>
      </c>
      <c r="G28" s="116">
        <v>37.7</v>
      </c>
      <c r="H28" s="117">
        <v>28</v>
      </c>
      <c r="I28" s="114">
        <v>2.6</v>
      </c>
      <c r="J28" s="117">
        <v>14</v>
      </c>
      <c r="K28" s="114">
        <v>0.52</v>
      </c>
      <c r="L28" s="169">
        <v>0.4</v>
      </c>
      <c r="M28" s="115">
        <v>13.6</v>
      </c>
      <c r="N28" s="113">
        <v>19</v>
      </c>
      <c r="O28" s="170">
        <v>2.17</v>
      </c>
      <c r="P28" s="113">
        <v>5</v>
      </c>
      <c r="Q28" s="169">
        <v>0.14</v>
      </c>
      <c r="R28" s="118">
        <v>0.38</v>
      </c>
      <c r="S28" s="115">
        <v>10.1</v>
      </c>
      <c r="T28" s="120">
        <v>78.4</v>
      </c>
      <c r="U28" s="123" t="s">
        <v>129</v>
      </c>
      <c r="V28" s="192"/>
      <c r="W28" s="193">
        <f t="shared" si="0"/>
        <v>0.73209549071618</v>
      </c>
    </row>
    <row r="29" ht="12.95" customHeight="1" spans="1:23">
      <c r="A29" s="110">
        <v>23</v>
      </c>
      <c r="B29" s="123">
        <v>112</v>
      </c>
      <c r="C29" s="121">
        <v>52.7</v>
      </c>
      <c r="D29" s="113">
        <v>60</v>
      </c>
      <c r="E29" s="114">
        <v>1.31</v>
      </c>
      <c r="F29" s="120">
        <v>14</v>
      </c>
      <c r="G29" s="116">
        <v>19.1</v>
      </c>
      <c r="H29" s="117">
        <v>29</v>
      </c>
      <c r="I29" s="171">
        <v>2.46</v>
      </c>
      <c r="J29" s="117">
        <v>13</v>
      </c>
      <c r="K29" s="114">
        <v>0.5</v>
      </c>
      <c r="L29" s="169">
        <v>0.38</v>
      </c>
      <c r="M29" s="169">
        <v>7.67</v>
      </c>
      <c r="N29" s="113">
        <v>22</v>
      </c>
      <c r="O29" s="170">
        <v>2.33</v>
      </c>
      <c r="P29" s="113">
        <v>5</v>
      </c>
      <c r="Q29" s="169">
        <v>0.15</v>
      </c>
      <c r="R29" s="118">
        <v>0.2</v>
      </c>
      <c r="S29" s="169">
        <v>6.98</v>
      </c>
      <c r="T29" s="120">
        <v>78.6</v>
      </c>
      <c r="U29" s="123" t="s">
        <v>129</v>
      </c>
      <c r="V29" s="192"/>
      <c r="W29" s="193">
        <f t="shared" si="0"/>
        <v>0.63455497382199</v>
      </c>
    </row>
    <row r="30" ht="12.95" customHeight="1" spans="1:23">
      <c r="A30" s="110">
        <v>24</v>
      </c>
      <c r="B30" s="123">
        <v>170</v>
      </c>
      <c r="C30" s="112">
        <v>77.6</v>
      </c>
      <c r="D30" s="113">
        <v>80</v>
      </c>
      <c r="E30" s="114">
        <v>1.86</v>
      </c>
      <c r="F30" s="124">
        <v>20.5</v>
      </c>
      <c r="G30" s="125">
        <v>26.7</v>
      </c>
      <c r="H30" s="117">
        <v>31</v>
      </c>
      <c r="I30" s="114">
        <v>2.63</v>
      </c>
      <c r="J30" s="117">
        <v>13</v>
      </c>
      <c r="K30" s="114">
        <v>0.56</v>
      </c>
      <c r="L30" s="169">
        <v>0.39</v>
      </c>
      <c r="M30" s="169">
        <v>7.36</v>
      </c>
      <c r="N30" s="113">
        <v>19</v>
      </c>
      <c r="O30" s="170">
        <v>2.55</v>
      </c>
      <c r="P30" s="113">
        <v>5</v>
      </c>
      <c r="Q30" s="169">
        <v>0.16</v>
      </c>
      <c r="R30" s="169">
        <v>0.27</v>
      </c>
      <c r="S30" s="169">
        <v>6.88</v>
      </c>
      <c r="T30" s="124">
        <v>78.3</v>
      </c>
      <c r="U30" s="123" t="s">
        <v>129</v>
      </c>
      <c r="V30" s="192"/>
      <c r="W30" s="193">
        <f t="shared" si="0"/>
        <v>0.742322097378277</v>
      </c>
    </row>
    <row r="31" ht="12.95" customHeight="1" spans="1:23">
      <c r="A31" s="110">
        <v>25</v>
      </c>
      <c r="B31" s="123">
        <v>206</v>
      </c>
      <c r="C31" s="112">
        <v>93.2</v>
      </c>
      <c r="D31" s="113">
        <v>86</v>
      </c>
      <c r="E31" s="114">
        <v>1.99</v>
      </c>
      <c r="F31" s="116">
        <v>23.9</v>
      </c>
      <c r="G31" s="125">
        <v>29.4</v>
      </c>
      <c r="H31" s="117">
        <v>42</v>
      </c>
      <c r="I31" s="114">
        <v>3.88</v>
      </c>
      <c r="J31" s="117">
        <v>14</v>
      </c>
      <c r="K31" s="114">
        <v>0.54</v>
      </c>
      <c r="L31" s="169">
        <v>0.36</v>
      </c>
      <c r="M31" s="172">
        <v>7.83</v>
      </c>
      <c r="N31" s="113">
        <v>27</v>
      </c>
      <c r="O31" s="170">
        <v>2.6</v>
      </c>
      <c r="P31" s="113">
        <v>5</v>
      </c>
      <c r="Q31" s="169">
        <v>0.13</v>
      </c>
      <c r="R31" s="169">
        <v>0.32</v>
      </c>
      <c r="S31" s="172">
        <v>7.21</v>
      </c>
      <c r="T31" s="120">
        <v>78.5</v>
      </c>
      <c r="U31" s="123" t="s">
        <v>129</v>
      </c>
      <c r="V31" s="192"/>
      <c r="W31" s="193">
        <f t="shared" si="0"/>
        <v>0.754761904761905</v>
      </c>
    </row>
    <row r="32" ht="12.95" customHeight="1" spans="1:23">
      <c r="A32" s="110">
        <v>26</v>
      </c>
      <c r="B32" s="123">
        <v>185</v>
      </c>
      <c r="C32" s="112">
        <v>85.3</v>
      </c>
      <c r="D32" s="113">
        <v>100</v>
      </c>
      <c r="E32" s="114">
        <v>2.26</v>
      </c>
      <c r="F32" s="115">
        <v>16.8</v>
      </c>
      <c r="G32" s="116">
        <v>23.4</v>
      </c>
      <c r="H32" s="117">
        <v>33</v>
      </c>
      <c r="I32" s="114">
        <v>3.06</v>
      </c>
      <c r="J32" s="117">
        <v>15</v>
      </c>
      <c r="K32" s="114">
        <v>0.5</v>
      </c>
      <c r="L32" s="169">
        <v>0.27</v>
      </c>
      <c r="M32" s="169">
        <v>7.78</v>
      </c>
      <c r="N32" s="113">
        <v>21</v>
      </c>
      <c r="O32" s="170">
        <v>2.74</v>
      </c>
      <c r="P32" s="113">
        <v>5</v>
      </c>
      <c r="Q32" s="169">
        <v>0.17</v>
      </c>
      <c r="R32" s="169">
        <v>0.26</v>
      </c>
      <c r="S32" s="169">
        <v>7.12</v>
      </c>
      <c r="T32" s="120">
        <v>78.4</v>
      </c>
      <c r="U32" s="123">
        <v>60</v>
      </c>
      <c r="V32" s="192"/>
      <c r="W32" s="193">
        <f t="shared" si="0"/>
        <v>0.695726495726496</v>
      </c>
    </row>
    <row r="33" ht="12.95" customHeight="1" spans="1:23">
      <c r="A33" s="110">
        <v>27</v>
      </c>
      <c r="B33" s="123">
        <v>200</v>
      </c>
      <c r="C33" s="112">
        <v>92.4</v>
      </c>
      <c r="D33" s="113">
        <v>84</v>
      </c>
      <c r="E33" s="114">
        <v>2.23</v>
      </c>
      <c r="F33" s="120">
        <v>23.8</v>
      </c>
      <c r="G33" s="116">
        <v>28.6</v>
      </c>
      <c r="H33" s="117">
        <v>32</v>
      </c>
      <c r="I33" s="114">
        <v>3</v>
      </c>
      <c r="J33" s="117">
        <v>12</v>
      </c>
      <c r="K33" s="114">
        <v>0.51</v>
      </c>
      <c r="L33" s="169">
        <v>0.5</v>
      </c>
      <c r="M33" s="169">
        <v>9.63</v>
      </c>
      <c r="N33" s="113">
        <v>25</v>
      </c>
      <c r="O33" s="170">
        <v>2.71</v>
      </c>
      <c r="P33" s="113">
        <v>5</v>
      </c>
      <c r="Q33" s="169">
        <v>0.16</v>
      </c>
      <c r="R33" s="169">
        <v>0.49</v>
      </c>
      <c r="S33" s="169">
        <v>9.5</v>
      </c>
      <c r="T33" s="120">
        <v>78.1</v>
      </c>
      <c r="U33" s="123" t="s">
        <v>129</v>
      </c>
      <c r="V33" s="192"/>
      <c r="W33" s="193">
        <f t="shared" si="0"/>
        <v>0.667832167832168</v>
      </c>
    </row>
    <row r="34" ht="12.95" customHeight="1" spans="1:23">
      <c r="A34" s="110">
        <v>28</v>
      </c>
      <c r="B34" s="123">
        <v>190</v>
      </c>
      <c r="C34" s="112">
        <v>86.4</v>
      </c>
      <c r="D34" s="113">
        <v>180</v>
      </c>
      <c r="E34" s="114">
        <v>3.27</v>
      </c>
      <c r="F34" s="115">
        <v>27.1</v>
      </c>
      <c r="G34" s="116">
        <v>34.3</v>
      </c>
      <c r="H34" s="117">
        <v>32</v>
      </c>
      <c r="I34" s="114">
        <v>2.96</v>
      </c>
      <c r="J34" s="117">
        <v>13</v>
      </c>
      <c r="K34" s="114">
        <v>0.55</v>
      </c>
      <c r="L34" s="169">
        <v>0.4</v>
      </c>
      <c r="M34" s="169">
        <v>9.74</v>
      </c>
      <c r="N34" s="113">
        <v>28</v>
      </c>
      <c r="O34" s="170">
        <v>2.45</v>
      </c>
      <c r="P34" s="113">
        <v>5</v>
      </c>
      <c r="Q34" s="169">
        <v>0.17</v>
      </c>
      <c r="R34" s="169">
        <v>0.39</v>
      </c>
      <c r="S34" s="169">
        <v>9.5</v>
      </c>
      <c r="T34" s="120">
        <v>78.3</v>
      </c>
      <c r="U34" s="123" t="s">
        <v>129</v>
      </c>
      <c r="V34" s="192"/>
      <c r="W34" s="193">
        <f t="shared" si="0"/>
        <v>0.723032069970845</v>
      </c>
    </row>
    <row r="35" ht="12.95" customHeight="1" spans="1:23">
      <c r="A35" s="110">
        <v>29</v>
      </c>
      <c r="B35" s="123">
        <v>422</v>
      </c>
      <c r="C35" s="112">
        <v>192</v>
      </c>
      <c r="D35" s="113">
        <v>166</v>
      </c>
      <c r="E35" s="114">
        <v>2.75</v>
      </c>
      <c r="F35" s="115">
        <v>25.1</v>
      </c>
      <c r="G35" s="116">
        <v>31.7</v>
      </c>
      <c r="H35" s="117">
        <v>46</v>
      </c>
      <c r="I35" s="114">
        <v>3.96</v>
      </c>
      <c r="J35" s="117">
        <v>14</v>
      </c>
      <c r="K35" s="114">
        <v>0.56</v>
      </c>
      <c r="L35" s="169">
        <v>0.44</v>
      </c>
      <c r="M35" s="169">
        <v>9.84</v>
      </c>
      <c r="N35" s="113">
        <v>30</v>
      </c>
      <c r="O35" s="170">
        <v>2.81</v>
      </c>
      <c r="P35" s="113">
        <v>5</v>
      </c>
      <c r="Q35" s="169">
        <v>0.15</v>
      </c>
      <c r="R35" s="169">
        <v>0.41</v>
      </c>
      <c r="S35" s="169">
        <v>9.6</v>
      </c>
      <c r="T35" s="120">
        <v>78.6</v>
      </c>
      <c r="U35" s="123" t="s">
        <v>129</v>
      </c>
      <c r="V35" s="192"/>
      <c r="W35" s="193">
        <f t="shared" si="0"/>
        <v>0.697160883280757</v>
      </c>
    </row>
    <row r="36" ht="12.95" customHeight="1" spans="1:23">
      <c r="A36" s="110">
        <v>30</v>
      </c>
      <c r="B36" s="123">
        <v>176</v>
      </c>
      <c r="C36" s="112">
        <v>80.4</v>
      </c>
      <c r="D36" s="113">
        <v>66</v>
      </c>
      <c r="E36" s="114">
        <v>1.87</v>
      </c>
      <c r="F36" s="120">
        <v>19.7</v>
      </c>
      <c r="G36" s="116">
        <v>25.6</v>
      </c>
      <c r="H36" s="117">
        <v>32</v>
      </c>
      <c r="I36" s="114">
        <v>3.33</v>
      </c>
      <c r="J36" s="117">
        <v>12</v>
      </c>
      <c r="K36" s="114">
        <v>0.53</v>
      </c>
      <c r="L36" s="169">
        <v>0.36</v>
      </c>
      <c r="M36" s="169">
        <v>6.67</v>
      </c>
      <c r="N36" s="113">
        <v>22</v>
      </c>
      <c r="O36" s="170">
        <v>2.45</v>
      </c>
      <c r="P36" s="113">
        <v>5</v>
      </c>
      <c r="Q36" s="169">
        <v>0.14</v>
      </c>
      <c r="R36" s="169">
        <v>0.35</v>
      </c>
      <c r="S36" s="169">
        <v>6.52</v>
      </c>
      <c r="T36" s="120">
        <v>78.4</v>
      </c>
      <c r="U36" s="123" t="s">
        <v>129</v>
      </c>
      <c r="V36" s="192"/>
      <c r="W36" s="193">
        <f t="shared" si="0"/>
        <v>0.7453125</v>
      </c>
    </row>
    <row r="37" ht="12.95" customHeight="1" spans="1:21">
      <c r="A37" s="110" t="s">
        <v>69</v>
      </c>
      <c r="B37" s="113">
        <f>ROUND(AVERAGE(B7:B36),0)</f>
        <v>237</v>
      </c>
      <c r="C37" s="113">
        <f>ROUND(AVERAGE(C7:C36),0)</f>
        <v>108</v>
      </c>
      <c r="D37" s="113">
        <f>ROUND(AVERAGE(D7:D36),0)</f>
        <v>116</v>
      </c>
      <c r="E37" s="114">
        <f>ROUND(AVERAGE(E7:E36),2)</f>
        <v>2.73</v>
      </c>
      <c r="F37" s="120">
        <f>ROUND(AVERAGE(F7:F36),1)</f>
        <v>24.1</v>
      </c>
      <c r="G37" s="120">
        <f>ROUND(AVERAGE(G7:G36),1)</f>
        <v>31</v>
      </c>
      <c r="H37" s="126">
        <f>ROUND(AVERAGE(H7:H36),1)</f>
        <v>33.7</v>
      </c>
      <c r="I37" s="173">
        <f>ROUND(AVERAGE(I7:I36),2)</f>
        <v>3.11</v>
      </c>
      <c r="J37" s="174">
        <f>ROUND(AVERAGE(J7:J36),2)</f>
        <v>14.73</v>
      </c>
      <c r="K37" s="173">
        <f>ROUND(AVERAGE(K7:K36),2)</f>
        <v>0.53</v>
      </c>
      <c r="L37" s="173">
        <f>ROUND(AVERAGE(L7:L36),2)</f>
        <v>0.41</v>
      </c>
      <c r="M37" s="118">
        <f>ROUND(AVERAGE(M7:M36),1)</f>
        <v>9.2</v>
      </c>
      <c r="N37" s="113">
        <f>ROUND(AVERAGE(N7:N36),1)</f>
        <v>24.4</v>
      </c>
      <c r="O37" s="114">
        <f>ROUND(AVERAGE(O7:O36),1)</f>
        <v>2.5</v>
      </c>
      <c r="P37" s="113">
        <f>ROUND(AVERAGE(P7:P36),2)</f>
        <v>5.2</v>
      </c>
      <c r="Q37" s="169">
        <f>ROUND(AVERAGE(Q7:Q36),2)</f>
        <v>0.16</v>
      </c>
      <c r="R37" s="114">
        <f>ROUND(AVERAGE(R7:R36),2)</f>
        <v>0.35</v>
      </c>
      <c r="S37" s="118">
        <f>ROUND(AVERAGE(S7:S36),2)</f>
        <v>8.4</v>
      </c>
      <c r="T37" s="116">
        <f>ROUND(AVERAGE(T7:T36),2)</f>
        <v>78.38</v>
      </c>
      <c r="U37" s="123" t="s">
        <v>129</v>
      </c>
    </row>
    <row r="38" ht="21" customHeight="1" spans="1:21">
      <c r="A38" s="127" t="s">
        <v>71</v>
      </c>
      <c r="B38" s="128"/>
      <c r="C38" s="128"/>
      <c r="D38" s="129"/>
      <c r="E38" s="130"/>
      <c r="F38" s="131"/>
      <c r="H38"/>
      <c r="I38"/>
      <c r="J38" s="127" t="s">
        <v>72</v>
      </c>
      <c r="K38" s="175"/>
      <c r="L38" s="175"/>
      <c r="M38" s="175"/>
      <c r="N38" s="127"/>
      <c r="O38" s="176"/>
      <c r="P38" s="176"/>
      <c r="Q38" s="194" t="s">
        <v>148</v>
      </c>
      <c r="R38" s="194"/>
      <c r="S38" s="194"/>
      <c r="T38" s="194"/>
      <c r="U38" s="195"/>
    </row>
    <row r="39" ht="21" customHeight="1" spans="1:21">
      <c r="A39" s="132"/>
      <c r="B39" s="133"/>
      <c r="C39" s="134"/>
      <c r="D39" s="135"/>
      <c r="E39" s="136"/>
      <c r="F39" s="137"/>
      <c r="H39"/>
      <c r="I39"/>
      <c r="J39" s="176"/>
      <c r="K39" s="176"/>
      <c r="L39" s="176"/>
      <c r="M39" s="176"/>
      <c r="N39" s="132"/>
      <c r="O39" s="176"/>
      <c r="P39" s="176"/>
      <c r="Q39" s="196"/>
      <c r="R39" s="196"/>
      <c r="S39" s="196"/>
      <c r="T39" s="196"/>
      <c r="U39" s="195"/>
    </row>
    <row r="40" ht="15.75" spans="2:19">
      <c r="B40" s="138" t="s">
        <v>110</v>
      </c>
      <c r="C40" s="138" t="s">
        <v>149</v>
      </c>
      <c r="D40" s="139" t="s">
        <v>150</v>
      </c>
      <c r="E40" s="138" t="s">
        <v>151</v>
      </c>
      <c r="F40" s="138" t="s">
        <v>152</v>
      </c>
      <c r="G40" s="139" t="s">
        <v>150</v>
      </c>
      <c r="H40" s="138" t="s">
        <v>151</v>
      </c>
      <c r="I40" s="139" t="s">
        <v>153</v>
      </c>
      <c r="J40" s="176"/>
      <c r="K40" s="176"/>
      <c r="L40" s="176"/>
      <c r="S40" s="197"/>
    </row>
    <row r="41" ht="30" spans="2:20">
      <c r="B41" s="138"/>
      <c r="C41" s="138"/>
      <c r="D41" s="140" t="s">
        <v>154</v>
      </c>
      <c r="E41" s="138"/>
      <c r="F41" s="138"/>
      <c r="G41" s="140" t="s">
        <v>154</v>
      </c>
      <c r="H41" s="138"/>
      <c r="I41" s="140" t="s">
        <v>155</v>
      </c>
      <c r="J41" s="176"/>
      <c r="K41" s="176"/>
      <c r="L41" s="176"/>
      <c r="M41" s="177"/>
      <c r="N41" s="177"/>
      <c r="O41" s="177"/>
      <c r="P41" s="177"/>
      <c r="Q41" s="177"/>
      <c r="R41" s="177"/>
      <c r="S41" s="198"/>
      <c r="T41" s="198"/>
    </row>
    <row r="42" ht="18" spans="2:18">
      <c r="B42" s="141" t="s">
        <v>156</v>
      </c>
      <c r="C42" s="142">
        <f>B37</f>
        <v>237</v>
      </c>
      <c r="D42" s="143">
        <f>MAX(B7:B36)</f>
        <v>422</v>
      </c>
      <c r="E42" s="143">
        <f>MIN(B7:B36)</f>
        <v>112</v>
      </c>
      <c r="F42" s="144">
        <f>N37</f>
        <v>24.4</v>
      </c>
      <c r="G42" s="145">
        <f>MAX(N7:N36)</f>
        <v>32</v>
      </c>
      <c r="H42" s="143">
        <f>MIN(N7:N36)</f>
        <v>19</v>
      </c>
      <c r="I42" s="178">
        <f t="shared" ref="I42:I47" si="1">1-F42/C42</f>
        <v>0.89704641350211</v>
      </c>
      <c r="J42" s="161"/>
      <c r="K42" s="141" t="s">
        <v>157</v>
      </c>
      <c r="L42" s="179">
        <f>C43/C42</f>
        <v>0.455696202531646</v>
      </c>
      <c r="M42" s="180"/>
      <c r="N42" s="181"/>
      <c r="O42" s="181"/>
      <c r="P42" s="181"/>
      <c r="Q42" s="180"/>
      <c r="R42" s="185"/>
    </row>
    <row r="43" ht="17.25" spans="2:18">
      <c r="B43" s="146" t="s">
        <v>158</v>
      </c>
      <c r="C43" s="147">
        <f>C37</f>
        <v>108</v>
      </c>
      <c r="D43" s="148">
        <f>MAX(C7:C36)</f>
        <v>192</v>
      </c>
      <c r="E43" s="149">
        <f>MIN(C7:C36)</f>
        <v>52.7</v>
      </c>
      <c r="F43" s="150">
        <f>O37</f>
        <v>2.5</v>
      </c>
      <c r="G43" s="151">
        <f>MAX(O7:O36)</f>
        <v>3.1</v>
      </c>
      <c r="H43" s="149">
        <f>MIN(O7:O36)</f>
        <v>2.12</v>
      </c>
      <c r="I43" s="182">
        <f>1-2/C43</f>
        <v>0.981481481481482</v>
      </c>
      <c r="J43" s="161"/>
      <c r="K43" s="146" t="s">
        <v>159</v>
      </c>
      <c r="L43" s="183">
        <f>C43/C47</f>
        <v>3.48387096774194</v>
      </c>
      <c r="M43" s="180"/>
      <c r="N43" s="181"/>
      <c r="O43" s="181"/>
      <c r="P43" s="181"/>
      <c r="Q43" s="180"/>
      <c r="R43" s="185"/>
    </row>
    <row r="44" ht="17.25" spans="2:18">
      <c r="B44" s="146" t="s">
        <v>119</v>
      </c>
      <c r="C44" s="152">
        <f>D37</f>
        <v>116</v>
      </c>
      <c r="D44" s="149">
        <f>MAX(D7:D36)</f>
        <v>188</v>
      </c>
      <c r="E44" s="153">
        <f>MIN(D7:D36)</f>
        <v>60</v>
      </c>
      <c r="F44" s="154">
        <f>P37</f>
        <v>5.2</v>
      </c>
      <c r="G44" s="155">
        <f>MAX(P7:P36)</f>
        <v>6</v>
      </c>
      <c r="H44" s="155">
        <f>MIN(P7:P36)</f>
        <v>5</v>
      </c>
      <c r="I44" s="182">
        <f t="shared" si="1"/>
        <v>0.955172413793103</v>
      </c>
      <c r="J44" s="161"/>
      <c r="K44" s="146" t="s">
        <v>160</v>
      </c>
      <c r="L44" s="184">
        <f>C43/C45</f>
        <v>39.5604395604396</v>
      </c>
      <c r="M44" s="185"/>
      <c r="N44" s="185"/>
      <c r="O44" s="185"/>
      <c r="P44" s="185"/>
      <c r="Q44" s="185"/>
      <c r="R44" s="185"/>
    </row>
    <row r="45" ht="17.25" spans="2:12">
      <c r="B45" s="146" t="s">
        <v>121</v>
      </c>
      <c r="C45" s="154">
        <f>E37</f>
        <v>2.73</v>
      </c>
      <c r="D45" s="149">
        <f>MAX(E7:E36)</f>
        <v>5.83</v>
      </c>
      <c r="E45" s="149">
        <f>MIN(E7:E36)</f>
        <v>1.31</v>
      </c>
      <c r="F45" s="154">
        <f>Q37</f>
        <v>0.16</v>
      </c>
      <c r="G45" s="155">
        <f>MAX(Q7:Q36)</f>
        <v>0.19</v>
      </c>
      <c r="H45" s="155">
        <f>MIN(Q7:Q36)</f>
        <v>0.13</v>
      </c>
      <c r="I45" s="182">
        <f t="shared" si="1"/>
        <v>0.941391941391941</v>
      </c>
      <c r="J45" s="161"/>
      <c r="K45" s="146"/>
      <c r="L45" s="186"/>
    </row>
    <row r="46" ht="17.25" spans="2:12">
      <c r="B46" s="146" t="s">
        <v>161</v>
      </c>
      <c r="C46" s="147">
        <f>F37</f>
        <v>24.1</v>
      </c>
      <c r="D46" s="149">
        <f>MAX(F7:F36)</f>
        <v>34.7</v>
      </c>
      <c r="E46" s="149">
        <f>MIN(F7:F36)</f>
        <v>14</v>
      </c>
      <c r="F46" s="154">
        <f>R37</f>
        <v>0.35</v>
      </c>
      <c r="G46" s="149">
        <f>MAX(R7:R36)</f>
        <v>0.6</v>
      </c>
      <c r="H46" s="155">
        <f>MIN(R7:R36)</f>
        <v>0.16</v>
      </c>
      <c r="I46" s="182">
        <f t="shared" si="1"/>
        <v>0.985477178423237</v>
      </c>
      <c r="J46" s="161"/>
      <c r="K46" s="146"/>
      <c r="L46" s="186"/>
    </row>
    <row r="47" ht="17.25" spans="2:12">
      <c r="B47" s="156" t="s">
        <v>124</v>
      </c>
      <c r="C47" s="157">
        <f>G37</f>
        <v>31</v>
      </c>
      <c r="D47" s="158">
        <f>MAX(G7:G36)</f>
        <v>38.8</v>
      </c>
      <c r="E47" s="158">
        <f>MIN(G7:G36)</f>
        <v>19.1</v>
      </c>
      <c r="F47" s="159">
        <f>S37</f>
        <v>8.4</v>
      </c>
      <c r="G47" s="158">
        <f>MAX(S7:S36)</f>
        <v>10.3</v>
      </c>
      <c r="H47" s="158">
        <f>MIN(S7:S36)</f>
        <v>4.88</v>
      </c>
      <c r="I47" s="187">
        <f t="shared" si="1"/>
        <v>0.729032258064516</v>
      </c>
      <c r="J47" s="161"/>
      <c r="K47" s="156"/>
      <c r="L47" s="188"/>
    </row>
    <row r="48" ht="17.25" spans="2:12">
      <c r="B48" s="160"/>
      <c r="C48" s="161"/>
      <c r="D48" s="161"/>
      <c r="E48" s="161"/>
      <c r="F48" s="161"/>
      <c r="G48" s="161"/>
      <c r="H48" s="162"/>
      <c r="I48" s="161"/>
      <c r="J48" s="161"/>
      <c r="K48" s="162"/>
      <c r="L48" s="161"/>
    </row>
    <row r="49" spans="2:2">
      <c r="B49" s="163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95" workbookViewId="0">
      <selection activeCell="I318" sqref="I318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162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44866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163</v>
      </c>
      <c r="B3" s="6" t="s">
        <v>164</v>
      </c>
      <c r="C3" s="6" t="s">
        <v>165</v>
      </c>
      <c r="D3" s="6" t="s">
        <v>166</v>
      </c>
      <c r="E3" s="59" t="s">
        <v>167</v>
      </c>
      <c r="F3" s="59" t="s">
        <v>168</v>
      </c>
      <c r="G3" s="60" t="s">
        <v>169</v>
      </c>
      <c r="H3" s="61" t="s">
        <v>170</v>
      </c>
      <c r="I3" s="59" t="s">
        <v>171</v>
      </c>
      <c r="J3" s="6" t="s">
        <v>172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173</v>
      </c>
      <c r="E5" s="59" t="s">
        <v>174</v>
      </c>
      <c r="F5" s="59" t="s">
        <v>175</v>
      </c>
      <c r="G5" s="60" t="s">
        <v>175</v>
      </c>
      <c r="H5" s="61" t="s">
        <v>176</v>
      </c>
      <c r="I5" s="59" t="s">
        <v>176</v>
      </c>
      <c r="J5" s="6"/>
    </row>
    <row r="6" customHeight="1" spans="1:10">
      <c r="A6" s="63" t="s">
        <v>177</v>
      </c>
      <c r="B6" s="64" t="s">
        <v>178</v>
      </c>
      <c r="C6" s="64" t="s">
        <v>179</v>
      </c>
      <c r="D6" s="64">
        <v>30</v>
      </c>
      <c r="E6" s="64">
        <v>2</v>
      </c>
      <c r="F6" s="64">
        <v>60</v>
      </c>
      <c r="G6" s="64">
        <v>30</v>
      </c>
      <c r="H6" s="65">
        <v>0.5</v>
      </c>
      <c r="I6" s="65">
        <v>1</v>
      </c>
      <c r="J6" s="64"/>
    </row>
    <row r="7" customHeight="1" spans="1:10">
      <c r="A7" s="63"/>
      <c r="B7" s="64"/>
      <c r="C7" s="64" t="s">
        <v>180</v>
      </c>
      <c r="D7" s="64">
        <v>30</v>
      </c>
      <c r="E7" s="64">
        <v>2</v>
      </c>
      <c r="F7" s="64">
        <v>60</v>
      </c>
      <c r="G7" s="64">
        <v>30</v>
      </c>
      <c r="H7" s="65">
        <v>0.5</v>
      </c>
      <c r="I7" s="65">
        <v>1</v>
      </c>
      <c r="J7" s="64"/>
    </row>
    <row r="8" customHeight="1" spans="1:10">
      <c r="A8" s="63"/>
      <c r="B8" s="64" t="s">
        <v>181</v>
      </c>
      <c r="C8" s="64" t="s">
        <v>70</v>
      </c>
      <c r="D8" s="64">
        <v>30</v>
      </c>
      <c r="E8" s="64">
        <v>2</v>
      </c>
      <c r="F8" s="64">
        <v>60</v>
      </c>
      <c r="G8" s="64">
        <v>30</v>
      </c>
      <c r="H8" s="65">
        <v>0.5</v>
      </c>
      <c r="I8" s="65">
        <v>1</v>
      </c>
      <c r="J8" s="64"/>
    </row>
    <row r="9" customHeight="1" spans="1:10">
      <c r="A9" s="63"/>
      <c r="B9" s="64" t="s">
        <v>182</v>
      </c>
      <c r="C9" s="64" t="s">
        <v>70</v>
      </c>
      <c r="D9" s="64">
        <v>30</v>
      </c>
      <c r="E9" s="64">
        <v>2</v>
      </c>
      <c r="F9" s="64">
        <v>60</v>
      </c>
      <c r="G9" s="64">
        <v>30</v>
      </c>
      <c r="H9" s="65">
        <v>0.5</v>
      </c>
      <c r="I9" s="65">
        <v>1</v>
      </c>
      <c r="J9" s="64"/>
    </row>
    <row r="10" customHeight="1" spans="1:10">
      <c r="A10" s="63"/>
      <c r="B10" s="64" t="s">
        <v>183</v>
      </c>
      <c r="C10" s="64" t="s">
        <v>179</v>
      </c>
      <c r="D10" s="64">
        <v>30</v>
      </c>
      <c r="E10" s="64">
        <v>24</v>
      </c>
      <c r="F10" s="64">
        <v>720</v>
      </c>
      <c r="G10" s="64">
        <v>119</v>
      </c>
      <c r="H10" s="65">
        <v>0.165277777777778</v>
      </c>
      <c r="I10" s="65">
        <v>1</v>
      </c>
      <c r="J10" s="64"/>
    </row>
    <row r="11" customHeight="1" spans="1:10">
      <c r="A11" s="63"/>
      <c r="B11" s="64"/>
      <c r="C11" s="64" t="s">
        <v>180</v>
      </c>
      <c r="D11" s="64">
        <v>30</v>
      </c>
      <c r="E11" s="64">
        <v>24</v>
      </c>
      <c r="F11" s="64">
        <v>720</v>
      </c>
      <c r="G11" s="64">
        <v>429</v>
      </c>
      <c r="H11" s="65">
        <v>0.595833333333333</v>
      </c>
      <c r="I11" s="65">
        <v>1</v>
      </c>
      <c r="J11" s="64" t="s">
        <v>184</v>
      </c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693</v>
      </c>
      <c r="H12" s="65">
        <v>0.9625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104</v>
      </c>
      <c r="H13" s="65">
        <v>0.144444444444444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720</v>
      </c>
      <c r="H14" s="65">
        <v>1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179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180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186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38.4</v>
      </c>
      <c r="H19" s="65">
        <v>0.53</v>
      </c>
      <c r="I19" s="65">
        <v>0.53</v>
      </c>
      <c r="J19" s="64" t="s">
        <v>189</v>
      </c>
    </row>
    <row r="20" customHeight="1" spans="1:10">
      <c r="A20" s="63"/>
      <c r="B20" s="64"/>
      <c r="C20" s="64" t="s">
        <v>190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181</v>
      </c>
      <c r="C21" s="64" t="s">
        <v>179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180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/>
    </row>
    <row r="23" customHeight="1" spans="1:10">
      <c r="A23" s="63"/>
      <c r="B23" s="64" t="s">
        <v>182</v>
      </c>
      <c r="C23" s="64" t="s">
        <v>179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180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/>
    </row>
    <row r="25" customHeight="1" spans="1:10">
      <c r="A25" s="63"/>
      <c r="B25" s="64" t="s">
        <v>191</v>
      </c>
      <c r="C25" s="64" t="s">
        <v>179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1</v>
      </c>
      <c r="J25" s="64"/>
    </row>
    <row r="26" customHeight="1" spans="1:10">
      <c r="A26" s="63"/>
      <c r="B26" s="64" t="s">
        <v>192</v>
      </c>
      <c r="C26" s="64" t="s">
        <v>179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191</v>
      </c>
      <c r="C27" s="64" t="s">
        <v>180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1</v>
      </c>
      <c r="J27" s="64"/>
    </row>
    <row r="28" customHeight="1" spans="1:10">
      <c r="A28" s="63"/>
      <c r="B28" s="64" t="s">
        <v>192</v>
      </c>
      <c r="C28" s="64" t="s">
        <v>180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191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192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191</v>
      </c>
      <c r="C31" s="64" t="s">
        <v>186</v>
      </c>
      <c r="D31" s="64">
        <v>30</v>
      </c>
      <c r="E31" s="64">
        <v>24</v>
      </c>
      <c r="F31" s="64">
        <v>720</v>
      </c>
      <c r="G31" s="64">
        <v>720</v>
      </c>
      <c r="H31" s="65">
        <v>1</v>
      </c>
      <c r="I31" s="65">
        <v>1</v>
      </c>
      <c r="J31" s="64"/>
    </row>
    <row r="32" customHeight="1" spans="1:10">
      <c r="A32" s="63"/>
      <c r="B32" s="64" t="s">
        <v>192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193</v>
      </c>
      <c r="C33" s="64" t="s">
        <v>179</v>
      </c>
      <c r="D33" s="64">
        <v>30</v>
      </c>
      <c r="E33" s="64">
        <v>24</v>
      </c>
      <c r="F33" s="64">
        <v>720</v>
      </c>
      <c r="G33" s="64">
        <v>78</v>
      </c>
      <c r="H33" s="65">
        <v>0.108333333333333</v>
      </c>
      <c r="I33" s="65">
        <v>1</v>
      </c>
      <c r="J33" s="64"/>
    </row>
    <row r="34" customHeight="1" spans="1:10">
      <c r="A34" s="63"/>
      <c r="B34" s="64"/>
      <c r="C34" s="64" t="s">
        <v>180</v>
      </c>
      <c r="D34" s="64">
        <v>30</v>
      </c>
      <c r="E34" s="64">
        <v>24</v>
      </c>
      <c r="F34" s="64">
        <v>720</v>
      </c>
      <c r="G34" s="64">
        <v>126</v>
      </c>
      <c r="H34" s="65">
        <v>0.175</v>
      </c>
      <c r="I34" s="65">
        <v>1</v>
      </c>
      <c r="J34" s="64"/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498</v>
      </c>
      <c r="H35" s="65">
        <v>0.691666666666667</v>
      </c>
      <c r="I35" s="65">
        <v>1</v>
      </c>
      <c r="J35" s="64"/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152</v>
      </c>
      <c r="H36" s="65">
        <v>0.211111111111111</v>
      </c>
      <c r="I36" s="65">
        <v>1</v>
      </c>
      <c r="J36" s="64"/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644</v>
      </c>
      <c r="H37" s="65">
        <v>0.894444444444444</v>
      </c>
      <c r="I37" s="65">
        <v>1</v>
      </c>
      <c r="J37" s="64"/>
    </row>
    <row r="38" customHeight="1" spans="1:10">
      <c r="A38" s="66" t="s">
        <v>71</v>
      </c>
      <c r="B38" s="66"/>
      <c r="C38" s="15"/>
      <c r="D38" s="15"/>
      <c r="E38" s="67" t="s">
        <v>72</v>
      </c>
      <c r="F38" s="67"/>
      <c r="G38" s="68"/>
      <c r="H38" s="10" t="s">
        <v>194</v>
      </c>
      <c r="I38" s="10"/>
      <c r="J38" s="10"/>
    </row>
    <row r="39" ht="34" customHeight="1"/>
    <row r="46" ht="33" customHeight="1" spans="1:10">
      <c r="A46" s="56" t="s">
        <v>162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f>A2</f>
        <v>44866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163</v>
      </c>
      <c r="B48" s="6" t="s">
        <v>164</v>
      </c>
      <c r="C48" s="6" t="s">
        <v>165</v>
      </c>
      <c r="D48" s="6" t="s">
        <v>166</v>
      </c>
      <c r="E48" s="59" t="s">
        <v>167</v>
      </c>
      <c r="F48" s="59" t="s">
        <v>168</v>
      </c>
      <c r="G48" s="60" t="s">
        <v>169</v>
      </c>
      <c r="H48" s="61" t="s">
        <v>170</v>
      </c>
      <c r="I48" s="59" t="s">
        <v>171</v>
      </c>
      <c r="J48" s="6" t="s">
        <v>172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173</v>
      </c>
      <c r="E50" s="71" t="s">
        <v>174</v>
      </c>
      <c r="F50" s="71" t="s">
        <v>175</v>
      </c>
      <c r="G50" s="72" t="s">
        <v>175</v>
      </c>
      <c r="H50" s="73" t="s">
        <v>176</v>
      </c>
      <c r="I50" s="59" t="s">
        <v>176</v>
      </c>
      <c r="J50" s="6"/>
    </row>
    <row r="51" customHeight="1" spans="1:10">
      <c r="A51" s="74" t="s">
        <v>195</v>
      </c>
      <c r="B51" s="63" t="s">
        <v>196</v>
      </c>
      <c r="C51" s="64" t="s">
        <v>179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180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190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197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198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199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200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201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202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203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204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205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206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207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208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209</v>
      </c>
      <c r="C69" s="64" t="s">
        <v>210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211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212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213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214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215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216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217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218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219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220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221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222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223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224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225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226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227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71</v>
      </c>
      <c r="B87" s="66"/>
      <c r="C87" s="15"/>
      <c r="D87" s="15"/>
      <c r="E87" s="67" t="s">
        <v>72</v>
      </c>
      <c r="F87" s="67"/>
      <c r="G87" s="68"/>
      <c r="H87" s="10" t="str">
        <f>H38</f>
        <v>制表时间：2022/12/5</v>
      </c>
      <c r="I87" s="10"/>
      <c r="J87" s="10"/>
    </row>
    <row r="88" ht="16" customHeight="1"/>
    <row r="89" ht="20.1" customHeight="1"/>
    <row r="90" ht="34" customHeight="1" spans="1:10">
      <c r="A90" s="56" t="s">
        <v>162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44866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163</v>
      </c>
      <c r="B92" s="6" t="s">
        <v>164</v>
      </c>
      <c r="C92" s="6" t="s">
        <v>165</v>
      </c>
      <c r="D92" s="6" t="s">
        <v>166</v>
      </c>
      <c r="E92" s="59" t="s">
        <v>167</v>
      </c>
      <c r="F92" s="59" t="s">
        <v>168</v>
      </c>
      <c r="G92" s="60" t="s">
        <v>169</v>
      </c>
      <c r="H92" s="61" t="s">
        <v>170</v>
      </c>
      <c r="I92" s="59" t="s">
        <v>171</v>
      </c>
      <c r="J92" s="6" t="s">
        <v>172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173</v>
      </c>
      <c r="E94" s="59" t="s">
        <v>174</v>
      </c>
      <c r="F94" s="59" t="s">
        <v>175</v>
      </c>
      <c r="G94" s="60" t="s">
        <v>175</v>
      </c>
      <c r="H94" s="61" t="s">
        <v>176</v>
      </c>
      <c r="I94" s="59" t="s">
        <v>176</v>
      </c>
      <c r="J94" s="6"/>
    </row>
    <row r="95" customHeight="1" spans="1:10">
      <c r="A95" s="63" t="s">
        <v>195</v>
      </c>
      <c r="B95" s="63" t="s">
        <v>228</v>
      </c>
      <c r="C95" s="64" t="s">
        <v>179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180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0.99</v>
      </c>
      <c r="J96" s="64" t="s">
        <v>229</v>
      </c>
    </row>
    <row r="97" customHeight="1" spans="1:10">
      <c r="A97" s="64"/>
      <c r="B97" s="63" t="s">
        <v>230</v>
      </c>
      <c r="C97" s="64" t="s">
        <v>179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180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190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231</v>
      </c>
      <c r="C103" s="64" t="s">
        <v>179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180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232</v>
      </c>
      <c r="C106" s="64" t="s">
        <v>179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180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233</v>
      </c>
      <c r="B110" s="79" t="s">
        <v>234</v>
      </c>
      <c r="C110" s="64" t="s">
        <v>179</v>
      </c>
      <c r="D110" s="64">
        <v>30</v>
      </c>
      <c r="E110" s="64">
        <v>24</v>
      </c>
      <c r="F110" s="64">
        <v>720</v>
      </c>
      <c r="G110" s="64">
        <v>704</v>
      </c>
      <c r="H110" s="65">
        <v>0.977777777777778</v>
      </c>
      <c r="I110" s="65">
        <v>1</v>
      </c>
      <c r="J110" s="64"/>
    </row>
    <row r="111" customHeight="1" spans="1:10">
      <c r="A111" s="80"/>
      <c r="B111" s="81"/>
      <c r="C111" s="64" t="s">
        <v>180</v>
      </c>
      <c r="D111" s="64">
        <v>30</v>
      </c>
      <c r="E111" s="64">
        <v>24</v>
      </c>
      <c r="F111" s="64">
        <v>720</v>
      </c>
      <c r="G111" s="64">
        <v>704</v>
      </c>
      <c r="H111" s="65">
        <v>0.977777777777778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704</v>
      </c>
      <c r="H112" s="65">
        <v>0.977777777777778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704</v>
      </c>
      <c r="H113" s="65">
        <v>0.98</v>
      </c>
      <c r="I113" s="65">
        <v>1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704</v>
      </c>
      <c r="H114" s="65">
        <v>0.977777777777778</v>
      </c>
      <c r="I114" s="65">
        <v>1</v>
      </c>
      <c r="J114" s="64"/>
    </row>
    <row r="115" customHeight="1" spans="1:10">
      <c r="A115" s="80"/>
      <c r="B115" s="81"/>
      <c r="C115" s="64" t="s">
        <v>190</v>
      </c>
      <c r="D115" s="64">
        <v>30</v>
      </c>
      <c r="E115" s="64">
        <v>24</v>
      </c>
      <c r="F115" s="64">
        <v>720</v>
      </c>
      <c r="G115" s="64">
        <v>720</v>
      </c>
      <c r="H115" s="65">
        <v>0.98</v>
      </c>
      <c r="I115" s="65">
        <v>1</v>
      </c>
      <c r="J115" s="64"/>
    </row>
    <row r="116" customHeight="1" spans="1:10">
      <c r="A116" s="80"/>
      <c r="B116" s="81"/>
      <c r="C116" s="64" t="s">
        <v>197</v>
      </c>
      <c r="D116" s="64">
        <v>30</v>
      </c>
      <c r="E116" s="64">
        <v>24</v>
      </c>
      <c r="F116" s="64">
        <v>720</v>
      </c>
      <c r="G116" s="64">
        <v>704</v>
      </c>
      <c r="H116" s="65">
        <v>0.977777777777778</v>
      </c>
      <c r="I116" s="65">
        <v>1</v>
      </c>
      <c r="J116" s="64"/>
    </row>
    <row r="117" customHeight="1" spans="1:10">
      <c r="A117" s="80"/>
      <c r="B117" s="81"/>
      <c r="C117" s="64" t="s">
        <v>198</v>
      </c>
      <c r="D117" s="64">
        <v>30</v>
      </c>
      <c r="E117" s="64">
        <v>24</v>
      </c>
      <c r="F117" s="64">
        <v>720</v>
      </c>
      <c r="G117" s="64">
        <v>704</v>
      </c>
      <c r="H117" s="65">
        <v>0.977777777777778</v>
      </c>
      <c r="I117" s="65">
        <v>1</v>
      </c>
      <c r="J117" s="64"/>
    </row>
    <row r="118" customHeight="1" spans="1:10">
      <c r="A118" s="80"/>
      <c r="B118" s="81"/>
      <c r="C118" s="64" t="s">
        <v>199</v>
      </c>
      <c r="D118" s="64">
        <v>30</v>
      </c>
      <c r="E118" s="64">
        <v>24</v>
      </c>
      <c r="F118" s="64">
        <v>720</v>
      </c>
      <c r="G118" s="64">
        <v>704</v>
      </c>
      <c r="H118" s="65">
        <v>0.977777777777778</v>
      </c>
      <c r="I118" s="65">
        <v>1</v>
      </c>
      <c r="J118" s="64"/>
    </row>
    <row r="119" customHeight="1" spans="1:10">
      <c r="A119" s="80"/>
      <c r="B119" s="81"/>
      <c r="C119" s="64" t="s">
        <v>200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1</v>
      </c>
      <c r="J119" s="64"/>
    </row>
    <row r="120" customHeight="1" spans="1:10">
      <c r="A120" s="80"/>
      <c r="B120" s="81"/>
      <c r="C120" s="64" t="s">
        <v>201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1</v>
      </c>
      <c r="J120" s="64"/>
    </row>
    <row r="121" customHeight="1" spans="1:10">
      <c r="A121" s="80"/>
      <c r="B121" s="81"/>
      <c r="C121" s="64" t="s">
        <v>202</v>
      </c>
      <c r="D121" s="64">
        <v>30</v>
      </c>
      <c r="E121" s="64">
        <v>24</v>
      </c>
      <c r="F121" s="64">
        <v>720</v>
      </c>
      <c r="G121" s="64">
        <v>704</v>
      </c>
      <c r="H121" s="65">
        <v>0.977777777777778</v>
      </c>
      <c r="I121" s="65">
        <v>1</v>
      </c>
      <c r="J121" s="64"/>
    </row>
    <row r="122" customHeight="1" spans="1:10">
      <c r="A122" s="80"/>
      <c r="B122" s="81"/>
      <c r="C122" s="64" t="s">
        <v>203</v>
      </c>
      <c r="D122" s="64">
        <v>30</v>
      </c>
      <c r="E122" s="64">
        <v>24</v>
      </c>
      <c r="F122" s="64">
        <v>720</v>
      </c>
      <c r="G122" s="64">
        <v>704</v>
      </c>
      <c r="H122" s="65">
        <v>0.977777777777778</v>
      </c>
      <c r="I122" s="65">
        <v>1</v>
      </c>
      <c r="J122" s="64"/>
    </row>
    <row r="123" customHeight="1" spans="1:10">
      <c r="A123" s="80"/>
      <c r="B123" s="81"/>
      <c r="C123" s="64" t="s">
        <v>204</v>
      </c>
      <c r="D123" s="64">
        <v>30</v>
      </c>
      <c r="E123" s="64">
        <v>24</v>
      </c>
      <c r="F123" s="64">
        <v>720</v>
      </c>
      <c r="G123" s="64">
        <v>704</v>
      </c>
      <c r="H123" s="65">
        <v>0.977777777777778</v>
      </c>
      <c r="I123" s="65">
        <v>1</v>
      </c>
      <c r="J123" s="64"/>
    </row>
    <row r="124" customHeight="1" spans="1:10">
      <c r="A124" s="80"/>
      <c r="B124" s="81"/>
      <c r="C124" s="64" t="s">
        <v>205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206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207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208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210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211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212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213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6" t="s">
        <v>71</v>
      </c>
      <c r="B132" s="66"/>
      <c r="C132" s="15"/>
      <c r="D132" s="15"/>
      <c r="E132" s="67" t="s">
        <v>72</v>
      </c>
      <c r="F132" s="67"/>
      <c r="G132" s="68"/>
      <c r="H132" s="10" t="str">
        <f>H38</f>
        <v>制表时间：2022/12/5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162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44866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163</v>
      </c>
      <c r="B137" s="6" t="s">
        <v>164</v>
      </c>
      <c r="C137" s="6" t="s">
        <v>165</v>
      </c>
      <c r="D137" s="6" t="s">
        <v>166</v>
      </c>
      <c r="E137" s="59" t="s">
        <v>167</v>
      </c>
      <c r="F137" s="59" t="s">
        <v>168</v>
      </c>
      <c r="G137" s="60" t="s">
        <v>169</v>
      </c>
      <c r="H137" s="61" t="s">
        <v>170</v>
      </c>
      <c r="I137" s="59" t="s">
        <v>171</v>
      </c>
      <c r="J137" s="6" t="s">
        <v>172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173</v>
      </c>
      <c r="E139" s="59" t="s">
        <v>174</v>
      </c>
      <c r="F139" s="59" t="s">
        <v>175</v>
      </c>
      <c r="G139" s="60" t="s">
        <v>175</v>
      </c>
      <c r="H139" s="61" t="s">
        <v>176</v>
      </c>
      <c r="I139" s="59" t="s">
        <v>176</v>
      </c>
      <c r="J139" s="6"/>
    </row>
    <row r="140" customHeight="1" spans="1:10">
      <c r="A140" s="63" t="s">
        <v>233</v>
      </c>
      <c r="B140" s="63" t="s">
        <v>235</v>
      </c>
      <c r="C140" s="64" t="s">
        <v>214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215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216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217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218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219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236</v>
      </c>
      <c r="C146" s="64" t="s">
        <v>179</v>
      </c>
      <c r="D146" s="64">
        <v>30</v>
      </c>
      <c r="E146" s="64">
        <v>24</v>
      </c>
      <c r="F146" s="64">
        <v>720</v>
      </c>
      <c r="G146" s="64">
        <v>720</v>
      </c>
      <c r="H146" s="78">
        <v>1</v>
      </c>
      <c r="I146" s="78">
        <v>1</v>
      </c>
      <c r="J146" s="64"/>
    </row>
    <row r="147" customHeight="1" spans="1:10">
      <c r="A147" s="64"/>
      <c r="B147" s="64"/>
      <c r="C147" s="64" t="s">
        <v>180</v>
      </c>
      <c r="D147" s="64">
        <v>30</v>
      </c>
      <c r="E147" s="64">
        <v>24</v>
      </c>
      <c r="F147" s="64">
        <v>720</v>
      </c>
      <c r="G147" s="64">
        <v>720</v>
      </c>
      <c r="H147" s="78">
        <v>1</v>
      </c>
      <c r="I147" s="78">
        <v>1</v>
      </c>
      <c r="J147" s="64"/>
    </row>
    <row r="148" customHeight="1" spans="1:10">
      <c r="A148" s="64"/>
      <c r="B148" s="63" t="s">
        <v>237</v>
      </c>
      <c r="C148" s="64" t="s">
        <v>179</v>
      </c>
      <c r="D148" s="64">
        <v>30</v>
      </c>
      <c r="E148" s="64">
        <v>24</v>
      </c>
      <c r="F148" s="64">
        <v>720</v>
      </c>
      <c r="G148" s="64">
        <v>0</v>
      </c>
      <c r="H148" s="65">
        <v>0</v>
      </c>
      <c r="I148" s="65">
        <v>1</v>
      </c>
      <c r="J148" s="64"/>
    </row>
    <row r="149" customHeight="1" spans="1:10">
      <c r="A149" s="64"/>
      <c r="B149" s="64"/>
      <c r="C149" s="64" t="s">
        <v>180</v>
      </c>
      <c r="D149" s="64">
        <v>30</v>
      </c>
      <c r="E149" s="64">
        <v>24</v>
      </c>
      <c r="F149" s="64">
        <v>720</v>
      </c>
      <c r="G149" s="64">
        <v>599</v>
      </c>
      <c r="H149" s="65">
        <v>0.831944444444444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238</v>
      </c>
      <c r="C151" s="64" t="s">
        <v>179</v>
      </c>
      <c r="D151" s="64">
        <v>30</v>
      </c>
      <c r="E151" s="64">
        <v>24</v>
      </c>
      <c r="F151" s="64">
        <v>720</v>
      </c>
      <c r="G151" s="64">
        <v>622</v>
      </c>
      <c r="H151" s="65">
        <v>0.863888888888889</v>
      </c>
      <c r="I151" s="65">
        <v>1</v>
      </c>
      <c r="J151" s="64"/>
    </row>
    <row r="152" customHeight="1" spans="1:10">
      <c r="A152" s="64"/>
      <c r="B152" s="64"/>
      <c r="C152" s="64" t="s">
        <v>180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239</v>
      </c>
      <c r="C154" s="87" t="s">
        <v>179</v>
      </c>
      <c r="D154" s="87">
        <v>30</v>
      </c>
      <c r="E154" s="87">
        <v>24</v>
      </c>
      <c r="F154" s="87">
        <v>720</v>
      </c>
      <c r="G154" s="87">
        <v>704</v>
      </c>
      <c r="H154" s="88">
        <v>0.977777777777778</v>
      </c>
      <c r="I154" s="88">
        <v>1</v>
      </c>
      <c r="J154" s="64"/>
    </row>
    <row r="155" customHeight="1" spans="1:10">
      <c r="A155" s="64"/>
      <c r="B155" s="87"/>
      <c r="C155" s="87" t="s">
        <v>180</v>
      </c>
      <c r="D155" s="87">
        <v>30</v>
      </c>
      <c r="E155" s="87">
        <v>24</v>
      </c>
      <c r="F155" s="87">
        <v>720</v>
      </c>
      <c r="G155" s="87">
        <v>704</v>
      </c>
      <c r="H155" s="88">
        <v>0.977777777777778</v>
      </c>
      <c r="I155" s="88">
        <v>1</v>
      </c>
      <c r="J155" s="64"/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704</v>
      </c>
      <c r="H156" s="88">
        <v>0.977777777777778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720</v>
      </c>
      <c r="H157" s="88">
        <v>1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720</v>
      </c>
      <c r="H158" s="88">
        <v>1</v>
      </c>
      <c r="I158" s="88">
        <v>1</v>
      </c>
      <c r="J158" s="64"/>
    </row>
    <row r="159" customHeight="1" spans="1:10">
      <c r="A159" s="64"/>
      <c r="B159" s="87"/>
      <c r="C159" s="87" t="s">
        <v>190</v>
      </c>
      <c r="D159" s="87">
        <v>30</v>
      </c>
      <c r="E159" s="87">
        <v>24</v>
      </c>
      <c r="F159" s="87">
        <v>720</v>
      </c>
      <c r="G159" s="87">
        <v>600</v>
      </c>
      <c r="H159" s="88">
        <v>0.833333333333333</v>
      </c>
      <c r="I159" s="88">
        <v>1</v>
      </c>
      <c r="J159" s="64"/>
    </row>
    <row r="160" customHeight="1" spans="1:10">
      <c r="A160" s="63" t="s">
        <v>240</v>
      </c>
      <c r="B160" s="63" t="s">
        <v>241</v>
      </c>
      <c r="C160" s="64" t="s">
        <v>179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180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190</v>
      </c>
      <c r="D165" s="64">
        <v>30</v>
      </c>
      <c r="E165" s="64">
        <v>24</v>
      </c>
      <c r="F165" s="64">
        <v>720</v>
      </c>
      <c r="G165" s="64">
        <v>720</v>
      </c>
      <c r="H165" s="65">
        <v>1</v>
      </c>
      <c r="I165" s="65">
        <v>1</v>
      </c>
      <c r="J165" s="64"/>
    </row>
    <row r="166" customHeight="1" spans="1:10">
      <c r="A166" s="64"/>
      <c r="B166" s="64"/>
      <c r="C166" s="64" t="s">
        <v>197</v>
      </c>
      <c r="D166" s="64">
        <v>30</v>
      </c>
      <c r="E166" s="64">
        <v>24</v>
      </c>
      <c r="F166" s="64">
        <v>720</v>
      </c>
      <c r="G166" s="64">
        <v>720</v>
      </c>
      <c r="H166" s="65">
        <v>1</v>
      </c>
      <c r="I166" s="65">
        <v>1</v>
      </c>
      <c r="J166" s="64"/>
    </row>
    <row r="167" customHeight="1" spans="1:10">
      <c r="A167" s="64"/>
      <c r="B167" s="64"/>
      <c r="C167" s="64" t="s">
        <v>198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199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200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201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202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203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204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205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206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207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208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71</v>
      </c>
      <c r="B178" s="66"/>
      <c r="C178" s="15"/>
      <c r="D178" s="15"/>
      <c r="E178" s="67" t="s">
        <v>72</v>
      </c>
      <c r="F178" s="67"/>
      <c r="G178" s="68"/>
      <c r="H178" s="10" t="str">
        <f>H38</f>
        <v>制表时间：2022/12/5</v>
      </c>
      <c r="I178" s="10"/>
      <c r="J178" s="10"/>
    </row>
    <row r="179" ht="23" customHeight="1"/>
    <row r="180" ht="28" customHeight="1" spans="1:10">
      <c r="A180" s="56" t="s">
        <v>162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44866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163</v>
      </c>
      <c r="B182" s="6" t="s">
        <v>164</v>
      </c>
      <c r="C182" s="6" t="s">
        <v>165</v>
      </c>
      <c r="D182" s="6" t="s">
        <v>166</v>
      </c>
      <c r="E182" s="59" t="s">
        <v>167</v>
      </c>
      <c r="F182" s="59" t="s">
        <v>168</v>
      </c>
      <c r="G182" s="60" t="s">
        <v>169</v>
      </c>
      <c r="H182" s="61" t="s">
        <v>170</v>
      </c>
      <c r="I182" s="59" t="s">
        <v>171</v>
      </c>
      <c r="J182" s="6" t="s">
        <v>172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173</v>
      </c>
      <c r="E184" s="59" t="s">
        <v>174</v>
      </c>
      <c r="F184" s="59" t="s">
        <v>175</v>
      </c>
      <c r="G184" s="60" t="s">
        <v>175</v>
      </c>
      <c r="H184" s="61" t="s">
        <v>176</v>
      </c>
      <c r="I184" s="59" t="s">
        <v>176</v>
      </c>
      <c r="J184" s="6"/>
    </row>
    <row r="185" customHeight="1" spans="1:10">
      <c r="A185" s="63" t="s">
        <v>240</v>
      </c>
      <c r="B185" s="63" t="s">
        <v>241</v>
      </c>
      <c r="C185" s="64" t="s">
        <v>210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211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212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213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214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215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216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217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218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219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0</v>
      </c>
      <c r="J194" s="64"/>
    </row>
    <row r="195" customHeight="1" spans="1:10">
      <c r="A195" s="64"/>
      <c r="B195" s="64"/>
      <c r="C195" s="64" t="s">
        <v>220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221</v>
      </c>
      <c r="D196" s="5">
        <v>30</v>
      </c>
      <c r="E196" s="5">
        <v>24</v>
      </c>
      <c r="F196" s="5">
        <v>720</v>
      </c>
      <c r="G196" s="5">
        <v>0</v>
      </c>
      <c r="H196" s="78">
        <v>0</v>
      </c>
      <c r="I196" s="78">
        <v>0</v>
      </c>
      <c r="J196" s="64"/>
    </row>
    <row r="197" customHeight="1" spans="1:10">
      <c r="A197" s="64"/>
      <c r="B197" s="64"/>
      <c r="C197" s="64" t="s">
        <v>222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223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224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225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226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227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236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238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680</v>
      </c>
      <c r="H205" s="65">
        <v>0.94</v>
      </c>
      <c r="I205" s="65">
        <v>1</v>
      </c>
      <c r="J205" s="64" t="s">
        <v>242</v>
      </c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190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239</v>
      </c>
      <c r="C208" s="64" t="s">
        <v>179</v>
      </c>
      <c r="D208" s="64">
        <v>30</v>
      </c>
      <c r="E208" s="64">
        <v>24</v>
      </c>
      <c r="F208" s="64">
        <v>720</v>
      </c>
      <c r="G208" s="64">
        <v>488</v>
      </c>
      <c r="H208" s="65">
        <v>0.677777777777778</v>
      </c>
      <c r="I208" s="65">
        <v>1</v>
      </c>
      <c r="J208" s="64"/>
    </row>
    <row r="209" customHeight="1" spans="1:10">
      <c r="A209" s="64"/>
      <c r="B209" s="64"/>
      <c r="C209" s="64" t="s">
        <v>180</v>
      </c>
      <c r="D209" s="64">
        <v>30</v>
      </c>
      <c r="E209" s="64">
        <v>24</v>
      </c>
      <c r="F209" s="64">
        <v>720</v>
      </c>
      <c r="G209" s="64">
        <v>720</v>
      </c>
      <c r="H209" s="65">
        <v>1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504</v>
      </c>
      <c r="H211" s="65">
        <v>0.7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720</v>
      </c>
      <c r="H212" s="65">
        <v>1</v>
      </c>
      <c r="I212" s="65">
        <v>1</v>
      </c>
      <c r="J212" s="64"/>
    </row>
    <row r="213" customHeight="1" spans="1:10">
      <c r="A213" s="64"/>
      <c r="B213" s="64"/>
      <c r="C213" s="64" t="s">
        <v>190</v>
      </c>
      <c r="D213" s="64">
        <v>30</v>
      </c>
      <c r="E213" s="64">
        <v>24</v>
      </c>
      <c r="F213" s="64">
        <v>720</v>
      </c>
      <c r="G213" s="64">
        <v>704</v>
      </c>
      <c r="H213" s="65">
        <v>0.977777777777778</v>
      </c>
      <c r="I213" s="65">
        <v>1</v>
      </c>
      <c r="J213" s="64"/>
    </row>
    <row r="214" customHeight="1" spans="1:10">
      <c r="A214" s="79" t="s">
        <v>243</v>
      </c>
      <c r="B214" s="63" t="s">
        <v>244</v>
      </c>
      <c r="C214" s="5" t="s">
        <v>179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0"/>
      <c r="B215" s="64"/>
      <c r="C215" s="64" t="s">
        <v>180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716</v>
      </c>
      <c r="H216" s="65">
        <v>0.994444444444444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660</v>
      </c>
      <c r="H217" s="65">
        <v>0.916666666666667</v>
      </c>
      <c r="I217" s="65">
        <v>1</v>
      </c>
      <c r="J217" s="64"/>
    </row>
    <row r="218" customHeight="1" spans="1:10">
      <c r="A218" s="80"/>
      <c r="B218" s="63" t="s">
        <v>245</v>
      </c>
      <c r="C218" s="64" t="s">
        <v>179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/>
    </row>
    <row r="219" customHeight="1" spans="1:10">
      <c r="A219" s="80"/>
      <c r="B219" s="64"/>
      <c r="C219" s="64" t="s">
        <v>180</v>
      </c>
      <c r="D219" s="64">
        <v>30</v>
      </c>
      <c r="E219" s="64">
        <v>24</v>
      </c>
      <c r="F219" s="64">
        <v>720</v>
      </c>
      <c r="G219" s="64">
        <v>408</v>
      </c>
      <c r="H219" s="78">
        <v>0.566666666666667</v>
      </c>
      <c r="I219" s="78">
        <v>1</v>
      </c>
      <c r="J219" s="5"/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720</v>
      </c>
      <c r="H220" s="78">
        <v>1</v>
      </c>
      <c r="I220" s="78">
        <v>1</v>
      </c>
      <c r="J220" s="5"/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712</v>
      </c>
      <c r="H221" s="78">
        <v>0.988888888888889</v>
      </c>
      <c r="I221" s="78">
        <v>1</v>
      </c>
      <c r="J221" s="5"/>
    </row>
    <row r="222" customHeight="1" spans="1:10">
      <c r="A222" s="66" t="s">
        <v>71</v>
      </c>
      <c r="B222" s="66"/>
      <c r="C222" s="15"/>
      <c r="D222" s="15"/>
      <c r="E222" s="67" t="s">
        <v>72</v>
      </c>
      <c r="F222" s="67"/>
      <c r="G222" s="68"/>
      <c r="H222" s="10" t="str">
        <f>H38</f>
        <v>制表时间：2022/12/5</v>
      </c>
      <c r="I222" s="10"/>
      <c r="J222" s="10"/>
    </row>
    <row r="223" ht="17" customHeight="1"/>
    <row r="224" ht="16" customHeight="1"/>
    <row r="225" ht="27" customHeight="1" spans="1:10">
      <c r="A225" s="56" t="s">
        <v>162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f>A2</f>
        <v>44866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163</v>
      </c>
      <c r="B227" s="6" t="s">
        <v>164</v>
      </c>
      <c r="C227" s="6" t="s">
        <v>165</v>
      </c>
      <c r="D227" s="6" t="s">
        <v>166</v>
      </c>
      <c r="E227" s="59" t="s">
        <v>167</v>
      </c>
      <c r="F227" s="59" t="s">
        <v>168</v>
      </c>
      <c r="G227" s="60" t="s">
        <v>169</v>
      </c>
      <c r="H227" s="61" t="s">
        <v>170</v>
      </c>
      <c r="I227" s="59" t="s">
        <v>171</v>
      </c>
      <c r="J227" s="6" t="s">
        <v>172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173</v>
      </c>
      <c r="E229" s="59" t="s">
        <v>174</v>
      </c>
      <c r="F229" s="59" t="s">
        <v>175</v>
      </c>
      <c r="G229" s="60" t="s">
        <v>175</v>
      </c>
      <c r="H229" s="61" t="s">
        <v>176</v>
      </c>
      <c r="I229" s="59" t="s">
        <v>176</v>
      </c>
      <c r="J229" s="6"/>
    </row>
    <row r="230" customHeight="1" spans="1:10">
      <c r="A230" s="63" t="s">
        <v>243</v>
      </c>
      <c r="B230" s="63" t="s">
        <v>246</v>
      </c>
      <c r="C230" s="64" t="s">
        <v>179</v>
      </c>
      <c r="D230" s="64">
        <v>30</v>
      </c>
      <c r="E230" s="64">
        <v>24</v>
      </c>
      <c r="F230" s="64">
        <v>720</v>
      </c>
      <c r="G230" s="64">
        <v>0</v>
      </c>
      <c r="H230" s="65">
        <v>0</v>
      </c>
      <c r="I230" s="65">
        <v>1</v>
      </c>
      <c r="J230" s="64"/>
    </row>
    <row r="231" customHeight="1" spans="1:10">
      <c r="A231" s="63"/>
      <c r="B231" s="64"/>
      <c r="C231" s="64" t="s">
        <v>180</v>
      </c>
      <c r="D231" s="64">
        <v>30</v>
      </c>
      <c r="E231" s="64">
        <v>24</v>
      </c>
      <c r="F231" s="64">
        <v>720</v>
      </c>
      <c r="G231" s="64">
        <v>0</v>
      </c>
      <c r="H231" s="65">
        <v>0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0</v>
      </c>
      <c r="H232" s="65">
        <v>0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0</v>
      </c>
      <c r="H233" s="65">
        <v>0</v>
      </c>
      <c r="I233" s="65">
        <v>1</v>
      </c>
      <c r="J233" s="64"/>
    </row>
    <row r="234" customHeight="1" spans="1:10">
      <c r="A234" s="63"/>
      <c r="B234" s="63" t="s">
        <v>247</v>
      </c>
      <c r="C234" s="64" t="s">
        <v>179</v>
      </c>
      <c r="D234" s="64">
        <v>30</v>
      </c>
      <c r="E234" s="64">
        <v>24</v>
      </c>
      <c r="F234" s="64">
        <v>720</v>
      </c>
      <c r="G234" s="64">
        <v>0</v>
      </c>
      <c r="H234" s="65">
        <v>0</v>
      </c>
      <c r="I234" s="65">
        <v>1</v>
      </c>
      <c r="J234" s="64"/>
    </row>
    <row r="235" customHeight="1" spans="1:10">
      <c r="A235" s="63"/>
      <c r="B235" s="64"/>
      <c r="C235" s="64" t="s">
        <v>180</v>
      </c>
      <c r="D235" s="64">
        <v>30</v>
      </c>
      <c r="E235" s="64">
        <v>24</v>
      </c>
      <c r="F235" s="64">
        <v>720</v>
      </c>
      <c r="G235" s="64">
        <v>0</v>
      </c>
      <c r="H235" s="65">
        <v>0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0</v>
      </c>
      <c r="H236" s="65">
        <v>0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0</v>
      </c>
      <c r="H237" s="65">
        <v>0</v>
      </c>
      <c r="I237" s="65">
        <v>1</v>
      </c>
      <c r="J237" s="64"/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190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248</v>
      </c>
      <c r="C240" s="64" t="s">
        <v>179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/>
    </row>
    <row r="241" customHeight="1" spans="1:10">
      <c r="A241" s="63"/>
      <c r="B241" s="64"/>
      <c r="C241" s="64" t="s">
        <v>180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/>
    </row>
    <row r="244" customHeight="1" spans="1:10">
      <c r="A244" s="63"/>
      <c r="B244" s="6" t="s">
        <v>249</v>
      </c>
      <c r="C244" s="64" t="s">
        <v>179</v>
      </c>
      <c r="D244" s="64">
        <v>30</v>
      </c>
      <c r="E244" s="64">
        <v>24</v>
      </c>
      <c r="F244" s="64">
        <v>720</v>
      </c>
      <c r="G244" s="64">
        <v>0</v>
      </c>
      <c r="H244" s="65">
        <v>0</v>
      </c>
      <c r="I244" s="65">
        <v>1</v>
      </c>
      <c r="J244" s="64" t="s">
        <v>250</v>
      </c>
    </row>
    <row r="245" customHeight="1" spans="1:10">
      <c r="A245" s="63"/>
      <c r="B245" s="5"/>
      <c r="C245" s="64" t="s">
        <v>180</v>
      </c>
      <c r="D245" s="64">
        <v>30</v>
      </c>
      <c r="E245" s="64">
        <v>24</v>
      </c>
      <c r="F245" s="64">
        <v>720</v>
      </c>
      <c r="G245" s="64">
        <v>0</v>
      </c>
      <c r="H245" s="65">
        <v>0</v>
      </c>
      <c r="I245" s="65">
        <v>1</v>
      </c>
      <c r="J245" s="64" t="s">
        <v>250</v>
      </c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 t="s">
        <v>250</v>
      </c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0</v>
      </c>
      <c r="H247" s="65">
        <v>0</v>
      </c>
      <c r="I247" s="65">
        <v>1</v>
      </c>
      <c r="J247" s="64" t="s">
        <v>250</v>
      </c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 t="s">
        <v>250</v>
      </c>
    </row>
    <row r="249" customHeight="1" spans="1:10">
      <c r="A249" s="63"/>
      <c r="B249" s="5"/>
      <c r="C249" s="64" t="s">
        <v>190</v>
      </c>
      <c r="D249" s="64">
        <v>30</v>
      </c>
      <c r="E249" s="64">
        <v>24</v>
      </c>
      <c r="F249" s="64">
        <v>720</v>
      </c>
      <c r="G249" s="64">
        <v>0</v>
      </c>
      <c r="H249" s="65">
        <v>0</v>
      </c>
      <c r="I249" s="65">
        <v>1</v>
      </c>
      <c r="J249" s="64" t="s">
        <v>250</v>
      </c>
    </row>
    <row r="250" customHeight="1" spans="1:10">
      <c r="A250" s="63"/>
      <c r="B250" s="6" t="s">
        <v>251</v>
      </c>
      <c r="C250" s="64" t="s">
        <v>179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 t="s">
        <v>250</v>
      </c>
    </row>
    <row r="251" customHeight="1" spans="1:10">
      <c r="A251" s="63"/>
      <c r="B251" s="5"/>
      <c r="C251" s="64" t="s">
        <v>180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 t="s">
        <v>250</v>
      </c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 t="s">
        <v>250</v>
      </c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 t="s">
        <v>250</v>
      </c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 t="s">
        <v>250</v>
      </c>
    </row>
    <row r="255" customHeight="1" spans="1:10">
      <c r="A255" s="63"/>
      <c r="B255" s="5"/>
      <c r="C255" s="64" t="s">
        <v>190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 t="s">
        <v>250</v>
      </c>
    </row>
    <row r="256" customHeight="1" spans="1:10">
      <c r="A256" s="63"/>
      <c r="B256" s="5"/>
      <c r="C256" s="64" t="s">
        <v>197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 t="s">
        <v>250</v>
      </c>
    </row>
    <row r="257" customHeight="1" spans="1:10">
      <c r="A257" s="63"/>
      <c r="B257" s="5"/>
      <c r="C257" s="64" t="s">
        <v>198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 t="s">
        <v>250</v>
      </c>
    </row>
    <row r="258" customHeight="1" spans="1:10">
      <c r="A258" s="63"/>
      <c r="B258" s="6" t="s">
        <v>252</v>
      </c>
      <c r="C258" s="64" t="s">
        <v>179</v>
      </c>
      <c r="D258" s="64">
        <v>30</v>
      </c>
      <c r="E258" s="64">
        <v>24</v>
      </c>
      <c r="F258" s="64">
        <v>720</v>
      </c>
      <c r="G258" s="64">
        <v>720</v>
      </c>
      <c r="H258" s="65">
        <v>0.998</v>
      </c>
      <c r="I258" s="65">
        <v>1</v>
      </c>
      <c r="J258" s="64" t="s">
        <v>253</v>
      </c>
    </row>
    <row r="259" customHeight="1" spans="1:10">
      <c r="A259" s="63"/>
      <c r="B259" s="5"/>
      <c r="C259" s="64" t="s">
        <v>180</v>
      </c>
      <c r="D259" s="64">
        <v>31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 t="s">
        <v>253</v>
      </c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 t="s">
        <v>253</v>
      </c>
    </row>
    <row r="261" customHeight="1" spans="1:10">
      <c r="A261" s="63"/>
      <c r="B261" s="6" t="s">
        <v>254</v>
      </c>
      <c r="C261" s="64" t="s">
        <v>179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/>
    </row>
    <row r="262" customHeight="1" spans="1:10">
      <c r="A262" s="63"/>
      <c r="B262" s="5"/>
      <c r="C262" s="64" t="s">
        <v>180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/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/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/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/>
    </row>
    <row r="266" ht="19" customHeight="1" spans="1:10">
      <c r="A266" s="66" t="s">
        <v>71</v>
      </c>
      <c r="B266" s="66"/>
      <c r="C266" s="15"/>
      <c r="D266" s="15"/>
      <c r="E266" s="67" t="s">
        <v>72</v>
      </c>
      <c r="F266" s="67"/>
      <c r="G266" s="68"/>
      <c r="H266" s="10" t="str">
        <f>H38</f>
        <v>制表时间：2022/12/5</v>
      </c>
      <c r="I266" s="10"/>
      <c r="J266" s="10"/>
    </row>
    <row r="267" ht="19" customHeight="1" spans="1:10">
      <c r="A267" s="89"/>
      <c r="B267" s="89"/>
      <c r="C267" s="15"/>
      <c r="D267" s="15"/>
      <c r="E267" s="90"/>
      <c r="F267" s="90"/>
      <c r="G267" s="91"/>
      <c r="H267" s="15"/>
      <c r="I267" s="15"/>
      <c r="J267" s="15"/>
    </row>
    <row r="268" ht="19" customHeight="1" spans="1:10">
      <c r="A268" s="89"/>
      <c r="B268" s="89"/>
      <c r="C268" s="15"/>
      <c r="D268" s="15"/>
      <c r="E268" s="90"/>
      <c r="F268" s="90"/>
      <c r="G268" s="91"/>
      <c r="H268" s="15"/>
      <c r="I268" s="15"/>
      <c r="J268" s="15"/>
    </row>
    <row r="269" ht="21" customHeight="1" spans="1:10">
      <c r="A269" s="56" t="s">
        <v>162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44866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customHeight="1" spans="1:10">
      <c r="A271" s="6" t="s">
        <v>163</v>
      </c>
      <c r="B271" s="6" t="s">
        <v>164</v>
      </c>
      <c r="C271" s="6" t="s">
        <v>165</v>
      </c>
      <c r="D271" s="6" t="s">
        <v>166</v>
      </c>
      <c r="E271" s="59" t="s">
        <v>167</v>
      </c>
      <c r="F271" s="59" t="s">
        <v>168</v>
      </c>
      <c r="G271" s="60" t="s">
        <v>169</v>
      </c>
      <c r="H271" s="61" t="s">
        <v>170</v>
      </c>
      <c r="I271" s="59" t="s">
        <v>171</v>
      </c>
      <c r="J271" s="6" t="s">
        <v>172</v>
      </c>
    </row>
    <row r="272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173</v>
      </c>
      <c r="E273" s="59" t="s">
        <v>174</v>
      </c>
      <c r="F273" s="59" t="s">
        <v>175</v>
      </c>
      <c r="G273" s="60" t="s">
        <v>175</v>
      </c>
      <c r="H273" s="61" t="s">
        <v>176</v>
      </c>
      <c r="I273" s="59" t="s">
        <v>176</v>
      </c>
      <c r="J273" s="6"/>
    </row>
    <row r="274" customHeight="1" spans="1:10">
      <c r="A274" s="63" t="s">
        <v>243</v>
      </c>
      <c r="B274" s="63" t="s">
        <v>254</v>
      </c>
      <c r="C274" s="64" t="s">
        <v>190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/>
    </row>
    <row r="275" customHeight="1" spans="1:10">
      <c r="A275" s="64"/>
      <c r="B275" s="63"/>
      <c r="C275" s="64" t="s">
        <v>197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/>
    </row>
    <row r="276" customHeight="1" spans="1:10">
      <c r="A276" s="64"/>
      <c r="B276" s="63"/>
      <c r="C276" s="64" t="s">
        <v>198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3" t="s">
        <v>255</v>
      </c>
      <c r="C277" s="64" t="s">
        <v>199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4"/>
      <c r="C278" s="64" t="s">
        <v>200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/>
    </row>
    <row r="279" customHeight="1" spans="1:10">
      <c r="A279" s="64"/>
      <c r="B279" s="64"/>
      <c r="C279" s="64" t="s">
        <v>201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202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203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204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/>
    </row>
    <row r="283" customHeight="1" spans="1:10">
      <c r="A283" s="64"/>
      <c r="B283" s="64"/>
      <c r="C283" s="64" t="s">
        <v>205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206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/>
    </row>
    <row r="285" customHeight="1" spans="1:10">
      <c r="A285" s="64"/>
      <c r="B285" s="64" t="s">
        <v>256</v>
      </c>
      <c r="C285" s="64" t="s">
        <v>179</v>
      </c>
      <c r="D285" s="64">
        <v>30</v>
      </c>
      <c r="E285" s="64">
        <v>24</v>
      </c>
      <c r="F285" s="64">
        <v>720</v>
      </c>
      <c r="G285" s="64">
        <v>48.3</v>
      </c>
      <c r="H285" s="65">
        <v>0.0670833333333333</v>
      </c>
      <c r="I285" s="65">
        <v>1</v>
      </c>
      <c r="J285" s="64"/>
    </row>
    <row r="286" customHeight="1" spans="1:10">
      <c r="A286" s="64"/>
      <c r="B286" s="64"/>
      <c r="C286" s="64" t="s">
        <v>180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48.1</v>
      </c>
      <c r="H287" s="65">
        <v>0.0668055555555555</v>
      </c>
      <c r="I287" s="65">
        <v>1</v>
      </c>
      <c r="J287" s="64"/>
    </row>
    <row r="288" customHeight="1" spans="1:10">
      <c r="A288" s="64"/>
      <c r="B288" s="64" t="s">
        <v>257</v>
      </c>
      <c r="C288" s="64" t="s">
        <v>179</v>
      </c>
      <c r="D288" s="64">
        <v>30</v>
      </c>
      <c r="E288" s="64">
        <v>24</v>
      </c>
      <c r="F288" s="64">
        <v>720</v>
      </c>
      <c r="G288" s="64">
        <v>37.2</v>
      </c>
      <c r="H288" s="65">
        <v>0.0516666666666667</v>
      </c>
      <c r="I288" s="65">
        <v>1</v>
      </c>
      <c r="J288" s="64"/>
    </row>
    <row r="289" customHeight="1" spans="1:10">
      <c r="A289" s="64"/>
      <c r="B289" s="64"/>
      <c r="C289" s="64" t="s">
        <v>180</v>
      </c>
      <c r="D289" s="64">
        <v>30</v>
      </c>
      <c r="E289" s="64">
        <v>24</v>
      </c>
      <c r="F289" s="64">
        <v>720</v>
      </c>
      <c r="G289" s="64">
        <v>34.2</v>
      </c>
      <c r="H289" s="65">
        <v>0.0475</v>
      </c>
      <c r="I289" s="65">
        <v>1</v>
      </c>
      <c r="J289" s="64"/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34.4</v>
      </c>
      <c r="H290" s="65">
        <v>0.0477777777777778</v>
      </c>
      <c r="I290" s="65">
        <v>1</v>
      </c>
      <c r="J290" s="64"/>
    </row>
    <row r="291" ht="17" customHeight="1" spans="1:10">
      <c r="A291" s="63" t="s">
        <v>258</v>
      </c>
      <c r="B291" s="79" t="s">
        <v>259</v>
      </c>
      <c r="C291" s="64" t="s">
        <v>179</v>
      </c>
      <c r="D291" s="64">
        <v>30</v>
      </c>
      <c r="E291" s="64">
        <v>24</v>
      </c>
      <c r="F291" s="64">
        <v>720</v>
      </c>
      <c r="G291" s="64">
        <v>692</v>
      </c>
      <c r="H291" s="65">
        <v>0.961111111111111</v>
      </c>
      <c r="I291" s="65">
        <v>1</v>
      </c>
      <c r="J291" s="64"/>
    </row>
    <row r="292" customHeight="1" spans="1:10">
      <c r="A292" s="64"/>
      <c r="B292" s="81"/>
      <c r="C292" s="64" t="s">
        <v>180</v>
      </c>
      <c r="D292" s="64">
        <v>30</v>
      </c>
      <c r="E292" s="64">
        <v>24</v>
      </c>
      <c r="F292" s="64">
        <v>720</v>
      </c>
      <c r="G292" s="64">
        <v>720</v>
      </c>
      <c r="H292" s="65">
        <v>1</v>
      </c>
      <c r="I292" s="65">
        <v>1</v>
      </c>
      <c r="J292" s="64"/>
    </row>
    <row r="293" customHeight="1" spans="1:10">
      <c r="A293" s="64"/>
      <c r="B293" s="81"/>
      <c r="C293" s="64" t="s">
        <v>185</v>
      </c>
      <c r="D293" s="64">
        <v>30</v>
      </c>
      <c r="E293" s="64">
        <v>24</v>
      </c>
      <c r="F293" s="64">
        <v>720</v>
      </c>
      <c r="G293" s="64">
        <v>720</v>
      </c>
      <c r="H293" s="65">
        <v>1</v>
      </c>
      <c r="I293" s="65">
        <v>1</v>
      </c>
      <c r="J293" s="64"/>
    </row>
    <row r="294" customHeight="1" spans="1:10">
      <c r="A294" s="64"/>
      <c r="B294" s="81"/>
      <c r="C294" s="64" t="s">
        <v>186</v>
      </c>
      <c r="D294" s="64">
        <v>30</v>
      </c>
      <c r="E294" s="64">
        <v>24</v>
      </c>
      <c r="F294" s="64">
        <v>720</v>
      </c>
      <c r="G294" s="64">
        <v>694</v>
      </c>
      <c r="H294" s="65">
        <v>0.963888888888889</v>
      </c>
      <c r="I294" s="65">
        <v>1</v>
      </c>
      <c r="J294" s="64"/>
    </row>
    <row r="295" customHeight="1" spans="1:10">
      <c r="A295" s="64"/>
      <c r="B295" s="81"/>
      <c r="C295" s="64" t="s">
        <v>187</v>
      </c>
      <c r="D295" s="64">
        <v>30</v>
      </c>
      <c r="E295" s="64">
        <v>24</v>
      </c>
      <c r="F295" s="64">
        <v>720</v>
      </c>
      <c r="G295" s="64">
        <v>526</v>
      </c>
      <c r="H295" s="65">
        <v>0.730555555555556</v>
      </c>
      <c r="I295" s="65">
        <v>1</v>
      </c>
      <c r="J295" s="64" t="s">
        <v>260</v>
      </c>
    </row>
    <row r="296" customHeight="1" spans="1:10">
      <c r="A296" s="64"/>
      <c r="B296" s="81"/>
      <c r="C296" s="64" t="s">
        <v>190</v>
      </c>
      <c r="D296" s="64">
        <v>30</v>
      </c>
      <c r="E296" s="64">
        <v>24</v>
      </c>
      <c r="F296" s="64">
        <v>720</v>
      </c>
      <c r="G296" s="64">
        <v>4</v>
      </c>
      <c r="H296" s="65">
        <v>0.00555555555555556</v>
      </c>
      <c r="I296" s="65">
        <v>1</v>
      </c>
      <c r="J296" s="64"/>
    </row>
    <row r="297" customHeight="1" spans="1:10">
      <c r="A297" s="64"/>
      <c r="B297" s="81"/>
      <c r="C297" s="64" t="s">
        <v>197</v>
      </c>
      <c r="D297" s="64">
        <v>30</v>
      </c>
      <c r="E297" s="64">
        <v>24</v>
      </c>
      <c r="F297" s="64">
        <v>720</v>
      </c>
      <c r="G297" s="64">
        <v>298</v>
      </c>
      <c r="H297" s="65">
        <v>0.413888888888889</v>
      </c>
      <c r="I297" s="65">
        <v>0.99</v>
      </c>
      <c r="J297" s="64" t="s">
        <v>261</v>
      </c>
    </row>
    <row r="298" customHeight="1" spans="1:10">
      <c r="A298" s="64"/>
      <c r="B298" s="83"/>
      <c r="C298" s="64" t="s">
        <v>198</v>
      </c>
      <c r="D298" s="64">
        <v>30</v>
      </c>
      <c r="E298" s="64">
        <v>24</v>
      </c>
      <c r="F298" s="64">
        <v>720</v>
      </c>
      <c r="G298" s="64">
        <v>262</v>
      </c>
      <c r="H298" s="65">
        <v>0.363888888888889</v>
      </c>
      <c r="I298" s="65">
        <v>1</v>
      </c>
      <c r="J298" s="64"/>
    </row>
    <row r="299" customHeight="1" spans="1:10">
      <c r="A299" s="64"/>
      <c r="B299" s="79" t="s">
        <v>262</v>
      </c>
      <c r="C299" s="64" t="s">
        <v>199</v>
      </c>
      <c r="D299" s="64">
        <v>30</v>
      </c>
      <c r="E299" s="64">
        <v>24</v>
      </c>
      <c r="F299" s="64">
        <v>720</v>
      </c>
      <c r="G299" s="64">
        <v>252</v>
      </c>
      <c r="H299" s="65">
        <v>0.35</v>
      </c>
      <c r="I299" s="65">
        <v>1</v>
      </c>
      <c r="J299" s="64"/>
    </row>
    <row r="300" customHeight="1" spans="1:10">
      <c r="A300" s="64"/>
      <c r="B300" s="81"/>
      <c r="C300" s="64" t="s">
        <v>200</v>
      </c>
      <c r="D300" s="64">
        <v>30</v>
      </c>
      <c r="E300" s="64">
        <v>24</v>
      </c>
      <c r="F300" s="64">
        <v>720</v>
      </c>
      <c r="G300" s="64">
        <v>260</v>
      </c>
      <c r="H300" s="65">
        <v>0.361111111111111</v>
      </c>
      <c r="I300" s="65">
        <v>1</v>
      </c>
      <c r="J300" s="64"/>
    </row>
    <row r="301" customHeight="1" spans="1:10">
      <c r="A301" s="64"/>
      <c r="B301" s="81"/>
      <c r="C301" s="64" t="s">
        <v>201</v>
      </c>
      <c r="D301" s="64">
        <v>30</v>
      </c>
      <c r="E301" s="64">
        <v>24</v>
      </c>
      <c r="F301" s="64">
        <v>720</v>
      </c>
      <c r="G301" s="64">
        <v>472</v>
      </c>
      <c r="H301" s="65">
        <v>0.655555555555556</v>
      </c>
      <c r="I301" s="65">
        <v>1</v>
      </c>
      <c r="J301" s="64" t="s">
        <v>263</v>
      </c>
    </row>
    <row r="302" customHeight="1" spans="1:10">
      <c r="A302" s="64"/>
      <c r="B302" s="81"/>
      <c r="C302" s="64" t="s">
        <v>202</v>
      </c>
      <c r="D302" s="64">
        <v>30</v>
      </c>
      <c r="E302" s="64">
        <v>24</v>
      </c>
      <c r="F302" s="64">
        <v>720</v>
      </c>
      <c r="G302" s="64">
        <v>650</v>
      </c>
      <c r="H302" s="65">
        <v>0.902777777777778</v>
      </c>
      <c r="I302" s="65">
        <v>1</v>
      </c>
      <c r="J302" s="64"/>
    </row>
    <row r="303" customHeight="1" spans="1:10">
      <c r="A303" s="64"/>
      <c r="B303" s="64" t="s">
        <v>264</v>
      </c>
      <c r="C303" s="64" t="s">
        <v>179</v>
      </c>
      <c r="D303" s="64">
        <v>30</v>
      </c>
      <c r="E303" s="64">
        <v>24</v>
      </c>
      <c r="F303" s="64">
        <v>720</v>
      </c>
      <c r="G303" s="64">
        <v>720</v>
      </c>
      <c r="H303" s="65">
        <v>1</v>
      </c>
      <c r="I303" s="65">
        <v>1</v>
      </c>
      <c r="J303" s="64"/>
    </row>
    <row r="304" customHeight="1" spans="1:10">
      <c r="A304" s="64"/>
      <c r="B304" s="64"/>
      <c r="C304" s="64" t="s">
        <v>180</v>
      </c>
      <c r="D304" s="64">
        <v>30</v>
      </c>
      <c r="E304" s="64">
        <v>24</v>
      </c>
      <c r="F304" s="64">
        <v>720</v>
      </c>
      <c r="G304" s="64">
        <v>0</v>
      </c>
      <c r="H304" s="65">
        <v>0</v>
      </c>
      <c r="I304" s="65">
        <v>1</v>
      </c>
      <c r="J304" s="64"/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265</v>
      </c>
      <c r="B306" s="64" t="s">
        <v>266</v>
      </c>
      <c r="C306" s="64" t="s">
        <v>179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 t="s">
        <v>267</v>
      </c>
    </row>
    <row r="307" customHeight="1" spans="1:10">
      <c r="A307" s="64"/>
      <c r="B307" s="64"/>
      <c r="C307" s="64" t="s">
        <v>180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 t="s">
        <v>267</v>
      </c>
    </row>
    <row r="308" customHeight="1" spans="1:10">
      <c r="A308" s="64"/>
      <c r="B308" s="64" t="s">
        <v>268</v>
      </c>
      <c r="C308" s="64" t="s">
        <v>179</v>
      </c>
      <c r="D308" s="64">
        <v>30</v>
      </c>
      <c r="E308" s="64">
        <v>24</v>
      </c>
      <c r="F308" s="64">
        <v>720</v>
      </c>
      <c r="G308" s="64">
        <v>716</v>
      </c>
      <c r="H308" s="65">
        <v>0.994444444444444</v>
      </c>
      <c r="I308" s="65">
        <v>1</v>
      </c>
      <c r="J308" s="64" t="s">
        <v>269</v>
      </c>
    </row>
    <row r="309" customHeight="1" spans="1:10">
      <c r="A309" s="64"/>
      <c r="B309" s="64"/>
      <c r="C309" s="64" t="s">
        <v>180</v>
      </c>
      <c r="D309" s="64">
        <v>30</v>
      </c>
      <c r="E309" s="64">
        <v>24</v>
      </c>
      <c r="F309" s="64">
        <v>720</v>
      </c>
      <c r="G309" s="64">
        <v>112</v>
      </c>
      <c r="H309" s="65">
        <v>0.155555555555556</v>
      </c>
      <c r="I309" s="65">
        <v>1</v>
      </c>
      <c r="J309" s="64" t="s">
        <v>269</v>
      </c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384</v>
      </c>
      <c r="H310" s="65">
        <v>0.533333333333333</v>
      </c>
      <c r="I310" s="65">
        <v>1</v>
      </c>
      <c r="J310" s="64" t="s">
        <v>269</v>
      </c>
    </row>
    <row r="311" ht="18" customHeight="1" spans="1:10">
      <c r="A311" s="64"/>
      <c r="B311" s="64" t="s">
        <v>270</v>
      </c>
      <c r="C311" s="64" t="s">
        <v>179</v>
      </c>
      <c r="D311" s="64">
        <v>30</v>
      </c>
      <c r="E311" s="64">
        <v>24</v>
      </c>
      <c r="F311" s="64">
        <v>720</v>
      </c>
      <c r="G311" s="64">
        <v>716</v>
      </c>
      <c r="H311" s="65">
        <v>0.994444444444444</v>
      </c>
      <c r="I311" s="65">
        <v>1</v>
      </c>
      <c r="J311" s="63" t="s">
        <v>271</v>
      </c>
    </row>
    <row r="312" ht="27" customHeight="1" spans="1:10">
      <c r="A312" s="64"/>
      <c r="B312" s="64"/>
      <c r="C312" s="64" t="s">
        <v>180</v>
      </c>
      <c r="D312" s="64">
        <v>30</v>
      </c>
      <c r="E312" s="64">
        <v>24</v>
      </c>
      <c r="F312" s="64">
        <v>720</v>
      </c>
      <c r="G312" s="64">
        <v>496</v>
      </c>
      <c r="H312" s="65">
        <v>0.688888888888889</v>
      </c>
      <c r="I312" s="65">
        <v>1</v>
      </c>
      <c r="J312" s="63" t="s">
        <v>271</v>
      </c>
    </row>
    <row r="313" ht="21" customHeight="1" spans="1:10">
      <c r="A313" s="66" t="s">
        <v>71</v>
      </c>
      <c r="B313" s="66"/>
      <c r="C313" s="15"/>
      <c r="D313" s="15"/>
      <c r="E313" s="67" t="s">
        <v>72</v>
      </c>
      <c r="F313" s="67"/>
      <c r="G313" s="68"/>
      <c r="H313" s="10" t="str">
        <f>H38</f>
        <v>制表时间：2022/12/5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6" workbookViewId="0">
      <selection activeCell="D51" sqref="D51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44866</v>
      </c>
      <c r="E2" s="32"/>
      <c r="F2" s="30"/>
    </row>
    <row r="3" ht="20.25" customHeight="1" spans="1:7">
      <c r="A3" s="33" t="s">
        <v>272</v>
      </c>
      <c r="B3" s="33" t="s">
        <v>165</v>
      </c>
      <c r="C3" s="33" t="s">
        <v>273</v>
      </c>
      <c r="D3" s="33" t="s">
        <v>274</v>
      </c>
      <c r="E3" s="33" t="s">
        <v>275</v>
      </c>
      <c r="F3" s="33" t="s">
        <v>276</v>
      </c>
      <c r="G3" s="34" t="s">
        <v>131</v>
      </c>
    </row>
    <row r="4" ht="22.5" spans="1:8">
      <c r="A4" s="35" t="s">
        <v>277</v>
      </c>
      <c r="B4" s="36" t="s">
        <v>278</v>
      </c>
      <c r="C4" s="36" t="s">
        <v>279</v>
      </c>
      <c r="D4" s="33" t="s">
        <v>280</v>
      </c>
      <c r="E4" s="33" t="s">
        <v>281</v>
      </c>
      <c r="F4" s="37" t="s">
        <v>282</v>
      </c>
      <c r="G4" s="38" t="s">
        <v>283</v>
      </c>
      <c r="H4" s="39"/>
    </row>
    <row r="5" ht="22.5" spans="1:7">
      <c r="A5" s="40"/>
      <c r="B5" s="36" t="s">
        <v>284</v>
      </c>
      <c r="C5" s="36" t="s">
        <v>279</v>
      </c>
      <c r="D5" s="33" t="s">
        <v>280</v>
      </c>
      <c r="E5" s="33" t="s">
        <v>281</v>
      </c>
      <c r="F5" s="33" t="s">
        <v>282</v>
      </c>
      <c r="G5" s="38" t="str">
        <f>G4</f>
        <v>2022-11-02 2022-11-09 2022-11-16 2022-11-23</v>
      </c>
    </row>
    <row r="6" ht="22.5" spans="1:7">
      <c r="A6" s="40"/>
      <c r="B6" s="36" t="s">
        <v>285</v>
      </c>
      <c r="C6" s="36" t="s">
        <v>279</v>
      </c>
      <c r="D6" s="33" t="s">
        <v>280</v>
      </c>
      <c r="E6" s="33" t="s">
        <v>281</v>
      </c>
      <c r="F6" s="33" t="s">
        <v>282</v>
      </c>
      <c r="G6" s="38" t="str">
        <f t="shared" ref="G6:G20" si="0">G5</f>
        <v>2022-11-02 2022-11-09 2022-11-16 2022-11-23</v>
      </c>
    </row>
    <row r="7" ht="22.5" spans="1:7">
      <c r="A7" s="41"/>
      <c r="B7" s="36" t="s">
        <v>286</v>
      </c>
      <c r="C7" s="36" t="s">
        <v>279</v>
      </c>
      <c r="D7" s="33" t="s">
        <v>280</v>
      </c>
      <c r="E7" s="33" t="s">
        <v>281</v>
      </c>
      <c r="F7" s="33" t="s">
        <v>282</v>
      </c>
      <c r="G7" s="38" t="str">
        <f t="shared" si="0"/>
        <v>2022-11-02 2022-11-09 2022-11-16 2022-11-23</v>
      </c>
    </row>
    <row r="8" ht="22.5" spans="1:7">
      <c r="A8" s="35" t="s">
        <v>287</v>
      </c>
      <c r="B8" s="36" t="s">
        <v>278</v>
      </c>
      <c r="C8" s="36" t="s">
        <v>288</v>
      </c>
      <c r="D8" s="33" t="s">
        <v>280</v>
      </c>
      <c r="E8" s="33" t="s">
        <v>281</v>
      </c>
      <c r="F8" s="33" t="s">
        <v>282</v>
      </c>
      <c r="G8" s="38" t="str">
        <f t="shared" si="0"/>
        <v>2022-11-02 2022-11-09 2022-11-16 2022-11-23</v>
      </c>
    </row>
    <row r="9" ht="22.5" spans="1:7">
      <c r="A9" s="40"/>
      <c r="B9" s="36" t="s">
        <v>284</v>
      </c>
      <c r="C9" s="36" t="s">
        <v>288</v>
      </c>
      <c r="D9" s="33" t="s">
        <v>280</v>
      </c>
      <c r="E9" s="33" t="s">
        <v>281</v>
      </c>
      <c r="F9" s="33" t="s">
        <v>282</v>
      </c>
      <c r="G9" s="38" t="str">
        <f t="shared" si="0"/>
        <v>2022-11-02 2022-11-09 2022-11-16 2022-11-23</v>
      </c>
    </row>
    <row r="10" ht="22.5" spans="1:7">
      <c r="A10" s="40"/>
      <c r="B10" s="36" t="s">
        <v>285</v>
      </c>
      <c r="C10" s="36" t="s">
        <v>288</v>
      </c>
      <c r="D10" s="33" t="s">
        <v>280</v>
      </c>
      <c r="E10" s="33" t="s">
        <v>281</v>
      </c>
      <c r="F10" s="33" t="s">
        <v>282</v>
      </c>
      <c r="G10" s="38" t="str">
        <f t="shared" si="0"/>
        <v>2022-11-02 2022-11-09 2022-11-16 2022-11-23</v>
      </c>
    </row>
    <row r="11" ht="22.5" spans="1:7">
      <c r="A11" s="41"/>
      <c r="B11" s="36" t="s">
        <v>286</v>
      </c>
      <c r="C11" s="36" t="s">
        <v>288</v>
      </c>
      <c r="D11" s="33" t="s">
        <v>280</v>
      </c>
      <c r="E11" s="33" t="s">
        <v>281</v>
      </c>
      <c r="F11" s="33" t="s">
        <v>282</v>
      </c>
      <c r="G11" s="38" t="str">
        <f t="shared" si="0"/>
        <v>2022-11-02 2022-11-09 2022-11-16 2022-11-23</v>
      </c>
    </row>
    <row r="12" ht="24" customHeight="1" spans="1:7">
      <c r="A12" s="36" t="s">
        <v>289</v>
      </c>
      <c r="B12" s="36" t="s">
        <v>179</v>
      </c>
      <c r="C12" s="33" t="s">
        <v>290</v>
      </c>
      <c r="D12" s="33" t="s">
        <v>291</v>
      </c>
      <c r="E12" s="33" t="s">
        <v>281</v>
      </c>
      <c r="F12" s="33" t="s">
        <v>292</v>
      </c>
      <c r="G12" s="38" t="str">
        <f t="shared" si="0"/>
        <v>2022-11-02 2022-11-09 2022-11-16 2022-11-23</v>
      </c>
    </row>
    <row r="13" ht="22.5" spans="1:7">
      <c r="A13" s="35" t="s">
        <v>293</v>
      </c>
      <c r="B13" s="36" t="s">
        <v>278</v>
      </c>
      <c r="C13" s="33" t="s">
        <v>294</v>
      </c>
      <c r="D13" s="33" t="s">
        <v>295</v>
      </c>
      <c r="E13" s="33" t="s">
        <v>281</v>
      </c>
      <c r="F13" s="33" t="s">
        <v>282</v>
      </c>
      <c r="G13" s="38" t="str">
        <f t="shared" si="0"/>
        <v>2022-11-02 2022-11-09 2022-11-16 2022-11-23</v>
      </c>
    </row>
    <row r="14" ht="22.5" spans="1:7">
      <c r="A14" s="40"/>
      <c r="B14" s="36" t="s">
        <v>284</v>
      </c>
      <c r="C14" s="33" t="s">
        <v>294</v>
      </c>
      <c r="D14" s="33" t="s">
        <v>295</v>
      </c>
      <c r="E14" s="33" t="s">
        <v>281</v>
      </c>
      <c r="F14" s="33" t="s">
        <v>282</v>
      </c>
      <c r="G14" s="38" t="str">
        <f t="shared" si="0"/>
        <v>2022-11-02 2022-11-09 2022-11-16 2022-11-23</v>
      </c>
    </row>
    <row r="15" ht="22.5" spans="1:7">
      <c r="A15" s="40"/>
      <c r="B15" s="36" t="s">
        <v>285</v>
      </c>
      <c r="C15" s="33" t="s">
        <v>294</v>
      </c>
      <c r="D15" s="33" t="s">
        <v>295</v>
      </c>
      <c r="E15" s="33" t="s">
        <v>281</v>
      </c>
      <c r="F15" s="33" t="s">
        <v>282</v>
      </c>
      <c r="G15" s="38" t="str">
        <f t="shared" si="0"/>
        <v>2022-11-02 2022-11-09 2022-11-16 2022-11-23</v>
      </c>
    </row>
    <row r="16" ht="22.5" spans="1:7">
      <c r="A16" s="41"/>
      <c r="B16" s="36" t="s">
        <v>286</v>
      </c>
      <c r="C16" s="33" t="s">
        <v>294</v>
      </c>
      <c r="D16" s="33" t="s">
        <v>295</v>
      </c>
      <c r="E16" s="33" t="s">
        <v>281</v>
      </c>
      <c r="F16" s="33" t="s">
        <v>282</v>
      </c>
      <c r="G16" s="38" t="str">
        <f t="shared" si="0"/>
        <v>2022-11-02 2022-11-09 2022-11-16 2022-11-23</v>
      </c>
    </row>
    <row r="17" ht="22.5" spans="1:7">
      <c r="A17" s="33" t="s">
        <v>296</v>
      </c>
      <c r="B17" s="36" t="s">
        <v>278</v>
      </c>
      <c r="C17" s="33" t="s">
        <v>288</v>
      </c>
      <c r="D17" s="33" t="s">
        <v>295</v>
      </c>
      <c r="E17" s="33" t="s">
        <v>281</v>
      </c>
      <c r="F17" s="33" t="s">
        <v>282</v>
      </c>
      <c r="G17" s="38" t="str">
        <f t="shared" si="0"/>
        <v>2022-11-02 2022-11-09 2022-11-16 2022-11-23</v>
      </c>
    </row>
    <row r="18" ht="22.5" spans="1:7">
      <c r="A18" s="33"/>
      <c r="B18" s="36" t="s">
        <v>284</v>
      </c>
      <c r="C18" s="33" t="s">
        <v>288</v>
      </c>
      <c r="D18" s="33" t="s">
        <v>295</v>
      </c>
      <c r="E18" s="33" t="s">
        <v>281</v>
      </c>
      <c r="F18" s="33" t="s">
        <v>282</v>
      </c>
      <c r="G18" s="38" t="str">
        <f t="shared" si="0"/>
        <v>2022-11-02 2022-11-09 2022-11-16 2022-11-23</v>
      </c>
    </row>
    <row r="19" ht="22.5" spans="1:7">
      <c r="A19" s="33"/>
      <c r="B19" s="36" t="s">
        <v>285</v>
      </c>
      <c r="C19" s="33" t="s">
        <v>288</v>
      </c>
      <c r="D19" s="33" t="s">
        <v>295</v>
      </c>
      <c r="E19" s="33" t="s">
        <v>281</v>
      </c>
      <c r="F19" s="33" t="s">
        <v>282</v>
      </c>
      <c r="G19" s="38" t="str">
        <f t="shared" si="0"/>
        <v>2022-11-02 2022-11-09 2022-11-16 2022-11-23</v>
      </c>
    </row>
    <row r="20" ht="22.5" spans="1:7">
      <c r="A20" s="33"/>
      <c r="B20" s="36" t="s">
        <v>286</v>
      </c>
      <c r="C20" s="33" t="s">
        <v>288</v>
      </c>
      <c r="D20" s="33" t="s">
        <v>295</v>
      </c>
      <c r="E20" s="33" t="s">
        <v>281</v>
      </c>
      <c r="F20" s="33" t="s">
        <v>282</v>
      </c>
      <c r="G20" s="38" t="str">
        <f t="shared" si="0"/>
        <v>2022-11-02 2022-11-09 2022-11-16 2022-11-23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297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44866</v>
      </c>
      <c r="E26" s="49"/>
      <c r="F26" s="30"/>
    </row>
    <row r="27" ht="18.75" customHeight="1" spans="1:7">
      <c r="A27" s="33" t="s">
        <v>272</v>
      </c>
      <c r="B27" s="33" t="s">
        <v>165</v>
      </c>
      <c r="C27" s="33" t="s">
        <v>273</v>
      </c>
      <c r="D27" s="33" t="s">
        <v>274</v>
      </c>
      <c r="E27" s="33" t="s">
        <v>275</v>
      </c>
      <c r="F27" s="33" t="s">
        <v>276</v>
      </c>
      <c r="G27" s="33" t="s">
        <v>131</v>
      </c>
    </row>
    <row r="28" ht="19.5" customHeight="1" spans="1:7">
      <c r="A28" s="33" t="s">
        <v>298</v>
      </c>
      <c r="B28" s="50" t="s">
        <v>278</v>
      </c>
      <c r="C28" s="50" t="s">
        <v>288</v>
      </c>
      <c r="D28" s="33" t="s">
        <v>280</v>
      </c>
      <c r="E28" s="36" t="s">
        <v>281</v>
      </c>
      <c r="F28" s="33" t="s">
        <v>292</v>
      </c>
      <c r="G28" s="51">
        <v>44882</v>
      </c>
    </row>
    <row r="29" ht="19.5" customHeight="1" spans="1:7">
      <c r="A29" s="33"/>
      <c r="B29" s="50" t="s">
        <v>286</v>
      </c>
      <c r="C29" s="50" t="s">
        <v>288</v>
      </c>
      <c r="D29" s="33" t="s">
        <v>280</v>
      </c>
      <c r="E29" s="36" t="s">
        <v>281</v>
      </c>
      <c r="F29" s="33" t="s">
        <v>292</v>
      </c>
      <c r="G29" s="51">
        <f>G28</f>
        <v>44882</v>
      </c>
    </row>
    <row r="30" ht="19.5" customHeight="1" spans="1:7">
      <c r="A30" s="33" t="s">
        <v>299</v>
      </c>
      <c r="B30" s="50" t="s">
        <v>278</v>
      </c>
      <c r="C30" s="36" t="s">
        <v>290</v>
      </c>
      <c r="D30" s="33" t="s">
        <v>295</v>
      </c>
      <c r="E30" s="36" t="s">
        <v>281</v>
      </c>
      <c r="F30" s="33" t="s">
        <v>292</v>
      </c>
      <c r="G30" s="51">
        <f>G29</f>
        <v>44882</v>
      </c>
    </row>
    <row r="31" ht="19.5" customHeight="1" spans="1:7">
      <c r="A31" s="33"/>
      <c r="B31" s="50" t="s">
        <v>286</v>
      </c>
      <c r="C31" s="36" t="s">
        <v>290</v>
      </c>
      <c r="D31" s="33" t="s">
        <v>295</v>
      </c>
      <c r="E31" s="36" t="s">
        <v>281</v>
      </c>
      <c r="F31" s="33" t="s">
        <v>292</v>
      </c>
      <c r="G31" s="51">
        <f>G30</f>
        <v>44882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制表日期：2022/12/5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O5" sqref="O5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300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301</v>
      </c>
      <c r="B3" s="5"/>
      <c r="C3" s="5"/>
      <c r="D3" s="5"/>
      <c r="E3" s="5" t="s">
        <v>302</v>
      </c>
      <c r="F3" s="5"/>
      <c r="G3" s="5"/>
      <c r="H3" s="5"/>
      <c r="I3" s="3"/>
    </row>
    <row r="4" customHeight="1" spans="1:9">
      <c r="A4" s="5" t="s">
        <v>303</v>
      </c>
      <c r="B4" s="5"/>
      <c r="C4" s="5"/>
      <c r="D4" s="5"/>
      <c r="E4" s="5" t="s">
        <v>304</v>
      </c>
      <c r="F4" s="5"/>
      <c r="G4" s="5" t="s">
        <v>305</v>
      </c>
      <c r="H4" s="5"/>
      <c r="I4" s="25"/>
    </row>
    <row r="5" customHeight="1" spans="1:8">
      <c r="A5" s="5" t="s">
        <v>306</v>
      </c>
      <c r="B5" s="5" t="s">
        <v>307</v>
      </c>
      <c r="C5" s="5" t="s">
        <v>308</v>
      </c>
      <c r="D5" s="5" t="s">
        <v>309</v>
      </c>
      <c r="E5" s="5" t="s">
        <v>306</v>
      </c>
      <c r="F5" s="5" t="s">
        <v>307</v>
      </c>
      <c r="G5" s="5" t="s">
        <v>306</v>
      </c>
      <c r="H5" s="5" t="s">
        <v>309</v>
      </c>
    </row>
    <row r="6" customHeight="1" spans="1:8">
      <c r="A6" s="6" t="s">
        <v>310</v>
      </c>
      <c r="B6" s="7">
        <v>1.23</v>
      </c>
      <c r="C6" s="7">
        <v>6.89</v>
      </c>
      <c r="D6" s="7">
        <v>2.53</v>
      </c>
      <c r="E6" s="6" t="s">
        <v>310</v>
      </c>
      <c r="F6" s="7">
        <v>6.12</v>
      </c>
      <c r="G6" s="6" t="s">
        <v>310</v>
      </c>
      <c r="H6" s="7">
        <v>1.58</v>
      </c>
    </row>
    <row r="7" customHeight="1" spans="1:8">
      <c r="A7" s="6" t="s">
        <v>311</v>
      </c>
      <c r="B7" s="7">
        <v>3.13</v>
      </c>
      <c r="C7" s="7">
        <v>5.23</v>
      </c>
      <c r="D7" s="7">
        <v>1.85</v>
      </c>
      <c r="E7" s="6" t="s">
        <v>311</v>
      </c>
      <c r="F7" s="7">
        <v>5.23</v>
      </c>
      <c r="G7" s="6" t="s">
        <v>312</v>
      </c>
      <c r="H7" s="7">
        <v>1.92</v>
      </c>
    </row>
    <row r="8" customHeight="1" spans="1:8">
      <c r="A8" s="6" t="s">
        <v>312</v>
      </c>
      <c r="B8" s="7">
        <v>4.52</v>
      </c>
      <c r="C8" s="7">
        <v>3.53</v>
      </c>
      <c r="D8" s="7">
        <v>0.98</v>
      </c>
      <c r="E8" s="6" t="s">
        <v>312</v>
      </c>
      <c r="F8" s="7">
        <v>3.78</v>
      </c>
      <c r="G8" s="6" t="s">
        <v>313</v>
      </c>
      <c r="H8" s="7">
        <v>2.83</v>
      </c>
    </row>
    <row r="9" customHeight="1" spans="1:8">
      <c r="A9" s="6" t="s">
        <v>313</v>
      </c>
      <c r="B9" s="7">
        <v>5.81</v>
      </c>
      <c r="C9" s="7">
        <v>1.98</v>
      </c>
      <c r="D9" s="7">
        <v>0.54</v>
      </c>
      <c r="E9" s="6" t="s">
        <v>314</v>
      </c>
      <c r="F9" s="7">
        <v>2.61</v>
      </c>
      <c r="G9" s="6" t="s">
        <v>315</v>
      </c>
      <c r="H9" s="7">
        <v>3.98</v>
      </c>
    </row>
    <row r="10" customHeight="1" spans="1:8">
      <c r="A10" s="8" t="s">
        <v>316</v>
      </c>
      <c r="B10" s="9">
        <v>5862</v>
      </c>
      <c r="C10" s="10"/>
      <c r="D10" s="11"/>
      <c r="E10" s="6" t="s">
        <v>313</v>
      </c>
      <c r="F10" s="7">
        <v>1.82</v>
      </c>
      <c r="G10" s="5" t="s">
        <v>316</v>
      </c>
      <c r="H10" s="12">
        <v>4422</v>
      </c>
    </row>
    <row r="11" customHeight="1" spans="1:8">
      <c r="A11" s="13"/>
      <c r="B11" s="14"/>
      <c r="C11" s="15"/>
      <c r="D11" s="16"/>
      <c r="E11" s="6" t="s">
        <v>315</v>
      </c>
      <c r="F11" s="7">
        <v>1.21</v>
      </c>
      <c r="G11" s="5"/>
      <c r="H11" s="17"/>
    </row>
    <row r="12" customHeight="1" spans="1:8">
      <c r="A12" s="18"/>
      <c r="B12" s="19"/>
      <c r="C12" s="20"/>
      <c r="D12" s="21"/>
      <c r="E12" s="6" t="s">
        <v>316</v>
      </c>
      <c r="F12" s="5">
        <v>5624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317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2022-12-07T06:48:42Z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C486B51DDF7C47DAA2D653E59BF603FF</vt:lpwstr>
  </property>
</Properties>
</file>